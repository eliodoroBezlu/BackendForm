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comments1.xml" ContentType="application/vnd.openxmlformats-officedocument.spreadsheetml.comments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comments2.xml" ContentType="application/vnd.openxmlformats-officedocument.spreadsheetml.comments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comments3.xml" ContentType="application/vnd.openxmlformats-officedocument.spreadsheetml.comments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comments4.xml" ContentType="application/vnd.openxmlformats-officedocument.spreadsheetml.comments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tables/table189.xml" ContentType="application/vnd.openxmlformats-officedocument.spreadsheetml.table+xml"/>
  <Override PartName="/xl/tables/table190.xml" ContentType="application/vnd.openxmlformats-officedocument.spreadsheetml.table+xml"/>
  <Override PartName="/xl/tables/table191.xml" ContentType="application/vnd.openxmlformats-officedocument.spreadsheetml.table+xml"/>
  <Override PartName="/xl/tables/table192.xml" ContentType="application/vnd.openxmlformats-officedocument.spreadsheetml.table+xml"/>
  <Override PartName="/xl/tables/table193.xml" ContentType="application/vnd.openxmlformats-officedocument.spreadsheetml.table+xml"/>
  <Override PartName="/xl/tables/table194.xml" ContentType="application/vnd.openxmlformats-officedocument.spreadsheetml.table+xml"/>
  <Override PartName="/xl/tables/table195.xml" ContentType="application/vnd.openxmlformats-officedocument.spreadsheetml.table+xml"/>
  <Override PartName="/xl/tables/table196.xml" ContentType="application/vnd.openxmlformats-officedocument.spreadsheetml.table+xml"/>
  <Override PartName="/xl/tables/table197.xml" ContentType="application/vnd.openxmlformats-officedocument.spreadsheetml.table+xml"/>
  <Override PartName="/xl/tables/table198.xml" ContentType="application/vnd.openxmlformats-officedocument.spreadsheetml.table+xml"/>
  <Override PartName="/xl/tables/table199.xml" ContentType="application/vnd.openxmlformats-officedocument.spreadsheetml.table+xml"/>
  <Override PartName="/xl/tables/table200.xml" ContentType="application/vnd.openxmlformats-officedocument.spreadsheetml.table+xml"/>
  <Override PartName="/xl/tables/table201.xml" ContentType="application/vnd.openxmlformats-officedocument.spreadsheetml.table+xml"/>
  <Override PartName="/xl/tables/table202.xml" ContentType="application/vnd.openxmlformats-officedocument.spreadsheetml.table+xml"/>
  <Override PartName="/xl/tables/table203.xml" ContentType="application/vnd.openxmlformats-officedocument.spreadsheetml.table+xml"/>
  <Override PartName="/xl/tables/table204.xml" ContentType="application/vnd.openxmlformats-officedocument.spreadsheetml.table+xml"/>
  <Override PartName="/xl/tables/table205.xml" ContentType="application/vnd.openxmlformats-officedocument.spreadsheetml.table+xml"/>
  <Override PartName="/xl/tables/table206.xml" ContentType="application/vnd.openxmlformats-officedocument.spreadsheetml.table+xml"/>
  <Override PartName="/xl/tables/table207.xml" ContentType="application/vnd.openxmlformats-officedocument.spreadsheetml.table+xml"/>
  <Override PartName="/xl/tables/table208.xml" ContentType="application/vnd.openxmlformats-officedocument.spreadsheetml.table+xml"/>
  <Override PartName="/xl/tables/table209.xml" ContentType="application/vnd.openxmlformats-officedocument.spreadsheetml.table+xml"/>
  <Override PartName="/xl/tables/table210.xml" ContentType="application/vnd.openxmlformats-officedocument.spreadsheetml.table+xml"/>
  <Override PartName="/xl/tables/table211.xml" ContentType="application/vnd.openxmlformats-officedocument.spreadsheetml.table+xml"/>
  <Override PartName="/xl/tables/table212.xml" ContentType="application/vnd.openxmlformats-officedocument.spreadsheetml.table+xml"/>
  <Override PartName="/xl/tables/table213.xml" ContentType="application/vnd.openxmlformats-officedocument.spreadsheetml.table+xml"/>
  <Override PartName="/xl/tables/table214.xml" ContentType="application/vnd.openxmlformats-officedocument.spreadsheetml.table+xml"/>
  <Override PartName="/xl/tables/table215.xml" ContentType="application/vnd.openxmlformats-officedocument.spreadsheetml.table+xml"/>
  <Override PartName="/xl/comments5.xml" ContentType="application/vnd.openxmlformats-officedocument.spreadsheetml.comments+xml"/>
  <Override PartName="/xl/tables/table216.xml" ContentType="application/vnd.openxmlformats-officedocument.spreadsheetml.table+xml"/>
  <Override PartName="/xl/tables/table217.xml" ContentType="application/vnd.openxmlformats-officedocument.spreadsheetml.table+xml"/>
  <Override PartName="/xl/tables/table218.xml" ContentType="application/vnd.openxmlformats-officedocument.spreadsheetml.table+xml"/>
  <Override PartName="/xl/tables/table219.xml" ContentType="application/vnd.openxmlformats-officedocument.spreadsheetml.table+xml"/>
  <Override PartName="/xl/tables/table220.xml" ContentType="application/vnd.openxmlformats-officedocument.spreadsheetml.table+xml"/>
  <Override PartName="/xl/tables/table221.xml" ContentType="application/vnd.openxmlformats-officedocument.spreadsheetml.table+xml"/>
  <Override PartName="/xl/tables/table222.xml" ContentType="application/vnd.openxmlformats-officedocument.spreadsheetml.table+xml"/>
  <Override PartName="/xl/tables/table223.xml" ContentType="application/vnd.openxmlformats-officedocument.spreadsheetml.table+xml"/>
  <Override PartName="/xl/tables/table224.xml" ContentType="application/vnd.openxmlformats-officedocument.spreadsheetml.table+xml"/>
  <Override PartName="/xl/tables/table225.xml" ContentType="application/vnd.openxmlformats-officedocument.spreadsheetml.table+xml"/>
  <Override PartName="/xl/tables/table226.xml" ContentType="application/vnd.openxmlformats-officedocument.spreadsheetml.table+xml"/>
  <Override PartName="/xl/tables/table227.xml" ContentType="application/vnd.openxmlformats-officedocument.spreadsheetml.table+xml"/>
  <Override PartName="/xl/tables/table228.xml" ContentType="application/vnd.openxmlformats-officedocument.spreadsheetml.table+xml"/>
  <Override PartName="/xl/tables/table229.xml" ContentType="application/vnd.openxmlformats-officedocument.spreadsheetml.table+xml"/>
  <Override PartName="/xl/tables/table230.xml" ContentType="application/vnd.openxmlformats-officedocument.spreadsheetml.table+xml"/>
  <Override PartName="/xl/tables/table231.xml" ContentType="application/vnd.openxmlformats-officedocument.spreadsheetml.table+xml"/>
  <Override PartName="/xl/tables/table232.xml" ContentType="application/vnd.openxmlformats-officedocument.spreadsheetml.table+xml"/>
  <Override PartName="/xl/tables/table233.xml" ContentType="application/vnd.openxmlformats-officedocument.spreadsheetml.table+xml"/>
  <Override PartName="/xl/tables/table234.xml" ContentType="application/vnd.openxmlformats-officedocument.spreadsheetml.table+xml"/>
  <Override PartName="/xl/tables/table235.xml" ContentType="application/vnd.openxmlformats-officedocument.spreadsheetml.table+xml"/>
  <Override PartName="/xl/tables/table236.xml" ContentType="application/vnd.openxmlformats-officedocument.spreadsheetml.table+xml"/>
  <Override PartName="/xl/tables/table237.xml" ContentType="application/vnd.openxmlformats-officedocument.spreadsheetml.table+xml"/>
  <Override PartName="/xl/tables/table238.xml" ContentType="application/vnd.openxmlformats-officedocument.spreadsheetml.table+xml"/>
  <Override PartName="/xl/tables/table239.xml" ContentType="application/vnd.openxmlformats-officedocument.spreadsheetml.table+xml"/>
  <Override PartName="/xl/tables/table240.xml" ContentType="application/vnd.openxmlformats-officedocument.spreadsheetml.table+xml"/>
  <Override PartName="/xl/tables/table241.xml" ContentType="application/vnd.openxmlformats-officedocument.spreadsheetml.table+xml"/>
  <Override PartName="/xl/tables/table242.xml" ContentType="application/vnd.openxmlformats-officedocument.spreadsheetml.table+xml"/>
  <Override PartName="/xl/tables/table243.xml" ContentType="application/vnd.openxmlformats-officedocument.spreadsheetml.table+xml"/>
  <Override PartName="/xl/tables/table244.xml" ContentType="application/vnd.openxmlformats-officedocument.spreadsheetml.table+xml"/>
  <Override PartName="/xl/tables/table245.xml" ContentType="application/vnd.openxmlformats-officedocument.spreadsheetml.table+xml"/>
  <Override PartName="/xl/tables/table246.xml" ContentType="application/vnd.openxmlformats-officedocument.spreadsheetml.table+xml"/>
  <Override PartName="/xl/tables/table247.xml" ContentType="application/vnd.openxmlformats-officedocument.spreadsheetml.table+xml"/>
  <Override PartName="/xl/tables/table248.xml" ContentType="application/vnd.openxmlformats-officedocument.spreadsheetml.table+xml"/>
  <Override PartName="/xl/tables/table249.xml" ContentType="application/vnd.openxmlformats-officedocument.spreadsheetml.table+xml"/>
  <Override PartName="/xl/tables/table250.xml" ContentType="application/vnd.openxmlformats-officedocument.spreadsheetml.table+xml"/>
  <Override PartName="/xl/tables/table251.xml" ContentType="application/vnd.openxmlformats-officedocument.spreadsheetml.table+xml"/>
  <Override PartName="/xl/tables/table252.xml" ContentType="application/vnd.openxmlformats-officedocument.spreadsheetml.table+xml"/>
  <Override PartName="/xl/tables/table253.xml" ContentType="application/vnd.openxmlformats-officedocument.spreadsheetml.table+xml"/>
  <Override PartName="/xl/tables/table254.xml" ContentType="application/vnd.openxmlformats-officedocument.spreadsheetml.table+xml"/>
  <Override PartName="/xl/tables/table255.xml" ContentType="application/vnd.openxmlformats-officedocument.spreadsheetml.table+xml"/>
  <Override PartName="/xl/tables/table256.xml" ContentType="application/vnd.openxmlformats-officedocument.spreadsheetml.table+xml"/>
  <Override PartName="/xl/tables/table257.xml" ContentType="application/vnd.openxmlformats-officedocument.spreadsheetml.table+xml"/>
  <Override PartName="/xl/tables/table258.xml" ContentType="application/vnd.openxmlformats-officedocument.spreadsheetml.table+xml"/>
  <Override PartName="/xl/comments6.xml" ContentType="application/vnd.openxmlformats-officedocument.spreadsheetml.comments+xml"/>
  <Override PartName="/xl/tables/table259.xml" ContentType="application/vnd.openxmlformats-officedocument.spreadsheetml.table+xml"/>
  <Override PartName="/xl/tables/table260.xml" ContentType="application/vnd.openxmlformats-officedocument.spreadsheetml.table+xml"/>
  <Override PartName="/xl/tables/table261.xml" ContentType="application/vnd.openxmlformats-officedocument.spreadsheetml.table+xml"/>
  <Override PartName="/xl/tables/table262.xml" ContentType="application/vnd.openxmlformats-officedocument.spreadsheetml.table+xml"/>
  <Override PartName="/xl/tables/table263.xml" ContentType="application/vnd.openxmlformats-officedocument.spreadsheetml.table+xml"/>
  <Override PartName="/xl/tables/table264.xml" ContentType="application/vnd.openxmlformats-officedocument.spreadsheetml.table+xml"/>
  <Override PartName="/xl/tables/table265.xml" ContentType="application/vnd.openxmlformats-officedocument.spreadsheetml.table+xml"/>
  <Override PartName="/xl/tables/table266.xml" ContentType="application/vnd.openxmlformats-officedocument.spreadsheetml.table+xml"/>
  <Override PartName="/xl/tables/table267.xml" ContentType="application/vnd.openxmlformats-officedocument.spreadsheetml.table+xml"/>
  <Override PartName="/xl/tables/table268.xml" ContentType="application/vnd.openxmlformats-officedocument.spreadsheetml.table+xml"/>
  <Override PartName="/xl/tables/table269.xml" ContentType="application/vnd.openxmlformats-officedocument.spreadsheetml.table+xml"/>
  <Override PartName="/xl/tables/table270.xml" ContentType="application/vnd.openxmlformats-officedocument.spreadsheetml.table+xml"/>
  <Override PartName="/xl/tables/table271.xml" ContentType="application/vnd.openxmlformats-officedocument.spreadsheetml.table+xml"/>
  <Override PartName="/xl/tables/table272.xml" ContentType="application/vnd.openxmlformats-officedocument.spreadsheetml.table+xml"/>
  <Override PartName="/xl/tables/table273.xml" ContentType="application/vnd.openxmlformats-officedocument.spreadsheetml.table+xml"/>
  <Override PartName="/xl/tables/table274.xml" ContentType="application/vnd.openxmlformats-officedocument.spreadsheetml.table+xml"/>
  <Override PartName="/xl/tables/table275.xml" ContentType="application/vnd.openxmlformats-officedocument.spreadsheetml.table+xml"/>
  <Override PartName="/xl/tables/table276.xml" ContentType="application/vnd.openxmlformats-officedocument.spreadsheetml.table+xml"/>
  <Override PartName="/xl/tables/table277.xml" ContentType="application/vnd.openxmlformats-officedocument.spreadsheetml.table+xml"/>
  <Override PartName="/xl/tables/table278.xml" ContentType="application/vnd.openxmlformats-officedocument.spreadsheetml.table+xml"/>
  <Override PartName="/xl/tables/table279.xml" ContentType="application/vnd.openxmlformats-officedocument.spreadsheetml.table+xml"/>
  <Override PartName="/xl/tables/table280.xml" ContentType="application/vnd.openxmlformats-officedocument.spreadsheetml.table+xml"/>
  <Override PartName="/xl/tables/table281.xml" ContentType="application/vnd.openxmlformats-officedocument.spreadsheetml.table+xml"/>
  <Override PartName="/xl/tables/table282.xml" ContentType="application/vnd.openxmlformats-officedocument.spreadsheetml.table+xml"/>
  <Override PartName="/xl/tables/table283.xml" ContentType="application/vnd.openxmlformats-officedocument.spreadsheetml.table+xml"/>
  <Override PartName="/xl/tables/table284.xml" ContentType="application/vnd.openxmlformats-officedocument.spreadsheetml.table+xml"/>
  <Override PartName="/xl/tables/table285.xml" ContentType="application/vnd.openxmlformats-officedocument.spreadsheetml.table+xml"/>
  <Override PartName="/xl/tables/table286.xml" ContentType="application/vnd.openxmlformats-officedocument.spreadsheetml.table+xml"/>
  <Override PartName="/xl/tables/table287.xml" ContentType="application/vnd.openxmlformats-officedocument.spreadsheetml.table+xml"/>
  <Override PartName="/xl/tables/table288.xml" ContentType="application/vnd.openxmlformats-officedocument.spreadsheetml.table+xml"/>
  <Override PartName="/xl/tables/table289.xml" ContentType="application/vnd.openxmlformats-officedocument.spreadsheetml.table+xml"/>
  <Override PartName="/xl/tables/table290.xml" ContentType="application/vnd.openxmlformats-officedocument.spreadsheetml.table+xml"/>
  <Override PartName="/xl/tables/table291.xml" ContentType="application/vnd.openxmlformats-officedocument.spreadsheetml.table+xml"/>
  <Override PartName="/xl/tables/table292.xml" ContentType="application/vnd.openxmlformats-officedocument.spreadsheetml.table+xml"/>
  <Override PartName="/xl/tables/table293.xml" ContentType="application/vnd.openxmlformats-officedocument.spreadsheetml.table+xml"/>
  <Override PartName="/xl/tables/table294.xml" ContentType="application/vnd.openxmlformats-officedocument.spreadsheetml.table+xml"/>
  <Override PartName="/xl/tables/table295.xml" ContentType="application/vnd.openxmlformats-officedocument.spreadsheetml.table+xml"/>
  <Override PartName="/xl/tables/table296.xml" ContentType="application/vnd.openxmlformats-officedocument.spreadsheetml.table+xml"/>
  <Override PartName="/xl/tables/table297.xml" ContentType="application/vnd.openxmlformats-officedocument.spreadsheetml.table+xml"/>
  <Override PartName="/xl/tables/table298.xml" ContentType="application/vnd.openxmlformats-officedocument.spreadsheetml.table+xml"/>
  <Override PartName="/xl/tables/table299.xml" ContentType="application/vnd.openxmlformats-officedocument.spreadsheetml.table+xml"/>
  <Override PartName="/xl/tables/table300.xml" ContentType="application/vnd.openxmlformats-officedocument.spreadsheetml.table+xml"/>
  <Override PartName="/xl/tables/table301.xml" ContentType="application/vnd.openxmlformats-officedocument.spreadsheetml.table+xml"/>
  <Override PartName="/xl/comments7.xml" ContentType="application/vnd.openxmlformats-officedocument.spreadsheetml.comments+xml"/>
  <Override PartName="/xl/tables/table302.xml" ContentType="application/vnd.openxmlformats-officedocument.spreadsheetml.table+xml"/>
  <Override PartName="/xl/tables/table303.xml" ContentType="application/vnd.openxmlformats-officedocument.spreadsheetml.table+xml"/>
  <Override PartName="/xl/tables/table304.xml" ContentType="application/vnd.openxmlformats-officedocument.spreadsheetml.table+xml"/>
  <Override PartName="/xl/tables/table305.xml" ContentType="application/vnd.openxmlformats-officedocument.spreadsheetml.table+xml"/>
  <Override PartName="/xl/tables/table306.xml" ContentType="application/vnd.openxmlformats-officedocument.spreadsheetml.table+xml"/>
  <Override PartName="/xl/tables/table307.xml" ContentType="application/vnd.openxmlformats-officedocument.spreadsheetml.table+xml"/>
  <Override PartName="/xl/tables/table308.xml" ContentType="application/vnd.openxmlformats-officedocument.spreadsheetml.table+xml"/>
  <Override PartName="/xl/tables/table309.xml" ContentType="application/vnd.openxmlformats-officedocument.spreadsheetml.table+xml"/>
  <Override PartName="/xl/tables/table310.xml" ContentType="application/vnd.openxmlformats-officedocument.spreadsheetml.table+xml"/>
  <Override PartName="/xl/tables/table311.xml" ContentType="application/vnd.openxmlformats-officedocument.spreadsheetml.table+xml"/>
  <Override PartName="/xl/tables/table312.xml" ContentType="application/vnd.openxmlformats-officedocument.spreadsheetml.table+xml"/>
  <Override PartName="/xl/tables/table313.xml" ContentType="application/vnd.openxmlformats-officedocument.spreadsheetml.table+xml"/>
  <Override PartName="/xl/tables/table314.xml" ContentType="application/vnd.openxmlformats-officedocument.spreadsheetml.table+xml"/>
  <Override PartName="/xl/tables/table315.xml" ContentType="application/vnd.openxmlformats-officedocument.spreadsheetml.table+xml"/>
  <Override PartName="/xl/tables/table316.xml" ContentType="application/vnd.openxmlformats-officedocument.spreadsheetml.table+xml"/>
  <Override PartName="/xl/tables/table317.xml" ContentType="application/vnd.openxmlformats-officedocument.spreadsheetml.table+xml"/>
  <Override PartName="/xl/tables/table318.xml" ContentType="application/vnd.openxmlformats-officedocument.spreadsheetml.table+xml"/>
  <Override PartName="/xl/tables/table319.xml" ContentType="application/vnd.openxmlformats-officedocument.spreadsheetml.table+xml"/>
  <Override PartName="/xl/tables/table320.xml" ContentType="application/vnd.openxmlformats-officedocument.spreadsheetml.table+xml"/>
  <Override PartName="/xl/tables/table321.xml" ContentType="application/vnd.openxmlformats-officedocument.spreadsheetml.table+xml"/>
  <Override PartName="/xl/tables/table322.xml" ContentType="application/vnd.openxmlformats-officedocument.spreadsheetml.table+xml"/>
  <Override PartName="/xl/tables/table323.xml" ContentType="application/vnd.openxmlformats-officedocument.spreadsheetml.table+xml"/>
  <Override PartName="/xl/tables/table324.xml" ContentType="application/vnd.openxmlformats-officedocument.spreadsheetml.table+xml"/>
  <Override PartName="/xl/tables/table325.xml" ContentType="application/vnd.openxmlformats-officedocument.spreadsheetml.table+xml"/>
  <Override PartName="/xl/tables/table326.xml" ContentType="application/vnd.openxmlformats-officedocument.spreadsheetml.table+xml"/>
  <Override PartName="/xl/tables/table327.xml" ContentType="application/vnd.openxmlformats-officedocument.spreadsheetml.table+xml"/>
  <Override PartName="/xl/tables/table328.xml" ContentType="application/vnd.openxmlformats-officedocument.spreadsheetml.table+xml"/>
  <Override PartName="/xl/tables/table329.xml" ContentType="application/vnd.openxmlformats-officedocument.spreadsheetml.table+xml"/>
  <Override PartName="/xl/tables/table330.xml" ContentType="application/vnd.openxmlformats-officedocument.spreadsheetml.table+xml"/>
  <Override PartName="/xl/tables/table331.xml" ContentType="application/vnd.openxmlformats-officedocument.spreadsheetml.table+xml"/>
  <Override PartName="/xl/tables/table332.xml" ContentType="application/vnd.openxmlformats-officedocument.spreadsheetml.table+xml"/>
  <Override PartName="/xl/tables/table333.xml" ContentType="application/vnd.openxmlformats-officedocument.spreadsheetml.table+xml"/>
  <Override PartName="/xl/tables/table334.xml" ContentType="application/vnd.openxmlformats-officedocument.spreadsheetml.table+xml"/>
  <Override PartName="/xl/tables/table335.xml" ContentType="application/vnd.openxmlformats-officedocument.spreadsheetml.table+xml"/>
  <Override PartName="/xl/tables/table336.xml" ContentType="application/vnd.openxmlformats-officedocument.spreadsheetml.table+xml"/>
  <Override PartName="/xl/tables/table337.xml" ContentType="application/vnd.openxmlformats-officedocument.spreadsheetml.table+xml"/>
  <Override PartName="/xl/tables/table338.xml" ContentType="application/vnd.openxmlformats-officedocument.spreadsheetml.table+xml"/>
  <Override PartName="/xl/tables/table339.xml" ContentType="application/vnd.openxmlformats-officedocument.spreadsheetml.table+xml"/>
  <Override PartName="/xl/tables/table340.xml" ContentType="application/vnd.openxmlformats-officedocument.spreadsheetml.table+xml"/>
  <Override PartName="/xl/tables/table341.xml" ContentType="application/vnd.openxmlformats-officedocument.spreadsheetml.table+xml"/>
  <Override PartName="/xl/tables/table342.xml" ContentType="application/vnd.openxmlformats-officedocument.spreadsheetml.table+xml"/>
  <Override PartName="/xl/tables/table343.xml" ContentType="application/vnd.openxmlformats-officedocument.spreadsheetml.table+xml"/>
  <Override PartName="/xl/tables/table344.xml" ContentType="application/vnd.openxmlformats-officedocument.spreadsheetml.table+xml"/>
  <Override PartName="/xl/comments8.xml" ContentType="application/vnd.openxmlformats-officedocument.spreadsheetml.comments+xml"/>
  <Override PartName="/xl/tables/table345.xml" ContentType="application/vnd.openxmlformats-officedocument.spreadsheetml.table+xml"/>
  <Override PartName="/xl/tables/table346.xml" ContentType="application/vnd.openxmlformats-officedocument.spreadsheetml.table+xml"/>
  <Override PartName="/xl/tables/table347.xml" ContentType="application/vnd.openxmlformats-officedocument.spreadsheetml.table+xml"/>
  <Override PartName="/xl/tables/table348.xml" ContentType="application/vnd.openxmlformats-officedocument.spreadsheetml.table+xml"/>
  <Override PartName="/xl/tables/table349.xml" ContentType="application/vnd.openxmlformats-officedocument.spreadsheetml.table+xml"/>
  <Override PartName="/xl/tables/table350.xml" ContentType="application/vnd.openxmlformats-officedocument.spreadsheetml.table+xml"/>
  <Override PartName="/xl/tables/table351.xml" ContentType="application/vnd.openxmlformats-officedocument.spreadsheetml.table+xml"/>
  <Override PartName="/xl/tables/table352.xml" ContentType="application/vnd.openxmlformats-officedocument.spreadsheetml.table+xml"/>
  <Override PartName="/xl/tables/table353.xml" ContentType="application/vnd.openxmlformats-officedocument.spreadsheetml.table+xml"/>
  <Override PartName="/xl/tables/table354.xml" ContentType="application/vnd.openxmlformats-officedocument.spreadsheetml.table+xml"/>
  <Override PartName="/xl/tables/table355.xml" ContentType="application/vnd.openxmlformats-officedocument.spreadsheetml.table+xml"/>
  <Override PartName="/xl/tables/table356.xml" ContentType="application/vnd.openxmlformats-officedocument.spreadsheetml.table+xml"/>
  <Override PartName="/xl/tables/table357.xml" ContentType="application/vnd.openxmlformats-officedocument.spreadsheetml.table+xml"/>
  <Override PartName="/xl/tables/table358.xml" ContentType="application/vnd.openxmlformats-officedocument.spreadsheetml.table+xml"/>
  <Override PartName="/xl/tables/table359.xml" ContentType="application/vnd.openxmlformats-officedocument.spreadsheetml.table+xml"/>
  <Override PartName="/xl/tables/table360.xml" ContentType="application/vnd.openxmlformats-officedocument.spreadsheetml.table+xml"/>
  <Override PartName="/xl/tables/table361.xml" ContentType="application/vnd.openxmlformats-officedocument.spreadsheetml.table+xml"/>
  <Override PartName="/xl/tables/table362.xml" ContentType="application/vnd.openxmlformats-officedocument.spreadsheetml.table+xml"/>
  <Override PartName="/xl/tables/table363.xml" ContentType="application/vnd.openxmlformats-officedocument.spreadsheetml.table+xml"/>
  <Override PartName="/xl/tables/table364.xml" ContentType="application/vnd.openxmlformats-officedocument.spreadsheetml.table+xml"/>
  <Override PartName="/xl/tables/table365.xml" ContentType="application/vnd.openxmlformats-officedocument.spreadsheetml.table+xml"/>
  <Override PartName="/xl/tables/table366.xml" ContentType="application/vnd.openxmlformats-officedocument.spreadsheetml.table+xml"/>
  <Override PartName="/xl/tables/table367.xml" ContentType="application/vnd.openxmlformats-officedocument.spreadsheetml.table+xml"/>
  <Override PartName="/xl/tables/table368.xml" ContentType="application/vnd.openxmlformats-officedocument.spreadsheetml.table+xml"/>
  <Override PartName="/xl/tables/table369.xml" ContentType="application/vnd.openxmlformats-officedocument.spreadsheetml.table+xml"/>
  <Override PartName="/xl/tables/table370.xml" ContentType="application/vnd.openxmlformats-officedocument.spreadsheetml.table+xml"/>
  <Override PartName="/xl/tables/table371.xml" ContentType="application/vnd.openxmlformats-officedocument.spreadsheetml.table+xml"/>
  <Override PartName="/xl/tables/table372.xml" ContentType="application/vnd.openxmlformats-officedocument.spreadsheetml.table+xml"/>
  <Override PartName="/xl/tables/table373.xml" ContentType="application/vnd.openxmlformats-officedocument.spreadsheetml.table+xml"/>
  <Override PartName="/xl/tables/table374.xml" ContentType="application/vnd.openxmlformats-officedocument.spreadsheetml.table+xml"/>
  <Override PartName="/xl/tables/table375.xml" ContentType="application/vnd.openxmlformats-officedocument.spreadsheetml.table+xml"/>
  <Override PartName="/xl/tables/table376.xml" ContentType="application/vnd.openxmlformats-officedocument.spreadsheetml.table+xml"/>
  <Override PartName="/xl/tables/table377.xml" ContentType="application/vnd.openxmlformats-officedocument.spreadsheetml.table+xml"/>
  <Override PartName="/xl/tables/table378.xml" ContentType="application/vnd.openxmlformats-officedocument.spreadsheetml.table+xml"/>
  <Override PartName="/xl/tables/table379.xml" ContentType="application/vnd.openxmlformats-officedocument.spreadsheetml.table+xml"/>
  <Override PartName="/xl/tables/table380.xml" ContentType="application/vnd.openxmlformats-officedocument.spreadsheetml.table+xml"/>
  <Override PartName="/xl/tables/table381.xml" ContentType="application/vnd.openxmlformats-officedocument.spreadsheetml.table+xml"/>
  <Override PartName="/xl/tables/table382.xml" ContentType="application/vnd.openxmlformats-officedocument.spreadsheetml.table+xml"/>
  <Override PartName="/xl/tables/table383.xml" ContentType="application/vnd.openxmlformats-officedocument.spreadsheetml.table+xml"/>
  <Override PartName="/xl/tables/table384.xml" ContentType="application/vnd.openxmlformats-officedocument.spreadsheetml.table+xml"/>
  <Override PartName="/xl/tables/table385.xml" ContentType="application/vnd.openxmlformats-officedocument.spreadsheetml.table+xml"/>
  <Override PartName="/xl/tables/table386.xml" ContentType="application/vnd.openxmlformats-officedocument.spreadsheetml.table+xml"/>
  <Override PartName="/xl/tables/table387.xml" ContentType="application/vnd.openxmlformats-officedocument.spreadsheetml.table+xml"/>
  <Override PartName="/xl/tables/table388.xml" ContentType="application/vnd.openxmlformats-officedocument.spreadsheetml.table+xml"/>
  <Override PartName="/xl/comments9.xml" ContentType="application/vnd.openxmlformats-officedocument.spreadsheetml.comments+xml"/>
  <Override PartName="/xl/tables/table389.xml" ContentType="application/vnd.openxmlformats-officedocument.spreadsheetml.table+xml"/>
  <Override PartName="/xl/tables/table390.xml" ContentType="application/vnd.openxmlformats-officedocument.spreadsheetml.table+xml"/>
  <Override PartName="/xl/tables/table391.xml" ContentType="application/vnd.openxmlformats-officedocument.spreadsheetml.table+xml"/>
  <Override PartName="/xl/tables/table392.xml" ContentType="application/vnd.openxmlformats-officedocument.spreadsheetml.table+xml"/>
  <Override PartName="/xl/tables/table393.xml" ContentType="application/vnd.openxmlformats-officedocument.spreadsheetml.table+xml"/>
  <Override PartName="/xl/tables/table394.xml" ContentType="application/vnd.openxmlformats-officedocument.spreadsheetml.table+xml"/>
  <Override PartName="/xl/tables/table395.xml" ContentType="application/vnd.openxmlformats-officedocument.spreadsheetml.table+xml"/>
  <Override PartName="/xl/tables/table396.xml" ContentType="application/vnd.openxmlformats-officedocument.spreadsheetml.table+xml"/>
  <Override PartName="/xl/tables/table397.xml" ContentType="application/vnd.openxmlformats-officedocument.spreadsheetml.table+xml"/>
  <Override PartName="/xl/tables/table398.xml" ContentType="application/vnd.openxmlformats-officedocument.spreadsheetml.table+xml"/>
  <Override PartName="/xl/tables/table399.xml" ContentType="application/vnd.openxmlformats-officedocument.spreadsheetml.table+xml"/>
  <Override PartName="/xl/tables/table400.xml" ContentType="application/vnd.openxmlformats-officedocument.spreadsheetml.table+xml"/>
  <Override PartName="/xl/comments10.xml" ContentType="application/vnd.openxmlformats-officedocument.spreadsheetml.comments+xml"/>
  <Override PartName="/xl/tables/table401.xml" ContentType="application/vnd.openxmlformats-officedocument.spreadsheetml.table+xml"/>
  <Override PartName="/xl/comments1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isSanCristobal\forms\BackendForm\BackendForm\src\templates\"/>
    </mc:Choice>
  </mc:AlternateContent>
  <xr:revisionPtr revIDLastSave="0" documentId="13_ncr:1_{A8642D0D-1263-4338-BB62-AE8580A46D02}" xr6:coauthVersionLast="47" xr6:coauthVersionMax="47" xr10:uidLastSave="{00000000-0000-0000-0000-000000000000}"/>
  <bookViews>
    <workbookView xWindow="-108" yWindow="-108" windowWidth="23256" windowHeight="12456" tabRatio="695" firstSheet="2" activeTab="7" xr2:uid="{C764485B-0BF5-49E7-BF9F-6F212C67D54E}"/>
  </bookViews>
  <sheets>
    <sheet name="Esmeril de banco" sheetId="10" r:id="rId1"/>
    <sheet name="Vehiculos" sheetId="8" r:id="rId2"/>
    <sheet name="Taldro de banco" sheetId="9" r:id="rId3"/>
    <sheet name="ArnesAuConAncl" sheetId="12" r:id="rId4"/>
    <sheet name="TALADRO" sheetId="11" r:id="rId5"/>
    <sheet name="EquiposSoldar" sheetId="7" r:id="rId6"/>
    <sheet name="Cilindros" sheetId="6" r:id="rId7"/>
    <sheet name="Amoladora" sheetId="5" r:id="rId8"/>
    <sheet name="Escalera" sheetId="3" r:id="rId9"/>
    <sheet name="Hoja1" sheetId="1" r:id="rId10"/>
    <sheet name="Hoja2" sheetId="2" r:id="rId11"/>
    <sheet name="Hoja3" sheetId="4" r:id="rId12"/>
  </sheets>
  <externalReferences>
    <externalReference r:id="rId13"/>
  </externalReferences>
  <definedNames>
    <definedName name="_xlnm._FilterDatabase" localSheetId="7" hidden="1">Amoladora!$B$1:$U$1</definedName>
    <definedName name="_xlnm._FilterDatabase" localSheetId="3" hidden="1">ArnesAuConAncl!$B$1:$S$1</definedName>
    <definedName name="_xlnm._FilterDatabase" localSheetId="6" hidden="1">Cilindros!$B$1:$P$1</definedName>
    <definedName name="_xlnm._FilterDatabase" localSheetId="5" hidden="1">EquiposSoldar!$B$1:$R$1</definedName>
    <definedName name="_xlnm._FilterDatabase" localSheetId="8" hidden="1">Escalera!$B$1:$S$1</definedName>
    <definedName name="_xlnm._FilterDatabase" localSheetId="0" hidden="1">'Esmeril de banco'!$B$1:$T$1</definedName>
    <definedName name="_xlnm._FilterDatabase" localSheetId="4" hidden="1">TALADRO!$B$1:$S$1</definedName>
    <definedName name="_xlnm._FilterDatabase" localSheetId="2" hidden="1">'Taldro de banco'!$B$1:$T$1</definedName>
    <definedName name="_xlnm._FilterDatabase" localSheetId="1" hidden="1">Vehiculos!$B$1:$R$1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5" i="8" l="1" a="1"/>
  <c r="E35" i="8" s="1"/>
  <c r="E36" i="8" a="1"/>
  <c r="E36" i="8" s="1"/>
  <c r="E37" i="8" a="1"/>
  <c r="E37" i="8" s="1"/>
  <c r="E38" i="8" a="1"/>
  <c r="E38" i="8" s="1"/>
  <c r="E39" i="8" a="1"/>
  <c r="E39" i="8" s="1"/>
  <c r="E40" i="8" a="1"/>
  <c r="E40" i="8" s="1"/>
  <c r="H2" i="12"/>
  <c r="H3" i="12"/>
  <c r="H4" i="12"/>
  <c r="H5" i="12"/>
  <c r="H6" i="12"/>
  <c r="H7" i="12"/>
  <c r="H9" i="12"/>
  <c r="H10" i="12"/>
  <c r="H11" i="12"/>
  <c r="H12" i="12"/>
  <c r="H13" i="12"/>
  <c r="H14" i="12"/>
  <c r="H15" i="12"/>
  <c r="H17" i="12"/>
  <c r="H18" i="12"/>
  <c r="H19" i="12"/>
  <c r="H20" i="12"/>
  <c r="H22" i="12"/>
  <c r="H23" i="12"/>
  <c r="H24" i="12"/>
  <c r="H26" i="12"/>
  <c r="H27" i="12"/>
  <c r="H29" i="12"/>
  <c r="H30" i="12"/>
  <c r="H31" i="12"/>
  <c r="H32" i="12"/>
  <c r="H33" i="12"/>
  <c r="H34" i="12"/>
  <c r="H35" i="12"/>
  <c r="H36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1" i="12"/>
  <c r="H252" i="12"/>
  <c r="H254" i="12"/>
  <c r="H255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6" i="12"/>
  <c r="H277" i="12"/>
  <c r="H278" i="12"/>
  <c r="H279" i="12"/>
  <c r="H280" i="12"/>
  <c r="H281" i="12"/>
  <c r="H282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H302" i="12"/>
  <c r="H303" i="12"/>
  <c r="H306" i="12"/>
  <c r="H308" i="12"/>
  <c r="H309" i="12"/>
  <c r="H310" i="12"/>
  <c r="H311" i="12"/>
  <c r="H312" i="12"/>
  <c r="H313" i="12"/>
  <c r="H314" i="12"/>
  <c r="H315" i="12"/>
  <c r="H316" i="12"/>
  <c r="H317" i="12"/>
  <c r="H318" i="12"/>
  <c r="H319" i="12"/>
  <c r="H322" i="12"/>
  <c r="H323" i="12"/>
  <c r="H324" i="12"/>
  <c r="H325" i="12"/>
  <c r="H328" i="12"/>
  <c r="H329" i="12"/>
  <c r="H330" i="12"/>
  <c r="H331" i="12"/>
  <c r="H332" i="12"/>
  <c r="H333" i="12"/>
  <c r="H336" i="12"/>
  <c r="H337" i="12"/>
  <c r="H338" i="12"/>
  <c r="H340" i="12"/>
  <c r="H341" i="12"/>
  <c r="H342" i="12"/>
  <c r="H344" i="12"/>
  <c r="H345" i="12"/>
  <c r="H346" i="12"/>
  <c r="H348" i="12"/>
  <c r="H349" i="12"/>
  <c r="H350" i="12"/>
  <c r="H351" i="12"/>
  <c r="H352" i="12"/>
  <c r="H353" i="12"/>
  <c r="H354" i="12"/>
  <c r="H355" i="12"/>
  <c r="H356" i="12"/>
  <c r="H358" i="12"/>
  <c r="H359" i="12"/>
  <c r="H360" i="12"/>
  <c r="H361" i="12"/>
  <c r="H362" i="12"/>
  <c r="H363" i="12"/>
  <c r="H365" i="12"/>
  <c r="H366" i="12"/>
  <c r="H367" i="12"/>
  <c r="H368" i="12"/>
  <c r="H369" i="12"/>
  <c r="H370" i="12"/>
  <c r="H371" i="12"/>
  <c r="H372" i="12"/>
  <c r="H373" i="12"/>
  <c r="H374" i="12"/>
  <c r="H376" i="12"/>
  <c r="H377" i="12"/>
  <c r="H378" i="12"/>
  <c r="H380" i="12"/>
  <c r="H381" i="12"/>
  <c r="H382" i="12"/>
  <c r="H383" i="12"/>
  <c r="H384" i="12"/>
  <c r="H385" i="12"/>
  <c r="H386" i="12"/>
  <c r="H387" i="12"/>
  <c r="H388" i="12"/>
  <c r="H389" i="12"/>
  <c r="H391" i="12"/>
  <c r="H392" i="12"/>
  <c r="H393" i="12"/>
  <c r="H394" i="12"/>
  <c r="H396" i="12"/>
  <c r="H397" i="12"/>
  <c r="H398" i="12"/>
  <c r="H400" i="12"/>
  <c r="H401" i="12"/>
  <c r="H402" i="12"/>
  <c r="H403" i="12"/>
  <c r="H404" i="12"/>
  <c r="H406" i="12"/>
  <c r="H407" i="12"/>
  <c r="H408" i="12"/>
  <c r="H409" i="12"/>
  <c r="H410" i="12"/>
  <c r="H411" i="12"/>
  <c r="H412" i="12"/>
  <c r="H413" i="12"/>
  <c r="H415" i="12"/>
  <c r="H416" i="12"/>
  <c r="H417" i="12"/>
  <c r="H418" i="12"/>
  <c r="H419" i="12"/>
  <c r="H420" i="12"/>
  <c r="H421" i="12"/>
  <c r="H422" i="12"/>
  <c r="H423" i="12"/>
  <c r="H424" i="12"/>
  <c r="H425" i="12"/>
  <c r="H426" i="12"/>
  <c r="H427" i="12"/>
  <c r="H428" i="12"/>
  <c r="H429" i="12"/>
  <c r="H431" i="12"/>
  <c r="H432" i="12"/>
  <c r="H433" i="12"/>
  <c r="H435" i="12"/>
  <c r="H438" i="12"/>
  <c r="H439" i="12"/>
  <c r="H440" i="12"/>
  <c r="H441" i="12"/>
  <c r="H442" i="12"/>
  <c r="H443" i="12"/>
  <c r="H444" i="12"/>
  <c r="H445" i="12"/>
  <c r="H446" i="12"/>
  <c r="H447" i="12"/>
  <c r="H448" i="12"/>
  <c r="H449" i="12"/>
  <c r="H450" i="12"/>
  <c r="H451" i="12"/>
  <c r="H452" i="12"/>
  <c r="H453" i="12"/>
  <c r="H454" i="12"/>
  <c r="H455" i="12"/>
  <c r="H456" i="12"/>
  <c r="H457" i="12"/>
  <c r="H458" i="12"/>
  <c r="H459" i="12"/>
  <c r="H460" i="12"/>
  <c r="H461" i="12"/>
  <c r="H462" i="12"/>
  <c r="H463" i="12"/>
  <c r="H464" i="12"/>
  <c r="H465" i="12"/>
  <c r="H467" i="12"/>
  <c r="H469" i="12"/>
  <c r="H470" i="12"/>
  <c r="H471" i="12"/>
  <c r="H472" i="12"/>
  <c r="H473" i="12"/>
  <c r="H474" i="12"/>
  <c r="H475" i="12"/>
  <c r="H477" i="12"/>
  <c r="H478" i="12"/>
  <c r="H479" i="12"/>
  <c r="H480" i="12"/>
  <c r="H481" i="12"/>
  <c r="H482" i="12"/>
  <c r="H483" i="12"/>
  <c r="H486" i="12"/>
  <c r="H488" i="12"/>
  <c r="H490" i="12"/>
  <c r="H491" i="12"/>
  <c r="H492" i="12"/>
  <c r="H493" i="12"/>
  <c r="H494" i="12"/>
  <c r="H495" i="12"/>
  <c r="H496" i="12"/>
  <c r="H498" i="12"/>
  <c r="H500" i="12"/>
  <c r="H501" i="12"/>
  <c r="H502" i="12"/>
  <c r="H503" i="12"/>
  <c r="H504" i="12"/>
  <c r="H505" i="12"/>
  <c r="H506" i="12"/>
  <c r="H507" i="12"/>
  <c r="H508" i="12"/>
  <c r="H509" i="12"/>
  <c r="H510" i="12"/>
  <c r="H511" i="12"/>
  <c r="H512" i="12"/>
  <c r="H513" i="12"/>
  <c r="H514" i="12"/>
  <c r="H515" i="12"/>
  <c r="H516" i="12"/>
  <c r="H517" i="12"/>
  <c r="H518" i="12"/>
  <c r="H519" i="12"/>
  <c r="H520" i="12"/>
  <c r="H521" i="12"/>
  <c r="H522" i="12"/>
  <c r="H523" i="12"/>
  <c r="H524" i="12"/>
  <c r="H525" i="12"/>
  <c r="H526" i="12"/>
  <c r="H527" i="12"/>
  <c r="H528" i="12"/>
  <c r="H529" i="12"/>
  <c r="H530" i="12"/>
  <c r="H531" i="12"/>
  <c r="H532" i="12"/>
  <c r="H533" i="12"/>
  <c r="H534" i="12"/>
  <c r="H535" i="12"/>
  <c r="H536" i="12"/>
  <c r="H537" i="12"/>
  <c r="H538" i="12"/>
  <c r="H539" i="12"/>
  <c r="H540" i="12"/>
  <c r="H541" i="12"/>
  <c r="H542" i="12"/>
  <c r="H543" i="12"/>
  <c r="H544" i="12"/>
  <c r="H545" i="12"/>
  <c r="H546" i="12"/>
  <c r="H547" i="12"/>
  <c r="H548" i="12"/>
  <c r="H549" i="12"/>
  <c r="H550" i="12"/>
  <c r="H551" i="12"/>
  <c r="H552" i="12"/>
  <c r="H553" i="12"/>
  <c r="H554" i="12"/>
  <c r="H555" i="12"/>
  <c r="H556" i="12"/>
  <c r="H557" i="12"/>
  <c r="H558" i="12"/>
  <c r="H559" i="12"/>
  <c r="H560" i="12"/>
  <c r="H561" i="12"/>
  <c r="H562" i="12"/>
  <c r="H563" i="12"/>
  <c r="H564" i="12"/>
  <c r="H565" i="12"/>
  <c r="H566" i="12"/>
  <c r="H567" i="12"/>
  <c r="H568" i="12"/>
  <c r="H569" i="12"/>
  <c r="H570" i="12"/>
  <c r="H571" i="12"/>
  <c r="H572" i="12"/>
  <c r="H573" i="12"/>
  <c r="H574" i="12"/>
  <c r="H575" i="12"/>
  <c r="H576" i="12"/>
  <c r="H577" i="12"/>
  <c r="H578" i="12"/>
  <c r="H579" i="12"/>
  <c r="H580" i="12"/>
  <c r="H582" i="12"/>
  <c r="H583" i="12"/>
  <c r="H584" i="12"/>
  <c r="H585" i="12"/>
  <c r="H592" i="12"/>
  <c r="H593" i="12"/>
  <c r="H594" i="12"/>
  <c r="H595" i="12"/>
  <c r="H596" i="12"/>
  <c r="H597" i="12"/>
  <c r="H598" i="12"/>
  <c r="H599" i="12"/>
  <c r="H600" i="12"/>
  <c r="H601" i="12"/>
  <c r="H602" i="12"/>
  <c r="H603" i="12"/>
  <c r="H604" i="12"/>
  <c r="H605" i="12"/>
  <c r="H606" i="12"/>
  <c r="H607" i="12"/>
  <c r="H608" i="12"/>
  <c r="H609" i="12"/>
  <c r="H610" i="12"/>
  <c r="H611" i="12"/>
  <c r="H612" i="12"/>
  <c r="H613" i="12"/>
  <c r="H614" i="12"/>
  <c r="H615" i="12"/>
  <c r="H616" i="12"/>
  <c r="H617" i="12"/>
  <c r="H618" i="12"/>
  <c r="H619" i="12"/>
  <c r="H621" i="12"/>
  <c r="H622" i="12"/>
  <c r="H623" i="12"/>
  <c r="H624" i="12"/>
  <c r="H625" i="12"/>
  <c r="H626" i="12"/>
  <c r="H629" i="12"/>
  <c r="H630" i="12"/>
  <c r="H631" i="12"/>
  <c r="H632" i="12"/>
  <c r="H633" i="12"/>
  <c r="H634" i="12"/>
  <c r="H635" i="12"/>
  <c r="H637" i="12"/>
  <c r="H638" i="12"/>
  <c r="H639" i="12"/>
  <c r="H640" i="12"/>
  <c r="H642" i="12"/>
  <c r="H643" i="12"/>
  <c r="H644" i="12"/>
  <c r="H646" i="12"/>
  <c r="H647" i="12"/>
  <c r="H648" i="12"/>
  <c r="H649" i="12"/>
  <c r="H650" i="12"/>
  <c r="H651" i="12"/>
  <c r="H652" i="12"/>
  <c r="H653" i="12"/>
  <c r="H654" i="12"/>
  <c r="H655" i="12"/>
  <c r="H656" i="12"/>
  <c r="H657" i="12"/>
  <c r="H658" i="12"/>
  <c r="H659" i="12"/>
  <c r="H660" i="12"/>
  <c r="H661" i="12"/>
  <c r="H662" i="12"/>
  <c r="H663" i="12"/>
  <c r="H664" i="12"/>
  <c r="H665" i="12"/>
  <c r="H666" i="12"/>
  <c r="H667" i="12"/>
  <c r="H668" i="12"/>
  <c r="H669" i="12"/>
  <c r="H670" i="12"/>
  <c r="H671" i="12"/>
  <c r="H672" i="12"/>
  <c r="H673" i="12"/>
  <c r="H674" i="12"/>
  <c r="H678" i="12"/>
  <c r="H679" i="12"/>
  <c r="H680" i="12"/>
  <c r="H681" i="12"/>
  <c r="H684" i="12"/>
  <c r="H685" i="12"/>
  <c r="H686" i="12"/>
  <c r="H687" i="12"/>
  <c r="H688" i="12"/>
  <c r="H689" i="12"/>
  <c r="H690" i="12"/>
  <c r="H691" i="12"/>
  <c r="H692" i="12"/>
  <c r="H693" i="12"/>
  <c r="H694" i="12"/>
  <c r="H695" i="12"/>
  <c r="H696" i="12"/>
  <c r="H697" i="12"/>
  <c r="H698" i="12"/>
  <c r="H699" i="12"/>
  <c r="H700" i="12"/>
  <c r="H701" i="12"/>
  <c r="H702" i="12"/>
  <c r="H703" i="12"/>
  <c r="H704" i="12"/>
  <c r="H705" i="12"/>
  <c r="H706" i="12"/>
  <c r="H707" i="12"/>
  <c r="H710" i="12"/>
  <c r="H711" i="12"/>
  <c r="H712" i="12"/>
  <c r="H713" i="12"/>
  <c r="H714" i="12"/>
  <c r="H715" i="12"/>
  <c r="H716" i="12"/>
  <c r="H717" i="12"/>
  <c r="H718" i="12"/>
  <c r="H719" i="12"/>
  <c r="H720" i="12"/>
  <c r="H721" i="12"/>
  <c r="H722" i="12"/>
  <c r="H723" i="12"/>
  <c r="H724" i="12"/>
  <c r="H725" i="12"/>
  <c r="H726" i="12"/>
  <c r="H727" i="12"/>
  <c r="H728" i="12"/>
  <c r="H729" i="12"/>
  <c r="H730" i="12"/>
  <c r="H731" i="12"/>
  <c r="H732" i="12"/>
  <c r="H733" i="12"/>
  <c r="H734" i="12"/>
  <c r="H735" i="12"/>
  <c r="H736" i="12"/>
  <c r="H737" i="12"/>
  <c r="H738" i="12"/>
  <c r="H739" i="12"/>
  <c r="H740" i="12"/>
  <c r="H741" i="12"/>
  <c r="H742" i="12"/>
  <c r="H743" i="12"/>
  <c r="H744" i="12"/>
  <c r="H745" i="12"/>
  <c r="H746" i="12"/>
  <c r="H747" i="12"/>
  <c r="H748" i="12"/>
  <c r="H749" i="12"/>
  <c r="H750" i="12"/>
  <c r="H751" i="12"/>
  <c r="H752" i="12"/>
  <c r="H753" i="12"/>
  <c r="H754" i="12"/>
  <c r="H755" i="12"/>
  <c r="H756" i="12"/>
  <c r="H757" i="12"/>
  <c r="H758" i="12"/>
  <c r="H759" i="12"/>
  <c r="H760" i="12"/>
  <c r="H761" i="12"/>
  <c r="H762" i="12"/>
  <c r="H763" i="12"/>
  <c r="H764" i="12"/>
  <c r="H765" i="12"/>
  <c r="H767" i="12"/>
  <c r="H768" i="12"/>
  <c r="H769" i="12"/>
  <c r="H770" i="12"/>
  <c r="H771" i="12"/>
  <c r="H772" i="12"/>
  <c r="H773" i="12"/>
  <c r="H774" i="12"/>
  <c r="H775" i="12"/>
  <c r="H776" i="12"/>
  <c r="H777" i="12"/>
  <c r="H778" i="12"/>
  <c r="H779" i="12"/>
  <c r="H780" i="12"/>
  <c r="H781" i="12"/>
  <c r="H782" i="12"/>
  <c r="H783" i="12"/>
  <c r="H784" i="12"/>
  <c r="H786" i="12"/>
  <c r="H787" i="12"/>
  <c r="H788" i="12"/>
  <c r="H789" i="12"/>
  <c r="H790" i="12"/>
  <c r="H791" i="12"/>
  <c r="H792" i="12"/>
  <c r="H793" i="12"/>
  <c r="H794" i="12"/>
  <c r="H795" i="12"/>
  <c r="H796" i="12"/>
  <c r="H797" i="12"/>
  <c r="H798" i="12"/>
  <c r="H799" i="12"/>
  <c r="H800" i="12"/>
  <c r="H801" i="12"/>
  <c r="H802" i="12"/>
  <c r="H803" i="12"/>
  <c r="H804" i="12"/>
  <c r="H805" i="12"/>
  <c r="H806" i="12"/>
  <c r="H807" i="12"/>
  <c r="H808" i="12"/>
  <c r="H809" i="12"/>
  <c r="H810" i="12"/>
  <c r="H811" i="12"/>
  <c r="H812" i="12"/>
  <c r="H813" i="12"/>
  <c r="H814" i="12"/>
  <c r="H815" i="12"/>
  <c r="H816" i="12"/>
  <c r="H817" i="12"/>
  <c r="H818" i="12"/>
  <c r="H819" i="12"/>
  <c r="H820" i="12"/>
  <c r="H821" i="12"/>
  <c r="H822" i="12"/>
  <c r="H823" i="12"/>
  <c r="H824" i="12"/>
  <c r="H825" i="12"/>
  <c r="H826" i="12"/>
  <c r="H827" i="12"/>
  <c r="H828" i="12"/>
  <c r="H829" i="12"/>
  <c r="H830" i="12"/>
  <c r="H831" i="12"/>
  <c r="H832" i="12"/>
  <c r="H833" i="12"/>
  <c r="H834" i="12"/>
  <c r="H835" i="12"/>
  <c r="H836" i="12"/>
  <c r="H837" i="12"/>
  <c r="H838" i="12"/>
  <c r="H839" i="12"/>
  <c r="H840" i="12"/>
  <c r="H842" i="12"/>
  <c r="H843" i="12"/>
  <c r="H844" i="12"/>
  <c r="H845" i="12"/>
  <c r="H846" i="12"/>
  <c r="H847" i="12"/>
  <c r="H848" i="12"/>
  <c r="H849" i="12"/>
  <c r="H850" i="12"/>
  <c r="H851" i="12"/>
  <c r="H852" i="12"/>
  <c r="H853" i="12"/>
  <c r="H856" i="12"/>
  <c r="H857" i="12"/>
  <c r="H858" i="12"/>
  <c r="H859" i="12"/>
  <c r="H860" i="12"/>
  <c r="H861" i="12"/>
  <c r="H863" i="12"/>
  <c r="H864" i="12"/>
  <c r="H865" i="12"/>
  <c r="H867" i="12"/>
  <c r="H869" i="12"/>
  <c r="H870" i="12"/>
  <c r="H871" i="12"/>
  <c r="H872" i="12"/>
  <c r="H873" i="12"/>
  <c r="H874" i="12"/>
  <c r="H875" i="12"/>
  <c r="H877" i="12"/>
  <c r="H878" i="12"/>
  <c r="H879" i="12"/>
  <c r="H880" i="12"/>
  <c r="H881" i="12"/>
  <c r="H882" i="12"/>
  <c r="H883" i="12"/>
  <c r="H884" i="12"/>
  <c r="H885" i="12"/>
  <c r="H886" i="12"/>
  <c r="H887" i="12"/>
  <c r="H888" i="12"/>
  <c r="H889" i="12"/>
  <c r="H890" i="12"/>
  <c r="H891" i="12"/>
  <c r="H892" i="12"/>
  <c r="H893" i="12"/>
  <c r="H894" i="12"/>
  <c r="H895" i="12"/>
  <c r="H896" i="12"/>
  <c r="H897" i="12"/>
  <c r="H898" i="12"/>
  <c r="H899" i="12"/>
  <c r="H900" i="12"/>
  <c r="H901" i="12"/>
  <c r="H902" i="12"/>
  <c r="H903" i="12"/>
  <c r="H904" i="12"/>
  <c r="H905" i="12"/>
  <c r="H906" i="12"/>
  <c r="H907" i="12"/>
  <c r="H908" i="12"/>
  <c r="H910" i="12"/>
  <c r="H911" i="12"/>
  <c r="H913" i="12"/>
  <c r="H914" i="12"/>
  <c r="H915" i="12"/>
  <c r="H917" i="12"/>
  <c r="H918" i="12"/>
  <c r="H919" i="12"/>
  <c r="H920" i="12"/>
  <c r="H921" i="12"/>
  <c r="H922" i="12"/>
  <c r="H923" i="12"/>
  <c r="H924" i="12"/>
  <c r="H925" i="12"/>
  <c r="H926" i="12"/>
  <c r="H927" i="12"/>
  <c r="H928" i="12"/>
  <c r="H929" i="12"/>
  <c r="H930" i="12"/>
  <c r="H931" i="12"/>
  <c r="H932" i="12"/>
  <c r="H933" i="12"/>
  <c r="H934" i="12"/>
  <c r="H935" i="12"/>
  <c r="H936" i="12"/>
  <c r="H937" i="12"/>
  <c r="H938" i="12"/>
  <c r="H939" i="12"/>
  <c r="H940" i="12"/>
  <c r="H941" i="12"/>
  <c r="H943" i="12"/>
  <c r="H946" i="12"/>
  <c r="H947" i="12"/>
  <c r="H948" i="12"/>
  <c r="H949" i="12"/>
  <c r="H950" i="12"/>
  <c r="H951" i="12"/>
  <c r="H952" i="12"/>
  <c r="H953" i="12"/>
  <c r="H954" i="12"/>
  <c r="H955" i="12"/>
  <c r="H956" i="12"/>
  <c r="H957" i="12"/>
  <c r="H959" i="12"/>
  <c r="H961" i="12"/>
  <c r="H963" i="12"/>
  <c r="H964" i="12"/>
  <c r="H965" i="12"/>
  <c r="H967" i="12"/>
  <c r="H968" i="12"/>
  <c r="H969" i="12"/>
  <c r="H972" i="12"/>
  <c r="H974" i="12"/>
  <c r="H975" i="12"/>
  <c r="H976" i="12"/>
  <c r="H977" i="12"/>
  <c r="H978" i="12"/>
  <c r="H979" i="12"/>
  <c r="H980" i="12"/>
  <c r="H981" i="12"/>
  <c r="H982" i="12"/>
  <c r="H983" i="12"/>
  <c r="H984" i="12"/>
  <c r="H985" i="12"/>
  <c r="H986" i="12"/>
  <c r="H987" i="12"/>
  <c r="H988" i="12"/>
  <c r="H989" i="12"/>
  <c r="H990" i="12"/>
  <c r="H991" i="12"/>
  <c r="H992" i="12"/>
  <c r="H993" i="12"/>
  <c r="H994" i="12"/>
  <c r="H995" i="12"/>
  <c r="H996" i="12"/>
  <c r="H997" i="12"/>
  <c r="H998" i="12"/>
  <c r="H999" i="12"/>
  <c r="H1000" i="12"/>
  <c r="H1001" i="12"/>
  <c r="H1002" i="12"/>
  <c r="H1004" i="12"/>
  <c r="H1005" i="12"/>
  <c r="H1007" i="12"/>
  <c r="H1008" i="12"/>
  <c r="H1009" i="12"/>
  <c r="H1010" i="12"/>
  <c r="H1013" i="12"/>
  <c r="H1015" i="12"/>
  <c r="H1016" i="12"/>
  <c r="H1017" i="12"/>
  <c r="H1018" i="12"/>
  <c r="H1019" i="12"/>
  <c r="H1021" i="12"/>
  <c r="H1022" i="12"/>
  <c r="H1023" i="12"/>
  <c r="H1024" i="12"/>
  <c r="H1025" i="12"/>
  <c r="H1027" i="12"/>
  <c r="H1028" i="12"/>
  <c r="H1030" i="12"/>
  <c r="H1032" i="12"/>
  <c r="H1033" i="12"/>
  <c r="H1034" i="12"/>
  <c r="H1036" i="12"/>
  <c r="H1038" i="12"/>
  <c r="H1043" i="12"/>
  <c r="H1044" i="12"/>
  <c r="H1045" i="12"/>
  <c r="H1046" i="12"/>
  <c r="H1047" i="12"/>
  <c r="H1056" i="12"/>
  <c r="H1057" i="12"/>
  <c r="H1058" i="12"/>
  <c r="H1059" i="12"/>
  <c r="H1060" i="12"/>
  <c r="H1061" i="12"/>
  <c r="H1062" i="12"/>
  <c r="H1063" i="12"/>
  <c r="H1065" i="12"/>
  <c r="H1066" i="12"/>
  <c r="H1069" i="12"/>
  <c r="H1070" i="12"/>
  <c r="H1071" i="12"/>
  <c r="H1072" i="12"/>
  <c r="H1073" i="12"/>
  <c r="H1074" i="12"/>
  <c r="H1075" i="12"/>
  <c r="H1076" i="12"/>
  <c r="H1077" i="12"/>
  <c r="H1078" i="12"/>
  <c r="H1079" i="12"/>
  <c r="H1080" i="12"/>
  <c r="H1081" i="12"/>
  <c r="H1082" i="12"/>
  <c r="H1083" i="12"/>
  <c r="H1084" i="12"/>
  <c r="H1085" i="12"/>
  <c r="H1086" i="12"/>
  <c r="H1087" i="12"/>
  <c r="H1088" i="12"/>
  <c r="H1089" i="12"/>
  <c r="H1091" i="12"/>
  <c r="H1092" i="12"/>
  <c r="H1093" i="12"/>
  <c r="H1094" i="12"/>
  <c r="H1095" i="12"/>
  <c r="H1096" i="12"/>
  <c r="H1097" i="12"/>
  <c r="H1098" i="12"/>
  <c r="H1099" i="12"/>
  <c r="H1100" i="12"/>
  <c r="H1101" i="12"/>
  <c r="H1102" i="12"/>
  <c r="H1103" i="12"/>
  <c r="H1106" i="12"/>
  <c r="H1107" i="12"/>
  <c r="H1108" i="12"/>
  <c r="H1109" i="12"/>
  <c r="H1110" i="12"/>
  <c r="H1111" i="12"/>
  <c r="H1112" i="12"/>
  <c r="H1113" i="12"/>
  <c r="H1114" i="12"/>
  <c r="H1116" i="12"/>
  <c r="H1117" i="12"/>
  <c r="H1118" i="12"/>
  <c r="H1119" i="12"/>
  <c r="H1120" i="12"/>
  <c r="H1122" i="12"/>
  <c r="H1123" i="12"/>
  <c r="H1124" i="12"/>
  <c r="H1125" i="12"/>
  <c r="H1126" i="12"/>
  <c r="H1127" i="12"/>
  <c r="H1128" i="12"/>
  <c r="H1129" i="12"/>
  <c r="H1130" i="12"/>
  <c r="H1131" i="12"/>
  <c r="H1132" i="12"/>
  <c r="H1133" i="12"/>
  <c r="H1134" i="12"/>
  <c r="H1135" i="12"/>
  <c r="H1136" i="12"/>
  <c r="H1137" i="12"/>
  <c r="H1138" i="12"/>
  <c r="H1139" i="12"/>
  <c r="H1140" i="12"/>
  <c r="H1141" i="12"/>
  <c r="H1142" i="12"/>
  <c r="H1143" i="12"/>
  <c r="H1144" i="12"/>
  <c r="H1145" i="12"/>
  <c r="H1146" i="12"/>
  <c r="H1147" i="12"/>
  <c r="H1148" i="12"/>
  <c r="H1149" i="12"/>
  <c r="H1150" i="12"/>
  <c r="H1151" i="12"/>
  <c r="H1152" i="12"/>
  <c r="H1153" i="12"/>
  <c r="H1154" i="12"/>
  <c r="H1155" i="12"/>
  <c r="H1156" i="12"/>
  <c r="H1158" i="12"/>
  <c r="H1159" i="12"/>
  <c r="H1160" i="12"/>
  <c r="H1161" i="12"/>
  <c r="H1162" i="12"/>
  <c r="H1163" i="12"/>
  <c r="H1164" i="12"/>
  <c r="H1165" i="12"/>
  <c r="H1166" i="12"/>
  <c r="H1167" i="12"/>
  <c r="H1168" i="12"/>
  <c r="H1169" i="12"/>
  <c r="H1170" i="12"/>
  <c r="H1171" i="12"/>
  <c r="H1172" i="12"/>
  <c r="H1173" i="12"/>
  <c r="H1174" i="12"/>
  <c r="H1175" i="12"/>
  <c r="H1176" i="12"/>
  <c r="H1177" i="12"/>
  <c r="H1178" i="12"/>
  <c r="H1180" i="12"/>
  <c r="H1181" i="12"/>
  <c r="H1182" i="12"/>
  <c r="H1183" i="12"/>
  <c r="H1184" i="12"/>
  <c r="H1185" i="12"/>
  <c r="H1186" i="12"/>
  <c r="H1187" i="12"/>
  <c r="H1188" i="12"/>
  <c r="H1190" i="12"/>
  <c r="H1191" i="12"/>
  <c r="H1193" i="12"/>
  <c r="H1194" i="12"/>
  <c r="H1195" i="12"/>
  <c r="H1196" i="12"/>
  <c r="H1197" i="12"/>
  <c r="H1198" i="12"/>
  <c r="H1199" i="12"/>
  <c r="H1200" i="12"/>
  <c r="H1201" i="12"/>
  <c r="H1202" i="12"/>
  <c r="H1203" i="12"/>
  <c r="H1204" i="12"/>
  <c r="H1205" i="12"/>
  <c r="H1206" i="12"/>
  <c r="H1207" i="12"/>
  <c r="H1209" i="12"/>
  <c r="H1210" i="12"/>
  <c r="H1213" i="12"/>
  <c r="H1214" i="12"/>
  <c r="H1215" i="12"/>
  <c r="H1216" i="12"/>
  <c r="H1217" i="12"/>
  <c r="H1218" i="12"/>
  <c r="H1219" i="12"/>
  <c r="H1220" i="12"/>
  <c r="H1221" i="12"/>
  <c r="H1222" i="12"/>
  <c r="H1223" i="12"/>
  <c r="H1224" i="12"/>
  <c r="H1225" i="12"/>
  <c r="H1226" i="12"/>
  <c r="H1227" i="12"/>
  <c r="H1228" i="12"/>
  <c r="H1229" i="12"/>
  <c r="H1230" i="12"/>
  <c r="H1231" i="12"/>
  <c r="H1232" i="12"/>
  <c r="H1233" i="12"/>
  <c r="H1234" i="12"/>
  <c r="H1235" i="12"/>
  <c r="H1236" i="12"/>
  <c r="H1237" i="12"/>
  <c r="H1238" i="12"/>
  <c r="H1239" i="12"/>
  <c r="H1240" i="12"/>
  <c r="H1241" i="12"/>
  <c r="H1242" i="12"/>
  <c r="H1243" i="12"/>
  <c r="H1244" i="12"/>
  <c r="H1245" i="12"/>
  <c r="H1246" i="12"/>
  <c r="H1247" i="12"/>
  <c r="H1248" i="12"/>
  <c r="H1249" i="12"/>
  <c r="H1250" i="12"/>
  <c r="H1251" i="12"/>
  <c r="H1252" i="12"/>
  <c r="H1253" i="12"/>
  <c r="H1255" i="12"/>
  <c r="H1256" i="12"/>
  <c r="H1257" i="12"/>
  <c r="H1258" i="12"/>
  <c r="H1259" i="12"/>
  <c r="H1260" i="12"/>
  <c r="H1261" i="12"/>
  <c r="H1262" i="12"/>
  <c r="H1263" i="12"/>
  <c r="H1264" i="12"/>
  <c r="H1265" i="12"/>
  <c r="H1266" i="12"/>
  <c r="H1267" i="12"/>
  <c r="H1269" i="12"/>
  <c r="H1270" i="12"/>
  <c r="H1271" i="12"/>
  <c r="H1272" i="12"/>
  <c r="H1273" i="12"/>
  <c r="H1274" i="12"/>
  <c r="H1275" i="12"/>
  <c r="H1276" i="12"/>
  <c r="H1277" i="12"/>
  <c r="H1278" i="12"/>
  <c r="H1279" i="12"/>
  <c r="H1280" i="12"/>
  <c r="H1281" i="12"/>
  <c r="H1282" i="12"/>
  <c r="H1283" i="12"/>
  <c r="H1284" i="12"/>
  <c r="H1285" i="12"/>
  <c r="H1286" i="12"/>
  <c r="H1287" i="12"/>
  <c r="H1288" i="12"/>
  <c r="H1289" i="12"/>
  <c r="H1290" i="12"/>
  <c r="H1291" i="12"/>
  <c r="H1292" i="12"/>
  <c r="H1293" i="12"/>
  <c r="H1294" i="12"/>
  <c r="H1311" i="12"/>
  <c r="H1312" i="12"/>
  <c r="H1313" i="12"/>
  <c r="H1314" i="12"/>
  <c r="H1315" i="12"/>
  <c r="H1316" i="12"/>
  <c r="H1317" i="12"/>
  <c r="H1319" i="12"/>
  <c r="H1320" i="12"/>
  <c r="H1322" i="12"/>
  <c r="H1323" i="12"/>
  <c r="H1324" i="12"/>
  <c r="H1325" i="12"/>
  <c r="H1326" i="12"/>
  <c r="H1327" i="12"/>
  <c r="H1328" i="12"/>
  <c r="H1329" i="12"/>
  <c r="H1330" i="12"/>
  <c r="H1332" i="12"/>
  <c r="H1333" i="12"/>
  <c r="H1334" i="12"/>
  <c r="H1335" i="12"/>
  <c r="H1336" i="12"/>
  <c r="H1337" i="12"/>
  <c r="H1338" i="12"/>
  <c r="H1341" i="12"/>
  <c r="H1342" i="12"/>
  <c r="H1343" i="12"/>
  <c r="H1344" i="12"/>
  <c r="H1345" i="12"/>
  <c r="H1346" i="12"/>
  <c r="H1347" i="12"/>
  <c r="H1350" i="12"/>
  <c r="H1351" i="12"/>
  <c r="H1353" i="12"/>
  <c r="H1354" i="12"/>
  <c r="H1355" i="12"/>
  <c r="H1356" i="12"/>
  <c r="H1357" i="12"/>
  <c r="H1358" i="12"/>
  <c r="H1359" i="12"/>
  <c r="H1360" i="12"/>
  <c r="H1363" i="12"/>
  <c r="H1364" i="12"/>
  <c r="H1365" i="12"/>
  <c r="H1366" i="12"/>
  <c r="H1367" i="12"/>
  <c r="H1368" i="12"/>
  <c r="H1369" i="12"/>
  <c r="H1370" i="12"/>
  <c r="H1371" i="12"/>
  <c r="H1372" i="12"/>
  <c r="H1373" i="12"/>
  <c r="H1374" i="12"/>
  <c r="H1377" i="12"/>
  <c r="H1378" i="12"/>
  <c r="H1380" i="12"/>
  <c r="H1382" i="12"/>
  <c r="H1383" i="12"/>
  <c r="H1384" i="12"/>
  <c r="H1385" i="12"/>
  <c r="H1386" i="12"/>
  <c r="H1387" i="12"/>
  <c r="H1388" i="12"/>
  <c r="H1389" i="12"/>
  <c r="H1390" i="12"/>
  <c r="H1391" i="12"/>
  <c r="H1392" i="12"/>
  <c r="H1393" i="12"/>
  <c r="H1394" i="12"/>
  <c r="H1395" i="12"/>
  <c r="H1396" i="12"/>
  <c r="H1397" i="12"/>
  <c r="H1398" i="12"/>
  <c r="H1399" i="12"/>
  <c r="H1400" i="12"/>
  <c r="H1401" i="12"/>
  <c r="H1402" i="12"/>
  <c r="H1403" i="12"/>
  <c r="H1404" i="12"/>
  <c r="H1405" i="12"/>
  <c r="H1406" i="12"/>
  <c r="H1407" i="12"/>
  <c r="H1408" i="12"/>
  <c r="H1409" i="12"/>
  <c r="H1410" i="12"/>
  <c r="H1411" i="12"/>
  <c r="H1412" i="12"/>
  <c r="H1413" i="12"/>
  <c r="H1414" i="12"/>
  <c r="H1415" i="12"/>
  <c r="H1416" i="12"/>
  <c r="H1417" i="12"/>
  <c r="H1418" i="12"/>
  <c r="H1419" i="12"/>
  <c r="H1420" i="12"/>
  <c r="H1421" i="12"/>
  <c r="H1422" i="12"/>
  <c r="H1423" i="12"/>
  <c r="H1424" i="12"/>
  <c r="H1425" i="12"/>
  <c r="H1426" i="12"/>
  <c r="B2" i="12"/>
  <c r="G2" i="12"/>
  <c r="G3" i="12"/>
  <c r="B4" i="12"/>
  <c r="G4" i="12"/>
  <c r="B5" i="12"/>
  <c r="G5" i="12"/>
  <c r="B6" i="12"/>
  <c r="G6" i="12"/>
  <c r="G7" i="12"/>
  <c r="G8" i="12"/>
  <c r="B9" i="12"/>
  <c r="G9" i="12"/>
  <c r="G10" i="12"/>
  <c r="B11" i="12"/>
  <c r="G11" i="12"/>
  <c r="B12" i="12"/>
  <c r="G12" i="12"/>
  <c r="B13" i="12"/>
  <c r="G13" i="12"/>
  <c r="G14" i="12"/>
  <c r="B15" i="12"/>
  <c r="G15" i="12"/>
  <c r="B16" i="12"/>
  <c r="G16" i="12"/>
  <c r="B17" i="12"/>
  <c r="G17" i="12"/>
  <c r="G18" i="12"/>
  <c r="B19" i="12"/>
  <c r="G19" i="12"/>
  <c r="G20" i="12"/>
  <c r="B21" i="12"/>
  <c r="G21" i="12"/>
  <c r="G22" i="12"/>
  <c r="B23" i="12"/>
  <c r="G23" i="12"/>
  <c r="B24" i="12"/>
  <c r="G24" i="12"/>
  <c r="G25" i="12"/>
  <c r="B26" i="12"/>
  <c r="G26" i="12"/>
  <c r="G27" i="12"/>
  <c r="B28" i="12"/>
  <c r="G28" i="12"/>
  <c r="B29" i="12"/>
  <c r="G29" i="12"/>
  <c r="B30" i="12"/>
  <c r="G30" i="12"/>
  <c r="G31" i="12"/>
  <c r="G32" i="12"/>
  <c r="G33" i="12"/>
  <c r="B34" i="12"/>
  <c r="G34" i="12"/>
  <c r="B35" i="12"/>
  <c r="G35" i="12"/>
  <c r="B36" i="12"/>
  <c r="G36" i="12"/>
  <c r="G37" i="12"/>
  <c r="B38" i="12"/>
  <c r="G38" i="12"/>
  <c r="G39" i="12"/>
  <c r="G40" i="12"/>
  <c r="G41" i="12"/>
  <c r="B42" i="12"/>
  <c r="G42" i="12"/>
  <c r="B43" i="12"/>
  <c r="G43" i="12"/>
  <c r="B44" i="12"/>
  <c r="G44" i="12"/>
  <c r="G45" i="12"/>
  <c r="B46" i="12"/>
  <c r="G46" i="12"/>
  <c r="B47" i="12"/>
  <c r="G47" i="12"/>
  <c r="B48" i="12"/>
  <c r="G48" i="12"/>
  <c r="B49" i="12"/>
  <c r="G49" i="12"/>
  <c r="B50" i="12"/>
  <c r="G50" i="12"/>
  <c r="B51" i="12"/>
  <c r="G51" i="12"/>
  <c r="B52" i="12"/>
  <c r="G52" i="12"/>
  <c r="B53" i="12"/>
  <c r="G53" i="12"/>
  <c r="B54" i="12"/>
  <c r="G54" i="12"/>
  <c r="B55" i="12"/>
  <c r="G55" i="12"/>
  <c r="B56" i="12"/>
  <c r="G56" i="12"/>
  <c r="B57" i="12"/>
  <c r="G57" i="12"/>
  <c r="B58" i="12"/>
  <c r="G58" i="12"/>
  <c r="B59" i="12"/>
  <c r="G59" i="12"/>
  <c r="B60" i="12"/>
  <c r="G60" i="12"/>
  <c r="B61" i="12"/>
  <c r="G61" i="12"/>
  <c r="B62" i="12"/>
  <c r="G62" i="12"/>
  <c r="B63" i="12"/>
  <c r="G63" i="12"/>
  <c r="B64" i="12"/>
  <c r="G64" i="12"/>
  <c r="B65" i="12"/>
  <c r="G65" i="12"/>
  <c r="B66" i="12"/>
  <c r="G66" i="12"/>
  <c r="B67" i="12"/>
  <c r="G67" i="12"/>
  <c r="B68" i="12"/>
  <c r="G68" i="12"/>
  <c r="B69" i="12"/>
  <c r="G69" i="12"/>
  <c r="B70" i="12"/>
  <c r="G70" i="12"/>
  <c r="B71" i="12"/>
  <c r="G71" i="12"/>
  <c r="B72" i="12"/>
  <c r="G72" i="12"/>
  <c r="B73" i="12"/>
  <c r="G73" i="12"/>
  <c r="G74" i="12"/>
  <c r="G75" i="12"/>
  <c r="G76" i="12"/>
  <c r="G77" i="12"/>
  <c r="B78" i="12"/>
  <c r="G78" i="12"/>
  <c r="B79" i="12"/>
  <c r="G79" i="12"/>
  <c r="B80" i="12"/>
  <c r="G80" i="12"/>
  <c r="G81" i="12"/>
  <c r="G82" i="12"/>
  <c r="G83" i="12"/>
  <c r="G84" i="12"/>
  <c r="G85" i="12"/>
  <c r="G86" i="12"/>
  <c r="G87" i="12"/>
  <c r="G88" i="12"/>
  <c r="G89" i="12"/>
  <c r="G90" i="12"/>
  <c r="G91" i="12"/>
  <c r="G92" i="12"/>
  <c r="G93" i="12"/>
  <c r="G94" i="12"/>
  <c r="B95" i="12"/>
  <c r="G95" i="12"/>
  <c r="B96" i="12"/>
  <c r="G96" i="12"/>
  <c r="B97" i="12"/>
  <c r="G97" i="12"/>
  <c r="B98" i="12"/>
  <c r="G98" i="12"/>
  <c r="B99" i="12"/>
  <c r="G99" i="12"/>
  <c r="B100" i="12"/>
  <c r="G100" i="12"/>
  <c r="B101" i="12"/>
  <c r="G101" i="12"/>
  <c r="B102" i="12"/>
  <c r="G102" i="12"/>
  <c r="B103" i="12"/>
  <c r="G103" i="12"/>
  <c r="B104" i="12"/>
  <c r="G104" i="12"/>
  <c r="B105" i="12"/>
  <c r="G105" i="12"/>
  <c r="B106" i="12"/>
  <c r="G106" i="12"/>
  <c r="B107" i="12"/>
  <c r="G107" i="12"/>
  <c r="B108" i="12"/>
  <c r="G108" i="12"/>
  <c r="B109" i="12"/>
  <c r="G109" i="12"/>
  <c r="B110" i="12"/>
  <c r="G110" i="12"/>
  <c r="B111" i="12"/>
  <c r="G111" i="12"/>
  <c r="B112" i="12"/>
  <c r="G112" i="12"/>
  <c r="B113" i="12"/>
  <c r="G113" i="12"/>
  <c r="B114" i="12"/>
  <c r="G114" i="12"/>
  <c r="B115" i="12"/>
  <c r="G115" i="12"/>
  <c r="B116" i="12"/>
  <c r="G116" i="12"/>
  <c r="B117" i="12"/>
  <c r="G117" i="12"/>
  <c r="B118" i="12"/>
  <c r="G118" i="12"/>
  <c r="B119" i="12"/>
  <c r="G119" i="12"/>
  <c r="B120" i="12"/>
  <c r="G120" i="12"/>
  <c r="B121" i="12"/>
  <c r="G121" i="12"/>
  <c r="B122" i="12"/>
  <c r="G122" i="12"/>
  <c r="B123" i="12"/>
  <c r="G123" i="12"/>
  <c r="B124" i="12"/>
  <c r="G124" i="12"/>
  <c r="B125" i="12"/>
  <c r="G125" i="12"/>
  <c r="B126" i="12"/>
  <c r="G126" i="12"/>
  <c r="B127" i="12"/>
  <c r="G127" i="12"/>
  <c r="B128" i="12"/>
  <c r="G128" i="12"/>
  <c r="G129" i="12"/>
  <c r="G130" i="12"/>
  <c r="B131" i="12"/>
  <c r="G131" i="12"/>
  <c r="B132" i="12"/>
  <c r="G132" i="12"/>
  <c r="B133" i="12"/>
  <c r="G133" i="12"/>
  <c r="B134" i="12"/>
  <c r="G134" i="12"/>
  <c r="B135" i="12"/>
  <c r="G135" i="12"/>
  <c r="B136" i="12"/>
  <c r="G136" i="12"/>
  <c r="B137" i="12"/>
  <c r="G137" i="12"/>
  <c r="B138" i="12"/>
  <c r="G138" i="12"/>
  <c r="G139" i="12"/>
  <c r="G140" i="12"/>
  <c r="G141" i="12"/>
  <c r="B142" i="12"/>
  <c r="G142" i="12"/>
  <c r="B143" i="12"/>
  <c r="G143" i="12"/>
  <c r="B144" i="12"/>
  <c r="G144" i="12"/>
  <c r="B145" i="12"/>
  <c r="G145" i="12"/>
  <c r="B146" i="12"/>
  <c r="G146" i="12"/>
  <c r="B147" i="12"/>
  <c r="G147" i="12"/>
  <c r="B148" i="12"/>
  <c r="G148" i="12"/>
  <c r="B149" i="12"/>
  <c r="G149" i="12"/>
  <c r="B150" i="12"/>
  <c r="G150" i="12"/>
  <c r="B151" i="12"/>
  <c r="G151" i="12"/>
  <c r="B152" i="12"/>
  <c r="G152" i="12"/>
  <c r="B153" i="12"/>
  <c r="G153" i="12"/>
  <c r="B154" i="12"/>
  <c r="G154" i="12"/>
  <c r="B155" i="12"/>
  <c r="G155" i="12"/>
  <c r="B156" i="12"/>
  <c r="G156" i="12"/>
  <c r="G157" i="12"/>
  <c r="B158" i="12"/>
  <c r="G158" i="12"/>
  <c r="B159" i="12"/>
  <c r="G159" i="12"/>
  <c r="B160" i="12"/>
  <c r="G160" i="12"/>
  <c r="B161" i="12"/>
  <c r="G161" i="12"/>
  <c r="B162" i="12"/>
  <c r="G162" i="12"/>
  <c r="B163" i="12"/>
  <c r="G163" i="12"/>
  <c r="B164" i="12"/>
  <c r="G164" i="12"/>
  <c r="B165" i="12"/>
  <c r="G165" i="12"/>
  <c r="B166" i="12"/>
  <c r="G166" i="12"/>
  <c r="B167" i="12"/>
  <c r="G167" i="12"/>
  <c r="B168" i="12"/>
  <c r="G168" i="12"/>
  <c r="B169" i="12"/>
  <c r="G169" i="12"/>
  <c r="B170" i="12"/>
  <c r="G170" i="12"/>
  <c r="B171" i="12"/>
  <c r="G171" i="12"/>
  <c r="B172" i="12"/>
  <c r="G172" i="12"/>
  <c r="B173" i="12"/>
  <c r="G173" i="12"/>
  <c r="B174" i="12"/>
  <c r="G174" i="12"/>
  <c r="B175" i="12"/>
  <c r="G175" i="12"/>
  <c r="B176" i="12"/>
  <c r="G176" i="12"/>
  <c r="B177" i="12"/>
  <c r="G177" i="12"/>
  <c r="B178" i="12"/>
  <c r="G178" i="12"/>
  <c r="B179" i="12"/>
  <c r="G179" i="12"/>
  <c r="B180" i="12"/>
  <c r="G180" i="12"/>
  <c r="B181" i="12"/>
  <c r="G181" i="12"/>
  <c r="B182" i="12"/>
  <c r="G182" i="12"/>
  <c r="B183" i="12"/>
  <c r="G183" i="12"/>
  <c r="B184" i="12"/>
  <c r="G184" i="12"/>
  <c r="B185" i="12"/>
  <c r="G185" i="12"/>
  <c r="B186" i="12"/>
  <c r="G186" i="12"/>
  <c r="B187" i="12"/>
  <c r="G187" i="12"/>
  <c r="B188" i="12"/>
  <c r="G188" i="12"/>
  <c r="B189" i="12"/>
  <c r="G189" i="12"/>
  <c r="B190" i="12"/>
  <c r="G190" i="12"/>
  <c r="B191" i="12"/>
  <c r="G191" i="12"/>
  <c r="B192" i="12"/>
  <c r="G192" i="12"/>
  <c r="B193" i="12"/>
  <c r="G193" i="12"/>
  <c r="B194" i="12"/>
  <c r="G194" i="12"/>
  <c r="G195" i="12"/>
  <c r="G196" i="12"/>
  <c r="G197" i="12"/>
  <c r="B198" i="12"/>
  <c r="G198" i="12"/>
  <c r="B199" i="12"/>
  <c r="G199" i="12"/>
  <c r="B200" i="12"/>
  <c r="G200" i="12"/>
  <c r="B201" i="12"/>
  <c r="G201" i="12"/>
  <c r="B202" i="12"/>
  <c r="G202" i="12"/>
  <c r="B203" i="12"/>
  <c r="G203" i="12"/>
  <c r="B204" i="12"/>
  <c r="G204" i="12"/>
  <c r="B205" i="12"/>
  <c r="G205" i="12"/>
  <c r="B206" i="12"/>
  <c r="G206" i="12"/>
  <c r="B207" i="12"/>
  <c r="G207" i="12"/>
  <c r="B208" i="12"/>
  <c r="G208" i="12"/>
  <c r="B209" i="12"/>
  <c r="G209" i="12"/>
  <c r="B210" i="12"/>
  <c r="G210" i="12"/>
  <c r="B211" i="12"/>
  <c r="G211" i="12"/>
  <c r="B212" i="12"/>
  <c r="G212" i="12"/>
  <c r="B213" i="12"/>
  <c r="G213" i="12"/>
  <c r="B214" i="12"/>
  <c r="G214" i="12"/>
  <c r="B215" i="12"/>
  <c r="G215" i="12"/>
  <c r="B216" i="12"/>
  <c r="G216" i="12"/>
  <c r="B217" i="12"/>
  <c r="G217" i="12"/>
  <c r="B218" i="12"/>
  <c r="G218" i="12"/>
  <c r="B219" i="12"/>
  <c r="G219" i="12"/>
  <c r="G220" i="12"/>
  <c r="B221" i="12"/>
  <c r="G221" i="12"/>
  <c r="B222" i="12"/>
  <c r="G222" i="12"/>
  <c r="G223" i="12"/>
  <c r="B224" i="12"/>
  <c r="G224" i="12"/>
  <c r="B225" i="12"/>
  <c r="G225" i="12"/>
  <c r="B226" i="12"/>
  <c r="G226" i="12"/>
  <c r="G227" i="12"/>
  <c r="G228" i="12"/>
  <c r="G229" i="12"/>
  <c r="G230" i="12"/>
  <c r="G231" i="12"/>
  <c r="G232" i="12"/>
  <c r="G233" i="12"/>
  <c r="G234" i="12"/>
  <c r="G235" i="12"/>
  <c r="G236" i="12"/>
  <c r="G237" i="12"/>
  <c r="B238" i="12"/>
  <c r="G238" i="12"/>
  <c r="B239" i="12"/>
  <c r="G239" i="12"/>
  <c r="B240" i="12"/>
  <c r="G240" i="12"/>
  <c r="B241" i="12"/>
  <c r="G241" i="12"/>
  <c r="B242" i="12"/>
  <c r="G242" i="12"/>
  <c r="G243" i="12"/>
  <c r="G244" i="12"/>
  <c r="G245" i="12"/>
  <c r="G246" i="12"/>
  <c r="G247" i="12"/>
  <c r="G248" i="12"/>
  <c r="G249" i="12"/>
  <c r="G250" i="12"/>
  <c r="G251" i="12"/>
  <c r="B252" i="12"/>
  <c r="G252" i="12"/>
  <c r="B253" i="12"/>
  <c r="G253" i="12"/>
  <c r="B254" i="12"/>
  <c r="G254" i="12"/>
  <c r="B255" i="12"/>
  <c r="G255" i="12"/>
  <c r="B256" i="12"/>
  <c r="G256" i="12"/>
  <c r="B257" i="12"/>
  <c r="G257" i="12"/>
  <c r="B258" i="12"/>
  <c r="G258" i="12"/>
  <c r="B259" i="12"/>
  <c r="G259" i="12"/>
  <c r="B260" i="12"/>
  <c r="G260" i="12"/>
  <c r="B261" i="12"/>
  <c r="G261" i="12"/>
  <c r="B262" i="12"/>
  <c r="G262" i="12"/>
  <c r="B263" i="12"/>
  <c r="G263" i="12"/>
  <c r="B264" i="12"/>
  <c r="G264" i="12"/>
  <c r="B265" i="12"/>
  <c r="G265" i="12"/>
  <c r="B266" i="12"/>
  <c r="G266" i="12"/>
  <c r="G267" i="12"/>
  <c r="G268" i="12"/>
  <c r="G269" i="12"/>
  <c r="G270" i="12"/>
  <c r="G271" i="12"/>
  <c r="G272" i="12"/>
  <c r="G273" i="12"/>
  <c r="B274" i="12"/>
  <c r="G274" i="12"/>
  <c r="B275" i="12"/>
  <c r="G275" i="12"/>
  <c r="B276" i="12"/>
  <c r="G276" i="12"/>
  <c r="B277" i="12"/>
  <c r="G277" i="12"/>
  <c r="B278" i="12"/>
  <c r="G278" i="12"/>
  <c r="B279" i="12"/>
  <c r="G279" i="12"/>
  <c r="B280" i="12"/>
  <c r="G280" i="12"/>
  <c r="B281" i="12"/>
  <c r="G281" i="12"/>
  <c r="B282" i="12"/>
  <c r="G282" i="12"/>
  <c r="B283" i="12"/>
  <c r="G283" i="12"/>
  <c r="G284" i="12"/>
  <c r="G285" i="12"/>
  <c r="G286" i="12"/>
  <c r="G287" i="12"/>
  <c r="G288" i="12"/>
  <c r="B289" i="12"/>
  <c r="G289" i="12"/>
  <c r="B290" i="12"/>
  <c r="G290" i="12"/>
  <c r="B291" i="12"/>
  <c r="G291" i="12"/>
  <c r="G292" i="12"/>
  <c r="B293" i="12"/>
  <c r="G293" i="12"/>
  <c r="G294" i="12"/>
  <c r="G295" i="12"/>
  <c r="B296" i="12"/>
  <c r="G296" i="12"/>
  <c r="B297" i="12"/>
  <c r="G297" i="12"/>
  <c r="B298" i="12"/>
  <c r="G298" i="12"/>
  <c r="B299" i="12"/>
  <c r="G299" i="12"/>
  <c r="B300" i="12"/>
  <c r="G300" i="12"/>
  <c r="G301" i="12"/>
  <c r="B302" i="12"/>
  <c r="G302" i="12"/>
  <c r="G303" i="12"/>
  <c r="G304" i="12"/>
  <c r="G305" i="12"/>
  <c r="B306" i="12"/>
  <c r="G306" i="12"/>
  <c r="G307" i="12"/>
  <c r="G308" i="12"/>
  <c r="G309" i="12"/>
  <c r="G310" i="12"/>
  <c r="G311" i="12"/>
  <c r="B312" i="12"/>
  <c r="G312" i="12"/>
  <c r="B313" i="12"/>
  <c r="G313" i="12"/>
  <c r="B314" i="12"/>
  <c r="G314" i="12"/>
  <c r="B315" i="12"/>
  <c r="G315" i="12"/>
  <c r="B316" i="12"/>
  <c r="G316" i="12"/>
  <c r="B317" i="12"/>
  <c r="G317" i="12"/>
  <c r="G318" i="12"/>
  <c r="G319" i="12"/>
  <c r="G320" i="12"/>
  <c r="G321" i="12"/>
  <c r="B322" i="12"/>
  <c r="G322" i="12"/>
  <c r="B323" i="12"/>
  <c r="G323" i="12"/>
  <c r="B324" i="12"/>
  <c r="G324" i="12"/>
  <c r="B325" i="12"/>
  <c r="G325" i="12"/>
  <c r="G326" i="12"/>
  <c r="G327" i="12"/>
  <c r="B328" i="12"/>
  <c r="G328" i="12"/>
  <c r="G329" i="12"/>
  <c r="G330" i="12"/>
  <c r="B331" i="12"/>
  <c r="G331" i="12"/>
  <c r="G332" i="12"/>
  <c r="B333" i="12"/>
  <c r="G333" i="12"/>
  <c r="G334" i="12"/>
  <c r="B335" i="12"/>
  <c r="G335" i="12"/>
  <c r="B336" i="12"/>
  <c r="G336" i="12"/>
  <c r="B337" i="12"/>
  <c r="G337" i="12"/>
  <c r="B338" i="12"/>
  <c r="G338" i="12"/>
  <c r="B339" i="12"/>
  <c r="G339" i="12"/>
  <c r="B340" i="12"/>
  <c r="G340" i="12"/>
  <c r="G341" i="12"/>
  <c r="B342" i="12"/>
  <c r="G342" i="12"/>
  <c r="G343" i="12"/>
  <c r="G344" i="12"/>
  <c r="B345" i="12"/>
  <c r="G345" i="12"/>
  <c r="B346" i="12"/>
  <c r="G346" i="12"/>
  <c r="G347" i="12"/>
  <c r="B348" i="12"/>
  <c r="G348" i="12"/>
  <c r="G349" i="12"/>
  <c r="B350" i="12"/>
  <c r="G350" i="12"/>
  <c r="G351" i="12"/>
  <c r="B352" i="12"/>
  <c r="G352" i="12"/>
  <c r="G353" i="12"/>
  <c r="B354" i="12"/>
  <c r="G354" i="12"/>
  <c r="G355" i="12"/>
  <c r="B356" i="12"/>
  <c r="G356" i="12"/>
  <c r="B357" i="12"/>
  <c r="G357" i="12"/>
  <c r="B358" i="12"/>
  <c r="G358" i="12"/>
  <c r="G359" i="12"/>
  <c r="B360" i="12"/>
  <c r="G360" i="12"/>
  <c r="G361" i="12"/>
  <c r="B362" i="12"/>
  <c r="G362" i="12"/>
  <c r="G363" i="12"/>
  <c r="B364" i="12"/>
  <c r="G364" i="12"/>
  <c r="B365" i="12"/>
  <c r="G365" i="12"/>
  <c r="G366" i="12"/>
  <c r="B367" i="12"/>
  <c r="G367" i="12"/>
  <c r="G368" i="12"/>
  <c r="G369" i="12"/>
  <c r="G370" i="12"/>
  <c r="G371" i="12"/>
  <c r="G372" i="12"/>
  <c r="G373" i="12"/>
  <c r="G374" i="12"/>
  <c r="B376" i="12"/>
  <c r="G376" i="12"/>
  <c r="G377" i="12"/>
  <c r="G378" i="12"/>
  <c r="B379" i="12"/>
  <c r="G379" i="12"/>
  <c r="B380" i="12"/>
  <c r="G380" i="12"/>
  <c r="G381" i="12"/>
  <c r="G382" i="12"/>
  <c r="G383" i="12"/>
  <c r="G384" i="12"/>
  <c r="B385" i="12"/>
  <c r="G385" i="12"/>
  <c r="B386" i="12"/>
  <c r="G386" i="12"/>
  <c r="G387" i="12"/>
  <c r="G388" i="12"/>
  <c r="B389" i="12"/>
  <c r="G389" i="12"/>
  <c r="G390" i="12"/>
  <c r="B391" i="12"/>
  <c r="G391" i="12"/>
  <c r="G392" i="12"/>
  <c r="B393" i="12"/>
  <c r="G393" i="12"/>
  <c r="B394" i="12"/>
  <c r="G394" i="12"/>
  <c r="G395" i="12"/>
  <c r="B396" i="12"/>
  <c r="G396" i="12"/>
  <c r="B397" i="12"/>
  <c r="G397" i="12"/>
  <c r="B398" i="12"/>
  <c r="G398" i="12"/>
  <c r="B399" i="12"/>
  <c r="G399" i="12"/>
  <c r="B400" i="12"/>
  <c r="G400" i="12"/>
  <c r="G401" i="12"/>
  <c r="G402" i="12"/>
  <c r="G403" i="12"/>
  <c r="G404" i="12"/>
  <c r="G405" i="12"/>
  <c r="G406" i="12"/>
  <c r="B407" i="12"/>
  <c r="G407" i="12"/>
  <c r="G408" i="12"/>
  <c r="B409" i="12"/>
  <c r="G409" i="12"/>
  <c r="B410" i="12"/>
  <c r="G410" i="12"/>
  <c r="G411" i="12"/>
  <c r="B412" i="12"/>
  <c r="G412" i="12"/>
  <c r="B413" i="12"/>
  <c r="G413" i="12"/>
  <c r="G414" i="12"/>
  <c r="G415" i="12"/>
  <c r="G416" i="12"/>
  <c r="G417" i="12"/>
  <c r="G418" i="12"/>
  <c r="B419" i="12"/>
  <c r="G419" i="12"/>
  <c r="B420" i="12"/>
  <c r="G420" i="12"/>
  <c r="G421" i="12"/>
  <c r="B422" i="12"/>
  <c r="G422" i="12"/>
  <c r="B423" i="12"/>
  <c r="G423" i="12"/>
  <c r="G424" i="12"/>
  <c r="B425" i="12"/>
  <c r="G425" i="12"/>
  <c r="B426" i="12"/>
  <c r="G426" i="12"/>
  <c r="B427" i="12"/>
  <c r="G427" i="12"/>
  <c r="B428" i="12"/>
  <c r="G428" i="12"/>
  <c r="B429" i="12"/>
  <c r="G429" i="12"/>
  <c r="G430" i="12"/>
  <c r="G431" i="12"/>
  <c r="B432" i="12"/>
  <c r="G432" i="12"/>
  <c r="B433" i="12"/>
  <c r="G433" i="12"/>
  <c r="B434" i="12"/>
  <c r="G434" i="12"/>
  <c r="G435" i="12"/>
  <c r="G436" i="12"/>
  <c r="G437" i="12"/>
  <c r="B438" i="12"/>
  <c r="G438" i="12"/>
  <c r="B439" i="12"/>
  <c r="G439" i="12"/>
  <c r="G440" i="12"/>
  <c r="G441" i="12"/>
  <c r="B442" i="12"/>
  <c r="G442" i="12"/>
  <c r="B443" i="12"/>
  <c r="G443" i="12"/>
  <c r="B444" i="12"/>
  <c r="G444" i="12"/>
  <c r="B445" i="12"/>
  <c r="G445" i="12"/>
  <c r="B446" i="12"/>
  <c r="G446" i="12"/>
  <c r="B447" i="12"/>
  <c r="G447" i="12"/>
  <c r="B448" i="12"/>
  <c r="G448" i="12"/>
  <c r="B449" i="12"/>
  <c r="G449" i="12"/>
  <c r="B450" i="12"/>
  <c r="G450" i="12"/>
  <c r="B451" i="12"/>
  <c r="G451" i="12"/>
  <c r="B452" i="12"/>
  <c r="G452" i="12"/>
  <c r="B453" i="12"/>
  <c r="G453" i="12"/>
  <c r="B454" i="12"/>
  <c r="G454" i="12"/>
  <c r="B455" i="12"/>
  <c r="G455" i="12"/>
  <c r="B456" i="12"/>
  <c r="G456" i="12"/>
  <c r="B457" i="12"/>
  <c r="G457" i="12"/>
  <c r="B458" i="12"/>
  <c r="G458" i="12"/>
  <c r="B459" i="12"/>
  <c r="G459" i="12"/>
  <c r="G460" i="12"/>
  <c r="G461" i="12"/>
  <c r="G462" i="12"/>
  <c r="B463" i="12"/>
  <c r="G463" i="12"/>
  <c r="G464" i="12"/>
  <c r="G465" i="12"/>
  <c r="G466" i="12"/>
  <c r="G467" i="12"/>
  <c r="G468" i="12"/>
  <c r="G469" i="12"/>
  <c r="G470" i="12"/>
  <c r="B471" i="12"/>
  <c r="G471" i="12"/>
  <c r="G472" i="12"/>
  <c r="G473" i="12"/>
  <c r="G474" i="12"/>
  <c r="B475" i="12"/>
  <c r="G475" i="12"/>
  <c r="B476" i="12"/>
  <c r="G476" i="12"/>
  <c r="B477" i="12"/>
  <c r="G477" i="12"/>
  <c r="B478" i="12"/>
  <c r="G478" i="12"/>
  <c r="B479" i="12"/>
  <c r="G479" i="12"/>
  <c r="B480" i="12"/>
  <c r="G480" i="12"/>
  <c r="B481" i="12"/>
  <c r="G481" i="12"/>
  <c r="B482" i="12"/>
  <c r="G482" i="12"/>
  <c r="B483" i="12"/>
  <c r="G483" i="12"/>
  <c r="B484" i="12"/>
  <c r="G484" i="12"/>
  <c r="B485" i="12"/>
  <c r="G485" i="12"/>
  <c r="B486" i="12"/>
  <c r="G486" i="12"/>
  <c r="B487" i="12"/>
  <c r="G487" i="12"/>
  <c r="B488" i="12"/>
  <c r="G488" i="12"/>
  <c r="B489" i="12"/>
  <c r="G489" i="12"/>
  <c r="B490" i="12"/>
  <c r="G490" i="12"/>
  <c r="B491" i="12"/>
  <c r="G491" i="12"/>
  <c r="B492" i="12"/>
  <c r="G492" i="12"/>
  <c r="B493" i="12"/>
  <c r="G493" i="12"/>
  <c r="B494" i="12"/>
  <c r="G494" i="12"/>
  <c r="B495" i="12"/>
  <c r="G495" i="12"/>
  <c r="B496" i="12"/>
  <c r="G496" i="12"/>
  <c r="B497" i="12"/>
  <c r="G497" i="12"/>
  <c r="B498" i="12"/>
  <c r="G498" i="12"/>
  <c r="B499" i="12"/>
  <c r="G499" i="12"/>
  <c r="G500" i="12"/>
  <c r="G501" i="12"/>
  <c r="G502" i="12"/>
  <c r="B503" i="12"/>
  <c r="G503" i="12"/>
  <c r="B504" i="12"/>
  <c r="G504" i="12"/>
  <c r="B505" i="12"/>
  <c r="G505" i="12"/>
  <c r="B506" i="12"/>
  <c r="G506" i="12"/>
  <c r="B507" i="12"/>
  <c r="G507" i="12"/>
  <c r="B508" i="12"/>
  <c r="G508" i="12"/>
  <c r="G509" i="12"/>
  <c r="G510" i="12"/>
  <c r="G511" i="12"/>
  <c r="G512" i="12"/>
  <c r="G513" i="12"/>
  <c r="G514" i="12"/>
  <c r="G515" i="12"/>
  <c r="G516" i="12"/>
  <c r="G517" i="12"/>
  <c r="G518" i="12"/>
  <c r="G519" i="12"/>
  <c r="G520" i="12"/>
  <c r="G521" i="12"/>
  <c r="G522" i="12"/>
  <c r="G523" i="12"/>
  <c r="G524" i="12"/>
  <c r="G525" i="12"/>
  <c r="G526" i="12"/>
  <c r="G527" i="12"/>
  <c r="G528" i="12"/>
  <c r="G529" i="12"/>
  <c r="G530" i="12"/>
  <c r="G531" i="12"/>
  <c r="G532" i="12"/>
  <c r="G533" i="12"/>
  <c r="G534" i="12"/>
  <c r="G535" i="12"/>
  <c r="G536" i="12"/>
  <c r="B537" i="12"/>
  <c r="G537" i="12"/>
  <c r="B538" i="12"/>
  <c r="G538" i="12"/>
  <c r="B539" i="12"/>
  <c r="G539" i="12"/>
  <c r="B540" i="12"/>
  <c r="G540" i="12"/>
  <c r="G541" i="12"/>
  <c r="B542" i="12"/>
  <c r="G542" i="12"/>
  <c r="G543" i="12"/>
  <c r="G544" i="12"/>
  <c r="G545" i="12"/>
  <c r="G546" i="12"/>
  <c r="G547" i="12"/>
  <c r="G548" i="12"/>
  <c r="G549" i="12"/>
  <c r="B550" i="12"/>
  <c r="G550" i="12"/>
  <c r="B551" i="12"/>
  <c r="G551" i="12"/>
  <c r="B552" i="12"/>
  <c r="G552" i="12"/>
  <c r="B553" i="12"/>
  <c r="G553" i="12"/>
  <c r="B554" i="12"/>
  <c r="G554" i="12"/>
  <c r="B555" i="12"/>
  <c r="G555" i="12"/>
  <c r="B556" i="12"/>
  <c r="G556" i="12"/>
  <c r="B557" i="12"/>
  <c r="G557" i="12"/>
  <c r="B558" i="12"/>
  <c r="G558" i="12"/>
  <c r="B559" i="12"/>
  <c r="G559" i="12"/>
  <c r="B560" i="12"/>
  <c r="G560" i="12"/>
  <c r="B561" i="12"/>
  <c r="G561" i="12"/>
  <c r="B562" i="12"/>
  <c r="G562" i="12"/>
  <c r="B563" i="12"/>
  <c r="G563" i="12"/>
  <c r="B564" i="12"/>
  <c r="G564" i="12"/>
  <c r="B565" i="12"/>
  <c r="G565" i="12"/>
  <c r="B566" i="12"/>
  <c r="G566" i="12"/>
  <c r="B567" i="12"/>
  <c r="G567" i="12"/>
  <c r="B568" i="12"/>
  <c r="G568" i="12"/>
  <c r="B569" i="12"/>
  <c r="G569" i="12"/>
  <c r="B570" i="12"/>
  <c r="G570" i="12"/>
  <c r="B571" i="12"/>
  <c r="G571" i="12"/>
  <c r="B572" i="12"/>
  <c r="G572" i="12"/>
  <c r="B573" i="12"/>
  <c r="G573" i="12"/>
  <c r="B574" i="12"/>
  <c r="G574" i="12"/>
  <c r="B575" i="12"/>
  <c r="G575" i="12"/>
  <c r="B576" i="12"/>
  <c r="G576" i="12"/>
  <c r="B577" i="12"/>
  <c r="G577" i="12"/>
  <c r="B578" i="12"/>
  <c r="G578" i="12"/>
  <c r="B579" i="12"/>
  <c r="G579" i="12"/>
  <c r="G580" i="12"/>
  <c r="G581" i="12"/>
  <c r="G582" i="12"/>
  <c r="G583" i="12"/>
  <c r="G584" i="12"/>
  <c r="G585" i="12"/>
  <c r="G586" i="12"/>
  <c r="G587" i="12"/>
  <c r="G588" i="12"/>
  <c r="G589" i="12"/>
  <c r="G590" i="12"/>
  <c r="G591" i="12"/>
  <c r="G592" i="12"/>
  <c r="G593" i="12"/>
  <c r="G594" i="12"/>
  <c r="G595" i="12"/>
  <c r="G596" i="12"/>
  <c r="G597" i="12"/>
  <c r="G598" i="12"/>
  <c r="G599" i="12"/>
  <c r="G600" i="12"/>
  <c r="G601" i="12"/>
  <c r="G602" i="12"/>
  <c r="G603" i="12"/>
  <c r="G604" i="12"/>
  <c r="G605" i="12"/>
  <c r="G606" i="12"/>
  <c r="G607" i="12"/>
  <c r="G608" i="12"/>
  <c r="B609" i="12"/>
  <c r="G609" i="12"/>
  <c r="G610" i="12"/>
  <c r="B611" i="12"/>
  <c r="G611" i="12"/>
  <c r="B612" i="12"/>
  <c r="G612" i="12"/>
  <c r="B613" i="12"/>
  <c r="G613" i="12"/>
  <c r="B614" i="12"/>
  <c r="G614" i="12"/>
  <c r="B615" i="12"/>
  <c r="G615" i="12"/>
  <c r="B616" i="12"/>
  <c r="G616" i="12"/>
  <c r="B617" i="12"/>
  <c r="G617" i="12"/>
  <c r="B618" i="12"/>
  <c r="G618" i="12"/>
  <c r="B619" i="12"/>
  <c r="G619" i="12"/>
  <c r="G620" i="12"/>
  <c r="G621" i="12"/>
  <c r="B622" i="12"/>
  <c r="G622" i="12"/>
  <c r="B623" i="12"/>
  <c r="G623" i="12"/>
  <c r="B624" i="12"/>
  <c r="G624" i="12"/>
  <c r="B625" i="12"/>
  <c r="G625" i="12"/>
  <c r="B626" i="12"/>
  <c r="G626" i="12"/>
  <c r="G627" i="12"/>
  <c r="G628" i="12"/>
  <c r="B629" i="12"/>
  <c r="G629" i="12"/>
  <c r="B630" i="12"/>
  <c r="G630" i="12"/>
  <c r="B631" i="12"/>
  <c r="G631" i="12"/>
  <c r="B632" i="12"/>
  <c r="G632" i="12"/>
  <c r="B633" i="12"/>
  <c r="G633" i="12"/>
  <c r="G634" i="12"/>
  <c r="G635" i="12"/>
  <c r="G636" i="12"/>
  <c r="G637" i="12"/>
  <c r="B638" i="12"/>
  <c r="G638" i="12"/>
  <c r="B639" i="12"/>
  <c r="G639" i="12"/>
  <c r="B640" i="12"/>
  <c r="G640" i="12"/>
  <c r="B641" i="12"/>
  <c r="G641" i="12"/>
  <c r="B642" i="12"/>
  <c r="G642" i="12"/>
  <c r="B643" i="12"/>
  <c r="G643" i="12"/>
  <c r="B644" i="12"/>
  <c r="G644" i="12"/>
  <c r="G645" i="12"/>
  <c r="G646" i="12"/>
  <c r="G647" i="12"/>
  <c r="B648" i="12"/>
  <c r="G648" i="12"/>
  <c r="B649" i="12"/>
  <c r="G649" i="12"/>
  <c r="B650" i="12"/>
  <c r="G650" i="12"/>
  <c r="B651" i="12"/>
  <c r="G651" i="12"/>
  <c r="B652" i="12"/>
  <c r="G652" i="12"/>
  <c r="B653" i="12"/>
  <c r="G653" i="12"/>
  <c r="B654" i="12"/>
  <c r="G654" i="12"/>
  <c r="B655" i="12"/>
  <c r="G655" i="12"/>
  <c r="G656" i="12"/>
  <c r="G657" i="12"/>
  <c r="G658" i="12"/>
  <c r="G659" i="12"/>
  <c r="G660" i="12"/>
  <c r="G661" i="12"/>
  <c r="G662" i="12"/>
  <c r="B663" i="12"/>
  <c r="G663" i="12"/>
  <c r="G664" i="12"/>
  <c r="G665" i="12"/>
  <c r="B666" i="12"/>
  <c r="G666" i="12"/>
  <c r="B667" i="12"/>
  <c r="G667" i="12"/>
  <c r="B668" i="12"/>
  <c r="G668" i="12"/>
  <c r="B669" i="12"/>
  <c r="G669" i="12"/>
  <c r="B670" i="12"/>
  <c r="G670" i="12"/>
  <c r="B671" i="12"/>
  <c r="G671" i="12"/>
  <c r="B672" i="12"/>
  <c r="G672" i="12"/>
  <c r="B673" i="12"/>
  <c r="G673" i="12"/>
  <c r="G674" i="12"/>
  <c r="G675" i="12"/>
  <c r="G676" i="12"/>
  <c r="G677" i="12"/>
  <c r="G678" i="12"/>
  <c r="B679" i="12"/>
  <c r="G679" i="12"/>
  <c r="B680" i="12"/>
  <c r="G680" i="12"/>
  <c r="B681" i="12"/>
  <c r="G681" i="12"/>
  <c r="G682" i="12"/>
  <c r="G683" i="12"/>
  <c r="G684" i="12"/>
  <c r="B685" i="12"/>
  <c r="G685" i="12"/>
  <c r="B686" i="12"/>
  <c r="G686" i="12"/>
  <c r="B687" i="12"/>
  <c r="G687" i="12"/>
  <c r="B688" i="12"/>
  <c r="G688" i="12"/>
  <c r="B689" i="12"/>
  <c r="G689" i="12"/>
  <c r="B690" i="12"/>
  <c r="G690" i="12"/>
  <c r="G691" i="12"/>
  <c r="G692" i="12"/>
  <c r="G693" i="12"/>
  <c r="G694" i="12"/>
  <c r="G695" i="12"/>
  <c r="B696" i="12"/>
  <c r="G696" i="12"/>
  <c r="B697" i="12"/>
  <c r="G697" i="12"/>
  <c r="B698" i="12"/>
  <c r="G698" i="12"/>
  <c r="B699" i="12"/>
  <c r="G699" i="12"/>
  <c r="B700" i="12"/>
  <c r="G700" i="12"/>
  <c r="B701" i="12"/>
  <c r="G701" i="12"/>
  <c r="B702" i="12"/>
  <c r="G702" i="12"/>
  <c r="B703" i="12"/>
  <c r="G703" i="12"/>
  <c r="B704" i="12"/>
  <c r="G704" i="12"/>
  <c r="B705" i="12"/>
  <c r="G705" i="12"/>
  <c r="B706" i="12"/>
  <c r="G706" i="12"/>
  <c r="G707" i="12"/>
  <c r="G708" i="12"/>
  <c r="G709" i="12"/>
  <c r="G710" i="12"/>
  <c r="G711" i="12"/>
  <c r="B712" i="12"/>
  <c r="G712" i="12"/>
  <c r="B713" i="12"/>
  <c r="G713" i="12"/>
  <c r="B714" i="12"/>
  <c r="G714" i="12"/>
  <c r="B715" i="12"/>
  <c r="G715" i="12"/>
  <c r="B716" i="12"/>
  <c r="G716" i="12"/>
  <c r="B717" i="12"/>
  <c r="G717" i="12"/>
  <c r="B718" i="12"/>
  <c r="G718" i="12"/>
  <c r="B719" i="12"/>
  <c r="G719" i="12"/>
  <c r="B720" i="12"/>
  <c r="G720" i="12"/>
  <c r="B721" i="12"/>
  <c r="G721" i="12"/>
  <c r="B722" i="12"/>
  <c r="G722" i="12"/>
  <c r="B723" i="12"/>
  <c r="G723" i="12"/>
  <c r="B724" i="12"/>
  <c r="G724" i="12"/>
  <c r="B725" i="12"/>
  <c r="G725" i="12"/>
  <c r="B726" i="12"/>
  <c r="G726" i="12"/>
  <c r="B727" i="12"/>
  <c r="G727" i="12"/>
  <c r="B728" i="12"/>
  <c r="G728" i="12"/>
  <c r="B729" i="12"/>
  <c r="G729" i="12"/>
  <c r="B730" i="12"/>
  <c r="G730" i="12"/>
  <c r="B731" i="12"/>
  <c r="G731" i="12"/>
  <c r="B732" i="12"/>
  <c r="G732" i="12"/>
  <c r="B733" i="12"/>
  <c r="G733" i="12"/>
  <c r="B734" i="12"/>
  <c r="G734" i="12"/>
  <c r="B735" i="12"/>
  <c r="G735" i="12"/>
  <c r="B736" i="12"/>
  <c r="G736" i="12"/>
  <c r="B737" i="12"/>
  <c r="G737" i="12"/>
  <c r="B738" i="12"/>
  <c r="G738" i="12"/>
  <c r="B739" i="12"/>
  <c r="G739" i="12"/>
  <c r="B740" i="12"/>
  <c r="G740" i="12"/>
  <c r="B741" i="12"/>
  <c r="G741" i="12"/>
  <c r="B742" i="12"/>
  <c r="G742" i="12"/>
  <c r="B743" i="12"/>
  <c r="G743" i="12"/>
  <c r="B744" i="12"/>
  <c r="G744" i="12"/>
  <c r="B745" i="12"/>
  <c r="G745" i="12"/>
  <c r="B746" i="12"/>
  <c r="G746" i="12"/>
  <c r="G747" i="12"/>
  <c r="G748" i="12"/>
  <c r="G749" i="12"/>
  <c r="G750" i="12"/>
  <c r="G751" i="12"/>
  <c r="G752" i="12"/>
  <c r="B753" i="12"/>
  <c r="G753" i="12"/>
  <c r="G754" i="12"/>
  <c r="G755" i="12"/>
  <c r="G756" i="12"/>
  <c r="B757" i="12"/>
  <c r="G757" i="12"/>
  <c r="B758" i="12"/>
  <c r="G758" i="12"/>
  <c r="B759" i="12"/>
  <c r="G759" i="12"/>
  <c r="B760" i="12"/>
  <c r="G760" i="12"/>
  <c r="B761" i="12"/>
  <c r="G761" i="12"/>
  <c r="B762" i="12"/>
  <c r="G762" i="12"/>
  <c r="B763" i="12"/>
  <c r="G763" i="12"/>
  <c r="G764" i="12"/>
  <c r="G765" i="12"/>
  <c r="B766" i="12"/>
  <c r="G766" i="12"/>
  <c r="B767" i="12"/>
  <c r="G767" i="12"/>
  <c r="G768" i="12"/>
  <c r="B769" i="12"/>
  <c r="G769" i="12"/>
  <c r="B770" i="12"/>
  <c r="G770" i="12"/>
  <c r="B771" i="12"/>
  <c r="G771" i="12"/>
  <c r="B772" i="12"/>
  <c r="G772" i="12"/>
  <c r="B773" i="12"/>
  <c r="G773" i="12"/>
  <c r="B774" i="12"/>
  <c r="G774" i="12"/>
  <c r="B775" i="12"/>
  <c r="G775" i="12"/>
  <c r="B776" i="12"/>
  <c r="G776" i="12"/>
  <c r="B777" i="12"/>
  <c r="G777" i="12"/>
  <c r="B778" i="12"/>
  <c r="G778" i="12"/>
  <c r="B779" i="12"/>
  <c r="G779" i="12"/>
  <c r="B780" i="12"/>
  <c r="G780" i="12"/>
  <c r="B781" i="12"/>
  <c r="G781" i="12"/>
  <c r="B782" i="12"/>
  <c r="G782" i="12"/>
  <c r="B783" i="12"/>
  <c r="G783" i="12"/>
  <c r="B784" i="12"/>
  <c r="G784" i="12"/>
  <c r="G785" i="12"/>
  <c r="G786" i="12"/>
  <c r="G787" i="12"/>
  <c r="G788" i="12"/>
  <c r="B789" i="12"/>
  <c r="G789" i="12"/>
  <c r="B790" i="12"/>
  <c r="G790" i="12"/>
  <c r="B791" i="12"/>
  <c r="G791" i="12"/>
  <c r="B792" i="12"/>
  <c r="G792" i="12"/>
  <c r="B793" i="12"/>
  <c r="G793" i="12"/>
  <c r="B794" i="12"/>
  <c r="G794" i="12"/>
  <c r="B795" i="12"/>
  <c r="G795" i="12"/>
  <c r="B796" i="12"/>
  <c r="G796" i="12"/>
  <c r="B797" i="12"/>
  <c r="G797" i="12"/>
  <c r="B798" i="12"/>
  <c r="G798" i="12"/>
  <c r="B799" i="12"/>
  <c r="G799" i="12"/>
  <c r="B800" i="12"/>
  <c r="G800" i="12"/>
  <c r="B801" i="12"/>
  <c r="G801" i="12"/>
  <c r="B802" i="12"/>
  <c r="G802" i="12"/>
  <c r="B803" i="12"/>
  <c r="G803" i="12"/>
  <c r="B804" i="12"/>
  <c r="G804" i="12"/>
  <c r="B805" i="12"/>
  <c r="G805" i="12"/>
  <c r="B806" i="12"/>
  <c r="G806" i="12"/>
  <c r="B807" i="12"/>
  <c r="G807" i="12"/>
  <c r="B808" i="12"/>
  <c r="G808" i="12"/>
  <c r="B809" i="12"/>
  <c r="G809" i="12"/>
  <c r="B810" i="12"/>
  <c r="G810" i="12"/>
  <c r="B811" i="12"/>
  <c r="G811" i="12"/>
  <c r="B812" i="12"/>
  <c r="G812" i="12"/>
  <c r="B813" i="12"/>
  <c r="G813" i="12"/>
  <c r="G814" i="12"/>
  <c r="G815" i="12"/>
  <c r="G816" i="12"/>
  <c r="G817" i="12"/>
  <c r="G818" i="12"/>
  <c r="G819" i="12"/>
  <c r="B820" i="12"/>
  <c r="G820" i="12"/>
  <c r="B821" i="12"/>
  <c r="G821" i="12"/>
  <c r="B822" i="12"/>
  <c r="G822" i="12"/>
  <c r="B823" i="12"/>
  <c r="G823" i="12"/>
  <c r="B824" i="12"/>
  <c r="G824" i="12"/>
  <c r="B825" i="12"/>
  <c r="G825" i="12"/>
  <c r="B826" i="12"/>
  <c r="G826" i="12"/>
  <c r="B827" i="12"/>
  <c r="G827" i="12"/>
  <c r="B828" i="12"/>
  <c r="G828" i="12"/>
  <c r="B829" i="12"/>
  <c r="G829" i="12"/>
  <c r="B830" i="12"/>
  <c r="G830" i="12"/>
  <c r="B831" i="12"/>
  <c r="G831" i="12"/>
  <c r="B832" i="12"/>
  <c r="G832" i="12"/>
  <c r="B833" i="12"/>
  <c r="G833" i="12"/>
  <c r="B834" i="12"/>
  <c r="G834" i="12"/>
  <c r="B835" i="12"/>
  <c r="G835" i="12"/>
  <c r="B836" i="12"/>
  <c r="G836" i="12"/>
  <c r="B837" i="12"/>
  <c r="G837" i="12"/>
  <c r="B838" i="12"/>
  <c r="G838" i="12"/>
  <c r="B839" i="12"/>
  <c r="G839" i="12"/>
  <c r="B840" i="12"/>
  <c r="G840" i="12"/>
  <c r="B841" i="12"/>
  <c r="G841" i="12"/>
  <c r="B842" i="12"/>
  <c r="G842" i="12"/>
  <c r="B843" i="12"/>
  <c r="G843" i="12"/>
  <c r="B844" i="12"/>
  <c r="G844" i="12"/>
  <c r="B845" i="12"/>
  <c r="G845" i="12"/>
  <c r="B846" i="12"/>
  <c r="G846" i="12"/>
  <c r="B847" i="12"/>
  <c r="G847" i="12"/>
  <c r="B848" i="12"/>
  <c r="G848" i="12"/>
  <c r="B849" i="12"/>
  <c r="G849" i="12"/>
  <c r="B850" i="12"/>
  <c r="G850" i="12"/>
  <c r="B851" i="12"/>
  <c r="G851" i="12"/>
  <c r="B852" i="12"/>
  <c r="G852" i="12"/>
  <c r="B853" i="12"/>
  <c r="G853" i="12"/>
  <c r="B854" i="12"/>
  <c r="G854" i="12"/>
  <c r="B855" i="12"/>
  <c r="G855" i="12"/>
  <c r="B856" i="12"/>
  <c r="G856" i="12"/>
  <c r="B857" i="12"/>
  <c r="G857" i="12"/>
  <c r="B858" i="12"/>
  <c r="G858" i="12"/>
  <c r="B859" i="12"/>
  <c r="G859" i="12"/>
  <c r="B860" i="12"/>
  <c r="G860" i="12"/>
  <c r="G861" i="12"/>
  <c r="G862" i="12"/>
  <c r="G863" i="12"/>
  <c r="B864" i="12"/>
  <c r="G864" i="12"/>
  <c r="B865" i="12"/>
  <c r="G865" i="12"/>
  <c r="G866" i="12"/>
  <c r="G867" i="12"/>
  <c r="G868" i="12"/>
  <c r="G869" i="12"/>
  <c r="G870" i="12"/>
  <c r="G871" i="12"/>
  <c r="G872" i="12"/>
  <c r="G873" i="12"/>
  <c r="G874" i="12"/>
  <c r="G875" i="12"/>
  <c r="G876" i="12"/>
  <c r="B877" i="12"/>
  <c r="G877" i="12"/>
  <c r="G878" i="12"/>
  <c r="G879" i="12"/>
  <c r="G880" i="12"/>
  <c r="G881" i="12"/>
  <c r="G882" i="12"/>
  <c r="G883" i="12"/>
  <c r="G884" i="12"/>
  <c r="G885" i="12"/>
  <c r="G886" i="12"/>
  <c r="G887" i="12"/>
  <c r="G888" i="12"/>
  <c r="G889" i="12"/>
  <c r="G890" i="12"/>
  <c r="G891" i="12"/>
  <c r="G892" i="12"/>
  <c r="G893" i="12"/>
  <c r="G894" i="12"/>
  <c r="G895" i="12"/>
  <c r="G896" i="12"/>
  <c r="G897" i="12"/>
  <c r="G898" i="12"/>
  <c r="G899" i="12"/>
  <c r="B900" i="12"/>
  <c r="G900" i="12"/>
  <c r="B901" i="12"/>
  <c r="G901" i="12"/>
  <c r="G902" i="12"/>
  <c r="G903" i="12"/>
  <c r="B904" i="12"/>
  <c r="G904" i="12"/>
  <c r="G905" i="12"/>
  <c r="B906" i="12"/>
  <c r="G906" i="12"/>
  <c r="B907" i="12"/>
  <c r="G907" i="12"/>
  <c r="G908" i="12"/>
  <c r="G909" i="12"/>
  <c r="B910" i="12"/>
  <c r="G910" i="12"/>
  <c r="G911" i="12"/>
  <c r="B912" i="12"/>
  <c r="G912" i="12"/>
  <c r="G913" i="12"/>
  <c r="B914" i="12"/>
  <c r="G914" i="12"/>
  <c r="G915" i="12"/>
  <c r="B916" i="12"/>
  <c r="G916" i="12"/>
  <c r="G917" i="12"/>
  <c r="B918" i="12"/>
  <c r="G918" i="12"/>
  <c r="B919" i="12"/>
  <c r="G919" i="12"/>
  <c r="G920" i="12"/>
  <c r="B921" i="12"/>
  <c r="G921" i="12"/>
  <c r="B922" i="12"/>
  <c r="G922" i="12"/>
  <c r="G923" i="12"/>
  <c r="G924" i="12"/>
  <c r="G925" i="12"/>
  <c r="G926" i="12"/>
  <c r="G927" i="12"/>
  <c r="G928" i="12"/>
  <c r="G929" i="12"/>
  <c r="B930" i="12"/>
  <c r="G930" i="12"/>
  <c r="G931" i="12"/>
  <c r="G932" i="12"/>
  <c r="G933" i="12"/>
  <c r="G934" i="12"/>
  <c r="G935" i="12"/>
  <c r="G936" i="12"/>
  <c r="G937" i="12"/>
  <c r="G938" i="12"/>
  <c r="G939" i="12"/>
  <c r="B940" i="12"/>
  <c r="G940" i="12"/>
  <c r="B941" i="12"/>
  <c r="G941" i="12"/>
  <c r="G942" i="12"/>
  <c r="G943" i="12"/>
  <c r="B944" i="12"/>
  <c r="G944" i="12"/>
  <c r="G945" i="12"/>
  <c r="B946" i="12"/>
  <c r="G946" i="12"/>
  <c r="G947" i="12"/>
  <c r="G948" i="12"/>
  <c r="G949" i="12"/>
  <c r="B950" i="12"/>
  <c r="G950" i="12"/>
  <c r="G951" i="12"/>
  <c r="B952" i="12"/>
  <c r="G952" i="12"/>
  <c r="B953" i="12"/>
  <c r="G953" i="12"/>
  <c r="B954" i="12"/>
  <c r="G954" i="12"/>
  <c r="G955" i="12"/>
  <c r="B956" i="12"/>
  <c r="G956" i="12"/>
  <c r="B957" i="12"/>
  <c r="G957" i="12"/>
  <c r="G958" i="12"/>
  <c r="G959" i="12"/>
  <c r="G960" i="12"/>
  <c r="B961" i="12"/>
  <c r="G961" i="12"/>
  <c r="G962" i="12"/>
  <c r="B963" i="12"/>
  <c r="G963" i="12"/>
  <c r="B964" i="12"/>
  <c r="G964" i="12"/>
  <c r="B965" i="12"/>
  <c r="G965" i="12"/>
  <c r="G966" i="12"/>
  <c r="B967" i="12"/>
  <c r="G967" i="12"/>
  <c r="G968" i="12"/>
  <c r="B969" i="12"/>
  <c r="G969" i="12"/>
  <c r="G970" i="12"/>
  <c r="B971" i="12"/>
  <c r="G971" i="12"/>
  <c r="B972" i="12"/>
  <c r="G972" i="12"/>
  <c r="G973" i="12"/>
  <c r="B974" i="12"/>
  <c r="G974" i="12"/>
  <c r="G975" i="12"/>
  <c r="G976" i="12"/>
  <c r="B977" i="12"/>
  <c r="G977" i="12"/>
  <c r="G978" i="12"/>
  <c r="B979" i="12"/>
  <c r="G979" i="12"/>
  <c r="G980" i="12"/>
  <c r="B981" i="12"/>
  <c r="G981" i="12"/>
  <c r="G982" i="12"/>
  <c r="B983" i="12"/>
  <c r="G983" i="12"/>
  <c r="B984" i="12"/>
  <c r="G984" i="12"/>
  <c r="B985" i="12"/>
  <c r="G985" i="12"/>
  <c r="B986" i="12"/>
  <c r="G986" i="12"/>
  <c r="B987" i="12"/>
  <c r="G987" i="12"/>
  <c r="B988" i="12"/>
  <c r="G988" i="12"/>
  <c r="G989" i="12"/>
  <c r="B990" i="12"/>
  <c r="G990" i="12"/>
  <c r="G991" i="12"/>
  <c r="B992" i="12"/>
  <c r="G992" i="12"/>
  <c r="G993" i="12"/>
  <c r="G994" i="12"/>
  <c r="G995" i="12"/>
  <c r="G996" i="12"/>
  <c r="B997" i="12"/>
  <c r="G997" i="12"/>
  <c r="B998" i="12"/>
  <c r="G998" i="12"/>
  <c r="B999" i="12"/>
  <c r="G999" i="12"/>
  <c r="B1000" i="12"/>
  <c r="G1000" i="12"/>
  <c r="B1001" i="12"/>
  <c r="G1001" i="12"/>
  <c r="G1002" i="12"/>
  <c r="B1003" i="12"/>
  <c r="G1003" i="12"/>
  <c r="B1004" i="12"/>
  <c r="G1004" i="12"/>
  <c r="G1005" i="12"/>
  <c r="B1006" i="12"/>
  <c r="G1006" i="12"/>
  <c r="B1007" i="12"/>
  <c r="G1007" i="12"/>
  <c r="B1008" i="12"/>
  <c r="G1008" i="12"/>
  <c r="B1009" i="12"/>
  <c r="G1009" i="12"/>
  <c r="G1010" i="12"/>
  <c r="B1011" i="12"/>
  <c r="G1011" i="12"/>
  <c r="B1012" i="12"/>
  <c r="G1012" i="12"/>
  <c r="B1013" i="12"/>
  <c r="G1013" i="12"/>
  <c r="B1014" i="12"/>
  <c r="G1014" i="12"/>
  <c r="B1015" i="12"/>
  <c r="G1015" i="12"/>
  <c r="G1016" i="12"/>
  <c r="G1017" i="12"/>
  <c r="B1018" i="12"/>
  <c r="G1018" i="12"/>
  <c r="B1019" i="12"/>
  <c r="G1019" i="12"/>
  <c r="G1020" i="12"/>
  <c r="B1021" i="12"/>
  <c r="G1021" i="12"/>
  <c r="G1022" i="12"/>
  <c r="G1023" i="12"/>
  <c r="B1024" i="12"/>
  <c r="G1024" i="12"/>
  <c r="G1025" i="12"/>
  <c r="B1026" i="12"/>
  <c r="G1026" i="12"/>
  <c r="B1027" i="12"/>
  <c r="G1027" i="12"/>
  <c r="G1028" i="12"/>
  <c r="B1029" i="12"/>
  <c r="G1029" i="12"/>
  <c r="B1030" i="12"/>
  <c r="G1030" i="12"/>
  <c r="B1031" i="12"/>
  <c r="G1031" i="12"/>
  <c r="B1032" i="12"/>
  <c r="G1032" i="12"/>
  <c r="G1033" i="12"/>
  <c r="B1034" i="12"/>
  <c r="G1034" i="12"/>
  <c r="G1035" i="12"/>
  <c r="B1036" i="12"/>
  <c r="G1036" i="12"/>
  <c r="G1037" i="12"/>
  <c r="B1038" i="12"/>
  <c r="G1038" i="12"/>
  <c r="G1039" i="12"/>
  <c r="G1040" i="12"/>
  <c r="G1041" i="12"/>
  <c r="G1042" i="12"/>
  <c r="B1043" i="12"/>
  <c r="G1043" i="12"/>
  <c r="B1044" i="12"/>
  <c r="G1044" i="12"/>
  <c r="B1045" i="12"/>
  <c r="G1045" i="12"/>
  <c r="G1046" i="12"/>
  <c r="G1047" i="12"/>
  <c r="B1048" i="12"/>
  <c r="G1048" i="12"/>
  <c r="B1049" i="12"/>
  <c r="G1049" i="12"/>
  <c r="B1050" i="12"/>
  <c r="G1050" i="12"/>
  <c r="B1051" i="12"/>
  <c r="G1051" i="12"/>
  <c r="B1052" i="12"/>
  <c r="G1052" i="12"/>
  <c r="B1053" i="12"/>
  <c r="G1053" i="12"/>
  <c r="B1054" i="12"/>
  <c r="G1054" i="12"/>
  <c r="B1055" i="12"/>
  <c r="G1055" i="12"/>
  <c r="G1056" i="12"/>
  <c r="G1057" i="12"/>
  <c r="G1058" i="12"/>
  <c r="G1059" i="12"/>
  <c r="G1060" i="12"/>
  <c r="G1061" i="12"/>
  <c r="G1062" i="12"/>
  <c r="G1063" i="12"/>
  <c r="G1064" i="12"/>
  <c r="G1065" i="12"/>
  <c r="G1066" i="12"/>
  <c r="B1067" i="12"/>
  <c r="G1067" i="12"/>
  <c r="B1068" i="12"/>
  <c r="G1068" i="12"/>
  <c r="B1069" i="12"/>
  <c r="G1069" i="12"/>
  <c r="B1070" i="12"/>
  <c r="G1070" i="12"/>
  <c r="B1071" i="12"/>
  <c r="G1071" i="12"/>
  <c r="B1072" i="12"/>
  <c r="G1072" i="12"/>
  <c r="B1073" i="12"/>
  <c r="G1073" i="12"/>
  <c r="B1074" i="12"/>
  <c r="G1074" i="12"/>
  <c r="B1075" i="12"/>
  <c r="G1075" i="12"/>
  <c r="B1076" i="12"/>
  <c r="G1076" i="12"/>
  <c r="B1077" i="12"/>
  <c r="G1077" i="12"/>
  <c r="B1078" i="12"/>
  <c r="G1078" i="12"/>
  <c r="G1079" i="12"/>
  <c r="G1080" i="12"/>
  <c r="G1081" i="12"/>
  <c r="G1082" i="12"/>
  <c r="G1083" i="12"/>
  <c r="G1084" i="12"/>
  <c r="G1085" i="12"/>
  <c r="G1086" i="12"/>
  <c r="G1087" i="12"/>
  <c r="G1088" i="12"/>
  <c r="G1089" i="12"/>
  <c r="G1090" i="12"/>
  <c r="G1091" i="12"/>
  <c r="G1092" i="12"/>
  <c r="G1093" i="12"/>
  <c r="G1094" i="12"/>
  <c r="G1095" i="12"/>
  <c r="G1096" i="12"/>
  <c r="G1097" i="12"/>
  <c r="G1098" i="12"/>
  <c r="G1099" i="12"/>
  <c r="G1100" i="12"/>
  <c r="B1101" i="12"/>
  <c r="G1101" i="12"/>
  <c r="B1102" i="12"/>
  <c r="G1102" i="12"/>
  <c r="B1103" i="12"/>
  <c r="G1103" i="12"/>
  <c r="G1104" i="12"/>
  <c r="G1105" i="12"/>
  <c r="G1106" i="12"/>
  <c r="G1107" i="12"/>
  <c r="B1108" i="12"/>
  <c r="G1108" i="12"/>
  <c r="B1109" i="12"/>
  <c r="G1109" i="12"/>
  <c r="G1110" i="12"/>
  <c r="G1111" i="12"/>
  <c r="G1112" i="12"/>
  <c r="G1113" i="12"/>
  <c r="G1114" i="12"/>
  <c r="G1115" i="12"/>
  <c r="B1116" i="12"/>
  <c r="G1116" i="12"/>
  <c r="B1117" i="12"/>
  <c r="G1117" i="12"/>
  <c r="G1118" i="12"/>
  <c r="B1119" i="12"/>
  <c r="G1119" i="12"/>
  <c r="B1120" i="12"/>
  <c r="G1120" i="12"/>
  <c r="B1121" i="12"/>
  <c r="G1121" i="12"/>
  <c r="B1122" i="12"/>
  <c r="G1122" i="12"/>
  <c r="B1123" i="12"/>
  <c r="G1123" i="12"/>
  <c r="B1124" i="12"/>
  <c r="G1124" i="12"/>
  <c r="B1125" i="12"/>
  <c r="G1125" i="12"/>
  <c r="B1126" i="12"/>
  <c r="G1126" i="12"/>
  <c r="B1127" i="12"/>
  <c r="G1127" i="12"/>
  <c r="B1128" i="12"/>
  <c r="G1128" i="12"/>
  <c r="B1129" i="12"/>
  <c r="G1129" i="12"/>
  <c r="B1130" i="12"/>
  <c r="G1130" i="12"/>
  <c r="B1131" i="12"/>
  <c r="G1131" i="12"/>
  <c r="B1132" i="12"/>
  <c r="G1132" i="12"/>
  <c r="B1133" i="12"/>
  <c r="G1133" i="12"/>
  <c r="B1134" i="12"/>
  <c r="G1134" i="12"/>
  <c r="B1135" i="12"/>
  <c r="G1135" i="12"/>
  <c r="B1136" i="12"/>
  <c r="G1136" i="12"/>
  <c r="B1137" i="12"/>
  <c r="G1137" i="12"/>
  <c r="B1138" i="12"/>
  <c r="G1138" i="12"/>
  <c r="B1139" i="12"/>
  <c r="G1139" i="12"/>
  <c r="B1140" i="12"/>
  <c r="G1140" i="12"/>
  <c r="B1141" i="12"/>
  <c r="G1141" i="12"/>
  <c r="B1142" i="12"/>
  <c r="G1142" i="12"/>
  <c r="B1143" i="12"/>
  <c r="G1143" i="12"/>
  <c r="B1144" i="12"/>
  <c r="G1144" i="12"/>
  <c r="B1145" i="12"/>
  <c r="G1145" i="12"/>
  <c r="B1146" i="12"/>
  <c r="G1146" i="12"/>
  <c r="B1147" i="12"/>
  <c r="G1147" i="12"/>
  <c r="B1148" i="12"/>
  <c r="G1148" i="12"/>
  <c r="B1149" i="12"/>
  <c r="G1149" i="12"/>
  <c r="B1150" i="12"/>
  <c r="G1150" i="12"/>
  <c r="B1151" i="12"/>
  <c r="G1151" i="12"/>
  <c r="B1152" i="12"/>
  <c r="G1152" i="12"/>
  <c r="B1153" i="12"/>
  <c r="G1153" i="12"/>
  <c r="B1154" i="12"/>
  <c r="G1154" i="12"/>
  <c r="B1155" i="12"/>
  <c r="G1155" i="12"/>
  <c r="B1156" i="12"/>
  <c r="G1156" i="12"/>
  <c r="G1157" i="12"/>
  <c r="G1158" i="12"/>
  <c r="G1159" i="12"/>
  <c r="G1160" i="12"/>
  <c r="G1161" i="12"/>
  <c r="G1162" i="12"/>
  <c r="G1163" i="12"/>
  <c r="G1164" i="12"/>
  <c r="G1165" i="12"/>
  <c r="G1166" i="12"/>
  <c r="G1167" i="12"/>
  <c r="B1168" i="12"/>
  <c r="G1168" i="12"/>
  <c r="G1169" i="12"/>
  <c r="G1170" i="12"/>
  <c r="G1171" i="12"/>
  <c r="G1172" i="12"/>
  <c r="G1173" i="12"/>
  <c r="G1174" i="12"/>
  <c r="G1175" i="12"/>
  <c r="B1176" i="12"/>
  <c r="G1176" i="12"/>
  <c r="B1177" i="12"/>
  <c r="G1177" i="12"/>
  <c r="B1178" i="12"/>
  <c r="G1178" i="12"/>
  <c r="B1179" i="12"/>
  <c r="G1179" i="12"/>
  <c r="G1180" i="12"/>
  <c r="G1181" i="12"/>
  <c r="G1182" i="12"/>
  <c r="G1183" i="12"/>
  <c r="G1184" i="12"/>
  <c r="G1185" i="12"/>
  <c r="G1186" i="12"/>
  <c r="G1187" i="12"/>
  <c r="G1188" i="12"/>
  <c r="G1189" i="12"/>
  <c r="G1190" i="12"/>
  <c r="G1191" i="12"/>
  <c r="G1192" i="12"/>
  <c r="G1193" i="12"/>
  <c r="G1194" i="12"/>
  <c r="G1195" i="12"/>
  <c r="B1196" i="12"/>
  <c r="G1196" i="12"/>
  <c r="G1197" i="12"/>
  <c r="G1198" i="12"/>
  <c r="G1199" i="12"/>
  <c r="B1200" i="12"/>
  <c r="G1200" i="12"/>
  <c r="B1201" i="12"/>
  <c r="G1201" i="12"/>
  <c r="B1202" i="12"/>
  <c r="G1202" i="12"/>
  <c r="G1203" i="12"/>
  <c r="G1204" i="12"/>
  <c r="G1205" i="12"/>
  <c r="B1206" i="12"/>
  <c r="G1206" i="12"/>
  <c r="B1207" i="12"/>
  <c r="G1207" i="12"/>
  <c r="B1208" i="12"/>
  <c r="G1208" i="12"/>
  <c r="G1209" i="12"/>
  <c r="G1210" i="12"/>
  <c r="G1211" i="12"/>
  <c r="G1212" i="12"/>
  <c r="G1213" i="12"/>
  <c r="G1214" i="12"/>
  <c r="G1215" i="12"/>
  <c r="G1216" i="12"/>
  <c r="B1217" i="12"/>
  <c r="G1217" i="12"/>
  <c r="G1218" i="12"/>
  <c r="G1219" i="12"/>
  <c r="G1220" i="12"/>
  <c r="G1221" i="12"/>
  <c r="G1222" i="12"/>
  <c r="G1223" i="12"/>
  <c r="B1224" i="12"/>
  <c r="G1224" i="12"/>
  <c r="G1225" i="12"/>
  <c r="G1226" i="12"/>
  <c r="G1227" i="12"/>
  <c r="G1228" i="12"/>
  <c r="B1229" i="12"/>
  <c r="G1229" i="12"/>
  <c r="B1230" i="12"/>
  <c r="G1230" i="12"/>
  <c r="G1231" i="12"/>
  <c r="G1232" i="12"/>
  <c r="G1233" i="12"/>
  <c r="G1234" i="12"/>
  <c r="G1235" i="12"/>
  <c r="B1236" i="12"/>
  <c r="G1236" i="12"/>
  <c r="B1237" i="12"/>
  <c r="G1237" i="12"/>
  <c r="G1238" i="12"/>
  <c r="G1239" i="12"/>
  <c r="G1240" i="12"/>
  <c r="G1241" i="12"/>
  <c r="G1242" i="12"/>
  <c r="B1243" i="12"/>
  <c r="G1243" i="12"/>
  <c r="B1244" i="12"/>
  <c r="G1244" i="12"/>
  <c r="G1245" i="12"/>
  <c r="G1246" i="12"/>
  <c r="G1247" i="12"/>
  <c r="B1248" i="12"/>
  <c r="G1248" i="12"/>
  <c r="G1249" i="12"/>
  <c r="G1250" i="12"/>
  <c r="G1251" i="12"/>
  <c r="B1252" i="12"/>
  <c r="G1252" i="12"/>
  <c r="B1253" i="12"/>
  <c r="G1253" i="12"/>
  <c r="G1254" i="12"/>
  <c r="G1255" i="12"/>
  <c r="B1256" i="12"/>
  <c r="G1256" i="12"/>
  <c r="B1257" i="12"/>
  <c r="G1257" i="12"/>
  <c r="G1258" i="12"/>
  <c r="G1259" i="12"/>
  <c r="B1260" i="12"/>
  <c r="G1260" i="12"/>
  <c r="B1261" i="12"/>
  <c r="G1261" i="12"/>
  <c r="G1262" i="12"/>
  <c r="G1263" i="12"/>
  <c r="G1264" i="12"/>
  <c r="G1265" i="12"/>
  <c r="B1266" i="12"/>
  <c r="G1266" i="12"/>
  <c r="B1267" i="12"/>
  <c r="G1267" i="12"/>
  <c r="G1268" i="12"/>
  <c r="G1269" i="12"/>
  <c r="G1270" i="12"/>
  <c r="B1271" i="12"/>
  <c r="G1271" i="12"/>
  <c r="B1272" i="12"/>
  <c r="G1272" i="12"/>
  <c r="B1273" i="12"/>
  <c r="G1273" i="12"/>
  <c r="B1274" i="12"/>
  <c r="G1274" i="12"/>
  <c r="B1275" i="12"/>
  <c r="G1275" i="12"/>
  <c r="B1276" i="12"/>
  <c r="G1276" i="12"/>
  <c r="B1277" i="12"/>
  <c r="G1277" i="12"/>
  <c r="B1278" i="12"/>
  <c r="G1278" i="12"/>
  <c r="G1279" i="12"/>
  <c r="G1280" i="12"/>
  <c r="G1281" i="12"/>
  <c r="G1282" i="12"/>
  <c r="G1283" i="12"/>
  <c r="B1284" i="12"/>
  <c r="G1284" i="12"/>
  <c r="B1285" i="12"/>
  <c r="G1285" i="12"/>
  <c r="B1286" i="12"/>
  <c r="G1286" i="12"/>
  <c r="B1287" i="12"/>
  <c r="G1287" i="12"/>
  <c r="B1288" i="12"/>
  <c r="G1288" i="12"/>
  <c r="B1289" i="12"/>
  <c r="G1289" i="12"/>
  <c r="B1290" i="12"/>
  <c r="G1290" i="12"/>
  <c r="G1291" i="12"/>
  <c r="B1292" i="12"/>
  <c r="G1292" i="12"/>
  <c r="G1293" i="12"/>
  <c r="G1294" i="12"/>
  <c r="G1295" i="12"/>
  <c r="G1296" i="12"/>
  <c r="G1297" i="12"/>
  <c r="G1298" i="12"/>
  <c r="G1299" i="12"/>
  <c r="G1300" i="12"/>
  <c r="G1301" i="12"/>
  <c r="G1302" i="12"/>
  <c r="G1303" i="12"/>
  <c r="G1304" i="12"/>
  <c r="G1305" i="12"/>
  <c r="G1306" i="12"/>
  <c r="G1307" i="12"/>
  <c r="G1308" i="12"/>
  <c r="G1309" i="12"/>
  <c r="G1310" i="12"/>
  <c r="B1311" i="12"/>
  <c r="G1311" i="12"/>
  <c r="B1312" i="12"/>
  <c r="G1312" i="12"/>
  <c r="B1313" i="12"/>
  <c r="G1313" i="12"/>
  <c r="B1314" i="12"/>
  <c r="G1314" i="12"/>
  <c r="B1315" i="12"/>
  <c r="G1315" i="12"/>
  <c r="G1316" i="12"/>
  <c r="G1317" i="12"/>
  <c r="G1318" i="12"/>
  <c r="G1319" i="12"/>
  <c r="G1320" i="12"/>
  <c r="B1321" i="12"/>
  <c r="G1321" i="12"/>
  <c r="B1322" i="12"/>
  <c r="G1322" i="12"/>
  <c r="B1323" i="12"/>
  <c r="G1323" i="12"/>
  <c r="B1324" i="12"/>
  <c r="G1324" i="12"/>
  <c r="B1325" i="12"/>
  <c r="G1325" i="12"/>
  <c r="B1326" i="12"/>
  <c r="G1326" i="12"/>
  <c r="B1327" i="12"/>
  <c r="G1327" i="12"/>
  <c r="B1328" i="12"/>
  <c r="G1328" i="12"/>
  <c r="B1329" i="12"/>
  <c r="G1329" i="12"/>
  <c r="G1330" i="12"/>
  <c r="B1331" i="12"/>
  <c r="G1331" i="12"/>
  <c r="G1332" i="12"/>
  <c r="B1333" i="12"/>
  <c r="G1333" i="12"/>
  <c r="G1334" i="12"/>
  <c r="B1335" i="12"/>
  <c r="G1335" i="12"/>
  <c r="B1336" i="12"/>
  <c r="G1336" i="12"/>
  <c r="G1337" i="12"/>
  <c r="B1338" i="12"/>
  <c r="G1338" i="12"/>
  <c r="B1339" i="12"/>
  <c r="G1339" i="12"/>
  <c r="B1340" i="12"/>
  <c r="G1340" i="12"/>
  <c r="B1341" i="12"/>
  <c r="G1341" i="12"/>
  <c r="G1342" i="12"/>
  <c r="G1343" i="12"/>
  <c r="G1344" i="12"/>
  <c r="G1345" i="12"/>
  <c r="G1346" i="12"/>
  <c r="G1347" i="12"/>
  <c r="G1348" i="12"/>
  <c r="G1349" i="12"/>
  <c r="G1350" i="12"/>
  <c r="G1351" i="12"/>
  <c r="G1352" i="12"/>
  <c r="G1353" i="12"/>
  <c r="B1354" i="12"/>
  <c r="G1354" i="12"/>
  <c r="G1355" i="12"/>
  <c r="G1356" i="12"/>
  <c r="B1357" i="12"/>
  <c r="G1357" i="12"/>
  <c r="G1358" i="12"/>
  <c r="G1359" i="12"/>
  <c r="G1360" i="12"/>
  <c r="G1361" i="12"/>
  <c r="B1362" i="12"/>
  <c r="G1362" i="12"/>
  <c r="G1363" i="12"/>
  <c r="G1364" i="12"/>
  <c r="G1365" i="12"/>
  <c r="G1366" i="12"/>
  <c r="G1367" i="12"/>
  <c r="G1368" i="12"/>
  <c r="B1369" i="12"/>
  <c r="G1369" i="12"/>
  <c r="B1370" i="12"/>
  <c r="G1370" i="12"/>
  <c r="B1371" i="12"/>
  <c r="G1371" i="12"/>
  <c r="B1372" i="12"/>
  <c r="G1372" i="12"/>
  <c r="B1373" i="12"/>
  <c r="G1373" i="12"/>
  <c r="G1374" i="12"/>
  <c r="G1375" i="12"/>
  <c r="G1376" i="12"/>
  <c r="G1377" i="12"/>
  <c r="B1378" i="12"/>
  <c r="G1378" i="12"/>
  <c r="G1379" i="12"/>
  <c r="G1380" i="12"/>
  <c r="G1381" i="12"/>
  <c r="B1382" i="12"/>
  <c r="G1382" i="12"/>
  <c r="G1383" i="12"/>
  <c r="G1384" i="12"/>
  <c r="G1385" i="12"/>
  <c r="G1386" i="12"/>
  <c r="G1387" i="12"/>
  <c r="B1388" i="12"/>
  <c r="G1388" i="12"/>
  <c r="B1389" i="12"/>
  <c r="G1389" i="12"/>
  <c r="B1390" i="12"/>
  <c r="G1390" i="12"/>
  <c r="G1391" i="12"/>
  <c r="G1392" i="12"/>
  <c r="G1393" i="12"/>
  <c r="B1394" i="12"/>
  <c r="G1394" i="12"/>
  <c r="B1395" i="12"/>
  <c r="G1395" i="12"/>
  <c r="B1396" i="12"/>
  <c r="G1396" i="12"/>
  <c r="B1397" i="12"/>
  <c r="G1397" i="12"/>
  <c r="B1398" i="12"/>
  <c r="G1398" i="12"/>
  <c r="B1399" i="12"/>
  <c r="G1399" i="12"/>
  <c r="B1400" i="12"/>
  <c r="G1400" i="12"/>
  <c r="B1401" i="12"/>
  <c r="G1401" i="12"/>
  <c r="B1402" i="12"/>
  <c r="G1402" i="12"/>
  <c r="B1403" i="12"/>
  <c r="G1403" i="12"/>
  <c r="B1404" i="12"/>
  <c r="G1404" i="12"/>
  <c r="G1405" i="12"/>
  <c r="G1406" i="12"/>
  <c r="G1407" i="12"/>
  <c r="G1408" i="12"/>
  <c r="G1409" i="12"/>
  <c r="G1410" i="12"/>
  <c r="B1411" i="12"/>
  <c r="G1411" i="12"/>
  <c r="B1412" i="12"/>
  <c r="G1412" i="12"/>
  <c r="B1413" i="12"/>
  <c r="G1413" i="12"/>
  <c r="B1414" i="12"/>
  <c r="G1414" i="12"/>
  <c r="B1415" i="12"/>
  <c r="G1415" i="12"/>
  <c r="B1416" i="12"/>
  <c r="G1416" i="12"/>
  <c r="B1417" i="12"/>
  <c r="G1417" i="12"/>
  <c r="B1418" i="12"/>
  <c r="G1418" i="12"/>
  <c r="B1419" i="12"/>
  <c r="G1419" i="12"/>
  <c r="B1420" i="12"/>
  <c r="G1420" i="12"/>
  <c r="B1421" i="12"/>
  <c r="G1421" i="12"/>
  <c r="B1422" i="12"/>
  <c r="G1422" i="12"/>
  <c r="B1423" i="12"/>
  <c r="G1423" i="12"/>
  <c r="B1424" i="12"/>
  <c r="G1424" i="12"/>
  <c r="B1425" i="12"/>
  <c r="G1425" i="12"/>
  <c r="B1426" i="12"/>
  <c r="G1426" i="12"/>
  <c r="E36" i="7" a="1"/>
  <c r="E36" i="7" s="1"/>
  <c r="E37" i="7" a="1"/>
  <c r="E37" i="7" s="1"/>
  <c r="E38" i="7" a="1"/>
  <c r="E38" i="7" s="1"/>
  <c r="E39" i="7" a="1"/>
  <c r="E39" i="7" s="1"/>
  <c r="E40" i="7" a="1"/>
  <c r="E40" i="7" s="1"/>
  <c r="E41" i="7" a="1"/>
  <c r="E41" i="7" s="1"/>
  <c r="E42" i="7" a="1"/>
  <c r="E42" i="7" s="1"/>
  <c r="E43" i="7" a="1"/>
  <c r="E43" i="7" s="1"/>
  <c r="E44" i="7" a="1"/>
  <c r="E44" i="7" s="1"/>
  <c r="E45" i="7" a="1"/>
  <c r="E45" i="7" s="1"/>
  <c r="E46" i="7" a="1"/>
  <c r="E46" i="7" s="1"/>
  <c r="E47" i="7" a="1"/>
  <c r="E47" i="7" s="1"/>
  <c r="E48" i="7" a="1"/>
  <c r="E48" i="7"/>
  <c r="E49" i="7" a="1"/>
  <c r="E49" i="7" s="1"/>
  <c r="E50" i="7" a="1"/>
  <c r="E50" i="7" s="1"/>
  <c r="E51" i="7" a="1"/>
  <c r="E51" i="7" s="1"/>
  <c r="E52" i="7" a="1"/>
  <c r="E52" i="7" s="1"/>
  <c r="E53" i="7" a="1"/>
  <c r="E53" i="7" s="1"/>
  <c r="E54" i="7" a="1"/>
  <c r="E54" i="7" s="1"/>
  <c r="E55" i="7" a="1"/>
  <c r="E55" i="7" s="1"/>
  <c r="E56" i="7" a="1"/>
  <c r="E56" i="7" s="1"/>
  <c r="E57" i="7" a="1"/>
  <c r="E57" i="7" s="1"/>
  <c r="E58" i="7" a="1"/>
  <c r="E58" i="7" s="1"/>
  <c r="E59" i="7" a="1"/>
  <c r="E59" i="7" s="1"/>
  <c r="E60" i="7" a="1"/>
  <c r="E60" i="7" s="1"/>
  <c r="E61" i="7" a="1"/>
  <c r="E61" i="7" s="1"/>
  <c r="E62" i="7" a="1"/>
  <c r="E62" i="7" s="1"/>
  <c r="E63" i="7" a="1"/>
  <c r="E63" i="7" s="1"/>
  <c r="E64" i="7" a="1"/>
  <c r="E64" i="7" s="1"/>
  <c r="E65" i="7" a="1"/>
  <c r="E65" i="7" s="1"/>
  <c r="E66" i="7" a="1"/>
  <c r="E66" i="7" s="1"/>
  <c r="E67" i="7" a="1"/>
  <c r="E67" i="7" s="1"/>
  <c r="E68" i="7" a="1"/>
  <c r="E68" i="7" s="1"/>
  <c r="E69" i="7" a="1"/>
  <c r="E69" i="7" s="1"/>
  <c r="E70" i="7" a="1"/>
  <c r="E70" i="7" s="1"/>
  <c r="E71" i="7" a="1"/>
  <c r="E71" i="7" s="1"/>
  <c r="E72" i="7" a="1"/>
  <c r="E72" i="7" s="1"/>
  <c r="E73" i="7" a="1"/>
  <c r="E73" i="7" s="1"/>
  <c r="E74" i="7" a="1"/>
  <c r="E74" i="7" s="1"/>
  <c r="E75" i="7" a="1"/>
  <c r="E75" i="7" s="1"/>
  <c r="E76" i="7" a="1"/>
  <c r="E76" i="7" s="1"/>
  <c r="E77" i="7" a="1"/>
  <c r="E77" i="7" s="1"/>
  <c r="E78" i="7" a="1"/>
  <c r="E78" i="7" s="1"/>
  <c r="E79" i="7" a="1"/>
  <c r="E79" i="7" s="1"/>
  <c r="E80" i="7" a="1"/>
  <c r="E80" i="7"/>
  <c r="E81" i="7" a="1"/>
  <c r="E81" i="7"/>
  <c r="E82" i="7" a="1"/>
  <c r="E82" i="7" s="1"/>
  <c r="E83" i="7" a="1"/>
  <c r="E83" i="7"/>
  <c r="E84" i="7" a="1"/>
  <c r="E84" i="7"/>
  <c r="E85" i="7" a="1"/>
  <c r="E85" i="7" s="1"/>
  <c r="E86" i="7" a="1"/>
  <c r="E86" i="7"/>
  <c r="E87" i="7" a="1"/>
  <c r="E87" i="7"/>
  <c r="E88" i="7" a="1"/>
  <c r="E88" i="7" s="1"/>
  <c r="E89" i="7" a="1"/>
  <c r="E89" i="7" s="1"/>
  <c r="E90" i="7" a="1"/>
  <c r="E90" i="7"/>
  <c r="E91" i="7" a="1"/>
  <c r="E91" i="7" s="1"/>
  <c r="E92" i="7" a="1"/>
  <c r="E92" i="7"/>
  <c r="E93" i="7" a="1"/>
  <c r="E93" i="7"/>
  <c r="E94" i="7" a="1"/>
  <c r="E94" i="7"/>
  <c r="E95" i="7" a="1"/>
  <c r="E95" i="7" s="1"/>
  <c r="E96" i="7" a="1"/>
  <c r="E96" i="7"/>
  <c r="E97" i="7" a="1"/>
  <c r="E97" i="7" s="1"/>
  <c r="E98" i="7" a="1"/>
  <c r="E98" i="7" s="1"/>
  <c r="E99" i="7" a="1"/>
  <c r="E99" i="7"/>
  <c r="E100" i="7" a="1"/>
  <c r="E100" i="7"/>
  <c r="E101" i="7" a="1"/>
  <c r="E101" i="7" s="1"/>
  <c r="E102" i="7" a="1"/>
  <c r="E102" i="7" s="1"/>
  <c r="E103" i="7" a="1"/>
  <c r="E103" i="7" s="1"/>
  <c r="E104" i="7" a="1"/>
  <c r="E104" i="7"/>
  <c r="E105" i="7" a="1"/>
  <c r="E105" i="7"/>
  <c r="E106" i="7" a="1"/>
  <c r="E106" i="7"/>
  <c r="E107" i="7" a="1"/>
  <c r="E107" i="7"/>
  <c r="E108" i="7" a="1"/>
  <c r="E108" i="7" s="1"/>
  <c r="E109" i="7" a="1"/>
  <c r="E109" i="7" s="1"/>
  <c r="E110" i="7" a="1"/>
  <c r="E110" i="7"/>
  <c r="E111" i="7" a="1"/>
  <c r="E111" i="7" s="1"/>
  <c r="E112" i="7" a="1"/>
  <c r="E112" i="7"/>
  <c r="E113" i="7" a="1"/>
  <c r="E113" i="7"/>
  <c r="E114" i="7" a="1"/>
  <c r="E114" i="7" s="1"/>
  <c r="E115" i="7" a="1"/>
  <c r="E115" i="7" s="1"/>
  <c r="E116" i="7" a="1"/>
  <c r="E116" i="7"/>
  <c r="E117" i="7" a="1"/>
  <c r="E117" i="7"/>
  <c r="E118" i="7" a="1"/>
  <c r="E118" i="7"/>
  <c r="E119" i="7" a="1"/>
  <c r="E119" i="7"/>
  <c r="E120" i="7" a="1"/>
  <c r="E120" i="7"/>
  <c r="E121" i="7" a="1"/>
  <c r="E121" i="7" s="1"/>
  <c r="E122" i="7" a="1"/>
  <c r="E122" i="7" s="1"/>
  <c r="E123" i="7" a="1"/>
  <c r="E123" i="7"/>
  <c r="E124" i="7" a="1"/>
  <c r="E124" i="7" s="1"/>
  <c r="E125" i="7" a="1"/>
  <c r="E125" i="7"/>
  <c r="E126" i="7" a="1"/>
  <c r="E126" i="7"/>
  <c r="E127" i="7" a="1"/>
  <c r="E127" i="7" s="1"/>
  <c r="E128" i="7" a="1"/>
  <c r="E128" i="7" s="1"/>
  <c r="E129" i="7" a="1"/>
  <c r="E129" i="7"/>
  <c r="E130" i="7" a="1"/>
  <c r="E130" i="7"/>
  <c r="E131" i="7" a="1"/>
  <c r="E131" i="7"/>
  <c r="E132" i="7" a="1"/>
  <c r="E132" i="7"/>
  <c r="E133" i="7" a="1"/>
  <c r="E133" i="7" s="1"/>
  <c r="E134" i="7" a="1"/>
  <c r="E134" i="7" s="1"/>
  <c r="E135" i="7" a="1"/>
  <c r="E135" i="7" s="1"/>
  <c r="E136" i="7" a="1"/>
  <c r="E136" i="7"/>
  <c r="E137" i="7" a="1"/>
  <c r="E137" i="7" s="1"/>
  <c r="E138" i="7" a="1"/>
  <c r="E138" i="7"/>
  <c r="E139" i="7" a="1"/>
  <c r="E139" i="7" s="1"/>
  <c r="E140" i="7" a="1"/>
  <c r="E140" i="7"/>
  <c r="E141" i="7" a="1"/>
  <c r="E141" i="7" s="1"/>
  <c r="E142" i="7" a="1"/>
  <c r="E142" i="7"/>
  <c r="E143" i="7" a="1"/>
  <c r="E143" i="7" s="1"/>
  <c r="E144" i="7" a="1"/>
  <c r="E144" i="7"/>
  <c r="E145" i="7" a="1"/>
  <c r="E145" i="7" s="1"/>
  <c r="E146" i="7" a="1"/>
  <c r="E146" i="7"/>
  <c r="E147" i="7" a="1"/>
  <c r="E147" i="7" s="1"/>
  <c r="E148" i="7" a="1"/>
  <c r="E148" i="7" s="1"/>
  <c r="E149" i="7" a="1"/>
  <c r="E149" i="7"/>
  <c r="E150" i="7" a="1"/>
  <c r="E150" i="7" s="1"/>
  <c r="E151" i="7" a="1"/>
  <c r="E151" i="7" s="1"/>
  <c r="E152" i="7" a="1"/>
  <c r="E152" i="7"/>
  <c r="E153" i="7" a="1"/>
  <c r="E153" i="7"/>
  <c r="E154" i="7" a="1"/>
  <c r="E154" i="7" s="1"/>
  <c r="E155" i="7" a="1"/>
  <c r="E155" i="7"/>
  <c r="E156" i="7" a="1"/>
  <c r="E156" i="7"/>
  <c r="E157" i="7" a="1"/>
  <c r="E157" i="7" s="1"/>
  <c r="E158" i="7" a="1"/>
  <c r="E158" i="7"/>
  <c r="E159" i="7" a="1"/>
  <c r="E159" i="7"/>
  <c r="E160" i="7" a="1"/>
  <c r="E160" i="7" s="1"/>
  <c r="E161" i="7" a="1"/>
  <c r="E161" i="7" s="1"/>
  <c r="E162" i="7" a="1"/>
  <c r="E162" i="7"/>
  <c r="E163" i="7" a="1"/>
  <c r="E163" i="7" s="1"/>
  <c r="E164" i="7" a="1"/>
  <c r="E164" i="7"/>
  <c r="E165" i="7" a="1"/>
  <c r="E165" i="7"/>
  <c r="E166" i="7" a="1"/>
  <c r="E166" i="7"/>
  <c r="E167" i="7" a="1"/>
  <c r="E167" i="7" s="1"/>
  <c r="E168" i="7" a="1"/>
  <c r="E168" i="7"/>
  <c r="E169" i="7" a="1"/>
  <c r="E169" i="7" s="1"/>
  <c r="E170" i="7" a="1"/>
  <c r="E170" i="7" s="1"/>
  <c r="E171" i="7" a="1"/>
  <c r="E171" i="7"/>
  <c r="E172" i="7" a="1"/>
  <c r="E172" i="7"/>
  <c r="E173" i="7" a="1"/>
  <c r="E173" i="7" s="1"/>
  <c r="E174" i="7" a="1"/>
  <c r="E174" i="7" s="1"/>
  <c r="E175" i="7" a="1"/>
  <c r="E175" i="7" s="1"/>
  <c r="E176" i="7" a="1"/>
  <c r="E176" i="7"/>
  <c r="E177" i="7" a="1"/>
  <c r="E177" i="7"/>
  <c r="E178" i="7" a="1"/>
  <c r="E178" i="7"/>
  <c r="E179" i="7" a="1"/>
  <c r="E179" i="7"/>
  <c r="E180" i="7" a="1"/>
  <c r="E180" i="7" s="1"/>
  <c r="E181" i="7" a="1"/>
  <c r="E181" i="7" s="1"/>
  <c r="E182" i="7" a="1"/>
  <c r="E182" i="7"/>
  <c r="E183" i="7" a="1"/>
  <c r="E183" i="7" s="1"/>
  <c r="E184" i="7" a="1"/>
  <c r="E184" i="7"/>
  <c r="E185" i="7" a="1"/>
  <c r="E185" i="7"/>
  <c r="E186" i="7" a="1"/>
  <c r="E186" i="7" s="1"/>
  <c r="E187" i="7" a="1"/>
  <c r="E187" i="7" s="1"/>
  <c r="E188" i="7" a="1"/>
  <c r="E188" i="7"/>
  <c r="E189" i="7" a="1"/>
  <c r="E189" i="7"/>
  <c r="E190" i="7" a="1"/>
  <c r="E190" i="7"/>
  <c r="E191" i="7" a="1"/>
  <c r="E191" i="7"/>
  <c r="E192" i="7" a="1"/>
  <c r="E192" i="7"/>
  <c r="E193" i="7" a="1"/>
  <c r="E193" i="7" s="1"/>
  <c r="E194" i="7" a="1"/>
  <c r="E194" i="7" s="1"/>
  <c r="E195" i="7" a="1"/>
  <c r="E195" i="7"/>
  <c r="E196" i="7" a="1"/>
  <c r="E196" i="7" s="1"/>
  <c r="E197" i="7" a="1"/>
  <c r="E197" i="7"/>
  <c r="E198" i="7" a="1"/>
  <c r="E198" i="7"/>
  <c r="E199" i="7" a="1"/>
  <c r="E199" i="7" s="1"/>
  <c r="E200" i="7" a="1"/>
  <c r="E200" i="7" s="1"/>
  <c r="E201" i="7" a="1"/>
  <c r="E201" i="7"/>
  <c r="E202" i="7" a="1"/>
  <c r="E202" i="7"/>
  <c r="E203" i="7" a="1"/>
  <c r="E203" i="7"/>
  <c r="E204" i="7" a="1"/>
  <c r="E204" i="7"/>
  <c r="E205" i="7" a="1"/>
  <c r="E205" i="7" s="1"/>
  <c r="E206" i="7" a="1"/>
  <c r="E206" i="7" s="1"/>
  <c r="E207" i="7" a="1"/>
  <c r="E207" i="7" s="1"/>
  <c r="E208" i="7" a="1"/>
  <c r="E208" i="7"/>
  <c r="E209" i="7" a="1"/>
  <c r="E209" i="7" s="1"/>
  <c r="E210" i="7" a="1"/>
  <c r="E210" i="7"/>
  <c r="E211" i="7" a="1"/>
  <c r="E211" i="7" s="1"/>
  <c r="E212" i="7" a="1"/>
  <c r="E212" i="7"/>
  <c r="E213" i="7" a="1"/>
  <c r="E213" i="7" s="1"/>
  <c r="E214" i="7" a="1"/>
  <c r="E214" i="7"/>
  <c r="E215" i="7" a="1"/>
  <c r="E215" i="7"/>
  <c r="E216" i="7" a="1"/>
  <c r="E216" i="7"/>
  <c r="E217" i="7" a="1"/>
  <c r="E217" i="7" s="1"/>
  <c r="E218" i="7" a="1"/>
  <c r="E218" i="7"/>
  <c r="E219" i="7" a="1"/>
  <c r="E219" i="7" s="1"/>
  <c r="E220" i="7" a="1"/>
  <c r="E220" i="7" s="1"/>
  <c r="E221" i="7" a="1"/>
  <c r="E221" i="7"/>
  <c r="E222" i="7" a="1"/>
  <c r="E222" i="7" s="1"/>
  <c r="E223" i="7" a="1"/>
  <c r="E223" i="7" s="1"/>
  <c r="E224" i="7" a="1"/>
  <c r="E224" i="7"/>
  <c r="E225" i="7" a="1"/>
  <c r="E225" i="7"/>
  <c r="E226" i="7" a="1"/>
  <c r="E226" i="7" s="1"/>
  <c r="E227" i="7" a="1"/>
  <c r="E227" i="7"/>
  <c r="E228" i="7" a="1"/>
  <c r="E228" i="7"/>
  <c r="E229" i="7" a="1"/>
  <c r="E229" i="7" s="1"/>
  <c r="E230" i="7" a="1"/>
  <c r="E230" i="7"/>
  <c r="E231" i="7" a="1"/>
  <c r="E231" i="7"/>
  <c r="E232" i="7" a="1"/>
  <c r="E232" i="7" s="1"/>
  <c r="E233" i="7" a="1"/>
  <c r="E233" i="7" s="1"/>
  <c r="E234" i="7" a="1"/>
  <c r="E234" i="7"/>
  <c r="E235" i="7" a="1"/>
  <c r="E235" i="7" s="1"/>
  <c r="E236" i="7" a="1"/>
  <c r="E236" i="7"/>
  <c r="E237" i="7" a="1"/>
  <c r="E237" i="7"/>
  <c r="E238" i="7" a="1"/>
  <c r="E238" i="7"/>
  <c r="E239" i="7" a="1"/>
  <c r="E239" i="7" s="1"/>
  <c r="E240" i="7" a="1"/>
  <c r="E240" i="7"/>
  <c r="E241" i="7" a="1"/>
  <c r="E241" i="7" s="1"/>
  <c r="E242" i="7" a="1"/>
  <c r="E242" i="7" s="1"/>
  <c r="E243" i="7" a="1"/>
  <c r="E243" i="7"/>
  <c r="E244" i="7" a="1"/>
  <c r="E244" i="7"/>
  <c r="E245" i="7" a="1"/>
  <c r="E245" i="7" s="1"/>
  <c r="E246" i="7" a="1"/>
  <c r="E246" i="7" s="1"/>
  <c r="E247" i="7" a="1"/>
  <c r="E247" i="7" s="1"/>
  <c r="E248" i="7" a="1"/>
  <c r="E248" i="7"/>
  <c r="E249" i="7" a="1"/>
  <c r="E249" i="7"/>
  <c r="E250" i="7" a="1"/>
  <c r="E250" i="7"/>
  <c r="E251" i="7" a="1"/>
  <c r="E251" i="7"/>
  <c r="E252" i="7" a="1"/>
  <c r="E252" i="7" s="1"/>
  <c r="E253" i="7" a="1"/>
  <c r="E253" i="7" s="1"/>
  <c r="E254" i="7" a="1"/>
  <c r="E254" i="7"/>
  <c r="E255" i="7" a="1"/>
  <c r="E255" i="7" s="1"/>
  <c r="E256" i="7" a="1"/>
  <c r="E256" i="7"/>
  <c r="E257" i="7" a="1"/>
  <c r="E257" i="7"/>
  <c r="E258" i="7" a="1"/>
  <c r="E258" i="7" s="1"/>
  <c r="E259" i="7" a="1"/>
  <c r="E259" i="7" s="1"/>
  <c r="E260" i="7" a="1"/>
  <c r="E260" i="7"/>
  <c r="E261" i="7" a="1"/>
  <c r="E261" i="7"/>
  <c r="E262" i="7" a="1"/>
  <c r="E262" i="7"/>
  <c r="E263" i="7" a="1"/>
  <c r="E263" i="7"/>
  <c r="E264" i="7" a="1"/>
  <c r="E264" i="7"/>
  <c r="E265" i="7" a="1"/>
  <c r="E265" i="7" s="1"/>
  <c r="E266" i="7" a="1"/>
  <c r="E266" i="7" s="1"/>
  <c r="E267" i="7" a="1"/>
  <c r="E267" i="7"/>
  <c r="E268" i="7" a="1"/>
  <c r="E268" i="7" s="1"/>
  <c r="E269" i="7" a="1"/>
  <c r="E269" i="7"/>
  <c r="E270" i="7" a="1"/>
  <c r="E270" i="7"/>
  <c r="E271" i="7" a="1"/>
  <c r="E271" i="7" s="1"/>
  <c r="E272" i="7" a="1"/>
  <c r="E272" i="7" s="1"/>
  <c r="E273" i="7" a="1"/>
  <c r="E273" i="7"/>
  <c r="E274" i="7" a="1"/>
  <c r="E274" i="7"/>
  <c r="E275" i="7" a="1"/>
  <c r="E275" i="7"/>
  <c r="E276" i="7" a="1"/>
  <c r="E276" i="7"/>
  <c r="E277" i="7" a="1"/>
  <c r="E277" i="7" s="1"/>
  <c r="E278" i="7" a="1"/>
  <c r="E278" i="7" s="1"/>
  <c r="E279" i="7" a="1"/>
  <c r="E279" i="7" s="1"/>
  <c r="E280" i="7" a="1"/>
  <c r="E280" i="7"/>
  <c r="E281" i="7" a="1"/>
  <c r="E281" i="7" s="1"/>
  <c r="E282" i="7" a="1"/>
  <c r="E282" i="7"/>
  <c r="E283" i="7" a="1"/>
  <c r="E283" i="7" s="1"/>
  <c r="E284" i="7" a="1"/>
  <c r="E284" i="7"/>
  <c r="E285" i="7" a="1"/>
  <c r="E285" i="7" s="1"/>
  <c r="E286" i="7" a="1"/>
  <c r="E286" i="7"/>
  <c r="E287" i="7" a="1"/>
  <c r="E287" i="7"/>
  <c r="E288" i="7" a="1"/>
  <c r="E288" i="7"/>
  <c r="E289" i="7" a="1"/>
  <c r="E289" i="7" s="1"/>
  <c r="E290" i="7" a="1"/>
  <c r="E290" i="7"/>
  <c r="E291" i="7" a="1"/>
  <c r="E291" i="7" s="1"/>
  <c r="E292" i="7" a="1"/>
  <c r="E292" i="7" s="1"/>
  <c r="E293" i="7" a="1"/>
  <c r="E293" i="7"/>
  <c r="E294" i="7" a="1"/>
  <c r="E294" i="7" s="1"/>
  <c r="E295" i="7" a="1"/>
  <c r="E295" i="7" s="1"/>
  <c r="E296" i="7" a="1"/>
  <c r="E296" i="7"/>
  <c r="E297" i="7" a="1"/>
  <c r="E297" i="7"/>
  <c r="E298" i="7" a="1"/>
  <c r="E298" i="7" s="1"/>
  <c r="E299" i="7" a="1"/>
  <c r="E299" i="7"/>
  <c r="E300" i="7" a="1"/>
  <c r="E300" i="7"/>
  <c r="E301" i="7" a="1"/>
  <c r="E301" i="7" s="1"/>
  <c r="E302" i="7" a="1"/>
  <c r="E302" i="7"/>
  <c r="E303" i="7" a="1"/>
  <c r="E303" i="7"/>
  <c r="E304" i="7" a="1"/>
  <c r="E304" i="7" s="1"/>
  <c r="E305" i="7" a="1"/>
  <c r="E305" i="7" s="1"/>
  <c r="E306" i="7" a="1"/>
  <c r="E306" i="7"/>
  <c r="E307" i="7" a="1"/>
  <c r="E307" i="7" s="1"/>
  <c r="E308" i="7" a="1"/>
  <c r="E308" i="7"/>
  <c r="E309" i="7" a="1"/>
  <c r="E309" i="7"/>
  <c r="E310" i="7" a="1"/>
  <c r="E310" i="7"/>
  <c r="E311" i="7" a="1"/>
  <c r="E311" i="7" s="1"/>
  <c r="E312" i="7" a="1"/>
  <c r="E312" i="7"/>
  <c r="E313" i="7" a="1"/>
  <c r="E313" i="7" s="1"/>
  <c r="E314" i="7" a="1"/>
  <c r="E314" i="7" s="1"/>
  <c r="E315" i="7" a="1"/>
  <c r="E315" i="7"/>
  <c r="E316" i="7" a="1"/>
  <c r="E316" i="7"/>
  <c r="E317" i="7" a="1"/>
  <c r="E317" i="7" s="1"/>
  <c r="E318" i="7" a="1"/>
  <c r="E318" i="7" s="1"/>
  <c r="E319" i="7" a="1"/>
  <c r="E319" i="7" s="1"/>
  <c r="E320" i="7" a="1"/>
  <c r="E320" i="7"/>
  <c r="E321" i="7" a="1"/>
  <c r="E321" i="7"/>
  <c r="E322" i="7" a="1"/>
  <c r="E322" i="7"/>
  <c r="E323" i="7" a="1"/>
  <c r="E323" i="7"/>
  <c r="E324" i="7" a="1"/>
  <c r="E324" i="7" s="1"/>
  <c r="E325" i="7" a="1"/>
  <c r="E325" i="7" s="1"/>
  <c r="E326" i="7" a="1"/>
  <c r="E326" i="7"/>
  <c r="E327" i="7" a="1"/>
  <c r="E327" i="7" s="1"/>
  <c r="E328" i="7" a="1"/>
  <c r="E328" i="7"/>
  <c r="E329" i="7" a="1"/>
  <c r="E329" i="7"/>
  <c r="E330" i="7" a="1"/>
  <c r="E330" i="7" s="1"/>
  <c r="E331" i="7" a="1"/>
  <c r="E331" i="7" s="1"/>
  <c r="E332" i="7" a="1"/>
  <c r="E332" i="7"/>
  <c r="E333" i="7" a="1"/>
  <c r="E333" i="7"/>
  <c r="E334" i="7" a="1"/>
  <c r="E334" i="7"/>
  <c r="E335" i="7" a="1"/>
  <c r="E335" i="7"/>
  <c r="E336" i="7" a="1"/>
  <c r="E336" i="7"/>
  <c r="E337" i="7" a="1"/>
  <c r="E337" i="7" s="1"/>
  <c r="E338" i="7" a="1"/>
  <c r="E338" i="7" s="1"/>
  <c r="E339" i="7" a="1"/>
  <c r="E339" i="7"/>
  <c r="E340" i="7" a="1"/>
  <c r="E340" i="7" s="1"/>
  <c r="E341" i="7" a="1"/>
  <c r="E341" i="7"/>
  <c r="E342" i="7" a="1"/>
  <c r="E342" i="7"/>
  <c r="E343" i="7" a="1"/>
  <c r="E343" i="7" s="1"/>
  <c r="E344" i="7" a="1"/>
  <c r="E344" i="7" s="1"/>
  <c r="E345" i="7" a="1"/>
  <c r="E345" i="7"/>
  <c r="E346" i="7" a="1"/>
  <c r="E346" i="7"/>
  <c r="E347" i="7" a="1"/>
  <c r="E347" i="7"/>
  <c r="E348" i="7" a="1"/>
  <c r="E348" i="7"/>
  <c r="E349" i="7" a="1"/>
  <c r="E349" i="7" s="1"/>
  <c r="E350" i="7" a="1"/>
  <c r="E350" i="7" s="1"/>
  <c r="E351" i="7" a="1"/>
  <c r="E351" i="7" s="1"/>
  <c r="E352" i="7" a="1"/>
  <c r="E352" i="7"/>
  <c r="E353" i="7" a="1"/>
  <c r="E353" i="7" s="1"/>
  <c r="E354" i="7" a="1"/>
  <c r="E354" i="7"/>
  <c r="E355" i="7" a="1"/>
  <c r="E355" i="7" s="1"/>
  <c r="E356" i="7" a="1"/>
  <c r="E356" i="7"/>
  <c r="E357" i="7" a="1"/>
  <c r="E357" i="7" s="1"/>
  <c r="E358" i="7" a="1"/>
  <c r="E358" i="7"/>
  <c r="E359" i="7" a="1"/>
  <c r="E359" i="7"/>
  <c r="E360" i="7" a="1"/>
  <c r="E360" i="7"/>
  <c r="E361" i="7" a="1"/>
  <c r="E361" i="7" s="1"/>
  <c r="E362" i="7" a="1"/>
  <c r="E362" i="7"/>
  <c r="E363" i="7" a="1"/>
  <c r="E363" i="7" s="1"/>
  <c r="E364" i="7" a="1"/>
  <c r="E364" i="7" s="1"/>
  <c r="E365" i="7" a="1"/>
  <c r="E365" i="7"/>
  <c r="E366" i="7" a="1"/>
  <c r="E366" i="7" s="1"/>
  <c r="E367" i="7" a="1"/>
  <c r="E367" i="7" s="1"/>
  <c r="E368" i="7" a="1"/>
  <c r="E368" i="7"/>
  <c r="E369" i="7" a="1"/>
  <c r="E369" i="7"/>
  <c r="E370" i="7" a="1"/>
  <c r="E370" i="7" s="1"/>
  <c r="E371" i="7" a="1"/>
  <c r="E371" i="7"/>
  <c r="E372" i="7" a="1"/>
  <c r="E372" i="7"/>
  <c r="E373" i="7" a="1"/>
  <c r="E373" i="7" s="1"/>
  <c r="E374" i="7" a="1"/>
  <c r="E374" i="7"/>
  <c r="E375" i="7" a="1"/>
  <c r="E375" i="7"/>
  <c r="E376" i="7" a="1"/>
  <c r="E376" i="7" s="1"/>
  <c r="E377" i="7" a="1"/>
  <c r="E377" i="7" s="1"/>
  <c r="E378" i="7" a="1"/>
  <c r="E378" i="7"/>
  <c r="E379" i="7" a="1"/>
  <c r="E379" i="7" s="1"/>
  <c r="E380" i="7" a="1"/>
  <c r="E380" i="7"/>
  <c r="E381" i="7" a="1"/>
  <c r="E381" i="7"/>
  <c r="E382" i="7" a="1"/>
  <c r="E382" i="7"/>
  <c r="E383" i="7" a="1"/>
  <c r="E383" i="7" s="1"/>
  <c r="E384" i="7" a="1"/>
  <c r="E384" i="7"/>
  <c r="E385" i="7" a="1"/>
  <c r="E385" i="7" s="1"/>
  <c r="E386" i="7" a="1"/>
  <c r="E386" i="7" s="1"/>
  <c r="E387" i="7" a="1"/>
  <c r="E387" i="7"/>
  <c r="E388" i="7" a="1"/>
  <c r="E388" i="7"/>
  <c r="E389" i="7" a="1"/>
  <c r="E389" i="7" s="1"/>
  <c r="E390" i="7" a="1"/>
  <c r="E390" i="7" s="1"/>
  <c r="E391" i="7" a="1"/>
  <c r="E391" i="7" s="1"/>
  <c r="E392" i="7" a="1"/>
  <c r="E392" i="7"/>
  <c r="E393" i="7" a="1"/>
  <c r="E393" i="7"/>
  <c r="E394" i="7" a="1"/>
  <c r="E394" i="7"/>
  <c r="E395" i="7" a="1"/>
  <c r="E395" i="7"/>
  <c r="E396" i="7" a="1"/>
  <c r="E396" i="7" s="1"/>
  <c r="E397" i="7" a="1"/>
  <c r="E397" i="7" s="1"/>
  <c r="E398" i="7" a="1"/>
  <c r="E398" i="7"/>
  <c r="E399" i="7" a="1"/>
  <c r="E399" i="7" s="1"/>
  <c r="E400" i="7" a="1"/>
  <c r="E400" i="7"/>
  <c r="E401" i="7" a="1"/>
  <c r="E401" i="7"/>
  <c r="E402" i="7" a="1"/>
  <c r="E402" i="7" s="1"/>
  <c r="E403" i="7" a="1"/>
  <c r="E403" i="7" s="1"/>
  <c r="E404" i="7" a="1"/>
  <c r="E404" i="7"/>
  <c r="E405" i="7" a="1"/>
  <c r="E405" i="7"/>
  <c r="E406" i="7" a="1"/>
  <c r="E406" i="7"/>
  <c r="E407" i="7" a="1"/>
  <c r="E407" i="7"/>
  <c r="E408" i="7" a="1"/>
  <c r="E408" i="7"/>
  <c r="E409" i="7" a="1"/>
  <c r="E409" i="7" s="1"/>
  <c r="E410" i="7" a="1"/>
  <c r="E410" i="7" s="1"/>
  <c r="E411" i="7" a="1"/>
  <c r="E411" i="7"/>
  <c r="E412" i="7" a="1"/>
  <c r="E412" i="7" s="1"/>
  <c r="E413" i="7" a="1"/>
  <c r="E413" i="7"/>
  <c r="E414" i="7" a="1"/>
  <c r="E414" i="7"/>
  <c r="E415" i="7" a="1"/>
  <c r="E415" i="7" s="1"/>
  <c r="E416" i="7" a="1"/>
  <c r="E416" i="7" s="1"/>
  <c r="E417" i="7" a="1"/>
  <c r="E417" i="7"/>
  <c r="E418" i="7" a="1"/>
  <c r="E418" i="7"/>
  <c r="E419" i="7" a="1"/>
  <c r="E419" i="7"/>
  <c r="E420" i="7" a="1"/>
  <c r="E420" i="7"/>
  <c r="E421" i="7" a="1"/>
  <c r="E421" i="7" s="1"/>
  <c r="E422" i="7" a="1"/>
  <c r="E422" i="7" s="1"/>
  <c r="E423" i="7" a="1"/>
  <c r="E423" i="7" s="1"/>
  <c r="E424" i="7" a="1"/>
  <c r="E424" i="7"/>
  <c r="E425" i="7" a="1"/>
  <c r="E425" i="7" s="1"/>
  <c r="E426" i="7" a="1"/>
  <c r="E426" i="7"/>
  <c r="E427" i="7" a="1"/>
  <c r="E427" i="7" s="1"/>
  <c r="E428" i="7" a="1"/>
  <c r="E428" i="7"/>
  <c r="E429" i="7" a="1"/>
  <c r="E429" i="7" s="1"/>
  <c r="E430" i="7" a="1"/>
  <c r="E430" i="7"/>
  <c r="E431" i="7" a="1"/>
  <c r="E431" i="7"/>
  <c r="E432" i="7" a="1"/>
  <c r="E432" i="7"/>
  <c r="E433" i="7" a="1"/>
  <c r="E433" i="7" s="1"/>
  <c r="E434" i="7" a="1"/>
  <c r="E434" i="7"/>
  <c r="E435" i="7" a="1"/>
  <c r="E435" i="7" s="1"/>
  <c r="E436" i="7" a="1"/>
  <c r="E436" i="7" s="1"/>
  <c r="E437" i="7" a="1"/>
  <c r="E437" i="7"/>
  <c r="E438" i="7" a="1"/>
  <c r="E438" i="7" s="1"/>
  <c r="E439" i="7" a="1"/>
  <c r="E439" i="7" s="1"/>
  <c r="E440" i="7" a="1"/>
  <c r="E440" i="7"/>
  <c r="E441" i="7" a="1"/>
  <c r="E441" i="7"/>
  <c r="E442" i="7" a="1"/>
  <c r="E442" i="7" s="1"/>
  <c r="E443" i="7" a="1"/>
  <c r="E443" i="7"/>
  <c r="E444" i="7" a="1"/>
  <c r="E444" i="7"/>
  <c r="E445" i="7" a="1"/>
  <c r="E445" i="7" s="1"/>
  <c r="E446" i="7" a="1"/>
  <c r="E446" i="7"/>
  <c r="E447" i="7" a="1"/>
  <c r="E447" i="7"/>
  <c r="E448" i="7" a="1"/>
  <c r="E448" i="7" s="1"/>
  <c r="E449" i="7" a="1"/>
  <c r="E449" i="7" s="1"/>
  <c r="E450" i="7" a="1"/>
  <c r="E450" i="7"/>
  <c r="E451" i="7" a="1"/>
  <c r="E451" i="7" s="1"/>
  <c r="E452" i="7" a="1"/>
  <c r="E452" i="7"/>
  <c r="E453" i="7" a="1"/>
  <c r="E453" i="7"/>
  <c r="E454" i="7" a="1"/>
  <c r="E454" i="7"/>
  <c r="E455" i="7" a="1"/>
  <c r="E455" i="7" s="1"/>
  <c r="E456" i="7" a="1"/>
  <c r="E456" i="7"/>
  <c r="E457" i="7" a="1"/>
  <c r="E457" i="7" s="1"/>
  <c r="E458" i="7" a="1"/>
  <c r="E458" i="7" s="1"/>
  <c r="E459" i="7" a="1"/>
  <c r="E459" i="7"/>
  <c r="E460" i="7" a="1"/>
  <c r="E460" i="7"/>
  <c r="E461" i="7" a="1"/>
  <c r="E461" i="7" s="1"/>
  <c r="E462" i="7" a="1"/>
  <c r="E462" i="7" s="1"/>
  <c r="E463" i="7" a="1"/>
  <c r="E463" i="7" s="1"/>
  <c r="E464" i="7" a="1"/>
  <c r="E464" i="7"/>
  <c r="E465" i="7" a="1"/>
  <c r="E465" i="7"/>
  <c r="E466" i="7" a="1"/>
  <c r="E466" i="7"/>
  <c r="E467" i="7" a="1"/>
  <c r="E467" i="7"/>
  <c r="E468" i="7" a="1"/>
  <c r="E468" i="7" s="1"/>
  <c r="E469" i="7" a="1"/>
  <c r="E469" i="7" s="1"/>
  <c r="E470" i="7" a="1"/>
  <c r="E470" i="7"/>
  <c r="E471" i="7" a="1"/>
  <c r="E471" i="7" s="1"/>
  <c r="E472" i="7" a="1"/>
  <c r="E472" i="7"/>
  <c r="E473" i="7" a="1"/>
  <c r="E473" i="7"/>
  <c r="E474" i="7" a="1"/>
  <c r="E474" i="7" s="1"/>
  <c r="E475" i="7" a="1"/>
  <c r="E475" i="7" s="1"/>
  <c r="E476" i="7" a="1"/>
  <c r="E476" i="7"/>
  <c r="E477" i="7" a="1"/>
  <c r="E477" i="7"/>
  <c r="E478" i="7" a="1"/>
  <c r="E478" i="7"/>
  <c r="E479" i="7" a="1"/>
  <c r="E479" i="7"/>
  <c r="E480" i="7" a="1"/>
  <c r="E480" i="7"/>
  <c r="E481" i="7" a="1"/>
  <c r="E481" i="7" s="1"/>
  <c r="E482" i="7" a="1"/>
  <c r="E482" i="7" s="1"/>
  <c r="E483" i="7" a="1"/>
  <c r="E483" i="7"/>
  <c r="E484" i="7" a="1"/>
  <c r="E484" i="7" s="1"/>
  <c r="E485" i="7" a="1"/>
  <c r="E485" i="7"/>
  <c r="E486" i="7" a="1"/>
  <c r="E486" i="7"/>
  <c r="E487" i="7" a="1"/>
  <c r="E487" i="7" s="1"/>
  <c r="E488" i="7" a="1"/>
  <c r="E488" i="7" s="1"/>
  <c r="E489" i="7" a="1"/>
  <c r="E489" i="7"/>
  <c r="E490" i="7" a="1"/>
  <c r="E490" i="7"/>
  <c r="E491" i="7" a="1"/>
  <c r="E491" i="7"/>
  <c r="E492" i="7" a="1"/>
  <c r="E492" i="7"/>
  <c r="E493" i="7" a="1"/>
  <c r="E493" i="7" s="1"/>
  <c r="E494" i="7" a="1"/>
  <c r="E494" i="7" s="1"/>
  <c r="E495" i="7" a="1"/>
  <c r="E495" i="7" s="1"/>
  <c r="E496" i="7" a="1"/>
  <c r="E496" i="7"/>
  <c r="E497" i="7" a="1"/>
  <c r="E497" i="7" s="1"/>
  <c r="E498" i="7" a="1"/>
  <c r="E498" i="7"/>
  <c r="E499" i="7" a="1"/>
  <c r="E499" i="7" s="1"/>
  <c r="E500" i="7" a="1"/>
  <c r="E500" i="7"/>
  <c r="E501" i="7" a="1"/>
  <c r="E501" i="7" s="1"/>
  <c r="E502" i="7" a="1"/>
  <c r="E502" i="7"/>
  <c r="E503" i="7" a="1"/>
  <c r="E503" i="7"/>
  <c r="E504" i="7" a="1"/>
  <c r="E504" i="7"/>
  <c r="E505" i="7" a="1"/>
  <c r="E505" i="7" s="1"/>
  <c r="E506" i="7" a="1"/>
  <c r="E506" i="7"/>
  <c r="E507" i="7" a="1"/>
  <c r="E507" i="7" s="1"/>
  <c r="E508" i="7" a="1"/>
  <c r="E508" i="7" s="1"/>
  <c r="E509" i="7" a="1"/>
  <c r="E509" i="7"/>
  <c r="E510" i="7" a="1"/>
  <c r="E510" i="7" s="1"/>
  <c r="E511" i="7" a="1"/>
  <c r="E511" i="7" s="1"/>
  <c r="E512" i="7" a="1"/>
  <c r="E512" i="7"/>
  <c r="E513" i="7" a="1"/>
  <c r="E513" i="7"/>
  <c r="E514" i="7" a="1"/>
  <c r="E514" i="7" s="1"/>
  <c r="E515" i="7" a="1"/>
  <c r="E515" i="7"/>
  <c r="E516" i="7" a="1"/>
  <c r="E516" i="7"/>
  <c r="E517" i="7" a="1"/>
  <c r="E517" i="7" s="1"/>
  <c r="E518" i="7" a="1"/>
  <c r="E518" i="7"/>
  <c r="E519" i="7" a="1"/>
  <c r="E519" i="7"/>
  <c r="E520" i="7" a="1"/>
  <c r="E520" i="7" s="1"/>
  <c r="E521" i="7" a="1"/>
  <c r="E521" i="7" s="1"/>
  <c r="E522" i="7" a="1"/>
  <c r="E522" i="7"/>
  <c r="E523" i="7" a="1"/>
  <c r="E523" i="7" s="1"/>
  <c r="E524" i="7" a="1"/>
  <c r="E524" i="7"/>
  <c r="E525" i="7" a="1"/>
  <c r="E525" i="7"/>
  <c r="E526" i="7" a="1"/>
  <c r="E526" i="7"/>
  <c r="E527" i="7" a="1"/>
  <c r="E527" i="7" s="1"/>
  <c r="E528" i="7" a="1"/>
  <c r="E528" i="7"/>
  <c r="E529" i="7" a="1"/>
  <c r="E529" i="7" s="1"/>
  <c r="E530" i="7" a="1"/>
  <c r="E530" i="7" s="1"/>
  <c r="E531" i="7" a="1"/>
  <c r="E531" i="7"/>
  <c r="E532" i="7" a="1"/>
  <c r="E532" i="7"/>
  <c r="E533" i="7" a="1"/>
  <c r="E533" i="7" s="1"/>
  <c r="E534" i="7" a="1"/>
  <c r="E534" i="7" s="1"/>
  <c r="E535" i="7" a="1"/>
  <c r="E535" i="7" s="1"/>
  <c r="E536" i="7" a="1"/>
  <c r="E536" i="7"/>
  <c r="E537" i="7" a="1"/>
  <c r="E537" i="7"/>
  <c r="E538" i="7" a="1"/>
  <c r="E538" i="7"/>
  <c r="E539" i="7" a="1"/>
  <c r="E539" i="7"/>
  <c r="E540" i="7" a="1"/>
  <c r="E540" i="7" s="1"/>
  <c r="E541" i="7" a="1"/>
  <c r="E541" i="7" s="1"/>
  <c r="E542" i="7" a="1"/>
  <c r="E542" i="7"/>
  <c r="E543" i="7" a="1"/>
  <c r="E543" i="7" s="1"/>
  <c r="E544" i="7" a="1"/>
  <c r="E544" i="7"/>
  <c r="E545" i="7" a="1"/>
  <c r="E545" i="7"/>
  <c r="E546" i="7" a="1"/>
  <c r="E546" i="7" s="1"/>
  <c r="E547" i="7" a="1"/>
  <c r="E547" i="7" s="1"/>
  <c r="E548" i="7" a="1"/>
  <c r="E548" i="7"/>
  <c r="E549" i="7" a="1"/>
  <c r="E549" i="7" s="1"/>
  <c r="E550" i="7" a="1"/>
  <c r="E550" i="7"/>
  <c r="E551" i="7" a="1"/>
  <c r="E551" i="7"/>
  <c r="E552" i="7" a="1"/>
  <c r="E552" i="7" s="1"/>
  <c r="E553" i="7" a="1"/>
  <c r="E553" i="7" s="1"/>
  <c r="E554" i="7" a="1"/>
  <c r="E554" i="7"/>
  <c r="E555" i="7" a="1"/>
  <c r="E555" i="7" s="1"/>
  <c r="E556" i="7" a="1"/>
  <c r="E556" i="7"/>
  <c r="E557" i="7" a="1"/>
  <c r="E557" i="7"/>
  <c r="E558" i="7" a="1"/>
  <c r="E558" i="7" s="1"/>
  <c r="E559" i="7" a="1"/>
  <c r="E559" i="7" s="1"/>
  <c r="E560" i="7" a="1"/>
  <c r="E560" i="7"/>
  <c r="E561" i="7" a="1"/>
  <c r="E561" i="7" s="1"/>
  <c r="E562" i="7" a="1"/>
  <c r="E562" i="7"/>
  <c r="E563" i="7" a="1"/>
  <c r="E563" i="7"/>
  <c r="E564" i="7" a="1"/>
  <c r="E564" i="7" s="1"/>
  <c r="E565" i="7" a="1"/>
  <c r="E565" i="7" s="1"/>
  <c r="E566" i="7" a="1"/>
  <c r="E566" i="7"/>
  <c r="E567" i="7" a="1"/>
  <c r="E567" i="7" s="1"/>
  <c r="E568" i="7" a="1"/>
  <c r="E568" i="7"/>
  <c r="E569" i="7" a="1"/>
  <c r="E569" i="7"/>
  <c r="E570" i="7" a="1"/>
  <c r="E570" i="7" s="1"/>
  <c r="E571" i="7" a="1"/>
  <c r="E571" i="7" s="1"/>
  <c r="E572" i="7" a="1"/>
  <c r="E572" i="7"/>
  <c r="E573" i="7" a="1"/>
  <c r="E573" i="7" s="1"/>
  <c r="E574" i="7" a="1"/>
  <c r="E574" i="7"/>
  <c r="E575" i="7" a="1"/>
  <c r="E575" i="7"/>
  <c r="E576" i="7" a="1"/>
  <c r="E576" i="7" s="1"/>
  <c r="E577" i="7" a="1"/>
  <c r="E577" i="7" s="1"/>
  <c r="E578" i="7" a="1"/>
  <c r="E578" i="7"/>
  <c r="E579" i="7" a="1"/>
  <c r="E579" i="7" s="1"/>
  <c r="E580" i="7" a="1"/>
  <c r="E580" i="7"/>
  <c r="E581" i="7" a="1"/>
  <c r="E581" i="7"/>
  <c r="E582" i="7" a="1"/>
  <c r="E582" i="7" s="1"/>
  <c r="E583" i="7" a="1"/>
  <c r="E583" i="7" s="1"/>
  <c r="E584" i="7" a="1"/>
  <c r="E584" i="7"/>
  <c r="E585" i="7" a="1"/>
  <c r="E585" i="7" s="1"/>
  <c r="E586" i="7" a="1"/>
  <c r="E586" i="7"/>
  <c r="E587" i="7" a="1"/>
  <c r="E587" i="7"/>
  <c r="E588" i="7" a="1"/>
  <c r="E588" i="7" s="1"/>
  <c r="E589" i="7" a="1"/>
  <c r="E589" i="7" s="1"/>
  <c r="E590" i="7" a="1"/>
  <c r="E590" i="7"/>
  <c r="E591" i="7" a="1"/>
  <c r="E591" i="7" s="1"/>
  <c r="E592" i="7" a="1"/>
  <c r="E592" i="7"/>
  <c r="E593" i="7" a="1"/>
  <c r="E593" i="7"/>
  <c r="E594" i="7" a="1"/>
  <c r="E594" i="7" s="1"/>
  <c r="E595" i="7" a="1"/>
  <c r="E595" i="7" s="1"/>
  <c r="E596" i="7" a="1"/>
  <c r="E596" i="7"/>
  <c r="E597" i="7" a="1"/>
  <c r="E597" i="7" s="1"/>
  <c r="E598" i="7" a="1"/>
  <c r="E598" i="7"/>
  <c r="E599" i="7" a="1"/>
  <c r="E599" i="7"/>
  <c r="E600" i="7" a="1"/>
  <c r="E600" i="7" s="1"/>
  <c r="E601" i="7" a="1"/>
  <c r="E601" i="7" s="1"/>
  <c r="E602" i="7" a="1"/>
  <c r="E602" i="7"/>
  <c r="E603" i="7" a="1"/>
  <c r="E603" i="7" s="1"/>
  <c r="E604" i="7" a="1"/>
  <c r="E604" i="7"/>
  <c r="E605" i="7" a="1"/>
  <c r="E605" i="7"/>
  <c r="E606" i="7" a="1"/>
  <c r="E606" i="7" s="1"/>
  <c r="E607" i="7" a="1"/>
  <c r="E607" i="7" s="1"/>
  <c r="E608" i="7" a="1"/>
  <c r="E608" i="7"/>
  <c r="E609" i="7" a="1"/>
  <c r="E609" i="7" s="1"/>
  <c r="E610" i="7" a="1"/>
  <c r="E610" i="7"/>
  <c r="E611" i="7" a="1"/>
  <c r="E611" i="7"/>
  <c r="E36" i="5" a="1"/>
  <c r="E36" i="5" s="1"/>
  <c r="E37" i="5" a="1"/>
  <c r="E37" i="5" s="1"/>
  <c r="E38" i="5" a="1"/>
  <c r="E38" i="5" s="1"/>
  <c r="E39" i="5" a="1"/>
  <c r="E39" i="5" s="1"/>
  <c r="E40" i="5" a="1"/>
  <c r="E40" i="5" s="1"/>
  <c r="E41" i="5" a="1"/>
  <c r="E41" i="5" s="1"/>
  <c r="E42" i="5" a="1"/>
  <c r="E42" i="5" s="1"/>
  <c r="E43" i="5" a="1"/>
  <c r="E43" i="5" s="1"/>
  <c r="E44" i="5" a="1"/>
  <c r="E44" i="5" s="1"/>
  <c r="E45" i="5" a="1"/>
  <c r="E45" i="5" s="1"/>
  <c r="E46" i="5" a="1"/>
  <c r="E46" i="5" s="1"/>
  <c r="E47" i="5" a="1"/>
  <c r="E47" i="5" s="1"/>
  <c r="E48" i="5" a="1"/>
  <c r="E48" i="5" s="1"/>
  <c r="E49" i="5" a="1"/>
  <c r="E49" i="5" s="1"/>
  <c r="E50" i="5" a="1"/>
  <c r="E50" i="5" s="1"/>
  <c r="E51" i="5" a="1"/>
  <c r="E51" i="5" s="1"/>
  <c r="E52" i="5" a="1"/>
  <c r="E52" i="5" s="1"/>
  <c r="E53" i="5" a="1"/>
  <c r="E53" i="5" s="1"/>
  <c r="E54" i="5" a="1"/>
  <c r="E54" i="5" s="1"/>
  <c r="E55" i="5" a="1"/>
  <c r="E55" i="5" s="1"/>
  <c r="E56" i="5" a="1"/>
  <c r="E56" i="5" s="1"/>
  <c r="E57" i="5" a="1"/>
  <c r="E57" i="5" s="1"/>
  <c r="E58" i="5" a="1"/>
  <c r="E58" i="5" s="1"/>
  <c r="E59" i="5" a="1"/>
  <c r="E59" i="5" s="1"/>
  <c r="E60" i="5" a="1"/>
  <c r="E60" i="5" s="1"/>
  <c r="E61" i="5" a="1"/>
  <c r="E61" i="5" s="1"/>
  <c r="E62" i="5" a="1"/>
  <c r="E62" i="5" s="1"/>
  <c r="E63" i="5" a="1"/>
  <c r="E63" i="5" s="1"/>
  <c r="E64" i="5" a="1"/>
  <c r="E64" i="5" s="1"/>
  <c r="E65" i="5" a="1"/>
  <c r="E65" i="5" s="1"/>
  <c r="E66" i="5" a="1"/>
  <c r="E66" i="5" s="1"/>
  <c r="E67" i="5" a="1"/>
  <c r="E67" i="5" s="1"/>
  <c r="E68" i="5" a="1"/>
  <c r="E68" i="5" s="1"/>
  <c r="E69" i="5" a="1"/>
  <c r="E69" i="5" s="1"/>
  <c r="E70" i="5" a="1"/>
  <c r="E70" i="5"/>
  <c r="E71" i="5" a="1"/>
  <c r="E71" i="5" s="1"/>
  <c r="E72" i="5" a="1"/>
  <c r="E72" i="5" s="1"/>
  <c r="E73" i="5" a="1"/>
  <c r="E73" i="5" s="1"/>
  <c r="E74" i="5" a="1"/>
  <c r="E74" i="5" s="1"/>
  <c r="E75" i="5" a="1"/>
  <c r="E75" i="5" s="1"/>
  <c r="E76" i="5" a="1"/>
  <c r="E76" i="5" s="1"/>
  <c r="E77" i="5" a="1"/>
  <c r="E77" i="5" s="1"/>
  <c r="E78" i="5" a="1"/>
  <c r="E78" i="5" s="1"/>
  <c r="E79" i="5" a="1"/>
  <c r="E79" i="5" s="1"/>
  <c r="E80" i="5" a="1"/>
  <c r="E80" i="5" s="1"/>
  <c r="E81" i="5" a="1"/>
  <c r="E81" i="5" s="1"/>
  <c r="E82" i="5" a="1"/>
  <c r="E82" i="5" s="1"/>
  <c r="E83" i="5" a="1"/>
  <c r="E83" i="5" s="1"/>
  <c r="E84" i="5" a="1"/>
  <c r="E84" i="5" s="1"/>
  <c r="E85" i="5" a="1"/>
  <c r="E85" i="5" s="1"/>
  <c r="E86" i="5" a="1"/>
  <c r="E86" i="5" s="1"/>
  <c r="E87" i="5" a="1"/>
  <c r="E87" i="5" s="1"/>
  <c r="E88" i="5" a="1"/>
  <c r="E88" i="5" s="1"/>
  <c r="E89" i="5" a="1"/>
  <c r="E89" i="5" s="1"/>
  <c r="E90" i="5" a="1"/>
  <c r="E90" i="5" s="1"/>
  <c r="E91" i="5" a="1"/>
  <c r="E91" i="5" s="1"/>
  <c r="E92" i="5" a="1"/>
  <c r="E92" i="5"/>
  <c r="E93" i="5" a="1"/>
  <c r="E93" i="5" s="1"/>
  <c r="E94" i="5" a="1"/>
  <c r="E94" i="5" s="1"/>
  <c r="E95" i="5" a="1"/>
  <c r="E95" i="5" s="1"/>
  <c r="E96" i="5" a="1"/>
  <c r="E96" i="5" s="1"/>
  <c r="E97" i="5" a="1"/>
  <c r="E97" i="5" s="1"/>
  <c r="E98" i="5" a="1"/>
  <c r="E98" i="5"/>
  <c r="E99" i="5" a="1"/>
  <c r="E99" i="5" s="1"/>
  <c r="E100" i="5" a="1"/>
  <c r="E100" i="5" s="1"/>
  <c r="E101" i="5" a="1"/>
  <c r="E101" i="5" s="1"/>
  <c r="E102" i="5" a="1"/>
  <c r="E102" i="5" s="1"/>
  <c r="E103" i="5" a="1"/>
  <c r="E103" i="5" s="1"/>
  <c r="E104" i="5" a="1"/>
  <c r="E104" i="5" s="1"/>
  <c r="E105" i="5" a="1"/>
  <c r="E105" i="5" s="1"/>
  <c r="E106" i="5" a="1"/>
  <c r="E106" i="5" s="1"/>
  <c r="E107" i="5" a="1"/>
  <c r="E107" i="5" s="1"/>
  <c r="E108" i="5" a="1"/>
  <c r="E108" i="5" s="1"/>
  <c r="E109" i="5" a="1"/>
  <c r="E109" i="5" s="1"/>
  <c r="E110" i="5" a="1"/>
  <c r="E110" i="5" s="1"/>
  <c r="E111" i="5" a="1"/>
  <c r="E111" i="5" s="1"/>
  <c r="E112" i="5" a="1"/>
  <c r="E112" i="5" s="1"/>
  <c r="E113" i="5" a="1"/>
  <c r="E113" i="5" s="1"/>
  <c r="E114" i="5" a="1"/>
  <c r="E114" i="5" s="1"/>
  <c r="E115" i="5" a="1"/>
  <c r="E115" i="5" s="1"/>
  <c r="E116" i="5" a="1"/>
  <c r="E116" i="5" s="1"/>
  <c r="E117" i="5" a="1"/>
  <c r="E117" i="5" s="1"/>
  <c r="E118" i="5" a="1"/>
  <c r="E118" i="5" s="1"/>
  <c r="E119" i="5" a="1"/>
  <c r="E119" i="5" s="1"/>
  <c r="E120" i="5" a="1"/>
  <c r="E120" i="5" s="1"/>
  <c r="E121" i="5" a="1"/>
  <c r="E121" i="5" s="1"/>
  <c r="E122" i="5" a="1"/>
  <c r="E122" i="5" s="1"/>
  <c r="E123" i="5" a="1"/>
  <c r="E123" i="5" s="1"/>
  <c r="E124" i="5" a="1"/>
  <c r="E124" i="5" s="1"/>
  <c r="E125" i="5" a="1"/>
  <c r="E125" i="5" s="1"/>
  <c r="E126" i="5" a="1"/>
  <c r="E126" i="5" s="1"/>
  <c r="E127" i="5" a="1"/>
  <c r="E127" i="5" s="1"/>
  <c r="E128" i="5" a="1"/>
  <c r="E128" i="5" s="1"/>
  <c r="E129" i="5" a="1"/>
  <c r="E129" i="5" s="1"/>
  <c r="E130" i="5" a="1"/>
  <c r="E130" i="5"/>
  <c r="E131" i="5" a="1"/>
  <c r="E131" i="5" s="1"/>
  <c r="E132" i="5" a="1"/>
  <c r="E132" i="5" s="1"/>
  <c r="E133" i="5" a="1"/>
  <c r="E133" i="5" s="1"/>
  <c r="E134" i="5" a="1"/>
  <c r="E134" i="5" s="1"/>
  <c r="E135" i="5" a="1"/>
  <c r="E135" i="5" s="1"/>
  <c r="E136" i="5" a="1"/>
  <c r="E136" i="5" s="1"/>
  <c r="E137" i="5" a="1"/>
  <c r="E137" i="5" s="1"/>
  <c r="E138" i="5" a="1"/>
  <c r="E138" i="5" s="1"/>
  <c r="E139" i="5" a="1"/>
  <c r="E139" i="5" s="1"/>
  <c r="E140" i="5" a="1"/>
  <c r="E140" i="5" s="1"/>
  <c r="E141" i="5" a="1"/>
  <c r="E141" i="5" s="1"/>
  <c r="E142" i="5" a="1"/>
  <c r="E142" i="5" s="1"/>
  <c r="E143" i="5" a="1"/>
  <c r="E143" i="5" s="1"/>
  <c r="E144" i="5" a="1"/>
  <c r="E144" i="5" s="1"/>
  <c r="E145" i="5" a="1"/>
  <c r="E145" i="5"/>
  <c r="E146" i="5" a="1"/>
  <c r="E146" i="5"/>
  <c r="E147" i="5" a="1"/>
  <c r="E147" i="5" s="1"/>
  <c r="E148" i="5" a="1"/>
  <c r="E148" i="5" s="1"/>
  <c r="E149" i="5" a="1"/>
  <c r="E149" i="5"/>
  <c r="E150" i="5" a="1"/>
  <c r="E150" i="5" s="1"/>
  <c r="E151" i="5" a="1"/>
  <c r="E151" i="5" s="1"/>
  <c r="E152" i="5" a="1"/>
  <c r="E152" i="5"/>
  <c r="E153" i="5" a="1"/>
  <c r="E153" i="5" s="1"/>
  <c r="E154" i="5" a="1"/>
  <c r="E154" i="5"/>
  <c r="E155" i="5" a="1"/>
  <c r="E155" i="5" s="1"/>
  <c r="E156" i="5" a="1"/>
  <c r="E156" i="5" s="1"/>
  <c r="E157" i="5" a="1"/>
  <c r="E157" i="5"/>
  <c r="E158" i="5" a="1"/>
  <c r="E158" i="5" s="1"/>
  <c r="E159" i="5" a="1"/>
  <c r="E159" i="5" s="1"/>
  <c r="E160" i="5" a="1"/>
  <c r="E160" i="5" s="1"/>
  <c r="E161" i="5" a="1"/>
  <c r="E161" i="5"/>
  <c r="E162" i="5" a="1"/>
  <c r="E162" i="5" s="1"/>
  <c r="E163" i="5" a="1"/>
  <c r="E163" i="5"/>
  <c r="E164" i="5" a="1"/>
  <c r="E164" i="5"/>
  <c r="E165" i="5" a="1"/>
  <c r="E165" i="5" s="1"/>
  <c r="E166" i="5" a="1"/>
  <c r="E166" i="5" s="1"/>
  <c r="E167" i="5" a="1"/>
  <c r="E167" i="5" s="1"/>
  <c r="E168" i="5" a="1"/>
  <c r="E168" i="5" s="1"/>
  <c r="E169" i="5" a="1"/>
  <c r="E169" i="5" s="1"/>
  <c r="E170" i="5" a="1"/>
  <c r="E170" i="5"/>
  <c r="E171" i="5" a="1"/>
  <c r="E171" i="5" s="1"/>
  <c r="E172" i="5" a="1"/>
  <c r="E172" i="5"/>
  <c r="E173" i="5" a="1"/>
  <c r="E173" i="5" s="1"/>
  <c r="E174" i="5" a="1"/>
  <c r="E174" i="5" s="1"/>
  <c r="E175" i="5" a="1"/>
  <c r="E175" i="5"/>
  <c r="E176" i="5" a="1"/>
  <c r="E176" i="5" s="1"/>
  <c r="E177" i="5" a="1"/>
  <c r="E177" i="5" s="1"/>
  <c r="E178" i="5" a="1"/>
  <c r="E178" i="5"/>
  <c r="E179" i="5" a="1"/>
  <c r="E179" i="5"/>
  <c r="E180" i="5" a="1"/>
  <c r="E180" i="5" s="1"/>
  <c r="E181" i="5" a="1"/>
  <c r="E181" i="5"/>
  <c r="E182" i="5" a="1"/>
  <c r="E182" i="5"/>
  <c r="E183" i="5" a="1"/>
  <c r="E183" i="5" s="1"/>
  <c r="E184" i="5" a="1"/>
  <c r="E184" i="5" s="1"/>
  <c r="E185" i="5" a="1"/>
  <c r="E185" i="5"/>
  <c r="E186" i="5" a="1"/>
  <c r="E186" i="5" s="1"/>
  <c r="E187" i="5" a="1"/>
  <c r="E187" i="5"/>
  <c r="E188" i="5" a="1"/>
  <c r="E188" i="5"/>
  <c r="E189" i="5" a="1"/>
  <c r="E189" i="5" s="1"/>
  <c r="E190" i="5" a="1"/>
  <c r="E190" i="5"/>
  <c r="E191" i="5" a="1"/>
  <c r="E191" i="5" s="1"/>
  <c r="E192" i="5" a="1"/>
  <c r="E192" i="5" s="1"/>
  <c r="E193" i="5" a="1"/>
  <c r="E193" i="5"/>
  <c r="E194" i="5" a="1"/>
  <c r="E194" i="5"/>
  <c r="E195" i="5" a="1"/>
  <c r="E195" i="5" s="1"/>
  <c r="E196" i="5" a="1"/>
  <c r="E196" i="5" s="1"/>
  <c r="E197" i="5" a="1"/>
  <c r="E197" i="5"/>
  <c r="E198" i="5" a="1"/>
  <c r="E198" i="5" s="1"/>
  <c r="E199" i="5" a="1"/>
  <c r="E199" i="5"/>
  <c r="E200" i="5" a="1"/>
  <c r="E200" i="5"/>
  <c r="E201" i="5" a="1"/>
  <c r="E201" i="5" s="1"/>
  <c r="E202" i="5" a="1"/>
  <c r="E202" i="5" s="1"/>
  <c r="E203" i="5" a="1"/>
  <c r="E203" i="5" s="1"/>
  <c r="E204" i="5" a="1"/>
  <c r="E204" i="5" s="1"/>
  <c r="E205" i="5" a="1"/>
  <c r="E205" i="5" s="1"/>
  <c r="E206" i="5" a="1"/>
  <c r="E206" i="5"/>
  <c r="E207" i="5" a="1"/>
  <c r="E207" i="5" s="1"/>
  <c r="E208" i="5" a="1"/>
  <c r="E208" i="5"/>
  <c r="E209" i="5" a="1"/>
  <c r="E209" i="5" s="1"/>
  <c r="E210" i="5" a="1"/>
  <c r="E210" i="5" s="1"/>
  <c r="E211" i="5" a="1"/>
  <c r="E211" i="5"/>
  <c r="E212" i="5" a="1"/>
  <c r="E212" i="5" s="1"/>
  <c r="E213" i="5" a="1"/>
  <c r="E213" i="5" s="1"/>
  <c r="E214" i="5" a="1"/>
  <c r="E214" i="5"/>
  <c r="E215" i="5" a="1"/>
  <c r="E215" i="5"/>
  <c r="E216" i="5" a="1"/>
  <c r="E216" i="5" s="1"/>
  <c r="E217" i="5" a="1"/>
  <c r="E217" i="5"/>
  <c r="E218" i="5" a="1"/>
  <c r="E218" i="5"/>
  <c r="E219" i="5" a="1"/>
  <c r="E219" i="5" s="1"/>
  <c r="E220" i="5" a="1"/>
  <c r="E220" i="5" s="1"/>
  <c r="E221" i="5" a="1"/>
  <c r="E221" i="5"/>
  <c r="E222" i="5" a="1"/>
  <c r="E222" i="5" s="1"/>
  <c r="E223" i="5" a="1"/>
  <c r="E223" i="5"/>
  <c r="E224" i="5" a="1"/>
  <c r="E224" i="5"/>
  <c r="E225" i="5" a="1"/>
  <c r="E225" i="5" s="1"/>
  <c r="E226" i="5" a="1"/>
  <c r="E226" i="5"/>
  <c r="E227" i="5" a="1"/>
  <c r="E227" i="5" s="1"/>
  <c r="E228" i="5" a="1"/>
  <c r="E228" i="5" s="1"/>
  <c r="E229" i="5" a="1"/>
  <c r="E229" i="5"/>
  <c r="E230" i="5" a="1"/>
  <c r="E230" i="5"/>
  <c r="E231" i="5" a="1"/>
  <c r="E231" i="5" s="1"/>
  <c r="E232" i="5" a="1"/>
  <c r="E232" i="5" s="1"/>
  <c r="E233" i="5" a="1"/>
  <c r="E233" i="5"/>
  <c r="E234" i="5" a="1"/>
  <c r="E234" i="5" s="1"/>
  <c r="E235" i="5" a="1"/>
  <c r="E235" i="5"/>
  <c r="E236" i="5" a="1"/>
  <c r="E236" i="5"/>
  <c r="E237" i="5" a="1"/>
  <c r="E237" i="5" s="1"/>
  <c r="E238" i="5" a="1"/>
  <c r="E238" i="5" s="1"/>
  <c r="E239" i="5" a="1"/>
  <c r="E239" i="5" s="1"/>
  <c r="E240" i="5" a="1"/>
  <c r="E240" i="5" s="1"/>
  <c r="E241" i="5" a="1"/>
  <c r="E241" i="5" s="1"/>
  <c r="E242" i="5" a="1"/>
  <c r="E242" i="5"/>
  <c r="E243" i="5" a="1"/>
  <c r="E243" i="5" s="1"/>
  <c r="E244" i="5" a="1"/>
  <c r="E244" i="5"/>
  <c r="E245" i="5" a="1"/>
  <c r="E245" i="5" s="1"/>
  <c r="E246" i="5" a="1"/>
  <c r="E246" i="5" s="1"/>
  <c r="E247" i="5" a="1"/>
  <c r="E247" i="5"/>
  <c r="E248" i="5" a="1"/>
  <c r="E248" i="5" s="1"/>
  <c r="E249" i="5" a="1"/>
  <c r="E249" i="5" s="1"/>
  <c r="E250" i="5" a="1"/>
  <c r="E250" i="5"/>
  <c r="E251" i="5" a="1"/>
  <c r="E251" i="5"/>
  <c r="E252" i="5" a="1"/>
  <c r="E252" i="5" s="1"/>
  <c r="E253" i="5" a="1"/>
  <c r="E253" i="5"/>
  <c r="E254" i="5" a="1"/>
  <c r="E254" i="5"/>
  <c r="E255" i="5" a="1"/>
  <c r="E255" i="5" s="1"/>
  <c r="E256" i="5" a="1"/>
  <c r="E256" i="5" s="1"/>
  <c r="E257" i="5" a="1"/>
  <c r="E257" i="5"/>
  <c r="E258" i="5" a="1"/>
  <c r="E258" i="5" s="1"/>
  <c r="E259" i="5" a="1"/>
  <c r="E259" i="5"/>
  <c r="E260" i="5" a="1"/>
  <c r="E260" i="5"/>
  <c r="E261" i="5" a="1"/>
  <c r="E261" i="5" s="1"/>
  <c r="E262" i="5" a="1"/>
  <c r="E262" i="5"/>
  <c r="E263" i="5" a="1"/>
  <c r="E263" i="5" s="1"/>
  <c r="E264" i="5" a="1"/>
  <c r="E264" i="5" s="1"/>
  <c r="E265" i="5" a="1"/>
  <c r="E265" i="5"/>
  <c r="E266" i="5" a="1"/>
  <c r="E266" i="5"/>
  <c r="E267" i="5" a="1"/>
  <c r="E267" i="5" s="1"/>
  <c r="E268" i="5" a="1"/>
  <c r="E268" i="5" s="1"/>
  <c r="E269" i="5" a="1"/>
  <c r="E269" i="5"/>
  <c r="E270" i="5" a="1"/>
  <c r="E270" i="5" s="1"/>
  <c r="E271" i="5" a="1"/>
  <c r="E271" i="5"/>
  <c r="E272" i="5" a="1"/>
  <c r="E272" i="5"/>
  <c r="E273" i="5" a="1"/>
  <c r="E273" i="5" s="1"/>
  <c r="E274" i="5" a="1"/>
  <c r="E274" i="5" s="1"/>
  <c r="E275" i="5" a="1"/>
  <c r="E275" i="5" s="1"/>
  <c r="E276" i="5" a="1"/>
  <c r="E276" i="5" s="1"/>
  <c r="E277" i="5" a="1"/>
  <c r="E277" i="5" s="1"/>
  <c r="E278" i="5" a="1"/>
  <c r="E278" i="5"/>
  <c r="E279" i="5" a="1"/>
  <c r="E279" i="5" s="1"/>
  <c r="E280" i="5" a="1"/>
  <c r="E280" i="5"/>
  <c r="E281" i="5" a="1"/>
  <c r="E281" i="5" s="1"/>
  <c r="E282" i="5" a="1"/>
  <c r="E282" i="5" s="1"/>
  <c r="E283" i="5" a="1"/>
  <c r="E283" i="5"/>
  <c r="E284" i="5" a="1"/>
  <c r="E284" i="5" s="1"/>
  <c r="E285" i="5" a="1"/>
  <c r="E285" i="5" s="1"/>
  <c r="E286" i="5" a="1"/>
  <c r="E286" i="5"/>
  <c r="E287" i="5" a="1"/>
  <c r="E287" i="5"/>
  <c r="E288" i="5" a="1"/>
  <c r="E288" i="5" s="1"/>
  <c r="E289" i="5" a="1"/>
  <c r="E289" i="5"/>
  <c r="E290" i="5" a="1"/>
  <c r="E290" i="5"/>
  <c r="E291" i="5" a="1"/>
  <c r="E291" i="5" s="1"/>
  <c r="E292" i="5" a="1"/>
  <c r="E292" i="5" s="1"/>
  <c r="E293" i="5" a="1"/>
  <c r="E293" i="5"/>
  <c r="E294" i="5" a="1"/>
  <c r="E294" i="5" s="1"/>
  <c r="E295" i="5" a="1"/>
  <c r="E295" i="5"/>
  <c r="E296" i="5" a="1"/>
  <c r="E296" i="5"/>
  <c r="E297" i="5" a="1"/>
  <c r="E297" i="5" s="1"/>
  <c r="E298" i="5" a="1"/>
  <c r="E298" i="5"/>
  <c r="E299" i="5" a="1"/>
  <c r="E299" i="5" s="1"/>
  <c r="E300" i="5" a="1"/>
  <c r="E300" i="5" s="1"/>
  <c r="E301" i="5" a="1"/>
  <c r="E301" i="5"/>
  <c r="E302" i="5" a="1"/>
  <c r="E302" i="5"/>
  <c r="E303" i="5" a="1"/>
  <c r="E303" i="5" s="1"/>
  <c r="E304" i="5" a="1"/>
  <c r="E304" i="5" s="1"/>
  <c r="E305" i="5" a="1"/>
  <c r="E305" i="5"/>
  <c r="E306" i="5" a="1"/>
  <c r="E306" i="5" s="1"/>
  <c r="E307" i="5" a="1"/>
  <c r="E307" i="5"/>
  <c r="E308" i="5" a="1"/>
  <c r="E308" i="5"/>
  <c r="E309" i="5" a="1"/>
  <c r="E309" i="5" s="1"/>
  <c r="E310" i="5" a="1"/>
  <c r="E310" i="5" s="1"/>
  <c r="E311" i="5" a="1"/>
  <c r="E311" i="5" s="1"/>
  <c r="E312" i="5" a="1"/>
  <c r="E312" i="5" s="1"/>
  <c r="E313" i="5" a="1"/>
  <c r="E313" i="5" s="1"/>
  <c r="E314" i="5" a="1"/>
  <c r="E314" i="5"/>
  <c r="E315" i="5" a="1"/>
  <c r="E315" i="5" s="1"/>
  <c r="E316" i="5" a="1"/>
  <c r="E316" i="5"/>
  <c r="E317" i="5" a="1"/>
  <c r="E317" i="5" s="1"/>
  <c r="E318" i="5" a="1"/>
  <c r="E318" i="5" s="1"/>
  <c r="E319" i="5" a="1"/>
  <c r="E319" i="5"/>
  <c r="E320" i="5" a="1"/>
  <c r="E320" i="5" s="1"/>
  <c r="E321" i="5" a="1"/>
  <c r="E321" i="5" s="1"/>
  <c r="E322" i="5" a="1"/>
  <c r="E322" i="5"/>
  <c r="E323" i="5" a="1"/>
  <c r="E323" i="5"/>
  <c r="E324" i="5" a="1"/>
  <c r="E324" i="5" s="1"/>
  <c r="E325" i="5" a="1"/>
  <c r="E325" i="5"/>
  <c r="E326" i="5" a="1"/>
  <c r="E326" i="5"/>
  <c r="E327" i="5" a="1"/>
  <c r="E327" i="5" s="1"/>
  <c r="E328" i="5" a="1"/>
  <c r="E328" i="5" s="1"/>
  <c r="E329" i="5" a="1"/>
  <c r="E329" i="5"/>
  <c r="E330" i="5" a="1"/>
  <c r="E330" i="5" s="1"/>
  <c r="E331" i="5" a="1"/>
  <c r="E331" i="5"/>
  <c r="E332" i="5" a="1"/>
  <c r="E332" i="5"/>
  <c r="E333" i="5" a="1"/>
  <c r="E333" i="5" s="1"/>
  <c r="E334" i="5" a="1"/>
  <c r="E334" i="5"/>
  <c r="E335" i="5" a="1"/>
  <c r="E335" i="5" s="1"/>
  <c r="E336" i="5" a="1"/>
  <c r="E336" i="5" s="1"/>
  <c r="E337" i="5" a="1"/>
  <c r="E337" i="5"/>
  <c r="E338" i="5" a="1"/>
  <c r="E338" i="5"/>
  <c r="E339" i="5" a="1"/>
  <c r="E339" i="5" s="1"/>
  <c r="E340" i="5" a="1"/>
  <c r="E340" i="5" s="1"/>
  <c r="E341" i="5" a="1"/>
  <c r="E341" i="5"/>
  <c r="E342" i="5" a="1"/>
  <c r="E342" i="5" s="1"/>
  <c r="E343" i="5" a="1"/>
  <c r="E343" i="5"/>
  <c r="E344" i="5" a="1"/>
  <c r="E344" i="5"/>
  <c r="E345" i="5" a="1"/>
  <c r="E345" i="5" s="1"/>
  <c r="E346" i="5" a="1"/>
  <c r="E346" i="5" s="1"/>
  <c r="E347" i="5" a="1"/>
  <c r="E347" i="5" s="1"/>
  <c r="E348" i="5" a="1"/>
  <c r="E348" i="5" s="1"/>
  <c r="E349" i="5" a="1"/>
  <c r="E349" i="5" s="1"/>
  <c r="E350" i="5" a="1"/>
  <c r="E350" i="5"/>
  <c r="E351" i="5" a="1"/>
  <c r="E351" i="5" s="1"/>
  <c r="E352" i="5" a="1"/>
  <c r="E352" i="5"/>
  <c r="E353" i="5" a="1"/>
  <c r="E353" i="5" s="1"/>
  <c r="E354" i="5" a="1"/>
  <c r="E354" i="5" s="1"/>
  <c r="E355" i="5" a="1"/>
  <c r="E355" i="5"/>
  <c r="E356" i="5" a="1"/>
  <c r="E356" i="5" s="1"/>
  <c r="E357" i="5" a="1"/>
  <c r="E357" i="5" s="1"/>
  <c r="E358" i="5" a="1"/>
  <c r="E358" i="5"/>
  <c r="E359" i="5" a="1"/>
  <c r="E359" i="5"/>
  <c r="E360" i="5" a="1"/>
  <c r="E360" i="5" s="1"/>
  <c r="E361" i="5" a="1"/>
  <c r="E361" i="5"/>
  <c r="E362" i="5" a="1"/>
  <c r="E362" i="5"/>
  <c r="E363" i="5" a="1"/>
  <c r="E363" i="5" s="1"/>
  <c r="E364" i="5" a="1"/>
  <c r="E364" i="5" s="1"/>
  <c r="E365" i="5" a="1"/>
  <c r="E365" i="5"/>
  <c r="E366" i="5" a="1"/>
  <c r="E366" i="5" s="1"/>
  <c r="E367" i="5" a="1"/>
  <c r="E367" i="5"/>
  <c r="E368" i="5" a="1"/>
  <c r="E368" i="5"/>
  <c r="E369" i="5" a="1"/>
  <c r="E369" i="5" s="1"/>
  <c r="E370" i="5" a="1"/>
  <c r="E370" i="5"/>
  <c r="E371" i="5" a="1"/>
  <c r="E371" i="5" s="1"/>
  <c r="E372" i="5" a="1"/>
  <c r="E372" i="5" s="1"/>
  <c r="E373" i="5" a="1"/>
  <c r="E373" i="5"/>
  <c r="E374" i="5" a="1"/>
  <c r="E374" i="5"/>
  <c r="E375" i="5" a="1"/>
  <c r="E375" i="5" s="1"/>
  <c r="E376" i="5" a="1"/>
  <c r="E376" i="5" s="1"/>
  <c r="E377" i="5" a="1"/>
  <c r="E377" i="5"/>
  <c r="E378" i="5" a="1"/>
  <c r="E378" i="5" s="1"/>
  <c r="E379" i="5" a="1"/>
  <c r="E379" i="5"/>
  <c r="E380" i="5" a="1"/>
  <c r="E380" i="5"/>
  <c r="E381" i="5" a="1"/>
  <c r="E381" i="5" s="1"/>
  <c r="E382" i="5" a="1"/>
  <c r="E382" i="5" s="1"/>
  <c r="E383" i="5" a="1"/>
  <c r="E383" i="5" s="1"/>
  <c r="E384" i="5" a="1"/>
  <c r="E384" i="5" s="1"/>
  <c r="E385" i="5" a="1"/>
  <c r="E385" i="5" s="1"/>
  <c r="E386" i="5" a="1"/>
  <c r="E386" i="5"/>
  <c r="E387" i="5" a="1"/>
  <c r="E387" i="5" s="1"/>
  <c r="E388" i="5" a="1"/>
  <c r="E388" i="5"/>
  <c r="E389" i="5" a="1"/>
  <c r="E389" i="5" s="1"/>
  <c r="E390" i="5" a="1"/>
  <c r="E390" i="5" s="1"/>
  <c r="E391" i="5" a="1"/>
  <c r="E391" i="5"/>
  <c r="E392" i="5" a="1"/>
  <c r="E392" i="5" s="1"/>
  <c r="E393" i="5" a="1"/>
  <c r="E393" i="5" s="1"/>
  <c r="E394" i="5" a="1"/>
  <c r="E394" i="5"/>
  <c r="E395" i="5" a="1"/>
  <c r="E395" i="5"/>
  <c r="E396" i="5" a="1"/>
  <c r="E396" i="5" s="1"/>
  <c r="E397" i="5" a="1"/>
  <c r="E397" i="5"/>
  <c r="E398" i="5" a="1"/>
  <c r="E398" i="5"/>
  <c r="E399" i="5" a="1"/>
  <c r="E399" i="5" s="1"/>
  <c r="E400" i="5" a="1"/>
  <c r="E400" i="5" s="1"/>
  <c r="E401" i="5" a="1"/>
  <c r="E401" i="5"/>
  <c r="E402" i="5" a="1"/>
  <c r="E402" i="5" s="1"/>
  <c r="E403" i="5" a="1"/>
  <c r="E403" i="5"/>
  <c r="E404" i="5" a="1"/>
  <c r="E404" i="5"/>
  <c r="E405" i="5" a="1"/>
  <c r="E405" i="5" s="1"/>
  <c r="E406" i="5" a="1"/>
  <c r="E406" i="5"/>
  <c r="E407" i="5" a="1"/>
  <c r="E407" i="5" s="1"/>
  <c r="E408" i="5" a="1"/>
  <c r="E408" i="5" s="1"/>
  <c r="E409" i="5" a="1"/>
  <c r="E409" i="5"/>
  <c r="E410" i="5" a="1"/>
  <c r="E410" i="5"/>
  <c r="E411" i="5" a="1"/>
  <c r="E411" i="5" s="1"/>
  <c r="E412" i="5" a="1"/>
  <c r="E412" i="5" s="1"/>
  <c r="E413" i="5" a="1"/>
  <c r="E413" i="5"/>
  <c r="E414" i="5" a="1"/>
  <c r="E414" i="5" s="1"/>
  <c r="E415" i="5" a="1"/>
  <c r="E415" i="5"/>
  <c r="E416" i="5" a="1"/>
  <c r="E416" i="5"/>
  <c r="E417" i="5" a="1"/>
  <c r="E417" i="5" s="1"/>
  <c r="E418" i="5" a="1"/>
  <c r="E418" i="5" s="1"/>
  <c r="E419" i="5" a="1"/>
  <c r="E419" i="5" s="1"/>
  <c r="E420" i="5" a="1"/>
  <c r="E420" i="5" s="1"/>
  <c r="E421" i="5" a="1"/>
  <c r="E421" i="5" s="1"/>
  <c r="E422" i="5" a="1"/>
  <c r="E422" i="5"/>
  <c r="E423" i="5" a="1"/>
  <c r="E423" i="5" s="1"/>
  <c r="E424" i="5" a="1"/>
  <c r="E424" i="5"/>
  <c r="E425" i="5" a="1"/>
  <c r="E425" i="5" s="1"/>
  <c r="E426" i="5" a="1"/>
  <c r="E426" i="5" s="1"/>
  <c r="E427" i="5" a="1"/>
  <c r="E427" i="5"/>
  <c r="E428" i="5" a="1"/>
  <c r="E428" i="5" s="1"/>
  <c r="E429" i="5" a="1"/>
  <c r="E429" i="5" s="1"/>
  <c r="E430" i="5" a="1"/>
  <c r="E430" i="5"/>
  <c r="E431" i="5" a="1"/>
  <c r="E431" i="5"/>
  <c r="E432" i="5" a="1"/>
  <c r="E432" i="5" s="1"/>
  <c r="E433" i="5" a="1"/>
  <c r="E433" i="5"/>
  <c r="E434" i="5" a="1"/>
  <c r="E434" i="5"/>
  <c r="E435" i="5" a="1"/>
  <c r="E435" i="5" s="1"/>
  <c r="E436" i="5" a="1"/>
  <c r="E436" i="5" s="1"/>
  <c r="E437" i="5" a="1"/>
  <c r="E437" i="5"/>
  <c r="E438" i="5" a="1"/>
  <c r="E438" i="5" s="1"/>
  <c r="E439" i="5" a="1"/>
  <c r="E439" i="5"/>
  <c r="E440" i="5" a="1"/>
  <c r="E440" i="5"/>
  <c r="E441" i="5" a="1"/>
  <c r="E441" i="5" s="1"/>
  <c r="E442" i="5" a="1"/>
  <c r="E442" i="5"/>
  <c r="E443" i="5" a="1"/>
  <c r="E443" i="5" s="1"/>
  <c r="E444" i="5" a="1"/>
  <c r="E444" i="5" s="1"/>
  <c r="E445" i="5" a="1"/>
  <c r="E445" i="5"/>
  <c r="E446" i="5" a="1"/>
  <c r="E446" i="5"/>
  <c r="E447" i="5" a="1"/>
  <c r="E447" i="5" s="1"/>
  <c r="E448" i="5" a="1"/>
  <c r="E448" i="5" s="1"/>
  <c r="E449" i="5" a="1"/>
  <c r="E449" i="5"/>
  <c r="E450" i="5" a="1"/>
  <c r="E450" i="5" s="1"/>
  <c r="E451" i="5" a="1"/>
  <c r="E451" i="5"/>
  <c r="E452" i="5" a="1"/>
  <c r="E452" i="5"/>
  <c r="E453" i="5" a="1"/>
  <c r="E453" i="5" s="1"/>
  <c r="E454" i="5" a="1"/>
  <c r="E454" i="5" s="1"/>
  <c r="E455" i="5" a="1"/>
  <c r="E455" i="5" s="1"/>
  <c r="E456" i="5" a="1"/>
  <c r="E456" i="5" s="1"/>
  <c r="E457" i="5" a="1"/>
  <c r="E457" i="5" s="1"/>
  <c r="E458" i="5" a="1"/>
  <c r="E458" i="5"/>
  <c r="E459" i="5" a="1"/>
  <c r="E459" i="5" s="1"/>
  <c r="E460" i="5" a="1"/>
  <c r="E460" i="5"/>
  <c r="E461" i="5" a="1"/>
  <c r="E461" i="5" s="1"/>
  <c r="E462" i="5" a="1"/>
  <c r="E462" i="5" s="1"/>
  <c r="E463" i="5" a="1"/>
  <c r="E463" i="5"/>
  <c r="E464" i="5" a="1"/>
  <c r="E464" i="5" s="1"/>
  <c r="E465" i="5" a="1"/>
  <c r="E465" i="5" s="1"/>
  <c r="E466" i="5" a="1"/>
  <c r="E466" i="5"/>
  <c r="E467" i="5" a="1"/>
  <c r="E467" i="5"/>
  <c r="E468" i="5" a="1"/>
  <c r="E468" i="5" s="1"/>
  <c r="E469" i="5" a="1"/>
  <c r="E469" i="5"/>
  <c r="E470" i="5" a="1"/>
  <c r="E470" i="5"/>
  <c r="E471" i="5" a="1"/>
  <c r="E471" i="5" s="1"/>
  <c r="E472" i="5" a="1"/>
  <c r="E472" i="5" s="1"/>
  <c r="E473" i="5" a="1"/>
  <c r="E473" i="5"/>
  <c r="E474" i="5" a="1"/>
  <c r="E474" i="5" s="1"/>
  <c r="E475" i="5" a="1"/>
  <c r="E475" i="5"/>
  <c r="E476" i="5" a="1"/>
  <c r="E476" i="5"/>
  <c r="E477" i="5" a="1"/>
  <c r="E477" i="5" s="1"/>
  <c r="E478" i="5" a="1"/>
  <c r="E478" i="5"/>
  <c r="E479" i="5" a="1"/>
  <c r="E479" i="5" s="1"/>
  <c r="E480" i="5" a="1"/>
  <c r="E480" i="5" s="1"/>
  <c r="E481" i="5" a="1"/>
  <c r="E481" i="5"/>
  <c r="E482" i="5" a="1"/>
  <c r="E482" i="5"/>
  <c r="E483" i="5" a="1"/>
  <c r="E483" i="5" s="1"/>
  <c r="E484" i="5" a="1"/>
  <c r="E484" i="5" s="1"/>
  <c r="E485" i="5" a="1"/>
  <c r="E485" i="5"/>
  <c r="E486" i="5" a="1"/>
  <c r="E486" i="5" s="1"/>
  <c r="E487" i="5" a="1"/>
  <c r="E487" i="5"/>
  <c r="E488" i="5" a="1"/>
  <c r="E488" i="5"/>
  <c r="E489" i="5" a="1"/>
  <c r="E489" i="5" s="1"/>
  <c r="E490" i="5" a="1"/>
  <c r="E490" i="5" s="1"/>
  <c r="E491" i="5" a="1"/>
  <c r="E491" i="5" s="1"/>
  <c r="E492" i="5" a="1"/>
  <c r="E492" i="5" s="1"/>
  <c r="E493" i="5" a="1"/>
  <c r="E493" i="5" s="1"/>
  <c r="E494" i="5" a="1"/>
  <c r="E494" i="5"/>
  <c r="E495" i="5" a="1"/>
  <c r="E495" i="5" s="1"/>
  <c r="E496" i="5" a="1"/>
  <c r="E496" i="5"/>
  <c r="E497" i="5" a="1"/>
  <c r="E497" i="5" s="1"/>
  <c r="E498" i="5" a="1"/>
  <c r="E498" i="5" s="1"/>
  <c r="E499" i="5" a="1"/>
  <c r="E499" i="5"/>
  <c r="E500" i="5" a="1"/>
  <c r="E500" i="5" s="1"/>
  <c r="E501" i="5" a="1"/>
  <c r="E501" i="5" s="1"/>
  <c r="E502" i="5" a="1"/>
  <c r="E502" i="5"/>
  <c r="E503" i="5" a="1"/>
  <c r="E503" i="5"/>
  <c r="E504" i="5" a="1"/>
  <c r="E504" i="5" s="1"/>
  <c r="E505" i="5" a="1"/>
  <c r="E505" i="5"/>
  <c r="E506" i="5" a="1"/>
  <c r="E506" i="5"/>
  <c r="E507" i="5" a="1"/>
  <c r="E507" i="5" s="1"/>
  <c r="E508" i="5" a="1"/>
  <c r="E508" i="5" s="1"/>
  <c r="E509" i="5" a="1"/>
  <c r="E509" i="5"/>
  <c r="E510" i="5" a="1"/>
  <c r="E510" i="5" s="1"/>
  <c r="E511" i="5" a="1"/>
  <c r="E511" i="5"/>
  <c r="E512" i="5" a="1"/>
  <c r="E512" i="5"/>
  <c r="E513" i="5" a="1"/>
  <c r="E513" i="5" s="1"/>
  <c r="E514" i="5" a="1"/>
  <c r="E514" i="5"/>
  <c r="E515" i="5" a="1"/>
  <c r="E515" i="5" s="1"/>
  <c r="E516" i="5" a="1"/>
  <c r="E516" i="5" s="1"/>
  <c r="E517" i="5" a="1"/>
  <c r="E517" i="5"/>
  <c r="E518" i="5" a="1"/>
  <c r="E518" i="5"/>
  <c r="E519" i="5" a="1"/>
  <c r="E519" i="5" s="1"/>
  <c r="E520" i="5" a="1"/>
  <c r="E520" i="5" s="1"/>
  <c r="E521" i="5" a="1"/>
  <c r="E521" i="5"/>
  <c r="E522" i="5" a="1"/>
  <c r="E522" i="5" s="1"/>
  <c r="E523" i="5" a="1"/>
  <c r="E523" i="5"/>
  <c r="E524" i="5" a="1"/>
  <c r="E524" i="5"/>
  <c r="E525" i="5" a="1"/>
  <c r="E525" i="5" s="1"/>
  <c r="E526" i="5" a="1"/>
  <c r="E526" i="5" s="1"/>
  <c r="E527" i="5" a="1"/>
  <c r="E527" i="5" s="1"/>
  <c r="E528" i="5" a="1"/>
  <c r="E528" i="5" s="1"/>
  <c r="E529" i="5" a="1"/>
  <c r="E529" i="5" s="1"/>
  <c r="E530" i="5" a="1"/>
  <c r="E530" i="5"/>
  <c r="E531" i="5" a="1"/>
  <c r="E531" i="5" s="1"/>
  <c r="E532" i="5" a="1"/>
  <c r="E532" i="5"/>
  <c r="E533" i="5" a="1"/>
  <c r="E533" i="5" s="1"/>
  <c r="E534" i="5" a="1"/>
  <c r="E534" i="5" s="1"/>
  <c r="E535" i="5" a="1"/>
  <c r="E535" i="5"/>
  <c r="E536" i="5" a="1"/>
  <c r="E536" i="5" s="1"/>
  <c r="E537" i="5" a="1"/>
  <c r="E537" i="5" s="1"/>
  <c r="E538" i="5" a="1"/>
  <c r="E538" i="5"/>
  <c r="E539" i="5" a="1"/>
  <c r="E539" i="5"/>
  <c r="E540" i="5" a="1"/>
  <c r="E540" i="5" s="1"/>
  <c r="E541" i="5" a="1"/>
  <c r="E541" i="5"/>
  <c r="E542" i="5" a="1"/>
  <c r="E542" i="5"/>
  <c r="E543" i="5" a="1"/>
  <c r="E543" i="5" s="1"/>
  <c r="E544" i="5" a="1"/>
  <c r="E544" i="5" s="1"/>
  <c r="E545" i="5" a="1"/>
  <c r="E545" i="5"/>
  <c r="E546" i="5" a="1"/>
  <c r="E546" i="5"/>
  <c r="E547" i="5" a="1"/>
  <c r="E547" i="5" s="1"/>
  <c r="E548" i="5" a="1"/>
  <c r="E548" i="5" s="1"/>
  <c r="E549" i="5" a="1"/>
  <c r="E549" i="5"/>
  <c r="E550" i="5" a="1"/>
  <c r="E550" i="5" s="1"/>
  <c r="E551" i="5" a="1"/>
  <c r="E551" i="5"/>
  <c r="E552" i="5" a="1"/>
  <c r="E552" i="5"/>
  <c r="E553" i="5" a="1"/>
  <c r="E553" i="5" s="1"/>
  <c r="E554" i="5" a="1"/>
  <c r="E554" i="5" s="1"/>
  <c r="E555" i="5" a="1"/>
  <c r="E555" i="5"/>
  <c r="E556" i="5" a="1"/>
  <c r="E556" i="5" s="1"/>
  <c r="E557" i="5" a="1"/>
  <c r="E557" i="5"/>
  <c r="E558" i="5" a="1"/>
  <c r="E558" i="5"/>
  <c r="E559" i="5" a="1"/>
  <c r="E559" i="5" s="1"/>
  <c r="E560" i="5" a="1"/>
  <c r="E560" i="5" s="1"/>
  <c r="E561" i="5" a="1"/>
  <c r="E561" i="5"/>
  <c r="E562" i="5" a="1"/>
  <c r="E562" i="5" s="1"/>
  <c r="E563" i="5" a="1"/>
  <c r="E563" i="5"/>
  <c r="E564" i="5" a="1"/>
  <c r="E564" i="5"/>
  <c r="E565" i="5" a="1"/>
  <c r="E565" i="5" s="1"/>
  <c r="E566" i="5" a="1"/>
  <c r="E566" i="5" s="1"/>
  <c r="E567" i="5" a="1"/>
  <c r="E567" i="5"/>
  <c r="E568" i="5" a="1"/>
  <c r="E568" i="5" s="1"/>
  <c r="E569" i="5" a="1"/>
  <c r="E569" i="5"/>
  <c r="E570" i="5" a="1"/>
  <c r="E570" i="5"/>
  <c r="E571" i="5" a="1"/>
  <c r="E571" i="5" s="1"/>
  <c r="E572" i="5" a="1"/>
  <c r="E572" i="5" s="1"/>
  <c r="E573" i="5" a="1"/>
  <c r="E573" i="5"/>
  <c r="E574" i="5" a="1"/>
  <c r="E574" i="5" s="1"/>
  <c r="E575" i="5" a="1"/>
  <c r="E575" i="5"/>
  <c r="E576" i="5" a="1"/>
  <c r="E576" i="5"/>
  <c r="E577" i="5" a="1"/>
  <c r="E577" i="5" s="1"/>
  <c r="E578" i="5" a="1"/>
  <c r="E578" i="5" s="1"/>
  <c r="E579" i="5" a="1"/>
  <c r="E579" i="5"/>
  <c r="E580" i="5" a="1"/>
  <c r="E580" i="5" s="1"/>
  <c r="E581" i="5" a="1"/>
  <c r="E581" i="5"/>
  <c r="E582" i="5" a="1"/>
  <c r="E582" i="5"/>
  <c r="E583" i="5" a="1"/>
  <c r="E583" i="5" s="1"/>
  <c r="E584" i="5" a="1"/>
  <c r="E584" i="5" s="1"/>
  <c r="E585" i="5" a="1"/>
  <c r="E585" i="5"/>
  <c r="E586" i="5" a="1"/>
  <c r="E586" i="5" s="1"/>
  <c r="E587" i="5" a="1"/>
  <c r="E587" i="5"/>
  <c r="E588" i="5" a="1"/>
  <c r="E588" i="5"/>
  <c r="E589" i="5" a="1"/>
  <c r="E589" i="5" s="1"/>
  <c r="E590" i="5" a="1"/>
  <c r="E590" i="5" s="1"/>
  <c r="E591" i="5" a="1"/>
  <c r="E591" i="5"/>
  <c r="E592" i="5" a="1"/>
  <c r="E592" i="5" s="1"/>
  <c r="E593" i="5" a="1"/>
  <c r="E593" i="5"/>
  <c r="E594" i="5" a="1"/>
  <c r="E594" i="5"/>
  <c r="E595" i="5" a="1"/>
  <c r="E595" i="5" s="1"/>
  <c r="E596" i="5" a="1"/>
  <c r="E596" i="5" s="1"/>
  <c r="E597" i="5" a="1"/>
  <c r="E597" i="5"/>
  <c r="E598" i="5" a="1"/>
  <c r="E598" i="5" s="1"/>
  <c r="E599" i="5" a="1"/>
  <c r="E599" i="5"/>
  <c r="E600" i="5" a="1"/>
  <c r="E600" i="5"/>
  <c r="E601" i="5" a="1"/>
  <c r="E601" i="5" s="1"/>
  <c r="E602" i="5" a="1"/>
  <c r="E602" i="5" s="1"/>
  <c r="E603" i="5" a="1"/>
  <c r="E603" i="5"/>
  <c r="E604" i="5" a="1"/>
  <c r="E604" i="5" s="1"/>
  <c r="E605" i="5" a="1"/>
  <c r="E605" i="5"/>
  <c r="E606" i="5" a="1"/>
  <c r="E606" i="5"/>
  <c r="E607" i="5" a="1"/>
  <c r="E607" i="5" s="1"/>
  <c r="E608" i="5" a="1"/>
  <c r="E608" i="5" s="1"/>
  <c r="E609" i="5" a="1"/>
  <c r="E609" i="5"/>
  <c r="E610" i="5" a="1"/>
  <c r="E610" i="5" s="1"/>
  <c r="E611" i="5" a="1"/>
  <c r="E611" i="5"/>
  <c r="M7" i="7"/>
  <c r="N611" i="11"/>
  <c r="N610" i="11"/>
  <c r="N609" i="11"/>
  <c r="N608" i="11"/>
  <c r="N607" i="11"/>
  <c r="N606" i="11"/>
  <c r="N605" i="11"/>
  <c r="N604" i="11"/>
  <c r="N603" i="11"/>
  <c r="N602" i="11"/>
  <c r="N601" i="11"/>
  <c r="N600" i="11"/>
  <c r="N599" i="11"/>
  <c r="N598" i="11"/>
  <c r="N597" i="11"/>
  <c r="N596" i="11"/>
  <c r="N595" i="11"/>
  <c r="N594" i="11"/>
  <c r="N593" i="11"/>
  <c r="N592" i="11"/>
  <c r="N591" i="11"/>
  <c r="N590" i="11"/>
  <c r="N589" i="11"/>
  <c r="N588" i="11"/>
  <c r="N587" i="11"/>
  <c r="N586" i="11"/>
  <c r="N585" i="11"/>
  <c r="N584" i="11"/>
  <c r="N583" i="11"/>
  <c r="N582" i="11"/>
  <c r="N581" i="11"/>
  <c r="N580" i="11"/>
  <c r="N579" i="11"/>
  <c r="N578" i="11"/>
  <c r="N577" i="11"/>
  <c r="N576" i="11"/>
  <c r="N575" i="11"/>
  <c r="N574" i="11"/>
  <c r="N573" i="11"/>
  <c r="N572" i="11"/>
  <c r="N571" i="11"/>
  <c r="N570" i="11"/>
  <c r="N569" i="11"/>
  <c r="N568" i="11"/>
  <c r="N567" i="11"/>
  <c r="N566" i="11"/>
  <c r="N565" i="11"/>
  <c r="N564" i="11"/>
  <c r="N563" i="11"/>
  <c r="N562" i="11"/>
  <c r="N561" i="11"/>
  <c r="N560" i="11"/>
  <c r="N559" i="11"/>
  <c r="N558" i="11"/>
  <c r="N557" i="11"/>
  <c r="N556" i="11"/>
  <c r="N555" i="11"/>
  <c r="N554" i="11"/>
  <c r="N553" i="11"/>
  <c r="N552" i="11"/>
  <c r="N551" i="11"/>
  <c r="N550" i="11"/>
  <c r="N549" i="11"/>
  <c r="N548" i="11"/>
  <c r="N547" i="11"/>
  <c r="N546" i="11"/>
  <c r="N545" i="11"/>
  <c r="N544" i="11"/>
  <c r="N543" i="11"/>
  <c r="N542" i="11"/>
  <c r="N541" i="11"/>
  <c r="N540" i="11"/>
  <c r="N539" i="11"/>
  <c r="N538" i="11"/>
  <c r="N537" i="11"/>
  <c r="N536" i="11"/>
  <c r="N535" i="11"/>
  <c r="N534" i="11"/>
  <c r="N533" i="11"/>
  <c r="N532" i="11"/>
  <c r="N531" i="11"/>
  <c r="N530" i="11"/>
  <c r="N529" i="11"/>
  <c r="N528" i="11"/>
  <c r="N527" i="11"/>
  <c r="N526" i="11"/>
  <c r="N525" i="11"/>
  <c r="N524" i="11"/>
  <c r="N523" i="11"/>
  <c r="N522" i="11"/>
  <c r="N521" i="11"/>
  <c r="N520" i="11"/>
  <c r="N519" i="11"/>
  <c r="N518" i="11"/>
  <c r="N517" i="11"/>
  <c r="N516" i="11"/>
  <c r="N515" i="11"/>
  <c r="N514" i="11"/>
  <c r="N513" i="11"/>
  <c r="N512" i="11"/>
  <c r="N511" i="11"/>
  <c r="N510" i="11"/>
  <c r="N509" i="11"/>
  <c r="N508" i="11"/>
  <c r="N507" i="11"/>
  <c r="N506" i="11"/>
  <c r="N505" i="11"/>
  <c r="N504" i="11"/>
  <c r="N503" i="11"/>
  <c r="N502" i="11"/>
  <c r="N501" i="11"/>
  <c r="N500" i="11"/>
  <c r="N499" i="11"/>
  <c r="N498" i="11"/>
  <c r="N497" i="11"/>
  <c r="N496" i="11"/>
  <c r="N495" i="11"/>
  <c r="N494" i="11"/>
  <c r="N493" i="11"/>
  <c r="N492" i="11"/>
  <c r="N491" i="11"/>
  <c r="N490" i="11"/>
  <c r="N489" i="11"/>
  <c r="N488" i="11"/>
  <c r="N487" i="11"/>
  <c r="N486" i="11"/>
  <c r="N485" i="11"/>
  <c r="N484" i="11"/>
  <c r="N483" i="11"/>
  <c r="N482" i="11"/>
  <c r="N481" i="11"/>
  <c r="N480" i="11"/>
  <c r="N479" i="11"/>
  <c r="N478" i="11"/>
  <c r="N477" i="11"/>
  <c r="N476" i="11"/>
  <c r="N475" i="11"/>
  <c r="N474" i="11"/>
  <c r="N473" i="11"/>
  <c r="N472" i="11"/>
  <c r="N471" i="11"/>
  <c r="N470" i="11"/>
  <c r="N469" i="11"/>
  <c r="N468" i="11"/>
  <c r="N467" i="11"/>
  <c r="N466" i="11"/>
  <c r="N465" i="11"/>
  <c r="N464" i="11"/>
  <c r="N463" i="11"/>
  <c r="N462" i="11"/>
  <c r="N461" i="11"/>
  <c r="N460" i="11"/>
  <c r="N459" i="11"/>
  <c r="N458" i="11"/>
  <c r="N457" i="11"/>
  <c r="N456" i="11"/>
  <c r="N455" i="11"/>
  <c r="N454" i="11"/>
  <c r="N453" i="11"/>
  <c r="N452" i="11"/>
  <c r="N451" i="11"/>
  <c r="N450" i="11"/>
  <c r="N449" i="11"/>
  <c r="N448" i="11"/>
  <c r="N447" i="11"/>
  <c r="N446" i="11"/>
  <c r="N445" i="11"/>
  <c r="N444" i="11"/>
  <c r="N443" i="11"/>
  <c r="N442" i="11"/>
  <c r="N441" i="11"/>
  <c r="N440" i="11"/>
  <c r="N439" i="11"/>
  <c r="N438" i="11"/>
  <c r="N437" i="11"/>
  <c r="N436" i="11"/>
  <c r="N435" i="11"/>
  <c r="N434" i="11"/>
  <c r="N433" i="11"/>
  <c r="N432" i="11"/>
  <c r="N431" i="11"/>
  <c r="N430" i="11"/>
  <c r="N429" i="11"/>
  <c r="N428" i="11"/>
  <c r="N427" i="11"/>
  <c r="N426" i="11"/>
  <c r="N425" i="11"/>
  <c r="N424" i="11"/>
  <c r="N423" i="11"/>
  <c r="N422" i="11"/>
  <c r="N421" i="11"/>
  <c r="N420" i="11"/>
  <c r="N419" i="11"/>
  <c r="N418" i="11"/>
  <c r="N417" i="11"/>
  <c r="N416" i="11"/>
  <c r="N415" i="11"/>
  <c r="N414" i="11"/>
  <c r="N413" i="11"/>
  <c r="N412" i="11"/>
  <c r="N411" i="11"/>
  <c r="N410" i="11"/>
  <c r="N409" i="11"/>
  <c r="N408" i="11"/>
  <c r="N407" i="11"/>
  <c r="N406" i="11"/>
  <c r="N405" i="11"/>
  <c r="N404" i="11"/>
  <c r="N403" i="11"/>
  <c r="N402" i="11"/>
  <c r="N401" i="11"/>
  <c r="N400" i="11"/>
  <c r="N399" i="11"/>
  <c r="N398" i="11"/>
  <c r="N397" i="11"/>
  <c r="N396" i="11"/>
  <c r="N395" i="11"/>
  <c r="N394" i="11"/>
  <c r="N393" i="11"/>
  <c r="N392" i="11"/>
  <c r="N391" i="11"/>
  <c r="N390" i="11"/>
  <c r="N389" i="11"/>
  <c r="N388" i="11"/>
  <c r="N387" i="11"/>
  <c r="N386" i="11"/>
  <c r="N385" i="11"/>
  <c r="N384" i="11"/>
  <c r="N383" i="11"/>
  <c r="N382" i="11"/>
  <c r="N381" i="11"/>
  <c r="N380" i="11"/>
  <c r="N379" i="11"/>
  <c r="N378" i="11"/>
  <c r="N377" i="11"/>
  <c r="N376" i="11"/>
  <c r="N375" i="11"/>
  <c r="N374" i="11"/>
  <c r="N373" i="11"/>
  <c r="N372" i="11"/>
  <c r="N371" i="11"/>
  <c r="N370" i="11"/>
  <c r="N369" i="11"/>
  <c r="N368" i="11"/>
  <c r="N367" i="11"/>
  <c r="N366" i="11"/>
  <c r="N365" i="11"/>
  <c r="N364" i="11"/>
  <c r="N363" i="11"/>
  <c r="N362" i="11"/>
  <c r="N361" i="11"/>
  <c r="N360" i="11"/>
  <c r="N359" i="11"/>
  <c r="N358" i="11"/>
  <c r="N357" i="11"/>
  <c r="N356" i="11"/>
  <c r="N355" i="11"/>
  <c r="N354" i="11"/>
  <c r="N353" i="11"/>
  <c r="N352" i="11"/>
  <c r="N351" i="11"/>
  <c r="N350" i="11"/>
  <c r="N349" i="11"/>
  <c r="N348" i="11"/>
  <c r="N347" i="11"/>
  <c r="N346" i="11"/>
  <c r="N345" i="11"/>
  <c r="N344" i="11"/>
  <c r="N343" i="11"/>
  <c r="N342" i="11"/>
  <c r="N341" i="11"/>
  <c r="N340" i="11"/>
  <c r="N339" i="11"/>
  <c r="N338" i="11"/>
  <c r="N337" i="11"/>
  <c r="N336" i="11"/>
  <c r="N335" i="11"/>
  <c r="N334" i="11"/>
  <c r="N333" i="11"/>
  <c r="N332" i="11"/>
  <c r="N331" i="11"/>
  <c r="N330" i="11"/>
  <c r="N329" i="11"/>
  <c r="N328" i="11"/>
  <c r="N327" i="11"/>
  <c r="N326" i="11"/>
  <c r="N325" i="11"/>
  <c r="N324" i="11"/>
  <c r="N323" i="11"/>
  <c r="N322" i="11"/>
  <c r="N321" i="11"/>
  <c r="N320" i="11"/>
  <c r="N319" i="11"/>
  <c r="N318" i="11"/>
  <c r="N317" i="11"/>
  <c r="N316" i="11"/>
  <c r="N315" i="11"/>
  <c r="N314" i="11"/>
  <c r="N313" i="11"/>
  <c r="N312" i="11"/>
  <c r="N311" i="11"/>
  <c r="N310" i="11"/>
  <c r="N309" i="11"/>
  <c r="N308" i="11"/>
  <c r="N307" i="11"/>
  <c r="N306" i="11"/>
  <c r="N305" i="11"/>
  <c r="N304" i="11"/>
  <c r="N303" i="11"/>
  <c r="N302" i="11"/>
  <c r="N301" i="11"/>
  <c r="N300" i="11"/>
  <c r="N299" i="11"/>
  <c r="N298" i="11"/>
  <c r="N297" i="11"/>
  <c r="N296" i="11"/>
  <c r="N295" i="11"/>
  <c r="N294" i="11"/>
  <c r="N293" i="11"/>
  <c r="N292" i="11"/>
  <c r="N291" i="11"/>
  <c r="N290" i="11"/>
  <c r="N289" i="11"/>
  <c r="N288" i="11"/>
  <c r="N287" i="11"/>
  <c r="N286" i="11"/>
  <c r="N285" i="11"/>
  <c r="N284" i="11"/>
  <c r="N283" i="11"/>
  <c r="N282" i="11"/>
  <c r="N281" i="11"/>
  <c r="N280" i="11"/>
  <c r="N279" i="11"/>
  <c r="N278" i="11"/>
  <c r="N277" i="11"/>
  <c r="N276" i="11"/>
  <c r="N275" i="11"/>
  <c r="N274" i="11"/>
  <c r="N273" i="11"/>
  <c r="N272" i="11"/>
  <c r="N271" i="11"/>
  <c r="N270" i="11"/>
  <c r="N269" i="11"/>
  <c r="N268" i="11"/>
  <c r="N267" i="11"/>
  <c r="N266" i="11"/>
  <c r="N265" i="11"/>
  <c r="N264" i="11"/>
  <c r="N263" i="11"/>
  <c r="N262" i="11"/>
  <c r="N261" i="11"/>
  <c r="N260" i="11"/>
  <c r="N259" i="11"/>
  <c r="N258" i="11"/>
  <c r="N257" i="11"/>
  <c r="N256" i="11"/>
  <c r="N255" i="11"/>
  <c r="N254" i="11"/>
  <c r="N253" i="11"/>
  <c r="N252" i="11"/>
  <c r="N251" i="11"/>
  <c r="N250" i="11"/>
  <c r="N249" i="11"/>
  <c r="N248" i="11"/>
  <c r="N247" i="11"/>
  <c r="N246" i="11"/>
  <c r="N245" i="11"/>
  <c r="N244" i="11"/>
  <c r="N243" i="11"/>
  <c r="N242" i="11"/>
  <c r="N241" i="11"/>
  <c r="N240" i="11"/>
  <c r="N239" i="11"/>
  <c r="N238" i="11"/>
  <c r="N237" i="11"/>
  <c r="N236" i="11"/>
  <c r="N235" i="11"/>
  <c r="N234" i="11"/>
  <c r="N233" i="11"/>
  <c r="N232" i="11"/>
  <c r="N231" i="11"/>
  <c r="N230" i="11"/>
  <c r="N229" i="11"/>
  <c r="N228" i="11"/>
  <c r="N227" i="11"/>
  <c r="N226" i="11"/>
  <c r="N225" i="11"/>
  <c r="N224" i="11"/>
  <c r="N223" i="11"/>
  <c r="N222" i="11"/>
  <c r="N221" i="11"/>
  <c r="N220" i="11"/>
  <c r="N219" i="11"/>
  <c r="N218" i="11"/>
  <c r="N217" i="11"/>
  <c r="N216" i="11"/>
  <c r="N215" i="11"/>
  <c r="N214" i="11"/>
  <c r="N213" i="11"/>
  <c r="N212" i="11"/>
  <c r="N211" i="11"/>
  <c r="N210" i="11"/>
  <c r="N209" i="11"/>
  <c r="N208" i="11"/>
  <c r="N207" i="11"/>
  <c r="N206" i="11"/>
  <c r="N205" i="11"/>
  <c r="N204" i="11"/>
  <c r="N203" i="11"/>
  <c r="N202" i="11"/>
  <c r="N201" i="11"/>
  <c r="N200" i="11"/>
  <c r="N199" i="11"/>
  <c r="N198" i="11"/>
  <c r="N197" i="11"/>
  <c r="N196" i="11"/>
  <c r="N195" i="11"/>
  <c r="N194" i="11"/>
  <c r="N193" i="11"/>
  <c r="N192" i="11"/>
  <c r="N191" i="11"/>
  <c r="N190" i="11"/>
  <c r="N189" i="11"/>
  <c r="N188" i="11"/>
  <c r="N187" i="11"/>
  <c r="N186" i="11"/>
  <c r="N185" i="11"/>
  <c r="N184" i="11"/>
  <c r="N183" i="11"/>
  <c r="N182" i="11"/>
  <c r="N181" i="11"/>
  <c r="N180" i="11"/>
  <c r="N179" i="11"/>
  <c r="N178" i="11"/>
  <c r="N177" i="11"/>
  <c r="N176" i="11"/>
  <c r="N175" i="11"/>
  <c r="N174" i="11"/>
  <c r="N173" i="11"/>
  <c r="N172" i="11"/>
  <c r="N171" i="11"/>
  <c r="N170" i="11"/>
  <c r="N169" i="11"/>
  <c r="N168" i="11"/>
  <c r="N167" i="11"/>
  <c r="N166" i="11"/>
  <c r="N165" i="11"/>
  <c r="N164" i="11"/>
  <c r="N163" i="11"/>
  <c r="N162" i="11"/>
  <c r="N161" i="11"/>
  <c r="N160" i="11"/>
  <c r="N159" i="11"/>
  <c r="N158" i="11"/>
  <c r="N157" i="11"/>
  <c r="N156" i="11"/>
  <c r="N155" i="11"/>
  <c r="N154" i="11"/>
  <c r="N153" i="11"/>
  <c r="N152" i="11"/>
  <c r="N151" i="11"/>
  <c r="N150" i="11"/>
  <c r="N149" i="11"/>
  <c r="N148" i="11"/>
  <c r="N147" i="11"/>
  <c r="N146" i="11"/>
  <c r="N145" i="11"/>
  <c r="N144" i="11"/>
  <c r="N143" i="11"/>
  <c r="N142" i="11"/>
  <c r="N141" i="11"/>
  <c r="N140" i="11"/>
  <c r="N139" i="11"/>
  <c r="N138" i="11"/>
  <c r="N137" i="11"/>
  <c r="N136" i="11"/>
  <c r="N135" i="11"/>
  <c r="N134" i="11"/>
  <c r="N133" i="11"/>
  <c r="N132" i="11"/>
  <c r="N131" i="11"/>
  <c r="N130" i="11"/>
  <c r="N129" i="11"/>
  <c r="N128" i="11"/>
  <c r="N127" i="11"/>
  <c r="N126" i="11"/>
  <c r="N125" i="11"/>
  <c r="N124" i="11"/>
  <c r="N123" i="11"/>
  <c r="N122" i="11"/>
  <c r="N121" i="11"/>
  <c r="N120" i="11"/>
  <c r="N119" i="11"/>
  <c r="N118" i="11"/>
  <c r="N117" i="11"/>
  <c r="N116" i="11"/>
  <c r="N115" i="11"/>
  <c r="N114" i="11"/>
  <c r="N113" i="11"/>
  <c r="N112" i="11"/>
  <c r="N111" i="11"/>
  <c r="N110" i="11"/>
  <c r="N109" i="11"/>
  <c r="N108" i="11"/>
  <c r="N107" i="11"/>
  <c r="N106" i="11"/>
  <c r="N105" i="11"/>
  <c r="N104" i="11"/>
  <c r="N103" i="11"/>
  <c r="N102" i="11"/>
  <c r="N101" i="11"/>
  <c r="N100" i="11"/>
  <c r="N99" i="11"/>
  <c r="N98" i="11"/>
  <c r="N97" i="11"/>
  <c r="N96" i="11"/>
  <c r="N95" i="11"/>
  <c r="N94" i="11"/>
  <c r="N93" i="11"/>
  <c r="N92" i="11"/>
  <c r="N91" i="11"/>
  <c r="N90" i="11"/>
  <c r="N89" i="11"/>
  <c r="N88" i="11"/>
  <c r="N87" i="11"/>
  <c r="N86" i="11"/>
  <c r="N85" i="11"/>
  <c r="N84" i="11"/>
  <c r="N83" i="11"/>
  <c r="N82" i="11"/>
  <c r="N81" i="11"/>
  <c r="N80" i="11"/>
  <c r="N79" i="11"/>
  <c r="N78" i="11"/>
  <c r="N77" i="11"/>
  <c r="N76" i="11"/>
  <c r="N75" i="11"/>
  <c r="N74" i="11"/>
  <c r="N73" i="11"/>
  <c r="N72" i="11"/>
  <c r="N71" i="11"/>
  <c r="N70" i="11"/>
  <c r="N69" i="11"/>
  <c r="N68" i="11"/>
  <c r="N67" i="11"/>
  <c r="N66" i="11"/>
  <c r="N65" i="11"/>
  <c r="N64" i="11"/>
  <c r="N63" i="11"/>
  <c r="N62" i="11"/>
  <c r="N61" i="11"/>
  <c r="N60" i="11"/>
  <c r="N59" i="11"/>
  <c r="N58" i="11"/>
  <c r="N57" i="11"/>
  <c r="N56" i="11"/>
  <c r="N55" i="11"/>
  <c r="N54" i="11"/>
  <c r="N53" i="11"/>
  <c r="N52" i="11"/>
  <c r="N51" i="11"/>
  <c r="N50" i="11"/>
  <c r="N49" i="11"/>
  <c r="N48" i="11"/>
  <c r="N47" i="11"/>
  <c r="N46" i="11"/>
  <c r="N45" i="11"/>
  <c r="N44" i="11"/>
  <c r="N43" i="11"/>
  <c r="N42" i="11"/>
  <c r="N41" i="11"/>
  <c r="N40" i="11"/>
  <c r="N39" i="11"/>
  <c r="N38" i="11"/>
  <c r="N37" i="11"/>
  <c r="N36" i="11"/>
  <c r="N35" i="11"/>
  <c r="E35" i="11" a="1"/>
  <c r="E35" i="11" s="1"/>
  <c r="N34" i="11"/>
  <c r="E34" i="11" a="1"/>
  <c r="E34" i="11" s="1"/>
  <c r="N33" i="11"/>
  <c r="E33" i="11" a="1"/>
  <c r="E33" i="11" s="1"/>
  <c r="N32" i="11"/>
  <c r="E32" i="11" a="1"/>
  <c r="E32" i="11" s="1"/>
  <c r="N31" i="11"/>
  <c r="E31" i="11" a="1"/>
  <c r="E31" i="11" s="1"/>
  <c r="N30" i="11"/>
  <c r="E30" i="11" a="1"/>
  <c r="E30" i="11" s="1"/>
  <c r="N29" i="11"/>
  <c r="E29" i="11" a="1"/>
  <c r="E29" i="11" s="1"/>
  <c r="N28" i="11"/>
  <c r="E28" i="11" a="1"/>
  <c r="E28" i="11" s="1"/>
  <c r="N27" i="11"/>
  <c r="E27" i="11" a="1"/>
  <c r="E27" i="11" s="1"/>
  <c r="N26" i="11"/>
  <c r="E26" i="11" a="1"/>
  <c r="E26" i="11" s="1"/>
  <c r="N25" i="11"/>
  <c r="E25" i="11" a="1"/>
  <c r="E25" i="11" s="1"/>
  <c r="N24" i="11"/>
  <c r="E24" i="11" a="1"/>
  <c r="E24" i="11" s="1"/>
  <c r="N23" i="11"/>
  <c r="E23" i="11" a="1"/>
  <c r="E23" i="11" s="1"/>
  <c r="N22" i="11"/>
  <c r="E22" i="11" a="1"/>
  <c r="E22" i="11" s="1"/>
  <c r="N21" i="11"/>
  <c r="E21" i="11" a="1"/>
  <c r="E21" i="11" s="1"/>
  <c r="N20" i="11"/>
  <c r="E20" i="11" a="1"/>
  <c r="E20" i="11" s="1"/>
  <c r="N19" i="11"/>
  <c r="E19" i="11" a="1"/>
  <c r="E19" i="11" s="1"/>
  <c r="N18" i="11"/>
  <c r="E18" i="11" a="1"/>
  <c r="E18" i="11" s="1"/>
  <c r="N17" i="11"/>
  <c r="E17" i="11" a="1"/>
  <c r="E17" i="11" s="1"/>
  <c r="N16" i="11"/>
  <c r="E16" i="11" a="1"/>
  <c r="E16" i="11" s="1"/>
  <c r="N15" i="11"/>
  <c r="E15" i="11" a="1"/>
  <c r="E15" i="11" s="1"/>
  <c r="N14" i="11"/>
  <c r="E14" i="11" a="1"/>
  <c r="E14" i="11" s="1"/>
  <c r="N13" i="11"/>
  <c r="E13" i="11" a="1"/>
  <c r="E13" i="11" s="1"/>
  <c r="N12" i="11"/>
  <c r="E12" i="11" a="1"/>
  <c r="E12" i="11" s="1"/>
  <c r="N11" i="11"/>
  <c r="E11" i="11" a="1"/>
  <c r="E11" i="11" s="1"/>
  <c r="N10" i="11"/>
  <c r="E10" i="11" a="1"/>
  <c r="E10" i="11" s="1"/>
  <c r="N9" i="11"/>
  <c r="E9" i="11" a="1"/>
  <c r="E9" i="11" s="1"/>
  <c r="N8" i="11"/>
  <c r="E8" i="11" a="1"/>
  <c r="E8" i="11" s="1"/>
  <c r="N7" i="11"/>
  <c r="E7" i="11" a="1"/>
  <c r="E7" i="11" s="1"/>
  <c r="N6" i="11"/>
  <c r="E6" i="11" a="1"/>
  <c r="E6" i="11" s="1"/>
  <c r="N5" i="11"/>
  <c r="E5" i="11" a="1"/>
  <c r="E5" i="11" s="1"/>
  <c r="N4" i="11"/>
  <c r="E4" i="11" a="1"/>
  <c r="E4" i="11" s="1"/>
  <c r="N3" i="11"/>
  <c r="E3" i="11" a="1"/>
  <c r="E3" i="11" s="1"/>
  <c r="N2" i="11"/>
  <c r="E2" i="11" a="1"/>
  <c r="E2" i="11" s="1"/>
  <c r="O611" i="10"/>
  <c r="O610" i="10"/>
  <c r="O609" i="10"/>
  <c r="O608" i="10"/>
  <c r="O607" i="10"/>
  <c r="O606" i="10"/>
  <c r="O605" i="10"/>
  <c r="O604" i="10"/>
  <c r="O603" i="10"/>
  <c r="O602" i="10"/>
  <c r="O601" i="10"/>
  <c r="O600" i="10"/>
  <c r="O599" i="10"/>
  <c r="O598" i="10"/>
  <c r="O597" i="10"/>
  <c r="O596" i="10"/>
  <c r="O595" i="10"/>
  <c r="O594" i="10"/>
  <c r="O593" i="10"/>
  <c r="O592" i="10"/>
  <c r="O591" i="10"/>
  <c r="O590" i="10"/>
  <c r="O589" i="10"/>
  <c r="O588" i="10"/>
  <c r="O587" i="10"/>
  <c r="O586" i="10"/>
  <c r="O585" i="10"/>
  <c r="O584" i="10"/>
  <c r="O583" i="10"/>
  <c r="O582" i="10"/>
  <c r="O581" i="10"/>
  <c r="O580" i="10"/>
  <c r="O579" i="10"/>
  <c r="O578" i="10"/>
  <c r="O577" i="10"/>
  <c r="O576" i="10"/>
  <c r="O575" i="10"/>
  <c r="O574" i="10"/>
  <c r="O573" i="10"/>
  <c r="O572" i="10"/>
  <c r="O571" i="10"/>
  <c r="O570" i="10"/>
  <c r="O569" i="10"/>
  <c r="O568" i="10"/>
  <c r="O567" i="10"/>
  <c r="O566" i="10"/>
  <c r="O565" i="10"/>
  <c r="O564" i="10"/>
  <c r="O563" i="10"/>
  <c r="O562" i="10"/>
  <c r="O561" i="10"/>
  <c r="O560" i="10"/>
  <c r="O559" i="10"/>
  <c r="O558" i="10"/>
  <c r="O557" i="10"/>
  <c r="O556" i="10"/>
  <c r="O555" i="10"/>
  <c r="O554" i="10"/>
  <c r="O553" i="10"/>
  <c r="O552" i="10"/>
  <c r="O551" i="10"/>
  <c r="O550" i="10"/>
  <c r="O549" i="10"/>
  <c r="O548" i="10"/>
  <c r="O547" i="10"/>
  <c r="O546" i="10"/>
  <c r="O545" i="10"/>
  <c r="O544" i="10"/>
  <c r="O543" i="10"/>
  <c r="O542" i="10"/>
  <c r="O541" i="10"/>
  <c r="O540" i="10"/>
  <c r="O539" i="10"/>
  <c r="O538" i="10"/>
  <c r="O537" i="10"/>
  <c r="O536" i="10"/>
  <c r="O535" i="10"/>
  <c r="O534" i="10"/>
  <c r="O533" i="10"/>
  <c r="O532" i="10"/>
  <c r="O531" i="10"/>
  <c r="O530" i="10"/>
  <c r="O529" i="10"/>
  <c r="O528" i="10"/>
  <c r="O527" i="10"/>
  <c r="O526" i="10"/>
  <c r="O525" i="10"/>
  <c r="O524" i="10"/>
  <c r="O523" i="10"/>
  <c r="O522" i="10"/>
  <c r="O521" i="10"/>
  <c r="O520" i="10"/>
  <c r="O519" i="10"/>
  <c r="O518" i="10"/>
  <c r="O517" i="10"/>
  <c r="O516" i="10"/>
  <c r="O515" i="10"/>
  <c r="O514" i="10"/>
  <c r="O513" i="10"/>
  <c r="O512" i="10"/>
  <c r="O511" i="10"/>
  <c r="O510" i="10"/>
  <c r="O509" i="10"/>
  <c r="O508" i="10"/>
  <c r="O507" i="10"/>
  <c r="O506" i="10"/>
  <c r="O505" i="10"/>
  <c r="O504" i="10"/>
  <c r="O503" i="10"/>
  <c r="O502" i="10"/>
  <c r="O501" i="10"/>
  <c r="O500" i="10"/>
  <c r="O499" i="10"/>
  <c r="O498" i="10"/>
  <c r="O497" i="10"/>
  <c r="O496" i="10"/>
  <c r="O495" i="10"/>
  <c r="O494" i="10"/>
  <c r="O493" i="10"/>
  <c r="O492" i="10"/>
  <c r="O491" i="10"/>
  <c r="O490" i="10"/>
  <c r="O489" i="10"/>
  <c r="O488" i="10"/>
  <c r="O487" i="10"/>
  <c r="O486" i="10"/>
  <c r="O485" i="10"/>
  <c r="O484" i="10"/>
  <c r="O483" i="10"/>
  <c r="O482" i="10"/>
  <c r="O481" i="10"/>
  <c r="O480" i="10"/>
  <c r="O479" i="10"/>
  <c r="O478" i="10"/>
  <c r="O477" i="10"/>
  <c r="O476" i="10"/>
  <c r="O475" i="10"/>
  <c r="O474" i="10"/>
  <c r="O473" i="10"/>
  <c r="O472" i="10"/>
  <c r="O471" i="10"/>
  <c r="O470" i="10"/>
  <c r="O469" i="10"/>
  <c r="O468" i="10"/>
  <c r="O467" i="10"/>
  <c r="O466" i="10"/>
  <c r="O465" i="10"/>
  <c r="O464" i="10"/>
  <c r="O463" i="10"/>
  <c r="O462" i="10"/>
  <c r="O461" i="10"/>
  <c r="O460" i="10"/>
  <c r="O459" i="10"/>
  <c r="O458" i="10"/>
  <c r="O457" i="10"/>
  <c r="O456" i="10"/>
  <c r="O455" i="10"/>
  <c r="O454" i="10"/>
  <c r="O453" i="10"/>
  <c r="O452" i="10"/>
  <c r="O451" i="10"/>
  <c r="O450" i="10"/>
  <c r="O449" i="10"/>
  <c r="O448" i="10"/>
  <c r="O447" i="10"/>
  <c r="O446" i="10"/>
  <c r="O445" i="10"/>
  <c r="O444" i="10"/>
  <c r="O443" i="10"/>
  <c r="O442" i="10"/>
  <c r="O441" i="10"/>
  <c r="O440" i="10"/>
  <c r="O439" i="10"/>
  <c r="O438" i="10"/>
  <c r="O437" i="10"/>
  <c r="O436" i="10"/>
  <c r="O435" i="10"/>
  <c r="O434" i="10"/>
  <c r="O433" i="10"/>
  <c r="O432" i="10"/>
  <c r="O431" i="10"/>
  <c r="O430" i="10"/>
  <c r="O429" i="10"/>
  <c r="O428" i="10"/>
  <c r="O427" i="10"/>
  <c r="O426" i="10"/>
  <c r="O425" i="10"/>
  <c r="O424" i="10"/>
  <c r="O423" i="10"/>
  <c r="O422" i="10"/>
  <c r="O421" i="10"/>
  <c r="O420" i="10"/>
  <c r="O419" i="10"/>
  <c r="O418" i="10"/>
  <c r="O417" i="10"/>
  <c r="O416" i="10"/>
  <c r="O415" i="10"/>
  <c r="O414" i="10"/>
  <c r="O413" i="10"/>
  <c r="O412" i="10"/>
  <c r="O411" i="10"/>
  <c r="O410" i="10"/>
  <c r="O409" i="10"/>
  <c r="O408" i="10"/>
  <c r="O407" i="10"/>
  <c r="O406" i="10"/>
  <c r="O405" i="10"/>
  <c r="O404" i="10"/>
  <c r="O403" i="10"/>
  <c r="O402" i="10"/>
  <c r="O401" i="10"/>
  <c r="O400" i="10"/>
  <c r="O399" i="10"/>
  <c r="O398" i="10"/>
  <c r="O397" i="10"/>
  <c r="O396" i="10"/>
  <c r="O395" i="10"/>
  <c r="O394" i="10"/>
  <c r="O393" i="10"/>
  <c r="O392" i="10"/>
  <c r="O391" i="10"/>
  <c r="O390" i="10"/>
  <c r="O389" i="10"/>
  <c r="O388" i="10"/>
  <c r="O387" i="10"/>
  <c r="O386" i="10"/>
  <c r="O385" i="10"/>
  <c r="O384" i="10"/>
  <c r="O383" i="10"/>
  <c r="O382" i="10"/>
  <c r="O381" i="10"/>
  <c r="O380" i="10"/>
  <c r="O379" i="10"/>
  <c r="O378" i="10"/>
  <c r="O377" i="10"/>
  <c r="O376" i="10"/>
  <c r="O375" i="10"/>
  <c r="O374" i="10"/>
  <c r="O373" i="10"/>
  <c r="O372" i="10"/>
  <c r="O371" i="10"/>
  <c r="O370" i="10"/>
  <c r="O369" i="10"/>
  <c r="O368" i="10"/>
  <c r="O367" i="10"/>
  <c r="O366" i="10"/>
  <c r="O365" i="10"/>
  <c r="O364" i="10"/>
  <c r="O363" i="10"/>
  <c r="O362" i="10"/>
  <c r="O361" i="10"/>
  <c r="O360" i="10"/>
  <c r="O359" i="10"/>
  <c r="O358" i="10"/>
  <c r="O357" i="10"/>
  <c r="O356" i="10"/>
  <c r="O355" i="10"/>
  <c r="O354" i="10"/>
  <c r="O353" i="10"/>
  <c r="O352" i="10"/>
  <c r="O351" i="10"/>
  <c r="O350" i="10"/>
  <c r="O349" i="10"/>
  <c r="O348" i="10"/>
  <c r="O347" i="10"/>
  <c r="O346" i="10"/>
  <c r="O345" i="10"/>
  <c r="O344" i="10"/>
  <c r="O343" i="10"/>
  <c r="O342" i="10"/>
  <c r="O341" i="10"/>
  <c r="O340" i="10"/>
  <c r="O339" i="10"/>
  <c r="O338" i="10"/>
  <c r="O337" i="10"/>
  <c r="O336" i="10"/>
  <c r="O335" i="10"/>
  <c r="O334" i="10"/>
  <c r="O333" i="10"/>
  <c r="O332" i="10"/>
  <c r="O331" i="10"/>
  <c r="O330" i="10"/>
  <c r="O329" i="10"/>
  <c r="O328" i="10"/>
  <c r="O327" i="10"/>
  <c r="O326" i="10"/>
  <c r="O325" i="10"/>
  <c r="O324" i="10"/>
  <c r="O323" i="10"/>
  <c r="O322" i="10"/>
  <c r="O321" i="10"/>
  <c r="O320" i="10"/>
  <c r="O319" i="10"/>
  <c r="O318" i="10"/>
  <c r="O317" i="10"/>
  <c r="O316" i="10"/>
  <c r="O315" i="10"/>
  <c r="O314" i="10"/>
  <c r="O313" i="10"/>
  <c r="O312" i="10"/>
  <c r="O311" i="10"/>
  <c r="O310" i="10"/>
  <c r="O309" i="10"/>
  <c r="O308" i="10"/>
  <c r="O307" i="10"/>
  <c r="O306" i="10"/>
  <c r="O305" i="10"/>
  <c r="O304" i="10"/>
  <c r="O303" i="10"/>
  <c r="O302" i="10"/>
  <c r="O301" i="10"/>
  <c r="O300" i="10"/>
  <c r="O299" i="10"/>
  <c r="O298" i="10"/>
  <c r="O297" i="10"/>
  <c r="O296" i="10"/>
  <c r="O295" i="10"/>
  <c r="O294" i="10"/>
  <c r="O293" i="10"/>
  <c r="O292" i="10"/>
  <c r="O291" i="10"/>
  <c r="O290" i="10"/>
  <c r="O289" i="10"/>
  <c r="O288" i="10"/>
  <c r="O287" i="10"/>
  <c r="O286" i="10"/>
  <c r="O285" i="10"/>
  <c r="O284" i="10"/>
  <c r="O283" i="10"/>
  <c r="O282" i="10"/>
  <c r="O281" i="10"/>
  <c r="O280" i="10"/>
  <c r="O279" i="10"/>
  <c r="O278" i="10"/>
  <c r="O277" i="10"/>
  <c r="O276" i="10"/>
  <c r="O275" i="10"/>
  <c r="O274" i="10"/>
  <c r="O273" i="10"/>
  <c r="O272" i="10"/>
  <c r="O271" i="10"/>
  <c r="O270" i="10"/>
  <c r="O269" i="10"/>
  <c r="O268" i="10"/>
  <c r="O267" i="10"/>
  <c r="O266" i="10"/>
  <c r="O265" i="10"/>
  <c r="O264" i="10"/>
  <c r="O263" i="10"/>
  <c r="O262" i="10"/>
  <c r="O261" i="10"/>
  <c r="O260" i="10"/>
  <c r="O259" i="10"/>
  <c r="O258" i="10"/>
  <c r="O257" i="10"/>
  <c r="O256" i="10"/>
  <c r="O255" i="10"/>
  <c r="O254" i="10"/>
  <c r="O253" i="10"/>
  <c r="O252" i="10"/>
  <c r="O251" i="10"/>
  <c r="O250" i="10"/>
  <c r="O249" i="10"/>
  <c r="O248" i="10"/>
  <c r="O247" i="10"/>
  <c r="O246" i="10"/>
  <c r="O245" i="10"/>
  <c r="O244" i="10"/>
  <c r="O243" i="10"/>
  <c r="O242" i="10"/>
  <c r="O241" i="10"/>
  <c r="O240" i="10"/>
  <c r="O239" i="10"/>
  <c r="O238" i="10"/>
  <c r="O237" i="10"/>
  <c r="O236" i="10"/>
  <c r="O235" i="10"/>
  <c r="O234" i="10"/>
  <c r="O233" i="10"/>
  <c r="O232" i="10"/>
  <c r="O231" i="10"/>
  <c r="O230" i="10"/>
  <c r="O229" i="10"/>
  <c r="O228" i="10"/>
  <c r="O227" i="10"/>
  <c r="O226" i="10"/>
  <c r="O225" i="10"/>
  <c r="O224" i="10"/>
  <c r="O223" i="10"/>
  <c r="O222" i="10"/>
  <c r="O221" i="10"/>
  <c r="O220" i="10"/>
  <c r="O219" i="10"/>
  <c r="O218" i="10"/>
  <c r="O217" i="10"/>
  <c r="O216" i="10"/>
  <c r="O215" i="10"/>
  <c r="O214" i="10"/>
  <c r="O213" i="10"/>
  <c r="O212" i="10"/>
  <c r="O211" i="10"/>
  <c r="O210" i="10"/>
  <c r="O209" i="10"/>
  <c r="O208" i="10"/>
  <c r="O207" i="10"/>
  <c r="O206" i="10"/>
  <c r="O205" i="10"/>
  <c r="O204" i="10"/>
  <c r="O203" i="10"/>
  <c r="O202" i="10"/>
  <c r="O201" i="10"/>
  <c r="O200" i="10"/>
  <c r="O199" i="10"/>
  <c r="O198" i="10"/>
  <c r="O197" i="10"/>
  <c r="O196" i="10"/>
  <c r="O195" i="10"/>
  <c r="O194" i="10"/>
  <c r="O193" i="10"/>
  <c r="O192" i="10"/>
  <c r="O191" i="10"/>
  <c r="O190" i="10"/>
  <c r="O189" i="10"/>
  <c r="O188" i="10"/>
  <c r="O187" i="10"/>
  <c r="O186" i="10"/>
  <c r="O185" i="10"/>
  <c r="O184" i="10"/>
  <c r="O183" i="10"/>
  <c r="O182" i="10"/>
  <c r="O181" i="10"/>
  <c r="O180" i="10"/>
  <c r="O179" i="10"/>
  <c r="O178" i="10"/>
  <c r="O177" i="10"/>
  <c r="O176" i="10"/>
  <c r="O175" i="10"/>
  <c r="O174" i="10"/>
  <c r="O173" i="10"/>
  <c r="O172" i="10"/>
  <c r="O171" i="10"/>
  <c r="O170" i="10"/>
  <c r="O169" i="10"/>
  <c r="O168" i="10"/>
  <c r="O167" i="10"/>
  <c r="O166" i="10"/>
  <c r="O165" i="10"/>
  <c r="O164" i="10"/>
  <c r="O163" i="10"/>
  <c r="O162" i="10"/>
  <c r="O161" i="10"/>
  <c r="O160" i="10"/>
  <c r="O159" i="10"/>
  <c r="O158" i="10"/>
  <c r="O157" i="10"/>
  <c r="O156" i="10"/>
  <c r="O155" i="10"/>
  <c r="O154" i="10"/>
  <c r="O153" i="10"/>
  <c r="O152" i="10"/>
  <c r="O151" i="10"/>
  <c r="O150" i="10"/>
  <c r="O149" i="10"/>
  <c r="O148" i="10"/>
  <c r="O147" i="10"/>
  <c r="O146" i="10"/>
  <c r="O145" i="10"/>
  <c r="O144" i="10"/>
  <c r="O143" i="10"/>
  <c r="O142" i="10"/>
  <c r="O141" i="10"/>
  <c r="O140" i="10"/>
  <c r="O139" i="10"/>
  <c r="O138" i="10"/>
  <c r="O137" i="10"/>
  <c r="O136" i="10"/>
  <c r="O135" i="10"/>
  <c r="O134" i="10"/>
  <c r="O133" i="10"/>
  <c r="O132" i="10"/>
  <c r="O131" i="10"/>
  <c r="O130" i="10"/>
  <c r="O129" i="10"/>
  <c r="O128" i="10"/>
  <c r="O127" i="10"/>
  <c r="O126" i="10"/>
  <c r="O125" i="10"/>
  <c r="O124" i="10"/>
  <c r="O123" i="10"/>
  <c r="O122" i="10"/>
  <c r="O121" i="10"/>
  <c r="O120" i="10"/>
  <c r="O119" i="10"/>
  <c r="O118" i="10"/>
  <c r="O117" i="10"/>
  <c r="O116" i="10"/>
  <c r="O115" i="10"/>
  <c r="O114" i="10"/>
  <c r="O113" i="10"/>
  <c r="O112" i="10"/>
  <c r="O111" i="10"/>
  <c r="O110" i="10"/>
  <c r="O109" i="10"/>
  <c r="O108" i="10"/>
  <c r="O107" i="10"/>
  <c r="O106" i="10"/>
  <c r="O105" i="10"/>
  <c r="O104" i="10"/>
  <c r="O103" i="10"/>
  <c r="O102" i="10"/>
  <c r="O101" i="10"/>
  <c r="O100" i="10"/>
  <c r="O99" i="10"/>
  <c r="O98" i="10"/>
  <c r="O97" i="10"/>
  <c r="O96" i="10"/>
  <c r="O95" i="10"/>
  <c r="O94" i="10"/>
  <c r="O93" i="10"/>
  <c r="O92" i="10"/>
  <c r="O91" i="10"/>
  <c r="O90" i="10"/>
  <c r="O89" i="10"/>
  <c r="O88" i="10"/>
  <c r="O87" i="10"/>
  <c r="O86" i="10"/>
  <c r="O85" i="10"/>
  <c r="O84" i="10"/>
  <c r="O83" i="10"/>
  <c r="O82" i="10"/>
  <c r="O81" i="10"/>
  <c r="O80" i="10"/>
  <c r="O79" i="10"/>
  <c r="O78" i="10"/>
  <c r="O77" i="10"/>
  <c r="O76" i="10"/>
  <c r="O75" i="10"/>
  <c r="O74" i="10"/>
  <c r="O73" i="10"/>
  <c r="O72" i="10"/>
  <c r="O71" i="10"/>
  <c r="O70" i="10"/>
  <c r="O69" i="10"/>
  <c r="O68" i="10"/>
  <c r="O67" i="10"/>
  <c r="O66" i="10"/>
  <c r="O65" i="10"/>
  <c r="O64" i="10"/>
  <c r="O63" i="10"/>
  <c r="O62" i="10"/>
  <c r="O61" i="10"/>
  <c r="O60" i="10"/>
  <c r="O59" i="10"/>
  <c r="O58" i="10"/>
  <c r="O57" i="10"/>
  <c r="O56" i="10"/>
  <c r="O55" i="10"/>
  <c r="O54" i="10"/>
  <c r="O53" i="10"/>
  <c r="O52" i="10"/>
  <c r="O51" i="10"/>
  <c r="O50" i="10"/>
  <c r="O49" i="10"/>
  <c r="O48" i="10"/>
  <c r="O47" i="10"/>
  <c r="O46" i="10"/>
  <c r="O45" i="10"/>
  <c r="O44" i="10"/>
  <c r="O43" i="10"/>
  <c r="O42" i="10"/>
  <c r="O41" i="10"/>
  <c r="O40" i="10"/>
  <c r="O39" i="10"/>
  <c r="O38" i="10"/>
  <c r="O37" i="10"/>
  <c r="O36" i="10"/>
  <c r="O35" i="10"/>
  <c r="E35" i="10" a="1"/>
  <c r="E35" i="10" s="1"/>
  <c r="O34" i="10"/>
  <c r="E34" i="10" a="1"/>
  <c r="E34" i="10" s="1"/>
  <c r="O33" i="10"/>
  <c r="E33" i="10" a="1"/>
  <c r="E33" i="10" s="1"/>
  <c r="O32" i="10"/>
  <c r="E32" i="10" a="1"/>
  <c r="E32" i="10" s="1"/>
  <c r="O31" i="10"/>
  <c r="E31" i="10" a="1"/>
  <c r="E31" i="10" s="1"/>
  <c r="O30" i="10"/>
  <c r="E30" i="10" a="1"/>
  <c r="E30" i="10" s="1"/>
  <c r="O29" i="10"/>
  <c r="E29" i="10" a="1"/>
  <c r="E29" i="10" s="1"/>
  <c r="O28" i="10"/>
  <c r="E28" i="10" a="1"/>
  <c r="E28" i="10" s="1"/>
  <c r="O27" i="10"/>
  <c r="E27" i="10" a="1"/>
  <c r="E27" i="10" s="1"/>
  <c r="O26" i="10"/>
  <c r="E26" i="10" a="1"/>
  <c r="E26" i="10" s="1"/>
  <c r="O25" i="10"/>
  <c r="E25" i="10" a="1"/>
  <c r="E25" i="10" s="1"/>
  <c r="O24" i="10"/>
  <c r="E24" i="10" a="1"/>
  <c r="E24" i="10" s="1"/>
  <c r="O23" i="10"/>
  <c r="E23" i="10" a="1"/>
  <c r="E23" i="10" s="1"/>
  <c r="O22" i="10"/>
  <c r="E22" i="10" a="1"/>
  <c r="E22" i="10" s="1"/>
  <c r="O21" i="10"/>
  <c r="E21" i="10" a="1"/>
  <c r="E21" i="10" s="1"/>
  <c r="O20" i="10"/>
  <c r="E20" i="10" a="1"/>
  <c r="E20" i="10" s="1"/>
  <c r="O19" i="10"/>
  <c r="E19" i="10" a="1"/>
  <c r="E19" i="10" s="1"/>
  <c r="O18" i="10"/>
  <c r="E18" i="10" a="1"/>
  <c r="E18" i="10" s="1"/>
  <c r="O17" i="10"/>
  <c r="E17" i="10" a="1"/>
  <c r="E17" i="10" s="1"/>
  <c r="O16" i="10"/>
  <c r="E16" i="10" a="1"/>
  <c r="E16" i="10" s="1"/>
  <c r="O15" i="10"/>
  <c r="E15" i="10" a="1"/>
  <c r="E15" i="10" s="1"/>
  <c r="O14" i="10"/>
  <c r="E14" i="10" a="1"/>
  <c r="E14" i="10" s="1"/>
  <c r="O13" i="10"/>
  <c r="E13" i="10" a="1"/>
  <c r="E13" i="10" s="1"/>
  <c r="O12" i="10"/>
  <c r="E12" i="10" a="1"/>
  <c r="E12" i="10" s="1"/>
  <c r="O11" i="10"/>
  <c r="E11" i="10" a="1"/>
  <c r="E11" i="10" s="1"/>
  <c r="O10" i="10"/>
  <c r="E10" i="10" a="1"/>
  <c r="E10" i="10" s="1"/>
  <c r="O9" i="10"/>
  <c r="E9" i="10" a="1"/>
  <c r="E9" i="10" s="1"/>
  <c r="O8" i="10"/>
  <c r="E8" i="10" a="1"/>
  <c r="E8" i="10" s="1"/>
  <c r="O7" i="10"/>
  <c r="E7" i="10" a="1"/>
  <c r="E7" i="10" s="1"/>
  <c r="O6" i="10"/>
  <c r="E6" i="10" a="1"/>
  <c r="E6" i="10" s="1"/>
  <c r="O5" i="10"/>
  <c r="E5" i="10" a="1"/>
  <c r="E5" i="10" s="1"/>
  <c r="O4" i="10"/>
  <c r="E4" i="10" a="1"/>
  <c r="E4" i="10" s="1"/>
  <c r="O3" i="10"/>
  <c r="E3" i="10" a="1"/>
  <c r="E3" i="10" s="1"/>
  <c r="O2" i="10"/>
  <c r="E2" i="10" a="1"/>
  <c r="E2" i="10" s="1"/>
  <c r="O611" i="9"/>
  <c r="O610" i="9"/>
  <c r="O609" i="9"/>
  <c r="O608" i="9"/>
  <c r="O607" i="9"/>
  <c r="O606" i="9"/>
  <c r="O605" i="9"/>
  <c r="O604" i="9"/>
  <c r="O603" i="9"/>
  <c r="O602" i="9"/>
  <c r="O601" i="9"/>
  <c r="O600" i="9"/>
  <c r="O599" i="9"/>
  <c r="O598" i="9"/>
  <c r="O597" i="9"/>
  <c r="O596" i="9"/>
  <c r="O595" i="9"/>
  <c r="O594" i="9"/>
  <c r="O593" i="9"/>
  <c r="O592" i="9"/>
  <c r="O591" i="9"/>
  <c r="O590" i="9"/>
  <c r="O589" i="9"/>
  <c r="O588" i="9"/>
  <c r="O587" i="9"/>
  <c r="O586" i="9"/>
  <c r="O585" i="9"/>
  <c r="O584" i="9"/>
  <c r="O583" i="9"/>
  <c r="O582" i="9"/>
  <c r="O581" i="9"/>
  <c r="O580" i="9"/>
  <c r="O579" i="9"/>
  <c r="O578" i="9"/>
  <c r="O577" i="9"/>
  <c r="O576" i="9"/>
  <c r="O575" i="9"/>
  <c r="O574" i="9"/>
  <c r="O573" i="9"/>
  <c r="O572" i="9"/>
  <c r="O571" i="9"/>
  <c r="O570" i="9"/>
  <c r="O569" i="9"/>
  <c r="O568" i="9"/>
  <c r="O567" i="9"/>
  <c r="O566" i="9"/>
  <c r="O565" i="9"/>
  <c r="O564" i="9"/>
  <c r="O563" i="9"/>
  <c r="O562" i="9"/>
  <c r="O561" i="9"/>
  <c r="O560" i="9"/>
  <c r="O559" i="9"/>
  <c r="O558" i="9"/>
  <c r="O557" i="9"/>
  <c r="O556" i="9"/>
  <c r="O555" i="9"/>
  <c r="O554" i="9"/>
  <c r="O553" i="9"/>
  <c r="O552" i="9"/>
  <c r="O551" i="9"/>
  <c r="O550" i="9"/>
  <c r="O549" i="9"/>
  <c r="O548" i="9"/>
  <c r="O547" i="9"/>
  <c r="O546" i="9"/>
  <c r="O545" i="9"/>
  <c r="O544" i="9"/>
  <c r="O543" i="9"/>
  <c r="O542" i="9"/>
  <c r="O541" i="9"/>
  <c r="O540" i="9"/>
  <c r="O539" i="9"/>
  <c r="O538" i="9"/>
  <c r="O537" i="9"/>
  <c r="O536" i="9"/>
  <c r="O535" i="9"/>
  <c r="O534" i="9"/>
  <c r="O533" i="9"/>
  <c r="O532" i="9"/>
  <c r="O531" i="9"/>
  <c r="O530" i="9"/>
  <c r="O529" i="9"/>
  <c r="O528" i="9"/>
  <c r="O527" i="9"/>
  <c r="O526" i="9"/>
  <c r="O525" i="9"/>
  <c r="O524" i="9"/>
  <c r="O523" i="9"/>
  <c r="O522" i="9"/>
  <c r="O521" i="9"/>
  <c r="O520" i="9"/>
  <c r="O519" i="9"/>
  <c r="O518" i="9"/>
  <c r="O517" i="9"/>
  <c r="O516" i="9"/>
  <c r="O515" i="9"/>
  <c r="O514" i="9"/>
  <c r="O513" i="9"/>
  <c r="O512" i="9"/>
  <c r="O511" i="9"/>
  <c r="O510" i="9"/>
  <c r="O509" i="9"/>
  <c r="O508" i="9"/>
  <c r="O507" i="9"/>
  <c r="O506" i="9"/>
  <c r="O505" i="9"/>
  <c r="O504" i="9"/>
  <c r="O503" i="9"/>
  <c r="O502" i="9"/>
  <c r="O501" i="9"/>
  <c r="O500" i="9"/>
  <c r="O499" i="9"/>
  <c r="O498" i="9"/>
  <c r="O497" i="9"/>
  <c r="O496" i="9"/>
  <c r="O495" i="9"/>
  <c r="O494" i="9"/>
  <c r="O493" i="9"/>
  <c r="O492" i="9"/>
  <c r="O491" i="9"/>
  <c r="O490" i="9"/>
  <c r="O489" i="9"/>
  <c r="O488" i="9"/>
  <c r="O487" i="9"/>
  <c r="O486" i="9"/>
  <c r="O485" i="9"/>
  <c r="O484" i="9"/>
  <c r="O483" i="9"/>
  <c r="O482" i="9"/>
  <c r="O481" i="9"/>
  <c r="O480" i="9"/>
  <c r="O479" i="9"/>
  <c r="O478" i="9"/>
  <c r="O477" i="9"/>
  <c r="O476" i="9"/>
  <c r="O475" i="9"/>
  <c r="O474" i="9"/>
  <c r="O473" i="9"/>
  <c r="O472" i="9"/>
  <c r="O471" i="9"/>
  <c r="O470" i="9"/>
  <c r="O469" i="9"/>
  <c r="O468" i="9"/>
  <c r="O467" i="9"/>
  <c r="O466" i="9"/>
  <c r="O465" i="9"/>
  <c r="O464" i="9"/>
  <c r="O463" i="9"/>
  <c r="O462" i="9"/>
  <c r="O461" i="9"/>
  <c r="O460" i="9"/>
  <c r="O459" i="9"/>
  <c r="O458" i="9"/>
  <c r="O457" i="9"/>
  <c r="O456" i="9"/>
  <c r="O455" i="9"/>
  <c r="O454" i="9"/>
  <c r="O453" i="9"/>
  <c r="O452" i="9"/>
  <c r="O451" i="9"/>
  <c r="O450" i="9"/>
  <c r="O449" i="9"/>
  <c r="O448" i="9"/>
  <c r="O447" i="9"/>
  <c r="O446" i="9"/>
  <c r="O445" i="9"/>
  <c r="O444" i="9"/>
  <c r="O443" i="9"/>
  <c r="O442" i="9"/>
  <c r="O441" i="9"/>
  <c r="O440" i="9"/>
  <c r="O439" i="9"/>
  <c r="O438" i="9"/>
  <c r="O437" i="9"/>
  <c r="O436" i="9"/>
  <c r="O435" i="9"/>
  <c r="O434" i="9"/>
  <c r="O433" i="9"/>
  <c r="O432" i="9"/>
  <c r="O431" i="9"/>
  <c r="O430" i="9"/>
  <c r="O429" i="9"/>
  <c r="O428" i="9"/>
  <c r="O427" i="9"/>
  <c r="O426" i="9"/>
  <c r="O425" i="9"/>
  <c r="O424" i="9"/>
  <c r="O423" i="9"/>
  <c r="O422" i="9"/>
  <c r="O421" i="9"/>
  <c r="O420" i="9"/>
  <c r="O419" i="9"/>
  <c r="O418" i="9"/>
  <c r="O417" i="9"/>
  <c r="O416" i="9"/>
  <c r="O415" i="9"/>
  <c r="O414" i="9"/>
  <c r="O413" i="9"/>
  <c r="O412" i="9"/>
  <c r="O411" i="9"/>
  <c r="O410" i="9"/>
  <c r="O409" i="9"/>
  <c r="O408" i="9"/>
  <c r="O407" i="9"/>
  <c r="O406" i="9"/>
  <c r="O405" i="9"/>
  <c r="O404" i="9"/>
  <c r="O403" i="9"/>
  <c r="O402" i="9"/>
  <c r="O401" i="9"/>
  <c r="O400" i="9"/>
  <c r="O399" i="9"/>
  <c r="O398" i="9"/>
  <c r="O397" i="9"/>
  <c r="O396" i="9"/>
  <c r="O395" i="9"/>
  <c r="O394" i="9"/>
  <c r="O393" i="9"/>
  <c r="O392" i="9"/>
  <c r="O391" i="9"/>
  <c r="O390" i="9"/>
  <c r="O389" i="9"/>
  <c r="O388" i="9"/>
  <c r="O387" i="9"/>
  <c r="O386" i="9"/>
  <c r="O385" i="9"/>
  <c r="O384" i="9"/>
  <c r="O383" i="9"/>
  <c r="O382" i="9"/>
  <c r="O381" i="9"/>
  <c r="O380" i="9"/>
  <c r="O379" i="9"/>
  <c r="O378" i="9"/>
  <c r="O377" i="9"/>
  <c r="O376" i="9"/>
  <c r="O375" i="9"/>
  <c r="O374" i="9"/>
  <c r="O373" i="9"/>
  <c r="O372" i="9"/>
  <c r="O371" i="9"/>
  <c r="O370" i="9"/>
  <c r="O369" i="9"/>
  <c r="O368" i="9"/>
  <c r="O367" i="9"/>
  <c r="O366" i="9"/>
  <c r="O365" i="9"/>
  <c r="O364" i="9"/>
  <c r="O363" i="9"/>
  <c r="O362" i="9"/>
  <c r="O361" i="9"/>
  <c r="O360" i="9"/>
  <c r="O359" i="9"/>
  <c r="O358" i="9"/>
  <c r="O357" i="9"/>
  <c r="O356" i="9"/>
  <c r="O355" i="9"/>
  <c r="O354" i="9"/>
  <c r="O353" i="9"/>
  <c r="O352" i="9"/>
  <c r="O351" i="9"/>
  <c r="O350" i="9"/>
  <c r="O349" i="9"/>
  <c r="O348" i="9"/>
  <c r="O347" i="9"/>
  <c r="O346" i="9"/>
  <c r="O345" i="9"/>
  <c r="O344" i="9"/>
  <c r="O343" i="9"/>
  <c r="O342" i="9"/>
  <c r="O341" i="9"/>
  <c r="O340" i="9"/>
  <c r="O339" i="9"/>
  <c r="O338" i="9"/>
  <c r="O337" i="9"/>
  <c r="O336" i="9"/>
  <c r="O335" i="9"/>
  <c r="O334" i="9"/>
  <c r="O333" i="9"/>
  <c r="O332" i="9"/>
  <c r="O331" i="9"/>
  <c r="O330" i="9"/>
  <c r="O329" i="9"/>
  <c r="O328" i="9"/>
  <c r="O327" i="9"/>
  <c r="O326" i="9"/>
  <c r="O325" i="9"/>
  <c r="O324" i="9"/>
  <c r="O323" i="9"/>
  <c r="O322" i="9"/>
  <c r="O321" i="9"/>
  <c r="O320" i="9"/>
  <c r="O319" i="9"/>
  <c r="O318" i="9"/>
  <c r="O317" i="9"/>
  <c r="O316" i="9"/>
  <c r="O315" i="9"/>
  <c r="O314" i="9"/>
  <c r="O313" i="9"/>
  <c r="O312" i="9"/>
  <c r="O311" i="9"/>
  <c r="O310" i="9"/>
  <c r="O309" i="9"/>
  <c r="O308" i="9"/>
  <c r="O307" i="9"/>
  <c r="O306" i="9"/>
  <c r="O305" i="9"/>
  <c r="O304" i="9"/>
  <c r="O303" i="9"/>
  <c r="O302" i="9"/>
  <c r="O301" i="9"/>
  <c r="O300" i="9"/>
  <c r="O299" i="9"/>
  <c r="O298" i="9"/>
  <c r="O297" i="9"/>
  <c r="O296" i="9"/>
  <c r="O295" i="9"/>
  <c r="O294" i="9"/>
  <c r="O293" i="9"/>
  <c r="O292" i="9"/>
  <c r="O291" i="9"/>
  <c r="O290" i="9"/>
  <c r="O289" i="9"/>
  <c r="O288" i="9"/>
  <c r="O287" i="9"/>
  <c r="O286" i="9"/>
  <c r="O285" i="9"/>
  <c r="O284" i="9"/>
  <c r="O283" i="9"/>
  <c r="O282" i="9"/>
  <c r="O281" i="9"/>
  <c r="O280" i="9"/>
  <c r="O279" i="9"/>
  <c r="O278" i="9"/>
  <c r="O277" i="9"/>
  <c r="O276" i="9"/>
  <c r="O275" i="9"/>
  <c r="O274" i="9"/>
  <c r="O273" i="9"/>
  <c r="O272" i="9"/>
  <c r="O271" i="9"/>
  <c r="O270" i="9"/>
  <c r="O269" i="9"/>
  <c r="O268" i="9"/>
  <c r="O267" i="9"/>
  <c r="O266" i="9"/>
  <c r="O265" i="9"/>
  <c r="O264" i="9"/>
  <c r="O263" i="9"/>
  <c r="O262" i="9"/>
  <c r="O261" i="9"/>
  <c r="O260" i="9"/>
  <c r="O259" i="9"/>
  <c r="O258" i="9"/>
  <c r="O257" i="9"/>
  <c r="O256" i="9"/>
  <c r="O255" i="9"/>
  <c r="O254" i="9"/>
  <c r="O253" i="9"/>
  <c r="O252" i="9"/>
  <c r="O251" i="9"/>
  <c r="O250" i="9"/>
  <c r="O249" i="9"/>
  <c r="O248" i="9"/>
  <c r="O247" i="9"/>
  <c r="O246" i="9"/>
  <c r="O245" i="9"/>
  <c r="O244" i="9"/>
  <c r="O243" i="9"/>
  <c r="O242" i="9"/>
  <c r="O241" i="9"/>
  <c r="O240" i="9"/>
  <c r="O239" i="9"/>
  <c r="O238" i="9"/>
  <c r="O237" i="9"/>
  <c r="O236" i="9"/>
  <c r="O235" i="9"/>
  <c r="O234" i="9"/>
  <c r="O233" i="9"/>
  <c r="O232" i="9"/>
  <c r="O231" i="9"/>
  <c r="O230" i="9"/>
  <c r="O229" i="9"/>
  <c r="O228" i="9"/>
  <c r="O227" i="9"/>
  <c r="O226" i="9"/>
  <c r="O225" i="9"/>
  <c r="O224" i="9"/>
  <c r="O223" i="9"/>
  <c r="O222" i="9"/>
  <c r="O221" i="9"/>
  <c r="O220" i="9"/>
  <c r="O219" i="9"/>
  <c r="O218" i="9"/>
  <c r="O217" i="9"/>
  <c r="O216" i="9"/>
  <c r="O215" i="9"/>
  <c r="O214" i="9"/>
  <c r="O213" i="9"/>
  <c r="O212" i="9"/>
  <c r="O211" i="9"/>
  <c r="O210" i="9"/>
  <c r="O209" i="9"/>
  <c r="O208" i="9"/>
  <c r="O207" i="9"/>
  <c r="O206" i="9"/>
  <c r="O205" i="9"/>
  <c r="O204" i="9"/>
  <c r="O203" i="9"/>
  <c r="O202" i="9"/>
  <c r="O201" i="9"/>
  <c r="O200" i="9"/>
  <c r="O199" i="9"/>
  <c r="O198" i="9"/>
  <c r="O197" i="9"/>
  <c r="O196" i="9"/>
  <c r="O195" i="9"/>
  <c r="O194" i="9"/>
  <c r="O193" i="9"/>
  <c r="O192" i="9"/>
  <c r="O191" i="9"/>
  <c r="O190" i="9"/>
  <c r="O189" i="9"/>
  <c r="O188" i="9"/>
  <c r="O187" i="9"/>
  <c r="O186" i="9"/>
  <c r="O185" i="9"/>
  <c r="O184" i="9"/>
  <c r="O183" i="9"/>
  <c r="O182" i="9"/>
  <c r="O181" i="9"/>
  <c r="O180" i="9"/>
  <c r="O179" i="9"/>
  <c r="O178" i="9"/>
  <c r="O177" i="9"/>
  <c r="O176" i="9"/>
  <c r="O175" i="9"/>
  <c r="O174" i="9"/>
  <c r="O173" i="9"/>
  <c r="O172" i="9"/>
  <c r="O171" i="9"/>
  <c r="O170" i="9"/>
  <c r="O169" i="9"/>
  <c r="O168" i="9"/>
  <c r="O167" i="9"/>
  <c r="O166" i="9"/>
  <c r="O165" i="9"/>
  <c r="O164" i="9"/>
  <c r="O163" i="9"/>
  <c r="O162" i="9"/>
  <c r="O161" i="9"/>
  <c r="O160" i="9"/>
  <c r="O159" i="9"/>
  <c r="O158" i="9"/>
  <c r="O157" i="9"/>
  <c r="O156" i="9"/>
  <c r="O155" i="9"/>
  <c r="O154" i="9"/>
  <c r="O153" i="9"/>
  <c r="O152" i="9"/>
  <c r="O151" i="9"/>
  <c r="O150" i="9"/>
  <c r="O149" i="9"/>
  <c r="O148" i="9"/>
  <c r="O147" i="9"/>
  <c r="O146" i="9"/>
  <c r="O145" i="9"/>
  <c r="O144" i="9"/>
  <c r="O143" i="9"/>
  <c r="O142" i="9"/>
  <c r="O141" i="9"/>
  <c r="O140" i="9"/>
  <c r="O139" i="9"/>
  <c r="O138" i="9"/>
  <c r="O137" i="9"/>
  <c r="O136" i="9"/>
  <c r="O135" i="9"/>
  <c r="O134" i="9"/>
  <c r="O133" i="9"/>
  <c r="O132" i="9"/>
  <c r="O131" i="9"/>
  <c r="O130" i="9"/>
  <c r="O129" i="9"/>
  <c r="O128" i="9"/>
  <c r="O127" i="9"/>
  <c r="O126" i="9"/>
  <c r="O125" i="9"/>
  <c r="O124" i="9"/>
  <c r="O123" i="9"/>
  <c r="O122" i="9"/>
  <c r="O121" i="9"/>
  <c r="O120" i="9"/>
  <c r="O119" i="9"/>
  <c r="O118" i="9"/>
  <c r="O117" i="9"/>
  <c r="O116" i="9"/>
  <c r="O115" i="9"/>
  <c r="O114" i="9"/>
  <c r="O113" i="9"/>
  <c r="O112" i="9"/>
  <c r="O111" i="9"/>
  <c r="O110" i="9"/>
  <c r="O109" i="9"/>
  <c r="O108" i="9"/>
  <c r="O107" i="9"/>
  <c r="O106" i="9"/>
  <c r="O105" i="9"/>
  <c r="O104" i="9"/>
  <c r="O103" i="9"/>
  <c r="O102" i="9"/>
  <c r="O101" i="9"/>
  <c r="O100" i="9"/>
  <c r="O99" i="9"/>
  <c r="O98" i="9"/>
  <c r="O97" i="9"/>
  <c r="O96" i="9"/>
  <c r="O95" i="9"/>
  <c r="O94" i="9"/>
  <c r="O93" i="9"/>
  <c r="O92" i="9"/>
  <c r="O91" i="9"/>
  <c r="O90" i="9"/>
  <c r="O89" i="9"/>
  <c r="O88" i="9"/>
  <c r="O87" i="9"/>
  <c r="O86" i="9"/>
  <c r="O85" i="9"/>
  <c r="O84" i="9"/>
  <c r="O83" i="9"/>
  <c r="O82" i="9"/>
  <c r="O81" i="9"/>
  <c r="O80" i="9"/>
  <c r="O79" i="9"/>
  <c r="O78" i="9"/>
  <c r="O77" i="9"/>
  <c r="O76" i="9"/>
  <c r="O75" i="9"/>
  <c r="O74" i="9"/>
  <c r="O73" i="9"/>
  <c r="O72" i="9"/>
  <c r="O71" i="9"/>
  <c r="O70" i="9"/>
  <c r="O69" i="9"/>
  <c r="O68" i="9"/>
  <c r="O67" i="9"/>
  <c r="O66" i="9"/>
  <c r="O65" i="9"/>
  <c r="O64" i="9"/>
  <c r="O63" i="9"/>
  <c r="O62" i="9"/>
  <c r="O61" i="9"/>
  <c r="O60" i="9"/>
  <c r="O59" i="9"/>
  <c r="O58" i="9"/>
  <c r="O57" i="9"/>
  <c r="O56" i="9"/>
  <c r="O55" i="9"/>
  <c r="O54" i="9"/>
  <c r="O53" i="9"/>
  <c r="O52" i="9"/>
  <c r="O51" i="9"/>
  <c r="O50" i="9"/>
  <c r="O49" i="9"/>
  <c r="O48" i="9"/>
  <c r="O47" i="9"/>
  <c r="O46" i="9"/>
  <c r="O45" i="9"/>
  <c r="O44" i="9"/>
  <c r="O43" i="9"/>
  <c r="O42" i="9"/>
  <c r="O41" i="9"/>
  <c r="O40" i="9"/>
  <c r="O39" i="9"/>
  <c r="O38" i="9"/>
  <c r="O37" i="9"/>
  <c r="O36" i="9"/>
  <c r="O35" i="9"/>
  <c r="E35" i="9" a="1"/>
  <c r="E35" i="9" s="1"/>
  <c r="O34" i="9"/>
  <c r="E34" i="9" a="1"/>
  <c r="E34" i="9" s="1"/>
  <c r="O33" i="9"/>
  <c r="E33" i="9" a="1"/>
  <c r="E33" i="9" s="1"/>
  <c r="O32" i="9"/>
  <c r="E32" i="9" a="1"/>
  <c r="E32" i="9" s="1"/>
  <c r="O31" i="9"/>
  <c r="E31" i="9" a="1"/>
  <c r="E31" i="9" s="1"/>
  <c r="O30" i="9"/>
  <c r="E30" i="9" a="1"/>
  <c r="E30" i="9" s="1"/>
  <c r="O29" i="9"/>
  <c r="E29" i="9" a="1"/>
  <c r="E29" i="9" s="1"/>
  <c r="O28" i="9"/>
  <c r="E28" i="9" a="1"/>
  <c r="E28" i="9" s="1"/>
  <c r="O27" i="9"/>
  <c r="E27" i="9" a="1"/>
  <c r="E27" i="9" s="1"/>
  <c r="O26" i="9"/>
  <c r="E26" i="9" a="1"/>
  <c r="E26" i="9" s="1"/>
  <c r="O25" i="9"/>
  <c r="E25" i="9" a="1"/>
  <c r="E25" i="9" s="1"/>
  <c r="O24" i="9"/>
  <c r="E24" i="9" a="1"/>
  <c r="E24" i="9" s="1"/>
  <c r="O23" i="9"/>
  <c r="E23" i="9" a="1"/>
  <c r="E23" i="9" s="1"/>
  <c r="O22" i="9"/>
  <c r="E22" i="9" a="1"/>
  <c r="E22" i="9" s="1"/>
  <c r="O21" i="9"/>
  <c r="E21" i="9" a="1"/>
  <c r="E21" i="9" s="1"/>
  <c r="O20" i="9"/>
  <c r="E20" i="9" a="1"/>
  <c r="E20" i="9" s="1"/>
  <c r="O19" i="9"/>
  <c r="E19" i="9" a="1"/>
  <c r="E19" i="9" s="1"/>
  <c r="O18" i="9"/>
  <c r="E18" i="9" a="1"/>
  <c r="E18" i="9" s="1"/>
  <c r="O17" i="9"/>
  <c r="E17" i="9" a="1"/>
  <c r="E17" i="9" s="1"/>
  <c r="O16" i="9"/>
  <c r="E16" i="9" a="1"/>
  <c r="E16" i="9" s="1"/>
  <c r="O15" i="9"/>
  <c r="E15" i="9" a="1"/>
  <c r="E15" i="9" s="1"/>
  <c r="O14" i="9"/>
  <c r="E14" i="9" a="1"/>
  <c r="E14" i="9" s="1"/>
  <c r="O13" i="9"/>
  <c r="E13" i="9" a="1"/>
  <c r="E13" i="9" s="1"/>
  <c r="O12" i="9"/>
  <c r="E12" i="9" a="1"/>
  <c r="E12" i="9" s="1"/>
  <c r="O11" i="9"/>
  <c r="E11" i="9" a="1"/>
  <c r="E11" i="9" s="1"/>
  <c r="O10" i="9"/>
  <c r="O9" i="9"/>
  <c r="O8" i="9"/>
  <c r="O7" i="9"/>
  <c r="O6" i="9"/>
  <c r="O5" i="9"/>
  <c r="O4" i="9"/>
  <c r="O3" i="9"/>
  <c r="O2" i="9"/>
  <c r="N153" i="3" l="1"/>
  <c r="N154" i="3"/>
  <c r="N155" i="3"/>
  <c r="N156" i="3"/>
  <c r="N157" i="3"/>
  <c r="N158" i="3"/>
  <c r="N159" i="3"/>
  <c r="F73" i="3"/>
  <c r="F65" i="3"/>
  <c r="F66" i="3"/>
  <c r="E48" i="3" a="1"/>
  <c r="E48" i="3" s="1"/>
  <c r="E49" i="3" a="1"/>
  <c r="E49" i="3" s="1"/>
  <c r="E50" i="3" a="1"/>
  <c r="E50" i="3" s="1"/>
  <c r="E45" i="3" a="1"/>
  <c r="E45" i="3" s="1"/>
  <c r="E46" i="3" a="1"/>
  <c r="E46" i="3" s="1"/>
  <c r="E47" i="3" a="1"/>
  <c r="E47" i="3" s="1"/>
  <c r="E44" i="3" a="1"/>
  <c r="E44" i="3" s="1"/>
  <c r="E43" i="3" a="1"/>
  <c r="E43" i="3" s="1"/>
  <c r="E42" i="3" a="1"/>
  <c r="E42" i="3" s="1"/>
  <c r="N39" i="3"/>
  <c r="F39" i="3"/>
  <c r="E39" i="3" a="1"/>
  <c r="E39" i="3" s="1"/>
  <c r="E41" i="3" a="1"/>
  <c r="E41" i="3" s="1"/>
  <c r="E36" i="3" a="1"/>
  <c r="E36" i="3" s="1"/>
  <c r="E37" i="3" a="1"/>
  <c r="E37" i="3" s="1"/>
  <c r="E38" i="3" a="1"/>
  <c r="E38" i="3" s="1"/>
  <c r="E40" i="3" a="1"/>
  <c r="E40" i="3" s="1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8" i="3"/>
  <c r="F59" i="3"/>
  <c r="F60" i="3"/>
  <c r="F61" i="3"/>
  <c r="F62" i="3"/>
  <c r="F63" i="3"/>
  <c r="F64" i="3"/>
  <c r="F67" i="3"/>
  <c r="F68" i="3"/>
  <c r="F69" i="3"/>
  <c r="F70" i="3"/>
  <c r="F71" i="3"/>
  <c r="F72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E34" i="8" a="1"/>
  <c r="E34" i="8" s="1"/>
  <c r="E33" i="8" a="1"/>
  <c r="E33" i="8" s="1"/>
  <c r="E32" i="8" a="1"/>
  <c r="E32" i="8" s="1"/>
  <c r="E31" i="8" a="1"/>
  <c r="E31" i="8" s="1"/>
  <c r="E30" i="8" a="1"/>
  <c r="E30" i="8" s="1"/>
  <c r="E29" i="8" a="1"/>
  <c r="E29" i="8" s="1"/>
  <c r="E28" i="8" a="1"/>
  <c r="E28" i="8" s="1"/>
  <c r="E27" i="8" a="1"/>
  <c r="E27" i="8" s="1"/>
  <c r="E26" i="8" a="1"/>
  <c r="E26" i="8" s="1"/>
  <c r="E25" i="8" a="1"/>
  <c r="E25" i="8" s="1"/>
  <c r="E24" i="8" a="1"/>
  <c r="E24" i="8" s="1"/>
  <c r="E23" i="8" a="1"/>
  <c r="E23" i="8" s="1"/>
  <c r="E22" i="8" a="1"/>
  <c r="E22" i="8" s="1"/>
  <c r="E21" i="8" a="1"/>
  <c r="E21" i="8" s="1"/>
  <c r="E20" i="8" a="1"/>
  <c r="E20" i="8" s="1"/>
  <c r="E19" i="8" a="1"/>
  <c r="E19" i="8" s="1"/>
  <c r="E18" i="8" a="1"/>
  <c r="E18" i="8" s="1"/>
  <c r="E17" i="8" a="1"/>
  <c r="E17" i="8" s="1"/>
  <c r="E16" i="8" a="1"/>
  <c r="E16" i="8" s="1"/>
  <c r="E15" i="8" a="1"/>
  <c r="E15" i="8" s="1"/>
  <c r="E14" i="8" a="1"/>
  <c r="E14" i="8" s="1"/>
  <c r="E13" i="8" a="1"/>
  <c r="E13" i="8" s="1"/>
  <c r="E12" i="8" a="1"/>
  <c r="E12" i="8" s="1"/>
  <c r="E11" i="8" a="1"/>
  <c r="E11" i="8" s="1"/>
  <c r="E10" i="8" a="1"/>
  <c r="E10" i="8" s="1"/>
  <c r="E9" i="8" a="1"/>
  <c r="E9" i="8" s="1"/>
  <c r="E8" i="8" a="1"/>
  <c r="E8" i="8" s="1"/>
  <c r="E7" i="8" a="1"/>
  <c r="E7" i="8" s="1"/>
  <c r="E6" i="8" a="1"/>
  <c r="E6" i="8" s="1"/>
  <c r="E5" i="8" a="1"/>
  <c r="E5" i="8" s="1"/>
  <c r="E4" i="8" a="1"/>
  <c r="E4" i="8" s="1"/>
  <c r="E3" i="8" a="1"/>
  <c r="E3" i="8" s="1"/>
  <c r="E2" i="8" a="1"/>
  <c r="E2" i="8" s="1"/>
  <c r="M611" i="7"/>
  <c r="M610" i="7"/>
  <c r="M609" i="7"/>
  <c r="M608" i="7"/>
  <c r="M607" i="7"/>
  <c r="M606" i="7"/>
  <c r="M605" i="7"/>
  <c r="M604" i="7"/>
  <c r="M603" i="7"/>
  <c r="M602" i="7"/>
  <c r="M601" i="7"/>
  <c r="M600" i="7"/>
  <c r="M599" i="7"/>
  <c r="M598" i="7"/>
  <c r="M597" i="7"/>
  <c r="M596" i="7"/>
  <c r="M595" i="7"/>
  <c r="M594" i="7"/>
  <c r="M593" i="7"/>
  <c r="M592" i="7"/>
  <c r="M591" i="7"/>
  <c r="M590" i="7"/>
  <c r="M589" i="7"/>
  <c r="M588" i="7"/>
  <c r="M587" i="7"/>
  <c r="M586" i="7"/>
  <c r="M585" i="7"/>
  <c r="M584" i="7"/>
  <c r="M583" i="7"/>
  <c r="M582" i="7"/>
  <c r="M581" i="7"/>
  <c r="M580" i="7"/>
  <c r="M579" i="7"/>
  <c r="M578" i="7"/>
  <c r="M577" i="7"/>
  <c r="M576" i="7"/>
  <c r="M575" i="7"/>
  <c r="M574" i="7"/>
  <c r="M573" i="7"/>
  <c r="M572" i="7"/>
  <c r="M571" i="7"/>
  <c r="M570" i="7"/>
  <c r="M569" i="7"/>
  <c r="M568" i="7"/>
  <c r="M567" i="7"/>
  <c r="M566" i="7"/>
  <c r="M565" i="7"/>
  <c r="M564" i="7"/>
  <c r="M563" i="7"/>
  <c r="M562" i="7"/>
  <c r="M561" i="7"/>
  <c r="M560" i="7"/>
  <c r="M559" i="7"/>
  <c r="M558" i="7"/>
  <c r="M557" i="7"/>
  <c r="M556" i="7"/>
  <c r="M555" i="7"/>
  <c r="M554" i="7"/>
  <c r="M553" i="7"/>
  <c r="M552" i="7"/>
  <c r="M551" i="7"/>
  <c r="M550" i="7"/>
  <c r="M549" i="7"/>
  <c r="M548" i="7"/>
  <c r="M547" i="7"/>
  <c r="M546" i="7"/>
  <c r="M545" i="7"/>
  <c r="M544" i="7"/>
  <c r="M543" i="7"/>
  <c r="M542" i="7"/>
  <c r="M541" i="7"/>
  <c r="M540" i="7"/>
  <c r="M539" i="7"/>
  <c r="M538" i="7"/>
  <c r="M537" i="7"/>
  <c r="M536" i="7"/>
  <c r="M535" i="7"/>
  <c r="M534" i="7"/>
  <c r="M533" i="7"/>
  <c r="M532" i="7"/>
  <c r="M531" i="7"/>
  <c r="M530" i="7"/>
  <c r="M529" i="7"/>
  <c r="M528" i="7"/>
  <c r="M527" i="7"/>
  <c r="M526" i="7"/>
  <c r="M525" i="7"/>
  <c r="M524" i="7"/>
  <c r="M523" i="7"/>
  <c r="M522" i="7"/>
  <c r="M521" i="7"/>
  <c r="M520" i="7"/>
  <c r="M519" i="7"/>
  <c r="M518" i="7"/>
  <c r="M517" i="7"/>
  <c r="M516" i="7"/>
  <c r="M515" i="7"/>
  <c r="M514" i="7"/>
  <c r="M513" i="7"/>
  <c r="M512" i="7"/>
  <c r="M511" i="7"/>
  <c r="M510" i="7"/>
  <c r="M509" i="7"/>
  <c r="M508" i="7"/>
  <c r="M507" i="7"/>
  <c r="M506" i="7"/>
  <c r="M505" i="7"/>
  <c r="M504" i="7"/>
  <c r="M503" i="7"/>
  <c r="M502" i="7"/>
  <c r="M501" i="7"/>
  <c r="M500" i="7"/>
  <c r="M499" i="7"/>
  <c r="M498" i="7"/>
  <c r="M497" i="7"/>
  <c r="M496" i="7"/>
  <c r="M495" i="7"/>
  <c r="M494" i="7"/>
  <c r="M493" i="7"/>
  <c r="M492" i="7"/>
  <c r="M491" i="7"/>
  <c r="M490" i="7"/>
  <c r="M489" i="7"/>
  <c r="M488" i="7"/>
  <c r="M487" i="7"/>
  <c r="M486" i="7"/>
  <c r="M485" i="7"/>
  <c r="M484" i="7"/>
  <c r="M483" i="7"/>
  <c r="M482" i="7"/>
  <c r="M481" i="7"/>
  <c r="M480" i="7"/>
  <c r="M479" i="7"/>
  <c r="M478" i="7"/>
  <c r="M477" i="7"/>
  <c r="M476" i="7"/>
  <c r="M475" i="7"/>
  <c r="M474" i="7"/>
  <c r="M473" i="7"/>
  <c r="M472" i="7"/>
  <c r="M471" i="7"/>
  <c r="M470" i="7"/>
  <c r="M469" i="7"/>
  <c r="M468" i="7"/>
  <c r="M467" i="7"/>
  <c r="M466" i="7"/>
  <c r="M465" i="7"/>
  <c r="M464" i="7"/>
  <c r="M463" i="7"/>
  <c r="M462" i="7"/>
  <c r="M461" i="7"/>
  <c r="M460" i="7"/>
  <c r="M459" i="7"/>
  <c r="M458" i="7"/>
  <c r="M457" i="7"/>
  <c r="M456" i="7"/>
  <c r="M455" i="7"/>
  <c r="M454" i="7"/>
  <c r="M453" i="7"/>
  <c r="M452" i="7"/>
  <c r="M451" i="7"/>
  <c r="M450" i="7"/>
  <c r="M449" i="7"/>
  <c r="M448" i="7"/>
  <c r="M447" i="7"/>
  <c r="M446" i="7"/>
  <c r="M445" i="7"/>
  <c r="M444" i="7"/>
  <c r="M443" i="7"/>
  <c r="M442" i="7"/>
  <c r="M441" i="7"/>
  <c r="M440" i="7"/>
  <c r="M439" i="7"/>
  <c r="M438" i="7"/>
  <c r="M437" i="7"/>
  <c r="M436" i="7"/>
  <c r="M435" i="7"/>
  <c r="M434" i="7"/>
  <c r="M433" i="7"/>
  <c r="M432" i="7"/>
  <c r="M431" i="7"/>
  <c r="M430" i="7"/>
  <c r="M429" i="7"/>
  <c r="M428" i="7"/>
  <c r="M427" i="7"/>
  <c r="M426" i="7"/>
  <c r="M425" i="7"/>
  <c r="M424" i="7"/>
  <c r="M423" i="7"/>
  <c r="M422" i="7"/>
  <c r="M421" i="7"/>
  <c r="M420" i="7"/>
  <c r="M419" i="7"/>
  <c r="M418" i="7"/>
  <c r="M417" i="7"/>
  <c r="M416" i="7"/>
  <c r="M415" i="7"/>
  <c r="M414" i="7"/>
  <c r="M413" i="7"/>
  <c r="M412" i="7"/>
  <c r="M411" i="7"/>
  <c r="M410" i="7"/>
  <c r="M409" i="7"/>
  <c r="M408" i="7"/>
  <c r="M407" i="7"/>
  <c r="M406" i="7"/>
  <c r="M405" i="7"/>
  <c r="M404" i="7"/>
  <c r="M403" i="7"/>
  <c r="M402" i="7"/>
  <c r="M401" i="7"/>
  <c r="M400" i="7"/>
  <c r="M399" i="7"/>
  <c r="M398" i="7"/>
  <c r="M397" i="7"/>
  <c r="M396" i="7"/>
  <c r="M395" i="7"/>
  <c r="M394" i="7"/>
  <c r="M393" i="7"/>
  <c r="M392" i="7"/>
  <c r="M391" i="7"/>
  <c r="M390" i="7"/>
  <c r="M389" i="7"/>
  <c r="M388" i="7"/>
  <c r="M387" i="7"/>
  <c r="M386" i="7"/>
  <c r="M385" i="7"/>
  <c r="M384" i="7"/>
  <c r="M383" i="7"/>
  <c r="M382" i="7"/>
  <c r="M381" i="7"/>
  <c r="M380" i="7"/>
  <c r="M379" i="7"/>
  <c r="M378" i="7"/>
  <c r="M377" i="7"/>
  <c r="M376" i="7"/>
  <c r="M375" i="7"/>
  <c r="M374" i="7"/>
  <c r="M373" i="7"/>
  <c r="M372" i="7"/>
  <c r="M371" i="7"/>
  <c r="M370" i="7"/>
  <c r="M369" i="7"/>
  <c r="M368" i="7"/>
  <c r="M367" i="7"/>
  <c r="M366" i="7"/>
  <c r="M365" i="7"/>
  <c r="M364" i="7"/>
  <c r="M363" i="7"/>
  <c r="M362" i="7"/>
  <c r="M361" i="7"/>
  <c r="M360" i="7"/>
  <c r="M359" i="7"/>
  <c r="M358" i="7"/>
  <c r="M357" i="7"/>
  <c r="M356" i="7"/>
  <c r="M355" i="7"/>
  <c r="M354" i="7"/>
  <c r="M353" i="7"/>
  <c r="M352" i="7"/>
  <c r="M351" i="7"/>
  <c r="M350" i="7"/>
  <c r="M349" i="7"/>
  <c r="M348" i="7"/>
  <c r="M347" i="7"/>
  <c r="M346" i="7"/>
  <c r="M345" i="7"/>
  <c r="M344" i="7"/>
  <c r="M343" i="7"/>
  <c r="M342" i="7"/>
  <c r="M341" i="7"/>
  <c r="M340" i="7"/>
  <c r="M339" i="7"/>
  <c r="M338" i="7"/>
  <c r="M337" i="7"/>
  <c r="M336" i="7"/>
  <c r="M335" i="7"/>
  <c r="M334" i="7"/>
  <c r="M333" i="7"/>
  <c r="M332" i="7"/>
  <c r="M331" i="7"/>
  <c r="M330" i="7"/>
  <c r="M329" i="7"/>
  <c r="M328" i="7"/>
  <c r="M327" i="7"/>
  <c r="M326" i="7"/>
  <c r="M325" i="7"/>
  <c r="M324" i="7"/>
  <c r="M323" i="7"/>
  <c r="M322" i="7"/>
  <c r="M321" i="7"/>
  <c r="M320" i="7"/>
  <c r="M319" i="7"/>
  <c r="M318" i="7"/>
  <c r="M317" i="7"/>
  <c r="M316" i="7"/>
  <c r="M315" i="7"/>
  <c r="M314" i="7"/>
  <c r="M313" i="7"/>
  <c r="M312" i="7"/>
  <c r="M311" i="7"/>
  <c r="M310" i="7"/>
  <c r="M309" i="7"/>
  <c r="M308" i="7"/>
  <c r="M307" i="7"/>
  <c r="M306" i="7"/>
  <c r="M305" i="7"/>
  <c r="M304" i="7"/>
  <c r="M303" i="7"/>
  <c r="M302" i="7"/>
  <c r="M301" i="7"/>
  <c r="M300" i="7"/>
  <c r="M299" i="7"/>
  <c r="M298" i="7"/>
  <c r="M297" i="7"/>
  <c r="M296" i="7"/>
  <c r="M295" i="7"/>
  <c r="M294" i="7"/>
  <c r="M293" i="7"/>
  <c r="M292" i="7"/>
  <c r="M291" i="7"/>
  <c r="M290" i="7"/>
  <c r="M289" i="7"/>
  <c r="M288" i="7"/>
  <c r="M287" i="7"/>
  <c r="M286" i="7"/>
  <c r="M285" i="7"/>
  <c r="M284" i="7"/>
  <c r="M283" i="7"/>
  <c r="M282" i="7"/>
  <c r="M281" i="7"/>
  <c r="M280" i="7"/>
  <c r="M279" i="7"/>
  <c r="M278" i="7"/>
  <c r="M277" i="7"/>
  <c r="M276" i="7"/>
  <c r="M275" i="7"/>
  <c r="M274" i="7"/>
  <c r="M273" i="7"/>
  <c r="M272" i="7"/>
  <c r="M271" i="7"/>
  <c r="M270" i="7"/>
  <c r="M269" i="7"/>
  <c r="M268" i="7"/>
  <c r="M267" i="7"/>
  <c r="M266" i="7"/>
  <c r="M265" i="7"/>
  <c r="M264" i="7"/>
  <c r="M263" i="7"/>
  <c r="M262" i="7"/>
  <c r="M261" i="7"/>
  <c r="M260" i="7"/>
  <c r="M259" i="7"/>
  <c r="M258" i="7"/>
  <c r="M257" i="7"/>
  <c r="M256" i="7"/>
  <c r="M255" i="7"/>
  <c r="M254" i="7"/>
  <c r="M253" i="7"/>
  <c r="M252" i="7"/>
  <c r="M251" i="7"/>
  <c r="M250" i="7"/>
  <c r="M249" i="7"/>
  <c r="M248" i="7"/>
  <c r="M247" i="7"/>
  <c r="M246" i="7"/>
  <c r="M245" i="7"/>
  <c r="M244" i="7"/>
  <c r="M243" i="7"/>
  <c r="M242" i="7"/>
  <c r="M241" i="7"/>
  <c r="M240" i="7"/>
  <c r="M239" i="7"/>
  <c r="M238" i="7"/>
  <c r="M237" i="7"/>
  <c r="M236" i="7"/>
  <c r="M235" i="7"/>
  <c r="M234" i="7"/>
  <c r="M233" i="7"/>
  <c r="M232" i="7"/>
  <c r="M231" i="7"/>
  <c r="M230" i="7"/>
  <c r="M229" i="7"/>
  <c r="M228" i="7"/>
  <c r="M227" i="7"/>
  <c r="M226" i="7"/>
  <c r="M225" i="7"/>
  <c r="M224" i="7"/>
  <c r="M223" i="7"/>
  <c r="M222" i="7"/>
  <c r="M221" i="7"/>
  <c r="M220" i="7"/>
  <c r="M219" i="7"/>
  <c r="M218" i="7"/>
  <c r="M217" i="7"/>
  <c r="M216" i="7"/>
  <c r="M215" i="7"/>
  <c r="M214" i="7"/>
  <c r="M213" i="7"/>
  <c r="M212" i="7"/>
  <c r="M211" i="7"/>
  <c r="M210" i="7"/>
  <c r="M209" i="7"/>
  <c r="M208" i="7"/>
  <c r="M207" i="7"/>
  <c r="M206" i="7"/>
  <c r="M205" i="7"/>
  <c r="M204" i="7"/>
  <c r="M203" i="7"/>
  <c r="M202" i="7"/>
  <c r="M201" i="7"/>
  <c r="M200" i="7"/>
  <c r="M199" i="7"/>
  <c r="M198" i="7"/>
  <c r="M197" i="7"/>
  <c r="M196" i="7"/>
  <c r="M195" i="7"/>
  <c r="M194" i="7"/>
  <c r="M193" i="7"/>
  <c r="M192" i="7"/>
  <c r="M191" i="7"/>
  <c r="M190" i="7"/>
  <c r="M189" i="7"/>
  <c r="M188" i="7"/>
  <c r="M187" i="7"/>
  <c r="M186" i="7"/>
  <c r="M185" i="7"/>
  <c r="M184" i="7"/>
  <c r="M183" i="7"/>
  <c r="M182" i="7"/>
  <c r="M181" i="7"/>
  <c r="M180" i="7"/>
  <c r="M179" i="7"/>
  <c r="M178" i="7"/>
  <c r="M177" i="7"/>
  <c r="M176" i="7"/>
  <c r="M175" i="7"/>
  <c r="M174" i="7"/>
  <c r="M173" i="7"/>
  <c r="M172" i="7"/>
  <c r="M171" i="7"/>
  <c r="M170" i="7"/>
  <c r="M169" i="7"/>
  <c r="M168" i="7"/>
  <c r="M167" i="7"/>
  <c r="M166" i="7"/>
  <c r="M165" i="7"/>
  <c r="M164" i="7"/>
  <c r="M163" i="7"/>
  <c r="M162" i="7"/>
  <c r="M161" i="7"/>
  <c r="M160" i="7"/>
  <c r="M159" i="7"/>
  <c r="M158" i="7"/>
  <c r="M157" i="7"/>
  <c r="M156" i="7"/>
  <c r="M155" i="7"/>
  <c r="M154" i="7"/>
  <c r="M153" i="7"/>
  <c r="M152" i="7"/>
  <c r="M151" i="7"/>
  <c r="M150" i="7"/>
  <c r="M149" i="7"/>
  <c r="M148" i="7"/>
  <c r="M147" i="7"/>
  <c r="M146" i="7"/>
  <c r="M145" i="7"/>
  <c r="M144" i="7"/>
  <c r="M143" i="7"/>
  <c r="M142" i="7"/>
  <c r="M141" i="7"/>
  <c r="M140" i="7"/>
  <c r="M139" i="7"/>
  <c r="M138" i="7"/>
  <c r="M137" i="7"/>
  <c r="M136" i="7"/>
  <c r="M135" i="7"/>
  <c r="M134" i="7"/>
  <c r="M133" i="7"/>
  <c r="M132" i="7"/>
  <c r="M131" i="7"/>
  <c r="M130" i="7"/>
  <c r="M129" i="7"/>
  <c r="M128" i="7"/>
  <c r="M127" i="7"/>
  <c r="M126" i="7"/>
  <c r="M125" i="7"/>
  <c r="M124" i="7"/>
  <c r="M123" i="7"/>
  <c r="M122" i="7"/>
  <c r="M121" i="7"/>
  <c r="M120" i="7"/>
  <c r="M119" i="7"/>
  <c r="M118" i="7"/>
  <c r="M117" i="7"/>
  <c r="M116" i="7"/>
  <c r="M115" i="7"/>
  <c r="M114" i="7"/>
  <c r="M113" i="7"/>
  <c r="M112" i="7"/>
  <c r="M111" i="7"/>
  <c r="M110" i="7"/>
  <c r="M109" i="7"/>
  <c r="M108" i="7"/>
  <c r="M107" i="7"/>
  <c r="M106" i="7"/>
  <c r="M105" i="7"/>
  <c r="M104" i="7"/>
  <c r="M103" i="7"/>
  <c r="M102" i="7"/>
  <c r="M101" i="7"/>
  <c r="M100" i="7"/>
  <c r="M99" i="7"/>
  <c r="M98" i="7"/>
  <c r="M97" i="7"/>
  <c r="M96" i="7"/>
  <c r="M95" i="7"/>
  <c r="M94" i="7"/>
  <c r="M93" i="7"/>
  <c r="M92" i="7"/>
  <c r="M91" i="7"/>
  <c r="M90" i="7"/>
  <c r="M89" i="7"/>
  <c r="M88" i="7"/>
  <c r="M87" i="7"/>
  <c r="M86" i="7"/>
  <c r="M85" i="7"/>
  <c r="M84" i="7"/>
  <c r="M83" i="7"/>
  <c r="M82" i="7"/>
  <c r="M81" i="7"/>
  <c r="M80" i="7"/>
  <c r="M79" i="7"/>
  <c r="M78" i="7"/>
  <c r="M77" i="7"/>
  <c r="M76" i="7"/>
  <c r="M75" i="7"/>
  <c r="M74" i="7"/>
  <c r="M73" i="7"/>
  <c r="M72" i="7"/>
  <c r="M71" i="7"/>
  <c r="M70" i="7"/>
  <c r="M69" i="7"/>
  <c r="M68" i="7"/>
  <c r="M67" i="7"/>
  <c r="M66" i="7"/>
  <c r="M65" i="7"/>
  <c r="M64" i="7"/>
  <c r="M63" i="7"/>
  <c r="M62" i="7"/>
  <c r="M61" i="7"/>
  <c r="M60" i="7"/>
  <c r="M59" i="7"/>
  <c r="M58" i="7"/>
  <c r="M57" i="7"/>
  <c r="M56" i="7"/>
  <c r="M55" i="7"/>
  <c r="M54" i="7"/>
  <c r="M53" i="7"/>
  <c r="M52" i="7"/>
  <c r="M51" i="7"/>
  <c r="M50" i="7"/>
  <c r="M49" i="7"/>
  <c r="M48" i="7"/>
  <c r="M47" i="7"/>
  <c r="M46" i="7"/>
  <c r="M45" i="7"/>
  <c r="M44" i="7"/>
  <c r="M43" i="7"/>
  <c r="M42" i="7"/>
  <c r="M41" i="7"/>
  <c r="M40" i="7"/>
  <c r="M39" i="7"/>
  <c r="M38" i="7"/>
  <c r="M37" i="7"/>
  <c r="M36" i="7"/>
  <c r="M35" i="7"/>
  <c r="E35" i="7" a="1"/>
  <c r="E35" i="7" s="1"/>
  <c r="M34" i="7"/>
  <c r="E34" i="7" a="1"/>
  <c r="E34" i="7" s="1"/>
  <c r="M33" i="7"/>
  <c r="E33" i="7" a="1"/>
  <c r="E33" i="7" s="1"/>
  <c r="M32" i="7"/>
  <c r="E32" i="7" a="1"/>
  <c r="E32" i="7" s="1"/>
  <c r="M31" i="7"/>
  <c r="E31" i="7" a="1"/>
  <c r="E31" i="7" s="1"/>
  <c r="M30" i="7"/>
  <c r="E30" i="7" a="1"/>
  <c r="E30" i="7" s="1"/>
  <c r="M29" i="7"/>
  <c r="E29" i="7" a="1"/>
  <c r="E29" i="7" s="1"/>
  <c r="M28" i="7"/>
  <c r="E28" i="7" a="1"/>
  <c r="E28" i="7" s="1"/>
  <c r="M27" i="7"/>
  <c r="E27" i="7" a="1"/>
  <c r="E27" i="7" s="1"/>
  <c r="M26" i="7"/>
  <c r="E26" i="7" a="1"/>
  <c r="E26" i="7" s="1"/>
  <c r="M25" i="7"/>
  <c r="E25" i="7" a="1"/>
  <c r="E25" i="7" s="1"/>
  <c r="M24" i="7"/>
  <c r="E24" i="7" a="1"/>
  <c r="E24" i="7" s="1"/>
  <c r="M23" i="7"/>
  <c r="E23" i="7" a="1"/>
  <c r="E23" i="7" s="1"/>
  <c r="M22" i="7"/>
  <c r="E22" i="7" a="1"/>
  <c r="E22" i="7" s="1"/>
  <c r="M21" i="7"/>
  <c r="E21" i="7" a="1"/>
  <c r="E21" i="7" s="1"/>
  <c r="M20" i="7"/>
  <c r="E20" i="7" a="1"/>
  <c r="E20" i="7" s="1"/>
  <c r="M19" i="7"/>
  <c r="E19" i="7" a="1"/>
  <c r="E19" i="7" s="1"/>
  <c r="M18" i="7"/>
  <c r="E18" i="7" a="1"/>
  <c r="E18" i="7" s="1"/>
  <c r="M17" i="7"/>
  <c r="E17" i="7" a="1"/>
  <c r="E17" i="7" s="1"/>
  <c r="M16" i="7"/>
  <c r="E16" i="7" a="1"/>
  <c r="E16" i="7" s="1"/>
  <c r="M15" i="7"/>
  <c r="E15" i="7" a="1"/>
  <c r="E15" i="7" s="1"/>
  <c r="M14" i="7"/>
  <c r="E14" i="7" a="1"/>
  <c r="E14" i="7" s="1"/>
  <c r="M13" i="7"/>
  <c r="E13" i="7" a="1"/>
  <c r="E13" i="7" s="1"/>
  <c r="M12" i="7"/>
  <c r="E12" i="7" a="1"/>
  <c r="E12" i="7" s="1"/>
  <c r="M11" i="7"/>
  <c r="E11" i="7" a="1"/>
  <c r="E11" i="7" s="1"/>
  <c r="M10" i="7"/>
  <c r="E10" i="7" a="1"/>
  <c r="E10" i="7" s="1"/>
  <c r="M9" i="7"/>
  <c r="E9" i="7" a="1"/>
  <c r="E9" i="7" s="1"/>
  <c r="M8" i="7"/>
  <c r="E8" i="7" a="1"/>
  <c r="E8" i="7" s="1"/>
  <c r="E7" i="7" a="1"/>
  <c r="E7" i="7" s="1"/>
  <c r="M6" i="7"/>
  <c r="E6" i="7" a="1"/>
  <c r="E6" i="7" s="1"/>
  <c r="M5" i="7"/>
  <c r="E5" i="7" a="1"/>
  <c r="E5" i="7" s="1"/>
  <c r="M4" i="7"/>
  <c r="E4" i="7" a="1"/>
  <c r="E4" i="7" s="1"/>
  <c r="M3" i="7"/>
  <c r="E3" i="7" a="1"/>
  <c r="E3" i="7" s="1"/>
  <c r="M2" i="7"/>
  <c r="E2" i="7" a="1"/>
  <c r="E2" i="7" s="1"/>
  <c r="K611" i="6"/>
  <c r="K610" i="6"/>
  <c r="K609" i="6"/>
  <c r="K608" i="6"/>
  <c r="K607" i="6"/>
  <c r="K606" i="6"/>
  <c r="K605" i="6"/>
  <c r="K604" i="6"/>
  <c r="K603" i="6"/>
  <c r="K602" i="6"/>
  <c r="K601" i="6"/>
  <c r="K600" i="6"/>
  <c r="K599" i="6"/>
  <c r="K598" i="6"/>
  <c r="K597" i="6"/>
  <c r="K596" i="6"/>
  <c r="K595" i="6"/>
  <c r="K594" i="6"/>
  <c r="K593" i="6"/>
  <c r="K592" i="6"/>
  <c r="K591" i="6"/>
  <c r="K590" i="6"/>
  <c r="K589" i="6"/>
  <c r="K588" i="6"/>
  <c r="K587" i="6"/>
  <c r="K586" i="6"/>
  <c r="K585" i="6"/>
  <c r="K584" i="6"/>
  <c r="K583" i="6"/>
  <c r="K582" i="6"/>
  <c r="K581" i="6"/>
  <c r="K580" i="6"/>
  <c r="K579" i="6"/>
  <c r="K578" i="6"/>
  <c r="K577" i="6"/>
  <c r="K576" i="6"/>
  <c r="K575" i="6"/>
  <c r="K574" i="6"/>
  <c r="K573" i="6"/>
  <c r="K572" i="6"/>
  <c r="K571" i="6"/>
  <c r="K570" i="6"/>
  <c r="K569" i="6"/>
  <c r="K568" i="6"/>
  <c r="K567" i="6"/>
  <c r="K566" i="6"/>
  <c r="K565" i="6"/>
  <c r="K564" i="6"/>
  <c r="K563" i="6"/>
  <c r="K562" i="6"/>
  <c r="K561" i="6"/>
  <c r="K560" i="6"/>
  <c r="K559" i="6"/>
  <c r="K558" i="6"/>
  <c r="K557" i="6"/>
  <c r="K556" i="6"/>
  <c r="K555" i="6"/>
  <c r="K554" i="6"/>
  <c r="K553" i="6"/>
  <c r="K552" i="6"/>
  <c r="K551" i="6"/>
  <c r="K550" i="6"/>
  <c r="K549" i="6"/>
  <c r="K548" i="6"/>
  <c r="K547" i="6"/>
  <c r="K546" i="6"/>
  <c r="K545" i="6"/>
  <c r="K544" i="6"/>
  <c r="K543" i="6"/>
  <c r="K542" i="6"/>
  <c r="K541" i="6"/>
  <c r="K540" i="6"/>
  <c r="K539" i="6"/>
  <c r="K538" i="6"/>
  <c r="K537" i="6"/>
  <c r="K536" i="6"/>
  <c r="K535" i="6"/>
  <c r="K534" i="6"/>
  <c r="K533" i="6"/>
  <c r="K532" i="6"/>
  <c r="K531" i="6"/>
  <c r="K530" i="6"/>
  <c r="K529" i="6"/>
  <c r="K528" i="6"/>
  <c r="K527" i="6"/>
  <c r="K526" i="6"/>
  <c r="K525" i="6"/>
  <c r="K524" i="6"/>
  <c r="K523" i="6"/>
  <c r="K522" i="6"/>
  <c r="K521" i="6"/>
  <c r="K520" i="6"/>
  <c r="K519" i="6"/>
  <c r="K518" i="6"/>
  <c r="K517" i="6"/>
  <c r="K516" i="6"/>
  <c r="K515" i="6"/>
  <c r="K514" i="6"/>
  <c r="K513" i="6"/>
  <c r="K512" i="6"/>
  <c r="K511" i="6"/>
  <c r="K510" i="6"/>
  <c r="K509" i="6"/>
  <c r="K508" i="6"/>
  <c r="K507" i="6"/>
  <c r="K506" i="6"/>
  <c r="K505" i="6"/>
  <c r="K504" i="6"/>
  <c r="K503" i="6"/>
  <c r="K502" i="6"/>
  <c r="K501" i="6"/>
  <c r="K500" i="6"/>
  <c r="K499" i="6"/>
  <c r="K498" i="6"/>
  <c r="K497" i="6"/>
  <c r="K496" i="6"/>
  <c r="K495" i="6"/>
  <c r="K494" i="6"/>
  <c r="K493" i="6"/>
  <c r="K492" i="6"/>
  <c r="K491" i="6"/>
  <c r="K490" i="6"/>
  <c r="K489" i="6"/>
  <c r="K488" i="6"/>
  <c r="K487" i="6"/>
  <c r="K486" i="6"/>
  <c r="K485" i="6"/>
  <c r="K484" i="6"/>
  <c r="K483" i="6"/>
  <c r="K482" i="6"/>
  <c r="K481" i="6"/>
  <c r="K480" i="6"/>
  <c r="K479" i="6"/>
  <c r="K478" i="6"/>
  <c r="K477" i="6"/>
  <c r="K476" i="6"/>
  <c r="K475" i="6"/>
  <c r="K474" i="6"/>
  <c r="K473" i="6"/>
  <c r="K472" i="6"/>
  <c r="K471" i="6"/>
  <c r="K470" i="6"/>
  <c r="K469" i="6"/>
  <c r="K468" i="6"/>
  <c r="K467" i="6"/>
  <c r="K466" i="6"/>
  <c r="K465" i="6"/>
  <c r="K464" i="6"/>
  <c r="K463" i="6"/>
  <c r="K462" i="6"/>
  <c r="K461" i="6"/>
  <c r="K460" i="6"/>
  <c r="K459" i="6"/>
  <c r="K458" i="6"/>
  <c r="K457" i="6"/>
  <c r="K456" i="6"/>
  <c r="K455" i="6"/>
  <c r="K454" i="6"/>
  <c r="K453" i="6"/>
  <c r="K452" i="6"/>
  <c r="K451" i="6"/>
  <c r="K450" i="6"/>
  <c r="K449" i="6"/>
  <c r="K448" i="6"/>
  <c r="K447" i="6"/>
  <c r="K446" i="6"/>
  <c r="K445" i="6"/>
  <c r="K444" i="6"/>
  <c r="K443" i="6"/>
  <c r="K442" i="6"/>
  <c r="K441" i="6"/>
  <c r="K440" i="6"/>
  <c r="K439" i="6"/>
  <c r="K438" i="6"/>
  <c r="K437" i="6"/>
  <c r="K436" i="6"/>
  <c r="K435" i="6"/>
  <c r="K434" i="6"/>
  <c r="K433" i="6"/>
  <c r="K432" i="6"/>
  <c r="K431" i="6"/>
  <c r="K430" i="6"/>
  <c r="K429" i="6"/>
  <c r="K428" i="6"/>
  <c r="K427" i="6"/>
  <c r="K426" i="6"/>
  <c r="K425" i="6"/>
  <c r="K424" i="6"/>
  <c r="K423" i="6"/>
  <c r="K422" i="6"/>
  <c r="K421" i="6"/>
  <c r="K420" i="6"/>
  <c r="K419" i="6"/>
  <c r="K418" i="6"/>
  <c r="K417" i="6"/>
  <c r="K416" i="6"/>
  <c r="K415" i="6"/>
  <c r="K414" i="6"/>
  <c r="K413" i="6"/>
  <c r="K412" i="6"/>
  <c r="K411" i="6"/>
  <c r="K410" i="6"/>
  <c r="K409" i="6"/>
  <c r="K408" i="6"/>
  <c r="K407" i="6"/>
  <c r="K406" i="6"/>
  <c r="K405" i="6"/>
  <c r="K404" i="6"/>
  <c r="K403" i="6"/>
  <c r="K402" i="6"/>
  <c r="K401" i="6"/>
  <c r="K400" i="6"/>
  <c r="K399" i="6"/>
  <c r="K398" i="6"/>
  <c r="K397" i="6"/>
  <c r="K396" i="6"/>
  <c r="K395" i="6"/>
  <c r="K394" i="6"/>
  <c r="K393" i="6"/>
  <c r="K392" i="6"/>
  <c r="K391" i="6"/>
  <c r="K390" i="6"/>
  <c r="K389" i="6"/>
  <c r="K388" i="6"/>
  <c r="K387" i="6"/>
  <c r="K386" i="6"/>
  <c r="K385" i="6"/>
  <c r="K384" i="6"/>
  <c r="K383" i="6"/>
  <c r="K382" i="6"/>
  <c r="K381" i="6"/>
  <c r="K380" i="6"/>
  <c r="K379" i="6"/>
  <c r="K378" i="6"/>
  <c r="K377" i="6"/>
  <c r="K376" i="6"/>
  <c r="K375" i="6"/>
  <c r="K374" i="6"/>
  <c r="K373" i="6"/>
  <c r="K372" i="6"/>
  <c r="K371" i="6"/>
  <c r="K370" i="6"/>
  <c r="K369" i="6"/>
  <c r="K368" i="6"/>
  <c r="K367" i="6"/>
  <c r="K366" i="6"/>
  <c r="K365" i="6"/>
  <c r="K364" i="6"/>
  <c r="K363" i="6"/>
  <c r="K362" i="6"/>
  <c r="K361" i="6"/>
  <c r="K360" i="6"/>
  <c r="K359" i="6"/>
  <c r="K358" i="6"/>
  <c r="K357" i="6"/>
  <c r="K356" i="6"/>
  <c r="K355" i="6"/>
  <c r="K354" i="6"/>
  <c r="K353" i="6"/>
  <c r="K352" i="6"/>
  <c r="K351" i="6"/>
  <c r="K350" i="6"/>
  <c r="K349" i="6"/>
  <c r="K348" i="6"/>
  <c r="K347" i="6"/>
  <c r="K346" i="6"/>
  <c r="K345" i="6"/>
  <c r="K344" i="6"/>
  <c r="K343" i="6"/>
  <c r="K342" i="6"/>
  <c r="K341" i="6"/>
  <c r="K340" i="6"/>
  <c r="K339" i="6"/>
  <c r="K338" i="6"/>
  <c r="K337" i="6"/>
  <c r="K336" i="6"/>
  <c r="K335" i="6"/>
  <c r="K334" i="6"/>
  <c r="K333" i="6"/>
  <c r="K332" i="6"/>
  <c r="K331" i="6"/>
  <c r="K330" i="6"/>
  <c r="K329" i="6"/>
  <c r="K328" i="6"/>
  <c r="K327" i="6"/>
  <c r="K326" i="6"/>
  <c r="K325" i="6"/>
  <c r="K324" i="6"/>
  <c r="K323" i="6"/>
  <c r="K322" i="6"/>
  <c r="K321" i="6"/>
  <c r="K320" i="6"/>
  <c r="K319" i="6"/>
  <c r="K318" i="6"/>
  <c r="K317" i="6"/>
  <c r="K316" i="6"/>
  <c r="K315" i="6"/>
  <c r="K314" i="6"/>
  <c r="K313" i="6"/>
  <c r="K312" i="6"/>
  <c r="K311" i="6"/>
  <c r="K310" i="6"/>
  <c r="K309" i="6"/>
  <c r="K308" i="6"/>
  <c r="K307" i="6"/>
  <c r="K306" i="6"/>
  <c r="K305" i="6"/>
  <c r="K304" i="6"/>
  <c r="K303" i="6"/>
  <c r="K302" i="6"/>
  <c r="K301" i="6"/>
  <c r="K300" i="6"/>
  <c r="K299" i="6"/>
  <c r="K298" i="6"/>
  <c r="K297" i="6"/>
  <c r="K296" i="6"/>
  <c r="K295" i="6"/>
  <c r="K294" i="6"/>
  <c r="K293" i="6"/>
  <c r="K292" i="6"/>
  <c r="K291" i="6"/>
  <c r="K290" i="6"/>
  <c r="K289" i="6"/>
  <c r="K288" i="6"/>
  <c r="K287" i="6"/>
  <c r="K286" i="6"/>
  <c r="K285" i="6"/>
  <c r="K284" i="6"/>
  <c r="K283" i="6"/>
  <c r="K282" i="6"/>
  <c r="K281" i="6"/>
  <c r="K280" i="6"/>
  <c r="K279" i="6"/>
  <c r="K278" i="6"/>
  <c r="K277" i="6"/>
  <c r="K276" i="6"/>
  <c r="K275" i="6"/>
  <c r="K274" i="6"/>
  <c r="K273" i="6"/>
  <c r="K272" i="6"/>
  <c r="K271" i="6"/>
  <c r="K270" i="6"/>
  <c r="K269" i="6"/>
  <c r="K268" i="6"/>
  <c r="K267" i="6"/>
  <c r="K266" i="6"/>
  <c r="K265" i="6"/>
  <c r="K264" i="6"/>
  <c r="K263" i="6"/>
  <c r="K262" i="6"/>
  <c r="K261" i="6"/>
  <c r="K260" i="6"/>
  <c r="K259" i="6"/>
  <c r="K258" i="6"/>
  <c r="K257" i="6"/>
  <c r="K256" i="6"/>
  <c r="K255" i="6"/>
  <c r="K254" i="6"/>
  <c r="K253" i="6"/>
  <c r="K252" i="6"/>
  <c r="K251" i="6"/>
  <c r="K250" i="6"/>
  <c r="K249" i="6"/>
  <c r="K248" i="6"/>
  <c r="K247" i="6"/>
  <c r="K246" i="6"/>
  <c r="K245" i="6"/>
  <c r="K244" i="6"/>
  <c r="K243" i="6"/>
  <c r="K242" i="6"/>
  <c r="K241" i="6"/>
  <c r="K240" i="6"/>
  <c r="K239" i="6"/>
  <c r="K238" i="6"/>
  <c r="K237" i="6"/>
  <c r="K236" i="6"/>
  <c r="K235" i="6"/>
  <c r="K234" i="6"/>
  <c r="K233" i="6"/>
  <c r="K232" i="6"/>
  <c r="K231" i="6"/>
  <c r="K230" i="6"/>
  <c r="K229" i="6"/>
  <c r="K228" i="6"/>
  <c r="K227" i="6"/>
  <c r="K226" i="6"/>
  <c r="K225" i="6"/>
  <c r="K224" i="6"/>
  <c r="K223" i="6"/>
  <c r="K222" i="6"/>
  <c r="K221" i="6"/>
  <c r="K220" i="6"/>
  <c r="K219" i="6"/>
  <c r="K218" i="6"/>
  <c r="K217" i="6"/>
  <c r="K216" i="6"/>
  <c r="K215" i="6"/>
  <c r="K214" i="6"/>
  <c r="K213" i="6"/>
  <c r="K212" i="6"/>
  <c r="K211" i="6"/>
  <c r="K210" i="6"/>
  <c r="K209" i="6"/>
  <c r="K208" i="6"/>
  <c r="K207" i="6"/>
  <c r="K206" i="6"/>
  <c r="K205" i="6"/>
  <c r="K204" i="6"/>
  <c r="K203" i="6"/>
  <c r="K202" i="6"/>
  <c r="K201" i="6"/>
  <c r="K200" i="6"/>
  <c r="K199" i="6"/>
  <c r="K198" i="6"/>
  <c r="K197" i="6"/>
  <c r="K196" i="6"/>
  <c r="K195" i="6"/>
  <c r="K194" i="6"/>
  <c r="K193" i="6"/>
  <c r="K192" i="6"/>
  <c r="K191" i="6"/>
  <c r="K190" i="6"/>
  <c r="K189" i="6"/>
  <c r="K188" i="6"/>
  <c r="K187" i="6"/>
  <c r="K186" i="6"/>
  <c r="K185" i="6"/>
  <c r="K184" i="6"/>
  <c r="K183" i="6"/>
  <c r="K182" i="6"/>
  <c r="K181" i="6"/>
  <c r="K180" i="6"/>
  <c r="K179" i="6"/>
  <c r="K178" i="6"/>
  <c r="K177" i="6"/>
  <c r="K176" i="6"/>
  <c r="K175" i="6"/>
  <c r="K174" i="6"/>
  <c r="K173" i="6"/>
  <c r="K172" i="6"/>
  <c r="K171" i="6"/>
  <c r="K170" i="6"/>
  <c r="K169" i="6"/>
  <c r="K168" i="6"/>
  <c r="K167" i="6"/>
  <c r="K166" i="6"/>
  <c r="K165" i="6"/>
  <c r="K164" i="6"/>
  <c r="K163" i="6"/>
  <c r="K162" i="6"/>
  <c r="K161" i="6"/>
  <c r="K160" i="6"/>
  <c r="K159" i="6"/>
  <c r="K158" i="6"/>
  <c r="K157" i="6"/>
  <c r="K156" i="6"/>
  <c r="K155" i="6"/>
  <c r="K154" i="6"/>
  <c r="K153" i="6"/>
  <c r="K152" i="6"/>
  <c r="K151" i="6"/>
  <c r="K150" i="6"/>
  <c r="K149" i="6"/>
  <c r="K148" i="6"/>
  <c r="K147" i="6"/>
  <c r="K146" i="6"/>
  <c r="K145" i="6"/>
  <c r="K144" i="6"/>
  <c r="K143" i="6"/>
  <c r="K142" i="6"/>
  <c r="K141" i="6"/>
  <c r="K140" i="6"/>
  <c r="K139" i="6"/>
  <c r="K138" i="6"/>
  <c r="K137" i="6"/>
  <c r="K136" i="6"/>
  <c r="K135" i="6"/>
  <c r="K134" i="6"/>
  <c r="K133" i="6"/>
  <c r="K132" i="6"/>
  <c r="K131" i="6"/>
  <c r="K130" i="6"/>
  <c r="K129" i="6"/>
  <c r="K128" i="6"/>
  <c r="K127" i="6"/>
  <c r="K126" i="6"/>
  <c r="K125" i="6"/>
  <c r="K124" i="6"/>
  <c r="K123" i="6"/>
  <c r="K122" i="6"/>
  <c r="K121" i="6"/>
  <c r="K120" i="6"/>
  <c r="K119" i="6"/>
  <c r="K118" i="6"/>
  <c r="K117" i="6"/>
  <c r="K116" i="6"/>
  <c r="K115" i="6"/>
  <c r="K114" i="6"/>
  <c r="K113" i="6"/>
  <c r="K112" i="6"/>
  <c r="K111" i="6"/>
  <c r="K110" i="6"/>
  <c r="K109" i="6"/>
  <c r="K108" i="6"/>
  <c r="K107" i="6"/>
  <c r="K106" i="6"/>
  <c r="K105" i="6"/>
  <c r="K104" i="6"/>
  <c r="K103" i="6"/>
  <c r="K102" i="6"/>
  <c r="K101" i="6"/>
  <c r="K100" i="6"/>
  <c r="K99" i="6"/>
  <c r="K98" i="6"/>
  <c r="K97" i="6"/>
  <c r="K96" i="6"/>
  <c r="K95" i="6"/>
  <c r="K94" i="6"/>
  <c r="K93" i="6"/>
  <c r="K92" i="6"/>
  <c r="K91" i="6"/>
  <c r="K90" i="6"/>
  <c r="K89" i="6"/>
  <c r="K88" i="6"/>
  <c r="K87" i="6"/>
  <c r="K86" i="6"/>
  <c r="K85" i="6"/>
  <c r="K84" i="6"/>
  <c r="K83" i="6"/>
  <c r="K82" i="6"/>
  <c r="K81" i="6"/>
  <c r="K80" i="6"/>
  <c r="K79" i="6"/>
  <c r="K78" i="6"/>
  <c r="K77" i="6"/>
  <c r="K76" i="6"/>
  <c r="K75" i="6"/>
  <c r="K74" i="6"/>
  <c r="K73" i="6"/>
  <c r="K72" i="6"/>
  <c r="K71" i="6"/>
  <c r="K70" i="6"/>
  <c r="K69" i="6"/>
  <c r="K68" i="6"/>
  <c r="K67" i="6"/>
  <c r="K66" i="6"/>
  <c r="K65" i="6"/>
  <c r="K64" i="6"/>
  <c r="K63" i="6"/>
  <c r="K62" i="6"/>
  <c r="K61" i="6"/>
  <c r="K60" i="6"/>
  <c r="K59" i="6"/>
  <c r="K58" i="6"/>
  <c r="K57" i="6"/>
  <c r="K56" i="6"/>
  <c r="K55" i="6"/>
  <c r="K54" i="6"/>
  <c r="K53" i="6"/>
  <c r="K52" i="6"/>
  <c r="K51" i="6"/>
  <c r="K50" i="6"/>
  <c r="K49" i="6"/>
  <c r="K48" i="6"/>
  <c r="K47" i="6"/>
  <c r="K46" i="6"/>
  <c r="K45" i="6"/>
  <c r="K44" i="6"/>
  <c r="K43" i="6"/>
  <c r="K42" i="6"/>
  <c r="K41" i="6"/>
  <c r="K40" i="6"/>
  <c r="K39" i="6"/>
  <c r="K38" i="6"/>
  <c r="K37" i="6"/>
  <c r="K36" i="6"/>
  <c r="K35" i="6"/>
  <c r="E35" i="6" a="1"/>
  <c r="E35" i="6" s="1"/>
  <c r="K34" i="6"/>
  <c r="E34" i="6" a="1"/>
  <c r="E34" i="6" s="1"/>
  <c r="K33" i="6"/>
  <c r="E33" i="6" a="1"/>
  <c r="E33" i="6" s="1"/>
  <c r="K32" i="6"/>
  <c r="E32" i="6" a="1"/>
  <c r="E32" i="6" s="1"/>
  <c r="K31" i="6"/>
  <c r="E31" i="6" a="1"/>
  <c r="E31" i="6" s="1"/>
  <c r="K30" i="6"/>
  <c r="E30" i="6" a="1"/>
  <c r="E30" i="6" s="1"/>
  <c r="K29" i="6"/>
  <c r="E29" i="6" a="1"/>
  <c r="E29" i="6" s="1"/>
  <c r="K28" i="6"/>
  <c r="E28" i="6"/>
  <c r="E28" i="6" a="1"/>
  <c r="K27" i="6"/>
  <c r="E27" i="6" a="1"/>
  <c r="E27" i="6" s="1"/>
  <c r="K26" i="6"/>
  <c r="E26" i="6"/>
  <c r="E26" i="6" a="1"/>
  <c r="K25" i="6"/>
  <c r="E25" i="6" a="1"/>
  <c r="E25" i="6" s="1"/>
  <c r="K24" i="6"/>
  <c r="E24" i="6"/>
  <c r="E24" i="6" a="1"/>
  <c r="K23" i="6"/>
  <c r="E23" i="6" a="1"/>
  <c r="E23" i="6" s="1"/>
  <c r="K22" i="6"/>
  <c r="E22" i="6"/>
  <c r="E22" i="6" a="1"/>
  <c r="K21" i="6"/>
  <c r="E21" i="6" a="1"/>
  <c r="E21" i="6" s="1"/>
  <c r="K20" i="6"/>
  <c r="E20" i="6"/>
  <c r="E20" i="6" a="1"/>
  <c r="K19" i="6"/>
  <c r="E19" i="6" a="1"/>
  <c r="E19" i="6" s="1"/>
  <c r="K18" i="6"/>
  <c r="E18" i="6" a="1"/>
  <c r="E18" i="6" s="1"/>
  <c r="K17" i="6"/>
  <c r="E17" i="6" a="1"/>
  <c r="E17" i="6" s="1"/>
  <c r="K16" i="6"/>
  <c r="E16" i="6"/>
  <c r="E16" i="6" a="1"/>
  <c r="K15" i="6"/>
  <c r="E15" i="6" a="1"/>
  <c r="E15" i="6" s="1"/>
  <c r="K14" i="6"/>
  <c r="E14" i="6" a="1"/>
  <c r="E14" i="6" s="1"/>
  <c r="K13" i="6"/>
  <c r="E13" i="6" a="1"/>
  <c r="E13" i="6" s="1"/>
  <c r="K12" i="6"/>
  <c r="E12" i="6" a="1"/>
  <c r="E12" i="6" s="1"/>
  <c r="K11" i="6"/>
  <c r="E11" i="6" a="1"/>
  <c r="E11" i="6" s="1"/>
  <c r="K10" i="6"/>
  <c r="E10" i="6" a="1"/>
  <c r="E10" i="6" s="1"/>
  <c r="K9" i="6"/>
  <c r="E9" i="6" a="1"/>
  <c r="E9" i="6" s="1"/>
  <c r="K8" i="6"/>
  <c r="E8" i="6" a="1"/>
  <c r="E8" i="6" s="1"/>
  <c r="K7" i="6"/>
  <c r="E7" i="6" a="1"/>
  <c r="E7" i="6" s="1"/>
  <c r="K6" i="6"/>
  <c r="E6" i="6" a="1"/>
  <c r="E6" i="6" s="1"/>
  <c r="K5" i="6"/>
  <c r="E5" i="6" a="1"/>
  <c r="E5" i="6" s="1"/>
  <c r="K4" i="6"/>
  <c r="E4" i="6"/>
  <c r="E4" i="6" a="1"/>
  <c r="K3" i="6"/>
  <c r="E3" i="6" a="1"/>
  <c r="E3" i="6" s="1"/>
  <c r="K2" i="6"/>
  <c r="E2" i="6" a="1"/>
  <c r="E2" i="6" s="1"/>
  <c r="E2" i="5" l="1" a="1"/>
  <c r="E2" i="5" s="1"/>
  <c r="E3" i="5" a="1"/>
  <c r="E3" i="5" s="1"/>
  <c r="P611" i="5"/>
  <c r="P610" i="5"/>
  <c r="P609" i="5"/>
  <c r="P608" i="5"/>
  <c r="P607" i="5"/>
  <c r="P606" i="5"/>
  <c r="P605" i="5"/>
  <c r="P604" i="5"/>
  <c r="P603" i="5"/>
  <c r="P602" i="5"/>
  <c r="P601" i="5"/>
  <c r="P600" i="5"/>
  <c r="P599" i="5"/>
  <c r="P598" i="5"/>
  <c r="P597" i="5"/>
  <c r="P596" i="5"/>
  <c r="P595" i="5"/>
  <c r="P594" i="5"/>
  <c r="P593" i="5"/>
  <c r="P592" i="5"/>
  <c r="P591" i="5"/>
  <c r="P590" i="5"/>
  <c r="P589" i="5"/>
  <c r="P588" i="5"/>
  <c r="P587" i="5"/>
  <c r="P586" i="5"/>
  <c r="P585" i="5"/>
  <c r="P584" i="5"/>
  <c r="P583" i="5"/>
  <c r="P582" i="5"/>
  <c r="P581" i="5"/>
  <c r="P580" i="5"/>
  <c r="P579" i="5"/>
  <c r="P578" i="5"/>
  <c r="P577" i="5"/>
  <c r="P576" i="5"/>
  <c r="P575" i="5"/>
  <c r="P574" i="5"/>
  <c r="P573" i="5"/>
  <c r="P572" i="5"/>
  <c r="P571" i="5"/>
  <c r="P570" i="5"/>
  <c r="P569" i="5"/>
  <c r="P568" i="5"/>
  <c r="P567" i="5"/>
  <c r="P566" i="5"/>
  <c r="P565" i="5"/>
  <c r="P564" i="5"/>
  <c r="P563" i="5"/>
  <c r="P562" i="5"/>
  <c r="P561" i="5"/>
  <c r="P560" i="5"/>
  <c r="P559" i="5"/>
  <c r="P558" i="5"/>
  <c r="P557" i="5"/>
  <c r="P556" i="5"/>
  <c r="P555" i="5"/>
  <c r="P554" i="5"/>
  <c r="P553" i="5"/>
  <c r="P552" i="5"/>
  <c r="P551" i="5"/>
  <c r="P550" i="5"/>
  <c r="P549" i="5"/>
  <c r="P548" i="5"/>
  <c r="P547" i="5"/>
  <c r="P546" i="5"/>
  <c r="P545" i="5"/>
  <c r="P544" i="5"/>
  <c r="P543" i="5"/>
  <c r="P542" i="5"/>
  <c r="P541" i="5"/>
  <c r="P540" i="5"/>
  <c r="P539" i="5"/>
  <c r="P538" i="5"/>
  <c r="P537" i="5"/>
  <c r="P536" i="5"/>
  <c r="P535" i="5"/>
  <c r="P534" i="5"/>
  <c r="P533" i="5"/>
  <c r="P532" i="5"/>
  <c r="P531" i="5"/>
  <c r="P530" i="5"/>
  <c r="P529" i="5"/>
  <c r="P528" i="5"/>
  <c r="P527" i="5"/>
  <c r="P526" i="5"/>
  <c r="P525" i="5"/>
  <c r="P524" i="5"/>
  <c r="P523" i="5"/>
  <c r="P522" i="5"/>
  <c r="P521" i="5"/>
  <c r="P520" i="5"/>
  <c r="P519" i="5"/>
  <c r="P518" i="5"/>
  <c r="P517" i="5"/>
  <c r="P516" i="5"/>
  <c r="P515" i="5"/>
  <c r="P514" i="5"/>
  <c r="P513" i="5"/>
  <c r="P512" i="5"/>
  <c r="P511" i="5"/>
  <c r="P510" i="5"/>
  <c r="P509" i="5"/>
  <c r="P508" i="5"/>
  <c r="P507" i="5"/>
  <c r="P506" i="5"/>
  <c r="P505" i="5"/>
  <c r="P504" i="5"/>
  <c r="P503" i="5"/>
  <c r="P502" i="5"/>
  <c r="P501" i="5"/>
  <c r="P500" i="5"/>
  <c r="P499" i="5"/>
  <c r="P498" i="5"/>
  <c r="P497" i="5"/>
  <c r="P496" i="5"/>
  <c r="P495" i="5"/>
  <c r="P494" i="5"/>
  <c r="P493" i="5"/>
  <c r="P492" i="5"/>
  <c r="P491" i="5"/>
  <c r="P490" i="5"/>
  <c r="P489" i="5"/>
  <c r="P488" i="5"/>
  <c r="P487" i="5"/>
  <c r="P486" i="5"/>
  <c r="P485" i="5"/>
  <c r="P484" i="5"/>
  <c r="P483" i="5"/>
  <c r="P482" i="5"/>
  <c r="P481" i="5"/>
  <c r="P480" i="5"/>
  <c r="P479" i="5"/>
  <c r="P478" i="5"/>
  <c r="P477" i="5"/>
  <c r="P476" i="5"/>
  <c r="P475" i="5"/>
  <c r="P474" i="5"/>
  <c r="P473" i="5"/>
  <c r="P472" i="5"/>
  <c r="P471" i="5"/>
  <c r="P470" i="5"/>
  <c r="P469" i="5"/>
  <c r="P468" i="5"/>
  <c r="P467" i="5"/>
  <c r="P466" i="5"/>
  <c r="P465" i="5"/>
  <c r="P464" i="5"/>
  <c r="P463" i="5"/>
  <c r="P462" i="5"/>
  <c r="P461" i="5"/>
  <c r="P460" i="5"/>
  <c r="P459" i="5"/>
  <c r="P458" i="5"/>
  <c r="P457" i="5"/>
  <c r="P456" i="5"/>
  <c r="P455" i="5"/>
  <c r="P454" i="5"/>
  <c r="P453" i="5"/>
  <c r="P452" i="5"/>
  <c r="P451" i="5"/>
  <c r="P450" i="5"/>
  <c r="P449" i="5"/>
  <c r="P448" i="5"/>
  <c r="P447" i="5"/>
  <c r="P446" i="5"/>
  <c r="P445" i="5"/>
  <c r="P444" i="5"/>
  <c r="P443" i="5"/>
  <c r="P442" i="5"/>
  <c r="P441" i="5"/>
  <c r="P440" i="5"/>
  <c r="P439" i="5"/>
  <c r="P438" i="5"/>
  <c r="P437" i="5"/>
  <c r="P436" i="5"/>
  <c r="P435" i="5"/>
  <c r="P434" i="5"/>
  <c r="P433" i="5"/>
  <c r="P432" i="5"/>
  <c r="P431" i="5"/>
  <c r="P430" i="5"/>
  <c r="P429" i="5"/>
  <c r="P428" i="5"/>
  <c r="P427" i="5"/>
  <c r="P426" i="5"/>
  <c r="P425" i="5"/>
  <c r="P424" i="5"/>
  <c r="P423" i="5"/>
  <c r="P422" i="5"/>
  <c r="P421" i="5"/>
  <c r="P420" i="5"/>
  <c r="P419" i="5"/>
  <c r="P418" i="5"/>
  <c r="P417" i="5"/>
  <c r="P416" i="5"/>
  <c r="P415" i="5"/>
  <c r="P414" i="5"/>
  <c r="P413" i="5"/>
  <c r="P412" i="5"/>
  <c r="P411" i="5"/>
  <c r="P410" i="5"/>
  <c r="P409" i="5"/>
  <c r="P408" i="5"/>
  <c r="P407" i="5"/>
  <c r="P406" i="5"/>
  <c r="P405" i="5"/>
  <c r="P404" i="5"/>
  <c r="P403" i="5"/>
  <c r="P402" i="5"/>
  <c r="P401" i="5"/>
  <c r="P400" i="5"/>
  <c r="P399" i="5"/>
  <c r="P398" i="5"/>
  <c r="P397" i="5"/>
  <c r="P396" i="5"/>
  <c r="P395" i="5"/>
  <c r="P394" i="5"/>
  <c r="P393" i="5"/>
  <c r="P392" i="5"/>
  <c r="P391" i="5"/>
  <c r="P390" i="5"/>
  <c r="P389" i="5"/>
  <c r="P388" i="5"/>
  <c r="P387" i="5"/>
  <c r="P386" i="5"/>
  <c r="P385" i="5"/>
  <c r="P384" i="5"/>
  <c r="P383" i="5"/>
  <c r="P382" i="5"/>
  <c r="P381" i="5"/>
  <c r="P380" i="5"/>
  <c r="P379" i="5"/>
  <c r="P378" i="5"/>
  <c r="P377" i="5"/>
  <c r="P376" i="5"/>
  <c r="P375" i="5"/>
  <c r="P374" i="5"/>
  <c r="P373" i="5"/>
  <c r="P372" i="5"/>
  <c r="P371" i="5"/>
  <c r="P370" i="5"/>
  <c r="P369" i="5"/>
  <c r="P368" i="5"/>
  <c r="P367" i="5"/>
  <c r="P366" i="5"/>
  <c r="P365" i="5"/>
  <c r="P364" i="5"/>
  <c r="P363" i="5"/>
  <c r="P362" i="5"/>
  <c r="P361" i="5"/>
  <c r="P360" i="5"/>
  <c r="P359" i="5"/>
  <c r="P358" i="5"/>
  <c r="P357" i="5"/>
  <c r="P356" i="5"/>
  <c r="P355" i="5"/>
  <c r="P354" i="5"/>
  <c r="P353" i="5"/>
  <c r="P352" i="5"/>
  <c r="P351" i="5"/>
  <c r="P350" i="5"/>
  <c r="P349" i="5"/>
  <c r="P348" i="5"/>
  <c r="P347" i="5"/>
  <c r="P346" i="5"/>
  <c r="P345" i="5"/>
  <c r="P344" i="5"/>
  <c r="P343" i="5"/>
  <c r="P342" i="5"/>
  <c r="P341" i="5"/>
  <c r="P340" i="5"/>
  <c r="P339" i="5"/>
  <c r="P338" i="5"/>
  <c r="P337" i="5"/>
  <c r="P336" i="5"/>
  <c r="P335" i="5"/>
  <c r="P334" i="5"/>
  <c r="P333" i="5"/>
  <c r="P332" i="5"/>
  <c r="P331" i="5"/>
  <c r="P330" i="5"/>
  <c r="P329" i="5"/>
  <c r="P328" i="5"/>
  <c r="P327" i="5"/>
  <c r="P326" i="5"/>
  <c r="P325" i="5"/>
  <c r="P324" i="5"/>
  <c r="P323" i="5"/>
  <c r="P322" i="5"/>
  <c r="P321" i="5"/>
  <c r="P320" i="5"/>
  <c r="P319" i="5"/>
  <c r="P318" i="5"/>
  <c r="P317" i="5"/>
  <c r="P316" i="5"/>
  <c r="P315" i="5"/>
  <c r="P314" i="5"/>
  <c r="P313" i="5"/>
  <c r="P312" i="5"/>
  <c r="P311" i="5"/>
  <c r="P310" i="5"/>
  <c r="P309" i="5"/>
  <c r="P308" i="5"/>
  <c r="P307" i="5"/>
  <c r="P306" i="5"/>
  <c r="P305" i="5"/>
  <c r="P304" i="5"/>
  <c r="P303" i="5"/>
  <c r="P302" i="5"/>
  <c r="P301" i="5"/>
  <c r="P300" i="5"/>
  <c r="P299" i="5"/>
  <c r="P298" i="5"/>
  <c r="P297" i="5"/>
  <c r="P296" i="5"/>
  <c r="P295" i="5"/>
  <c r="P294" i="5"/>
  <c r="P293" i="5"/>
  <c r="P292" i="5"/>
  <c r="P291" i="5"/>
  <c r="P290" i="5"/>
  <c r="P289" i="5"/>
  <c r="P288" i="5"/>
  <c r="P287" i="5"/>
  <c r="P286" i="5"/>
  <c r="P285" i="5"/>
  <c r="P284" i="5"/>
  <c r="P283" i="5"/>
  <c r="P282" i="5"/>
  <c r="P281" i="5"/>
  <c r="P280" i="5"/>
  <c r="P279" i="5"/>
  <c r="P278" i="5"/>
  <c r="P277" i="5"/>
  <c r="P276" i="5"/>
  <c r="P275" i="5"/>
  <c r="P274" i="5"/>
  <c r="P273" i="5"/>
  <c r="P272" i="5"/>
  <c r="P271" i="5"/>
  <c r="P270" i="5"/>
  <c r="P269" i="5"/>
  <c r="P268" i="5"/>
  <c r="P267" i="5"/>
  <c r="P266" i="5"/>
  <c r="P265" i="5"/>
  <c r="P264" i="5"/>
  <c r="P263" i="5"/>
  <c r="P262" i="5"/>
  <c r="P261" i="5"/>
  <c r="P260" i="5"/>
  <c r="P259" i="5"/>
  <c r="P258" i="5"/>
  <c r="P257" i="5"/>
  <c r="P256" i="5"/>
  <c r="P255" i="5"/>
  <c r="P254" i="5"/>
  <c r="P253" i="5"/>
  <c r="P252" i="5"/>
  <c r="P251" i="5"/>
  <c r="P250" i="5"/>
  <c r="P249" i="5"/>
  <c r="P248" i="5"/>
  <c r="P247" i="5"/>
  <c r="P246" i="5"/>
  <c r="P245" i="5"/>
  <c r="P244" i="5"/>
  <c r="P243" i="5"/>
  <c r="P242" i="5"/>
  <c r="P241" i="5"/>
  <c r="P240" i="5"/>
  <c r="P239" i="5"/>
  <c r="P238" i="5"/>
  <c r="P237" i="5"/>
  <c r="P236" i="5"/>
  <c r="P235" i="5"/>
  <c r="P234" i="5"/>
  <c r="P233" i="5"/>
  <c r="P232" i="5"/>
  <c r="P231" i="5"/>
  <c r="P230" i="5"/>
  <c r="P229" i="5"/>
  <c r="P228" i="5"/>
  <c r="P227" i="5"/>
  <c r="P226" i="5"/>
  <c r="P225" i="5"/>
  <c r="P224" i="5"/>
  <c r="P223" i="5"/>
  <c r="P222" i="5"/>
  <c r="P221" i="5"/>
  <c r="P220" i="5"/>
  <c r="P219" i="5"/>
  <c r="P218" i="5"/>
  <c r="P217" i="5"/>
  <c r="P216" i="5"/>
  <c r="P215" i="5"/>
  <c r="P214" i="5"/>
  <c r="P213" i="5"/>
  <c r="P212" i="5"/>
  <c r="P211" i="5"/>
  <c r="P210" i="5"/>
  <c r="P209" i="5"/>
  <c r="P208" i="5"/>
  <c r="P207" i="5"/>
  <c r="P206" i="5"/>
  <c r="P205" i="5"/>
  <c r="P204" i="5"/>
  <c r="P203" i="5"/>
  <c r="P202" i="5"/>
  <c r="P201" i="5"/>
  <c r="P200" i="5"/>
  <c r="P199" i="5"/>
  <c r="P198" i="5"/>
  <c r="P197" i="5"/>
  <c r="P196" i="5"/>
  <c r="P195" i="5"/>
  <c r="P194" i="5"/>
  <c r="P193" i="5"/>
  <c r="P192" i="5"/>
  <c r="P191" i="5"/>
  <c r="P190" i="5"/>
  <c r="P189" i="5"/>
  <c r="P188" i="5"/>
  <c r="P187" i="5"/>
  <c r="P186" i="5"/>
  <c r="P185" i="5"/>
  <c r="P184" i="5"/>
  <c r="P183" i="5"/>
  <c r="P182" i="5"/>
  <c r="P181" i="5"/>
  <c r="P180" i="5"/>
  <c r="P179" i="5"/>
  <c r="P178" i="5"/>
  <c r="P177" i="5"/>
  <c r="P176" i="5"/>
  <c r="P175" i="5"/>
  <c r="P174" i="5"/>
  <c r="P173" i="5"/>
  <c r="P172" i="5"/>
  <c r="P171" i="5"/>
  <c r="P170" i="5"/>
  <c r="P169" i="5"/>
  <c r="P168" i="5"/>
  <c r="P167" i="5"/>
  <c r="P166" i="5"/>
  <c r="P165" i="5"/>
  <c r="P164" i="5"/>
  <c r="P163" i="5"/>
  <c r="P162" i="5"/>
  <c r="P161" i="5"/>
  <c r="P160" i="5"/>
  <c r="P159" i="5"/>
  <c r="P158" i="5"/>
  <c r="P157" i="5"/>
  <c r="P156" i="5"/>
  <c r="P155" i="5"/>
  <c r="P154" i="5"/>
  <c r="P153" i="5"/>
  <c r="P152" i="5"/>
  <c r="P151" i="5"/>
  <c r="P150" i="5"/>
  <c r="P149" i="5"/>
  <c r="P148" i="5"/>
  <c r="P147" i="5"/>
  <c r="P146" i="5"/>
  <c r="P145" i="5"/>
  <c r="P144" i="5"/>
  <c r="P143" i="5"/>
  <c r="P142" i="5"/>
  <c r="P141" i="5"/>
  <c r="P140" i="5"/>
  <c r="P139" i="5"/>
  <c r="P138" i="5"/>
  <c r="P137" i="5"/>
  <c r="P136" i="5"/>
  <c r="P135" i="5"/>
  <c r="P134" i="5"/>
  <c r="P133" i="5"/>
  <c r="P132" i="5"/>
  <c r="P131" i="5"/>
  <c r="P130" i="5"/>
  <c r="P129" i="5"/>
  <c r="P128" i="5"/>
  <c r="P127" i="5"/>
  <c r="P126" i="5"/>
  <c r="P125" i="5"/>
  <c r="P124" i="5"/>
  <c r="P123" i="5"/>
  <c r="P122" i="5"/>
  <c r="P121" i="5"/>
  <c r="P120" i="5"/>
  <c r="P119" i="5"/>
  <c r="P118" i="5"/>
  <c r="P117" i="5"/>
  <c r="P116" i="5"/>
  <c r="P115" i="5"/>
  <c r="P114" i="5"/>
  <c r="P113" i="5"/>
  <c r="P112" i="5"/>
  <c r="P111" i="5"/>
  <c r="P110" i="5"/>
  <c r="P109" i="5"/>
  <c r="P108" i="5"/>
  <c r="P107" i="5"/>
  <c r="P106" i="5"/>
  <c r="P105" i="5"/>
  <c r="P104" i="5"/>
  <c r="P103" i="5"/>
  <c r="P102" i="5"/>
  <c r="P101" i="5"/>
  <c r="P100" i="5"/>
  <c r="P99" i="5"/>
  <c r="P98" i="5"/>
  <c r="P97" i="5"/>
  <c r="P96" i="5"/>
  <c r="P95" i="5"/>
  <c r="P94" i="5"/>
  <c r="P93" i="5"/>
  <c r="P92" i="5"/>
  <c r="P91" i="5"/>
  <c r="P90" i="5"/>
  <c r="P89" i="5"/>
  <c r="P88" i="5"/>
  <c r="P87" i="5"/>
  <c r="P86" i="5"/>
  <c r="P85" i="5"/>
  <c r="P84" i="5"/>
  <c r="P83" i="5"/>
  <c r="P82" i="5"/>
  <c r="P81" i="5"/>
  <c r="P80" i="5"/>
  <c r="P79" i="5"/>
  <c r="P78" i="5"/>
  <c r="P77" i="5"/>
  <c r="P76" i="5"/>
  <c r="P75" i="5"/>
  <c r="P74" i="5"/>
  <c r="P73" i="5"/>
  <c r="P72" i="5"/>
  <c r="P71" i="5"/>
  <c r="P70" i="5"/>
  <c r="P69" i="5"/>
  <c r="P68" i="5"/>
  <c r="P67" i="5"/>
  <c r="P66" i="5"/>
  <c r="P65" i="5"/>
  <c r="P64" i="5"/>
  <c r="P63" i="5"/>
  <c r="P62" i="5"/>
  <c r="P61" i="5"/>
  <c r="P60" i="5"/>
  <c r="P59" i="5"/>
  <c r="P58" i="5"/>
  <c r="P57" i="5"/>
  <c r="P56" i="5"/>
  <c r="P55" i="5"/>
  <c r="P54" i="5"/>
  <c r="P53" i="5"/>
  <c r="P52" i="5"/>
  <c r="P51" i="5"/>
  <c r="P50" i="5"/>
  <c r="P49" i="5"/>
  <c r="P48" i="5"/>
  <c r="P47" i="5"/>
  <c r="P46" i="5"/>
  <c r="P45" i="5"/>
  <c r="P44" i="5"/>
  <c r="P43" i="5"/>
  <c r="P42" i="5"/>
  <c r="P41" i="5"/>
  <c r="P40" i="5"/>
  <c r="P39" i="5"/>
  <c r="P38" i="5"/>
  <c r="P37" i="5"/>
  <c r="P36" i="5"/>
  <c r="P35" i="5"/>
  <c r="E35" i="5" a="1"/>
  <c r="E35" i="5" s="1"/>
  <c r="P34" i="5"/>
  <c r="E34" i="5" a="1"/>
  <c r="E34" i="5" s="1"/>
  <c r="P33" i="5"/>
  <c r="E33" i="5" a="1"/>
  <c r="E33" i="5" s="1"/>
  <c r="P32" i="5"/>
  <c r="E32" i="5" a="1"/>
  <c r="E32" i="5" s="1"/>
  <c r="P31" i="5"/>
  <c r="E31" i="5" a="1"/>
  <c r="E31" i="5" s="1"/>
  <c r="P30" i="5"/>
  <c r="E30" i="5" a="1"/>
  <c r="E30" i="5" s="1"/>
  <c r="P29" i="5"/>
  <c r="E29" i="5" a="1"/>
  <c r="E29" i="5" s="1"/>
  <c r="P28" i="5"/>
  <c r="E28" i="5" a="1"/>
  <c r="E28" i="5" s="1"/>
  <c r="P27" i="5"/>
  <c r="E27" i="5" a="1"/>
  <c r="E27" i="5" s="1"/>
  <c r="P26" i="5"/>
  <c r="E26" i="5" a="1"/>
  <c r="E26" i="5" s="1"/>
  <c r="P25" i="5"/>
  <c r="E25" i="5" a="1"/>
  <c r="E25" i="5" s="1"/>
  <c r="P24" i="5"/>
  <c r="E24" i="5" a="1"/>
  <c r="E24" i="5" s="1"/>
  <c r="P23" i="5"/>
  <c r="E23" i="5" a="1"/>
  <c r="E23" i="5" s="1"/>
  <c r="P22" i="5"/>
  <c r="E22" i="5" a="1"/>
  <c r="E22" i="5" s="1"/>
  <c r="P21" i="5"/>
  <c r="E21" i="5" a="1"/>
  <c r="E21" i="5" s="1"/>
  <c r="P20" i="5"/>
  <c r="E20" i="5" a="1"/>
  <c r="E20" i="5" s="1"/>
  <c r="P19" i="5"/>
  <c r="E19" i="5" a="1"/>
  <c r="E19" i="5" s="1"/>
  <c r="P18" i="5"/>
  <c r="E18" i="5" a="1"/>
  <c r="E18" i="5" s="1"/>
  <c r="P17" i="5"/>
  <c r="E17" i="5" a="1"/>
  <c r="E17" i="5" s="1"/>
  <c r="P16" i="5"/>
  <c r="E16" i="5" a="1"/>
  <c r="E16" i="5" s="1"/>
  <c r="P15" i="5"/>
  <c r="E15" i="5" a="1"/>
  <c r="E15" i="5" s="1"/>
  <c r="P14" i="5"/>
  <c r="E14" i="5" a="1"/>
  <c r="E14" i="5" s="1"/>
  <c r="P13" i="5"/>
  <c r="E13" i="5" a="1"/>
  <c r="E13" i="5" s="1"/>
  <c r="P12" i="5"/>
  <c r="E12" i="5" a="1"/>
  <c r="E12" i="5" s="1"/>
  <c r="P11" i="5"/>
  <c r="E11" i="5" a="1"/>
  <c r="E11" i="5" s="1"/>
  <c r="P10" i="5"/>
  <c r="E10" i="5" a="1"/>
  <c r="E10" i="5" s="1"/>
  <c r="P9" i="5"/>
  <c r="E9" i="5" a="1"/>
  <c r="E9" i="5" s="1"/>
  <c r="P8" i="5"/>
  <c r="E8" i="5" a="1"/>
  <c r="E8" i="5" s="1"/>
  <c r="P7" i="5"/>
  <c r="E7" i="5" a="1"/>
  <c r="E7" i="5" s="1"/>
  <c r="P6" i="5"/>
  <c r="E6" i="5" a="1"/>
  <c r="E6" i="5" s="1"/>
  <c r="P5" i="5"/>
  <c r="E5" i="5" a="1"/>
  <c r="E5" i="5" s="1"/>
  <c r="P4" i="5"/>
  <c r="E4" i="5" a="1"/>
  <c r="E4" i="5" s="1"/>
  <c r="P3" i="5"/>
  <c r="P2" i="5"/>
  <c r="E35" i="3" a="1"/>
  <c r="E35" i="3" s="1"/>
  <c r="E3" i="3" a="1"/>
  <c r="E3" i="3" s="1"/>
  <c r="E4" i="3" a="1"/>
  <c r="E4" i="3" s="1"/>
  <c r="E5" i="3" a="1"/>
  <c r="E5" i="3" s="1"/>
  <c r="E6" i="3" a="1"/>
  <c r="E6" i="3" s="1"/>
  <c r="E7" i="3" a="1"/>
  <c r="E7" i="3" s="1"/>
  <c r="E8" i="3" a="1"/>
  <c r="E8" i="3" s="1"/>
  <c r="E9" i="3" a="1"/>
  <c r="E9" i="3" s="1"/>
  <c r="E10" i="3" a="1"/>
  <c r="E10" i="3" s="1"/>
  <c r="E11" i="3" a="1"/>
  <c r="E11" i="3" s="1"/>
  <c r="E12" i="3" a="1"/>
  <c r="E12" i="3" s="1"/>
  <c r="E13" i="3" a="1"/>
  <c r="E13" i="3" s="1"/>
  <c r="E14" i="3" a="1"/>
  <c r="E14" i="3" s="1"/>
  <c r="E15" i="3" a="1"/>
  <c r="E15" i="3" s="1"/>
  <c r="E16" i="3" a="1"/>
  <c r="E16" i="3" s="1"/>
  <c r="E17" i="3" a="1"/>
  <c r="E17" i="3" s="1"/>
  <c r="E18" i="3" a="1"/>
  <c r="E18" i="3" s="1"/>
  <c r="E19" i="3" a="1"/>
  <c r="E19" i="3" s="1"/>
  <c r="E20" i="3" a="1"/>
  <c r="E20" i="3" s="1"/>
  <c r="E21" i="3" a="1"/>
  <c r="E21" i="3" s="1"/>
  <c r="E22" i="3" a="1"/>
  <c r="E22" i="3" s="1"/>
  <c r="E23" i="3" a="1"/>
  <c r="E23" i="3" s="1"/>
  <c r="E24" i="3" a="1"/>
  <c r="E24" i="3" s="1"/>
  <c r="E25" i="3" a="1"/>
  <c r="E25" i="3" s="1"/>
  <c r="E26" i="3" a="1"/>
  <c r="E26" i="3" s="1"/>
  <c r="E27" i="3" a="1"/>
  <c r="E27" i="3" s="1"/>
  <c r="E28" i="3" a="1"/>
  <c r="E28" i="3" s="1"/>
  <c r="E29" i="3" a="1"/>
  <c r="E29" i="3" s="1"/>
  <c r="E30" i="3" a="1"/>
  <c r="E30" i="3" s="1"/>
  <c r="E31" i="3" a="1"/>
  <c r="E31" i="3" s="1"/>
  <c r="E32" i="3" a="1"/>
  <c r="E32" i="3" s="1"/>
  <c r="E33" i="3" a="1"/>
  <c r="E33" i="3" s="1"/>
  <c r="E34" i="3" a="1"/>
  <c r="E34" i="3" s="1"/>
  <c r="E2" i="3" a="1"/>
  <c r="E2" i="3" s="1"/>
  <c r="N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4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N422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5" i="3"/>
  <c r="N436" i="3"/>
  <c r="N437" i="3"/>
  <c r="N438" i="3"/>
  <c r="N439" i="3"/>
  <c r="N440" i="3"/>
  <c r="N441" i="3"/>
  <c r="N442" i="3"/>
  <c r="N443" i="3"/>
  <c r="N444" i="3"/>
  <c r="N445" i="3"/>
  <c r="N446" i="3"/>
  <c r="N447" i="3"/>
  <c r="N448" i="3"/>
  <c r="N449" i="3"/>
  <c r="N450" i="3"/>
  <c r="N451" i="3"/>
  <c r="N452" i="3"/>
  <c r="N453" i="3"/>
  <c r="N454" i="3"/>
  <c r="N455" i="3"/>
  <c r="N456" i="3"/>
  <c r="N457" i="3"/>
  <c r="N458" i="3"/>
  <c r="N459" i="3"/>
  <c r="N460" i="3"/>
  <c r="N461" i="3"/>
  <c r="N462" i="3"/>
  <c r="N463" i="3"/>
  <c r="N464" i="3"/>
  <c r="N465" i="3"/>
  <c r="N466" i="3"/>
  <c r="N467" i="3"/>
  <c r="N468" i="3"/>
  <c r="N469" i="3"/>
  <c r="N470" i="3"/>
  <c r="N471" i="3"/>
  <c r="N472" i="3"/>
  <c r="N473" i="3"/>
  <c r="N474" i="3"/>
  <c r="N475" i="3"/>
  <c r="N476" i="3"/>
  <c r="N477" i="3"/>
  <c r="N478" i="3"/>
  <c r="N479" i="3"/>
  <c r="N480" i="3"/>
  <c r="N481" i="3"/>
  <c r="N482" i="3"/>
  <c r="N483" i="3"/>
  <c r="N484" i="3"/>
  <c r="N485" i="3"/>
  <c r="N486" i="3"/>
  <c r="N487" i="3"/>
  <c r="N488" i="3"/>
  <c r="N489" i="3"/>
  <c r="N490" i="3"/>
  <c r="N491" i="3"/>
  <c r="N492" i="3"/>
  <c r="N493" i="3"/>
  <c r="N494" i="3"/>
  <c r="N495" i="3"/>
  <c r="N496" i="3"/>
  <c r="N497" i="3"/>
  <c r="N498" i="3"/>
  <c r="N499" i="3"/>
  <c r="N500" i="3"/>
  <c r="N501" i="3"/>
  <c r="N502" i="3"/>
  <c r="N503" i="3"/>
  <c r="N504" i="3"/>
  <c r="N505" i="3"/>
  <c r="N506" i="3"/>
  <c r="N507" i="3"/>
  <c r="N508" i="3"/>
  <c r="N509" i="3"/>
  <c r="N510" i="3"/>
  <c r="N511" i="3"/>
  <c r="N512" i="3"/>
  <c r="N513" i="3"/>
  <c r="N514" i="3"/>
  <c r="N515" i="3"/>
  <c r="N516" i="3"/>
  <c r="N517" i="3"/>
  <c r="N518" i="3"/>
  <c r="N519" i="3"/>
  <c r="N520" i="3"/>
  <c r="N521" i="3"/>
  <c r="N522" i="3"/>
  <c r="N523" i="3"/>
  <c r="N524" i="3"/>
  <c r="N525" i="3"/>
  <c r="N526" i="3"/>
  <c r="N527" i="3"/>
  <c r="N528" i="3"/>
  <c r="N529" i="3"/>
  <c r="N530" i="3"/>
  <c r="N531" i="3"/>
  <c r="N532" i="3"/>
  <c r="N533" i="3"/>
  <c r="N534" i="3"/>
  <c r="N535" i="3"/>
  <c r="N536" i="3"/>
  <c r="N537" i="3"/>
  <c r="N538" i="3"/>
  <c r="N539" i="3"/>
  <c r="N540" i="3"/>
  <c r="N541" i="3"/>
  <c r="N542" i="3"/>
  <c r="N543" i="3"/>
  <c r="N544" i="3"/>
  <c r="N545" i="3"/>
  <c r="N546" i="3"/>
  <c r="N547" i="3"/>
  <c r="N548" i="3"/>
  <c r="N549" i="3"/>
  <c r="N550" i="3"/>
  <c r="N551" i="3"/>
  <c r="N552" i="3"/>
  <c r="N553" i="3"/>
  <c r="N554" i="3"/>
  <c r="N555" i="3"/>
  <c r="N556" i="3"/>
  <c r="N557" i="3"/>
  <c r="N558" i="3"/>
  <c r="N559" i="3"/>
  <c r="N560" i="3"/>
  <c r="N561" i="3"/>
  <c r="N562" i="3"/>
  <c r="N563" i="3"/>
  <c r="N564" i="3"/>
  <c r="N565" i="3"/>
  <c r="N566" i="3"/>
  <c r="N567" i="3"/>
  <c r="N568" i="3"/>
  <c r="N569" i="3"/>
  <c r="N570" i="3"/>
  <c r="N571" i="3"/>
  <c r="N572" i="3"/>
  <c r="N573" i="3"/>
  <c r="N574" i="3"/>
  <c r="N575" i="3"/>
  <c r="N576" i="3"/>
  <c r="N577" i="3"/>
  <c r="N578" i="3"/>
  <c r="N579" i="3"/>
  <c r="N580" i="3"/>
  <c r="N581" i="3"/>
  <c r="N582" i="3"/>
  <c r="N583" i="3"/>
  <c r="N584" i="3"/>
  <c r="N585" i="3"/>
  <c r="N586" i="3"/>
  <c r="N587" i="3"/>
  <c r="N588" i="3"/>
  <c r="N589" i="3"/>
  <c r="N590" i="3"/>
  <c r="N591" i="3"/>
  <c r="N592" i="3"/>
  <c r="N593" i="3"/>
  <c r="N594" i="3"/>
  <c r="N595" i="3"/>
  <c r="N596" i="3"/>
  <c r="N597" i="3"/>
  <c r="N598" i="3"/>
  <c r="N599" i="3"/>
  <c r="N600" i="3"/>
  <c r="N601" i="3"/>
  <c r="N602" i="3"/>
  <c r="N603" i="3"/>
  <c r="N604" i="3"/>
  <c r="N605" i="3"/>
  <c r="N606" i="3"/>
  <c r="N607" i="3"/>
  <c r="N608" i="3"/>
  <c r="N609" i="3"/>
  <c r="N610" i="3"/>
  <c r="N611" i="3"/>
  <c r="O4" i="3" a="1"/>
  <c r="O4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RYZEN 5</author>
  </authors>
  <commentList>
    <comment ref="AF1" authorId="0" shapeId="0" xr:uid="{138F5C9F-3D67-49C1-9A4E-E57F02975355}">
      <text>
        <r>
          <rPr>
            <b/>
            <sz val="9"/>
            <color indexed="81"/>
            <rFont val="Tahoma"/>
            <family val="2"/>
          </rPr>
          <t>funcionan con energía eléctrica</t>
        </r>
      </text>
    </comment>
    <comment ref="AG1" authorId="0" shapeId="0" xr:uid="{302F8388-9472-4C35-959F-EAA2651B3299}">
      <text>
        <r>
          <rPr>
            <b/>
            <sz val="9"/>
            <color indexed="81"/>
            <rFont val="Tahoma"/>
            <family val="2"/>
          </rPr>
          <t>utilizan aire comprimido como fuente de energía</t>
        </r>
      </text>
    </comment>
    <comment ref="AH1" authorId="0" shapeId="0" xr:uid="{D55EA746-0427-4A35-B338-C7AC76A74F78}">
      <text>
        <r>
          <rPr>
            <b/>
            <sz val="9"/>
            <color indexed="81"/>
            <rFont val="Tahoma"/>
            <family val="2"/>
          </rPr>
          <t>Para medir dimensiones, niveles, fuerzas o vibraciones</t>
        </r>
      </text>
    </comment>
    <comment ref="AI1" authorId="0" shapeId="0" xr:uid="{22F4E41B-CB9D-4690-A15C-88EF2EA5A80B}">
      <text>
        <r>
          <rPr>
            <b/>
            <sz val="9"/>
            <color indexed="81"/>
            <rFont val="Tahoma"/>
            <family val="2"/>
          </rPr>
          <t>Herramientas manuales diseñadas para realizar tareas como sujetar, cortar, apretar o ensamblar</t>
        </r>
      </text>
    </comment>
    <comment ref="AJ1" authorId="0" shapeId="0" xr:uid="{D3E2EF74-D9CD-42CB-B0DD-D85BE8B7EA7E}">
      <text>
        <r>
          <rPr>
            <b/>
            <sz val="9"/>
            <color indexed="81"/>
            <rFont val="Tahoma"/>
            <family val="2"/>
          </rPr>
          <t>Utilizan fluidos a presión para generar fuerza</t>
        </r>
      </text>
    </comment>
    <comment ref="AL1" authorId="0" shapeId="0" xr:uid="{E5D4EE43-88FE-46BC-B4D5-9DE0ADC7F9E8}">
      <text>
        <r>
          <rPr>
            <b/>
            <sz val="9"/>
            <color indexed="81"/>
            <rFont val="Tahoma"/>
            <family val="2"/>
          </rPr>
          <t>para levantar o mover cargas pesadas de manera segura.</t>
        </r>
      </text>
    </comment>
    <comment ref="AO1" authorId="0" shapeId="0" xr:uid="{2E55C3A9-9221-4AE5-95B7-B57A2A8D4284}">
      <text>
        <r>
          <rPr>
            <b/>
            <sz val="9"/>
            <color indexed="81"/>
            <rFont val="Tahoma"/>
            <family val="2"/>
          </rPr>
          <t>Componentes adicionales que complementan las herramientas principales</t>
        </r>
      </text>
    </comment>
    <comment ref="AF2" authorId="0" shapeId="0" xr:uid="{06E9473E-CB08-4BFD-ADE9-D4A480DF7251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.
</t>
        </r>
      </text>
    </comment>
    <comment ref="AR2" authorId="0" shapeId="0" xr:uid="{37C91F52-4488-4C33-A011-C0C36ADF7C27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filtros, para mantenimiento, según la clasificacion que le dio
</t>
        </r>
      </text>
    </comment>
    <comment ref="AG4" authorId="0" shapeId="0" xr:uid="{839914A1-B34F-4DE7-A059-A724C6DDC7CB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Impactor y pistola se llega a lo mismo según investigaciones
</t>
        </r>
      </text>
    </comment>
    <comment ref="AR5" authorId="0" shapeId="0" xr:uid="{C479CB5A-AED5-4A57-B008-25F4D93850BA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talvez solo el estuche de la sierra caladora y puede ir a electricas preguntar a filtro</t>
        </r>
      </text>
    </comment>
    <comment ref="AH8" authorId="0" shapeId="0" xr:uid="{961A6644-45E7-4830-8069-97FC7A668533}">
      <text>
        <r>
          <rPr>
            <b/>
            <sz val="9"/>
            <color indexed="81"/>
            <rFont val="Tahoma"/>
            <family val="2"/>
          </rPr>
          <t xml:space="preserve">tiene un subtipo
</t>
        </r>
      </text>
    </comment>
    <comment ref="AH10" authorId="0" shapeId="0" xr:uid="{B3D4C6AC-28AD-42E5-A2A7-53AA52FEA1CD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tiene una Subclasificion
</t>
        </r>
      </text>
    </comment>
    <comment ref="AO10" authorId="0" shapeId="0" xr:uid="{DD5B94FD-A42E-4D57-9334-0EAF2EF82B4B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Accesorio
</t>
        </r>
      </text>
    </comment>
    <comment ref="AR10" authorId="0" shapeId="0" xr:uid="{D26372EA-C90A-4221-A331-511DE77C02B2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Pedir que me muestren la herramienta, filtros
</t>
        </r>
      </text>
    </comment>
    <comment ref="AF11" authorId="0" shapeId="0" xr:uid="{AC6A1FFB-1B63-43AC-9CAA-5E5D8E2B2130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seccion maquinas
</t>
        </r>
      </text>
    </comment>
    <comment ref="AO11" authorId="0" shapeId="0" xr:uid="{50EEF009-0B03-4670-B7D2-0EC4024CF630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Es un accesorio
</t>
        </r>
      </text>
    </comment>
    <comment ref="AI12" authorId="0" shapeId="0" xr:uid="{2FEE533A-C9C8-4A73-92DD-FC5636F94057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Formalizar con una sublista todos los tipos de dados
</t>
        </r>
      </text>
    </comment>
    <comment ref="AO12" authorId="0" shapeId="0" xr:uid="{F3960E80-6863-4EF6-B0F7-41F6C78BF269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accesorio para niveles laser
</t>
        </r>
      </text>
    </comment>
    <comment ref="AO13" authorId="0" shapeId="0" xr:uid="{B78E8AAC-D497-408B-ACE6-0F0D9F6B3AC5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Accesorio</t>
        </r>
      </text>
    </comment>
    <comment ref="AF14" authorId="0" shapeId="0" xr:uid="{334E8D8B-862D-43EF-BE01-EE3393C8C49B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porque es electrico en filtros
</t>
        </r>
      </text>
    </comment>
    <comment ref="AH14" authorId="0" shapeId="0" xr:uid="{4168960B-23A7-4C60-B8E4-E5B30562131D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preguntar, filtros
</t>
        </r>
      </text>
    </comment>
    <comment ref="AO14" authorId="0" shapeId="0" xr:uid="{A6165D5C-AD59-48C7-9F6A-A58B9DF41B14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Accesorio
</t>
        </r>
      </text>
    </comment>
    <comment ref="AO15" authorId="0" shapeId="0" xr:uid="{24836735-04B3-4BED-B2D2-75BE536C9BA7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Accesorio de la bomba hidraulica
</t>
        </r>
      </text>
    </comment>
    <comment ref="AR15" authorId="0" shapeId="0" xr:uid="{65F12BAE-0BCA-4B3F-93CE-5DAE5D2FF380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Puede ser mecanico por que es manual</t>
        </r>
      </text>
    </comment>
    <comment ref="AI16" authorId="0" shapeId="0" xr:uid="{E9B900B2-58ED-4453-AB72-DFD5E87A3879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Giratorio, corto, largo de encastre</t>
        </r>
      </text>
    </comment>
    <comment ref="AO16" authorId="0" shapeId="0" xr:uid="{9A8F9018-CC5D-41D2-B365-92066974FC80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Accesorio
</t>
        </r>
      </text>
    </comment>
    <comment ref="AF17" authorId="0" shapeId="0" xr:uid="{08697096-6C2C-47E0-98A4-5DB8D4E24423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Considera impactor o pistola impactor
</t>
        </r>
      </text>
    </comment>
    <comment ref="AI17" authorId="0" shapeId="0" xr:uid="{8E8D7474-DF0D-488F-88CE-64378D5E45F5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preguntar filtros
</t>
        </r>
      </text>
    </comment>
    <comment ref="AF18" authorId="0" shapeId="0" xr:uid="{F0DE7262-D979-41CE-A778-304FE58DC277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preguntar en flotacion
</t>
        </r>
      </text>
    </comment>
    <comment ref="AO19" authorId="0" shapeId="0" xr:uid="{3E50A0D5-ECCB-456C-8028-FD82DE7F3095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De PC SIS ST, descripcion hidraukica
flotacion
</t>
        </r>
      </text>
    </comment>
    <comment ref="AP24" authorId="0" shapeId="0" xr:uid="{C2514823-CFC3-4C31-9FAE-DC6DDD00B904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Es un accesorio
</t>
        </r>
      </text>
    </comment>
    <comment ref="AP25" authorId="0" shapeId="0" xr:uid="{986DC867-A04D-4C7C-8C1E-3489A9E4F766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Accesorio
</t>
        </r>
      </text>
    </comment>
    <comment ref="AO30" authorId="0" shapeId="0" xr:uid="{8D07D906-6ECA-4FEC-BA69-81877BA2433C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Es un accesorio
</t>
        </r>
      </text>
    </comment>
    <comment ref="AF31" authorId="0" shapeId="0" xr:uid="{845F3865-0F42-4CDA-91D0-E26A72B58186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Ver un comentario en celdas mas abajo
</t>
        </r>
      </text>
    </comment>
    <comment ref="AO31" authorId="0" shapeId="0" xr:uid="{7E9D5FC9-2710-4B16-B386-75C760401D23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Accesorio
</t>
        </r>
      </text>
    </comment>
    <comment ref="AG34" authorId="0" shapeId="0" xr:uid="{D50487EC-2184-4F23-B7B4-43B92C1B2A2E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Antes lubricador neumatico,tambien como engrasadora manual. filtros
</t>
        </r>
      </text>
    </comment>
    <comment ref="AF42" authorId="0" shapeId="0" xr:uid="{91ED9A02-52DC-412A-905A-3F1E65A919FA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Considerar con el impactool electrico
</t>
        </r>
      </text>
    </comment>
    <comment ref="AH43" authorId="0" shapeId="0" xr:uid="{E131FCA8-3942-4C06-92B7-EB963771DE2B}">
      <text>
        <r>
          <rPr>
            <b/>
            <sz val="9"/>
            <color indexed="81"/>
            <rFont val="Tahoma"/>
            <family val="2"/>
          </rPr>
          <t xml:space="preserve">Los calibradores tengo que centralizar el nombre para eliminar la redundancia
</t>
        </r>
      </text>
    </comment>
    <comment ref="AI48" authorId="0" shapeId="0" xr:uid="{17C5E251-CA56-456C-8D75-6C12CE08BE2B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Giratorio, corto, largo de encastre</t>
        </r>
      </text>
    </comment>
    <comment ref="AF63" authorId="0" shapeId="0" xr:uid="{9DDA2A1C-9F1F-4A39-A17B-4160822D9241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Considerar con el reflector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RYZEN 5</author>
  </authors>
  <commentList>
    <comment ref="AD1" authorId="0" shapeId="0" xr:uid="{F5375626-8E74-43B9-BC5D-C3315492903F}">
      <text>
        <r>
          <rPr>
            <b/>
            <sz val="9"/>
            <color indexed="81"/>
            <rFont val="Tahoma"/>
            <family val="2"/>
          </rPr>
          <t>funcionan con energía eléctrica</t>
        </r>
      </text>
    </comment>
    <comment ref="AE1" authorId="0" shapeId="0" xr:uid="{F046FDDE-137A-41F3-8026-54779F8E4DBB}">
      <text>
        <r>
          <rPr>
            <b/>
            <sz val="9"/>
            <color indexed="81"/>
            <rFont val="Tahoma"/>
            <family val="2"/>
          </rPr>
          <t>utilizan aire comprimido como fuente de energía</t>
        </r>
      </text>
    </comment>
    <comment ref="AF1" authorId="0" shapeId="0" xr:uid="{7D83AC33-48E3-41CA-BEF0-158DCA36318A}">
      <text>
        <r>
          <rPr>
            <b/>
            <sz val="9"/>
            <color indexed="81"/>
            <rFont val="Tahoma"/>
            <family val="2"/>
          </rPr>
          <t>Para medir dimensiones, niveles, fuerzas o vibraciones</t>
        </r>
      </text>
    </comment>
    <comment ref="AG1" authorId="0" shapeId="0" xr:uid="{97635916-8246-46AE-B5F9-DC3DC0207D93}">
      <text>
        <r>
          <rPr>
            <b/>
            <sz val="9"/>
            <color indexed="81"/>
            <rFont val="Tahoma"/>
            <family val="2"/>
          </rPr>
          <t>Herramientas manuales diseñadas para realizar tareas como sujetar, cortar, apretar o ensamblar</t>
        </r>
      </text>
    </comment>
    <comment ref="AH1" authorId="0" shapeId="0" xr:uid="{58BE2899-B690-4E9E-B904-DB9943202DA5}">
      <text>
        <r>
          <rPr>
            <b/>
            <sz val="9"/>
            <color indexed="81"/>
            <rFont val="Tahoma"/>
            <family val="2"/>
          </rPr>
          <t>Utilizan fluidos a presión para generar fuerza</t>
        </r>
      </text>
    </comment>
    <comment ref="AJ1" authorId="0" shapeId="0" xr:uid="{AADA582D-6281-495C-B987-52219F5EB0C7}">
      <text>
        <r>
          <rPr>
            <b/>
            <sz val="9"/>
            <color indexed="81"/>
            <rFont val="Tahoma"/>
            <family val="2"/>
          </rPr>
          <t>para levantar o mover cargas pesadas de manera segura.</t>
        </r>
      </text>
    </comment>
    <comment ref="AM1" authorId="0" shapeId="0" xr:uid="{D639FE1B-53DE-4E6F-8EBF-B88881A7B1C0}">
      <text>
        <r>
          <rPr>
            <b/>
            <sz val="9"/>
            <color indexed="81"/>
            <rFont val="Tahoma"/>
            <family val="2"/>
          </rPr>
          <t>Componentes adicionales que complementan las herramientas principales</t>
        </r>
      </text>
    </comment>
    <comment ref="AD2" authorId="0" shapeId="0" xr:uid="{E1A946B7-10FF-42B3-8419-7BE6870820AE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.
</t>
        </r>
      </text>
    </comment>
    <comment ref="AP2" authorId="0" shapeId="0" xr:uid="{9F9C317C-5BC9-4621-BAEE-9A2662C8584F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filtros, para mantenimiento, según la clasificacion que le dio
</t>
        </r>
      </text>
    </comment>
    <comment ref="AE4" authorId="0" shapeId="0" xr:uid="{9A7A1106-02A5-415C-8DF1-7B177A560984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Impactor y pistola se llega a lo mismo según investigaciones
</t>
        </r>
      </text>
    </comment>
    <comment ref="AP5" authorId="0" shapeId="0" xr:uid="{4E936920-0DFE-4EDF-A34F-00636292C071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talvez solo el estuche de la sierra caladora y puede ir a electricas preguntar a filtro</t>
        </r>
      </text>
    </comment>
    <comment ref="AF8" authorId="0" shapeId="0" xr:uid="{97E8CF8B-4512-4EB1-89A7-3DEDB9CE4318}">
      <text>
        <r>
          <rPr>
            <b/>
            <sz val="9"/>
            <color indexed="81"/>
            <rFont val="Tahoma"/>
            <family val="2"/>
          </rPr>
          <t xml:space="preserve">tiene un subtipo
</t>
        </r>
      </text>
    </comment>
    <comment ref="AF10" authorId="0" shapeId="0" xr:uid="{E7D13861-2921-41B0-8247-05A501CC5D99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tiene una Subclasificion
</t>
        </r>
      </text>
    </comment>
    <comment ref="AM10" authorId="0" shapeId="0" xr:uid="{B742E01E-7969-470E-B599-E25EE0EAF592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Accesorio
</t>
        </r>
      </text>
    </comment>
    <comment ref="AP10" authorId="0" shapeId="0" xr:uid="{E9AFCF1F-1F05-4155-BC5D-B451F91FB3C9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Pedir que me muestren la herramienta, filtros
</t>
        </r>
      </text>
    </comment>
    <comment ref="AD11" authorId="0" shapeId="0" xr:uid="{C8B69AB8-E41A-4FE9-BF66-F212952DEB71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seccion maquinas
</t>
        </r>
      </text>
    </comment>
    <comment ref="AM11" authorId="0" shapeId="0" xr:uid="{042AC54C-8747-4DF4-982D-D844DA7BB504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Es un accesorio
</t>
        </r>
      </text>
    </comment>
    <comment ref="AG12" authorId="0" shapeId="0" xr:uid="{393BCE06-EA0E-4BC5-B541-D78028D4B4FE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Formalizar con una sublista todos los tipos de dados
</t>
        </r>
      </text>
    </comment>
    <comment ref="AM12" authorId="0" shapeId="0" xr:uid="{951EC06F-F281-4B27-84F9-46400BEDC076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accesorio para niveles laser
</t>
        </r>
      </text>
    </comment>
    <comment ref="AM13" authorId="0" shapeId="0" xr:uid="{9F2AA85E-4C37-4F8D-9352-36F1E13C35E8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Accesorio</t>
        </r>
      </text>
    </comment>
    <comment ref="AD14" authorId="0" shapeId="0" xr:uid="{27269DC9-ACAD-4280-825C-986EF3169EE3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porque es electrico en filtros
</t>
        </r>
      </text>
    </comment>
    <comment ref="AF14" authorId="0" shapeId="0" xr:uid="{E0CC9E29-27B1-41AB-BAD7-294935839537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preguntar, filtros
</t>
        </r>
      </text>
    </comment>
    <comment ref="AM14" authorId="0" shapeId="0" xr:uid="{7ACF40CC-093A-4F7F-AE1A-CA47513166D8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Accesorio
</t>
        </r>
      </text>
    </comment>
    <comment ref="AM15" authorId="0" shapeId="0" xr:uid="{39B5C48C-6065-4961-A067-14C937ABAF46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Accesorio de la bomba hidraulica
</t>
        </r>
      </text>
    </comment>
    <comment ref="AP15" authorId="0" shapeId="0" xr:uid="{F20741E6-B3CD-4C7E-AFCF-362F00433C82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Puede ser mecanico por que es manual</t>
        </r>
      </text>
    </comment>
    <comment ref="AG16" authorId="0" shapeId="0" xr:uid="{CA365CE4-DE52-48E1-B2BB-C80C253682A6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Giratorio, corto, largo de encastre</t>
        </r>
      </text>
    </comment>
    <comment ref="AM16" authorId="0" shapeId="0" xr:uid="{F9F644D6-829E-458C-8D8E-F7257F4F6C5F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Accesorio
</t>
        </r>
      </text>
    </comment>
    <comment ref="AD17" authorId="0" shapeId="0" xr:uid="{647D59E9-DCF4-4A05-86A8-E9D92EDF4CAD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Considera impactor o pistola impactor
</t>
        </r>
      </text>
    </comment>
    <comment ref="AG17" authorId="0" shapeId="0" xr:uid="{D247F8B8-772A-4280-B7FA-1F744CD4F912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preguntar filtros
</t>
        </r>
      </text>
    </comment>
    <comment ref="AD18" authorId="0" shapeId="0" xr:uid="{7AF0122A-B4C5-4FFF-977E-8D4C859B86AC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preguntar en flotacion
</t>
        </r>
      </text>
    </comment>
    <comment ref="AM19" authorId="0" shapeId="0" xr:uid="{55964A04-44A4-4018-BAB5-17043EB49233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De PC SIS ST, descripcion hidraukica
flotacion
</t>
        </r>
      </text>
    </comment>
    <comment ref="AN24" authorId="0" shapeId="0" xr:uid="{818D676E-9A58-4E3E-BE03-8076A2290908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Es un accesorio
</t>
        </r>
      </text>
    </comment>
    <comment ref="AN25" authorId="0" shapeId="0" xr:uid="{168DE758-83AA-48AF-A971-C6BFCA4B2527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Accesorio
</t>
        </r>
      </text>
    </comment>
    <comment ref="AM30" authorId="0" shapeId="0" xr:uid="{503F6A39-08B5-4263-AB1D-899D9DA0ECCE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Es un accesorio
</t>
        </r>
      </text>
    </comment>
    <comment ref="AD31" authorId="0" shapeId="0" xr:uid="{89D4C535-E4C1-4B63-87F2-B04D4CF2F239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Ver un comentario en celdas mas abajo
</t>
        </r>
      </text>
    </comment>
    <comment ref="AM31" authorId="0" shapeId="0" xr:uid="{FA2B069F-9D74-42CD-9123-72B2BC1212CB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Accesorio
</t>
        </r>
      </text>
    </comment>
    <comment ref="AE34" authorId="0" shapeId="0" xr:uid="{A3077F8E-180B-45FF-826E-FE6B952BF5A0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Antes lubricador neumatico,tambien como engrasadora manual. filtros
</t>
        </r>
      </text>
    </comment>
    <comment ref="AD42" authorId="0" shapeId="0" xr:uid="{5533B8A4-0726-4A70-8168-26DAB280AFF4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Considerar con el impactool electrico
</t>
        </r>
      </text>
    </comment>
    <comment ref="AF43" authorId="0" shapeId="0" xr:uid="{38CA2209-A043-4CFF-91B7-46378E58058C}">
      <text>
        <r>
          <rPr>
            <b/>
            <sz val="9"/>
            <color indexed="81"/>
            <rFont val="Tahoma"/>
            <family val="2"/>
          </rPr>
          <t xml:space="preserve">Los calibradores tengo que centralizar el nombre para eliminar la redundancia
</t>
        </r>
      </text>
    </comment>
    <comment ref="AG48" authorId="0" shapeId="0" xr:uid="{7F094DCB-B563-4EEF-A9A1-506D833852F3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Giratorio, corto, largo de encastre</t>
        </r>
      </text>
    </comment>
    <comment ref="AD63" authorId="0" shapeId="0" xr:uid="{0974058D-AE20-4E17-B751-9BC5067482DA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Considerar con el reflector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RYZEN 5</author>
  </authors>
  <commentList>
    <comment ref="AF1" authorId="0" shapeId="0" xr:uid="{FCCC4C20-DDCE-427B-86FF-2680B831EA06}">
      <text>
        <r>
          <rPr>
            <b/>
            <sz val="9"/>
            <color indexed="81"/>
            <rFont val="Tahoma"/>
            <family val="2"/>
          </rPr>
          <t>funcionan con energía eléctrica</t>
        </r>
      </text>
    </comment>
    <comment ref="AG1" authorId="0" shapeId="0" xr:uid="{D8796183-E146-4B1D-A227-427140623EA7}">
      <text>
        <r>
          <rPr>
            <b/>
            <sz val="9"/>
            <color indexed="81"/>
            <rFont val="Tahoma"/>
            <family val="2"/>
          </rPr>
          <t>utilizan aire comprimido como fuente de energía</t>
        </r>
      </text>
    </comment>
    <comment ref="AH1" authorId="0" shapeId="0" xr:uid="{DA39D59F-4536-4004-873E-30DED4AEF277}">
      <text>
        <r>
          <rPr>
            <b/>
            <sz val="9"/>
            <color indexed="81"/>
            <rFont val="Tahoma"/>
            <family val="2"/>
          </rPr>
          <t>Para medir dimensiones, niveles, fuerzas o vibraciones</t>
        </r>
      </text>
    </comment>
    <comment ref="AI1" authorId="0" shapeId="0" xr:uid="{29728DC5-ABCD-44A9-89D4-76A7A32A6151}">
      <text>
        <r>
          <rPr>
            <b/>
            <sz val="9"/>
            <color indexed="81"/>
            <rFont val="Tahoma"/>
            <family val="2"/>
          </rPr>
          <t>Herramientas manuales diseñadas para realizar tareas como sujetar, cortar, apretar o ensamblar</t>
        </r>
      </text>
    </comment>
    <comment ref="AJ1" authorId="0" shapeId="0" xr:uid="{2492D85D-A5ED-44F4-B5D1-8EA053B9F2CA}">
      <text>
        <r>
          <rPr>
            <b/>
            <sz val="9"/>
            <color indexed="81"/>
            <rFont val="Tahoma"/>
            <family val="2"/>
          </rPr>
          <t>Utilizan fluidos a presión para generar fuerza</t>
        </r>
      </text>
    </comment>
    <comment ref="AL1" authorId="0" shapeId="0" xr:uid="{BF31B12A-3A00-40B1-A0AA-6498BDB255B3}">
      <text>
        <r>
          <rPr>
            <b/>
            <sz val="9"/>
            <color indexed="81"/>
            <rFont val="Tahoma"/>
            <family val="2"/>
          </rPr>
          <t>para levantar o mover cargas pesadas de manera segura.</t>
        </r>
      </text>
    </comment>
    <comment ref="AO1" authorId="0" shapeId="0" xr:uid="{BD5C2CA6-8C64-411B-819D-7578C75F74B8}">
      <text>
        <r>
          <rPr>
            <b/>
            <sz val="9"/>
            <color indexed="81"/>
            <rFont val="Tahoma"/>
            <family val="2"/>
          </rPr>
          <t>Componentes adicionales que complementan las herramientas principales</t>
        </r>
      </text>
    </comment>
    <comment ref="AF2" authorId="0" shapeId="0" xr:uid="{BDE6A1E9-A802-4266-843C-8C6A483631E3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.
</t>
        </r>
      </text>
    </comment>
    <comment ref="AR2" authorId="0" shapeId="0" xr:uid="{F3B69EB8-8E7A-40F0-94A4-742E191A4E2C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filtros, para mantenimiento, según la clasificacion que le dio
</t>
        </r>
      </text>
    </comment>
    <comment ref="AG4" authorId="0" shapeId="0" xr:uid="{2F109207-898B-448C-80C9-91069EC33DF7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Impactor y pistola se llega a lo mismo según investigaciones
</t>
        </r>
      </text>
    </comment>
    <comment ref="AR5" authorId="0" shapeId="0" xr:uid="{747058CC-7FB0-420A-B80C-235A3AA651DB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talvez solo el estuche de la sierra caladora y puede ir a electricas preguntar a filtro</t>
        </r>
      </text>
    </comment>
    <comment ref="AH8" authorId="0" shapeId="0" xr:uid="{48AF85EF-59FC-41F5-B60E-AA513D0C601C}">
      <text>
        <r>
          <rPr>
            <b/>
            <sz val="9"/>
            <color indexed="81"/>
            <rFont val="Tahoma"/>
            <family val="2"/>
          </rPr>
          <t xml:space="preserve">tiene un subtipo
</t>
        </r>
      </text>
    </comment>
    <comment ref="AH10" authorId="0" shapeId="0" xr:uid="{FEC9BDAC-002D-47DF-BB97-79BCE9262487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tiene una Subclasificion
</t>
        </r>
      </text>
    </comment>
    <comment ref="AO10" authorId="0" shapeId="0" xr:uid="{4C13C038-FA27-469A-B258-5061286F330D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Accesorio
</t>
        </r>
      </text>
    </comment>
    <comment ref="AR10" authorId="0" shapeId="0" xr:uid="{F99E814C-7C93-40CE-AB83-1F1A5639907D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Pedir que me muestren la herramienta, filtros
</t>
        </r>
      </text>
    </comment>
    <comment ref="AF11" authorId="0" shapeId="0" xr:uid="{A3F0BF8A-1FEF-4A5D-B611-A63BAA01F765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seccion maquinas
</t>
        </r>
      </text>
    </comment>
    <comment ref="AO11" authorId="0" shapeId="0" xr:uid="{742E6D1A-212E-4D5E-BCCC-FED729368778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Es un accesorio
</t>
        </r>
      </text>
    </comment>
    <comment ref="AI12" authorId="0" shapeId="0" xr:uid="{F8981A83-D66A-46B1-9F47-CA76B810081D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Formalizar con una sublista todos los tipos de dados
</t>
        </r>
      </text>
    </comment>
    <comment ref="AO12" authorId="0" shapeId="0" xr:uid="{86DB9B34-7A93-4BF6-9E5A-F24A8CA31ED3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accesorio para niveles laser
</t>
        </r>
      </text>
    </comment>
    <comment ref="AO13" authorId="0" shapeId="0" xr:uid="{62DE1956-5A50-42BE-9D3D-46CD4F827DD3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Accesorio</t>
        </r>
      </text>
    </comment>
    <comment ref="AF14" authorId="0" shapeId="0" xr:uid="{7939A5C6-5670-407D-9DC2-9330CBA1FDBC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porque es electrico en filtros
</t>
        </r>
      </text>
    </comment>
    <comment ref="AH14" authorId="0" shapeId="0" xr:uid="{F8303C4E-4E89-4152-89BD-4C039700255B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preguntar, filtros
</t>
        </r>
      </text>
    </comment>
    <comment ref="AO14" authorId="0" shapeId="0" xr:uid="{90040C60-989D-4126-AE45-F4E1F6EBC090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Accesorio
</t>
        </r>
      </text>
    </comment>
    <comment ref="AO15" authorId="0" shapeId="0" xr:uid="{7ECF5014-3156-44CE-8B4B-7AC8FEC2BB43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Accesorio de la bomba hidraulica
</t>
        </r>
      </text>
    </comment>
    <comment ref="AR15" authorId="0" shapeId="0" xr:uid="{E740B51E-C687-4A7D-A280-E7CC50392AE0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Puede ser mecanico por que es manual</t>
        </r>
      </text>
    </comment>
    <comment ref="AI16" authorId="0" shapeId="0" xr:uid="{77A055F8-4B03-4FF7-A19B-EA50CF47675A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Giratorio, corto, largo de encastre</t>
        </r>
      </text>
    </comment>
    <comment ref="AO16" authorId="0" shapeId="0" xr:uid="{AB04B7C9-5A66-4645-B7F3-F377A565357E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Accesorio
</t>
        </r>
      </text>
    </comment>
    <comment ref="AF17" authorId="0" shapeId="0" xr:uid="{656C6A21-942D-4EDB-AF99-098C6C0D4BC3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Considera impactor o pistola impactor
</t>
        </r>
      </text>
    </comment>
    <comment ref="AI17" authorId="0" shapeId="0" xr:uid="{9A91690E-FC94-4EBD-BDFF-DD6899E266B2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preguntar filtros
</t>
        </r>
      </text>
    </comment>
    <comment ref="AF18" authorId="0" shapeId="0" xr:uid="{CBA377BB-7802-4F8C-A296-8E7F60C786B0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preguntar en flotacion
</t>
        </r>
      </text>
    </comment>
    <comment ref="AO19" authorId="0" shapeId="0" xr:uid="{41306F01-5B27-453C-981A-6E9EED6548E8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De PC SIS ST, descripcion hidraukica
flotacion
</t>
        </r>
      </text>
    </comment>
    <comment ref="AP24" authorId="0" shapeId="0" xr:uid="{E3DB1494-48BB-4A4C-AEFA-5A1BF70F36BD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Es un accesorio
</t>
        </r>
      </text>
    </comment>
    <comment ref="AP25" authorId="0" shapeId="0" xr:uid="{2D678E21-E3BE-4A16-92B9-C605D4AD6267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Accesorio
</t>
        </r>
      </text>
    </comment>
    <comment ref="AO30" authorId="0" shapeId="0" xr:uid="{A3AB6CE3-7D8A-4751-BB7A-1696B2CE0AEC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Es un accesorio
</t>
        </r>
      </text>
    </comment>
    <comment ref="AF31" authorId="0" shapeId="0" xr:uid="{16B21762-7A01-42A3-9ABC-082C8B683485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Ver un comentario en celdas mas abajo
</t>
        </r>
      </text>
    </comment>
    <comment ref="AO31" authorId="0" shapeId="0" xr:uid="{21F27614-272C-408E-96A1-4779C213B5AF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Accesorio
</t>
        </r>
      </text>
    </comment>
    <comment ref="AG34" authorId="0" shapeId="0" xr:uid="{8596F144-F72A-469A-822C-93B958EAEBE9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Antes lubricador neumatico,tambien como engrasadora manual. filtros
</t>
        </r>
      </text>
    </comment>
    <comment ref="AF42" authorId="0" shapeId="0" xr:uid="{41942028-7062-4F8D-8042-BA950F66DAF9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Considerar con el impactool electrico
</t>
        </r>
      </text>
    </comment>
    <comment ref="AH43" authorId="0" shapeId="0" xr:uid="{FEC8FC9D-DD06-42DE-9CD7-FB7B15B2672C}">
      <text>
        <r>
          <rPr>
            <b/>
            <sz val="9"/>
            <color indexed="81"/>
            <rFont val="Tahoma"/>
            <family val="2"/>
          </rPr>
          <t xml:space="preserve">Los calibradores tengo que centralizar el nombre para eliminar la redundancia
</t>
        </r>
      </text>
    </comment>
    <comment ref="AI48" authorId="0" shapeId="0" xr:uid="{FE942921-B7DE-4C1C-8319-451B9B121BB6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Giratorio, corto, largo de encastre</t>
        </r>
      </text>
    </comment>
    <comment ref="AF63" authorId="0" shapeId="0" xr:uid="{6FAC604C-E8C0-4CEE-A184-CF2D1AB3C101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Considerar con el reflector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RYZEN 5</author>
  </authors>
  <commentList>
    <comment ref="AE1" authorId="0" shapeId="0" xr:uid="{328C76E6-C4A6-4F82-B1EB-65DD2C930B25}">
      <text>
        <r>
          <rPr>
            <b/>
            <sz val="9"/>
            <color indexed="81"/>
            <rFont val="Tahoma"/>
            <family val="2"/>
          </rPr>
          <t>funcionan con energía eléctrica</t>
        </r>
      </text>
    </comment>
    <comment ref="AF1" authorId="0" shapeId="0" xr:uid="{47D69FF8-54AB-4D70-9B9D-A0D4BF18ADC4}">
      <text>
        <r>
          <rPr>
            <b/>
            <sz val="9"/>
            <color indexed="81"/>
            <rFont val="Tahoma"/>
            <family val="2"/>
          </rPr>
          <t>utilizan aire comprimido como fuente de energía</t>
        </r>
      </text>
    </comment>
    <comment ref="AG1" authorId="0" shapeId="0" xr:uid="{44B3886E-BE5F-47E5-BFB9-32C11C19B064}">
      <text>
        <r>
          <rPr>
            <b/>
            <sz val="9"/>
            <color indexed="81"/>
            <rFont val="Tahoma"/>
            <family val="2"/>
          </rPr>
          <t>Para medir dimensiones, niveles, fuerzas o vibraciones</t>
        </r>
      </text>
    </comment>
    <comment ref="AH1" authorId="0" shapeId="0" xr:uid="{949F87D0-818E-4818-9B5B-BA508B59B324}">
      <text>
        <r>
          <rPr>
            <b/>
            <sz val="9"/>
            <color indexed="81"/>
            <rFont val="Tahoma"/>
            <family val="2"/>
          </rPr>
          <t>Herramientas manuales diseñadas para realizar tareas como sujetar, cortar, apretar o ensamblar</t>
        </r>
      </text>
    </comment>
    <comment ref="AI1" authorId="0" shapeId="0" xr:uid="{8340D445-3581-432B-9FF6-2FE5D5D850DE}">
      <text>
        <r>
          <rPr>
            <b/>
            <sz val="9"/>
            <color indexed="81"/>
            <rFont val="Tahoma"/>
            <family val="2"/>
          </rPr>
          <t>Utilizan fluidos a presión para generar fuerza</t>
        </r>
      </text>
    </comment>
    <comment ref="AK1" authorId="0" shapeId="0" xr:uid="{87483045-E0B5-4B3B-8043-AEACBD524A2E}">
      <text>
        <r>
          <rPr>
            <b/>
            <sz val="9"/>
            <color indexed="81"/>
            <rFont val="Tahoma"/>
            <family val="2"/>
          </rPr>
          <t>para levantar o mover cargas pesadas de manera segura.</t>
        </r>
      </text>
    </comment>
    <comment ref="AN1" authorId="0" shapeId="0" xr:uid="{35225D1D-8B26-4F0C-A85F-A30BF23C97C7}">
      <text>
        <r>
          <rPr>
            <b/>
            <sz val="9"/>
            <color indexed="81"/>
            <rFont val="Tahoma"/>
            <family val="2"/>
          </rPr>
          <t>Componentes adicionales que complementan las herramientas principales</t>
        </r>
      </text>
    </comment>
    <comment ref="AE2" authorId="0" shapeId="0" xr:uid="{57780539-C695-41AB-874F-FEFB4475D72C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.
</t>
        </r>
      </text>
    </comment>
    <comment ref="AQ2" authorId="0" shapeId="0" xr:uid="{6C58075E-8BB6-4204-97AD-EFC7F1EDB3BE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filtros, para mantenimiento, según la clasificacion que le dio
</t>
        </r>
      </text>
    </comment>
    <comment ref="AF4" authorId="0" shapeId="0" xr:uid="{0A5D3F10-107B-49A8-AA4D-435508C0E5FC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Impactor y pistola se llega a lo mismo según investigaciones
</t>
        </r>
      </text>
    </comment>
    <comment ref="AQ5" authorId="0" shapeId="0" xr:uid="{5F39A294-221C-467C-BF18-6703443734A7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talvez solo el estuche de la sierra caladora y puede ir a electricas preguntar a filtro</t>
        </r>
      </text>
    </comment>
    <comment ref="AG8" authorId="0" shapeId="0" xr:uid="{99C3D056-788A-4893-BCA9-18808EFA12B6}">
      <text>
        <r>
          <rPr>
            <b/>
            <sz val="9"/>
            <color indexed="81"/>
            <rFont val="Tahoma"/>
            <family val="2"/>
          </rPr>
          <t xml:space="preserve">tiene un subtipo
</t>
        </r>
      </text>
    </comment>
    <comment ref="AG10" authorId="0" shapeId="0" xr:uid="{9A1F2D8B-2980-4C36-A76B-78339528E958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tiene una Subclasificion
</t>
        </r>
      </text>
    </comment>
    <comment ref="AN10" authorId="0" shapeId="0" xr:uid="{C1FCF39D-69D2-4E76-AF3D-AEA8E35B0361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Accesorio
</t>
        </r>
      </text>
    </comment>
    <comment ref="AQ10" authorId="0" shapeId="0" xr:uid="{E01D4CF6-AB49-427D-831A-036881FC08B8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Pedir que me muestren la herramienta, filtros
</t>
        </r>
      </text>
    </comment>
    <comment ref="AE11" authorId="0" shapeId="0" xr:uid="{AEF059D4-9CBD-469A-87F2-67E2B8FF6C2D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seccion maquinas
</t>
        </r>
      </text>
    </comment>
    <comment ref="AN11" authorId="0" shapeId="0" xr:uid="{EF858013-E14F-4E10-B5B1-547D61997751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Es un accesorio
</t>
        </r>
      </text>
    </comment>
    <comment ref="AH12" authorId="0" shapeId="0" xr:uid="{3A4FA0AA-8007-48BF-A0A5-D39EC502E974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Formalizar con una sublista todos los tipos de dados
</t>
        </r>
      </text>
    </comment>
    <comment ref="AN12" authorId="0" shapeId="0" xr:uid="{1733CEEC-FBB0-4BC7-ABB5-1D248628190E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accesorio para niveles laser
</t>
        </r>
      </text>
    </comment>
    <comment ref="AN13" authorId="0" shapeId="0" xr:uid="{C16DAA8D-8A36-4888-85D1-39BEC69037C2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Accesorio</t>
        </r>
      </text>
    </comment>
    <comment ref="AE14" authorId="0" shapeId="0" xr:uid="{08259C07-B3DD-47EF-B984-3615545F19CC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porque es electrico en filtros
</t>
        </r>
      </text>
    </comment>
    <comment ref="AG14" authorId="0" shapeId="0" xr:uid="{7867A202-8FCC-4709-B49C-4FF9741DA8E8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preguntar, filtros
</t>
        </r>
      </text>
    </comment>
    <comment ref="AN14" authorId="0" shapeId="0" xr:uid="{93236B03-7C47-410F-89DE-12A09ADC51D1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Accesorio
</t>
        </r>
      </text>
    </comment>
    <comment ref="AN15" authorId="0" shapeId="0" xr:uid="{A72A2A3F-FCBC-49A5-A5F1-08443629C22E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Accesorio de la bomba hidraulica
</t>
        </r>
      </text>
    </comment>
    <comment ref="AQ15" authorId="0" shapeId="0" xr:uid="{2DEACB31-F747-4F67-9FB9-CA0461FC2889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Puede ser mecanico por que es manual</t>
        </r>
      </text>
    </comment>
    <comment ref="AH16" authorId="0" shapeId="0" xr:uid="{4DB6A60B-928A-4070-9AAC-9A1C27821A2C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Giratorio, corto, largo de encastre</t>
        </r>
      </text>
    </comment>
    <comment ref="AN16" authorId="0" shapeId="0" xr:uid="{C7F4C828-887A-4634-8FD5-4BACB5547C21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Accesorio
</t>
        </r>
      </text>
    </comment>
    <comment ref="AE17" authorId="0" shapeId="0" xr:uid="{87773465-FFAB-4383-B529-FC238DE0CAA8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Considera impactor o pistola impactor
</t>
        </r>
      </text>
    </comment>
    <comment ref="AH17" authorId="0" shapeId="0" xr:uid="{161E336A-8732-449D-B3BA-6D11DFF0A98B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preguntar filtros
</t>
        </r>
      </text>
    </comment>
    <comment ref="AE18" authorId="0" shapeId="0" xr:uid="{15BC2A99-352E-4E8B-ADA9-4C3DCD10380B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preguntar en flotacion
</t>
        </r>
      </text>
    </comment>
    <comment ref="AN19" authorId="0" shapeId="0" xr:uid="{A420AD25-C5F2-4FE0-92D9-FD37F176B542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De PC SIS ST, descripcion hidraukica
flotacion
</t>
        </r>
      </text>
    </comment>
    <comment ref="AO24" authorId="0" shapeId="0" xr:uid="{49AE3111-744E-4FD4-AB6F-2B4916AC93C3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Es un accesorio
</t>
        </r>
      </text>
    </comment>
    <comment ref="AO25" authorId="0" shapeId="0" xr:uid="{0BFC27B0-1896-4B37-9559-E78E2B4BFA04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Accesorio
</t>
        </r>
      </text>
    </comment>
    <comment ref="AN30" authorId="0" shapeId="0" xr:uid="{6527E3B7-AF4B-4F0D-9747-F991FD1BBE95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Es un accesorio
</t>
        </r>
      </text>
    </comment>
    <comment ref="AE31" authorId="0" shapeId="0" xr:uid="{792D9A06-99AE-42B3-9041-310E692C4DD2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Ver un comentario en celdas mas abajo
</t>
        </r>
      </text>
    </comment>
    <comment ref="AN31" authorId="0" shapeId="0" xr:uid="{022FD67E-767B-450D-B4DD-DAFE6AEBEE52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Accesorio
</t>
        </r>
      </text>
    </comment>
    <comment ref="AF34" authorId="0" shapeId="0" xr:uid="{74A04B9C-B0C3-4A4F-A6E5-F6DF7A4A5FA5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Antes lubricador neumatico,tambien como engrasadora manual. filtros
</t>
        </r>
      </text>
    </comment>
    <comment ref="AE42" authorId="0" shapeId="0" xr:uid="{A5F9D81C-6DFB-451D-B96D-C45CD73E3784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Considerar con el impactool electrico
</t>
        </r>
      </text>
    </comment>
    <comment ref="AG43" authorId="0" shapeId="0" xr:uid="{98E0A2F3-BB64-46FF-811F-FE4F55699165}">
      <text>
        <r>
          <rPr>
            <b/>
            <sz val="9"/>
            <color indexed="81"/>
            <rFont val="Tahoma"/>
            <family val="2"/>
          </rPr>
          <t xml:space="preserve">Los calibradores tengo que centralizar el nombre para eliminar la redundancia
</t>
        </r>
      </text>
    </comment>
    <comment ref="AH48" authorId="0" shapeId="0" xr:uid="{CBF8ECFA-57FD-4D89-AFF0-7C733F4CD4B7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Giratorio, corto, largo de encastre</t>
        </r>
      </text>
    </comment>
    <comment ref="AE63" authorId="0" shapeId="0" xr:uid="{0DF3C0C9-0BFC-46DB-ABD4-62BB643C7C90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Considerar con el reflector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RYZEN 5</author>
  </authors>
  <commentList>
    <comment ref="AE1" authorId="0" shapeId="0" xr:uid="{1FA72BF7-A873-445E-BC5D-B73F78533030}">
      <text>
        <r>
          <rPr>
            <b/>
            <sz val="9"/>
            <color indexed="81"/>
            <rFont val="Tahoma"/>
            <family val="2"/>
          </rPr>
          <t>funcionan con energía eléctrica</t>
        </r>
      </text>
    </comment>
    <comment ref="AF1" authorId="0" shapeId="0" xr:uid="{423FF97E-4333-43D4-9556-4D11428CA91D}">
      <text>
        <r>
          <rPr>
            <b/>
            <sz val="9"/>
            <color indexed="81"/>
            <rFont val="Tahoma"/>
            <family val="2"/>
          </rPr>
          <t>utilizan aire comprimido como fuente de energía</t>
        </r>
      </text>
    </comment>
    <comment ref="AG1" authorId="0" shapeId="0" xr:uid="{CA98667F-AFD5-44A0-921B-D0926211952F}">
      <text>
        <r>
          <rPr>
            <b/>
            <sz val="9"/>
            <color indexed="81"/>
            <rFont val="Tahoma"/>
            <family val="2"/>
          </rPr>
          <t>Para medir dimensiones, niveles, fuerzas o vibraciones</t>
        </r>
      </text>
    </comment>
    <comment ref="AH1" authorId="0" shapeId="0" xr:uid="{6C6C043A-DF4D-4638-8395-F8A9AF8D8122}">
      <text>
        <r>
          <rPr>
            <b/>
            <sz val="9"/>
            <color indexed="81"/>
            <rFont val="Tahoma"/>
            <family val="2"/>
          </rPr>
          <t>Herramientas manuales diseñadas para realizar tareas como sujetar, cortar, apretar o ensamblar</t>
        </r>
      </text>
    </comment>
    <comment ref="AI1" authorId="0" shapeId="0" xr:uid="{A4BB263C-BBDD-4427-AC5B-4A7162D54489}">
      <text>
        <r>
          <rPr>
            <b/>
            <sz val="9"/>
            <color indexed="81"/>
            <rFont val="Tahoma"/>
            <family val="2"/>
          </rPr>
          <t>Utilizan fluidos a presión para generar fuerza</t>
        </r>
      </text>
    </comment>
    <comment ref="AK1" authorId="0" shapeId="0" xr:uid="{625FFA6A-4AC0-492A-BA10-59DB1D0CCBC1}">
      <text>
        <r>
          <rPr>
            <b/>
            <sz val="9"/>
            <color indexed="81"/>
            <rFont val="Tahoma"/>
            <family val="2"/>
          </rPr>
          <t>para levantar o mover cargas pesadas de manera segura.</t>
        </r>
      </text>
    </comment>
    <comment ref="AN1" authorId="0" shapeId="0" xr:uid="{04D0C5AB-42B6-4907-B85F-AAE3F09D09AB}">
      <text>
        <r>
          <rPr>
            <b/>
            <sz val="9"/>
            <color indexed="81"/>
            <rFont val="Tahoma"/>
            <family val="2"/>
          </rPr>
          <t>Componentes adicionales que complementan las herramientas principales</t>
        </r>
      </text>
    </comment>
    <comment ref="AE2" authorId="0" shapeId="0" xr:uid="{590F70BA-C599-4881-9748-A7D364CAF429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.
</t>
        </r>
      </text>
    </comment>
    <comment ref="AQ2" authorId="0" shapeId="0" xr:uid="{D018C3FE-BEB5-4009-9A58-091CCCD5E0E8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filtros, para mantenimiento, según la clasificacion que le dio
</t>
        </r>
      </text>
    </comment>
    <comment ref="AF4" authorId="0" shapeId="0" xr:uid="{A8D25A5B-3461-46F8-A82B-F112DC23780D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Impactor y pistola se llega a lo mismo según investigaciones
</t>
        </r>
      </text>
    </comment>
    <comment ref="AQ5" authorId="0" shapeId="0" xr:uid="{C00EDDBA-5488-4A9C-B82B-0F61A7DC3605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talvez solo el estuche de la sierra caladora y puede ir a electricas preguntar a filtro</t>
        </r>
      </text>
    </comment>
    <comment ref="AG8" authorId="0" shapeId="0" xr:uid="{56D3246D-FBB8-4FE3-B19A-4C9722088304}">
      <text>
        <r>
          <rPr>
            <b/>
            <sz val="9"/>
            <color indexed="81"/>
            <rFont val="Tahoma"/>
            <family val="2"/>
          </rPr>
          <t xml:space="preserve">tiene un subtipo
</t>
        </r>
      </text>
    </comment>
    <comment ref="AG10" authorId="0" shapeId="0" xr:uid="{87443F3B-6B91-4135-AFBE-5D678BBB1ABD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tiene una Subclasificion
</t>
        </r>
      </text>
    </comment>
    <comment ref="AN10" authorId="0" shapeId="0" xr:uid="{D7F65DC6-78A3-4867-8C1A-860A1D240A33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Accesorio
</t>
        </r>
      </text>
    </comment>
    <comment ref="AQ10" authorId="0" shapeId="0" xr:uid="{7331B472-3C23-4C24-86D9-1A127A3BC70E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Pedir que me muestren la herramienta, filtros
</t>
        </r>
      </text>
    </comment>
    <comment ref="AE11" authorId="0" shapeId="0" xr:uid="{5CD929B0-A4A0-4F30-A7B6-BF1AB74D41B9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seccion maquinas
</t>
        </r>
      </text>
    </comment>
    <comment ref="AN11" authorId="0" shapeId="0" xr:uid="{BF355CC0-9254-463D-AD45-FFE6B9A7C4CA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Es un accesorio
</t>
        </r>
      </text>
    </comment>
    <comment ref="AH12" authorId="0" shapeId="0" xr:uid="{25A1AFB1-270F-4D04-9E0B-14262707E226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Formalizar con una sublista todos los tipos de dados
</t>
        </r>
      </text>
    </comment>
    <comment ref="AN12" authorId="0" shapeId="0" xr:uid="{4E13CCB8-DFCA-4EA3-835F-5C81421A616F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accesorio para niveles laser
</t>
        </r>
      </text>
    </comment>
    <comment ref="AN13" authorId="0" shapeId="0" xr:uid="{BA145085-C363-45AD-A39F-484C068E820D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Accesorio</t>
        </r>
      </text>
    </comment>
    <comment ref="AE14" authorId="0" shapeId="0" xr:uid="{0979A970-D1A9-45CB-AFAB-4E9D426372BD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porque es electrico en filtros
</t>
        </r>
      </text>
    </comment>
    <comment ref="AG14" authorId="0" shapeId="0" xr:uid="{B5D12E31-07CD-46E8-B26F-498EBD9BCB0F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preguntar, filtros
</t>
        </r>
      </text>
    </comment>
    <comment ref="AN14" authorId="0" shapeId="0" xr:uid="{5E209FCF-DE99-45DB-859E-21F205EB53AA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Accesorio
</t>
        </r>
      </text>
    </comment>
    <comment ref="AN15" authorId="0" shapeId="0" xr:uid="{A7639038-B11A-47F5-83D5-9B3405EF8536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Accesorio de la bomba hidraulica
</t>
        </r>
      </text>
    </comment>
    <comment ref="AQ15" authorId="0" shapeId="0" xr:uid="{F58D3683-9465-43F6-A415-1A4CE3AB20E7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Puede ser mecanico por que es manual</t>
        </r>
      </text>
    </comment>
    <comment ref="AH16" authorId="0" shapeId="0" xr:uid="{D1CCF41B-D2F6-4BB8-BB69-ED4BCD843565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Giratorio, corto, largo de encastre</t>
        </r>
      </text>
    </comment>
    <comment ref="AN16" authorId="0" shapeId="0" xr:uid="{79D57823-A51C-4657-A357-C2CA1175D0A8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Accesorio
</t>
        </r>
      </text>
    </comment>
    <comment ref="AE17" authorId="0" shapeId="0" xr:uid="{27A37F4B-2B22-4E36-AAD6-00EA864FEBFA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Considera impactor o pistola impactor
</t>
        </r>
      </text>
    </comment>
    <comment ref="AH17" authorId="0" shapeId="0" xr:uid="{CD2DF958-306F-4EC6-98DB-CDE557F7DA3D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preguntar filtros
</t>
        </r>
      </text>
    </comment>
    <comment ref="AE18" authorId="0" shapeId="0" xr:uid="{6B2C99D0-E561-478E-83F7-D6ACEE5A0E5E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preguntar en flotacion
</t>
        </r>
      </text>
    </comment>
    <comment ref="AN19" authorId="0" shapeId="0" xr:uid="{78376F14-867B-4EB5-9050-A6634D480506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De PC SIS ST, descripcion hidraukica
flotacion
</t>
        </r>
      </text>
    </comment>
    <comment ref="AO24" authorId="0" shapeId="0" xr:uid="{116A322D-5677-4ADE-8F23-B55E1DC39A24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Es un accesorio
</t>
        </r>
      </text>
    </comment>
    <comment ref="AO25" authorId="0" shapeId="0" xr:uid="{F00EF2A6-EC14-4556-919F-291D2A3AE552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Accesorio
</t>
        </r>
      </text>
    </comment>
    <comment ref="AN30" authorId="0" shapeId="0" xr:uid="{03971507-03F4-4AE4-B27D-40661599A792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Es un accesorio
</t>
        </r>
      </text>
    </comment>
    <comment ref="AE31" authorId="0" shapeId="0" xr:uid="{FD387EAB-3C75-48B1-BE44-557FA417BFB4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Ver un comentario en celdas mas abajo
</t>
        </r>
      </text>
    </comment>
    <comment ref="AN31" authorId="0" shapeId="0" xr:uid="{ECCBE328-952A-4D0A-BBFA-4B8B9D4EDC11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Accesorio
</t>
        </r>
      </text>
    </comment>
    <comment ref="AF34" authorId="0" shapeId="0" xr:uid="{69E08F45-677F-46B3-BF7C-CBC3AF48AC58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Antes lubricador neumatico,tambien como engrasadora manual. filtros
</t>
        </r>
      </text>
    </comment>
    <comment ref="AE42" authorId="0" shapeId="0" xr:uid="{5E6E7E78-94AE-4003-89FE-11B3CCCEBE89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Considerar con el impactool electrico
</t>
        </r>
      </text>
    </comment>
    <comment ref="AG43" authorId="0" shapeId="0" xr:uid="{7FFE4903-B14C-4B41-88AF-EA110776E98D}">
      <text>
        <r>
          <rPr>
            <b/>
            <sz val="9"/>
            <color indexed="81"/>
            <rFont val="Tahoma"/>
            <family val="2"/>
          </rPr>
          <t xml:space="preserve">Los calibradores tengo que centralizar el nombre para eliminar la redundancia
</t>
        </r>
      </text>
    </comment>
    <comment ref="AH48" authorId="0" shapeId="0" xr:uid="{1EC6F333-0439-4182-929D-F67A3FDF6241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Giratorio, corto, largo de encastre</t>
        </r>
      </text>
    </comment>
    <comment ref="AE63" authorId="0" shapeId="0" xr:uid="{6C4AF0DF-CE4A-4435-8147-E0B513CF8F58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Considerar con el reflector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RYZEN 5</author>
  </authors>
  <commentList>
    <comment ref="AD1" authorId="0" shapeId="0" xr:uid="{C7B64775-76D8-440E-B2B6-944B7A1D1DE6}">
      <text>
        <r>
          <rPr>
            <b/>
            <sz val="9"/>
            <color indexed="81"/>
            <rFont val="Tahoma"/>
            <family val="2"/>
          </rPr>
          <t>funcionan con energía eléctrica</t>
        </r>
      </text>
    </comment>
    <comment ref="AE1" authorId="0" shapeId="0" xr:uid="{2D3E6EE0-02BA-40D0-928B-37F934762536}">
      <text>
        <r>
          <rPr>
            <b/>
            <sz val="9"/>
            <color indexed="81"/>
            <rFont val="Tahoma"/>
            <family val="2"/>
          </rPr>
          <t>utilizan aire comprimido como fuente de energía</t>
        </r>
      </text>
    </comment>
    <comment ref="AF1" authorId="0" shapeId="0" xr:uid="{E157EDED-FE83-415B-8499-D435097529E1}">
      <text>
        <r>
          <rPr>
            <b/>
            <sz val="9"/>
            <color indexed="81"/>
            <rFont val="Tahoma"/>
            <family val="2"/>
          </rPr>
          <t>Para medir dimensiones, niveles, fuerzas o vibraciones</t>
        </r>
      </text>
    </comment>
    <comment ref="AG1" authorId="0" shapeId="0" xr:uid="{298C3AD0-5817-40F0-BC8A-0D38BD01187F}">
      <text>
        <r>
          <rPr>
            <b/>
            <sz val="9"/>
            <color indexed="81"/>
            <rFont val="Tahoma"/>
            <family val="2"/>
          </rPr>
          <t>Herramientas manuales diseñadas para realizar tareas como sujetar, cortar, apretar o ensamblar</t>
        </r>
      </text>
    </comment>
    <comment ref="AH1" authorId="0" shapeId="0" xr:uid="{4291DB7C-7BEB-4DFA-9D30-D024016AC78F}">
      <text>
        <r>
          <rPr>
            <b/>
            <sz val="9"/>
            <color indexed="81"/>
            <rFont val="Tahoma"/>
            <family val="2"/>
          </rPr>
          <t>Utilizan fluidos a presión para generar fuerza</t>
        </r>
      </text>
    </comment>
    <comment ref="AJ1" authorId="0" shapeId="0" xr:uid="{8E93D8D7-0434-499A-A2FE-80B962024815}">
      <text>
        <r>
          <rPr>
            <b/>
            <sz val="9"/>
            <color indexed="81"/>
            <rFont val="Tahoma"/>
            <family val="2"/>
          </rPr>
          <t>para levantar o mover cargas pesadas de manera segura.</t>
        </r>
      </text>
    </comment>
    <comment ref="AM1" authorId="0" shapeId="0" xr:uid="{BA805B4C-C129-494F-B60B-9D0FDFA2BAA3}">
      <text>
        <r>
          <rPr>
            <b/>
            <sz val="9"/>
            <color indexed="81"/>
            <rFont val="Tahoma"/>
            <family val="2"/>
          </rPr>
          <t>Componentes adicionales que complementan las herramientas principales</t>
        </r>
      </text>
    </comment>
    <comment ref="AD2" authorId="0" shapeId="0" xr:uid="{8F01B3D3-24CF-4F2B-9450-AC9107B734E4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.
</t>
        </r>
      </text>
    </comment>
    <comment ref="AP2" authorId="0" shapeId="0" xr:uid="{2C2F34AB-DB1E-453F-8B72-5E6B5690C048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filtros, para mantenimiento, según la clasificacion que le dio
</t>
        </r>
      </text>
    </comment>
    <comment ref="AE4" authorId="0" shapeId="0" xr:uid="{C4B725AC-BE06-4FAE-B26C-39EC08751C00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Impactor y pistola se llega a lo mismo según investigaciones
</t>
        </r>
      </text>
    </comment>
    <comment ref="AP5" authorId="0" shapeId="0" xr:uid="{5CE9E144-B89A-4A09-94DA-B7094AD61385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talvez solo el estuche de la sierra caladora y puede ir a electricas preguntar a filtro</t>
        </r>
      </text>
    </comment>
    <comment ref="AF8" authorId="0" shapeId="0" xr:uid="{C82387D5-0E60-4433-96C6-50BB23561CD4}">
      <text>
        <r>
          <rPr>
            <b/>
            <sz val="9"/>
            <color indexed="81"/>
            <rFont val="Tahoma"/>
            <family val="2"/>
          </rPr>
          <t xml:space="preserve">tiene un subtipo
</t>
        </r>
      </text>
    </comment>
    <comment ref="AF10" authorId="0" shapeId="0" xr:uid="{F761D165-79B4-4D5F-844E-BC575F8BFC50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tiene una Subclasificion
</t>
        </r>
      </text>
    </comment>
    <comment ref="AM10" authorId="0" shapeId="0" xr:uid="{DCFC48FE-63D8-495D-9D6F-089C1924D843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Accesorio
</t>
        </r>
      </text>
    </comment>
    <comment ref="AP10" authorId="0" shapeId="0" xr:uid="{C2BDCE20-F919-4633-B97E-5C85337A3219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Pedir que me muestren la herramienta, filtros
</t>
        </r>
      </text>
    </comment>
    <comment ref="AD11" authorId="0" shapeId="0" xr:uid="{A7CC5790-9073-481A-9616-BCDC4258CAEE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seccion maquinas
</t>
        </r>
      </text>
    </comment>
    <comment ref="AM11" authorId="0" shapeId="0" xr:uid="{9F955068-30A9-4749-BBC9-332B350A6D0C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Es un accesorio
</t>
        </r>
      </text>
    </comment>
    <comment ref="AG12" authorId="0" shapeId="0" xr:uid="{F57342D1-0440-47C4-BE97-3AB0E6F1D52C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Formalizar con una sublista todos los tipos de dados
</t>
        </r>
      </text>
    </comment>
    <comment ref="AM12" authorId="0" shapeId="0" xr:uid="{2F015BD1-95F5-4545-8DA3-5CDFAF81820C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accesorio para niveles laser
</t>
        </r>
      </text>
    </comment>
    <comment ref="AM13" authorId="0" shapeId="0" xr:uid="{9065613A-3C18-4FEC-96CC-1C23C10004A5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Accesorio</t>
        </r>
      </text>
    </comment>
    <comment ref="AD14" authorId="0" shapeId="0" xr:uid="{499B7A2E-6D1C-4F80-A6C7-95146E6AB8E4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porque es electrico en filtros
</t>
        </r>
      </text>
    </comment>
    <comment ref="AF14" authorId="0" shapeId="0" xr:uid="{AF3F128A-7292-48EF-A997-A838CCC6A680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preguntar, filtros
</t>
        </r>
      </text>
    </comment>
    <comment ref="AM14" authorId="0" shapeId="0" xr:uid="{576BF605-8E02-4C5F-A99A-D0B88D4E9B25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Accesorio
</t>
        </r>
      </text>
    </comment>
    <comment ref="AM15" authorId="0" shapeId="0" xr:uid="{EEB6A4FA-AD3B-4628-AD57-EA234250C094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Accesorio de la bomba hidraulica
</t>
        </r>
      </text>
    </comment>
    <comment ref="AP15" authorId="0" shapeId="0" xr:uid="{92FC0073-F7A8-4AAF-BFF6-EBDA46CCDD80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Puede ser mecanico por que es manual</t>
        </r>
      </text>
    </comment>
    <comment ref="AG16" authorId="0" shapeId="0" xr:uid="{22194910-43DF-455D-A75B-13175CE7523D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Giratorio, corto, largo de encastre</t>
        </r>
      </text>
    </comment>
    <comment ref="AM16" authorId="0" shapeId="0" xr:uid="{EFAF6080-D770-4B2B-A2F9-2A34741241AF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Accesorio
</t>
        </r>
      </text>
    </comment>
    <comment ref="AD17" authorId="0" shapeId="0" xr:uid="{ABDB1656-514E-49A9-8D24-6709D4EA3348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Considera impactor o pistola impactor
</t>
        </r>
      </text>
    </comment>
    <comment ref="AG17" authorId="0" shapeId="0" xr:uid="{3A71208D-8D34-4923-8181-AD758CB4D1B4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preguntar filtros
</t>
        </r>
      </text>
    </comment>
    <comment ref="AD18" authorId="0" shapeId="0" xr:uid="{57825AAE-C23E-4942-A83F-F1FF6D07CAF1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preguntar en flotacion
</t>
        </r>
      </text>
    </comment>
    <comment ref="AM19" authorId="0" shapeId="0" xr:uid="{039A2920-3B20-4E9D-85A4-7A4C9120D134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De PC SIS ST, descripcion hidraukica
flotacion
</t>
        </r>
      </text>
    </comment>
    <comment ref="AN24" authorId="0" shapeId="0" xr:uid="{52465C13-91C9-4959-AD4E-8E89DDAD2114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Es un accesorio
</t>
        </r>
      </text>
    </comment>
    <comment ref="AN25" authorId="0" shapeId="0" xr:uid="{B73F9746-AB44-41DD-B000-595676618F1E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Accesorio
</t>
        </r>
      </text>
    </comment>
    <comment ref="AM30" authorId="0" shapeId="0" xr:uid="{0ADCD9B2-C2CE-42BA-9304-E5942908B0E2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Es un accesorio
</t>
        </r>
      </text>
    </comment>
    <comment ref="AD31" authorId="0" shapeId="0" xr:uid="{FBB32405-D9BF-49B2-810F-7B7F46F41212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Ver un comentario en celdas mas abajo
</t>
        </r>
      </text>
    </comment>
    <comment ref="AM31" authorId="0" shapeId="0" xr:uid="{F7EFB425-0118-4213-903A-6663838F1C37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Accesorio
</t>
        </r>
      </text>
    </comment>
    <comment ref="AE34" authorId="0" shapeId="0" xr:uid="{384ADB27-E5F5-442E-B4B3-A1F1F8FC1063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Antes lubricador neumatico,tambien como engrasadora manual. filtros
</t>
        </r>
      </text>
    </comment>
    <comment ref="AD42" authorId="0" shapeId="0" xr:uid="{23185C8D-414E-443B-B60E-ECD290C24248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Considerar con el impactool electrico
</t>
        </r>
      </text>
    </comment>
    <comment ref="AF43" authorId="0" shapeId="0" xr:uid="{C542B2A5-26DF-41C2-AE56-0A61F6F84CBF}">
      <text>
        <r>
          <rPr>
            <b/>
            <sz val="9"/>
            <color indexed="81"/>
            <rFont val="Tahoma"/>
            <family val="2"/>
          </rPr>
          <t xml:space="preserve">Los calibradores tengo que centralizar el nombre para eliminar la redundancia
</t>
        </r>
      </text>
    </comment>
    <comment ref="AG48" authorId="0" shapeId="0" xr:uid="{B28A69C8-FCFA-4530-806B-19D5F904CD6C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Giratorio, corto, largo de encastre</t>
        </r>
      </text>
    </comment>
    <comment ref="AD63" authorId="0" shapeId="0" xr:uid="{3C2154DD-0DA4-4456-A9DB-A8AFFD4ACDCA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Considerar con el reflector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RYZEN 5</author>
  </authors>
  <commentList>
    <comment ref="AB1" authorId="0" shapeId="0" xr:uid="{87E1862D-F6C3-48A4-9B74-10F71BF23B61}">
      <text>
        <r>
          <rPr>
            <b/>
            <sz val="9"/>
            <color indexed="81"/>
            <rFont val="Tahoma"/>
            <family val="2"/>
          </rPr>
          <t>funcionan con energía eléctrica</t>
        </r>
      </text>
    </comment>
    <comment ref="AC1" authorId="0" shapeId="0" xr:uid="{D7C4FDA4-6C9B-4307-88AB-000C431EF9DD}">
      <text>
        <r>
          <rPr>
            <b/>
            <sz val="9"/>
            <color indexed="81"/>
            <rFont val="Tahoma"/>
            <family val="2"/>
          </rPr>
          <t>utilizan aire comprimido como fuente de energía</t>
        </r>
      </text>
    </comment>
    <comment ref="AD1" authorId="0" shapeId="0" xr:uid="{666EC769-F686-48D6-BC29-A51F435C723F}">
      <text>
        <r>
          <rPr>
            <b/>
            <sz val="9"/>
            <color indexed="81"/>
            <rFont val="Tahoma"/>
            <family val="2"/>
          </rPr>
          <t>Para medir dimensiones, niveles, fuerzas o vibraciones</t>
        </r>
      </text>
    </comment>
    <comment ref="AE1" authorId="0" shapeId="0" xr:uid="{B0F11312-85CD-4303-8548-DA9A13A0AD8B}">
      <text>
        <r>
          <rPr>
            <b/>
            <sz val="9"/>
            <color indexed="81"/>
            <rFont val="Tahoma"/>
            <family val="2"/>
          </rPr>
          <t>Herramientas manuales diseñadas para realizar tareas como sujetar, cortar, apretar o ensamblar</t>
        </r>
      </text>
    </comment>
    <comment ref="AF1" authorId="0" shapeId="0" xr:uid="{0D574A11-4B18-4045-81C6-5C11883560A1}">
      <text>
        <r>
          <rPr>
            <b/>
            <sz val="9"/>
            <color indexed="81"/>
            <rFont val="Tahoma"/>
            <family val="2"/>
          </rPr>
          <t>Utilizan fluidos a presión para generar fuerza</t>
        </r>
      </text>
    </comment>
    <comment ref="AH1" authorId="0" shapeId="0" xr:uid="{417DD6B7-2119-4486-B53D-75655CE714FA}">
      <text>
        <r>
          <rPr>
            <b/>
            <sz val="9"/>
            <color indexed="81"/>
            <rFont val="Tahoma"/>
            <family val="2"/>
          </rPr>
          <t>para levantar o mover cargas pesadas de manera segura.</t>
        </r>
      </text>
    </comment>
    <comment ref="AK1" authorId="0" shapeId="0" xr:uid="{054ACECB-04E8-400E-9925-BB9A9EED0AC4}">
      <text>
        <r>
          <rPr>
            <b/>
            <sz val="9"/>
            <color indexed="81"/>
            <rFont val="Tahoma"/>
            <family val="2"/>
          </rPr>
          <t>Componentes adicionales que complementan las herramientas principales</t>
        </r>
      </text>
    </comment>
    <comment ref="AB2" authorId="0" shapeId="0" xr:uid="{DAA3F374-6EF1-4E58-8A4B-2DE8B91B1B70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.
</t>
        </r>
      </text>
    </comment>
    <comment ref="AN2" authorId="0" shapeId="0" xr:uid="{DABA560C-496A-4B27-8798-DA3990477CEC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filtros, para mantenimiento, según la clasificacion que le dio
</t>
        </r>
      </text>
    </comment>
    <comment ref="AC4" authorId="0" shapeId="0" xr:uid="{6D30C85A-6D7A-4D1D-A0C5-6498E804B6DF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Impactor y pistola se llega a lo mismo según investigaciones
</t>
        </r>
      </text>
    </comment>
    <comment ref="AN5" authorId="0" shapeId="0" xr:uid="{FAA8DF2B-280D-4678-A9FB-5FF615455551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talvez solo el estuche de la sierra caladora y puede ir a electricas preguntar a filtro</t>
        </r>
      </text>
    </comment>
    <comment ref="AD8" authorId="0" shapeId="0" xr:uid="{27A1CC7D-98DF-4F0A-A65E-94C62FB9559C}">
      <text>
        <r>
          <rPr>
            <b/>
            <sz val="9"/>
            <color indexed="81"/>
            <rFont val="Tahoma"/>
            <family val="2"/>
          </rPr>
          <t xml:space="preserve">tiene un subtipo
</t>
        </r>
      </text>
    </comment>
    <comment ref="AD10" authorId="0" shapeId="0" xr:uid="{4C0721A2-E9D4-4423-8BC1-349E816CA726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tiene una Subclasificion
</t>
        </r>
      </text>
    </comment>
    <comment ref="AK10" authorId="0" shapeId="0" xr:uid="{A226A0FB-DE27-4B3D-9DDD-D3505A9B524D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Accesorio
</t>
        </r>
      </text>
    </comment>
    <comment ref="AN10" authorId="0" shapeId="0" xr:uid="{8713B0CE-B86E-4448-92DB-84B282885061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Pedir que me muestren la herramienta, filtros
</t>
        </r>
      </text>
    </comment>
    <comment ref="AB11" authorId="0" shapeId="0" xr:uid="{10331DFB-6153-4087-9880-017F2F58F378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seccion maquinas
</t>
        </r>
      </text>
    </comment>
    <comment ref="AK11" authorId="0" shapeId="0" xr:uid="{B64E9881-62F6-4CB4-B6B4-B53013102375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Es un accesorio
</t>
        </r>
      </text>
    </comment>
    <comment ref="AE12" authorId="0" shapeId="0" xr:uid="{50A08297-CAFB-4356-B4FE-28215388F386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Formalizar con una sublista todos los tipos de dados
</t>
        </r>
      </text>
    </comment>
    <comment ref="AK12" authorId="0" shapeId="0" xr:uid="{3FE8EF86-6541-4706-9C3E-6314C15FE689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accesorio para niveles laser
</t>
        </r>
      </text>
    </comment>
    <comment ref="AK13" authorId="0" shapeId="0" xr:uid="{006DBE8F-066D-44F8-ABB5-C7113B4196CC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Accesorio</t>
        </r>
      </text>
    </comment>
    <comment ref="AB14" authorId="0" shapeId="0" xr:uid="{790F3D06-D2A1-410D-961B-62D2B2DA9CD7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porque es electrico en filtros
</t>
        </r>
      </text>
    </comment>
    <comment ref="AD14" authorId="0" shapeId="0" xr:uid="{0EF2DAAB-564D-4A61-AB50-BAE748AABAC8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preguntar, filtros
</t>
        </r>
      </text>
    </comment>
    <comment ref="AK14" authorId="0" shapeId="0" xr:uid="{73642BDA-34BC-44B6-9111-BAE0578EA5EA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Accesorio
</t>
        </r>
      </text>
    </comment>
    <comment ref="AK15" authorId="0" shapeId="0" xr:uid="{1B73BA50-5B8D-43E3-9B21-0851C007F5B5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Accesorio de la bomba hidraulica
</t>
        </r>
      </text>
    </comment>
    <comment ref="AN15" authorId="0" shapeId="0" xr:uid="{9747089E-D86B-4AEA-B636-EC7DD05619EC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Puede ser mecanico por que es manual</t>
        </r>
      </text>
    </comment>
    <comment ref="AE16" authorId="0" shapeId="0" xr:uid="{741B4029-934F-47B6-9C1C-4A61AA0EADD5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Giratorio, corto, largo de encastre</t>
        </r>
      </text>
    </comment>
    <comment ref="AK16" authorId="0" shapeId="0" xr:uid="{8F65AD0C-4A44-48D0-91B9-6124147B8CB5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Accesorio
</t>
        </r>
      </text>
    </comment>
    <comment ref="AB17" authorId="0" shapeId="0" xr:uid="{666DBEB1-7493-45EF-A78D-0C182D985657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Considera impactor o pistola impactor
</t>
        </r>
      </text>
    </comment>
    <comment ref="AE17" authorId="0" shapeId="0" xr:uid="{1080C3C5-F8D2-46E3-A466-45BD8F24E72D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preguntar filtros
</t>
        </r>
      </text>
    </comment>
    <comment ref="AB18" authorId="0" shapeId="0" xr:uid="{A8DE3C46-95C6-4374-A053-7AFF3C25965E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preguntar en flotacion
</t>
        </r>
      </text>
    </comment>
    <comment ref="AK19" authorId="0" shapeId="0" xr:uid="{BB50D696-DCFD-4448-BC7E-D3437364DBE5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De PC SIS ST, descripcion hidraukica
flotacion
</t>
        </r>
      </text>
    </comment>
    <comment ref="AL24" authorId="0" shapeId="0" xr:uid="{64BDD5BE-1557-4CBB-8997-C328E49C574D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Es un accesorio
</t>
        </r>
      </text>
    </comment>
    <comment ref="AL25" authorId="0" shapeId="0" xr:uid="{162C747D-08C3-460D-B64B-13412E8632CE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Accesorio
</t>
        </r>
      </text>
    </comment>
    <comment ref="AK30" authorId="0" shapeId="0" xr:uid="{0642CF3A-99C8-43B8-81FD-4204BB76F789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Es un accesorio
</t>
        </r>
      </text>
    </comment>
    <comment ref="AB31" authorId="0" shapeId="0" xr:uid="{A40CA5A2-FC12-43E8-A372-D25CE74B7A34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Ver un comentario en celdas mas abajo
</t>
        </r>
      </text>
    </comment>
    <comment ref="AK31" authorId="0" shapeId="0" xr:uid="{87CB3264-8A14-456C-8130-749D937D5B57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Accesorio
</t>
        </r>
      </text>
    </comment>
    <comment ref="AC34" authorId="0" shapeId="0" xr:uid="{96E82BBA-6F34-4858-808B-92A5BF32B592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Antes lubricador neumatico,tambien como engrasadora manual. filtros
</t>
        </r>
      </text>
    </comment>
    <comment ref="AB42" authorId="0" shapeId="0" xr:uid="{CD5C46D5-3539-48ED-BC11-38417CB54B45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Considerar con el impactool electrico
</t>
        </r>
      </text>
    </comment>
    <comment ref="AD43" authorId="0" shapeId="0" xr:uid="{DABDE459-3199-49BF-8117-FA68B0D0FA79}">
      <text>
        <r>
          <rPr>
            <b/>
            <sz val="9"/>
            <color indexed="81"/>
            <rFont val="Tahoma"/>
            <family val="2"/>
          </rPr>
          <t xml:space="preserve">Los calibradores tengo que centralizar el nombre para eliminar la redundancia
</t>
        </r>
      </text>
    </comment>
    <comment ref="AE48" authorId="0" shapeId="0" xr:uid="{83265D88-21FB-48B5-8F49-3F00ED56B6A2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Giratorio, corto, largo de encastre</t>
        </r>
      </text>
    </comment>
    <comment ref="AB63" authorId="0" shapeId="0" xr:uid="{5DC1E410-3B58-4924-8F7D-16021C6E798D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Considerar con el reflector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RYZEN 5</author>
  </authors>
  <commentList>
    <comment ref="AG1" authorId="0" shapeId="0" xr:uid="{858179A1-AD1C-4E93-B305-BC132B80E05C}">
      <text>
        <r>
          <rPr>
            <b/>
            <sz val="9"/>
            <color indexed="81"/>
            <rFont val="Tahoma"/>
            <family val="2"/>
          </rPr>
          <t>funcionan con energía eléctrica</t>
        </r>
      </text>
    </comment>
    <comment ref="AH1" authorId="0" shapeId="0" xr:uid="{0448BE46-DDFA-483E-9D39-1C930F1C66C0}">
      <text>
        <r>
          <rPr>
            <b/>
            <sz val="9"/>
            <color indexed="81"/>
            <rFont val="Tahoma"/>
            <family val="2"/>
          </rPr>
          <t>utilizan aire comprimido como fuente de energía</t>
        </r>
      </text>
    </comment>
    <comment ref="AI1" authorId="0" shapeId="0" xr:uid="{0A7004FF-3681-4992-9CE1-A77F1CD98953}">
      <text>
        <r>
          <rPr>
            <b/>
            <sz val="9"/>
            <color indexed="81"/>
            <rFont val="Tahoma"/>
            <family val="2"/>
          </rPr>
          <t>Para medir dimensiones, niveles, fuerzas o vibraciones</t>
        </r>
      </text>
    </comment>
    <comment ref="AJ1" authorId="0" shapeId="0" xr:uid="{06BF8081-DAD7-4E25-8807-5BC962D8325B}">
      <text>
        <r>
          <rPr>
            <b/>
            <sz val="9"/>
            <color indexed="81"/>
            <rFont val="Tahoma"/>
            <family val="2"/>
          </rPr>
          <t>Herramientas manuales diseñadas para realizar tareas como sujetar, cortar, apretar o ensamblar</t>
        </r>
      </text>
    </comment>
    <comment ref="AK1" authorId="0" shapeId="0" xr:uid="{007C1F2D-D27C-4E41-9858-ACBDDA9DB9CE}">
      <text>
        <r>
          <rPr>
            <b/>
            <sz val="9"/>
            <color indexed="81"/>
            <rFont val="Tahoma"/>
            <family val="2"/>
          </rPr>
          <t>Utilizan fluidos a presión para generar fuerza</t>
        </r>
      </text>
    </comment>
    <comment ref="AM1" authorId="0" shapeId="0" xr:uid="{CD972B6B-513E-407B-9749-472A4BAADF72}">
      <text>
        <r>
          <rPr>
            <b/>
            <sz val="9"/>
            <color indexed="81"/>
            <rFont val="Tahoma"/>
            <family val="2"/>
          </rPr>
          <t>para levantar o mover cargas pesadas de manera segura.</t>
        </r>
      </text>
    </comment>
    <comment ref="AP1" authorId="0" shapeId="0" xr:uid="{BEB03B32-59C8-4A8C-AFF8-DBC4E337D62A}">
      <text>
        <r>
          <rPr>
            <b/>
            <sz val="9"/>
            <color indexed="81"/>
            <rFont val="Tahoma"/>
            <family val="2"/>
          </rPr>
          <t>Componentes adicionales que complementan las herramientas principales</t>
        </r>
      </text>
    </comment>
    <comment ref="AG2" authorId="0" shapeId="0" xr:uid="{2E36A599-9C39-4428-BBBC-50CDE82B0989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.
</t>
        </r>
      </text>
    </comment>
    <comment ref="AS2" authorId="0" shapeId="0" xr:uid="{4D23BADD-E171-4A3C-9103-7267AADCB588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filtros, para mantenimiento, según la clasificacion que le dio
</t>
        </r>
      </text>
    </comment>
    <comment ref="AH4" authorId="0" shapeId="0" xr:uid="{FB806973-F69B-426E-A6BA-3C2D7BAF3567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Impactor y pistola se llega a lo mismo según investigaciones
</t>
        </r>
      </text>
    </comment>
    <comment ref="AS5" authorId="0" shapeId="0" xr:uid="{E7D34844-39A3-431B-99F8-CD388420EEC9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talvez solo el estuche de la sierra caladora y puede ir a electricas preguntar a filtro</t>
        </r>
      </text>
    </comment>
    <comment ref="AI8" authorId="0" shapeId="0" xr:uid="{AA5BF21C-51FB-44DF-A954-5C260BF28732}">
      <text>
        <r>
          <rPr>
            <b/>
            <sz val="9"/>
            <color indexed="81"/>
            <rFont val="Tahoma"/>
            <family val="2"/>
          </rPr>
          <t xml:space="preserve">tiene un subtipo
</t>
        </r>
      </text>
    </comment>
    <comment ref="AI10" authorId="0" shapeId="0" xr:uid="{862F6DEA-3297-4847-9E30-617659E2CC33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tiene una Subclasificion
</t>
        </r>
      </text>
    </comment>
    <comment ref="AP10" authorId="0" shapeId="0" xr:uid="{1FAF6A52-1DEB-436D-8E0B-CA6DF6DAAD15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Accesorio
</t>
        </r>
      </text>
    </comment>
    <comment ref="AS10" authorId="0" shapeId="0" xr:uid="{1262D3C7-3093-4460-A4A2-ABAFBDA2EDA8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Pedir que me muestren la herramienta, filtros
</t>
        </r>
      </text>
    </comment>
    <comment ref="AG11" authorId="0" shapeId="0" xr:uid="{13D90143-767D-4AF1-99A6-8DB79DCD688D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seccion maquinas
</t>
        </r>
      </text>
    </comment>
    <comment ref="AP11" authorId="0" shapeId="0" xr:uid="{C5DC409C-5ABB-468C-93FF-F2729379786A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Es un accesorio
</t>
        </r>
      </text>
    </comment>
    <comment ref="AJ12" authorId="0" shapeId="0" xr:uid="{EA066FD7-E7D8-4B3D-B1C6-E5FFCD0BA391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Formalizar con una sublista todos los tipos de dados
</t>
        </r>
      </text>
    </comment>
    <comment ref="AP12" authorId="0" shapeId="0" xr:uid="{F649DAC3-C6DB-45D3-8671-95E0EE76F830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accesorio para niveles laser
</t>
        </r>
      </text>
    </comment>
    <comment ref="AP13" authorId="0" shapeId="0" xr:uid="{09C915CD-28A4-4F6E-8D42-F81DF584D53A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Accesorio</t>
        </r>
      </text>
    </comment>
    <comment ref="AG14" authorId="0" shapeId="0" xr:uid="{6E0AFDFA-5B1A-4E3E-B65E-22376306BE55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porque es electrico en filtros
</t>
        </r>
      </text>
    </comment>
    <comment ref="AI14" authorId="0" shapeId="0" xr:uid="{6E713D3A-EFE0-4210-8007-CA459E6087F6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preguntar, filtros
</t>
        </r>
      </text>
    </comment>
    <comment ref="AP14" authorId="0" shapeId="0" xr:uid="{2E08A789-1238-44A1-9E81-96BF45DAEDBD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Accesorio
</t>
        </r>
      </text>
    </comment>
    <comment ref="AP15" authorId="0" shapeId="0" xr:uid="{28D7A7C5-38A4-41D1-8FC7-AFD91B54CB8C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Accesorio de la bomba hidraulica
</t>
        </r>
      </text>
    </comment>
    <comment ref="AS15" authorId="0" shapeId="0" xr:uid="{9D86D790-6B63-4E49-B91A-4F20E807B3D3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Puede ser mecanico por que es manual</t>
        </r>
      </text>
    </comment>
    <comment ref="AJ16" authorId="0" shapeId="0" xr:uid="{9CE082EC-3AC5-43C5-BB41-95E00228A7D4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Giratorio, corto, largo de encastre</t>
        </r>
      </text>
    </comment>
    <comment ref="AP16" authorId="0" shapeId="0" xr:uid="{AC60572F-2369-40AC-A6EA-32629003635B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Accesorio
</t>
        </r>
      </text>
    </comment>
    <comment ref="AG17" authorId="0" shapeId="0" xr:uid="{7E837409-3F27-475B-8C2B-7611AA082860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Considera impactor o pistola impactor
</t>
        </r>
      </text>
    </comment>
    <comment ref="AJ17" authorId="0" shapeId="0" xr:uid="{CE62DFD6-7ADC-4034-BD4C-58A8FD0C98F0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preguntar filtros
</t>
        </r>
      </text>
    </comment>
    <comment ref="AG18" authorId="0" shapeId="0" xr:uid="{4502319C-2607-451D-8E22-89675F221E90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preguntar en flotacion
</t>
        </r>
      </text>
    </comment>
    <comment ref="AP19" authorId="0" shapeId="0" xr:uid="{768BB867-1403-4934-B033-69E555F39417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De PC SIS ST, descripcion hidraukica
flotacion
</t>
        </r>
      </text>
    </comment>
    <comment ref="AQ24" authorId="0" shapeId="0" xr:uid="{3AD2AC68-3ED0-4E70-8461-5E72FCE84DCB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Es un accesorio
</t>
        </r>
      </text>
    </comment>
    <comment ref="AQ25" authorId="0" shapeId="0" xr:uid="{1DBF0467-D584-463D-B278-256CD4CC4E81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Accesorio
</t>
        </r>
      </text>
    </comment>
    <comment ref="AP30" authorId="0" shapeId="0" xr:uid="{DBB99E7E-1880-403D-B99F-E94999366BC3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Es un accesorio
</t>
        </r>
      </text>
    </comment>
    <comment ref="AG31" authorId="0" shapeId="0" xr:uid="{D907B6B9-4F28-4818-A52E-67B7095946DE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Ver un comentario en celdas mas abajo
</t>
        </r>
      </text>
    </comment>
    <comment ref="AP31" authorId="0" shapeId="0" xr:uid="{8DF18D4A-690A-4581-B416-66A9B685DA0E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Accesorio
</t>
        </r>
      </text>
    </comment>
    <comment ref="AH34" authorId="0" shapeId="0" xr:uid="{A5F2CD3E-C8B9-49F4-9343-BA738CCC98D5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Antes lubricador neumatico,tambien como engrasadora manual. filtros
</t>
        </r>
      </text>
    </comment>
    <comment ref="AG42" authorId="0" shapeId="0" xr:uid="{7B84D914-57D5-4B4E-BBBE-EBC52BB22B86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Considerar con el impactool electrico
</t>
        </r>
      </text>
    </comment>
    <comment ref="AI43" authorId="0" shapeId="0" xr:uid="{6265F9E5-1914-4225-B6A9-D73D1E8079A2}">
      <text>
        <r>
          <rPr>
            <b/>
            <sz val="9"/>
            <color indexed="81"/>
            <rFont val="Tahoma"/>
            <family val="2"/>
          </rPr>
          <t xml:space="preserve">Los calibradores tengo que centralizar el nombre para eliminar la redundancia
</t>
        </r>
      </text>
    </comment>
    <comment ref="AJ48" authorId="0" shapeId="0" xr:uid="{59FCED6E-4871-4CD1-881D-20662EFDDEAD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Giratorio, corto, largo de encastre</t>
        </r>
      </text>
    </comment>
    <comment ref="AG63" authorId="0" shapeId="0" xr:uid="{83AC3BDF-0316-4BA9-A770-322249A4DF7C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Considerar con el reflector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RYZEN 5</author>
  </authors>
  <commentList>
    <comment ref="AE1" authorId="0" shapeId="0" xr:uid="{C7056AE1-CA20-4A38-A543-868B6ECC9EB0}">
      <text>
        <r>
          <rPr>
            <b/>
            <sz val="9"/>
            <color indexed="81"/>
            <rFont val="Tahoma"/>
            <family val="2"/>
          </rPr>
          <t>funcionan con energía eléctrica</t>
        </r>
      </text>
    </comment>
    <comment ref="AF1" authorId="0" shapeId="0" xr:uid="{0A903BC0-D5C8-499E-B999-11E589A0992A}">
      <text>
        <r>
          <rPr>
            <b/>
            <sz val="9"/>
            <color indexed="81"/>
            <rFont val="Tahoma"/>
            <family val="2"/>
          </rPr>
          <t>utilizan aire comprimido como fuente de energía</t>
        </r>
      </text>
    </comment>
    <comment ref="AG1" authorId="0" shapeId="0" xr:uid="{4EC0AAEA-A056-4960-AA95-F34E90610046}">
      <text>
        <r>
          <rPr>
            <b/>
            <sz val="9"/>
            <color indexed="81"/>
            <rFont val="Tahoma"/>
            <family val="2"/>
          </rPr>
          <t>Para medir dimensiones, niveles, fuerzas o vibraciones</t>
        </r>
      </text>
    </comment>
    <comment ref="AH1" authorId="0" shapeId="0" xr:uid="{6F157C53-994F-4627-95E8-AF84EB526F5C}">
      <text>
        <r>
          <rPr>
            <b/>
            <sz val="9"/>
            <color indexed="81"/>
            <rFont val="Tahoma"/>
            <family val="2"/>
          </rPr>
          <t>Herramientas manuales diseñadas para realizar tareas como sujetar, cortar, apretar o ensamblar</t>
        </r>
      </text>
    </comment>
    <comment ref="AI1" authorId="0" shapeId="0" xr:uid="{6E9C9D6A-4DFC-4249-8EBA-B0F0DC448104}">
      <text>
        <r>
          <rPr>
            <b/>
            <sz val="9"/>
            <color indexed="81"/>
            <rFont val="Tahoma"/>
            <family val="2"/>
          </rPr>
          <t>Utilizan fluidos a presión para generar fuerza</t>
        </r>
      </text>
    </comment>
    <comment ref="AK1" authorId="0" shapeId="0" xr:uid="{C6D0C9F3-81BA-4D92-88E6-BB0CC0796F7A}">
      <text>
        <r>
          <rPr>
            <b/>
            <sz val="9"/>
            <color indexed="81"/>
            <rFont val="Tahoma"/>
            <family val="2"/>
          </rPr>
          <t>para levantar o mover cargas pesadas de manera segura.</t>
        </r>
      </text>
    </comment>
    <comment ref="AN1" authorId="0" shapeId="0" xr:uid="{B77FF36C-457D-4220-ABA4-CF16D217CD5A}">
      <text>
        <r>
          <rPr>
            <b/>
            <sz val="9"/>
            <color indexed="81"/>
            <rFont val="Tahoma"/>
            <family val="2"/>
          </rPr>
          <t>Componentes adicionales que complementan las herramientas principales</t>
        </r>
      </text>
    </comment>
    <comment ref="AE2" authorId="0" shapeId="0" xr:uid="{6A6695E0-962E-415B-B9FD-074FC6FAD2F5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.
</t>
        </r>
      </text>
    </comment>
    <comment ref="AQ2" authorId="0" shapeId="0" xr:uid="{A0D4F401-0D47-491C-97AC-C7729F89EACD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filtros, para mantenimiento, según la clasificacion que le dio
</t>
        </r>
      </text>
    </comment>
    <comment ref="AF4" authorId="0" shapeId="0" xr:uid="{AC8FC76D-5782-4EC5-8CA0-246A4D1E4E54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Impactor y pistola se llega a lo mismo según investigaciones
</t>
        </r>
      </text>
    </comment>
    <comment ref="AQ5" authorId="0" shapeId="0" xr:uid="{342BF86B-1679-4376-8B5B-B8F797957375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talvez solo el estuche de la sierra caladora y puede ir a electricas preguntar a filtro</t>
        </r>
      </text>
    </comment>
    <comment ref="AG8" authorId="0" shapeId="0" xr:uid="{EF3B6D83-CD1D-4AAF-9B47-5FA8D31D3DE1}">
      <text>
        <r>
          <rPr>
            <b/>
            <sz val="9"/>
            <color indexed="81"/>
            <rFont val="Tahoma"/>
            <family val="2"/>
          </rPr>
          <t xml:space="preserve">tiene un subtipo
</t>
        </r>
      </text>
    </comment>
    <comment ref="AG10" authorId="0" shapeId="0" xr:uid="{496B7DFA-5D28-4581-8CB0-ECE65472E5A3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tiene una Subclasificion
</t>
        </r>
      </text>
    </comment>
    <comment ref="AN10" authorId="0" shapeId="0" xr:uid="{CE8ADC5E-A570-4B30-9908-D2115B92860E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Accesorio
</t>
        </r>
      </text>
    </comment>
    <comment ref="AQ10" authorId="0" shapeId="0" xr:uid="{D84C1E3B-1D19-42F9-82D8-A64EFD537862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Pedir que me muestren la herramienta, filtros
</t>
        </r>
      </text>
    </comment>
    <comment ref="AE11" authorId="0" shapeId="0" xr:uid="{DD6D344E-1005-4F60-984F-DB58A070FFC8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seccion maquinas
</t>
        </r>
      </text>
    </comment>
    <comment ref="AN11" authorId="0" shapeId="0" xr:uid="{2C14EBB8-4733-427F-8908-E41818FB4FC6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Es un accesorio
</t>
        </r>
      </text>
    </comment>
    <comment ref="AH12" authorId="0" shapeId="0" xr:uid="{A326C497-3AA8-4E00-AD3D-CC76BFC8B24C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Formalizar con una sublista todos los tipos de dados
</t>
        </r>
      </text>
    </comment>
    <comment ref="AN12" authorId="0" shapeId="0" xr:uid="{BEE8B82B-6FA7-4F6F-91CC-083FF15C891E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accesorio para niveles laser
</t>
        </r>
      </text>
    </comment>
    <comment ref="AN13" authorId="0" shapeId="0" xr:uid="{A2684E60-D472-4F56-8CE2-C70EB2D97B9D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Accesorio</t>
        </r>
      </text>
    </comment>
    <comment ref="AE14" authorId="0" shapeId="0" xr:uid="{E64C83BB-4169-4A53-96EE-3F92B5216E3E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porque es electrico en filtros
</t>
        </r>
      </text>
    </comment>
    <comment ref="AG14" authorId="0" shapeId="0" xr:uid="{1C1E186E-A3D2-489A-8186-9DF114973801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preguntar, filtros
</t>
        </r>
      </text>
    </comment>
    <comment ref="AN14" authorId="0" shapeId="0" xr:uid="{05C1901A-08AD-4A8A-9C02-5E273D09A902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Accesorio
</t>
        </r>
      </text>
    </comment>
    <comment ref="AN15" authorId="0" shapeId="0" xr:uid="{26CF41FC-5210-43D2-B142-EEF5AF351723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Accesorio de la bomba hidraulica
</t>
        </r>
      </text>
    </comment>
    <comment ref="AQ15" authorId="0" shapeId="0" xr:uid="{BA38C6D6-E561-40A2-892E-9214706C71E0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Puede ser mecanico por que es manual</t>
        </r>
      </text>
    </comment>
    <comment ref="AH16" authorId="0" shapeId="0" xr:uid="{07865124-26F7-443C-A4F4-D9CA3A47BE4D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Giratorio, corto, largo de encastre</t>
        </r>
      </text>
    </comment>
    <comment ref="AN16" authorId="0" shapeId="0" xr:uid="{CC835DAD-2340-4174-BF47-176587BE9E58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Accesorio
</t>
        </r>
      </text>
    </comment>
    <comment ref="AE17" authorId="0" shapeId="0" xr:uid="{6144DB09-2F79-403A-BD00-5DAAC84D2F82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Considera impactor o pistola impactor
</t>
        </r>
      </text>
    </comment>
    <comment ref="AH17" authorId="0" shapeId="0" xr:uid="{E541F31A-0C9C-46CB-B9D7-7BEF1AAB1E65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preguntar filtros
</t>
        </r>
      </text>
    </comment>
    <comment ref="AE18" authorId="0" shapeId="0" xr:uid="{FE6EE969-E582-4B2B-99E8-68AC40ACEB5E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preguntar en flotacion
</t>
        </r>
      </text>
    </comment>
    <comment ref="AN19" authorId="0" shapeId="0" xr:uid="{FB2A9D0C-B071-4340-A210-921354C63BF5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De PC SIS ST, descripcion hidraukica
flotacion
</t>
        </r>
      </text>
    </comment>
    <comment ref="AO24" authorId="0" shapeId="0" xr:uid="{69E43148-EBB0-499A-92E3-2A296EB08AA6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Es un accesorio
</t>
        </r>
      </text>
    </comment>
    <comment ref="AO25" authorId="0" shapeId="0" xr:uid="{A4773A19-4464-4708-89D9-C108629A5E55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Accesorio
</t>
        </r>
      </text>
    </comment>
    <comment ref="AN30" authorId="0" shapeId="0" xr:uid="{2D4E843A-775F-4D18-9A6A-94B521E12748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Es un accesorio
</t>
        </r>
      </text>
    </comment>
    <comment ref="AE31" authorId="0" shapeId="0" xr:uid="{92C4F80C-57FF-4F9B-B43E-449A60B07AEF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Ver un comentario en celdas mas abajo
</t>
        </r>
      </text>
    </comment>
    <comment ref="AN31" authorId="0" shapeId="0" xr:uid="{AD002097-ED99-4AB3-A1DC-4B044BC4BB0E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Accesorio
</t>
        </r>
      </text>
    </comment>
    <comment ref="AF34" authorId="0" shapeId="0" xr:uid="{DD4526D8-392F-4C85-AD18-66A51801CAD0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Antes lubricador neumatico,tambien como engrasadora manual. filtros
</t>
        </r>
      </text>
    </comment>
    <comment ref="AE42" authorId="0" shapeId="0" xr:uid="{B5B946C2-6594-4681-A6EF-EDF63EA9101C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Considerar con el impactool electrico
</t>
        </r>
      </text>
    </comment>
    <comment ref="AG43" authorId="0" shapeId="0" xr:uid="{F9C1816F-A837-4D64-9215-AB91EC98839B}">
      <text>
        <r>
          <rPr>
            <b/>
            <sz val="9"/>
            <color indexed="81"/>
            <rFont val="Tahoma"/>
            <family val="2"/>
          </rPr>
          <t xml:space="preserve">Los calibradores tengo que centralizar el nombre para eliminar la redundancia
</t>
        </r>
      </text>
    </comment>
    <comment ref="AH48" authorId="0" shapeId="0" xr:uid="{5FED609D-DCF8-41F8-859B-CC328D2F28DC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Giratorio, corto, largo de encastre</t>
        </r>
      </text>
    </comment>
    <comment ref="AE63" authorId="0" shapeId="0" xr:uid="{568F834E-0404-4298-8F06-76AEDA5CB579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Considerar con el reflector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RYZEN 5</author>
  </authors>
  <commentList>
    <comment ref="K2" authorId="0" shapeId="0" xr:uid="{1A1076AB-5B90-4DE0-B7DE-CDB549863C8D}">
      <text>
        <r>
          <rPr>
            <b/>
            <sz val="9"/>
            <color indexed="81"/>
            <rFont val="Tahoma"/>
            <family val="2"/>
          </rPr>
          <t>funcionan con energía eléctrica</t>
        </r>
      </text>
    </comment>
    <comment ref="L2" authorId="0" shapeId="0" xr:uid="{F1C59CFB-7B30-4F21-A1B5-AAD9AD6DBA9E}">
      <text>
        <r>
          <rPr>
            <b/>
            <sz val="9"/>
            <color indexed="81"/>
            <rFont val="Tahoma"/>
            <family val="2"/>
          </rPr>
          <t>utilizan aire comprimido como fuente de energía</t>
        </r>
      </text>
    </comment>
    <comment ref="M2" authorId="0" shapeId="0" xr:uid="{0B0227A6-8C2E-4C8E-9D0C-EF36C6B81BD0}">
      <text>
        <r>
          <rPr>
            <b/>
            <sz val="9"/>
            <color indexed="81"/>
            <rFont val="Tahoma"/>
            <family val="2"/>
          </rPr>
          <t>Para medir dimensiones, niveles, fuerzas o vibraciones</t>
        </r>
      </text>
    </comment>
    <comment ref="N2" authorId="0" shapeId="0" xr:uid="{CEEDF684-A5F6-44B1-9C19-52EB088D3DD0}">
      <text>
        <r>
          <rPr>
            <b/>
            <sz val="9"/>
            <color indexed="81"/>
            <rFont val="Tahoma"/>
            <family val="2"/>
          </rPr>
          <t>Herramientas manuales diseñadas para realizar tareas como sujetar, cortar, apretar o ensamblar</t>
        </r>
      </text>
    </comment>
    <comment ref="O2" authorId="0" shapeId="0" xr:uid="{38F015B5-DD60-4BC0-94C3-AAAC72B9E351}">
      <text>
        <r>
          <rPr>
            <b/>
            <sz val="9"/>
            <color indexed="81"/>
            <rFont val="Tahoma"/>
            <family val="2"/>
          </rPr>
          <t>Utilizan fluidos a presión para generar fuerza</t>
        </r>
      </text>
    </comment>
    <comment ref="Q2" authorId="0" shapeId="0" xr:uid="{D8518C20-A139-4F75-B2E6-C88667396F80}">
      <text>
        <r>
          <rPr>
            <b/>
            <sz val="9"/>
            <color indexed="81"/>
            <rFont val="Tahoma"/>
            <family val="2"/>
          </rPr>
          <t>para levantar o mover cargas pesadas de manera segura.</t>
        </r>
      </text>
    </comment>
    <comment ref="T2" authorId="0" shapeId="0" xr:uid="{60F84B64-608B-40B9-AEB6-348901265769}">
      <text>
        <r>
          <rPr>
            <b/>
            <sz val="9"/>
            <color indexed="81"/>
            <rFont val="Tahoma"/>
            <family val="2"/>
          </rPr>
          <t>Componentes adicionales que complementan las herramientas principales</t>
        </r>
      </text>
    </comment>
    <comment ref="K3" authorId="0" shapeId="0" xr:uid="{5279D3F2-2B92-401E-BA13-F7CB82CCEBF0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.
</t>
        </r>
      </text>
    </comment>
    <comment ref="E4" authorId="0" shapeId="0" xr:uid="{001F4999-CE14-4DFD-9ADF-7329192F5986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.
</t>
        </r>
      </text>
    </comment>
    <comment ref="L5" authorId="0" shapeId="0" xr:uid="{D92D3906-63C3-4AC0-A83E-4A086771FD11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Impactor y pistola se llega a lo mismo según investigaciones
</t>
        </r>
      </text>
    </comment>
    <comment ref="I6" authorId="0" shapeId="0" xr:uid="{FC637B29-849F-44E8-9E12-AF989C9B938D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Impactor y pistola se llega a lo mismo según investigaciones
</t>
        </r>
      </text>
    </comment>
    <comment ref="M9" authorId="0" shapeId="0" xr:uid="{F58F27CF-8D18-4328-B4FD-DF471D9E5CB4}">
      <text>
        <r>
          <rPr>
            <b/>
            <sz val="9"/>
            <color indexed="81"/>
            <rFont val="Tahoma"/>
            <family val="2"/>
          </rPr>
          <t xml:space="preserve">tiene un subtipo
</t>
        </r>
      </text>
    </comment>
    <comment ref="G10" authorId="0" shapeId="0" xr:uid="{C8AC5D33-6BF6-4BDE-9255-339537F5DD66}">
      <text>
        <r>
          <rPr>
            <b/>
            <sz val="9"/>
            <color indexed="81"/>
            <rFont val="Tahoma"/>
            <family val="2"/>
          </rPr>
          <t xml:space="preserve">tiene un subtipo
</t>
        </r>
      </text>
    </comment>
    <comment ref="M11" authorId="0" shapeId="0" xr:uid="{2FE1229E-1438-4470-B0EB-3B0B91CB013D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tiene una Subclasificion
</t>
        </r>
      </text>
    </comment>
    <comment ref="T11" authorId="0" shapeId="0" xr:uid="{DA3FDD6D-C210-4F7A-AC43-D5899D131437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Accesorio
</t>
        </r>
      </text>
    </comment>
    <comment ref="G12" authorId="0" shapeId="0" xr:uid="{EF6C5128-C131-40CD-88DE-550798875249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tiene una Subclasificion
</t>
        </r>
      </text>
    </comment>
    <comment ref="K12" authorId="0" shapeId="0" xr:uid="{BA71718B-F3F7-45E1-B233-041CEED9849E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seccion maquinas
</t>
        </r>
      </text>
    </comment>
    <comment ref="T12" authorId="0" shapeId="0" xr:uid="{6656721A-A2F8-435D-B48B-EF28644518AA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Es un accesorio
</t>
        </r>
      </text>
    </comment>
    <comment ref="E13" authorId="0" shapeId="0" xr:uid="{6ABEF284-7FF0-4DB6-9E91-808D99EDEAAD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seccion maquinas
</t>
        </r>
      </text>
    </comment>
    <comment ref="N13" authorId="0" shapeId="0" xr:uid="{E225C08B-7C71-4189-B033-1E71CF0BD8F4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Formalizar con una sublista todos los tipos de dados
</t>
        </r>
      </text>
    </comment>
    <comment ref="T13" authorId="0" shapeId="0" xr:uid="{EA872B47-0D88-4A17-855D-6CC335A1FBA5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accesorio para niveles laser
</t>
        </r>
      </text>
    </comment>
    <comment ref="C14" authorId="0" shapeId="0" xr:uid="{B8B23429-6524-4359-A031-9FBEB38A754B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Formalizar con una sublista todos los tipos de dados
</t>
        </r>
      </text>
    </comment>
    <comment ref="T14" authorId="0" shapeId="0" xr:uid="{44535A08-AEC4-4F31-BF1B-57272B89CBDF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Accesorio</t>
        </r>
      </text>
    </comment>
    <comment ref="K15" authorId="0" shapeId="0" xr:uid="{0B3EBFAD-E106-49C8-8B12-820A4BD778FE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porque es electrico en filtros
</t>
        </r>
      </text>
    </comment>
    <comment ref="M15" authorId="0" shapeId="0" xr:uid="{C6318672-7481-4329-92DF-CC2A01DD7C37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preguntar, filtros
</t>
        </r>
      </text>
    </comment>
    <comment ref="T15" authorId="0" shapeId="0" xr:uid="{5C1BFE56-C1C4-47DD-8EE9-937CE4BA59BD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Accesorio
</t>
        </r>
      </text>
    </comment>
    <comment ref="E16" authorId="0" shapeId="0" xr:uid="{D89E73FD-66D7-4358-9E87-A1EE14162D25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porque es electrico en filtros
</t>
        </r>
      </text>
    </comment>
    <comment ref="G16" authorId="0" shapeId="0" xr:uid="{79799F0C-D3F0-4C15-A7DB-73FC5D2E7655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preguntar, filtros
</t>
        </r>
      </text>
    </comment>
    <comment ref="T16" authorId="0" shapeId="0" xr:uid="{1D4F81AD-1759-4319-86CA-A64C328E4DD9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Accesorio de la bomba hidraulica
</t>
        </r>
      </text>
    </comment>
    <comment ref="N17" authorId="0" shapeId="0" xr:uid="{10AE7C14-2D25-436B-B376-68067C867D0D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Giratorio, corto, largo de encastre</t>
        </r>
      </text>
    </comment>
    <comment ref="T17" authorId="0" shapeId="0" xr:uid="{91872A1E-FAB4-4E5A-BD35-C0CE600B0700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Accesorio
</t>
        </r>
      </text>
    </comment>
    <comment ref="C18" authorId="0" shapeId="0" xr:uid="{EEC3A5E4-76A6-4AF8-960D-FA69B0C6FE10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Giratorio, corto, largo de encastre</t>
        </r>
      </text>
    </comment>
    <comment ref="K18" authorId="0" shapeId="0" xr:uid="{7D918DFC-185B-411B-99B0-8E1E8C61714B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Considera impactor o pistola impactor
</t>
        </r>
      </text>
    </comment>
    <comment ref="N18" authorId="0" shapeId="0" xr:uid="{EA997811-9CB4-42A0-AE0E-17800AB9FF28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preguntar filtros
</t>
        </r>
      </text>
    </comment>
    <comment ref="C19" authorId="0" shapeId="0" xr:uid="{E558787A-3943-4749-959E-51228217D4DE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preguntar filtros
</t>
        </r>
      </text>
    </comment>
    <comment ref="E19" authorId="0" shapeId="0" xr:uid="{27AD8A2C-42B7-4002-B5BD-404CFCDEE68B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Considera impactor o pistola impactor
</t>
        </r>
      </text>
    </comment>
    <comment ref="K19" authorId="0" shapeId="0" xr:uid="{777608B6-2C1A-4519-B605-F2161704738A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preguntar en flotacion
</t>
        </r>
      </text>
    </comment>
    <comment ref="E20" authorId="0" shapeId="0" xr:uid="{6FBFD3B5-8DFB-4F56-8D7E-525224149783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preguntar en flotacion
</t>
        </r>
      </text>
    </comment>
    <comment ref="T20" authorId="0" shapeId="0" xr:uid="{422AA2F5-1D4F-4D5A-9B2C-D44F62767A2E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De PC SIS ST, descripcion hidraukica
flotacion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RYZEN 5</author>
  </authors>
  <commentList>
    <comment ref="B3" authorId="0" shapeId="0" xr:uid="{935A0F9C-2C8E-4912-827E-CA3C952DB844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.
</t>
        </r>
      </text>
    </comment>
    <comment ref="B12" authorId="0" shapeId="0" xr:uid="{588BD8DF-0528-4ABB-B5F5-E2FD37EE91FD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seccion maquinas
</t>
        </r>
      </text>
    </comment>
    <comment ref="B15" authorId="0" shapeId="0" xr:uid="{B09EB4BD-0481-40C9-8922-4BBF34D70667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porque es electrico en filtros
</t>
        </r>
      </text>
    </comment>
    <comment ref="B18" authorId="0" shapeId="0" xr:uid="{DE8508DC-DC23-4206-A38A-0992253BF395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Considera impactor o pistola impactor
</t>
        </r>
      </text>
    </comment>
    <comment ref="B19" authorId="0" shapeId="0" xr:uid="{6B227A8D-D0D3-45A0-A23C-EB83AAE71A94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preguntar en flotacion
</t>
        </r>
      </text>
    </comment>
    <comment ref="B24" authorId="0" shapeId="0" xr:uid="{27EA51E2-E90F-4E30-8F37-4E1D9220C30F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Impactor y pistola se llega a lo mismo según investigaciones
</t>
        </r>
      </text>
    </comment>
    <comment ref="B33" authorId="0" shapeId="0" xr:uid="{186AB3EC-0432-4E3A-83EB-ADF8CBC71EDA}">
      <text>
        <r>
          <rPr>
            <b/>
            <sz val="9"/>
            <color indexed="81"/>
            <rFont val="Tahoma"/>
            <family val="2"/>
          </rPr>
          <t xml:space="preserve">tiene un subtipo
</t>
        </r>
      </text>
    </comment>
    <comment ref="B35" authorId="0" shapeId="0" xr:uid="{9E1B5CEE-9B75-451B-B8D0-AC91499E775E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tiene una Subclasificion
</t>
        </r>
      </text>
    </comment>
    <comment ref="B39" authorId="0" shapeId="0" xr:uid="{9BCD96D1-855A-4757-8F02-B7A897B64BFC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preguntar, filtros
</t>
        </r>
      </text>
    </comment>
    <comment ref="B52" authorId="0" shapeId="0" xr:uid="{ECB8D5AA-B810-4FF0-82DE-4A67BDB27E8A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Formalizar con una sublista todos los tipos de dados
</t>
        </r>
      </text>
    </comment>
    <comment ref="B56" authorId="0" shapeId="0" xr:uid="{60B44C96-7AB9-46E8-9E93-553A69E966E6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Giratorio, corto, largo de encastre</t>
        </r>
      </text>
    </comment>
    <comment ref="B57" authorId="0" shapeId="0" xr:uid="{FD5DF218-B8D5-4035-BF21-745124D4FC3B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preguntar filtros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<sst xmlns="http://schemas.openxmlformats.org/spreadsheetml/2006/main" count="19427" uniqueCount="4353">
  <si>
    <t>ZE (MISC ELECTRICAL ITEMS)</t>
  </si>
  <si>
    <t>ZI (MISC INSTRUMENTATIONS ITEMS)</t>
  </si>
  <si>
    <t>ZZ (MISCELANEOUS ITEMS)</t>
  </si>
  <si>
    <t>ZM ( MISC MECHANICALS ITEMS )</t>
  </si>
  <si>
    <t>Herramientas_eléctricas</t>
  </si>
  <si>
    <t>Herramientas_neumáticas</t>
  </si>
  <si>
    <t>Herramientas_de_medición</t>
  </si>
  <si>
    <t>Herramientas_mecánicas</t>
  </si>
  <si>
    <t>Herramientas_hidráulicas</t>
  </si>
  <si>
    <t>Herramientas_de_izaje</t>
  </si>
  <si>
    <t>Otros</t>
  </si>
  <si>
    <t>Equipos</t>
  </si>
  <si>
    <t>Accesorios</t>
  </si>
  <si>
    <t>Soldadora</t>
  </si>
  <si>
    <t xml:space="preserve">Impactor </t>
  </si>
  <si>
    <t xml:space="preserve">Escuadra </t>
  </si>
  <si>
    <t>Correa</t>
  </si>
  <si>
    <t>Martillo quita pernos</t>
  </si>
  <si>
    <t>Retractil</t>
  </si>
  <si>
    <t>Tecle</t>
  </si>
  <si>
    <t>Escalera</t>
  </si>
  <si>
    <t>Equipo oxicorte</t>
  </si>
  <si>
    <t>Estuche oxicorte</t>
  </si>
  <si>
    <t>Amoladora</t>
  </si>
  <si>
    <t xml:space="preserve">Martillo </t>
  </si>
  <si>
    <t xml:space="preserve">Regla </t>
  </si>
  <si>
    <t>Prensa</t>
  </si>
  <si>
    <t>Corta pernos</t>
  </si>
  <si>
    <t>Arnes</t>
  </si>
  <si>
    <t>Eslinga</t>
  </si>
  <si>
    <t>Trans Pallets</t>
  </si>
  <si>
    <t>Boquillas oxicorte</t>
  </si>
  <si>
    <t>Percutor</t>
  </si>
  <si>
    <t xml:space="preserve">Pistola </t>
  </si>
  <si>
    <t>Nivel</t>
  </si>
  <si>
    <t>Llave</t>
  </si>
  <si>
    <t>Bomba</t>
  </si>
  <si>
    <t>Conector linea de vida</t>
  </si>
  <si>
    <t>Grilletes</t>
  </si>
  <si>
    <t>Equipo de extrusión de polipropileno</t>
  </si>
  <si>
    <t>Chispazo</t>
  </si>
  <si>
    <t>Extractor</t>
  </si>
  <si>
    <t>Llave de impacto</t>
  </si>
  <si>
    <t>Reloj comparador</t>
  </si>
  <si>
    <t>Combo</t>
  </si>
  <si>
    <t>Cilindro</t>
  </si>
  <si>
    <t>Cancamo</t>
  </si>
  <si>
    <t>Equipo Soldadura Argon</t>
  </si>
  <si>
    <t>Gafas oxicorte</t>
  </si>
  <si>
    <t xml:space="preserve">Taladro </t>
  </si>
  <si>
    <t>Tensiómetro</t>
  </si>
  <si>
    <t>Machos de roscar</t>
  </si>
  <si>
    <t>Gata</t>
  </si>
  <si>
    <t>Equipo Corte de plasma</t>
  </si>
  <si>
    <t>Manómetro para</t>
  </si>
  <si>
    <t>Pulidora</t>
  </si>
  <si>
    <t>Micrometro</t>
  </si>
  <si>
    <t>Alicate</t>
  </si>
  <si>
    <t>Pastillas</t>
  </si>
  <si>
    <t xml:space="preserve">Regulador de flujo para </t>
  </si>
  <si>
    <t>Esmeril</t>
  </si>
  <si>
    <t>Calibrador</t>
  </si>
  <si>
    <t>Torquimetro</t>
  </si>
  <si>
    <t>Kit Oxicorte</t>
  </si>
  <si>
    <t>Iluminación</t>
  </si>
  <si>
    <t>Cámara termográfica</t>
  </si>
  <si>
    <t>Multiplicador</t>
  </si>
  <si>
    <t xml:space="preserve">Botellón con </t>
  </si>
  <si>
    <t>Calentador</t>
  </si>
  <si>
    <t xml:space="preserve">Medidor de </t>
  </si>
  <si>
    <t>Tarrajas</t>
  </si>
  <si>
    <t>Extensible</t>
  </si>
  <si>
    <t>Maquina roscadora</t>
  </si>
  <si>
    <t>Bascula</t>
  </si>
  <si>
    <t>Barreta</t>
  </si>
  <si>
    <t>Pinza</t>
  </si>
  <si>
    <t xml:space="preserve"> </t>
  </si>
  <si>
    <t>Inclinómetro</t>
  </si>
  <si>
    <t>Dado</t>
  </si>
  <si>
    <t>Trípode Telescopico</t>
  </si>
  <si>
    <t>Sierra caladora</t>
  </si>
  <si>
    <t>Manómetro</t>
  </si>
  <si>
    <t>Ampliaciones</t>
  </si>
  <si>
    <t>Manómetro para oxigeno</t>
  </si>
  <si>
    <t>Cepillo de carpinteria</t>
  </si>
  <si>
    <t>Alineador de correas</t>
  </si>
  <si>
    <t>Sierra</t>
  </si>
  <si>
    <t>Valvulas antiretorno</t>
  </si>
  <si>
    <t>Hidrolavadora</t>
  </si>
  <si>
    <t>Estetoscopio</t>
  </si>
  <si>
    <t>Destornillador</t>
  </si>
  <si>
    <t xml:space="preserve">Manguera </t>
  </si>
  <si>
    <t xml:space="preserve">Alargador </t>
  </si>
  <si>
    <t>Conectores</t>
  </si>
  <si>
    <t>Impactor</t>
  </si>
  <si>
    <t>Matrices dobles exagonales</t>
  </si>
  <si>
    <t>Gancho</t>
  </si>
  <si>
    <t>Martillo</t>
  </si>
  <si>
    <t>Tijera</t>
  </si>
  <si>
    <t>Flexo</t>
  </si>
  <si>
    <t>Conectores enerpac</t>
  </si>
  <si>
    <t>Lubricador</t>
  </si>
  <si>
    <t>Mesa</t>
  </si>
  <si>
    <t>Estuche sacabocados</t>
  </si>
  <si>
    <t>ZE-PE</t>
  </si>
  <si>
    <t>ZE-EX</t>
  </si>
  <si>
    <t>ZE-TA</t>
  </si>
  <si>
    <t>ZE-PU</t>
  </si>
  <si>
    <t>ZE-ES</t>
  </si>
  <si>
    <t>ZE-IL</t>
  </si>
  <si>
    <t>ZE-CA</t>
  </si>
  <si>
    <t>ZE-MR</t>
  </si>
  <si>
    <t>ZE-TE</t>
  </si>
  <si>
    <t>ZE-SC</t>
  </si>
  <si>
    <t>ZE-CE</t>
  </si>
  <si>
    <t>ZE-HI</t>
  </si>
  <si>
    <t>ZE-IM</t>
  </si>
  <si>
    <t>ZE-MA</t>
  </si>
  <si>
    <t>ZE-LL</t>
  </si>
  <si>
    <t>ZE-LU</t>
  </si>
  <si>
    <t>ZZ-IM</t>
  </si>
  <si>
    <t>ZZ-MA</t>
  </si>
  <si>
    <t>ZZ-PI</t>
  </si>
  <si>
    <t>ZZ-LL</t>
  </si>
  <si>
    <t>ZZ-BO</t>
  </si>
  <si>
    <t>ZE-AM</t>
  </si>
  <si>
    <t>ZI-ES</t>
  </si>
  <si>
    <t>ZI-RE</t>
  </si>
  <si>
    <t>ZI-NI</t>
  </si>
  <si>
    <t>ZI-RC</t>
  </si>
  <si>
    <t>ZI-TE</t>
  </si>
  <si>
    <t>ZI-MI</t>
  </si>
  <si>
    <t>ZI-CA</t>
  </si>
  <si>
    <t>ZI-CT</t>
  </si>
  <si>
    <t>ZI-ME</t>
  </si>
  <si>
    <t>ZI-BA</t>
  </si>
  <si>
    <t>ZI-IN</t>
  </si>
  <si>
    <t>ZI-MA</t>
  </si>
  <si>
    <t>ZI-AL</t>
  </si>
  <si>
    <t>ZI-ET</t>
  </si>
  <si>
    <t>ZI-TO</t>
  </si>
  <si>
    <t>ZM-CO</t>
  </si>
  <si>
    <t>ZM-PR</t>
  </si>
  <si>
    <t>ZM-LL</t>
  </si>
  <si>
    <t>ZM-CB</t>
  </si>
  <si>
    <t>ZM-MR</t>
  </si>
  <si>
    <t>ZM-AL</t>
  </si>
  <si>
    <t>ZM-TR</t>
  </si>
  <si>
    <t>ZM-MU</t>
  </si>
  <si>
    <t>ZM-TA</t>
  </si>
  <si>
    <t>ZM-BA</t>
  </si>
  <si>
    <t>ZM-DA</t>
  </si>
  <si>
    <t>ZM-AM</t>
  </si>
  <si>
    <t>ZM-SI</t>
  </si>
  <si>
    <t>ZM-DE</t>
  </si>
  <si>
    <t>ZM-AR</t>
  </si>
  <si>
    <t>ZM-MD</t>
  </si>
  <si>
    <t>ZM-TI</t>
  </si>
  <si>
    <t>ZM-EX</t>
  </si>
  <si>
    <t>ZM-ME</t>
  </si>
  <si>
    <t>SPCC</t>
  </si>
  <si>
    <t>ZZ-CP</t>
  </si>
  <si>
    <t>ZZ-CI</t>
  </si>
  <si>
    <t>ZZ-GA</t>
  </si>
  <si>
    <t>ZZ-PA</t>
  </si>
  <si>
    <t>ZZ-CO</t>
  </si>
  <si>
    <t>ZZ-TE</t>
  </si>
  <si>
    <t>ZZ-ES</t>
  </si>
  <si>
    <t>ZZ-GR</t>
  </si>
  <si>
    <t>ZZ-CA</t>
  </si>
  <si>
    <t>Areas</t>
  </si>
  <si>
    <t>CHANCADO</t>
  </si>
  <si>
    <t>MOLIENDA</t>
  </si>
  <si>
    <t>FLOTACION</t>
  </si>
  <si>
    <t>FILTROS</t>
  </si>
  <si>
    <t>LUBRICACION</t>
  </si>
  <si>
    <t>ELECTRICO</t>
  </si>
  <si>
    <t>INSTRUMENTACION</t>
  </si>
  <si>
    <t>TALLER GENERAL</t>
  </si>
  <si>
    <t>GENERACIÓN</t>
  </si>
  <si>
    <t>CONFIABILIDAD</t>
  </si>
  <si>
    <t>RECURSOS HIDRICOS Y VIAS FERREAS</t>
  </si>
  <si>
    <t>Codigo</t>
  </si>
  <si>
    <t>CH</t>
  </si>
  <si>
    <t>FL</t>
  </si>
  <si>
    <t>FI</t>
  </si>
  <si>
    <t>LU</t>
  </si>
  <si>
    <t>GE</t>
  </si>
  <si>
    <t>CO</t>
  </si>
  <si>
    <t>ML</t>
  </si>
  <si>
    <t>ELT</t>
  </si>
  <si>
    <t>INS</t>
  </si>
  <si>
    <t>RH</t>
  </si>
  <si>
    <t xml:space="preserve">Forma de codificación para las herramientas y equipos </t>
  </si>
  <si>
    <t>Columna1</t>
  </si>
  <si>
    <t>Columna2</t>
  </si>
  <si>
    <t>Columna3</t>
  </si>
  <si>
    <t>Columna4</t>
  </si>
  <si>
    <t>ZE-SO</t>
  </si>
  <si>
    <t>ZM-ES</t>
  </si>
  <si>
    <t>Item</t>
  </si>
  <si>
    <t>Area</t>
  </si>
  <si>
    <t>Cantidad</t>
  </si>
  <si>
    <t>Clasificacion</t>
  </si>
  <si>
    <t>Descripción del equipo</t>
  </si>
  <si>
    <t>Marca</t>
  </si>
  <si>
    <t>Modelo</t>
  </si>
  <si>
    <t>Número de Serie</t>
  </si>
  <si>
    <t>Codigo de parte</t>
  </si>
  <si>
    <t>Ubicación</t>
  </si>
  <si>
    <t>Frecuencia de uso</t>
  </si>
  <si>
    <t>Estado</t>
  </si>
  <si>
    <t>Observaciones</t>
  </si>
  <si>
    <t>ID</t>
  </si>
  <si>
    <t>Clasificación</t>
  </si>
  <si>
    <t>Accesorios/ consumibles</t>
  </si>
  <si>
    <t>Operativo</t>
  </si>
  <si>
    <t>ESTUCHE DE ACCESORIOS PARA MONTAJE DE RODAMIENTIOS</t>
  </si>
  <si>
    <t>Kit de montaje de rodamientos</t>
  </si>
  <si>
    <t>Colocar en descripción detalle tecnico</t>
  </si>
  <si>
    <t>Bearing Fitting Tool</t>
  </si>
  <si>
    <t>Mismo que el estuche para montaje de rodamientos</t>
  </si>
  <si>
    <t>Inoperativo</t>
  </si>
  <si>
    <t>ESTUCHE DE TERRAJAS DIFERENRES MEDIDAS</t>
  </si>
  <si>
    <t>De Baja</t>
  </si>
  <si>
    <t>ESTUCHE DE EXTRACTORES SEGER</t>
  </si>
  <si>
    <t>ESTUCHE DE CALADORA</t>
  </si>
  <si>
    <t>ESTUCHE ESTRACTOR SEGURO SEGER</t>
  </si>
  <si>
    <t>Extractores SEGER SNAP ON PB147</t>
  </si>
  <si>
    <t>Mismo que el estuche de estractor seger</t>
  </si>
  <si>
    <t>BOTELLON CON OXIGENO</t>
  </si>
  <si>
    <t>Regulador de flujo para argon</t>
  </si>
  <si>
    <t>Diario</t>
  </si>
  <si>
    <t>Semanal</t>
  </si>
  <si>
    <t>De parada</t>
  </si>
  <si>
    <t>Nuevo requerimiento sobre equipos para prestamos</t>
  </si>
  <si>
    <t>SubClasificación de herramientas electricas</t>
  </si>
  <si>
    <t>SubClasificación de herramientas Neumaticas</t>
  </si>
  <si>
    <t>SubClasificación de herramientas de medición</t>
  </si>
  <si>
    <t>SubClasificación de herramientas mecanicas</t>
  </si>
  <si>
    <t>SubClasificación de herramientas hidraulicas</t>
  </si>
  <si>
    <t>EPP</t>
  </si>
  <si>
    <t>SubClasificación de herramientas de izaje</t>
  </si>
  <si>
    <t>SubClasificación de otros</t>
  </si>
  <si>
    <t>SubClasificación de equipos</t>
  </si>
  <si>
    <t>SubClasificación de Accesorios</t>
  </si>
  <si>
    <t>Soldadoras</t>
  </si>
  <si>
    <t xml:space="preserve">Llave </t>
  </si>
  <si>
    <t>Maquina de soldar</t>
  </si>
  <si>
    <t>Nivel magneto / laser</t>
  </si>
  <si>
    <t>Multiplicador de torsion</t>
  </si>
  <si>
    <t>Llave dinanometrica hidraulica</t>
  </si>
  <si>
    <t>Tecle de palanca (señorita)</t>
  </si>
  <si>
    <t xml:space="preserve">Pinza porta electrodo </t>
  </si>
  <si>
    <t>Arco de soldar</t>
  </si>
  <si>
    <t>Nivel laser transversal</t>
  </si>
  <si>
    <t>Pinza negativo</t>
  </si>
  <si>
    <t>Medidor</t>
  </si>
  <si>
    <t>Llaves</t>
  </si>
  <si>
    <t>Calentador por induccion</t>
  </si>
  <si>
    <t>Bomba de grasa</t>
  </si>
  <si>
    <t>Medidor de vibraciones</t>
  </si>
  <si>
    <t>Llave crescent</t>
  </si>
  <si>
    <t>Calentador de Rodamientos</t>
  </si>
  <si>
    <t>Medidor de vibraciones con 
acelerómetro integrado</t>
  </si>
  <si>
    <t>Llave de boca(Hidraulica)</t>
  </si>
  <si>
    <t xml:space="preserve">Medidor RPM </t>
  </si>
  <si>
    <t>Llave Stillson</t>
  </si>
  <si>
    <t>Llaves alen</t>
  </si>
  <si>
    <t>Camara termografica</t>
  </si>
  <si>
    <t>Llave mixta</t>
  </si>
  <si>
    <t>Martillo neumático; modelo TE 05P; marca Atlas Copco</t>
  </si>
  <si>
    <t>Cámara termográfica industrial</t>
  </si>
  <si>
    <t>Llave de golpe</t>
  </si>
  <si>
    <t>Llaves de bombas</t>
  </si>
  <si>
    <t>Vernier, pie de rey, de precisión</t>
  </si>
  <si>
    <t>Impactool eléctrico encastre</t>
  </si>
  <si>
    <t xml:space="preserve">Calibrador de lainas </t>
  </si>
  <si>
    <t>Pistola de impacto de encastre</t>
  </si>
  <si>
    <t>Calibrador torgum</t>
  </si>
  <si>
    <t>Tijera corta Lata Punta Curva</t>
  </si>
  <si>
    <t xml:space="preserve">Calibrador digital </t>
  </si>
  <si>
    <t>Alargador</t>
  </si>
  <si>
    <t>Micrómetro</t>
  </si>
  <si>
    <t>Alargador (giratorio, largo, corto) de encastre</t>
  </si>
  <si>
    <t>Extractor QB 30 cm (12")</t>
  </si>
  <si>
    <t>Micrometro de interiores</t>
  </si>
  <si>
    <t>extractor Blue Point E 1025</t>
  </si>
  <si>
    <t>Micrometro de exteriores</t>
  </si>
  <si>
    <t>Dados</t>
  </si>
  <si>
    <t>Barrote de fuerza del alargador de encastre</t>
  </si>
  <si>
    <t>Dado de encastre</t>
  </si>
  <si>
    <t>Dado estriado de encastre</t>
  </si>
  <si>
    <t>Esmeril recto</t>
  </si>
  <si>
    <t>Dado tubo de encastre</t>
  </si>
  <si>
    <t>Dado copa</t>
  </si>
  <si>
    <t>Dado de rotula</t>
  </si>
  <si>
    <t>Manometro</t>
  </si>
  <si>
    <t>Dado de impacto</t>
  </si>
  <si>
    <t>Manómetro digital</t>
  </si>
  <si>
    <t xml:space="preserve">Dado Torch </t>
  </si>
  <si>
    <t>Dado Corona</t>
  </si>
  <si>
    <t>Amoladora recta(turbineta)</t>
  </si>
  <si>
    <t>Estuche dados</t>
  </si>
  <si>
    <t>Torquimetro cuadrante</t>
  </si>
  <si>
    <t>Combos</t>
  </si>
  <si>
    <t>combo de teflon</t>
  </si>
  <si>
    <t>Lampara</t>
  </si>
  <si>
    <t>Reflector</t>
  </si>
  <si>
    <t xml:space="preserve">Etsuche detector con bateria y auriculares </t>
  </si>
  <si>
    <t>Mesa para tarraja</t>
  </si>
  <si>
    <t>Lubricador automático</t>
  </si>
  <si>
    <t>Bascula electrónica</t>
  </si>
  <si>
    <t>Alicates</t>
  </si>
  <si>
    <t>Alicates chaveteros</t>
  </si>
  <si>
    <t>Alicate loro</t>
  </si>
  <si>
    <t>Detalle del arco de soldar tiene el siguiente nombre Soldadoras Eléctricas Multiproceso</t>
  </si>
  <si>
    <t>Datos</t>
  </si>
  <si>
    <t>LOUISVILLE</t>
  </si>
  <si>
    <t>100-AT02-D-1688697</t>
  </si>
  <si>
    <t>ZM-E-INS-31</t>
  </si>
  <si>
    <t>BODEGA INSTRUMENTACION</t>
  </si>
  <si>
    <t>FS1504</t>
  </si>
  <si>
    <t>FS2004</t>
  </si>
  <si>
    <t>ZM-E-INS-04</t>
  </si>
  <si>
    <t>L-2091-17</t>
  </si>
  <si>
    <t>ZM-E-INS-03</t>
  </si>
  <si>
    <t>FE3108</t>
  </si>
  <si>
    <t>ZM-E-INST-32</t>
  </si>
  <si>
    <t>CONTENEDOR INSTRUMENTACION</t>
  </si>
  <si>
    <t>FM1508</t>
  </si>
  <si>
    <t>ZM-E-INS-5</t>
  </si>
  <si>
    <t>FS4004</t>
  </si>
  <si>
    <t>ZM-E-INS-1</t>
  </si>
  <si>
    <t>ZM-E-LU-04</t>
  </si>
  <si>
    <t>S/M</t>
  </si>
  <si>
    <t>S/S</t>
  </si>
  <si>
    <t>CUPRUM</t>
  </si>
  <si>
    <t>79204N</t>
  </si>
  <si>
    <t>S/C</t>
  </si>
  <si>
    <t>AS3002</t>
  </si>
  <si>
    <t>ZM-E-LU-06</t>
  </si>
  <si>
    <t>Cod. Antiguo</t>
  </si>
  <si>
    <t>Cód. Nuevo Asig</t>
  </si>
  <si>
    <t>Taller central lubricacion</t>
  </si>
  <si>
    <t>fs2004</t>
  </si>
  <si>
    <t>zm-e-elt-25</t>
  </si>
  <si>
    <t>ap1003</t>
  </si>
  <si>
    <t>zm-e-elt-32</t>
  </si>
  <si>
    <t>ZM-E-ELT-26</t>
  </si>
  <si>
    <t>792-04N</t>
  </si>
  <si>
    <t>9564108B28</t>
  </si>
  <si>
    <t>ZM-E-ELT-09</t>
  </si>
  <si>
    <t>FC2004</t>
  </si>
  <si>
    <t>ZM-E-ELT-27</t>
  </si>
  <si>
    <t>NO TIENE</t>
  </si>
  <si>
    <t>ZM-E-ELT-15</t>
  </si>
  <si>
    <t>ZM-E-ELT-24</t>
  </si>
  <si>
    <t>ZM-E-ELT-30</t>
  </si>
  <si>
    <t>FE1716</t>
  </si>
  <si>
    <t>ZM-E-ELT08</t>
  </si>
  <si>
    <t>ZM-E-ELT-05</t>
  </si>
  <si>
    <t>544-08N</t>
  </si>
  <si>
    <t>ZM-E-ELT-208</t>
  </si>
  <si>
    <t>ZM-E-ELT-06</t>
  </si>
  <si>
    <t>578-32E</t>
  </si>
  <si>
    <t>ZM-E-ELT-07</t>
  </si>
  <si>
    <t>ZM-E-ELT-12</t>
  </si>
  <si>
    <t>FE3236</t>
  </si>
  <si>
    <t>AE2240</t>
  </si>
  <si>
    <t>ZM-E-ELU-03</t>
  </si>
  <si>
    <t>ZM-E-ELT-46</t>
  </si>
  <si>
    <t>FS1512</t>
  </si>
  <si>
    <t>ZM-E-ELT-29</t>
  </si>
  <si>
    <t>ZM-E-ELT-11</t>
  </si>
  <si>
    <t>544-08E</t>
  </si>
  <si>
    <t>ZM-E-CO-07</t>
  </si>
  <si>
    <t>FB1504</t>
  </si>
  <si>
    <t>ZM-E-CO-09</t>
  </si>
  <si>
    <t>C-3271-04</t>
  </si>
  <si>
    <t>ZM-E-CO-08</t>
  </si>
  <si>
    <t>Tipo de escalera</t>
  </si>
  <si>
    <t>Tipo de Escalera</t>
  </si>
  <si>
    <t>ESCALERA SIMPLE DE UN TRAMO</t>
  </si>
  <si>
    <t>ESCALERA DOBLE O DE TIJERA</t>
  </si>
  <si>
    <t>ESCALERA EXTENSIBLE O TELESCÓPICA</t>
  </si>
  <si>
    <t>ESCALERA TIPO PLATAFORMA MOVIBLE</t>
  </si>
  <si>
    <t>Carga Maxima</t>
  </si>
  <si>
    <t>Longitud</t>
  </si>
  <si>
    <t>Diametro de disco</t>
  </si>
  <si>
    <t>RPMs</t>
  </si>
  <si>
    <t>TG</t>
  </si>
  <si>
    <t>3m</t>
  </si>
  <si>
    <t>300 lb</t>
  </si>
  <si>
    <t>FE311</t>
  </si>
  <si>
    <t>ZM-E-SO-13</t>
  </si>
  <si>
    <t>300 LB</t>
  </si>
  <si>
    <t>2.4 M</t>
  </si>
  <si>
    <t>2.2 M</t>
  </si>
  <si>
    <t>ZM-SO-12</t>
  </si>
  <si>
    <t>ZM-E-SO-16</t>
  </si>
  <si>
    <t>225 KG</t>
  </si>
  <si>
    <t>ZM-E-SO-14</t>
  </si>
  <si>
    <t>544-S8M</t>
  </si>
  <si>
    <t>548-08E</t>
  </si>
  <si>
    <t>E-FL-102</t>
  </si>
  <si>
    <t>2.4 m</t>
  </si>
  <si>
    <t>zm-e-so-18</t>
  </si>
  <si>
    <t>ZM-E-SO17</t>
  </si>
  <si>
    <t>2,4 M</t>
  </si>
  <si>
    <t>ZM-E-SO-09</t>
  </si>
  <si>
    <t>ZM-E-SO-21</t>
  </si>
  <si>
    <t>3,6 M</t>
  </si>
  <si>
    <t>ZM-E-SO-23</t>
  </si>
  <si>
    <t>ZM-E-SO-24</t>
  </si>
  <si>
    <t>ZM-E-SO-28</t>
  </si>
  <si>
    <t>TRUPER</t>
  </si>
  <si>
    <t>102 KG</t>
  </si>
  <si>
    <t>ZM-E-SO-26</t>
  </si>
  <si>
    <t>zm-e-so-06</t>
  </si>
  <si>
    <t>250 LB</t>
  </si>
  <si>
    <t>24 PIES</t>
  </si>
  <si>
    <t>ZM-E-SO-01</t>
  </si>
  <si>
    <t>400 LB</t>
  </si>
  <si>
    <t>40 PIES</t>
  </si>
  <si>
    <t>CINTA ROJA</t>
  </si>
  <si>
    <t>ZM-E-SO-4</t>
  </si>
  <si>
    <t>ZM-CO-04</t>
  </si>
  <si>
    <t>L-2094-13</t>
  </si>
  <si>
    <t>10 PULGADAS</t>
  </si>
  <si>
    <t>136 KG</t>
  </si>
  <si>
    <t>l-3042-03</t>
  </si>
  <si>
    <t>50 CM</t>
  </si>
  <si>
    <t>FE-1724</t>
  </si>
  <si>
    <t>230-ML-04</t>
  </si>
  <si>
    <t>230-ML-01</t>
  </si>
  <si>
    <t>230-ML-03</t>
  </si>
  <si>
    <t>230-ML-18</t>
  </si>
  <si>
    <t>230-ML-11</t>
  </si>
  <si>
    <t>230-ML-08</t>
  </si>
  <si>
    <t>230-ML-07</t>
  </si>
  <si>
    <t>FE7116</t>
  </si>
  <si>
    <t>16 PIES</t>
  </si>
  <si>
    <t>230-ML-32</t>
  </si>
  <si>
    <t>544-12N</t>
  </si>
  <si>
    <t>3,6 METROS</t>
  </si>
  <si>
    <t>230-ML-33</t>
  </si>
  <si>
    <t>FE3216</t>
  </si>
  <si>
    <t>230-ML-25</t>
  </si>
  <si>
    <t>230-ML-26</t>
  </si>
  <si>
    <t>8 PIES</t>
  </si>
  <si>
    <t>230-ML-31</t>
  </si>
  <si>
    <t>230-ML-27</t>
  </si>
  <si>
    <t>230-ML-28</t>
  </si>
  <si>
    <t>FM1506</t>
  </si>
  <si>
    <t>6 PIES</t>
  </si>
  <si>
    <t>ZM-E-CH-2</t>
  </si>
  <si>
    <t>250 KG</t>
  </si>
  <si>
    <t>FS2006</t>
  </si>
  <si>
    <t>ZM--E-CH.-15</t>
  </si>
  <si>
    <t>4 PIES</t>
  </si>
  <si>
    <t>ZM-E-CH-5</t>
  </si>
  <si>
    <t>FE7408</t>
  </si>
  <si>
    <t>ZM-E-CH-1</t>
  </si>
  <si>
    <t>L-20911017</t>
  </si>
  <si>
    <t>17 PIES</t>
  </si>
  <si>
    <t>ZM-E-CH-4</t>
  </si>
  <si>
    <t>792-04M</t>
  </si>
  <si>
    <t>225 LB</t>
  </si>
  <si>
    <t>ZM-E-CH-13</t>
  </si>
  <si>
    <t>ZM-E-CH-6</t>
  </si>
  <si>
    <t>220KG</t>
  </si>
  <si>
    <t>12 PIES</t>
  </si>
  <si>
    <t>FE7108</t>
  </si>
  <si>
    <t>780ESC002</t>
  </si>
  <si>
    <t>780ESC004</t>
  </si>
  <si>
    <t>FP1504</t>
  </si>
  <si>
    <t>780ESC003</t>
  </si>
  <si>
    <t>22 PIES</t>
  </si>
  <si>
    <t>5 PIES</t>
  </si>
  <si>
    <t>ZM-E-ELT-02</t>
  </si>
  <si>
    <t>780ESC001</t>
  </si>
  <si>
    <t>FE7240</t>
  </si>
  <si>
    <t>300LB</t>
  </si>
  <si>
    <t>ZM-E-FI-01</t>
  </si>
  <si>
    <t>320-ES-003</t>
  </si>
  <si>
    <t>320-ES-010</t>
  </si>
  <si>
    <t>49424N</t>
  </si>
  <si>
    <t>150 KG</t>
  </si>
  <si>
    <t>E33224</t>
  </si>
  <si>
    <t>C-2124-24-SLN</t>
  </si>
  <si>
    <t>113 KG</t>
  </si>
  <si>
    <t>FI-011</t>
  </si>
  <si>
    <t>320-ES-001</t>
  </si>
  <si>
    <t>14 PIES</t>
  </si>
  <si>
    <t>320-ES-006</t>
  </si>
  <si>
    <t>STANLEY</t>
  </si>
  <si>
    <t>320-ES-017</t>
  </si>
  <si>
    <t>SXL21208</t>
  </si>
  <si>
    <t>320-ES-009</t>
  </si>
  <si>
    <t>320-ES-013</t>
  </si>
  <si>
    <t>250-E-FL-093</t>
  </si>
  <si>
    <t>FERPAK</t>
  </si>
  <si>
    <t>19 PIES</t>
  </si>
  <si>
    <t>250-E-FL-014</t>
  </si>
  <si>
    <t>250-E-FL-010</t>
  </si>
  <si>
    <t>250-E-FL-001</t>
  </si>
  <si>
    <t>240-E-FL-060</t>
  </si>
  <si>
    <t>250-FL-103</t>
  </si>
  <si>
    <t>250-E-FL-102</t>
  </si>
  <si>
    <t xml:space="preserve">136 KG </t>
  </si>
  <si>
    <t>240-E-FL-62</t>
  </si>
  <si>
    <t>250-E-FL-042</t>
  </si>
  <si>
    <t>20 PIES</t>
  </si>
  <si>
    <t>240-E-FL-064</t>
  </si>
  <si>
    <t>18 PIES</t>
  </si>
  <si>
    <t>250-E-FL-008</t>
  </si>
  <si>
    <t>250-E-FL-018</t>
  </si>
  <si>
    <t>250-E-FL-041</t>
  </si>
  <si>
    <t>240-E-FL-063</t>
  </si>
  <si>
    <t>250-E-FL-013</t>
  </si>
  <si>
    <t>250-E-FL-007</t>
  </si>
  <si>
    <t>250-E-FL-94</t>
  </si>
  <si>
    <t>250-E-FL-015</t>
  </si>
  <si>
    <t>E-FL-60</t>
  </si>
  <si>
    <t>AE4114</t>
  </si>
  <si>
    <t>250-E-FL-92</t>
  </si>
  <si>
    <t>E-FL-01</t>
  </si>
  <si>
    <t>E-FL-068</t>
  </si>
  <si>
    <t>440-08N</t>
  </si>
  <si>
    <t>175 KG</t>
  </si>
  <si>
    <t>240-E-FL-81</t>
  </si>
  <si>
    <t>ZM-E-FL-100</t>
  </si>
  <si>
    <t>250-E-FL-035</t>
  </si>
  <si>
    <t>301 LB</t>
  </si>
  <si>
    <t>302 LB</t>
  </si>
  <si>
    <t>303 LB</t>
  </si>
  <si>
    <t>9 PIES</t>
  </si>
  <si>
    <t>10 PIES</t>
  </si>
  <si>
    <t>11 PIES</t>
  </si>
  <si>
    <t>250-E-FL-048</t>
  </si>
  <si>
    <t>E-FL-036</t>
  </si>
  <si>
    <t>440-10N</t>
  </si>
  <si>
    <t>240-E-FL-302</t>
  </si>
  <si>
    <t>240-SN</t>
  </si>
  <si>
    <t>FE3112</t>
  </si>
  <si>
    <t>250-E-FL-020</t>
  </si>
  <si>
    <t>250-E-FL-80</t>
  </si>
  <si>
    <t>90 KG</t>
  </si>
  <si>
    <t>SKL2320-20</t>
  </si>
  <si>
    <t>ZM-E-FL-089</t>
  </si>
  <si>
    <t>30 PIES</t>
  </si>
  <si>
    <t>FLT-208</t>
  </si>
  <si>
    <t>FLT-210</t>
  </si>
  <si>
    <t>FLT-207</t>
  </si>
  <si>
    <t>FM1510</t>
  </si>
  <si>
    <t>135 KG</t>
  </si>
  <si>
    <t>SKL2212-10</t>
  </si>
  <si>
    <t>710ZM-E-FL-040</t>
  </si>
  <si>
    <t>FLT-209</t>
  </si>
  <si>
    <t>240-FL-027</t>
  </si>
  <si>
    <t>240-E-FL-0101</t>
  </si>
  <si>
    <t>36 PIES</t>
  </si>
  <si>
    <t>ZM-RH-001</t>
  </si>
  <si>
    <t>7 PIES</t>
  </si>
  <si>
    <t>ZM-E-RH-003</t>
  </si>
  <si>
    <t>voltaje</t>
  </si>
  <si>
    <t>Potencia</t>
  </si>
  <si>
    <t>Diametro máximo</t>
  </si>
  <si>
    <t xml:space="preserve">Diametro de discos </t>
  </si>
  <si>
    <t>Voltaje</t>
  </si>
  <si>
    <t>amperaje</t>
  </si>
  <si>
    <t>BOSCH</t>
  </si>
  <si>
    <t>ILEGIBLE</t>
  </si>
  <si>
    <t>DEWALT</t>
  </si>
  <si>
    <t>DCD940</t>
  </si>
  <si>
    <t>18V</t>
  </si>
  <si>
    <t>060119B439</t>
  </si>
  <si>
    <t>120V</t>
  </si>
  <si>
    <t>8,5A</t>
  </si>
  <si>
    <t>1/2'' * 3/4''  1100/ 3000MIN</t>
  </si>
  <si>
    <t>701W</t>
  </si>
  <si>
    <t>0-1000 / 3000 MIN 13/8mm</t>
  </si>
  <si>
    <t>GSB20-2RE</t>
  </si>
  <si>
    <t>DC920</t>
  </si>
  <si>
    <t>0-450/MIN 0-1500 0-2000</t>
  </si>
  <si>
    <t>0-1100 /3000 1/2 3/4 ''</t>
  </si>
  <si>
    <t>HILTI</t>
  </si>
  <si>
    <t>TE6-S</t>
  </si>
  <si>
    <t>50 60HZ 0-880MIN HORMIGON 1'', ACERO 1/2''</t>
  </si>
  <si>
    <t>GWS9-115</t>
  </si>
  <si>
    <t xml:space="preserve">240V </t>
  </si>
  <si>
    <t>900W</t>
  </si>
  <si>
    <t>AMPERAJE</t>
  </si>
  <si>
    <t>4,2A</t>
  </si>
  <si>
    <t>115mm</t>
  </si>
  <si>
    <t>50/60hz</t>
  </si>
  <si>
    <t>GEH4-32DFR</t>
  </si>
  <si>
    <t>13mm</t>
  </si>
  <si>
    <t>0-1100 / 0-3000</t>
  </si>
  <si>
    <t>EE-07</t>
  </si>
  <si>
    <t>GBH2-26 DRF</t>
  </si>
  <si>
    <t>50/60HZ</t>
  </si>
  <si>
    <t>HH-30</t>
  </si>
  <si>
    <t>TE7</t>
  </si>
  <si>
    <t>220-230</t>
  </si>
  <si>
    <t>GSB18VE-2-LI</t>
  </si>
  <si>
    <t>EE-18</t>
  </si>
  <si>
    <t>EE-17</t>
  </si>
  <si>
    <t>GSB18V18-LI</t>
  </si>
  <si>
    <t>GSR12V-300HX</t>
  </si>
  <si>
    <t>MAKITA</t>
  </si>
  <si>
    <t>XAG09</t>
  </si>
  <si>
    <t>I-2</t>
  </si>
  <si>
    <t>GSW9-115</t>
  </si>
  <si>
    <t>22-240</t>
  </si>
  <si>
    <t>220-240</t>
  </si>
  <si>
    <t>EE-16</t>
  </si>
  <si>
    <t>EE-15</t>
  </si>
  <si>
    <t>Taladro de banco</t>
  </si>
  <si>
    <t>ZE-TB</t>
  </si>
  <si>
    <t>50cm</t>
  </si>
  <si>
    <t>TB131</t>
  </si>
  <si>
    <t>0,25KW</t>
  </si>
  <si>
    <t>GSB16RE</t>
  </si>
  <si>
    <t>3601B185</t>
  </si>
  <si>
    <t>Equipos de soldar</t>
  </si>
  <si>
    <t>LINCOLN</t>
  </si>
  <si>
    <t>P1180406178</t>
  </si>
  <si>
    <t>INVERTEC270SX</t>
  </si>
  <si>
    <t>400V</t>
  </si>
  <si>
    <t>20,4 14,5 A</t>
  </si>
  <si>
    <t>AMPERIOS</t>
  </si>
  <si>
    <t>VOLTAJE</t>
  </si>
  <si>
    <t>MA270229G</t>
  </si>
  <si>
    <t>CST280</t>
  </si>
  <si>
    <t>ME241443N</t>
  </si>
  <si>
    <t>MILLOR JHORMATIC 180</t>
  </si>
  <si>
    <t>MILLER</t>
  </si>
  <si>
    <t>MILWAUKEE</t>
  </si>
  <si>
    <t>7''/180mm</t>
  </si>
  <si>
    <t>E73A13481097</t>
  </si>
  <si>
    <t>HEM-3002</t>
  </si>
  <si>
    <t>8500/min</t>
  </si>
  <si>
    <t>6086S-59</t>
  </si>
  <si>
    <t>ilegible</t>
  </si>
  <si>
    <t>ZM-A-ELT-111</t>
  </si>
  <si>
    <t>GD0800C</t>
  </si>
  <si>
    <t>25mm</t>
  </si>
  <si>
    <t>AA-800</t>
  </si>
  <si>
    <t>GWS12-125S</t>
  </si>
  <si>
    <t>125mm</t>
  </si>
  <si>
    <t>A-ELT-02</t>
  </si>
  <si>
    <t>GWS-670</t>
  </si>
  <si>
    <t>ELT-005</t>
  </si>
  <si>
    <t>9557HN</t>
  </si>
  <si>
    <t>ELT-002</t>
  </si>
  <si>
    <t>GSR18-2LIPLUS</t>
  </si>
  <si>
    <t>TE-2</t>
  </si>
  <si>
    <t>0-500/0-1900 13mm</t>
  </si>
  <si>
    <t>GSB13RE</t>
  </si>
  <si>
    <t>0-3800 13mm</t>
  </si>
  <si>
    <t>PP-01</t>
  </si>
  <si>
    <t>LO DEMAS ILEGIBLE</t>
  </si>
  <si>
    <t>GSR6-45TE</t>
  </si>
  <si>
    <t>HEM-2012</t>
  </si>
  <si>
    <t>0-4500 6mm</t>
  </si>
  <si>
    <t>TPD-27</t>
  </si>
  <si>
    <t>0-1100/ 0-3000 13mm</t>
  </si>
  <si>
    <t>ELT-316</t>
  </si>
  <si>
    <t>0-3250 13mm</t>
  </si>
  <si>
    <t>GCO14-24</t>
  </si>
  <si>
    <t>355mm</t>
  </si>
  <si>
    <t>SC-01</t>
  </si>
  <si>
    <t>GSB18V-65</t>
  </si>
  <si>
    <t>VEM-2038</t>
  </si>
  <si>
    <t>0-550/0-2100 13mm</t>
  </si>
  <si>
    <t>DAYTON</t>
  </si>
  <si>
    <t>2Z425U</t>
  </si>
  <si>
    <t>HEM2001</t>
  </si>
  <si>
    <t>15cm</t>
  </si>
  <si>
    <t>taller electrico</t>
  </si>
  <si>
    <t>120 - 240</t>
  </si>
  <si>
    <t>GCO230</t>
  </si>
  <si>
    <t>HEM-2032</t>
  </si>
  <si>
    <t>HB500</t>
  </si>
  <si>
    <t>ELT-50</t>
  </si>
  <si>
    <t>M3995</t>
  </si>
  <si>
    <t>50-60</t>
  </si>
  <si>
    <t>FONTEMEGAFORTE250iD</t>
  </si>
  <si>
    <t>ELT-52</t>
  </si>
  <si>
    <t>Z3250300479</t>
  </si>
  <si>
    <t>30,3-35,3</t>
  </si>
  <si>
    <t>110-220</t>
  </si>
  <si>
    <t>HM-2040</t>
  </si>
  <si>
    <t>HEM-2039</t>
  </si>
  <si>
    <t>200i-ST</t>
  </si>
  <si>
    <t>GLT51</t>
  </si>
  <si>
    <t>U1080704389</t>
  </si>
  <si>
    <t>010ERT</t>
  </si>
  <si>
    <t>M-2030</t>
  </si>
  <si>
    <t>GCO14-1</t>
  </si>
  <si>
    <t>Dado de baja/ DEMAS DATOS NO VISIBLES</t>
  </si>
  <si>
    <t>GWS13-125</t>
  </si>
  <si>
    <t>GWS26-180</t>
  </si>
  <si>
    <t>AE-LU-04</t>
  </si>
  <si>
    <t>AE-LU-07</t>
  </si>
  <si>
    <t>208-230/400-460</t>
  </si>
  <si>
    <t>36-34/20-17</t>
  </si>
  <si>
    <t>MA490053G</t>
  </si>
  <si>
    <t>CST280VRD</t>
  </si>
  <si>
    <t>HEDU</t>
  </si>
  <si>
    <t>FL02</t>
  </si>
  <si>
    <t>NEO</t>
  </si>
  <si>
    <t>TC932</t>
  </si>
  <si>
    <t>FL-01</t>
  </si>
  <si>
    <t>PARA DAR DE BAJA</t>
  </si>
  <si>
    <t>27-35,3</t>
  </si>
  <si>
    <t>MG104319U</t>
  </si>
  <si>
    <t>XMT425VS</t>
  </si>
  <si>
    <t>FLNS003</t>
  </si>
  <si>
    <t>area de soldar</t>
  </si>
  <si>
    <t>ESPECTRUM1251</t>
  </si>
  <si>
    <t>100-265</t>
  </si>
  <si>
    <t>17-35</t>
  </si>
  <si>
    <t>ARCWELD200i -ST</t>
  </si>
  <si>
    <t>FLOT-A-RS-03-20</t>
  </si>
  <si>
    <t>10-200</t>
  </si>
  <si>
    <t>BODEGA</t>
  </si>
  <si>
    <t>FLEXTEC350X</t>
  </si>
  <si>
    <t>U1250900397</t>
  </si>
  <si>
    <t>TELWIN</t>
  </si>
  <si>
    <t>INEAR450I</t>
  </si>
  <si>
    <t>0231142818-001</t>
  </si>
  <si>
    <t>HYPERTHERM</t>
  </si>
  <si>
    <t>POWERMAX85SYNC</t>
  </si>
  <si>
    <t>8555-027182</t>
  </si>
  <si>
    <t>BODEGA INSUMOS ACCESORIOS</t>
  </si>
  <si>
    <t>INVETECV350-PRO</t>
  </si>
  <si>
    <t>U1051105307</t>
  </si>
  <si>
    <t>31-76</t>
  </si>
  <si>
    <t>200-575</t>
  </si>
  <si>
    <t>BAMBOZZI</t>
  </si>
  <si>
    <t>TRR2600S</t>
  </si>
  <si>
    <t>220-380</t>
  </si>
  <si>
    <t>57/33</t>
  </si>
  <si>
    <t>180mm</t>
  </si>
  <si>
    <t>A7-CH-01</t>
  </si>
  <si>
    <t>GWS17-125CIE</t>
  </si>
  <si>
    <t>A4CH06</t>
  </si>
  <si>
    <t>GWS18-180</t>
  </si>
  <si>
    <t>A7-CH-13</t>
  </si>
  <si>
    <t>GWS18-125PL</t>
  </si>
  <si>
    <t>A4-CH-07</t>
  </si>
  <si>
    <t>GWS12-125CI</t>
  </si>
  <si>
    <t>A4-CH-01</t>
  </si>
  <si>
    <t>INVERTECB350PRO</t>
  </si>
  <si>
    <t>U1051211804</t>
  </si>
  <si>
    <t>32-575</t>
  </si>
  <si>
    <t>41-16</t>
  </si>
  <si>
    <t>ES-CH-02</t>
  </si>
  <si>
    <t>208-575</t>
  </si>
  <si>
    <t>19-60</t>
  </si>
  <si>
    <t>XMT-350BS</t>
  </si>
  <si>
    <t>ES-CH-03</t>
  </si>
  <si>
    <t>31-350</t>
  </si>
  <si>
    <t>22-460</t>
  </si>
  <si>
    <t>ESCH-01</t>
  </si>
  <si>
    <t>POWER105</t>
  </si>
  <si>
    <t>100-300</t>
  </si>
  <si>
    <t>105-267</t>
  </si>
  <si>
    <t>PLCH03</t>
  </si>
  <si>
    <t>MEGAFORCE300IDE</t>
  </si>
  <si>
    <t>ES-CH-04</t>
  </si>
  <si>
    <t>ES-CH-06</t>
  </si>
  <si>
    <t>PALMGREN</t>
  </si>
  <si>
    <t>120-240</t>
  </si>
  <si>
    <t>10,2-5,1</t>
  </si>
  <si>
    <t>9680177A</t>
  </si>
  <si>
    <t>43CM</t>
  </si>
  <si>
    <t>GWS20-180</t>
  </si>
  <si>
    <t>A7CH-02</t>
  </si>
  <si>
    <t>GLADIATOR</t>
  </si>
  <si>
    <t>EM-CH-01</t>
  </si>
  <si>
    <t>AV608</t>
  </si>
  <si>
    <t>8''</t>
  </si>
  <si>
    <t>GWS13-125CI</t>
  </si>
  <si>
    <t>FL-402</t>
  </si>
  <si>
    <t>FL-209</t>
  </si>
  <si>
    <t>GWS28-180</t>
  </si>
  <si>
    <t>GWS2200-180</t>
  </si>
  <si>
    <t>FL-133</t>
  </si>
  <si>
    <t>GWS-850</t>
  </si>
  <si>
    <t>GWS11-125P</t>
  </si>
  <si>
    <t>GWS13125CI</t>
  </si>
  <si>
    <t>FL-203</t>
  </si>
  <si>
    <t>METABO</t>
  </si>
  <si>
    <t>BRUSHLESS</t>
  </si>
  <si>
    <t>FWS24-180</t>
  </si>
  <si>
    <t>GENARO</t>
  </si>
  <si>
    <t>DADO DE BAJA/GENARO</t>
  </si>
  <si>
    <t>MARCIAL</t>
  </si>
  <si>
    <t>MARCO</t>
  </si>
  <si>
    <t>MOTOR QUEMADO/MARCO</t>
  </si>
  <si>
    <t>TALLER</t>
  </si>
  <si>
    <t>DADO DE BAJA/TALLER</t>
  </si>
  <si>
    <t>GWS24-180</t>
  </si>
  <si>
    <t>FL-04</t>
  </si>
  <si>
    <t>GWS8-115</t>
  </si>
  <si>
    <t>GWS</t>
  </si>
  <si>
    <t>FL-2814</t>
  </si>
  <si>
    <t>FL-207</t>
  </si>
  <si>
    <t>FL-03</t>
  </si>
  <si>
    <t>GWS25-180</t>
  </si>
  <si>
    <t>KBRERA</t>
  </si>
  <si>
    <t>EDGAR</t>
  </si>
  <si>
    <t>240-002</t>
  </si>
  <si>
    <t>240-001</t>
  </si>
  <si>
    <t>TALLER DE SOLDADURA MOLIENDA</t>
  </si>
  <si>
    <t>GWS22-180</t>
  </si>
  <si>
    <t>RW1401</t>
  </si>
  <si>
    <t>XMT350VS</t>
  </si>
  <si>
    <t>MOLIENDA20146</t>
  </si>
  <si>
    <t>30-240</t>
  </si>
  <si>
    <t>220-575</t>
  </si>
  <si>
    <t>208-460</t>
  </si>
  <si>
    <t>17-44</t>
  </si>
  <si>
    <t>MB360169G</t>
  </si>
  <si>
    <t>GCO14-2</t>
  </si>
  <si>
    <t>2014-7</t>
  </si>
  <si>
    <t>2014-8</t>
  </si>
  <si>
    <t>MG364201U</t>
  </si>
  <si>
    <t>50-575</t>
  </si>
  <si>
    <t>19-54</t>
  </si>
  <si>
    <t>2014-4</t>
  </si>
  <si>
    <t>MD450293G</t>
  </si>
  <si>
    <t>MD450288G</t>
  </si>
  <si>
    <t>MB380185G</t>
  </si>
  <si>
    <t>GWS-26-180</t>
  </si>
  <si>
    <t>2800-11000</t>
  </si>
  <si>
    <t>A</t>
  </si>
  <si>
    <t>GWS-20-180</t>
  </si>
  <si>
    <t>MOLINOS</t>
  </si>
  <si>
    <t>GWS10-125</t>
  </si>
  <si>
    <t>GWS17-125100</t>
  </si>
  <si>
    <t>24-180</t>
  </si>
  <si>
    <t>50-460</t>
  </si>
  <si>
    <t>ME040663G</t>
  </si>
  <si>
    <t>320-AM-008</t>
  </si>
  <si>
    <t>GWS9-125S</t>
  </si>
  <si>
    <t>320-AM-002</t>
  </si>
  <si>
    <t>320-AM-003</t>
  </si>
  <si>
    <t>320-AM-004</t>
  </si>
  <si>
    <t>320-AM-007</t>
  </si>
  <si>
    <t>320-AM-005</t>
  </si>
  <si>
    <t>GWS-12-125S</t>
  </si>
  <si>
    <t>2000-11000</t>
  </si>
  <si>
    <t>GWS23-180</t>
  </si>
  <si>
    <t>320-AM-021</t>
  </si>
  <si>
    <t>320-AM-014</t>
  </si>
  <si>
    <t>320-AM-015</t>
  </si>
  <si>
    <t>320-AM-013</t>
  </si>
  <si>
    <t>LINEAL450I</t>
  </si>
  <si>
    <t>320-MS-003</t>
  </si>
  <si>
    <t>20-400</t>
  </si>
  <si>
    <t>320-MS-004</t>
  </si>
  <si>
    <t>LINEAR450I</t>
  </si>
  <si>
    <t>320-MS-001</t>
  </si>
  <si>
    <t>LJ010326G</t>
  </si>
  <si>
    <t>218-460</t>
  </si>
  <si>
    <t>CLASEB</t>
  </si>
  <si>
    <t>GB801</t>
  </si>
  <si>
    <t>88mm</t>
  </si>
  <si>
    <t>P-01</t>
  </si>
  <si>
    <t>P-05</t>
  </si>
  <si>
    <t>SCHULZ</t>
  </si>
  <si>
    <t>FSB16-TORK</t>
  </si>
  <si>
    <t>T-001</t>
  </si>
  <si>
    <t>90mm</t>
  </si>
  <si>
    <t>E-01</t>
  </si>
  <si>
    <t>AB610 1/220</t>
  </si>
  <si>
    <t>INVERTECV350PRO</t>
  </si>
  <si>
    <t>AE-001</t>
  </si>
  <si>
    <t>U105105270</t>
  </si>
  <si>
    <t>20-575</t>
  </si>
  <si>
    <t>20-350</t>
  </si>
  <si>
    <t>CLASIC300D</t>
  </si>
  <si>
    <t>MS003</t>
  </si>
  <si>
    <t>C1071200127</t>
  </si>
  <si>
    <t>250-30</t>
  </si>
  <si>
    <t>30-32</t>
  </si>
  <si>
    <t>AM-03</t>
  </si>
  <si>
    <t>VIAS FERREAS</t>
  </si>
  <si>
    <t>VF</t>
  </si>
  <si>
    <t>FXP1704</t>
  </si>
  <si>
    <t>136KG</t>
  </si>
  <si>
    <t>5''</t>
  </si>
  <si>
    <t>ES-02</t>
  </si>
  <si>
    <t>75kg</t>
  </si>
  <si>
    <t>7,3m/24''</t>
  </si>
  <si>
    <t>es-01</t>
  </si>
  <si>
    <t>patio triangulo de inversion via ferrea</t>
  </si>
  <si>
    <t>AG18020P</t>
  </si>
  <si>
    <t>AM-02VWF</t>
  </si>
  <si>
    <t>GWSB175CL</t>
  </si>
  <si>
    <t>AM-001VF</t>
  </si>
  <si>
    <t>BALBOA</t>
  </si>
  <si>
    <t>GWS15-125CIE</t>
  </si>
  <si>
    <t>AGUSTIN LLANES</t>
  </si>
  <si>
    <t>GA7040S</t>
  </si>
  <si>
    <t>GA7060</t>
  </si>
  <si>
    <t>ROMAN VELASQUEZ MAXIMO</t>
  </si>
  <si>
    <t>9557HP</t>
  </si>
  <si>
    <t>9564PCV</t>
  </si>
  <si>
    <t>FWS18-128PL</t>
  </si>
  <si>
    <t>E-013-04-10996</t>
  </si>
  <si>
    <t>OSVALDO CAYO</t>
  </si>
  <si>
    <t>GWS26-180LVI</t>
  </si>
  <si>
    <t>BALBOA JUAN CARLOS</t>
  </si>
  <si>
    <t>61372B</t>
  </si>
  <si>
    <t>FAUSTO CHURA</t>
  </si>
  <si>
    <t>GWSGA7040S</t>
  </si>
  <si>
    <t>SAUL MAMANI</t>
  </si>
  <si>
    <t>040271U</t>
  </si>
  <si>
    <t>32-34</t>
  </si>
  <si>
    <t>17-60</t>
  </si>
  <si>
    <t>TC-918</t>
  </si>
  <si>
    <t>1635mm/80mm</t>
  </si>
  <si>
    <t>SO-02</t>
  </si>
  <si>
    <t>EB-003</t>
  </si>
  <si>
    <t>205-19</t>
  </si>
  <si>
    <t>350X</t>
  </si>
  <si>
    <t>18-21</t>
  </si>
  <si>
    <t>29-350</t>
  </si>
  <si>
    <t>TALLER DE VALVULAS</t>
  </si>
  <si>
    <t>MIGUEL ANGEL MAMANI</t>
  </si>
  <si>
    <t>DAVID RAMOS</t>
  </si>
  <si>
    <t>TBA</t>
  </si>
  <si>
    <t>ARC SPRAY 300</t>
  </si>
  <si>
    <t>INVERTECCC400-SPLUS</t>
  </si>
  <si>
    <t>330-415</t>
  </si>
  <si>
    <t>22-23</t>
  </si>
  <si>
    <t>BERNARDINO MAMANI</t>
  </si>
  <si>
    <t>2H135</t>
  </si>
  <si>
    <t>CCPMPCKBA</t>
  </si>
  <si>
    <t>56-220</t>
  </si>
  <si>
    <t>ELIAS MERCADO</t>
  </si>
  <si>
    <t>INVERTEC350PRO</t>
  </si>
  <si>
    <t>MD0432280U</t>
  </si>
  <si>
    <t>11,2-13,8</t>
  </si>
  <si>
    <t>ROMAN MAXIMO</t>
  </si>
  <si>
    <t>EB-001</t>
  </si>
  <si>
    <t>20-230</t>
  </si>
  <si>
    <t>TALLER DE SOLDADURA</t>
  </si>
  <si>
    <t>205x19x15,88mm</t>
  </si>
  <si>
    <t>ELOY CHOQUE</t>
  </si>
  <si>
    <t>MD100085A</t>
  </si>
  <si>
    <t>208-525</t>
  </si>
  <si>
    <t>CASTO AJATA</t>
  </si>
  <si>
    <t>INOCENCIO CALCINA0</t>
  </si>
  <si>
    <t>INVERTEC400SX</t>
  </si>
  <si>
    <t>COD020</t>
  </si>
  <si>
    <t>NICODEMO TORREZ</t>
  </si>
  <si>
    <t>MB220586A</t>
  </si>
  <si>
    <t>JUAN OJEDA</t>
  </si>
  <si>
    <t>U10511005300</t>
  </si>
  <si>
    <t>LJ250088L</t>
  </si>
  <si>
    <t>18-28</t>
  </si>
  <si>
    <t>SYNCROWAVE200</t>
  </si>
  <si>
    <t>ESPECTRUM2050</t>
  </si>
  <si>
    <t>25-55</t>
  </si>
  <si>
    <t>PABLO MIRANDA</t>
  </si>
  <si>
    <t>JUAN CARLOS BALBOA</t>
  </si>
  <si>
    <t>MB100084A</t>
  </si>
  <si>
    <t>DELTAWELT852</t>
  </si>
  <si>
    <t>taller</t>
  </si>
  <si>
    <t>GWSt8-12SPL</t>
  </si>
  <si>
    <t>TALLER DE SOLDADURA TALLER G</t>
  </si>
  <si>
    <t>WENSESLAO O.</t>
  </si>
  <si>
    <t>GWS17+125CIE</t>
  </si>
  <si>
    <t>INOCENCIO CALCINA</t>
  </si>
  <si>
    <t>EB-002</t>
  </si>
  <si>
    <t>205X19X15X88mm</t>
  </si>
  <si>
    <t>D726222</t>
  </si>
  <si>
    <t>646014SERRASENSITIVAPROFESIONAL</t>
  </si>
  <si>
    <t>400X3X25XX,4mm</t>
  </si>
  <si>
    <t>INVERTECV205ST</t>
  </si>
  <si>
    <t>WNSESLAO O</t>
  </si>
  <si>
    <t>MC2006264</t>
  </si>
  <si>
    <t>MD03028SU</t>
  </si>
  <si>
    <t>MAXIMO ROMAN</t>
  </si>
  <si>
    <t>CHURA</t>
  </si>
  <si>
    <t>U1051115065</t>
  </si>
  <si>
    <t>CLEMENTE VALENCIO</t>
  </si>
  <si>
    <t>VICTOR TARKI</t>
  </si>
  <si>
    <t>U1051211805</t>
  </si>
  <si>
    <t>INVERTECV205-T</t>
  </si>
  <si>
    <t>MARTIN MAMANI DONAIRE</t>
  </si>
  <si>
    <t>RUBEN MAMANI</t>
  </si>
  <si>
    <t>INVERTEC205-T</t>
  </si>
  <si>
    <t>57-37</t>
  </si>
  <si>
    <t>TRR2650</t>
  </si>
  <si>
    <t>83-48</t>
  </si>
  <si>
    <t>42880DD4503</t>
  </si>
  <si>
    <t>PICOLA405DC</t>
  </si>
  <si>
    <t>405D0TTT205</t>
  </si>
  <si>
    <t>V205-T</t>
  </si>
  <si>
    <t>NICODEMO</t>
  </si>
  <si>
    <t>L4060700153</t>
  </si>
  <si>
    <t>ARENADO</t>
  </si>
  <si>
    <t>BRUSHLESS/VVEBD2025</t>
  </si>
  <si>
    <t>FL-28</t>
  </si>
  <si>
    <t>FL-205</t>
  </si>
  <si>
    <t>7''</t>
  </si>
  <si>
    <t>GWS17-125S</t>
  </si>
  <si>
    <t>FL-208</t>
  </si>
  <si>
    <t>61369B</t>
  </si>
  <si>
    <t>8601h94he2</t>
  </si>
  <si>
    <t>MARTIN MAMANI</t>
  </si>
  <si>
    <t>U1250900398</t>
  </si>
  <si>
    <t>26279A</t>
  </si>
  <si>
    <t>GA7040F</t>
  </si>
  <si>
    <t>61836B</t>
  </si>
  <si>
    <t>GWSDWS11-125B</t>
  </si>
  <si>
    <t>GWZS17-125CIE</t>
  </si>
  <si>
    <t>OSVALDO CAYO COPA</t>
  </si>
  <si>
    <t>U1051115063</t>
  </si>
  <si>
    <t>gws17-195s</t>
  </si>
  <si>
    <t>area 240</t>
  </si>
  <si>
    <t>AREA240</t>
  </si>
  <si>
    <t>FL-07</t>
  </si>
  <si>
    <t>P1190388184</t>
  </si>
  <si>
    <t>CASTO AJATA TRIGO</t>
  </si>
  <si>
    <t>9564PVC</t>
  </si>
  <si>
    <t>ELOY CHOQUE ACHA</t>
  </si>
  <si>
    <t>2607A</t>
  </si>
  <si>
    <t>TARQUI VICTOR</t>
  </si>
  <si>
    <t>TALLER SOLDADURA</t>
  </si>
  <si>
    <t>NICODEMO TORREZ MARTINEZ</t>
  </si>
  <si>
    <t>ROBEN MAMANI</t>
  </si>
  <si>
    <t>26079A</t>
  </si>
  <si>
    <t>WEV17-125</t>
  </si>
  <si>
    <t>RAMOS DAVID</t>
  </si>
  <si>
    <t>13+P134000151</t>
  </si>
  <si>
    <t>CST-280</t>
  </si>
  <si>
    <t>DEL TALLER DE VALVULAS</t>
  </si>
  <si>
    <t>MB160268G</t>
  </si>
  <si>
    <t>25966A</t>
  </si>
  <si>
    <t>MICHAEL CALLISAYA CHOQUE</t>
  </si>
  <si>
    <t>61937B</t>
  </si>
  <si>
    <t>INOCENCIO CALCINA QUISPE</t>
  </si>
  <si>
    <t>9557HR</t>
  </si>
  <si>
    <t>1081014K</t>
  </si>
  <si>
    <t>38124B</t>
  </si>
  <si>
    <t>38123B</t>
  </si>
  <si>
    <t>GRUPO DE APOYO ESMI</t>
  </si>
  <si>
    <t>Arnes de cuerpo completo tipo general</t>
  </si>
  <si>
    <t>Conector para detencion de caidas doble elastico con amortiguador de 1,80</t>
  </si>
  <si>
    <t>Autoretractil</t>
  </si>
  <si>
    <t>Faja de anclaje</t>
  </si>
  <si>
    <t>Conector para detencion de caidas doble de cinta con amortiguador de 1,20</t>
  </si>
  <si>
    <t>Conector de posicionamiento</t>
  </si>
  <si>
    <t>Arnes de cuerpo completo tipo revestido</t>
  </si>
  <si>
    <t>Punto de anclaje de cinta</t>
  </si>
  <si>
    <t>Conector para detencion de caidas doble elastico con amortiguador de 1,50</t>
  </si>
  <si>
    <t>Arnes de cuerpo completo tipo dielectrico</t>
  </si>
  <si>
    <t>Conector</t>
  </si>
  <si>
    <t>Faja</t>
  </si>
  <si>
    <t>Arnes de cuerpo completo tipo soldadura</t>
  </si>
  <si>
    <t>Conector para detencion de caidas doble de cinta con amortiguador de 1,80 de kevlar</t>
  </si>
  <si>
    <t>Conector para detencion de caidas doble elastico con absorbedor de energia incorporado</t>
  </si>
  <si>
    <t>Conector para detencion de caidas doble de cinta con amortiguador de 1,80</t>
  </si>
  <si>
    <t>Conector de restriccion</t>
  </si>
  <si>
    <t>Conector para detencion de caidas doble de cable de acero con amortiguador de 1,50</t>
  </si>
  <si>
    <t>Conector para detencion de caidas simple con cable de acero con amortiguador de 1,50</t>
  </si>
  <si>
    <t>Conector de posicionamiento de doble pivote con cadena</t>
  </si>
  <si>
    <t>Conector para detencion de caidas simple elastico con absorbedor de energia incorporado</t>
  </si>
  <si>
    <t>Conector de posicionamiento de cable de acero</t>
  </si>
  <si>
    <t>Linea de vida horizontal</t>
  </si>
  <si>
    <t>Punto de anclaje para vigas</t>
  </si>
  <si>
    <t>Conector de restriccion de cable de acero</t>
  </si>
  <si>
    <t>Faja de anclaje de acero</t>
  </si>
  <si>
    <t>Extension de conector para detencion de caidas</t>
  </si>
  <si>
    <t>Conector para detencion de caidas doble de cable de acero con amortiguador de 1,80</t>
  </si>
  <si>
    <t>Linea de vida horizontal de cuerda</t>
  </si>
  <si>
    <t>Linea de vida horizontal temporal</t>
  </si>
  <si>
    <t>Conector de restriccion de cuerda</t>
  </si>
  <si>
    <t>Cinturon de posicionamiento</t>
  </si>
  <si>
    <t>Conector de posicionamiento de pivote con cadena</t>
  </si>
  <si>
    <t>Arnes de cuerpo completo tipo general con chaleco reflectante</t>
  </si>
  <si>
    <t>Conector para detencion de caidas doble de cinta con amortiguador de 1,80 de Kevlar</t>
  </si>
  <si>
    <t>Conector de posicionamiento de cuerda</t>
  </si>
  <si>
    <t>OFICINAS</t>
  </si>
  <si>
    <t>505-A-0001</t>
  </si>
  <si>
    <t>505-A-0002</t>
  </si>
  <si>
    <t>505-A-0003</t>
  </si>
  <si>
    <t>505-A-0004</t>
  </si>
  <si>
    <t>505-A-0005</t>
  </si>
  <si>
    <t>505-A-0006</t>
  </si>
  <si>
    <t>505-A-0007</t>
  </si>
  <si>
    <t>505-A-0008</t>
  </si>
  <si>
    <t>505-A-0009</t>
  </si>
  <si>
    <t>505-A-0010</t>
  </si>
  <si>
    <t>505-A-0011</t>
  </si>
  <si>
    <t>505-A-0012</t>
  </si>
  <si>
    <t>505-A-0013</t>
  </si>
  <si>
    <t>505-A-0014</t>
  </si>
  <si>
    <t>505-A-0015</t>
  </si>
  <si>
    <t>505-A-0016</t>
  </si>
  <si>
    <t>505-A-0017</t>
  </si>
  <si>
    <t>505-A-0018</t>
  </si>
  <si>
    <t>505-A-0019</t>
  </si>
  <si>
    <t>505-A-0020</t>
  </si>
  <si>
    <t>505-A-0021</t>
  </si>
  <si>
    <t>505-A-0022</t>
  </si>
  <si>
    <t>505-A-0023</t>
  </si>
  <si>
    <t>505-A-0024</t>
  </si>
  <si>
    <t>505-A-0025</t>
  </si>
  <si>
    <t>505-A-0026</t>
  </si>
  <si>
    <t>505-A-0027</t>
  </si>
  <si>
    <t>505-A-0028</t>
  </si>
  <si>
    <t>505-A-0029</t>
  </si>
  <si>
    <t>505-A-0030</t>
  </si>
  <si>
    <t>505-A-0031</t>
  </si>
  <si>
    <t>505-A-0032</t>
  </si>
  <si>
    <t>505-A-0034</t>
  </si>
  <si>
    <t>505-A-0035</t>
  </si>
  <si>
    <t>505-A-0036</t>
  </si>
  <si>
    <t>505-A-0037</t>
  </si>
  <si>
    <t>505-A-0038</t>
  </si>
  <si>
    <t>505-A-0039</t>
  </si>
  <si>
    <t>505-A-0040</t>
  </si>
  <si>
    <t>505-A-0041</t>
  </si>
  <si>
    <t>505-A-0042</t>
  </si>
  <si>
    <t>505-D-0001</t>
  </si>
  <si>
    <t>505-D-0002</t>
  </si>
  <si>
    <t>505-D-0003</t>
  </si>
  <si>
    <t>505-D-0004</t>
  </si>
  <si>
    <t>505-D-0005</t>
  </si>
  <si>
    <t>505-D-0006</t>
  </si>
  <si>
    <t>505-D-0007</t>
  </si>
  <si>
    <t>505-D-0008</t>
  </si>
  <si>
    <t>505-D-0009</t>
  </si>
  <si>
    <t>505-D-0010</t>
  </si>
  <si>
    <t>505-D-0011</t>
  </si>
  <si>
    <t>505-A-0033</t>
  </si>
  <si>
    <t>505-D-0013</t>
  </si>
  <si>
    <t>505-D-0014</t>
  </si>
  <si>
    <t>505-D-0015</t>
  </si>
  <si>
    <t>505-C-0001</t>
  </si>
  <si>
    <t>505-C-0002</t>
  </si>
  <si>
    <t>505-C-0003</t>
  </si>
  <si>
    <t>505-C-0004</t>
  </si>
  <si>
    <t>505-J-0001</t>
  </si>
  <si>
    <t>505-J-0002</t>
  </si>
  <si>
    <t>505-J-0003</t>
  </si>
  <si>
    <t>505-J-0004</t>
  </si>
  <si>
    <t>505-D-0016</t>
  </si>
  <si>
    <t>505-D-0017</t>
  </si>
  <si>
    <t>505-D-0018</t>
  </si>
  <si>
    <t>505-D-0019</t>
  </si>
  <si>
    <t>505-D-0020</t>
  </si>
  <si>
    <t>505-D-0021</t>
  </si>
  <si>
    <t>505-D-0023</t>
  </si>
  <si>
    <t>505-D-0022</t>
  </si>
  <si>
    <t>505-D-0024</t>
  </si>
  <si>
    <t>505-D-0025</t>
  </si>
  <si>
    <t>505-I-0001</t>
  </si>
  <si>
    <t>505-I-0002</t>
  </si>
  <si>
    <t>505-I-0003</t>
  </si>
  <si>
    <t>505-D-0012</t>
  </si>
  <si>
    <t>505-B-0001</t>
  </si>
  <si>
    <t>505-B-0002</t>
  </si>
  <si>
    <t>505-A-0101</t>
  </si>
  <si>
    <t>505-C-0101</t>
  </si>
  <si>
    <t>505-D-0101</t>
  </si>
  <si>
    <t>505-I-0101</t>
  </si>
  <si>
    <t>505-J-0101</t>
  </si>
  <si>
    <t>505-J-0102</t>
  </si>
  <si>
    <t>505-A-0102</t>
  </si>
  <si>
    <t>505-C-0102</t>
  </si>
  <si>
    <t>505-D-0102</t>
  </si>
  <si>
    <t>505-I-0102</t>
  </si>
  <si>
    <t>505-J-0103</t>
  </si>
  <si>
    <t>505-A-0103</t>
  </si>
  <si>
    <t>505-A-0104</t>
  </si>
  <si>
    <t>505-B-0101</t>
  </si>
  <si>
    <t>505-B-0102</t>
  </si>
  <si>
    <t>505-D-0103</t>
  </si>
  <si>
    <t>505-D-0104</t>
  </si>
  <si>
    <t>505-I-0103</t>
  </si>
  <si>
    <t>505-I-0104</t>
  </si>
  <si>
    <t>505-D-0026</t>
  </si>
  <si>
    <t>505-D-0027</t>
  </si>
  <si>
    <t>505-A-0105</t>
  </si>
  <si>
    <t>505-B-0103</t>
  </si>
  <si>
    <t>505-D-0105</t>
  </si>
  <si>
    <t>505-I-0105</t>
  </si>
  <si>
    <t>505-I-0106</t>
  </si>
  <si>
    <t>505-I-0107</t>
  </si>
  <si>
    <t>505-I-0108</t>
  </si>
  <si>
    <t>505-A-0106</t>
  </si>
  <si>
    <t>505-D-0107</t>
  </si>
  <si>
    <t>505-D-0106</t>
  </si>
  <si>
    <t>505-I-0110</t>
  </si>
  <si>
    <t>505-I-0111</t>
  </si>
  <si>
    <t>505-J-0104</t>
  </si>
  <si>
    <t>505-A-0107</t>
  </si>
  <si>
    <t>505-D-0108</t>
  </si>
  <si>
    <t>505-I-0112</t>
  </si>
  <si>
    <t>505-I-0113</t>
  </si>
  <si>
    <t>505-I-0114</t>
  </si>
  <si>
    <t>505-I-0115</t>
  </si>
  <si>
    <t>505-J-0105</t>
  </si>
  <si>
    <t>505-A-0108</t>
  </si>
  <si>
    <t>505-B-0104</t>
  </si>
  <si>
    <t>505-B-0105</t>
  </si>
  <si>
    <t>505-C-0103</t>
  </si>
  <si>
    <t>505-D-0109</t>
  </si>
  <si>
    <t>505-I-0109</t>
  </si>
  <si>
    <t>505-A-0110</t>
  </si>
  <si>
    <t>505-A-0109</t>
  </si>
  <si>
    <t>505-D-0110</t>
  </si>
  <si>
    <t>505-D-0111</t>
  </si>
  <si>
    <t>505-I-0116</t>
  </si>
  <si>
    <t>505-A-0111</t>
  </si>
  <si>
    <t>505-D-0112</t>
  </si>
  <si>
    <t>505-I-0117</t>
  </si>
  <si>
    <t>505-I-0118</t>
  </si>
  <si>
    <t>505-J-0106</t>
  </si>
  <si>
    <t>505-A-0112</t>
  </si>
  <si>
    <t>505-D-0113</t>
  </si>
  <si>
    <t>505-I-0119</t>
  </si>
  <si>
    <t>505-J-0107</t>
  </si>
  <si>
    <t>505-A-0113</t>
  </si>
  <si>
    <t>505-D-0114</t>
  </si>
  <si>
    <t>505-I-0120</t>
  </si>
  <si>
    <t>505-A-0115</t>
  </si>
  <si>
    <t>505-A-0117</t>
  </si>
  <si>
    <t>505-B-0106</t>
  </si>
  <si>
    <t>505-C-0104</t>
  </si>
  <si>
    <t>505-D-0115</t>
  </si>
  <si>
    <t>505-D-0116</t>
  </si>
  <si>
    <t>505-J-0108</t>
  </si>
  <si>
    <t>505-A-0114</t>
  </si>
  <si>
    <t>505-D-0117</t>
  </si>
  <si>
    <t>505-I-0121</t>
  </si>
  <si>
    <t>505-I-0122</t>
  </si>
  <si>
    <t>505-J-0109</t>
  </si>
  <si>
    <t>505-A-0118</t>
  </si>
  <si>
    <t>505-J-0110</t>
  </si>
  <si>
    <t>505-A-0119</t>
  </si>
  <si>
    <t>505-A-0120</t>
  </si>
  <si>
    <t>505-A-0123</t>
  </si>
  <si>
    <t>505-A-0122</t>
  </si>
  <si>
    <t>505-A-0121</t>
  </si>
  <si>
    <t>505-B-0107</t>
  </si>
  <si>
    <t>505-C-0105</t>
  </si>
  <si>
    <t>505-C-0106</t>
  </si>
  <si>
    <t>505-C-0107</t>
  </si>
  <si>
    <t>505-D-0118</t>
  </si>
  <si>
    <t>505-J-0111</t>
  </si>
  <si>
    <t>505-J-0112</t>
  </si>
  <si>
    <t>505-J-0113</t>
  </si>
  <si>
    <t>505-J-0114</t>
  </si>
  <si>
    <t>505-J-0115</t>
  </si>
  <si>
    <t>505-J-0116</t>
  </si>
  <si>
    <t>505-A-0116</t>
  </si>
  <si>
    <t>505-B-0108</t>
  </si>
  <si>
    <t>505-J-0117</t>
  </si>
  <si>
    <t>505-F-0101</t>
  </si>
  <si>
    <t>505-F-0102</t>
  </si>
  <si>
    <t>505-D-0028</t>
  </si>
  <si>
    <t>505-D-0029</t>
  </si>
  <si>
    <t>505-D-0030</t>
  </si>
  <si>
    <t>505-D-0031</t>
  </si>
  <si>
    <t>505-D-0032</t>
  </si>
  <si>
    <t>505-D-0033</t>
  </si>
  <si>
    <t>505-D-0034</t>
  </si>
  <si>
    <t>505-D-0035</t>
  </si>
  <si>
    <t>505-D-0036</t>
  </si>
  <si>
    <t>505-D-0037</t>
  </si>
  <si>
    <t>505-D-0038</t>
  </si>
  <si>
    <t>505-D-0039</t>
  </si>
  <si>
    <t>505-D-0040</t>
  </si>
  <si>
    <t>505-D-0041</t>
  </si>
  <si>
    <t>505-A-0124</t>
  </si>
  <si>
    <t>505-A-0125</t>
  </si>
  <si>
    <t>505-A-0126</t>
  </si>
  <si>
    <t>505-A-0127</t>
  </si>
  <si>
    <t>505-J-0118</t>
  </si>
  <si>
    <t>505-I-0123</t>
  </si>
  <si>
    <t>505-I-0124</t>
  </si>
  <si>
    <t>505-I-0125</t>
  </si>
  <si>
    <t>505-I-0126</t>
  </si>
  <si>
    <t>505-I-0127</t>
  </si>
  <si>
    <t>505-J-0119</t>
  </si>
  <si>
    <t>505-A-0128</t>
  </si>
  <si>
    <t>505-J-0005</t>
  </si>
  <si>
    <t>505-J-0006</t>
  </si>
  <si>
    <t>505-J-0007</t>
  </si>
  <si>
    <t>505-J-0008</t>
  </si>
  <si>
    <t>505-J-0009</t>
  </si>
  <si>
    <t>505-J-0010</t>
  </si>
  <si>
    <t>505-J-0011</t>
  </si>
  <si>
    <t>505-D-0119</t>
  </si>
  <si>
    <t>505-E-0101</t>
  </si>
  <si>
    <t>505-I-0128</t>
  </si>
  <si>
    <t>505-E-0102</t>
  </si>
  <si>
    <t>505-H-0101</t>
  </si>
  <si>
    <t>505-J-0012</t>
  </si>
  <si>
    <t>505-J-0013</t>
  </si>
  <si>
    <t>505-H-0001</t>
  </si>
  <si>
    <t>505-E-0003</t>
  </si>
  <si>
    <t>505-E-0002</t>
  </si>
  <si>
    <t>505-E-0001</t>
  </si>
  <si>
    <t>505-A-0043</t>
  </si>
  <si>
    <t>505-B-0003</t>
  </si>
  <si>
    <t>505-B-0005</t>
  </si>
  <si>
    <t>505-B-0004</t>
  </si>
  <si>
    <t>505-C-0005</t>
  </si>
  <si>
    <t>505-C-0006</t>
  </si>
  <si>
    <t>505-C-0007</t>
  </si>
  <si>
    <t>505-D-0043</t>
  </si>
  <si>
    <t>505-D-0044</t>
  </si>
  <si>
    <t>505-D-0042</t>
  </si>
  <si>
    <t>505-C-0008</t>
  </si>
  <si>
    <t>505-I-0004</t>
  </si>
  <si>
    <t>505-I-0005</t>
  </si>
  <si>
    <t>505-A-0129</t>
  </si>
  <si>
    <t>505-D-0120</t>
  </si>
  <si>
    <t>505-I-0129</t>
  </si>
  <si>
    <t>505-J-0120</t>
  </si>
  <si>
    <t>505-B-0109</t>
  </si>
  <si>
    <t>505-D-0121</t>
  </si>
  <si>
    <t>505-I-0130</t>
  </si>
  <si>
    <t>505-I-0131</t>
  </si>
  <si>
    <t>505-J-0121</t>
  </si>
  <si>
    <t>505-D-0122</t>
  </si>
  <si>
    <t>505-H-0102</t>
  </si>
  <si>
    <t>505-I-0132</t>
  </si>
  <si>
    <t>505-I-0133</t>
  </si>
  <si>
    <t>505-I-0134</t>
  </si>
  <si>
    <t>505-D-0123</t>
  </si>
  <si>
    <t>505-J-0122</t>
  </si>
  <si>
    <t>505-J-0123</t>
  </si>
  <si>
    <t>505-J-0124</t>
  </si>
  <si>
    <t>505-A-0130</t>
  </si>
  <si>
    <t>505-A-0131</t>
  </si>
  <si>
    <t>505-B-0110</t>
  </si>
  <si>
    <t>505-D-0124</t>
  </si>
  <si>
    <t>505-D-0125</t>
  </si>
  <si>
    <t>505-I-0135</t>
  </si>
  <si>
    <t>505-J-0125</t>
  </si>
  <si>
    <t>505-D-0126</t>
  </si>
  <si>
    <t>505-I-0136</t>
  </si>
  <si>
    <t>505-I-0137</t>
  </si>
  <si>
    <t>505-A-0133</t>
  </si>
  <si>
    <t>505-B-0111</t>
  </si>
  <si>
    <t>505-H-0103</t>
  </si>
  <si>
    <t>505-H-0104</t>
  </si>
  <si>
    <t>505-I-0138</t>
  </si>
  <si>
    <t>505-I-0139</t>
  </si>
  <si>
    <t>505-J-0126</t>
  </si>
  <si>
    <t>505-J-0127</t>
  </si>
  <si>
    <t>505-A-0134</t>
  </si>
  <si>
    <t>505-D-0127</t>
  </si>
  <si>
    <t>505-B-0006</t>
  </si>
  <si>
    <t>505-D-0045</t>
  </si>
  <si>
    <t>505-A-0044</t>
  </si>
  <si>
    <t>505-A-0045</t>
  </si>
  <si>
    <t>505-A-0046</t>
  </si>
  <si>
    <t>505-A-0047</t>
  </si>
  <si>
    <t>505-A-0048</t>
  </si>
  <si>
    <t>505-A-0049</t>
  </si>
  <si>
    <t>505-A-0050</t>
  </si>
  <si>
    <t>505-A-0051</t>
  </si>
  <si>
    <t>505-A-0052</t>
  </si>
  <si>
    <t>505-A-0053</t>
  </si>
  <si>
    <t>505-A-0054</t>
  </si>
  <si>
    <t>505-D-0046</t>
  </si>
  <si>
    <t>505-D-0049</t>
  </si>
  <si>
    <t>505-D-0047</t>
  </si>
  <si>
    <t>505-D-0048</t>
  </si>
  <si>
    <t>505-D-0050</t>
  </si>
  <si>
    <t>505-D-0051</t>
  </si>
  <si>
    <t>505-J-0014</t>
  </si>
  <si>
    <t>505-J-0015</t>
  </si>
  <si>
    <t>505-J-0016</t>
  </si>
  <si>
    <t>505-J-0017</t>
  </si>
  <si>
    <t>505-J-0018</t>
  </si>
  <si>
    <t>505-J-0019</t>
  </si>
  <si>
    <t>505-J-0020</t>
  </si>
  <si>
    <t>505-J-0021</t>
  </si>
  <si>
    <t>505-J-0022</t>
  </si>
  <si>
    <t>505-J-0023</t>
  </si>
  <si>
    <t>505-J-0024</t>
  </si>
  <si>
    <t>505-J-0025</t>
  </si>
  <si>
    <t>505-J-0026</t>
  </si>
  <si>
    <t>505-J-0027</t>
  </si>
  <si>
    <t>505-J-0028</t>
  </si>
  <si>
    <t>505-J-0029</t>
  </si>
  <si>
    <t>TurboT-Back</t>
  </si>
  <si>
    <t>Normativa</t>
  </si>
  <si>
    <t>ANSI Z359</t>
  </si>
  <si>
    <t>ANSI A10</t>
  </si>
  <si>
    <t>IRAM 3622</t>
  </si>
  <si>
    <t>OSHA 29 CFR 1926.502</t>
  </si>
  <si>
    <t/>
  </si>
  <si>
    <t>EN 358</t>
  </si>
  <si>
    <t>EN 353</t>
  </si>
  <si>
    <t>EN 795</t>
  </si>
  <si>
    <t>OSHA 29CFR</t>
  </si>
  <si>
    <t>CSA Z259</t>
  </si>
  <si>
    <t>OSHA 1910.66</t>
  </si>
  <si>
    <t>OSHA 29 CFR1910</t>
  </si>
  <si>
    <t>519-A-0001</t>
  </si>
  <si>
    <t>519-D-0001</t>
  </si>
  <si>
    <t>519-A-0002</t>
  </si>
  <si>
    <t>519-J-0001</t>
  </si>
  <si>
    <t>519-A-0003</t>
  </si>
  <si>
    <t>519-D-0002</t>
  </si>
  <si>
    <t>519-D-0003</t>
  </si>
  <si>
    <t>519-A-0004</t>
  </si>
  <si>
    <t>519-D-0004</t>
  </si>
  <si>
    <t>519-A-0005</t>
  </si>
  <si>
    <t>519-A-0006</t>
  </si>
  <si>
    <t>519-A-0007</t>
  </si>
  <si>
    <t>519-D-0005</t>
  </si>
  <si>
    <t>519-A-0008</t>
  </si>
  <si>
    <t>519-J-0002</t>
  </si>
  <si>
    <t>519-A-0009</t>
  </si>
  <si>
    <t>519-D-0006</t>
  </si>
  <si>
    <t>519-A-0010</t>
  </si>
  <si>
    <t>519-I-0001</t>
  </si>
  <si>
    <t>519-J-0003</t>
  </si>
  <si>
    <t>519-D-0007</t>
  </si>
  <si>
    <t>519-A-0011</t>
  </si>
  <si>
    <t>519-A-0012</t>
  </si>
  <si>
    <t>519-D-0008</t>
  </si>
  <si>
    <t>519-J-0004</t>
  </si>
  <si>
    <t>519-I-0002</t>
  </si>
  <si>
    <t>519-J-0005</t>
  </si>
  <si>
    <t>519-A-0013</t>
  </si>
  <si>
    <t>519-A-0014</t>
  </si>
  <si>
    <t>519-D-0009</t>
  </si>
  <si>
    <t>519-D-0010</t>
  </si>
  <si>
    <t>519-B-0001</t>
  </si>
  <si>
    <t>519-A-0016</t>
  </si>
  <si>
    <t>519-J-0006</t>
  </si>
  <si>
    <t>519-A-0017</t>
  </si>
  <si>
    <t>519-D-0011</t>
  </si>
  <si>
    <t>519-J-0007</t>
  </si>
  <si>
    <t>519-I-0003</t>
  </si>
  <si>
    <t>519-H-0001</t>
  </si>
  <si>
    <t>519-D-0012</t>
  </si>
  <si>
    <t>519-A-0018</t>
  </si>
  <si>
    <t>519-J-0009</t>
  </si>
  <si>
    <t>519-A-0019</t>
  </si>
  <si>
    <t>519-D-0013</t>
  </si>
  <si>
    <t>519-A-0020</t>
  </si>
  <si>
    <t>519-J-0008</t>
  </si>
  <si>
    <t>519-J-0010</t>
  </si>
  <si>
    <t>501-A-0001</t>
  </si>
  <si>
    <t>501-A-0002</t>
  </si>
  <si>
    <t>501-A-0003</t>
  </si>
  <si>
    <t>501-A-0004</t>
  </si>
  <si>
    <t>501-A-0005</t>
  </si>
  <si>
    <t>501-A-0006</t>
  </si>
  <si>
    <t>501-A-0007</t>
  </si>
  <si>
    <t>501-A-0008</t>
  </si>
  <si>
    <t>501-A-0009</t>
  </si>
  <si>
    <t>501-A-0010</t>
  </si>
  <si>
    <t>501-A-0011</t>
  </si>
  <si>
    <t>501-A-0012</t>
  </si>
  <si>
    <t>501-A-0013</t>
  </si>
  <si>
    <t>501-A-0014</t>
  </si>
  <si>
    <t>501-A-0015</t>
  </si>
  <si>
    <t>501-A-0016</t>
  </si>
  <si>
    <t>501-A-0017</t>
  </si>
  <si>
    <t>501-A-0018</t>
  </si>
  <si>
    <t>501-A-0019</t>
  </si>
  <si>
    <t>501-A-0020</t>
  </si>
  <si>
    <t>501-A-0021</t>
  </si>
  <si>
    <t>501-A-0022</t>
  </si>
  <si>
    <t>501-A-0023</t>
  </si>
  <si>
    <t>501-A-0024</t>
  </si>
  <si>
    <t>501-A-0025</t>
  </si>
  <si>
    <t>501-D-0001</t>
  </si>
  <si>
    <t>501-D-0002</t>
  </si>
  <si>
    <t>501-D-0003</t>
  </si>
  <si>
    <t>501-D-0004</t>
  </si>
  <si>
    <t>501-A-0026</t>
  </si>
  <si>
    <t>501-A-0027</t>
  </si>
  <si>
    <t>501-A-0028</t>
  </si>
  <si>
    <t>501-D-0005</t>
  </si>
  <si>
    <t>501-D-0006</t>
  </si>
  <si>
    <t>501-D-0007</t>
  </si>
  <si>
    <t>501-D-0008</t>
  </si>
  <si>
    <t>501-D-0009</t>
  </si>
  <si>
    <t>501-D-0010</t>
  </si>
  <si>
    <t>501-C-0001</t>
  </si>
  <si>
    <t>501-C-0002</t>
  </si>
  <si>
    <t>501-C-0003</t>
  </si>
  <si>
    <t>501-D-0011</t>
  </si>
  <si>
    <t>501-D-0012</t>
  </si>
  <si>
    <t>501-D-0013</t>
  </si>
  <si>
    <t>501-D-0014</t>
  </si>
  <si>
    <t>501-D-0015</t>
  </si>
  <si>
    <t>501-J-0002</t>
  </si>
  <si>
    <t>501-J-0003</t>
  </si>
  <si>
    <t>501-J-0004</t>
  </si>
  <si>
    <t>501-J-0001</t>
  </si>
  <si>
    <t>501-J-0005</t>
  </si>
  <si>
    <t>501-J-0006</t>
  </si>
  <si>
    <t>501-J-0007</t>
  </si>
  <si>
    <t>501-J-0008</t>
  </si>
  <si>
    <t>501-J-0009</t>
  </si>
  <si>
    <t>501-J-0010</t>
  </si>
  <si>
    <t>501-J-0011</t>
  </si>
  <si>
    <t>501-J-0012</t>
  </si>
  <si>
    <t>501-J-0013</t>
  </si>
  <si>
    <t>501-J-0015</t>
  </si>
  <si>
    <t>501-J-0014</t>
  </si>
  <si>
    <t>501-J-0016</t>
  </si>
  <si>
    <t>501-J-0018</t>
  </si>
  <si>
    <t>501-J-0017</t>
  </si>
  <si>
    <t>501-J-0019</t>
  </si>
  <si>
    <t>501-J-0020</t>
  </si>
  <si>
    <t>501-J-0021</t>
  </si>
  <si>
    <t>501-J-0022</t>
  </si>
  <si>
    <t>501-J-0023</t>
  </si>
  <si>
    <t>501-J-0024</t>
  </si>
  <si>
    <t>501-J-0025</t>
  </si>
  <si>
    <t>501-J-0026</t>
  </si>
  <si>
    <t>501-J-0027</t>
  </si>
  <si>
    <t>501-J-0028</t>
  </si>
  <si>
    <t>501-J-0029</t>
  </si>
  <si>
    <t>501-J-0030</t>
  </si>
  <si>
    <t>501-A-0029</t>
  </si>
  <si>
    <t>501-A-0030</t>
  </si>
  <si>
    <t>501-A-0031</t>
  </si>
  <si>
    <t>501-A-0032</t>
  </si>
  <si>
    <t>501-D-0016</t>
  </si>
  <si>
    <t>501-D-0017</t>
  </si>
  <si>
    <t>501-J-0031</t>
  </si>
  <si>
    <t>501-J-0032</t>
  </si>
  <si>
    <t>501-J-0033</t>
  </si>
  <si>
    <t>501-J-0034</t>
  </si>
  <si>
    <t>501-J-0035</t>
  </si>
  <si>
    <t>501-J-0036</t>
  </si>
  <si>
    <t>501-J-0037</t>
  </si>
  <si>
    <t>501-J-0038</t>
  </si>
  <si>
    <t>501-C-0004</t>
  </si>
  <si>
    <t>501-C-0005</t>
  </si>
  <si>
    <t>501-D-0018</t>
  </si>
  <si>
    <t>501-A-0033</t>
  </si>
  <si>
    <t>501-A-0034</t>
  </si>
  <si>
    <t>501-A-0035</t>
  </si>
  <si>
    <t>501-A-0036</t>
  </si>
  <si>
    <t>501-A-0037</t>
  </si>
  <si>
    <t>501-J-0039</t>
  </si>
  <si>
    <t>501-J-0040</t>
  </si>
  <si>
    <t>501-J-0041</t>
  </si>
  <si>
    <t>501-J-0042</t>
  </si>
  <si>
    <t>501-J-0043</t>
  </si>
  <si>
    <t>501-J-0044</t>
  </si>
  <si>
    <t>501-J-0045</t>
  </si>
  <si>
    <t>501-J-0046</t>
  </si>
  <si>
    <t>501-J-0047</t>
  </si>
  <si>
    <t>501-J-0048</t>
  </si>
  <si>
    <t>501-J-0049</t>
  </si>
  <si>
    <t>501-J-0050</t>
  </si>
  <si>
    <t>501-J-0059</t>
  </si>
  <si>
    <t>501-J-0060</t>
  </si>
  <si>
    <t>501-J-0061</t>
  </si>
  <si>
    <t>501-J-0062</t>
  </si>
  <si>
    <t>501-J-0063</t>
  </si>
  <si>
    <t>501-J-0064</t>
  </si>
  <si>
    <t>501-J-0065</t>
  </si>
  <si>
    <t>501-J-0066</t>
  </si>
  <si>
    <t>501-J-0067</t>
  </si>
  <si>
    <t>501-J-0068</t>
  </si>
  <si>
    <t>501-J-0051</t>
  </si>
  <si>
    <t>501-J-0052</t>
  </si>
  <si>
    <t>501-J-0053</t>
  </si>
  <si>
    <t>501-J-0054</t>
  </si>
  <si>
    <t>501-J-0055</t>
  </si>
  <si>
    <t>501-J-0056</t>
  </si>
  <si>
    <t>501-J-0057</t>
  </si>
  <si>
    <t>501-J-0058</t>
  </si>
  <si>
    <t>501-J-0069</t>
  </si>
  <si>
    <t>501-J-0070</t>
  </si>
  <si>
    <t>501-J-0071</t>
  </si>
  <si>
    <t>501-J-0072</t>
  </si>
  <si>
    <t>501-J-0073</t>
  </si>
  <si>
    <t>501-J-0074</t>
  </si>
  <si>
    <t>501-J-0075</t>
  </si>
  <si>
    <t>501-J-0076</t>
  </si>
  <si>
    <t>501-J-0077</t>
  </si>
  <si>
    <t>501-J-0078</t>
  </si>
  <si>
    <t>501-J-0079</t>
  </si>
  <si>
    <t>501-J-0080</t>
  </si>
  <si>
    <t>501-J-0081</t>
  </si>
  <si>
    <t>501-J-0082</t>
  </si>
  <si>
    <t>501-J-0083</t>
  </si>
  <si>
    <t>501-J-0084</t>
  </si>
  <si>
    <t>501-A-0038</t>
  </si>
  <si>
    <t>501-A-0039</t>
  </si>
  <si>
    <t>501-D-0019</t>
  </si>
  <si>
    <t>501-D-0020</t>
  </si>
  <si>
    <t>501-D-0021</t>
  </si>
  <si>
    <t>501-A-0040</t>
  </si>
  <si>
    <t>501-A-0041</t>
  </si>
  <si>
    <t>501-A-0042</t>
  </si>
  <si>
    <t>501-A-0043</t>
  </si>
  <si>
    <t>501-A-0044</t>
  </si>
  <si>
    <t>501-A-0045</t>
  </si>
  <si>
    <t>501-A-0046</t>
  </si>
  <si>
    <t>501-A-0047</t>
  </si>
  <si>
    <t>501-A-0048</t>
  </si>
  <si>
    <t>501-A-0049</t>
  </si>
  <si>
    <t>501-A-0050</t>
  </si>
  <si>
    <t>501-A-0051</t>
  </si>
  <si>
    <t>501-A-0052</t>
  </si>
  <si>
    <t>501-A-0053</t>
  </si>
  <si>
    <t>501-A-0054</t>
  </si>
  <si>
    <t>501-A-0055</t>
  </si>
  <si>
    <t>501-A-0056</t>
  </si>
  <si>
    <t>501-A-0057</t>
  </si>
  <si>
    <t>501-A-0058</t>
  </si>
  <si>
    <t>501-A-0059</t>
  </si>
  <si>
    <t>501-A-0060</t>
  </si>
  <si>
    <t>501-A-0061</t>
  </si>
  <si>
    <t>501-A-0062</t>
  </si>
  <si>
    <t>501-A-0063</t>
  </si>
  <si>
    <t>501-A-0064</t>
  </si>
  <si>
    <t>501-A-0067</t>
  </si>
  <si>
    <t>501-A-0069</t>
  </si>
  <si>
    <t>501-A-0071</t>
  </si>
  <si>
    <t>501-A-0072</t>
  </si>
  <si>
    <t>501-D-0022</t>
  </si>
  <si>
    <t>501-D-0023</t>
  </si>
  <si>
    <t>501-D-0024</t>
  </si>
  <si>
    <t>501-D-0025</t>
  </si>
  <si>
    <t>501-D-0026</t>
  </si>
  <si>
    <t>501-D-0027</t>
  </si>
  <si>
    <t>501-D-0028</t>
  </si>
  <si>
    <t>501-D-0029</t>
  </si>
  <si>
    <t>501-D-0030</t>
  </si>
  <si>
    <t>501-D-0031</t>
  </si>
  <si>
    <t>501-D-0032</t>
  </si>
  <si>
    <t>501-A-0065</t>
  </si>
  <si>
    <t>501-A-0066</t>
  </si>
  <si>
    <t>501-A-0068</t>
  </si>
  <si>
    <t>501-A-0070</t>
  </si>
  <si>
    <t>501-A-0074</t>
  </si>
  <si>
    <t>501-D-0033</t>
  </si>
  <si>
    <t>501-D-0034</t>
  </si>
  <si>
    <t>501-D-0035</t>
  </si>
  <si>
    <t>501-D-0036</t>
  </si>
  <si>
    <t>501-D-0037</t>
  </si>
  <si>
    <t>501-D-0038</t>
  </si>
  <si>
    <t>501-B-0001</t>
  </si>
  <si>
    <t>521-J-0001</t>
  </si>
  <si>
    <t>521-I-0001</t>
  </si>
  <si>
    <t>521-A-0001</t>
  </si>
  <si>
    <t>521-J-0002</t>
  </si>
  <si>
    <t>521-A-0002</t>
  </si>
  <si>
    <t>521-A-0003</t>
  </si>
  <si>
    <t>521-J-0003</t>
  </si>
  <si>
    <t>521-A-0004</t>
  </si>
  <si>
    <t>521-J-0004</t>
  </si>
  <si>
    <t>509-A-0001</t>
  </si>
  <si>
    <t>509-A-0002</t>
  </si>
  <si>
    <t>509-A-0003</t>
  </si>
  <si>
    <t>509-A-0004</t>
  </si>
  <si>
    <t>509-A-0005</t>
  </si>
  <si>
    <t>509-A-0006</t>
  </si>
  <si>
    <t>509-A-0007</t>
  </si>
  <si>
    <t>509-A-0008</t>
  </si>
  <si>
    <t>509-D-0001</t>
  </si>
  <si>
    <t>509-D-0002</t>
  </si>
  <si>
    <t>509-D-0003</t>
  </si>
  <si>
    <t>509-D-0004</t>
  </si>
  <si>
    <t>509-A-0009</t>
  </si>
  <si>
    <t>509-B-0001</t>
  </si>
  <si>
    <t>509-B-0002</t>
  </si>
  <si>
    <t>509-J-0001</t>
  </si>
  <si>
    <t>509-J-0002</t>
  </si>
  <si>
    <t>509-J-0003</t>
  </si>
  <si>
    <t>509-E-0001</t>
  </si>
  <si>
    <t>509-E-0002</t>
  </si>
  <si>
    <t>509-E-0003</t>
  </si>
  <si>
    <t>509-A-0010</t>
  </si>
  <si>
    <t>509-E-0004</t>
  </si>
  <si>
    <t>509-E-0005</t>
  </si>
  <si>
    <t>509-E-0006</t>
  </si>
  <si>
    <t>509-I-0001</t>
  </si>
  <si>
    <t>509-I-0002</t>
  </si>
  <si>
    <t>509-I-0003</t>
  </si>
  <si>
    <t>509-I-0004</t>
  </si>
  <si>
    <t>509-I-0005</t>
  </si>
  <si>
    <t>509-A-0011</t>
  </si>
  <si>
    <t>509-A-0012</t>
  </si>
  <si>
    <t>509-A-0013</t>
  </si>
  <si>
    <t>509-D-0005</t>
  </si>
  <si>
    <t>509-A-0014</t>
  </si>
  <si>
    <t>509-C-0002</t>
  </si>
  <si>
    <t>509-C-0001</t>
  </si>
  <si>
    <t>509-J-0004</t>
  </si>
  <si>
    <t>509-J-0005</t>
  </si>
  <si>
    <t>509-A-0015</t>
  </si>
  <si>
    <t>509-A-0016</t>
  </si>
  <si>
    <t>509-A-0017</t>
  </si>
  <si>
    <t>509-D-0006</t>
  </si>
  <si>
    <t>509-A-0018</t>
  </si>
  <si>
    <t>509-D-0007</t>
  </si>
  <si>
    <t>509-D-0008</t>
  </si>
  <si>
    <t>509-D-0009</t>
  </si>
  <si>
    <t>509-A-0019</t>
  </si>
  <si>
    <t>509-D-0010</t>
  </si>
  <si>
    <t>509-B-0003</t>
  </si>
  <si>
    <t>509-B-0004</t>
  </si>
  <si>
    <t>509-B-0005</t>
  </si>
  <si>
    <t>509-F-0001</t>
  </si>
  <si>
    <t>520-A-0001</t>
  </si>
  <si>
    <t>520-A-0002</t>
  </si>
  <si>
    <t>520-A-0003</t>
  </si>
  <si>
    <t>520-A-0004</t>
  </si>
  <si>
    <t>520-A-0005</t>
  </si>
  <si>
    <t>520-A-0006</t>
  </si>
  <si>
    <t>520-D-0001</t>
  </si>
  <si>
    <t>520-D-0002</t>
  </si>
  <si>
    <t>520-D-0003</t>
  </si>
  <si>
    <t>520-D-0004</t>
  </si>
  <si>
    <t>520-A-0007</t>
  </si>
  <si>
    <t>520-A-0008</t>
  </si>
  <si>
    <t>520-A-0009</t>
  </si>
  <si>
    <t>520-A-0010</t>
  </si>
  <si>
    <t>520-D-0005</t>
  </si>
  <si>
    <t>520-D-0006</t>
  </si>
  <si>
    <t>520-A-0011</t>
  </si>
  <si>
    <t>520-D-0007</t>
  </si>
  <si>
    <t>520-D-0008</t>
  </si>
  <si>
    <t>520-A-0012</t>
  </si>
  <si>
    <t>520-D-0009</t>
  </si>
  <si>
    <t>520-A-0013</t>
  </si>
  <si>
    <t>520-D-0010</t>
  </si>
  <si>
    <t>520-A-0014</t>
  </si>
  <si>
    <t>520-J-0001</t>
  </si>
  <si>
    <t>520-J-0002</t>
  </si>
  <si>
    <t>520-J-0003</t>
  </si>
  <si>
    <t>520-J-0004</t>
  </si>
  <si>
    <t>520-E-0001</t>
  </si>
  <si>
    <t>520-C-0001</t>
  </si>
  <si>
    <t>520-A-0015</t>
  </si>
  <si>
    <t>508-D-0011</t>
  </si>
  <si>
    <t>520-D-0012</t>
  </si>
  <si>
    <t>520-A-0016</t>
  </si>
  <si>
    <t>520-A-0017</t>
  </si>
  <si>
    <t>520-D-0013</t>
  </si>
  <si>
    <t>520-A-0018</t>
  </si>
  <si>
    <t>520-D-0014</t>
  </si>
  <si>
    <t>520-A-0019</t>
  </si>
  <si>
    <t>520-D-0015</t>
  </si>
  <si>
    <t>504-A-0001</t>
  </si>
  <si>
    <t>504-D-0001</t>
  </si>
  <si>
    <t>504-A-0002</t>
  </si>
  <si>
    <t>504-D-0002</t>
  </si>
  <si>
    <t>504-A-0003</t>
  </si>
  <si>
    <t>504-A-0004</t>
  </si>
  <si>
    <t>504-J-0001</t>
  </si>
  <si>
    <t>504-D-0003</t>
  </si>
  <si>
    <t>504-A-0005</t>
  </si>
  <si>
    <t>504-D-0004</t>
  </si>
  <si>
    <t>504-A-0006</t>
  </si>
  <si>
    <t>504-D-0005</t>
  </si>
  <si>
    <t>504-J-0002</t>
  </si>
  <si>
    <t>504-A-0008</t>
  </si>
  <si>
    <t>504-C-0001</t>
  </si>
  <si>
    <t>504-J-0003</t>
  </si>
  <si>
    <t>504-F-0001</t>
  </si>
  <si>
    <t>504-F-0002</t>
  </si>
  <si>
    <t>504-F-0003</t>
  </si>
  <si>
    <t>504-F-0004</t>
  </si>
  <si>
    <t>504-F-0005</t>
  </si>
  <si>
    <t>504-F-0006</t>
  </si>
  <si>
    <t>504-F-0007</t>
  </si>
  <si>
    <t>504-F-0008</t>
  </si>
  <si>
    <t>504-A-0007</t>
  </si>
  <si>
    <t>504-H-0001</t>
  </si>
  <si>
    <t>504-H-0002</t>
  </si>
  <si>
    <t>504-A-0009</t>
  </si>
  <si>
    <t>504-J-0004</t>
  </si>
  <si>
    <t>504-F-0009</t>
  </si>
  <si>
    <t>504-F-0010</t>
  </si>
  <si>
    <t>504-B-0001</t>
  </si>
  <si>
    <t>504-H-0003</t>
  </si>
  <si>
    <t>504-A-0010</t>
  </si>
  <si>
    <t>504-J-0005</t>
  </si>
  <si>
    <t>504-H-0004</t>
  </si>
  <si>
    <t>504-H-0005</t>
  </si>
  <si>
    <t>504-A-0011</t>
  </si>
  <si>
    <t>504-D-0006</t>
  </si>
  <si>
    <t>504-A-0012</t>
  </si>
  <si>
    <t>504-D-0007</t>
  </si>
  <si>
    <t>504-A-0013</t>
  </si>
  <si>
    <t>504-J-0006</t>
  </si>
  <si>
    <t>504-I-0001</t>
  </si>
  <si>
    <t>504-A-0014</t>
  </si>
  <si>
    <t>504-J-0007</t>
  </si>
  <si>
    <t>504-A-0015</t>
  </si>
  <si>
    <t>504-A-0016</t>
  </si>
  <si>
    <t>504-A-0018</t>
  </si>
  <si>
    <t>504-C-0002</t>
  </si>
  <si>
    <t>504-I-0002</t>
  </si>
  <si>
    <t>504-I-0003</t>
  </si>
  <si>
    <t>504-B-0002</t>
  </si>
  <si>
    <t>504-B-0003</t>
  </si>
  <si>
    <t>504-A-0017</t>
  </si>
  <si>
    <t>504-C-0003</t>
  </si>
  <si>
    <t>504-J-0008</t>
  </si>
  <si>
    <t>504-A-0019</t>
  </si>
  <si>
    <t>504-D-0008</t>
  </si>
  <si>
    <t>504-A-0020</t>
  </si>
  <si>
    <t>504-A-0021</t>
  </si>
  <si>
    <t>504-D-0009</t>
  </si>
  <si>
    <t>504-C-0004</t>
  </si>
  <si>
    <t>504-B-0004</t>
  </si>
  <si>
    <t>504-B-0005</t>
  </si>
  <si>
    <t>504-B-0006</t>
  </si>
  <si>
    <t>504-J-0009</t>
  </si>
  <si>
    <t>504-A-0022</t>
  </si>
  <si>
    <t>504-D-0010</t>
  </si>
  <si>
    <t>504-A-0023</t>
  </si>
  <si>
    <t>504-A-0024</t>
  </si>
  <si>
    <t>504-D-0011</t>
  </si>
  <si>
    <t>504-J-0010</t>
  </si>
  <si>
    <t>504-J-0011</t>
  </si>
  <si>
    <t>504-A-0025</t>
  </si>
  <si>
    <t>504-A-0026</t>
  </si>
  <si>
    <t>504-A-0027</t>
  </si>
  <si>
    <t>504-D-0012</t>
  </si>
  <si>
    <t>504-D-0013</t>
  </si>
  <si>
    <t>504-J-0012</t>
  </si>
  <si>
    <t>504-A-0028</t>
  </si>
  <si>
    <t>504-J-0013</t>
  </si>
  <si>
    <t>504-D-0014</t>
  </si>
  <si>
    <t>504-B-0007</t>
  </si>
  <si>
    <t>504-B-0008</t>
  </si>
  <si>
    <t>504-A-0029</t>
  </si>
  <si>
    <t>504-A-0030</t>
  </si>
  <si>
    <t>504-D-0015</t>
  </si>
  <si>
    <t>504-C-0066</t>
  </si>
  <si>
    <t>513-A-0001</t>
  </si>
  <si>
    <t>513-A-0002</t>
  </si>
  <si>
    <t>513-A-0003</t>
  </si>
  <si>
    <t>513-A-0004</t>
  </si>
  <si>
    <t>513-A-0005</t>
  </si>
  <si>
    <t>513-A-0006</t>
  </si>
  <si>
    <t>513-A-0007</t>
  </si>
  <si>
    <t>513-A-0008</t>
  </si>
  <si>
    <t>513-A-0009</t>
  </si>
  <si>
    <t>513-A-0010</t>
  </si>
  <si>
    <t>513-A-0011</t>
  </si>
  <si>
    <t>513-A-0012</t>
  </si>
  <si>
    <t>513-A-0015</t>
  </si>
  <si>
    <t>513-A-0016</t>
  </si>
  <si>
    <t>513-A-0017</t>
  </si>
  <si>
    <t>513-A-0018</t>
  </si>
  <si>
    <t>513-A-0019</t>
  </si>
  <si>
    <t>513-A-0020</t>
  </si>
  <si>
    <t>513-D-0001</t>
  </si>
  <si>
    <t>513-D-0002</t>
  </si>
  <si>
    <t>513-D-0003</t>
  </si>
  <si>
    <t>513-A-0013</t>
  </si>
  <si>
    <t>513-D-0004</t>
  </si>
  <si>
    <t>513-D-0005</t>
  </si>
  <si>
    <t>513-D-0006</t>
  </si>
  <si>
    <t>513-D-0007</t>
  </si>
  <si>
    <t>513-D-0008</t>
  </si>
  <si>
    <t>513-D-0009</t>
  </si>
  <si>
    <t>513-D-0010</t>
  </si>
  <si>
    <t>513-A-0014</t>
  </si>
  <si>
    <t>513-D-0011</t>
  </si>
  <si>
    <t>513-D-0012</t>
  </si>
  <si>
    <t>513-D-0013</t>
  </si>
  <si>
    <t>513-J-0008</t>
  </si>
  <si>
    <t>513-J-0009</t>
  </si>
  <si>
    <t>513-J-0010</t>
  </si>
  <si>
    <t>513-J-0012</t>
  </si>
  <si>
    <t>513-E-0007</t>
  </si>
  <si>
    <t>513-E-0008</t>
  </si>
  <si>
    <t>513-E-0009</t>
  </si>
  <si>
    <t>513-E-0010</t>
  </si>
  <si>
    <t>513-J-0001</t>
  </si>
  <si>
    <t>513-J-0002</t>
  </si>
  <si>
    <t>513-J-0003</t>
  </si>
  <si>
    <t>513-J-0004</t>
  </si>
  <si>
    <t>513-J-0005</t>
  </si>
  <si>
    <t>513-J-0006</t>
  </si>
  <si>
    <t>513-E-0002</t>
  </si>
  <si>
    <t>513-E-0003</t>
  </si>
  <si>
    <t>513-E-0004</t>
  </si>
  <si>
    <t>513-E-0005</t>
  </si>
  <si>
    <t>513-E-0006</t>
  </si>
  <si>
    <t>513-J-0011</t>
  </si>
  <si>
    <t>513-J-0013</t>
  </si>
  <si>
    <t>513-J-0014</t>
  </si>
  <si>
    <t>513-J-0015</t>
  </si>
  <si>
    <t>513-E-0012</t>
  </si>
  <si>
    <t>513-E-0011</t>
  </si>
  <si>
    <t>513-D-0014</t>
  </si>
  <si>
    <t>513-D-0015</t>
  </si>
  <si>
    <t>513-D-0016</t>
  </si>
  <si>
    <t>513-A-0021</t>
  </si>
  <si>
    <t>513-E-0001</t>
  </si>
  <si>
    <t>513-A-0022</t>
  </si>
  <si>
    <t>513-A-0023</t>
  </si>
  <si>
    <t>513-A-0024</t>
  </si>
  <si>
    <t>513-A-0025</t>
  </si>
  <si>
    <t>513-I-0001</t>
  </si>
  <si>
    <t>513-I-0002</t>
  </si>
  <si>
    <t>513-I-0003</t>
  </si>
  <si>
    <t>513-I-0004</t>
  </si>
  <si>
    <t>513-I-0005</t>
  </si>
  <si>
    <t>513-I-0006</t>
  </si>
  <si>
    <t>513-I-0007</t>
  </si>
  <si>
    <t>513-I-0008</t>
  </si>
  <si>
    <t>513-I-0009</t>
  </si>
  <si>
    <t>513-I-0011</t>
  </si>
  <si>
    <t>513-I-0010</t>
  </si>
  <si>
    <t>513-I-0013</t>
  </si>
  <si>
    <t>513-C-0001</t>
  </si>
  <si>
    <t>513-C-0002</t>
  </si>
  <si>
    <t>513-C-0003</t>
  </si>
  <si>
    <t>513-C-0004</t>
  </si>
  <si>
    <t>513-C-0005</t>
  </si>
  <si>
    <t>513-C-0006</t>
  </si>
  <si>
    <t>513-C-0007</t>
  </si>
  <si>
    <t>513-D-0017</t>
  </si>
  <si>
    <t>513-D-0018</t>
  </si>
  <si>
    <t>513-D-0019</t>
  </si>
  <si>
    <t>513-D-0020</t>
  </si>
  <si>
    <t>513-I-0012</t>
  </si>
  <si>
    <t>513-D-0021</t>
  </si>
  <si>
    <t>513-D-0022</t>
  </si>
  <si>
    <t>513-D-0023</t>
  </si>
  <si>
    <t>513-D-0024</t>
  </si>
  <si>
    <t>513-A-0026</t>
  </si>
  <si>
    <t>513-A-0027</t>
  </si>
  <si>
    <t>513-A-0028</t>
  </si>
  <si>
    <t>513-A-0029</t>
  </si>
  <si>
    <t>513-D-0025</t>
  </si>
  <si>
    <t>513-A-0039</t>
  </si>
  <si>
    <t>513-D-0026</t>
  </si>
  <si>
    <t>513-D-0027</t>
  </si>
  <si>
    <t>513-D-0028</t>
  </si>
  <si>
    <t>513-D-0029</t>
  </si>
  <si>
    <t>513-D-0030</t>
  </si>
  <si>
    <t>513-D-0031</t>
  </si>
  <si>
    <t>513-D-0032</t>
  </si>
  <si>
    <t>511-A-0002</t>
  </si>
  <si>
    <t>511-A-0003</t>
  </si>
  <si>
    <t>511-A-0004</t>
  </si>
  <si>
    <t>511-A-0005</t>
  </si>
  <si>
    <t>511-A-0006</t>
  </si>
  <si>
    <t>511-A-0007</t>
  </si>
  <si>
    <t>511-A-0008</t>
  </si>
  <si>
    <t>511-A-0009</t>
  </si>
  <si>
    <t>511-A-0010</t>
  </si>
  <si>
    <t>511-A-0011</t>
  </si>
  <si>
    <t>511-A-0012</t>
  </si>
  <si>
    <t>511-A-0013</t>
  </si>
  <si>
    <t>511-A-0015</t>
  </si>
  <si>
    <t>511-A-0016</t>
  </si>
  <si>
    <t>511-A-0017</t>
  </si>
  <si>
    <t>511-A-0018</t>
  </si>
  <si>
    <t>511-A-0001</t>
  </si>
  <si>
    <t>511-A-0014</t>
  </si>
  <si>
    <t>511-A-0019</t>
  </si>
  <si>
    <t>511-A-0020</t>
  </si>
  <si>
    <t>511-A-0021</t>
  </si>
  <si>
    <t>511-A-0022</t>
  </si>
  <si>
    <t>511-A-0023</t>
  </si>
  <si>
    <t>511-A-0024</t>
  </si>
  <si>
    <t>511-A-0025</t>
  </si>
  <si>
    <t>511-A-0026</t>
  </si>
  <si>
    <t>511-A-0027</t>
  </si>
  <si>
    <t>511-A-0028</t>
  </si>
  <si>
    <t>511-A-0029</t>
  </si>
  <si>
    <t>511-A-0030</t>
  </si>
  <si>
    <t>511-D-0001</t>
  </si>
  <si>
    <t>511-D-0002</t>
  </si>
  <si>
    <t>511-D-0003</t>
  </si>
  <si>
    <t>511-D-0004</t>
  </si>
  <si>
    <t>511-D-0005</t>
  </si>
  <si>
    <t>511-D-0006</t>
  </si>
  <si>
    <t>511-D-0007</t>
  </si>
  <si>
    <t>511-D-0008</t>
  </si>
  <si>
    <t>511-D-0009</t>
  </si>
  <si>
    <t>511-D-0010</t>
  </si>
  <si>
    <t>511-D-0011</t>
  </si>
  <si>
    <t>511-D-0012</t>
  </si>
  <si>
    <t>511-D-0013</t>
  </si>
  <si>
    <t>511-D-0014</t>
  </si>
  <si>
    <t>511-D-0015</t>
  </si>
  <si>
    <t>511-D-0017</t>
  </si>
  <si>
    <t>511-D-0018</t>
  </si>
  <si>
    <t>511-D-0019</t>
  </si>
  <si>
    <t>511-D-0020</t>
  </si>
  <si>
    <t>511-D-0021</t>
  </si>
  <si>
    <t>511-D-0022</t>
  </si>
  <si>
    <t>511-D-0023</t>
  </si>
  <si>
    <t>511-D-0024</t>
  </si>
  <si>
    <t>511-D-0025</t>
  </si>
  <si>
    <t>511-D-0026</t>
  </si>
  <si>
    <t>511-C-0001</t>
  </si>
  <si>
    <t>511-C-0002</t>
  </si>
  <si>
    <t>511-C-0003</t>
  </si>
  <si>
    <t>511-C-0004</t>
  </si>
  <si>
    <t>511-J-0001</t>
  </si>
  <si>
    <t>511-D-0027</t>
  </si>
  <si>
    <t>511-A-0032</t>
  </si>
  <si>
    <t>511-A-0033</t>
  </si>
  <si>
    <t>511-A-0034</t>
  </si>
  <si>
    <t>511-A-0035</t>
  </si>
  <si>
    <t>511-A-0036</t>
  </si>
  <si>
    <t>511-A-0037</t>
  </si>
  <si>
    <t>511-A-0038</t>
  </si>
  <si>
    <t>511-A-0039</t>
  </si>
  <si>
    <t>511-A-0031</t>
  </si>
  <si>
    <t>511-D-0028</t>
  </si>
  <si>
    <t>511-D-0029</t>
  </si>
  <si>
    <t>511-A-0040</t>
  </si>
  <si>
    <t>511-A-0041</t>
  </si>
  <si>
    <t>511-A-0042</t>
  </si>
  <si>
    <t>511-A-0043</t>
  </si>
  <si>
    <t>511-A-0044</t>
  </si>
  <si>
    <t>511-D-0030</t>
  </si>
  <si>
    <t>511-D-0031</t>
  </si>
  <si>
    <t>511-A-0045</t>
  </si>
  <si>
    <t>511-A-0046</t>
  </si>
  <si>
    <t>511-A-0047</t>
  </si>
  <si>
    <t>511-A-0048</t>
  </si>
  <si>
    <t>511-A-0049</t>
  </si>
  <si>
    <t>511-D-0032</t>
  </si>
  <si>
    <t>511-D-0033</t>
  </si>
  <si>
    <t>511-D-0034</t>
  </si>
  <si>
    <t>511-D-0035</t>
  </si>
  <si>
    <t>511-A-0050</t>
  </si>
  <si>
    <t>511-A-0051</t>
  </si>
  <si>
    <t>511-J-0002</t>
  </si>
  <si>
    <t>511-A-0052</t>
  </si>
  <si>
    <t>511-A-0053</t>
  </si>
  <si>
    <t>511-A-0054</t>
  </si>
  <si>
    <t>511-A-0055</t>
  </si>
  <si>
    <t>511-D-0036</t>
  </si>
  <si>
    <t>511-D-0037</t>
  </si>
  <si>
    <t>511-D-0038</t>
  </si>
  <si>
    <t>511-A-0056</t>
  </si>
  <si>
    <t>511-A-0057</t>
  </si>
  <si>
    <t>511-A-0058</t>
  </si>
  <si>
    <t>511-A-0059</t>
  </si>
  <si>
    <t>511-A-0060</t>
  </si>
  <si>
    <t>511-A-0061</t>
  </si>
  <si>
    <t>511-A-0062</t>
  </si>
  <si>
    <t>511-A-0063</t>
  </si>
  <si>
    <t>511-D-0039</t>
  </si>
  <si>
    <t>511-D-0040</t>
  </si>
  <si>
    <t>511-D-0041</t>
  </si>
  <si>
    <t>511-D-0042</t>
  </si>
  <si>
    <t>511-D-0043</t>
  </si>
  <si>
    <t>511-D-0044</t>
  </si>
  <si>
    <t>511-D-0046</t>
  </si>
  <si>
    <t>511-J-0003</t>
  </si>
  <si>
    <t>511-D-0047</t>
  </si>
  <si>
    <t>511-D-0048</t>
  </si>
  <si>
    <t>511-A-0064</t>
  </si>
  <si>
    <t>511-A-0065</t>
  </si>
  <si>
    <t>511-A-0066</t>
  </si>
  <si>
    <t>511-A-0067</t>
  </si>
  <si>
    <t>511-A-0068</t>
  </si>
  <si>
    <t>511-A-0069</t>
  </si>
  <si>
    <t>511-A-0070</t>
  </si>
  <si>
    <t>511-A-0071</t>
  </si>
  <si>
    <t>511-D-0049</t>
  </si>
  <si>
    <t>511-D-0050</t>
  </si>
  <si>
    <t>511-D-0051</t>
  </si>
  <si>
    <t>511-D-0052</t>
  </si>
  <si>
    <t>511-D-0053</t>
  </si>
  <si>
    <t>511-J-0004</t>
  </si>
  <si>
    <t>511-A-0072</t>
  </si>
  <si>
    <t>511-A-0073</t>
  </si>
  <si>
    <t>511-D-0054</t>
  </si>
  <si>
    <t>511-D-0055</t>
  </si>
  <si>
    <t>511-D-0056</t>
  </si>
  <si>
    <t>511-A-0074</t>
  </si>
  <si>
    <t>511-A-0075</t>
  </si>
  <si>
    <t>511-A-0076</t>
  </si>
  <si>
    <t>511-A-0077</t>
  </si>
  <si>
    <t>511-A-0078</t>
  </si>
  <si>
    <t>511-A-0079</t>
  </si>
  <si>
    <t>511-B-0001</t>
  </si>
  <si>
    <t>511-C-0005</t>
  </si>
  <si>
    <t>511-C-0006</t>
  </si>
  <si>
    <t>511-C-0007</t>
  </si>
  <si>
    <t>511-C-0008</t>
  </si>
  <si>
    <t>511-A-0080</t>
  </si>
  <si>
    <t>511-J-0005</t>
  </si>
  <si>
    <t>511-J-0006</t>
  </si>
  <si>
    <t>511-J-0007</t>
  </si>
  <si>
    <t>511-J-0008</t>
  </si>
  <si>
    <t>511-J-0009</t>
  </si>
  <si>
    <t>511-A-0081</t>
  </si>
  <si>
    <t>511-J-0010</t>
  </si>
  <si>
    <t>511-A-0084</t>
  </si>
  <si>
    <t>511-A-0082</t>
  </si>
  <si>
    <t>511-A-0083</t>
  </si>
  <si>
    <t>511-B-0002</t>
  </si>
  <si>
    <t>511-I-0001</t>
  </si>
  <si>
    <t>511-I-0002</t>
  </si>
  <si>
    <t>511-I-0003</t>
  </si>
  <si>
    <t>511-I-0004</t>
  </si>
  <si>
    <t>511-J-0011</t>
  </si>
  <si>
    <t>511-J-0012</t>
  </si>
  <si>
    <t>511-J-0013</t>
  </si>
  <si>
    <t>511-E-0001</t>
  </si>
  <si>
    <t>511-E-0002</t>
  </si>
  <si>
    <t>511-E-0003</t>
  </si>
  <si>
    <t>511-E-0004</t>
  </si>
  <si>
    <t>511-E-0005</t>
  </si>
  <si>
    <t>511-E-0006</t>
  </si>
  <si>
    <t>511-E-0007</t>
  </si>
  <si>
    <t>511-E-0008</t>
  </si>
  <si>
    <t>511-E-0009</t>
  </si>
  <si>
    <t>511-E-0010</t>
  </si>
  <si>
    <t>511-E-0011</t>
  </si>
  <si>
    <t>511-E-0012</t>
  </si>
  <si>
    <t>511-E-0013</t>
  </si>
  <si>
    <t>511-E-0014</t>
  </si>
  <si>
    <t>511-E-0015</t>
  </si>
  <si>
    <t>511-E-0016</t>
  </si>
  <si>
    <t>511-E-0017</t>
  </si>
  <si>
    <t>511-E-0018</t>
  </si>
  <si>
    <t>511-E-0019</t>
  </si>
  <si>
    <t>511-E-0020</t>
  </si>
  <si>
    <t>511-E-0021</t>
  </si>
  <si>
    <t>511-E-0022</t>
  </si>
  <si>
    <t>511-E-0023</t>
  </si>
  <si>
    <t>511-E-0024</t>
  </si>
  <si>
    <t>511-E-0025</t>
  </si>
  <si>
    <t>511-E-0026</t>
  </si>
  <si>
    <t>511-E-0027</t>
  </si>
  <si>
    <t>511-E-0028</t>
  </si>
  <si>
    <t>511-E-0029</t>
  </si>
  <si>
    <t>511-E-0030</t>
  </si>
  <si>
    <t>511-E-0031</t>
  </si>
  <si>
    <t>511-E-0032</t>
  </si>
  <si>
    <t>511-C-0009</t>
  </si>
  <si>
    <t>511-C-0010</t>
  </si>
  <si>
    <t>511-C-0011</t>
  </si>
  <si>
    <t>511-C-0012</t>
  </si>
  <si>
    <t>511-C-0013</t>
  </si>
  <si>
    <t>511-C-0014</t>
  </si>
  <si>
    <t>511-J-0015</t>
  </si>
  <si>
    <t>511-I-0005</t>
  </si>
  <si>
    <t>511-I-0006</t>
  </si>
  <si>
    <t>511-I-0007</t>
  </si>
  <si>
    <t>511-A-0085</t>
  </si>
  <si>
    <t>511-A-0086</t>
  </si>
  <si>
    <t>511-A-0087</t>
  </si>
  <si>
    <t>511-J-0014</t>
  </si>
  <si>
    <t>511-A-0088</t>
  </si>
  <si>
    <t>511-A-0089</t>
  </si>
  <si>
    <t>511-A-0090</t>
  </si>
  <si>
    <t>511-D-0057</t>
  </si>
  <si>
    <t>511-C-0015</t>
  </si>
  <si>
    <t>511-A-0091</t>
  </si>
  <si>
    <t>511-A-0092</t>
  </si>
  <si>
    <t>511-D-0058</t>
  </si>
  <si>
    <t>511-A-0093</t>
  </si>
  <si>
    <t>511-A-0094</t>
  </si>
  <si>
    <t>511-A-0095</t>
  </si>
  <si>
    <t>511-A-0096</t>
  </si>
  <si>
    <t>511-A-0097</t>
  </si>
  <si>
    <t>511-A-0098</t>
  </si>
  <si>
    <t>511-A-0099</t>
  </si>
  <si>
    <t>511-A-0100</t>
  </si>
  <si>
    <t>511-A-0101</t>
  </si>
  <si>
    <t>511-A-0102</t>
  </si>
  <si>
    <t>511-A-0103</t>
  </si>
  <si>
    <t>511-A-0104</t>
  </si>
  <si>
    <t>511-J-0016</t>
  </si>
  <si>
    <t>511-J-0017</t>
  </si>
  <si>
    <t>511-J-0018</t>
  </si>
  <si>
    <t>511-J-0019</t>
  </si>
  <si>
    <t>511-D-0059</t>
  </si>
  <si>
    <t>511-D-0060</t>
  </si>
  <si>
    <t>511-D-0061</t>
  </si>
  <si>
    <t>511-D-0062</t>
  </si>
  <si>
    <t>511-J-0020</t>
  </si>
  <si>
    <t>511-J-0021</t>
  </si>
  <si>
    <t>511-J-0022</t>
  </si>
  <si>
    <t>511-J-0023</t>
  </si>
  <si>
    <t>511-J-0024</t>
  </si>
  <si>
    <t>511-J-0025</t>
  </si>
  <si>
    <t>511-J-0026</t>
  </si>
  <si>
    <t>511-J-0027</t>
  </si>
  <si>
    <t>511-J-0028</t>
  </si>
  <si>
    <t>511-J-0029</t>
  </si>
  <si>
    <t>511-J-0030</t>
  </si>
  <si>
    <t>511-J-0031</t>
  </si>
  <si>
    <t>511-J-0032</t>
  </si>
  <si>
    <t>511-J-0033</t>
  </si>
  <si>
    <t>511-J-0034</t>
  </si>
  <si>
    <t>511-J-0035</t>
  </si>
  <si>
    <t>511-J-0036</t>
  </si>
  <si>
    <t>511-J-0037</t>
  </si>
  <si>
    <t>511-A-0105</t>
  </si>
  <si>
    <t>511-A-0106</t>
  </si>
  <si>
    <t>511-A-0107</t>
  </si>
  <si>
    <t>511-A-0111</t>
  </si>
  <si>
    <t>511-A-0108</t>
  </si>
  <si>
    <t>511-A-0109</t>
  </si>
  <si>
    <t>511-A-0110</t>
  </si>
  <si>
    <t>511-D-0063</t>
  </si>
  <si>
    <t>511-D-0064</t>
  </si>
  <si>
    <t>511-D-0065</t>
  </si>
  <si>
    <t>511-D-0066</t>
  </si>
  <si>
    <t>511-D-0067</t>
  </si>
  <si>
    <t>511-D-0068</t>
  </si>
  <si>
    <t>507-A-0002</t>
  </si>
  <si>
    <t>507-A-0001</t>
  </si>
  <si>
    <t>507-A-0003</t>
  </si>
  <si>
    <t>507-A-0004</t>
  </si>
  <si>
    <t>507-A-0005</t>
  </si>
  <si>
    <t>507-A-0006</t>
  </si>
  <si>
    <t>507-A-0007</t>
  </si>
  <si>
    <t>507-A-0008</t>
  </si>
  <si>
    <t>507-A-0009</t>
  </si>
  <si>
    <t>507-A-0010</t>
  </si>
  <si>
    <t>507-A-0011</t>
  </si>
  <si>
    <t>507-A-0012</t>
  </si>
  <si>
    <t>507-A-0013</t>
  </si>
  <si>
    <t>507-A-0014</t>
  </si>
  <si>
    <t>507-A-0015</t>
  </si>
  <si>
    <t>507-A-0016</t>
  </si>
  <si>
    <t>507-A-0017</t>
  </si>
  <si>
    <t>507-A-0018</t>
  </si>
  <si>
    <t>507-A-0019</t>
  </si>
  <si>
    <t>507-A-0020</t>
  </si>
  <si>
    <t>507-J-0001</t>
  </si>
  <si>
    <t>507-J-0002</t>
  </si>
  <si>
    <t>507-J-0003</t>
  </si>
  <si>
    <t>507-J-0004</t>
  </si>
  <si>
    <t>507-J-0005</t>
  </si>
  <si>
    <t>507-J-0006</t>
  </si>
  <si>
    <t>507-J-0007</t>
  </si>
  <si>
    <t>507-J-0008</t>
  </si>
  <si>
    <t>507-J-0009</t>
  </si>
  <si>
    <t>507-J-0010</t>
  </si>
  <si>
    <t>507-A-0021</t>
  </si>
  <si>
    <t>507-A-0022</t>
  </si>
  <si>
    <t>507-A-0023</t>
  </si>
  <si>
    <t>507-J-0011</t>
  </si>
  <si>
    <t>507-J-0012</t>
  </si>
  <si>
    <t>507-J-0013</t>
  </si>
  <si>
    <t>507-J-0014</t>
  </si>
  <si>
    <t>507-J-0015</t>
  </si>
  <si>
    <t>507-A-0024</t>
  </si>
  <si>
    <t>507-A-0025</t>
  </si>
  <si>
    <t>507-A-0026</t>
  </si>
  <si>
    <t>507-D-0001</t>
  </si>
  <si>
    <t>507-D-0002</t>
  </si>
  <si>
    <t>507-D-0003</t>
  </si>
  <si>
    <t>507-A-0027</t>
  </si>
  <si>
    <t>507-A-0028</t>
  </si>
  <si>
    <t>507-D-0004</t>
  </si>
  <si>
    <t>507-D-0005</t>
  </si>
  <si>
    <t>507-D-0006</t>
  </si>
  <si>
    <t>507-D-0007</t>
  </si>
  <si>
    <t>507-D-0008</t>
  </si>
  <si>
    <t>507-D-0009</t>
  </si>
  <si>
    <t>507-D-0010</t>
  </si>
  <si>
    <t>507-D-0011</t>
  </si>
  <si>
    <t>507-D-0012</t>
  </si>
  <si>
    <t>507-D-0013</t>
  </si>
  <si>
    <t>507-D-0014</t>
  </si>
  <si>
    <t>507-A-0029</t>
  </si>
  <si>
    <t>507-D-0015</t>
  </si>
  <si>
    <t>507-C-0001</t>
  </si>
  <si>
    <t>507-C-0002</t>
  </si>
  <si>
    <t>507-D-0016</t>
  </si>
  <si>
    <t>507-D-0017</t>
  </si>
  <si>
    <t>507-B-0001</t>
  </si>
  <si>
    <t>507-B-0002</t>
  </si>
  <si>
    <t>507-B-0003</t>
  </si>
  <si>
    <t>507-B-0004</t>
  </si>
  <si>
    <t>507-B-0005</t>
  </si>
  <si>
    <t>507-B-0006</t>
  </si>
  <si>
    <t>507-B-0007</t>
  </si>
  <si>
    <t>507-B-0008</t>
  </si>
  <si>
    <t>507-C-0003</t>
  </si>
  <si>
    <t>507-C-0004</t>
  </si>
  <si>
    <t>507-C-0005</t>
  </si>
  <si>
    <t>507-C-0006</t>
  </si>
  <si>
    <t>507-B-0009</t>
  </si>
  <si>
    <t>507-B-0010</t>
  </si>
  <si>
    <t>507-B-0011</t>
  </si>
  <si>
    <t>507-B-0012</t>
  </si>
  <si>
    <t>507-B-0013</t>
  </si>
  <si>
    <t>507-A-0030</t>
  </si>
  <si>
    <t>507-A-0031</t>
  </si>
  <si>
    <t>507-D-0019</t>
  </si>
  <si>
    <t>507-D-0020</t>
  </si>
  <si>
    <t>507-A-0032</t>
  </si>
  <si>
    <t>507-D-0018</t>
  </si>
  <si>
    <t>507-A-0033</t>
  </si>
  <si>
    <t>507-A-0034</t>
  </si>
  <si>
    <t>507-D-0021</t>
  </si>
  <si>
    <t>507-D-0022</t>
  </si>
  <si>
    <t>507-A-0035</t>
  </si>
  <si>
    <t>507-I-0001</t>
  </si>
  <si>
    <t>507-J-0016</t>
  </si>
  <si>
    <t>507-D-0023</t>
  </si>
  <si>
    <t>507-A-0036</t>
  </si>
  <si>
    <t>507-D-0024</t>
  </si>
  <si>
    <t>507-J-0017</t>
  </si>
  <si>
    <t>507-A-0037</t>
  </si>
  <si>
    <t>507-A-0038</t>
  </si>
  <si>
    <t>507-A-0039</t>
  </si>
  <si>
    <t>507-A-0040</t>
  </si>
  <si>
    <t>507-A-0041</t>
  </si>
  <si>
    <t>507-D-0026</t>
  </si>
  <si>
    <t>507-D-0025</t>
  </si>
  <si>
    <t>507-D-0027</t>
  </si>
  <si>
    <t>507-D-0028</t>
  </si>
  <si>
    <t>507-D-0029</t>
  </si>
  <si>
    <t>507-D-0030</t>
  </si>
  <si>
    <t>507-I-0002</t>
  </si>
  <si>
    <t>507-J-0018</t>
  </si>
  <si>
    <t>507-D-0031</t>
  </si>
  <si>
    <t>507-D-0032</t>
  </si>
  <si>
    <t>507-D-0033</t>
  </si>
  <si>
    <t>507-D-0034</t>
  </si>
  <si>
    <t>507-D-0035</t>
  </si>
  <si>
    <t>507-D-0036</t>
  </si>
  <si>
    <t>507-D-0037</t>
  </si>
  <si>
    <t>507-D-0038</t>
  </si>
  <si>
    <t>507-C-0007</t>
  </si>
  <si>
    <t>507-A-0042</t>
  </si>
  <si>
    <t>507-A-0043</t>
  </si>
  <si>
    <t>507-D-0039</t>
  </si>
  <si>
    <t>507-I-0004</t>
  </si>
  <si>
    <t>507-J-0019</t>
  </si>
  <si>
    <t>507-D-0040</t>
  </si>
  <si>
    <t>507-A-0044</t>
  </si>
  <si>
    <t>507-F-0001</t>
  </si>
  <si>
    <t>507-I-0003</t>
  </si>
  <si>
    <t>507-I-0005</t>
  </si>
  <si>
    <t>507-A-0045</t>
  </si>
  <si>
    <t>507-D-0041</t>
  </si>
  <si>
    <t>507-A-0046</t>
  </si>
  <si>
    <t>507-A-0047</t>
  </si>
  <si>
    <t>507-A-0048</t>
  </si>
  <si>
    <t>507-D-0042</t>
  </si>
  <si>
    <t>510-A-0001</t>
  </si>
  <si>
    <t>510-A-0002</t>
  </si>
  <si>
    <t>510-D-0001</t>
  </si>
  <si>
    <t>510-A-0003</t>
  </si>
  <si>
    <t>510-D-0002</t>
  </si>
  <si>
    <t>510-A-0004</t>
  </si>
  <si>
    <t>510-D-0003</t>
  </si>
  <si>
    <t>510-A-0005</t>
  </si>
  <si>
    <t>510-A-0006</t>
  </si>
  <si>
    <t>510-A-0007</t>
  </si>
  <si>
    <t>510-D-0004</t>
  </si>
  <si>
    <t>510-A-0008</t>
  </si>
  <si>
    <t>510-D-0005</t>
  </si>
  <si>
    <t>510-A-0009</t>
  </si>
  <si>
    <t>510-D-0006</t>
  </si>
  <si>
    <t>510-A-0010</t>
  </si>
  <si>
    <t>510-A-0011</t>
  </si>
  <si>
    <t>510-D-0007</t>
  </si>
  <si>
    <t>510-A-0012</t>
  </si>
  <si>
    <t>510-D-0008</t>
  </si>
  <si>
    <t>510-D-0009</t>
  </si>
  <si>
    <t>510-A-0013</t>
  </si>
  <si>
    <t>510-D-0010</t>
  </si>
  <si>
    <t>510-A-0014</t>
  </si>
  <si>
    <t>510-D-0014</t>
  </si>
  <si>
    <t>510-A-0015</t>
  </si>
  <si>
    <t>510-D-0012</t>
  </si>
  <si>
    <t>510-A-0016</t>
  </si>
  <si>
    <t>510-A-0017</t>
  </si>
  <si>
    <t>510-A-0018</t>
  </si>
  <si>
    <t>510-A-0019</t>
  </si>
  <si>
    <t>510-A-0020</t>
  </si>
  <si>
    <t>510-A-0021</t>
  </si>
  <si>
    <t>510-D-0013</t>
  </si>
  <si>
    <t>510-A-0022</t>
  </si>
  <si>
    <t>510-A-0023</t>
  </si>
  <si>
    <t>510-D-0015</t>
  </si>
  <si>
    <t>510-D-0016</t>
  </si>
  <si>
    <t>510-D-0017</t>
  </si>
  <si>
    <t>510-D-0018</t>
  </si>
  <si>
    <t>510-A-0024</t>
  </si>
  <si>
    <t>510-A-0025</t>
  </si>
  <si>
    <t>510-A-0026</t>
  </si>
  <si>
    <t>510-A-0027</t>
  </si>
  <si>
    <t>510-A-0028</t>
  </si>
  <si>
    <t>510-D-0019</t>
  </si>
  <si>
    <t>510-J-0001</t>
  </si>
  <si>
    <t>510-A-0029</t>
  </si>
  <si>
    <t>510-D-0020</t>
  </si>
  <si>
    <t>510-J-0002</t>
  </si>
  <si>
    <t>510-J-0003</t>
  </si>
  <si>
    <t>510-J-0004</t>
  </si>
  <si>
    <t>510-A-0030</t>
  </si>
  <si>
    <t>510-D-0021</t>
  </si>
  <si>
    <t>510-J-0005</t>
  </si>
  <si>
    <t>510-J-0006</t>
  </si>
  <si>
    <t>510-A-0031</t>
  </si>
  <si>
    <t>510-J-0007</t>
  </si>
  <si>
    <t>510-A-0032</t>
  </si>
  <si>
    <t>510-D-0022</t>
  </si>
  <si>
    <t>510-D-0023</t>
  </si>
  <si>
    <t>510-J-0008</t>
  </si>
  <si>
    <t>510-A-0033</t>
  </si>
  <si>
    <t>510-D-0024</t>
  </si>
  <si>
    <t>510-J-0009</t>
  </si>
  <si>
    <t>510-D-0025</t>
  </si>
  <si>
    <t>510-D-0026</t>
  </si>
  <si>
    <t>510-A-0034</t>
  </si>
  <si>
    <t>510-D-0027</t>
  </si>
  <si>
    <t>510-J-0010</t>
  </si>
  <si>
    <t>510-A-0035</t>
  </si>
  <si>
    <t>510-D-0028</t>
  </si>
  <si>
    <t>510-J-0011</t>
  </si>
  <si>
    <t>510-A-0036</t>
  </si>
  <si>
    <t>510-J-0012</t>
  </si>
  <si>
    <t>510-A-0037</t>
  </si>
  <si>
    <t>510-D-0029</t>
  </si>
  <si>
    <t>510-A-0038</t>
  </si>
  <si>
    <t>510-D-0030</t>
  </si>
  <si>
    <t>510-A-0039</t>
  </si>
  <si>
    <t>510-D-0031</t>
  </si>
  <si>
    <t>510-A-0040</t>
  </si>
  <si>
    <t>510-D-0032</t>
  </si>
  <si>
    <t>510-D-0033</t>
  </si>
  <si>
    <t>510-D-0034</t>
  </si>
  <si>
    <t>510-D-0035</t>
  </si>
  <si>
    <t>510-A-0041</t>
  </si>
  <si>
    <t>510-A-0042</t>
  </si>
  <si>
    <t>510-A-0043</t>
  </si>
  <si>
    <t>510-B-0001</t>
  </si>
  <si>
    <t>510-B-0002</t>
  </si>
  <si>
    <t>510-J-0013</t>
  </si>
  <si>
    <t>510-J-0014</t>
  </si>
  <si>
    <t>510-J-0015</t>
  </si>
  <si>
    <t>510-J-0016</t>
  </si>
  <si>
    <t>510-J-0017</t>
  </si>
  <si>
    <t>510-J-0018</t>
  </si>
  <si>
    <t>510-J-0019</t>
  </si>
  <si>
    <t>510-J-0020</t>
  </si>
  <si>
    <t>510-B-0003</t>
  </si>
  <si>
    <t>510-B-0004</t>
  </si>
  <si>
    <t>510-C-0001</t>
  </si>
  <si>
    <t>510-C-0002</t>
  </si>
  <si>
    <t>510-C-0003</t>
  </si>
  <si>
    <t>510-B-0005</t>
  </si>
  <si>
    <t>510-C-0004</t>
  </si>
  <si>
    <t>510-C-0005</t>
  </si>
  <si>
    <t>510-D-0036</t>
  </si>
  <si>
    <t>510-D-0037</t>
  </si>
  <si>
    <t>510-D-0038</t>
  </si>
  <si>
    <t>510-J-0021</t>
  </si>
  <si>
    <t>510-J-0022</t>
  </si>
  <si>
    <t>510-J-0023</t>
  </si>
  <si>
    <t>510-J-0024</t>
  </si>
  <si>
    <t>510-J-0025</t>
  </si>
  <si>
    <t>510-J-0026</t>
  </si>
  <si>
    <t>510-E-0001</t>
  </si>
  <si>
    <t>510-E-0002</t>
  </si>
  <si>
    <t>510-E-0003</t>
  </si>
  <si>
    <t>510-E-0004</t>
  </si>
  <si>
    <t>510-E-0005</t>
  </si>
  <si>
    <t>510-E-0006</t>
  </si>
  <si>
    <t>510-I-0001</t>
  </si>
  <si>
    <t>510-I-0002</t>
  </si>
  <si>
    <t>510-I-0003</t>
  </si>
  <si>
    <t>510-I-0004</t>
  </si>
  <si>
    <t>510-I-0005</t>
  </si>
  <si>
    <t>510-I-0006</t>
  </si>
  <si>
    <t>510-I-0007</t>
  </si>
  <si>
    <t>510-I-0008</t>
  </si>
  <si>
    <t>510-I-0009</t>
  </si>
  <si>
    <t>510-I-0010</t>
  </si>
  <si>
    <t>510-I-0011</t>
  </si>
  <si>
    <t>511-I-0012</t>
  </si>
  <si>
    <t>510-B-0006</t>
  </si>
  <si>
    <t>510-I-0013</t>
  </si>
  <si>
    <t>510-I-0014</t>
  </si>
  <si>
    <t>510-I-0015</t>
  </si>
  <si>
    <t>510-I-0016</t>
  </si>
  <si>
    <t>510-I-0017</t>
  </si>
  <si>
    <t>510-I-0018</t>
  </si>
  <si>
    <t>510-I-0019</t>
  </si>
  <si>
    <t>510-I-0020</t>
  </si>
  <si>
    <t>510-I-0021</t>
  </si>
  <si>
    <t>510-E-0007</t>
  </si>
  <si>
    <t>510-J-0027</t>
  </si>
  <si>
    <t>510-J-0028</t>
  </si>
  <si>
    <t>510-D-0039</t>
  </si>
  <si>
    <t>510-D-0040</t>
  </si>
  <si>
    <t>510-F-0002</t>
  </si>
  <si>
    <t>510-F-0003</t>
  </si>
  <si>
    <t>510-A-0044</t>
  </si>
  <si>
    <t>510-A-0045</t>
  </si>
  <si>
    <t>510-F-0001</t>
  </si>
  <si>
    <t>510-I-0022</t>
  </si>
  <si>
    <t>510-I-0023</t>
  </si>
  <si>
    <t>510-I-0024</t>
  </si>
  <si>
    <t>510-I-0025</t>
  </si>
  <si>
    <t>510-I-0026</t>
  </si>
  <si>
    <t>Taller confiabilidad</t>
  </si>
  <si>
    <t>Oficinas Mantenimiento planta</t>
  </si>
  <si>
    <t>Recursos hidricos generacion</t>
  </si>
  <si>
    <t>Taller de chancado</t>
  </si>
  <si>
    <t>Taller de lubricacion</t>
  </si>
  <si>
    <t>Taller electrico</t>
  </si>
  <si>
    <t>Taller de filtros</t>
  </si>
  <si>
    <t>Taller de flotacion</t>
  </si>
  <si>
    <t>Taller de instrumentacion</t>
  </si>
  <si>
    <t>Taller de molienda</t>
  </si>
  <si>
    <t>Taller de soldadura</t>
  </si>
  <si>
    <t>Vehiculo</t>
  </si>
  <si>
    <t>Tipo de vehiculo</t>
  </si>
  <si>
    <t>Camioneta</t>
  </si>
  <si>
    <t>L-140</t>
  </si>
  <si>
    <t>L-266</t>
  </si>
  <si>
    <t>Camion</t>
  </si>
  <si>
    <t>L-139</t>
  </si>
  <si>
    <t>L-115</t>
  </si>
  <si>
    <t>P-038</t>
  </si>
  <si>
    <t>6482/ZZK</t>
  </si>
  <si>
    <t xml:space="preserve">5237/ELH </t>
  </si>
  <si>
    <t>6483AAU</t>
  </si>
  <si>
    <t>LIMBER GOMEZ/ JOSE ViñOLA</t>
  </si>
  <si>
    <t>Responsable</t>
  </si>
  <si>
    <t>OSWALDO DIAZ</t>
  </si>
  <si>
    <t>Contratista TESA</t>
  </si>
  <si>
    <t>JUAN DE DIOS HUAYLLANI</t>
  </si>
  <si>
    <t>ERICK MUñOZ</t>
  </si>
  <si>
    <t xml:space="preserve">JHONNY ALI </t>
  </si>
  <si>
    <t>L-182</t>
  </si>
  <si>
    <t>L-134</t>
  </si>
  <si>
    <t>EDWIN CAYO / ERICK PACO</t>
  </si>
  <si>
    <t>JAVIER SOLIZ</t>
  </si>
  <si>
    <t>KATTIA LOPEZ</t>
  </si>
  <si>
    <t>L-200</t>
  </si>
  <si>
    <t>L-074</t>
  </si>
  <si>
    <t>P-088</t>
  </si>
  <si>
    <t>ALEXANDER TORRICO / SAUL BALLADARES</t>
  </si>
  <si>
    <t>VOLTAENERGY</t>
  </si>
  <si>
    <t>L-099</t>
  </si>
  <si>
    <t>L-206</t>
  </si>
  <si>
    <t>4748-YLR</t>
  </si>
  <si>
    <t>MARCO GARCIA</t>
  </si>
  <si>
    <t>HUGO MAMANI</t>
  </si>
  <si>
    <t>L-133</t>
  </si>
  <si>
    <t>AL-012</t>
  </si>
  <si>
    <t>MIGUEL RUBIN DE CELIS</t>
  </si>
  <si>
    <t>JULIO ESPINOZA</t>
  </si>
  <si>
    <t>L-100</t>
  </si>
  <si>
    <t>TTMB-6347-YBM</t>
  </si>
  <si>
    <t>PLANIFICACION</t>
  </si>
  <si>
    <t xml:space="preserve"> ERIK THOMPSON </t>
  </si>
  <si>
    <t>L-072</t>
  </si>
  <si>
    <t>L-143</t>
  </si>
  <si>
    <t>VLADIMIR MOLINA</t>
  </si>
  <si>
    <t>JHONNY CONDARCO</t>
  </si>
  <si>
    <t>LUCRECIO  QUISPE</t>
  </si>
  <si>
    <t>PEDRO HURTADO</t>
  </si>
  <si>
    <t>GEO AGUAS</t>
  </si>
  <si>
    <t>L-107</t>
  </si>
  <si>
    <t>L-087</t>
  </si>
  <si>
    <t>L-141</t>
  </si>
  <si>
    <t>AL-004</t>
  </si>
  <si>
    <t>5780XFU</t>
  </si>
  <si>
    <t>5778YDB</t>
  </si>
  <si>
    <t>6407CXC</t>
  </si>
  <si>
    <t>RAUL CARRASCO / TURNO NOCTURNO</t>
  </si>
  <si>
    <t>RAÚL CARRASCO / HAROLD YUCRA</t>
  </si>
  <si>
    <t>L-122</t>
  </si>
  <si>
    <t>L-130</t>
  </si>
  <si>
    <t>L-067</t>
  </si>
  <si>
    <t>L-159</t>
  </si>
  <si>
    <t>PHILIPPE GUYON</t>
  </si>
  <si>
    <t>OVIDIO CAPURATA</t>
  </si>
  <si>
    <t>WILSON LAZO</t>
  </si>
  <si>
    <t>DAVID NAVARRO</t>
  </si>
  <si>
    <t>SUPERINTENDENTE</t>
  </si>
  <si>
    <t>GERENTE</t>
  </si>
  <si>
    <t>L-180</t>
  </si>
  <si>
    <t>L-265</t>
  </si>
  <si>
    <t>L-262</t>
  </si>
  <si>
    <t>L-263</t>
  </si>
  <si>
    <t>L-264</t>
  </si>
  <si>
    <t>L-215</t>
  </si>
  <si>
    <t>ID Unico RFID (EPC)</t>
  </si>
  <si>
    <t>E28068940000402A8A163095</t>
  </si>
  <si>
    <t>E28068940000402A8A15FDE5</t>
  </si>
  <si>
    <t>E28068940000502A8A15FDDE</t>
  </si>
  <si>
    <t>E28068940000402D21E4FE24</t>
  </si>
  <si>
    <t>E28068940000402A8A15DD2B</t>
  </si>
  <si>
    <t>E28068940000502A8A16517D</t>
  </si>
  <si>
    <t>E28068940000502A8A1604E8</t>
  </si>
  <si>
    <t>E28068940000502A8A162987</t>
  </si>
  <si>
    <t>E28068940000402A8A15EA13</t>
  </si>
  <si>
    <t>E28068940000402A8A1628E1</t>
  </si>
  <si>
    <t>E28068940000502D21E52CB4</t>
  </si>
  <si>
    <t>E28068940000502A8A15F8E2</t>
  </si>
  <si>
    <t>E28068940000402A8A15E529</t>
  </si>
  <si>
    <t>E28068940000402A8A1651BF</t>
  </si>
  <si>
    <t>E28068940000402D21E4C513</t>
  </si>
  <si>
    <t>E28068940000502A8A15D041</t>
  </si>
  <si>
    <t>E28068940000502A8A165856</t>
  </si>
  <si>
    <t>E28068940000402A8A165480</t>
  </si>
  <si>
    <t>E28068940000502A8A15DC21</t>
  </si>
  <si>
    <t>E28068940000502D21E53247</t>
  </si>
  <si>
    <t>E28068940000502A8A162CE2</t>
  </si>
  <si>
    <t>E28068940000502A8A166510</t>
  </si>
  <si>
    <t>E28068940000502D21E55441</t>
  </si>
  <si>
    <t>E28068940000502A8A16551C</t>
  </si>
  <si>
    <t>E28068940000502D21E531F0</t>
  </si>
  <si>
    <t>E28068940000502A8A15D948</t>
  </si>
  <si>
    <t>E28068940000402D21E52CBC</t>
  </si>
  <si>
    <t>E28068940000402A8A16043E</t>
  </si>
  <si>
    <t>E28068940000402A8A1629DF</t>
  </si>
  <si>
    <t>E28068940000502A8A162CDD</t>
  </si>
  <si>
    <t>E28068940000502A8A164D13</t>
  </si>
  <si>
    <t>E28068940000402A8A16091E</t>
  </si>
  <si>
    <t>E28068940000402A8A160912</t>
  </si>
  <si>
    <t>E28068940000402D21E4FDE1</t>
  </si>
  <si>
    <t>E28068940000402D21E4B9F9</t>
  </si>
  <si>
    <t>E28068940000402A8A1648C0</t>
  </si>
  <si>
    <t>E28068940000502D21E521AE</t>
  </si>
  <si>
    <t>E28068940000402A8A16485F</t>
  </si>
  <si>
    <t>E28068940000402D21E4EA6A</t>
  </si>
  <si>
    <t>E28068940000502A8A15FCF8</t>
  </si>
  <si>
    <t>E28068940000402A8A1620C4</t>
  </si>
  <si>
    <t>E28068940000502D21E4F01D</t>
  </si>
  <si>
    <t>E28068940000502A8A161078</t>
  </si>
  <si>
    <t>E28068940000502A8A163E2D</t>
  </si>
  <si>
    <t>E28068940000502D21E4D205</t>
  </si>
  <si>
    <t>E28068940000402D21E50164</t>
  </si>
  <si>
    <t>E28068940000502D21E4F0DD</t>
  </si>
  <si>
    <t>E280689400005029B5B401AD</t>
  </si>
  <si>
    <t>E280689400005034402695F2</t>
  </si>
  <si>
    <t>E280689400004034402678E1</t>
  </si>
  <si>
    <t>E280689400005029B5B36E17</t>
  </si>
  <si>
    <t>E280689400004029B5B38D53</t>
  </si>
  <si>
    <t>E28068940000403440268E22</t>
  </si>
  <si>
    <t>E280689400005029B5B3A860</t>
  </si>
  <si>
    <t>E280689400005034402670F3</t>
  </si>
  <si>
    <t>E280689400005029B5B374C1</t>
  </si>
  <si>
    <t>E280689400005029B5B3989C</t>
  </si>
  <si>
    <t>E2806894000050344026AD77</t>
  </si>
  <si>
    <t>E2806894000050344026C5F8</t>
  </si>
  <si>
    <t>E280689400005029B5B42968</t>
  </si>
  <si>
    <t>E2806894000040344026AD2F</t>
  </si>
  <si>
    <t>E280689400004029B5B33C22</t>
  </si>
  <si>
    <t>E28068940000503440267143</t>
  </si>
  <si>
    <t>E2806894000040344026B998</t>
  </si>
  <si>
    <t>E28068940000403440269D19</t>
  </si>
  <si>
    <t>E280689400005029B5B3FD05</t>
  </si>
  <si>
    <t>E280689400005034402670F5</t>
  </si>
  <si>
    <t>E280689400005029B5B3986F</t>
  </si>
  <si>
    <t>E2806894000050344026B547</t>
  </si>
  <si>
    <t>E280689400004029B5B3C9A6</t>
  </si>
  <si>
    <t>E280689400004034402694E9</t>
  </si>
  <si>
    <t>E280689400005029B5B3EC50</t>
  </si>
  <si>
    <t>E280689400004029B5B394E5</t>
  </si>
  <si>
    <t>E280689400004029B5B3CC56</t>
  </si>
  <si>
    <t>E2806894000050344026B9CF</t>
  </si>
  <si>
    <t>E280689400004029B5B33438</t>
  </si>
  <si>
    <t>E280689400004029B5B3B89C</t>
  </si>
  <si>
    <t>E280689400004029B5B374C6</t>
  </si>
  <si>
    <t>E2806894000040344026A854</t>
  </si>
  <si>
    <t>E2806894000040344026914F</t>
  </si>
  <si>
    <t>E2806894000040344026A912</t>
  </si>
  <si>
    <t>E2806894000050344026A188</t>
  </si>
  <si>
    <t>E2806894000040344026AD62</t>
  </si>
  <si>
    <t>E2806894000050344026A1C0</t>
  </si>
  <si>
    <t>E2806894000050344026A95E</t>
  </si>
  <si>
    <t>E28068940000503440268D1A</t>
  </si>
  <si>
    <t>E280689400005029B5B3A187</t>
  </si>
  <si>
    <t>E280689400005029B5B415AD</t>
  </si>
  <si>
    <t>E280689400004029B5B35539</t>
  </si>
  <si>
    <t>E2806894000050344026B81F</t>
  </si>
  <si>
    <t>E28068940000403440268CAE</t>
  </si>
  <si>
    <t>E28068940000403440269D5D</t>
  </si>
  <si>
    <t>E280689400004034402691BC</t>
  </si>
  <si>
    <t>E28068940000402D21E4CCAB</t>
  </si>
  <si>
    <t>E28068940000502D21E54C7D</t>
  </si>
  <si>
    <t>E28068940000502D21E4C92D</t>
  </si>
  <si>
    <t>E28068940000502D21E534B8</t>
  </si>
  <si>
    <t>E28068940000502D21E549F9</t>
  </si>
  <si>
    <t>E28068940000502D21E4ED09</t>
  </si>
  <si>
    <t>E28068940000502D21E54457</t>
  </si>
  <si>
    <t>E28068940000502D21E4F5C0</t>
  </si>
  <si>
    <t>E28068940000502D21E554B2</t>
  </si>
  <si>
    <t>E28068940000402D21E4CE6A</t>
  </si>
  <si>
    <t>E28068940000402D21E53CC3</t>
  </si>
  <si>
    <t>E28068940000402D21E4F98C</t>
  </si>
  <si>
    <t>E28068940000502D21E4F875</t>
  </si>
  <si>
    <t>E28068940000502D21E4F527</t>
  </si>
  <si>
    <t>E28068940000502D21E559E3</t>
  </si>
  <si>
    <t>E28068940000502D21E5444F</t>
  </si>
  <si>
    <t>E28068940000402D21E560B2</t>
  </si>
  <si>
    <t>E28068940000502D21E535D6</t>
  </si>
  <si>
    <t>E28068940000402D21E55018</t>
  </si>
  <si>
    <t>E28068940000402D21E5619E</t>
  </si>
  <si>
    <t>E28068940000402D21E55DD3</t>
  </si>
  <si>
    <t>E28068940000502D21E4F627</t>
  </si>
  <si>
    <t>E28068940000402D21E4D162</t>
  </si>
  <si>
    <t>E28068940000402D21E4D17C</t>
  </si>
  <si>
    <t>E28068940000402D21E54C43</t>
  </si>
  <si>
    <t>E28068940000502D21E535C1</t>
  </si>
  <si>
    <t>E28068940000402D21E52946</t>
  </si>
  <si>
    <t>E28068940000502D21E4FDD3</t>
  </si>
  <si>
    <t>E28068940000502D21E4E652</t>
  </si>
  <si>
    <t>E28068940000502D21E53E22</t>
  </si>
  <si>
    <t>E2806894000040344026A1C8</t>
  </si>
  <si>
    <t>E280689400004029B5B37447</t>
  </si>
  <si>
    <t>E280689400004029B5B39E37</t>
  </si>
  <si>
    <t>E2806894000040344026C8D0</t>
  </si>
  <si>
    <t>E280689400004029B5B3B46F</t>
  </si>
  <si>
    <t>E280689400004029B5B3594E</t>
  </si>
  <si>
    <t>E28068940000502D21E50E06</t>
  </si>
  <si>
    <t>E28068940000402D21E4B898</t>
  </si>
  <si>
    <t>E28068940000402D21E4EDEA</t>
  </si>
  <si>
    <t>E28068940000502D21E4E24B</t>
  </si>
  <si>
    <t>E28068940000502D21E534D2</t>
  </si>
  <si>
    <t>E28068940000502D21E4CD89</t>
  </si>
  <si>
    <t>E28068940000402D21E5625E</t>
  </si>
  <si>
    <t>E28068940000402D21E4D0E1</t>
  </si>
  <si>
    <t>E280689400005029B5B34819</t>
  </si>
  <si>
    <t>E28068940000403440268604</t>
  </si>
  <si>
    <t>E2806894000040344026C5C6</t>
  </si>
  <si>
    <t>E2806894000040344026B89A</t>
  </si>
  <si>
    <t>E2806894000050344026B533</t>
  </si>
  <si>
    <t>E280689400005029B5B3B51D</t>
  </si>
  <si>
    <t>E280689400005034402688A2</t>
  </si>
  <si>
    <t>E2806894000040344026C204</t>
  </si>
  <si>
    <t>E28068940000502D21E54DA8</t>
  </si>
  <si>
    <t>E28068940000402D21E51D30</t>
  </si>
  <si>
    <t>E28068940000402D21E4B95F</t>
  </si>
  <si>
    <t>E28068940000502D21E5096E</t>
  </si>
  <si>
    <t>E28068940000402D21E52A40</t>
  </si>
  <si>
    <t>E28068940000502D21E50075</t>
  </si>
  <si>
    <t>E28068940000402D21E524A0</t>
  </si>
  <si>
    <t>E28068940000402D21E53933</t>
  </si>
  <si>
    <t>E28068940000402D21E4FD17</t>
  </si>
  <si>
    <t>E28068940000402D21E4F623</t>
  </si>
  <si>
    <t>E28068940000402D21E4D5BE</t>
  </si>
  <si>
    <t>E28068940000502D21E4FD04</t>
  </si>
  <si>
    <t>E28068940000402D21E55210</t>
  </si>
  <si>
    <t>E28068940000402D21E54623</t>
  </si>
  <si>
    <t>E28068940000402D21E4C06D</t>
  </si>
  <si>
    <t>E28068940000502D21E4D019</t>
  </si>
  <si>
    <t>E28068940000502D21E561FA</t>
  </si>
  <si>
    <t>E28068940000502D21E520AA</t>
  </si>
  <si>
    <t>E28068940000502D21E4DDAA</t>
  </si>
  <si>
    <t>E28068940000502D21E53841</t>
  </si>
  <si>
    <t>E28068940000502D21E55D1E</t>
  </si>
  <si>
    <t>E28068940000402D21E4DA5F</t>
  </si>
  <si>
    <t>E28068940000502D21E525AC</t>
  </si>
  <si>
    <t>E28068940000502D21E56598</t>
  </si>
  <si>
    <t>E28068940000502D21E4DD78</t>
  </si>
  <si>
    <t>E28068940000502D21E4DDF0</t>
  </si>
  <si>
    <t>E28068940000402D21E4D22C</t>
  </si>
  <si>
    <t>E28068940000402D21E55922</t>
  </si>
  <si>
    <t>E28068940000402D21E4B89B</t>
  </si>
  <si>
    <t>E28068940000502D21E5525A</t>
  </si>
  <si>
    <t>E28068940000502D21E5456C</t>
  </si>
  <si>
    <t>E28068940000402D21E4C1A5</t>
  </si>
  <si>
    <t>E28068940000402D21E4BE3D</t>
  </si>
  <si>
    <t>E28068940000402D21E52427</t>
  </si>
  <si>
    <t>E28068940000402D21E5290B</t>
  </si>
  <si>
    <t>E28068940000402D21E5147E</t>
  </si>
  <si>
    <t>E28068940000402D21E54046</t>
  </si>
  <si>
    <t>E28068940000402D21E529E3</t>
  </si>
  <si>
    <t>E28068940000402D21E4E189</t>
  </si>
  <si>
    <t>E28068940000502D21E510D2</t>
  </si>
  <si>
    <t>E28068940000402D21E4D464</t>
  </si>
  <si>
    <t>E28068940000402D21E51513</t>
  </si>
  <si>
    <t>E28068940000502D21E4C261</t>
  </si>
  <si>
    <t>E28068940000502D21E52DAD</t>
  </si>
  <si>
    <t>E28068940000402D21E5016E</t>
  </si>
  <si>
    <t>E28068940000402D21E55A56</t>
  </si>
  <si>
    <t>E280689400004034402675E6</t>
  </si>
  <si>
    <t>E2806894000040344026BE14</t>
  </si>
  <si>
    <t>E28068940000503440267047</t>
  </si>
  <si>
    <t>E280689400004029B5B3EC7F</t>
  </si>
  <si>
    <t>E2806894000050344026A54C</t>
  </si>
  <si>
    <t>E280689400004029B5B36D0B</t>
  </si>
  <si>
    <t>E28068940000503440268885</t>
  </si>
  <si>
    <t>E28068940000503440268838</t>
  </si>
  <si>
    <t>E2806894000040344026A99F</t>
  </si>
  <si>
    <t>E280689400005029B5B37C60</t>
  </si>
  <si>
    <t>E2806894000040344026C45B</t>
  </si>
  <si>
    <t>E28068940000503440269A29</t>
  </si>
  <si>
    <t>E280689400004029B5B3D148</t>
  </si>
  <si>
    <t>E280689400005029B5B34584</t>
  </si>
  <si>
    <t>E280689400005034402694B8</t>
  </si>
  <si>
    <t>E280689400005029B5B3F515</t>
  </si>
  <si>
    <t>E28068940000403440267C54</t>
  </si>
  <si>
    <t>E280689400004029B5B36D76</t>
  </si>
  <si>
    <t>E2806894000050344026C242</t>
  </si>
  <si>
    <t>E28068940000403440269110</t>
  </si>
  <si>
    <t>E28068940000503440269580</t>
  </si>
  <si>
    <t>E2806894000040344026ACAA</t>
  </si>
  <si>
    <t>E2806894000050344026AD93</t>
  </si>
  <si>
    <t>E280689400005034402674AB</t>
  </si>
  <si>
    <t>E280689400004029B5B36C39</t>
  </si>
  <si>
    <t>E280689400005034402689B8</t>
  </si>
  <si>
    <t>E280689400005029B5B39153</t>
  </si>
  <si>
    <t>E2806894000050344026904A</t>
  </si>
  <si>
    <t>E2806894000050344026AE0F</t>
  </si>
  <si>
    <t>E280689400004029B5B41636</t>
  </si>
  <si>
    <t>E280689400005029B5B385D8</t>
  </si>
  <si>
    <t>E2806894000050344026B13B</t>
  </si>
  <si>
    <t>E28068940000503440267486</t>
  </si>
  <si>
    <t>E280689400004029B5B42022</t>
  </si>
  <si>
    <t>E280689400004029B5B335AF</t>
  </si>
  <si>
    <t>E280689400005034402689C3</t>
  </si>
  <si>
    <t>E280689400005029B5B33575</t>
  </si>
  <si>
    <t>E28068940000403440269D6E</t>
  </si>
  <si>
    <t>E280689400005029B5B35C26</t>
  </si>
  <si>
    <t>E280689400005029B5B348E0</t>
  </si>
  <si>
    <t>E28068940000403440267DEB</t>
  </si>
  <si>
    <t>E2806894000050344026B87A</t>
  </si>
  <si>
    <t>E2806894000050344026A1DE</t>
  </si>
  <si>
    <t>E280689400004029B5B359B8</t>
  </si>
  <si>
    <t>E2806894000050344026A259</t>
  </si>
  <si>
    <t>E280689400004029B5B3A23B</t>
  </si>
  <si>
    <t>E280689400005029B5B3A05B</t>
  </si>
  <si>
    <t>E280689400005029B5B40D6D</t>
  </si>
  <si>
    <t>E280689400004029B5B3F528</t>
  </si>
  <si>
    <t>E280689400005029B5B36D9F</t>
  </si>
  <si>
    <t>E2806894000050344026BD9D</t>
  </si>
  <si>
    <t>E280689400004029B5B401E7</t>
  </si>
  <si>
    <t>E2806894000050344026916C</t>
  </si>
  <si>
    <t>E280689400004029B5B3CA17</t>
  </si>
  <si>
    <t>E2806894000050344026860C</t>
  </si>
  <si>
    <t>E2806894000040344026A4CB</t>
  </si>
  <si>
    <t>E280689400005029B5B410A8</t>
  </si>
  <si>
    <t>E28068940000502D21E53501</t>
  </si>
  <si>
    <t>E2806894000050344026760A</t>
  </si>
  <si>
    <t>E2806894000040344026C9A9</t>
  </si>
  <si>
    <t>E28068940000502D21E53D47</t>
  </si>
  <si>
    <t>E2806894000040344026BD28</t>
  </si>
  <si>
    <t>E28068940000403440269438</t>
  </si>
  <si>
    <t>E28068940000502D21E5295A</t>
  </si>
  <si>
    <t>E2806894000050344026BDC8</t>
  </si>
  <si>
    <t>E28068940000502D21E4E118</t>
  </si>
  <si>
    <t>E28068940000402A8A15F158</t>
  </si>
  <si>
    <t>E28068940000502A8A15E553</t>
  </si>
  <si>
    <t>E28068940000402A8A15D034</t>
  </si>
  <si>
    <t>E28068940000502A8A16054F</t>
  </si>
  <si>
    <t>E28068940000402D21E4F206</t>
  </si>
  <si>
    <t>E28068940000502A8A165D12</t>
  </si>
  <si>
    <t>E28068940000502D21E53144</t>
  </si>
  <si>
    <t>E28068940000402A8A16593A</t>
  </si>
  <si>
    <t>E28068940000502A8A15E5C9</t>
  </si>
  <si>
    <t>E28068940000402A8A15FD97</t>
  </si>
  <si>
    <t>E28068940000502A8A160D33</t>
  </si>
  <si>
    <t>E28068940000502A8A161553</t>
  </si>
  <si>
    <t>E28068940000402A8A160514</t>
  </si>
  <si>
    <t>E28068940000402A8A161D35</t>
  </si>
  <si>
    <t>E28068940000502A8A15F9DF</t>
  </si>
  <si>
    <t>E28068940000502D21E4C603</t>
  </si>
  <si>
    <t>E28068940000502D21E5186B</t>
  </si>
  <si>
    <t>E28068940000502D21E53DC5</t>
  </si>
  <si>
    <t>E28068940000502D21E4B8B2</t>
  </si>
  <si>
    <t>E28068940000402D21E505F0</t>
  </si>
  <si>
    <t>E28068940000502D21E52D43</t>
  </si>
  <si>
    <t>E28068940000502D21E4F12A</t>
  </si>
  <si>
    <t>E28068940000502D21E55A57</t>
  </si>
  <si>
    <t>E28068940000502D21E51A5C</t>
  </si>
  <si>
    <t>E28068940000502D21E4F110</t>
  </si>
  <si>
    <t>E28068940000402A8A16659C</t>
  </si>
  <si>
    <t>E28068940000502A8A161A11</t>
  </si>
  <si>
    <t>E28068940000502A8A164024</t>
  </si>
  <si>
    <t>E28068940000502A8A162A17</t>
  </si>
  <si>
    <t>E28068940000502D21E4F039</t>
  </si>
  <si>
    <t>E28068940000502D21E4E1F5</t>
  </si>
  <si>
    <t>E28068940000502A8A15F53B</t>
  </si>
  <si>
    <t>E28068940000502A8A160607</t>
  </si>
  <si>
    <t>E28068940000502A8A163C9E</t>
  </si>
  <si>
    <t>E28068940000502A8A1601AA</t>
  </si>
  <si>
    <t>E28068940000502A8A165DF6</t>
  </si>
  <si>
    <t>E28068940000402A8A16606F</t>
  </si>
  <si>
    <t>E28068940000502D21E555D9</t>
  </si>
  <si>
    <t>E28068940000502D21E4F04E</t>
  </si>
  <si>
    <t>E28068940000502A8A15DDDA</t>
  </si>
  <si>
    <t>E28068940000502A8A164D61</t>
  </si>
  <si>
    <t>E28068940000502A8A164C96</t>
  </si>
  <si>
    <t>E28068940000502A8A164084</t>
  </si>
  <si>
    <t>E28068940000502A8A166469</t>
  </si>
  <si>
    <t>E28068940000402A8A160955</t>
  </si>
  <si>
    <t>E28068940000402A8A160138</t>
  </si>
  <si>
    <t>E28068940000502A8A16282C</t>
  </si>
  <si>
    <t>E28068940000402A8A15E8ED</t>
  </si>
  <si>
    <t>E28068940000502A8A16296A</t>
  </si>
  <si>
    <t>E28068940000502A8A16115D</t>
  </si>
  <si>
    <t>E28068940000502D21E50817</t>
  </si>
  <si>
    <t>E28068940000402D21E4D97B</t>
  </si>
  <si>
    <t>E28068940000402D21E4E581</t>
  </si>
  <si>
    <t>E28068940000502A8A15FE09</t>
  </si>
  <si>
    <t>E28068940000502D21E4C9D8</t>
  </si>
  <si>
    <t>E28068940000402D21E535DB</t>
  </si>
  <si>
    <t>E28068940000502A8A15F477</t>
  </si>
  <si>
    <t>E28068940000502A8A16508F</t>
  </si>
  <si>
    <t>E28068940000502A8A1604F9</t>
  </si>
  <si>
    <t>E28068940000502A8A160C9B</t>
  </si>
  <si>
    <t>E28068940000402A8A15E4C9</t>
  </si>
  <si>
    <t>E28068940000502A8A165D33</t>
  </si>
  <si>
    <t>E28068940000402A8A164E24</t>
  </si>
  <si>
    <t>E28068940000402A8A163DE3</t>
  </si>
  <si>
    <t>E28068940000502D21E55616</t>
  </si>
  <si>
    <t>E28068940000402D21E4F0B9</t>
  </si>
  <si>
    <t>E28068940000402A8A162080</t>
  </si>
  <si>
    <t>E28068940000502A8A164194</t>
  </si>
  <si>
    <t>E28068940000502A8A15CCAE</t>
  </si>
  <si>
    <t>E28068940000502D21E4E0F4</t>
  </si>
  <si>
    <t>E28068940000502A8A1619D8</t>
  </si>
  <si>
    <t>E28068940000502A8A161108</t>
  </si>
  <si>
    <t>E28068940000402A8A1618A6</t>
  </si>
  <si>
    <t>E28068940000502A8A15D179</t>
  </si>
  <si>
    <t>E28068940000402A8A163CF3</t>
  </si>
  <si>
    <t>E28068940000402A8A161A0B</t>
  </si>
  <si>
    <t>E28068940000402D21E53E0E</t>
  </si>
  <si>
    <t>E28068940000502D21E4D5C7</t>
  </si>
  <si>
    <t>E28068940000402D21E4C0DC</t>
  </si>
  <si>
    <t>E28068940000402D21E54075</t>
  </si>
  <si>
    <t>E28068940000502D21E514DA</t>
  </si>
  <si>
    <t>E28068940000502D21E4DC43</t>
  </si>
  <si>
    <t>E28068940000502A8A1624DA</t>
  </si>
  <si>
    <t>E28068940000402A8A162A13</t>
  </si>
  <si>
    <t>E28068940000502A8A161C99</t>
  </si>
  <si>
    <t>E28068940000502A8A16088B</t>
  </si>
  <si>
    <t>E28068940000502A8A15E01D</t>
  </si>
  <si>
    <t>E28068940000502A8A16222F</t>
  </si>
  <si>
    <t>E28068940000502A8A160C9D</t>
  </si>
  <si>
    <t>E28068940000502A8A15CD21</t>
  </si>
  <si>
    <t>E28068940000402A8A15E062</t>
  </si>
  <si>
    <t>E28068940000402D21E501B6</t>
  </si>
  <si>
    <t>E28068940000402A8A163C3A</t>
  </si>
  <si>
    <t>E28068940000402A8A163838</t>
  </si>
  <si>
    <t>E28068940000402A8A164E18</t>
  </si>
  <si>
    <t>E28068940000502A8A166058</t>
  </si>
  <si>
    <t>E28068940000402A8A164C2F</t>
  </si>
  <si>
    <t>E28068940000402D21E5392B</t>
  </si>
  <si>
    <t>E28068940000402A8A15CD75</t>
  </si>
  <si>
    <t>E28068940000502D21E4F524</t>
  </si>
  <si>
    <t>E28068940000402A8A15E545</t>
  </si>
  <si>
    <t>E28068940000402A8A1628F5</t>
  </si>
  <si>
    <t>E28068940000402A8A15E830</t>
  </si>
  <si>
    <t>E28068940000402A8A15ED8B</t>
  </si>
  <si>
    <t>E28068940000402A8A164092</t>
  </si>
  <si>
    <t>E28068940000402D21E561F2</t>
  </si>
  <si>
    <t>E28068940000402D21E55E15</t>
  </si>
  <si>
    <t>E28068940000402A8A160922</t>
  </si>
  <si>
    <t>E28068940000402D21E559B4</t>
  </si>
  <si>
    <t>E28068940000502D21E4C972</t>
  </si>
  <si>
    <t>E28068940000502D21E5607A</t>
  </si>
  <si>
    <t>E28068940000402D21E4C09D</t>
  </si>
  <si>
    <t>E28068940000502D21E5346A</t>
  </si>
  <si>
    <t>E28068940000502D21E55054</t>
  </si>
  <si>
    <t>E28068940000402D21E53053</t>
  </si>
  <si>
    <t>E28068940000402D21E5118D</t>
  </si>
  <si>
    <t>E28068940000402D21E4D939</t>
  </si>
  <si>
    <t>E28068940000402D21E5556C</t>
  </si>
  <si>
    <t>E28068940000502D21E5145E</t>
  </si>
  <si>
    <t>E28068940000502D21E4B89C</t>
  </si>
  <si>
    <t>E28068940000502D21E55562</t>
  </si>
  <si>
    <t>E28068940000402D21E54265</t>
  </si>
  <si>
    <t>E28068940000402D21E4BCAF</t>
  </si>
  <si>
    <t>E28068940000402D21E541C9</t>
  </si>
  <si>
    <t>E28068940000502A8A15DCF3</t>
  </si>
  <si>
    <t>E28068940000402D21E4E25B</t>
  </si>
  <si>
    <t>E28068940000502D21E50214</t>
  </si>
  <si>
    <t>E28068940000402D21E4D536</t>
  </si>
  <si>
    <t>E28068940000502D21E529E2</t>
  </si>
  <si>
    <t>E28068940000402D21E54613</t>
  </si>
  <si>
    <t>E28068940000502A8A16146D</t>
  </si>
  <si>
    <t>E28068940000502A8A165E17</t>
  </si>
  <si>
    <t>E28068940000402A8A15E52F</t>
  </si>
  <si>
    <t>E28068940000502A8A165DCF</t>
  </si>
  <si>
    <t>E28068940000502A8A15E912</t>
  </si>
  <si>
    <t>E28068940000502D21E4FE20</t>
  </si>
  <si>
    <t>E28068940000402A8A15E05B</t>
  </si>
  <si>
    <t>E28068940000502A8A162042</t>
  </si>
  <si>
    <t>E28068940000502D21E5250C</t>
  </si>
  <si>
    <t>E28068940000402A8A1641A6</t>
  </si>
  <si>
    <t>E28068940000502A8A161560</t>
  </si>
  <si>
    <t>E28068940000402D21E4F121</t>
  </si>
  <si>
    <t>E28068940000502A8A1629E2</t>
  </si>
  <si>
    <t>E28068940000502A8A15D5B7</t>
  </si>
  <si>
    <t>E28068940000502A8A15DC22</t>
  </si>
  <si>
    <t>E28068940000502D21E4E0E6</t>
  </si>
  <si>
    <t>E28068940000402D21E51C20</t>
  </si>
  <si>
    <t>E28068940000402D21E4DD62</t>
  </si>
  <si>
    <t>E28068940000502A8A166450</t>
  </si>
  <si>
    <t>E28068940000402A8A16056A</t>
  </si>
  <si>
    <t>E28068940000502D21E518E9</t>
  </si>
  <si>
    <t>E28068940000402A8A160947</t>
  </si>
  <si>
    <t>E28068940000502A8A1620C6</t>
  </si>
  <si>
    <t>E28068940000402D21E53059</t>
  </si>
  <si>
    <t>E28068940000502A8A163D8B</t>
  </si>
  <si>
    <t>E28068940000402A8A16399F</t>
  </si>
  <si>
    <t>E28068940000502A8A1665EA</t>
  </si>
  <si>
    <t>E28068940000502D21E54889</t>
  </si>
  <si>
    <t>E28068940000503440268993</t>
  </si>
  <si>
    <t>E2806894000050344026C871</t>
  </si>
  <si>
    <t>E28068940000402D21E4CC64</t>
  </si>
  <si>
    <t>E2806894000050344026B63A</t>
  </si>
  <si>
    <t>E2806894000050344026A822</t>
  </si>
  <si>
    <t>E2806894000050344026B1B6</t>
  </si>
  <si>
    <t>E28068940000503440268C60</t>
  </si>
  <si>
    <t>E28068940000403440269E58</t>
  </si>
  <si>
    <t>E28068940000402D21E4E480</t>
  </si>
  <si>
    <t>E28068940000502D21E52185</t>
  </si>
  <si>
    <t>E2806894000040344026BDA0</t>
  </si>
  <si>
    <t>E2806894000040344026848D</t>
  </si>
  <si>
    <t>E2806894000040344026789F</t>
  </si>
  <si>
    <t>E2806894000050344026A079</t>
  </si>
  <si>
    <t>E2806894000050344026B126</t>
  </si>
  <si>
    <t>E28068940000402D21E51848</t>
  </si>
  <si>
    <t>E280689400004034402680A8</t>
  </si>
  <si>
    <t>E28068940000402D21E4ECD1</t>
  </si>
  <si>
    <t>E280689400005029B5B3AC6D</t>
  </si>
  <si>
    <t>E2806894000040344026A4E0</t>
  </si>
  <si>
    <t>E280689400005029B5B3B909</t>
  </si>
  <si>
    <t>E2806894000050344026710E</t>
  </si>
  <si>
    <t>E2806894000040344026BCA4</t>
  </si>
  <si>
    <t>E280689400004029B5B34D44</t>
  </si>
  <si>
    <t>E28068940000503440269D24</t>
  </si>
  <si>
    <t>E28068940000502D21E50CB0</t>
  </si>
  <si>
    <t>E28068940000502D21E54446</t>
  </si>
  <si>
    <t>E28068940000502D21E53CE6</t>
  </si>
  <si>
    <t>E28068940000402A8A16281B</t>
  </si>
  <si>
    <t>E28068940000502A8A1601FA</t>
  </si>
  <si>
    <t>E28068940000502A8A16106F</t>
  </si>
  <si>
    <t>E28068940000402A8A160093</t>
  </si>
  <si>
    <t>E28068940000502A8A15CCE5</t>
  </si>
  <si>
    <t>E28068940000502D21E4FC18</t>
  </si>
  <si>
    <t>E28068940000402A8A16522A</t>
  </si>
  <si>
    <t>E28068940000502A8A1614C7</t>
  </si>
  <si>
    <t>E28068940000502A8A165C40</t>
  </si>
  <si>
    <t>E28068940000402A8A15DC37</t>
  </si>
  <si>
    <t>E28068940000402D21E53470</t>
  </si>
  <si>
    <t>E28068940000502A8A15E4F7</t>
  </si>
  <si>
    <t>E28068940000402A8A15F933</t>
  </si>
  <si>
    <t>E28068940000402D21E55185</t>
  </si>
  <si>
    <t>E28068940000502D21E4D631</t>
  </si>
  <si>
    <t>E28068940000502A8A15F1EB</t>
  </si>
  <si>
    <t>E28068940000402A8A15D0DC</t>
  </si>
  <si>
    <t>E28068940000502A8A15F8EB</t>
  </si>
  <si>
    <t>E28068940000402A8A16395F</t>
  </si>
  <si>
    <t>E28068940000502A8A15E52D</t>
  </si>
  <si>
    <t>E28068940000402A8A1650BD</t>
  </si>
  <si>
    <t>E28068940000402A8A16390F</t>
  </si>
  <si>
    <t>E28068940000502A8A163552</t>
  </si>
  <si>
    <t>E28068940000502A8A163D0C</t>
  </si>
  <si>
    <t>E28068940000502A8A160A23</t>
  </si>
  <si>
    <t>E28068940000402A8A164121</t>
  </si>
  <si>
    <t>E28068940000502D21E51935</t>
  </si>
  <si>
    <t>E28068940000502A8A162D62</t>
  </si>
  <si>
    <t>E28068940000502A8A1644CD</t>
  </si>
  <si>
    <t>E28068940000402A8A15E0E6</t>
  </si>
  <si>
    <t>E28068940000402D21E52CF4</t>
  </si>
  <si>
    <t>E28068940000402D21E51CFE</t>
  </si>
  <si>
    <t>E28068940000402D21E4F531</t>
  </si>
  <si>
    <t>E28068940000402D21E559F5</t>
  </si>
  <si>
    <t>E28068940000402D21E56110</t>
  </si>
  <si>
    <t>E28068940000402D21E5560F</t>
  </si>
  <si>
    <t>E28068940000502D21E54D79</t>
  </si>
  <si>
    <t>E28068940000402D21E52DE4</t>
  </si>
  <si>
    <t>E28068940000502D21E4CD9D</t>
  </si>
  <si>
    <t>E28068940000402D21E510B9</t>
  </si>
  <si>
    <t>E28068940000402D21E4E0F9</t>
  </si>
  <si>
    <t>E28068940000402D21E554DC</t>
  </si>
  <si>
    <t>E28068940000502D21E5319F</t>
  </si>
  <si>
    <t>E28068940000502D21E53570</t>
  </si>
  <si>
    <t>E28068940000502D21E51170</t>
  </si>
  <si>
    <t>E28068940000502D21E4BDF9</t>
  </si>
  <si>
    <t>E28068940000502D21E53CD0</t>
  </si>
  <si>
    <t>E28068940000502D21E4C1F8</t>
  </si>
  <si>
    <t>E28068940000502D21E52C88</t>
  </si>
  <si>
    <t>E28068940000502D21E4E940</t>
  </si>
  <si>
    <t>E28068940000502D21E53241</t>
  </si>
  <si>
    <t>E28068940000502D21E545E7</t>
  </si>
  <si>
    <t>E28068940000402D21E5423A</t>
  </si>
  <si>
    <t>E28068940000502D21E4BE30</t>
  </si>
  <si>
    <t>E28068940000402D21E52C38</t>
  </si>
  <si>
    <t>E28068940000402A8A165960</t>
  </si>
  <si>
    <t>E28068940000402A8A15E0B3</t>
  </si>
  <si>
    <t>E28068940000402A8A1624A3</t>
  </si>
  <si>
    <t>E28068940000402A8A161DD7</t>
  </si>
  <si>
    <t>E28068940000402D21E5005A</t>
  </si>
  <si>
    <t>E28068940000502A8A15DD4C</t>
  </si>
  <si>
    <t>E28068940000502A8A160D90</t>
  </si>
  <si>
    <t>E28068940000502A8A15E126</t>
  </si>
  <si>
    <t>E28068940000502A8A15CD06</t>
  </si>
  <si>
    <t>E28068940000502A8A15E213</t>
  </si>
  <si>
    <t>E28068940000402A8A16321F</t>
  </si>
  <si>
    <t>E28068940000402A8A15ECD6</t>
  </si>
  <si>
    <t>E28068940000502A8A1648FD</t>
  </si>
  <si>
    <t>E28068940000502A8A164DE3</t>
  </si>
  <si>
    <t>E28068940000502A8A15DC27</t>
  </si>
  <si>
    <t>E28068940000402A8A161D66</t>
  </si>
  <si>
    <t>E28068940000402A8A1615DA</t>
  </si>
  <si>
    <t>E28068940000402A8A15FD5D</t>
  </si>
  <si>
    <t>E28068940000402A8A164D3C</t>
  </si>
  <si>
    <t>E28068940000502A8A1600A4</t>
  </si>
  <si>
    <t>E28068940000502A8A161024</t>
  </si>
  <si>
    <t>E28068940000502A8A16149E</t>
  </si>
  <si>
    <t>E28068940000502A8A15D164</t>
  </si>
  <si>
    <t>E28068940000402A8A15D48B</t>
  </si>
  <si>
    <t>E28068940000402A8A162CC1</t>
  </si>
  <si>
    <t>E28068940000402A8A163C22</t>
  </si>
  <si>
    <t>E28068940000402A8A161A37</t>
  </si>
  <si>
    <t>E28068940000402A8A160D6D</t>
  </si>
  <si>
    <t>E28068940000502A8A15E0E8</t>
  </si>
  <si>
    <t>E28068940000402A8A166454</t>
  </si>
  <si>
    <t>E28068940000402A8A16514C</t>
  </si>
  <si>
    <t>E28068940000502A8A164197</t>
  </si>
  <si>
    <t>E28068940000502A8A16407B</t>
  </si>
  <si>
    <t>E28068940000402A8A15E085</t>
  </si>
  <si>
    <t>E28068940000502A8A164918</t>
  </si>
  <si>
    <t>E28068940000402A8A160E20</t>
  </si>
  <si>
    <t>E28068940000402A8A16552D</t>
  </si>
  <si>
    <t>E28068940000502A8A15F516</t>
  </si>
  <si>
    <t>E28068940000402A8A16190B</t>
  </si>
  <si>
    <t>E28068940000402D21E538D9</t>
  </si>
  <si>
    <t>E28068940000502A8A15E438</t>
  </si>
  <si>
    <t>E28068940000502A8A164164</t>
  </si>
  <si>
    <t>E28068940000502D21E4D80F</t>
  </si>
  <si>
    <t>E28068940000402A8A15CD8F</t>
  </si>
  <si>
    <t>E28068940000502A8A165632</t>
  </si>
  <si>
    <t>E28068940000402A8A164495</t>
  </si>
  <si>
    <t>E28068940000402A8A163939</t>
  </si>
  <si>
    <t>E28068940000502A8A16182C</t>
  </si>
  <si>
    <t>E28068940000502A8A166079</t>
  </si>
  <si>
    <t>E28068940000502A8A16682B</t>
  </si>
  <si>
    <t>E28068940000402D21E55101</t>
  </si>
  <si>
    <t>E28068940000402D21E551A8</t>
  </si>
  <si>
    <t>E28068940000402D21E52A5D</t>
  </si>
  <si>
    <t>E28068940000502D21E4F02B</t>
  </si>
  <si>
    <t>E28068940000502D21E53DD1</t>
  </si>
  <si>
    <t>E28068940000402D21E54D93</t>
  </si>
  <si>
    <t>E28068940000402D21E5614A</t>
  </si>
  <si>
    <t>E28068940000402D21E53E23</t>
  </si>
  <si>
    <t>E28068940000502D21E4D1F6</t>
  </si>
  <si>
    <t>E28068940000502D21E53844</t>
  </si>
  <si>
    <t>E28068940000402D21E52962</t>
  </si>
  <si>
    <t>E28068940000502D21E4FDAE</t>
  </si>
  <si>
    <t>E28068940000402D21E4FDCC</t>
  </si>
  <si>
    <t>E28068940000402D21E4D47C</t>
  </si>
  <si>
    <t>E28068940000402D21E54C16</t>
  </si>
  <si>
    <t>E28068940000502D21E539D9</t>
  </si>
  <si>
    <t>E28068940000502D21E53D39</t>
  </si>
  <si>
    <t>E28068940000402D21E54839</t>
  </si>
  <si>
    <t>E28068940000402D21E54E00</t>
  </si>
  <si>
    <t>E28068940000502D21E55CC4</t>
  </si>
  <si>
    <t>E28068940000402D21E4E0A9</t>
  </si>
  <si>
    <t>E28068940000402D21E5295E</t>
  </si>
  <si>
    <t>E28068940000402D21E50936</t>
  </si>
  <si>
    <t>E28068940000402D21E4BA35</t>
  </si>
  <si>
    <t>E28068940000402D21E4BA00</t>
  </si>
  <si>
    <t>E28068940000502D21E51C65</t>
  </si>
  <si>
    <t>E28068940000502D21E4C639</t>
  </si>
  <si>
    <t>E28068940000502D21E531C3</t>
  </si>
  <si>
    <t>E28068940000402D21E56183</t>
  </si>
  <si>
    <t>E28068940000402D21E51DA6</t>
  </si>
  <si>
    <t>E28068940000402A8A15DD72</t>
  </si>
  <si>
    <t>E28068940000502A8A16651F</t>
  </si>
  <si>
    <t>E28068940000502A8A15CD1B</t>
  </si>
  <si>
    <t>E28068940000402A8A15F4E9</t>
  </si>
  <si>
    <t>E28068940000502A8A161192</t>
  </si>
  <si>
    <t>E28068940000502A8A1651C5</t>
  </si>
  <si>
    <t>E28068940000402A8A15E44B</t>
  </si>
  <si>
    <t>E28068940000402A8A15EC97</t>
  </si>
  <si>
    <t>E28068940000402A8A162CA8</t>
  </si>
  <si>
    <t>E28068940000502A8A1620DE</t>
  </si>
  <si>
    <t>E28068940000502A8A161DBA</t>
  </si>
  <si>
    <t>E28068940000502A8A162DAB</t>
  </si>
  <si>
    <t>E28068940000502A8A15D072</t>
  </si>
  <si>
    <t>E28068940000502A8A164E2A</t>
  </si>
  <si>
    <t>E28068940000502A8A15F141</t>
  </si>
  <si>
    <t>E28068940000502A8A1661D1</t>
  </si>
  <si>
    <t>E28068940000502A8A163D1E</t>
  </si>
  <si>
    <t>E28068940000402A8A16602B</t>
  </si>
  <si>
    <t>E28068940000502A8A1608CA</t>
  </si>
  <si>
    <t>E28068940000502A8A1650D3</t>
  </si>
  <si>
    <t>E28068940000502A8A16059B</t>
  </si>
  <si>
    <t>E28068940000502A8A15FD53</t>
  </si>
  <si>
    <t>E28068940000502A8A163629</t>
  </si>
  <si>
    <t>E28068940000402A8A15E41E</t>
  </si>
  <si>
    <t>E28068940000502A8A163212</t>
  </si>
  <si>
    <t>E28068940000402A8A161828</t>
  </si>
  <si>
    <t>E28068940000502A8A16298E</t>
  </si>
  <si>
    <t>E28068940000502A8A164D80</t>
  </si>
  <si>
    <t>E28068940000402A8A161976</t>
  </si>
  <si>
    <t>E28068940000502D21E50DE7</t>
  </si>
  <si>
    <t>E28068940000502A8A160CFB</t>
  </si>
  <si>
    <t>E28068940000502D21E4E235</t>
  </si>
  <si>
    <t>E28068940000402D21E52904</t>
  </si>
  <si>
    <t>E28068940000502D21E5259A</t>
  </si>
  <si>
    <t>E28068940000502D21E510E2</t>
  </si>
  <si>
    <t>E28068940000502D21E54D01</t>
  </si>
  <si>
    <t>E28068940000502D21E4E586</t>
  </si>
  <si>
    <t>E28068940000502D21E4EC25</t>
  </si>
  <si>
    <t>E28068940000502D21E4CA5A</t>
  </si>
  <si>
    <t>E28068940000502D21E519FA</t>
  </si>
  <si>
    <t>E28068940000502A8A15E036</t>
  </si>
  <si>
    <t>E28068940000402A8A1635DD</t>
  </si>
  <si>
    <t>E28068940000402D21E4E11F</t>
  </si>
  <si>
    <t>E28068940000502D21E4D0A1</t>
  </si>
  <si>
    <t>E28068940000402D21E4C092</t>
  </si>
  <si>
    <t>E28068940000502D21E4CD51</t>
  </si>
  <si>
    <t>E28068940000402D21E52C32</t>
  </si>
  <si>
    <t>E28068940000502A8A16651A</t>
  </si>
  <si>
    <t>E28068940000402A8A161877</t>
  </si>
  <si>
    <t>E28068940000402D21E51907</t>
  </si>
  <si>
    <t>E28068940000502D21E4BCF4</t>
  </si>
  <si>
    <t>E28068940000502D21E53DBB</t>
  </si>
  <si>
    <t>E28068940000502D21E52963</t>
  </si>
  <si>
    <t>E28068940000402D21E565B8</t>
  </si>
  <si>
    <t>E28068940000402A8A1620A4</t>
  </si>
  <si>
    <t>E28068940000402A8A16222D</t>
  </si>
  <si>
    <t>E28068940000402A8A162515</t>
  </si>
  <si>
    <t>E28068940000402A8A16051D</t>
  </si>
  <si>
    <t>E28068940000502D21E56032</t>
  </si>
  <si>
    <t>E28068940000402D21E549E3</t>
  </si>
  <si>
    <t>E28068940000402D21E544BD</t>
  </si>
  <si>
    <t>E28068940000502D21E4E26C</t>
  </si>
  <si>
    <t>E28068940000502D21E4F64B</t>
  </si>
  <si>
    <t>E28068940000402D21E4D55A</t>
  </si>
  <si>
    <t>E28068940000402D21E51075</t>
  </si>
  <si>
    <t>E28068940000502A8A163165</t>
  </si>
  <si>
    <t>E28068940000502A8A1600F7</t>
  </si>
  <si>
    <t>E28068940000402A8A163D6B</t>
  </si>
  <si>
    <t>E28068940000502D21E51E0B</t>
  </si>
  <si>
    <t>E28068940000402D21E554AB</t>
  </si>
  <si>
    <t>E28068940000502D21E4FE4A</t>
  </si>
  <si>
    <t>E28068940000402D21E5420F</t>
  </si>
  <si>
    <t>E28068940000402D21E5012A</t>
  </si>
  <si>
    <t>E28068940000402D21E4D431</t>
  </si>
  <si>
    <t>E28068940000402D21E518DE</t>
  </si>
  <si>
    <t>E28068940000402D21E55415</t>
  </si>
  <si>
    <t>E28068940000502A8A164DC2</t>
  </si>
  <si>
    <t>E28068940000402A8A1621D7</t>
  </si>
  <si>
    <t>E28068940000402A8A15EC86</t>
  </si>
  <si>
    <t>E28068940000402A8A15FD58</t>
  </si>
  <si>
    <t>E28068940000402A8A16596F</t>
  </si>
  <si>
    <t>E28068940000402A8A15D079</t>
  </si>
  <si>
    <t>E28068940000502A8A15EDC7</t>
  </si>
  <si>
    <t>E28068940000402D21E51453</t>
  </si>
  <si>
    <t>E28068940000402A8A15E56B</t>
  </si>
  <si>
    <t>E28068940000502A8A16112A</t>
  </si>
  <si>
    <t>E28068940000402D21E4FA0B</t>
  </si>
  <si>
    <t>E28068940000402D21E4F915</t>
  </si>
  <si>
    <t>E28068940000402D21E5401A</t>
  </si>
  <si>
    <t>E28068940000502D21E4B8A6</t>
  </si>
  <si>
    <t>E28068940000502D21E53057</t>
  </si>
  <si>
    <t>E28068940000402D21E514B1</t>
  </si>
  <si>
    <t>E28068940000402D21E530AA</t>
  </si>
  <si>
    <t>E28068940000402D21E53491</t>
  </si>
  <si>
    <t>E28068940000402A8A1649CD</t>
  </si>
  <si>
    <t>E28068940000402A8A162A25</t>
  </si>
  <si>
    <t>E28068940000402A8A166446</t>
  </si>
  <si>
    <t>E28068940000502A8A15EE13</t>
  </si>
  <si>
    <t>E28068940000402A8A162529</t>
  </si>
  <si>
    <t>E28068940000502D21E4C0E4</t>
  </si>
  <si>
    <t>E28068940000402D21E4B891</t>
  </si>
  <si>
    <t>E28068940000502D21E5321E</t>
  </si>
  <si>
    <t>E28068940000402A8A160D46</t>
  </si>
  <si>
    <t>E28068940000502A8A15E51E</t>
  </si>
  <si>
    <t>E28068940000402A8A15D487</t>
  </si>
  <si>
    <t>E28068940000402D21E524E4</t>
  </si>
  <si>
    <t>E28068940000502D21E4FC88</t>
  </si>
  <si>
    <t>E28068940000402D21E55CE7</t>
  </si>
  <si>
    <t>E28068940000502D21E54120</t>
  </si>
  <si>
    <t>E28068940000502D21E5590E</t>
  </si>
  <si>
    <t>E28068940000502D21E5086F</t>
  </si>
  <si>
    <t>E28068940000502A8A163D7B</t>
  </si>
  <si>
    <t>E28068940000502A8A165091</t>
  </si>
  <si>
    <t>E28068940000402A8A16293E</t>
  </si>
  <si>
    <t>E28068940000402A8A15F93C</t>
  </si>
  <si>
    <t>E28068940000502A8A166205</t>
  </si>
  <si>
    <t>E28068940000502D21E51D9D</t>
  </si>
  <si>
    <t>E28068940000402D21E4C57A</t>
  </si>
  <si>
    <t>E28068940000402D21E53CA5</t>
  </si>
  <si>
    <t>E28068940000402D21E53DD6</t>
  </si>
  <si>
    <t>E28068940000502D21E4D0AD</t>
  </si>
  <si>
    <t>E28068940000502D21E4D10A</t>
  </si>
  <si>
    <t>E28068940000502D21E51840</t>
  </si>
  <si>
    <t>E28068940000502D21E55C5D</t>
  </si>
  <si>
    <t>E28068940000402D21E4C9D3</t>
  </si>
  <si>
    <t>E28068940000502D21E4C0C9</t>
  </si>
  <si>
    <t>E28068940000402D21E50CB8</t>
  </si>
  <si>
    <t>E28068940000502A8A1649F5</t>
  </si>
  <si>
    <t>E28068940000502A8A162DCB</t>
  </si>
  <si>
    <t>E28068940000502A8A16554C</t>
  </si>
  <si>
    <t>E28068940000402A8A15D576</t>
  </si>
  <si>
    <t>E28068940000402A8A164A10</t>
  </si>
  <si>
    <t>E28068940000402D21E5089B</t>
  </si>
  <si>
    <t>E28068940000502D21E4F4C4</t>
  </si>
  <si>
    <t>E28068940000402D21E5409E</t>
  </si>
  <si>
    <t>E28068940000502D21E4FD64</t>
  </si>
  <si>
    <t>E28068940000502D21E4DE42</t>
  </si>
  <si>
    <t>E28068940000402D21E5089D</t>
  </si>
  <si>
    <t>E28068940000502D21E51846</t>
  </si>
  <si>
    <t>E28068940000402D21E4D13B</t>
  </si>
  <si>
    <t>E28068940000502D21E54D75</t>
  </si>
  <si>
    <t>E28068940000502D21E4E147</t>
  </si>
  <si>
    <t>E28068940000502D21E55DE2</t>
  </si>
  <si>
    <t>E28068940000402D21E520EA</t>
  </si>
  <si>
    <t>E28068940000402D21E4F17B</t>
  </si>
  <si>
    <t>E28068940000502D21E5322B</t>
  </si>
  <si>
    <t>E28068940000402D21E56022</t>
  </si>
  <si>
    <t>E28068940000502D21E5591A</t>
  </si>
  <si>
    <t>E28068940000402D21E52954</t>
  </si>
  <si>
    <t>E28068940000502D21E51DA1</t>
  </si>
  <si>
    <t>E28068940000502D21E4FDD6</t>
  </si>
  <si>
    <t>E28068940000402D21E4D9B1</t>
  </si>
  <si>
    <t>E28068940000402D21E52C19</t>
  </si>
  <si>
    <t>E28068940000402D21E4E5D4</t>
  </si>
  <si>
    <t>E28068940000402D21E51469</t>
  </si>
  <si>
    <t>E28068940000402D21E4E837</t>
  </si>
  <si>
    <t>E28068940000402D21E5603A</t>
  </si>
  <si>
    <t>E28068940000502D21E51C11</t>
  </si>
  <si>
    <t>E28068940000502D21E539C2</t>
  </si>
  <si>
    <t>E28068940000402D21E4E48A</t>
  </si>
  <si>
    <t>E28068940000402D21E51A4F</t>
  </si>
  <si>
    <t>E28068940000502D21E5451B</t>
  </si>
  <si>
    <t>E28068940000402D21E52DA6</t>
  </si>
  <si>
    <t>E28068940000502D21E5197E</t>
  </si>
  <si>
    <t>E28068940000502D21E500E0</t>
  </si>
  <si>
    <t>E28068940000502D21E51104</t>
  </si>
  <si>
    <t>E28068940000402D21E538C2</t>
  </si>
  <si>
    <t>E28068940000502A8A15E46B</t>
  </si>
  <si>
    <t>E28068940000502A8A163919</t>
  </si>
  <si>
    <t>E28068940000402A8A15FDB5</t>
  </si>
  <si>
    <t>E28068940000502A8A15F4A0</t>
  </si>
  <si>
    <t>E28068940000502A8A1645EE</t>
  </si>
  <si>
    <t>E28068940000402A8A16214B</t>
  </si>
  <si>
    <t>E28068940000402D21E4F428</t>
  </si>
  <si>
    <t>E28068940000402A8A160C4B</t>
  </si>
  <si>
    <t>E28068940000502A8A15D857</t>
  </si>
  <si>
    <t>E28068940000502A8A1605B5</t>
  </si>
  <si>
    <t>E28068940000502D21E4C036</t>
  </si>
  <si>
    <t>E28068940000502A8A163CD9</t>
  </si>
  <si>
    <t>E28068940000502D21E4D23A</t>
  </si>
  <si>
    <t>E28068940000502D21E53A02</t>
  </si>
  <si>
    <t>E28068940000402A8A15D205</t>
  </si>
  <si>
    <t>E28068940000402D21E565DB</t>
  </si>
  <si>
    <t>E28068940000502A8A16586C</t>
  </si>
  <si>
    <t>E28068940000402A8A160C24</t>
  </si>
  <si>
    <t>E28068940000502A8A15DC6C</t>
  </si>
  <si>
    <t>E28068940000402A8A1629E5</t>
  </si>
  <si>
    <t>E28068940000502A8A164DB5</t>
  </si>
  <si>
    <t>E28068940000402A8A160DF2</t>
  </si>
  <si>
    <t>E28068940000502D21E55962</t>
  </si>
  <si>
    <t>E28068940000402D21E5518C</t>
  </si>
  <si>
    <t>E28068940000402D21E55990</t>
  </si>
  <si>
    <t>E28068940000502A8A16605D</t>
  </si>
  <si>
    <t>E28068940000502A8A1648BC</t>
  </si>
  <si>
    <t>E28068940000402A8A16216C</t>
  </si>
  <si>
    <t>E28068940000502A8A162CE4</t>
  </si>
  <si>
    <t>E28068940000402A8A15E49F</t>
  </si>
  <si>
    <t>E28068940000502A8A15F50B</t>
  </si>
  <si>
    <t>E28068940000502A8A165496</t>
  </si>
  <si>
    <t>E28068940000502A8A16361C</t>
  </si>
  <si>
    <t>E28068940000402A8A166917</t>
  </si>
  <si>
    <t>E28068940000402D21E5344A</t>
  </si>
  <si>
    <t>E28068940000402D21E52513</t>
  </si>
  <si>
    <t>E28068940000502D21E53460</t>
  </si>
  <si>
    <t>E28068940000502D21E51DA7</t>
  </si>
  <si>
    <t>E28068940000402A8A1644DD</t>
  </si>
  <si>
    <t>E28068940000402A8A1668FB</t>
  </si>
  <si>
    <t>E28068940000502A8A163916</t>
  </si>
  <si>
    <t>E28068940000502A8A1601DB</t>
  </si>
  <si>
    <t>E28068940000502D21E4F0B1</t>
  </si>
  <si>
    <t>E28068940000502D21E4E5C1</t>
  </si>
  <si>
    <t>E28068940000502D21E4BE35</t>
  </si>
  <si>
    <t>E28068940000502D21E4FDC4</t>
  </si>
  <si>
    <t>E28068940000502D21E50CF1</t>
  </si>
  <si>
    <t>E28068940000502D21E54213</t>
  </si>
  <si>
    <t>E28068940000502D21E54D76</t>
  </si>
  <si>
    <t>E28068940000502D21E52995</t>
  </si>
  <si>
    <t>E28068940000402D21E51D50</t>
  </si>
  <si>
    <t>E28068940000502D21E52A2E</t>
  </si>
  <si>
    <t>E28068940000402D21E558C8</t>
  </si>
  <si>
    <t>E28068940000402D21E4CD65</t>
  </si>
  <si>
    <t>E28068940000402D21E4C93E</t>
  </si>
  <si>
    <t>E28068940000502D21E52C81</t>
  </si>
  <si>
    <t>E28068940000502D21E4D976</t>
  </si>
  <si>
    <t>E28068940000502D21E4E4B1</t>
  </si>
  <si>
    <t>E28068940000402D21E4F026</t>
  </si>
  <si>
    <t>E28068940000502D21E53833</t>
  </si>
  <si>
    <t>E280689400004029B5B354DC</t>
  </si>
  <si>
    <t>E280689400004029B5B35E02</t>
  </si>
  <si>
    <t>E280689400005029B5B3496C</t>
  </si>
  <si>
    <t>E2806894000050344026A5AB</t>
  </si>
  <si>
    <t>E28068940000403440269C4D</t>
  </si>
  <si>
    <t>E2806894000040344026A55A</t>
  </si>
  <si>
    <t>E28068940000403440268523</t>
  </si>
  <si>
    <t>E28068940000403440267CE3</t>
  </si>
  <si>
    <t>E280689400004029B5B4201B</t>
  </si>
  <si>
    <t>E28068940000403440267A51</t>
  </si>
  <si>
    <t>E28068940000403440268C5E</t>
  </si>
  <si>
    <t>E2806894000050344026C076</t>
  </si>
  <si>
    <t>E2806894000050344026822F</t>
  </si>
  <si>
    <t>E28068940000502D21E501EE</t>
  </si>
  <si>
    <t>E28068940000402D21E4FD66</t>
  </si>
  <si>
    <t>E28068940000502D21E5306B</t>
  </si>
  <si>
    <t>E28068940000402D21E4BA2B</t>
  </si>
  <si>
    <t>E28068940000502D21E4E10F</t>
  </si>
  <si>
    <t>E28068940000402D21E50505</t>
  </si>
  <si>
    <t>E28068940000502D21E4CA66</t>
  </si>
  <si>
    <t>E28068940000502D21E551AA</t>
  </si>
  <si>
    <t>E28068940000402D21E51CEA</t>
  </si>
  <si>
    <t>E28068940000402D21E4F1F9</t>
  </si>
  <si>
    <t>E28068940000402A8A1669C5</t>
  </si>
  <si>
    <t>E28068940000402D21E538B9</t>
  </si>
  <si>
    <t>E28068940000402D21E5184E</t>
  </si>
  <si>
    <t>E28068940000402D21E4CE55</t>
  </si>
  <si>
    <t>E28068940000502D21E54A56</t>
  </si>
  <si>
    <t>E28068940000502A8A160067</t>
  </si>
  <si>
    <t>E28068940000502D21E53637</t>
  </si>
  <si>
    <t>E28068940000502D21E5392A</t>
  </si>
  <si>
    <t>E28068940000502D21E54648</t>
  </si>
  <si>
    <t>E28068940000402D21E4B868</t>
  </si>
  <si>
    <t>E28068940000402D21E4E813</t>
  </si>
  <si>
    <t>E28068940000502D21E545DE</t>
  </si>
  <si>
    <t>E28068940000502D21E4D148</t>
  </si>
  <si>
    <t>E28068940000502D21E4D45A</t>
  </si>
  <si>
    <t>E28068940000502D21E510AF</t>
  </si>
  <si>
    <t>E28068940000402D21E4C07A</t>
  </si>
  <si>
    <t>E28068940000402D21E558BC</t>
  </si>
  <si>
    <t>E28068940000402D21E5110A</t>
  </si>
  <si>
    <t>1A0D35FDA6C9A4DF1BF46228</t>
  </si>
  <si>
    <t>E28068940000502D21E54650</t>
  </si>
  <si>
    <t>E28068940000402D21E531DF</t>
  </si>
  <si>
    <t>E28068940000402D21E4E4C2</t>
  </si>
  <si>
    <t>E28068940000502D21E565B6</t>
  </si>
  <si>
    <t>E28068940000502D21E531FF</t>
  </si>
  <si>
    <t>E28068940000402D21E53063</t>
  </si>
  <si>
    <t>E28068940000502D21E4F5BB</t>
  </si>
  <si>
    <t>E28068940000502D21E5383C</t>
  </si>
  <si>
    <t>E28068940000502D21E4E5A8</t>
  </si>
  <si>
    <t>E28068940000502A8A1608D1</t>
  </si>
  <si>
    <t>E28068940000502D21E53C52</t>
  </si>
  <si>
    <t>E28068940000402D21E4DA5A</t>
  </si>
  <si>
    <t>E28068940000502A8A1624D3</t>
  </si>
  <si>
    <t>E28068940000402A8A165563</t>
  </si>
  <si>
    <t>E28068940000502A8A166439</t>
  </si>
  <si>
    <t>E28068940000402A8A15ED12</t>
  </si>
  <si>
    <t>E28068940000402D21E53C59</t>
  </si>
  <si>
    <t>E28068940000402A8A166151</t>
  </si>
  <si>
    <t>E28068940000502A8A161E15</t>
  </si>
  <si>
    <t>E28068940000502A8A164D0B</t>
  </si>
  <si>
    <t>E28068940000402A8A15DDCF</t>
  </si>
  <si>
    <t>E28068940000502A8A15D581</t>
  </si>
  <si>
    <t>E28068940000502A8A160C3E</t>
  </si>
  <si>
    <t>E28068940000402A8A163480</t>
  </si>
  <si>
    <t>E28068940000502A8A15EDD9</t>
  </si>
  <si>
    <t>E28068940000502A8A15FA2A</t>
  </si>
  <si>
    <t>E28068940000502A8A16398C</t>
  </si>
  <si>
    <t>E28068940000402A8A1655FF</t>
  </si>
  <si>
    <t>E28068940000402D21E50A06</t>
  </si>
  <si>
    <t>E28068940000402A8A1648C3</t>
  </si>
  <si>
    <t>E28068940000502A8A15EDFE</t>
  </si>
  <si>
    <t>E28068940000502A8A16021B</t>
  </si>
  <si>
    <t>E28068940000402A8A166867</t>
  </si>
  <si>
    <t>E28068940000402A8A165599</t>
  </si>
  <si>
    <t>E28068940000502D21E4F42F</t>
  </si>
  <si>
    <t>E28068940000502D21E4C01B</t>
  </si>
  <si>
    <t>E28068940000502D21E4F03C</t>
  </si>
  <si>
    <t>E28068940000502D21E4C930</t>
  </si>
  <si>
    <t>E28068940000402A8A15EC4A</t>
  </si>
  <si>
    <t>E28068940000402A8A15E0BF</t>
  </si>
  <si>
    <t>E28068940000402A8A161902</t>
  </si>
  <si>
    <t>E28068940000502A8A15D942</t>
  </si>
  <si>
    <t>E28068940000502A8A1660DF</t>
  </si>
  <si>
    <t>E28068940000402A8A15FCFC</t>
  </si>
  <si>
    <t>E28068940000402A8A15F4C7</t>
  </si>
  <si>
    <t>E28068940000502A8A15D8C1</t>
  </si>
  <si>
    <t>E28068940000402A8A164A0E</t>
  </si>
  <si>
    <t>E28068940000402A8A164E03</t>
  </si>
  <si>
    <t>E28068940000502A8A1611C1</t>
  </si>
  <si>
    <t>E28068940000402A8A16616B</t>
  </si>
  <si>
    <t>E28068940000502A8A16296C</t>
  </si>
  <si>
    <t>E28068940000402A8A15F216</t>
  </si>
  <si>
    <t>E28068940000402A8A15F862</t>
  </si>
  <si>
    <t>E28068940000402A8A16693F</t>
  </si>
  <si>
    <t>E28068940000402A8A15DDE8</t>
  </si>
  <si>
    <t>E28068940000502D21E52A4B</t>
  </si>
  <si>
    <t>E28068940000402A8A16561E</t>
  </si>
  <si>
    <t>E28068940000502D21E500FB</t>
  </si>
  <si>
    <t>E28068940000402A8A1641D4</t>
  </si>
  <si>
    <t>E28068940000502A8A160992</t>
  </si>
  <si>
    <t>E28068940000402A8A15F96F</t>
  </si>
  <si>
    <t>E28068940000402D21E504EC</t>
  </si>
  <si>
    <t>E28068940000502A8A16614B</t>
  </si>
  <si>
    <t>E28068940000502D21E4C5DB</t>
  </si>
  <si>
    <t>E28068940000402A8A160936</t>
  </si>
  <si>
    <t>E28068940000402A8A15E881</t>
  </si>
  <si>
    <t>E28068940000502A8A15F9E9</t>
  </si>
  <si>
    <t>E28068940000502D21E51D75</t>
  </si>
  <si>
    <t>E28068940000402A8A16513B</t>
  </si>
  <si>
    <t>E28068940000402A8A15F955</t>
  </si>
  <si>
    <t>E28068940000502A8A15E207</t>
  </si>
  <si>
    <t>E28068940000402A8A163CCA</t>
  </si>
  <si>
    <t>E28068940000502A8A1625E2</t>
  </si>
  <si>
    <t>E28068940000402A8A15D951</t>
  </si>
  <si>
    <t>E28068940000402A8A15F143</t>
  </si>
  <si>
    <t>E28068940000402A8A161916</t>
  </si>
  <si>
    <t>E28068940000502A8A162154</t>
  </si>
  <si>
    <t>E28068940000402A8A15CCD8</t>
  </si>
  <si>
    <t>E28068940000402A8A163D13</t>
  </si>
  <si>
    <t>E28068940000402A8A162C2F</t>
  </si>
  <si>
    <t>E28068940000402A8A15CC6C</t>
  </si>
  <si>
    <t>E28068940000402D21E55DC1</t>
  </si>
  <si>
    <t>E28068940000502A8A15D5AA</t>
  </si>
  <si>
    <t>E28068940000502A8A15D596</t>
  </si>
  <si>
    <t>E28068940000502A8A16696D</t>
  </si>
  <si>
    <t>E28068940000502A8A1610CF</t>
  </si>
  <si>
    <t>E28068940000402A8A16415C</t>
  </si>
  <si>
    <t>E28068940000502A8A15D028</t>
  </si>
  <si>
    <t>E28068940000502A8A16261B</t>
  </si>
  <si>
    <t>E28068940000402A8A15CC5C</t>
  </si>
  <si>
    <t>E28068940000402A8A15E02F</t>
  </si>
  <si>
    <t>E28068940000402D21E4DE3B</t>
  </si>
  <si>
    <t>E28068940000502A8A164622</t>
  </si>
  <si>
    <t>E28068940000502A8A1620CF</t>
  </si>
  <si>
    <t>E28068940000402A8A1659CC</t>
  </si>
  <si>
    <t>E28068940000402D21E54015</t>
  </si>
  <si>
    <t>E28068940000402A8A162136</t>
  </si>
  <si>
    <t>E28068940000402D21E4E11C</t>
  </si>
  <si>
    <t>E28068940000402D21E50584</t>
  </si>
  <si>
    <t>E28068940000502A8A164578</t>
  </si>
  <si>
    <t>E28068940000402A8A1608A2</t>
  </si>
  <si>
    <t>E28068940000402A8A16698E</t>
  </si>
  <si>
    <t>E28068940000402A8A15D97C</t>
  </si>
  <si>
    <t>E28068940000502A8A15FDFF</t>
  </si>
  <si>
    <t>E280689400004034402684EB</t>
  </si>
  <si>
    <t>E2806894000040344026A101</t>
  </si>
  <si>
    <t>E280689400005034402698D1</t>
  </si>
  <si>
    <t>E28068940000502D21E531AC</t>
  </si>
  <si>
    <t>E28068940000502D21E4FE32</t>
  </si>
  <si>
    <t>E28068940000402A8A15F9B1</t>
  </si>
  <si>
    <t>E28068940000402D21E51C61</t>
  </si>
  <si>
    <t>E28068940000402A8A15D9A4</t>
  </si>
  <si>
    <t>E28068940000502D21E55424</t>
  </si>
  <si>
    <t>E28068940000502A8A15DCB7</t>
  </si>
  <si>
    <t>E28068940000502D21E4FCBE</t>
  </si>
  <si>
    <t>E28068940000402D21E52A54</t>
  </si>
  <si>
    <t>E28068940000502D21E5558C</t>
  </si>
  <si>
    <t>E28068940000402A8A165120</t>
  </si>
  <si>
    <t>E28068940000502D21E4B8A9</t>
  </si>
  <si>
    <t>E28068940000502A8A165073</t>
  </si>
  <si>
    <t>E28068940000402D21E4DCC3</t>
  </si>
  <si>
    <t>E28068940000402A8A1628CF</t>
  </si>
  <si>
    <t>E28068940000402D21E4F51F</t>
  </si>
  <si>
    <t>E28068940000402D21E4DCB8</t>
  </si>
  <si>
    <t>E28068940000502A8A15DA3C</t>
  </si>
  <si>
    <t>E28068940000402D21E528EB</t>
  </si>
  <si>
    <t>E28068940000402A8A164D0A</t>
  </si>
  <si>
    <t>E28068940000402A8A15DDD8</t>
  </si>
  <si>
    <t>E28068940000502A8A16301A</t>
  </si>
  <si>
    <t>E28068940000402A8A15D01C</t>
  </si>
  <si>
    <t>E28068940000502A8A164834</t>
  </si>
  <si>
    <t>E28068940000402A8A163984</t>
  </si>
  <si>
    <t>E28068940000502A8A160638</t>
  </si>
  <si>
    <t>E28068940000502A8A164449</t>
  </si>
  <si>
    <t>E28068940000402A8A15ECC4</t>
  </si>
  <si>
    <t>E28068940000502A8A15F549</t>
  </si>
  <si>
    <t>E28068940000502A8A162D04</t>
  </si>
  <si>
    <t>E28068940000502A8A15ED1A</t>
  </si>
  <si>
    <t>E28068940000402A8A165C36</t>
  </si>
  <si>
    <t>E28068940000402A8A162A2F</t>
  </si>
  <si>
    <t>E28068940000402A8A15EC8F</t>
  </si>
  <si>
    <t>E28068940000402A8A15E4B2</t>
  </si>
  <si>
    <t>E28068940000402A8A162589</t>
  </si>
  <si>
    <t>E28068940000502A8A1620BB</t>
  </si>
  <si>
    <t>E28068940000402A8A15E14B</t>
  </si>
  <si>
    <t>E28068940000502A8A16616F</t>
  </si>
  <si>
    <t>E28068940000502A8A161120</t>
  </si>
  <si>
    <t>E28068940000502A8A1621BC</t>
  </si>
  <si>
    <t>E28068940000402A8A15F939</t>
  </si>
  <si>
    <t>E28068940000402A8A15E4F5</t>
  </si>
  <si>
    <t>E28068940000402A8A163A1D</t>
  </si>
  <si>
    <t>E28068940000402A8A16181D</t>
  </si>
  <si>
    <t>E28068940000502A8A15E9CC</t>
  </si>
  <si>
    <t>E28068940000502A8A160103</t>
  </si>
  <si>
    <t>E28068940000402D21E53DA7</t>
  </si>
  <si>
    <t>E28068940000402A8A162833</t>
  </si>
  <si>
    <t>E28068940000502A8A15EDDC</t>
  </si>
  <si>
    <t>E28068940000502D21E4D531</t>
  </si>
  <si>
    <t>E28068940000502D21E52A66</t>
  </si>
  <si>
    <t>E28068940000502D21E53649</t>
  </si>
  <si>
    <t>E28068940000402A8A165C84</t>
  </si>
  <si>
    <t>E28068940000502A8A166165</t>
  </si>
  <si>
    <t>E28068940000402D21E5307B</t>
  </si>
  <si>
    <t>E28068940000402D21E51847</t>
  </si>
  <si>
    <t>E28068940000502A8A166570</t>
  </si>
  <si>
    <t>E28068940000402D21E4DD94</t>
  </si>
  <si>
    <t>E28068940000502A8A16447F</t>
  </si>
  <si>
    <t>E28068940000402A8A15F494</t>
  </si>
  <si>
    <t>E28068940000402A8A160917</t>
  </si>
  <si>
    <t>E28068940000502D21E5563B</t>
  </si>
  <si>
    <t>E28068940000402A8A166074</t>
  </si>
  <si>
    <t>E28068940000402A8A15CC8D</t>
  </si>
  <si>
    <t>E28068940000402D21E4F1F3</t>
  </si>
  <si>
    <t>E28068940000402A8A165837</t>
  </si>
  <si>
    <t>E28068940000402A8A1604F8</t>
  </si>
  <si>
    <t>E28068940000502A8A15E1F2</t>
  </si>
  <si>
    <t>E28068940000502A8A15D090</t>
  </si>
  <si>
    <t>E28068940000502D21E4BDCC</t>
  </si>
  <si>
    <t>E28068940000402A8A15F5E8</t>
  </si>
  <si>
    <t>E28068940000502A8A162D19</t>
  </si>
  <si>
    <t>E28068940000502D21E4E8DB</t>
  </si>
  <si>
    <t>E28068940000402A8A164877</t>
  </si>
  <si>
    <t>E28068940000502D21E4F51D</t>
  </si>
  <si>
    <t>E28068940000402A8A163D8C</t>
  </si>
  <si>
    <t>E28068940000402A8A162856</t>
  </si>
  <si>
    <t>E28068940000502A8A15FC89</t>
  </si>
  <si>
    <t>E28068940000502A8A162C7D</t>
  </si>
  <si>
    <t>E28068940000502A8A15E971</t>
  </si>
  <si>
    <t>E28068940000502A8A16521B</t>
  </si>
  <si>
    <t>E28068940000402A8A162051</t>
  </si>
  <si>
    <t>E28068940000402A8A161D11</t>
  </si>
  <si>
    <t>E28068940000502A8A164820</t>
  </si>
  <si>
    <t>E28068940000402A8A1604E3</t>
  </si>
  <si>
    <t>E28068940000402A8A15F473</t>
  </si>
  <si>
    <t>E28068940000502A8A16498D</t>
  </si>
  <si>
    <t>E28068940000402A8A16697B</t>
  </si>
  <si>
    <t>E28068940000402A8A15DCBA</t>
  </si>
  <si>
    <t>E28068940000502D21E4D0FB</t>
  </si>
  <si>
    <t>E28068940000502D21E4F906</t>
  </si>
  <si>
    <t>E28068940000502D21E4D615</t>
  </si>
  <si>
    <t>E28068940000502D21E4BCA7</t>
  </si>
  <si>
    <t>E28068940000402D21E4DD73</t>
  </si>
  <si>
    <t>E28068940000402D21E5146C</t>
  </si>
  <si>
    <t>E28068940000502D21E4D015</t>
  </si>
  <si>
    <t>E28068940000402D21E4DDEA</t>
  </si>
  <si>
    <t>E28068940000402D21E4E197</t>
  </si>
  <si>
    <t>E28068940000502D21E4DD71</t>
  </si>
  <si>
    <t>E28068940000502A8A15EC41</t>
  </si>
  <si>
    <t>E28068940000402A8A161070</t>
  </si>
  <si>
    <t>E28068940000502A8A1661CC</t>
  </si>
  <si>
    <t>E28068940000502A8A1634AF</t>
  </si>
  <si>
    <t>E28068940000402A8A161CDC</t>
  </si>
  <si>
    <t>E28068940000402A8A15E46A</t>
  </si>
  <si>
    <t>E28068940000402A8A160116</t>
  </si>
  <si>
    <t>E28068940000502A8A162DB0</t>
  </si>
  <si>
    <t>E28068940000402A8A1650DE</t>
  </si>
  <si>
    <t>E28068940000502A8A165D48</t>
  </si>
  <si>
    <t>E28068940000502A8A163951</t>
  </si>
  <si>
    <t>E28068940000502D21E53139</t>
  </si>
  <si>
    <t>E28068940000402D21E5351E</t>
  </si>
  <si>
    <t>E28068940000402D21E55933</t>
  </si>
  <si>
    <t>E28068940000502D21E4B901</t>
  </si>
  <si>
    <t>E28068940000402D21E4C92F</t>
  </si>
  <si>
    <t>E28068940000402D21E54019</t>
  </si>
  <si>
    <t>E28068940000502D21E4F57B</t>
  </si>
  <si>
    <t>E28068940000402D21E4E21F</t>
  </si>
  <si>
    <t>E28068940000502D21E4D121</t>
  </si>
  <si>
    <t>E28068940000402D21E4F8F6</t>
  </si>
  <si>
    <t>E28068940000402D21E4FE1E</t>
  </si>
  <si>
    <t>E28068940000502D21E4B8D2</t>
  </si>
  <si>
    <t>E28068940000502A8A1608F0</t>
  </si>
  <si>
    <t>E28068940000402A8A15DC80</t>
  </si>
  <si>
    <t>E28068940000402A8A163906</t>
  </si>
  <si>
    <t>E28068940000502A8A165DF5</t>
  </si>
  <si>
    <t>E28068940000402A8A16291C</t>
  </si>
  <si>
    <t>E28068940000402A8A1610B3</t>
  </si>
  <si>
    <t>E28068940000402A8A1649E6</t>
  </si>
  <si>
    <t>E28068940000402A8A166972</t>
  </si>
  <si>
    <t>E28068940000502A8A1641CE</t>
  </si>
  <si>
    <t>E28068940000502A8A1624EF</t>
  </si>
  <si>
    <t>E28068940000502A8A1644CB</t>
  </si>
  <si>
    <t>E28068940000502A8A160C4A</t>
  </si>
  <si>
    <t>E28068940000402A8A161DA6</t>
  </si>
  <si>
    <t>E28068940000402A8A15D88D</t>
  </si>
  <si>
    <t>E28068940000402A8A164D9F</t>
  </si>
  <si>
    <t>E28068940000502A8A15F156</t>
  </si>
  <si>
    <t>E28068940000402A8A15F849</t>
  </si>
  <si>
    <t>E28068940000402A8A15FCA3</t>
  </si>
  <si>
    <t>E28068940000502A8A15E972</t>
  </si>
  <si>
    <t>E28068940000402A8A16559A</t>
  </si>
  <si>
    <t>E28068940000502A8A15DC63</t>
  </si>
  <si>
    <t>E28068940000402A8A161471</t>
  </si>
  <si>
    <t>E28068940000402D21E4CD3A</t>
  </si>
  <si>
    <t>E28068940000502D21E50D99</t>
  </si>
  <si>
    <t>E28068940000402D21E56123</t>
  </si>
  <si>
    <t>E28068940000402A8A15D478</t>
  </si>
  <si>
    <t>E28068940000502A8A164D89</t>
  </si>
  <si>
    <t>E28068940000502D21E539F2</t>
  </si>
  <si>
    <t>E28068940000502D21E508F9</t>
  </si>
  <si>
    <t>E28068940000502D21E550D3</t>
  </si>
  <si>
    <t>E28068940000402D21E51C5D</t>
  </si>
  <si>
    <t>E28068940000402D21E4FDD8</t>
  </si>
  <si>
    <t>E28068940000402A8A1664D5</t>
  </si>
  <si>
    <t>E28068940000502A8A160424</t>
  </si>
  <si>
    <t>E28068940000502A8A16109A</t>
  </si>
  <si>
    <t>E28068940000502A8A163A1F</t>
  </si>
  <si>
    <t>E28068940000402A8A15D821</t>
  </si>
  <si>
    <t>E28068940000502D21E4C446</t>
  </si>
  <si>
    <t>E28068940000502D21E529D2</t>
  </si>
  <si>
    <t>E28068940000502D21E51047</t>
  </si>
  <si>
    <t>E28068940000502D21E52942</t>
  </si>
  <si>
    <t>E28068940000502D21E4E4DB</t>
  </si>
  <si>
    <t>E28068940000502D21E53925</t>
  </si>
  <si>
    <t>E28068940000402D21E4C052</t>
  </si>
  <si>
    <t>E28068940000402D21E555CC</t>
  </si>
  <si>
    <t>E28068940000502D21E53482</t>
  </si>
  <si>
    <t>E28068940000502D21E4D12E</t>
  </si>
  <si>
    <t>E28068940000502D21E53142</t>
  </si>
  <si>
    <t>E28068940000402D21E53DA4</t>
  </si>
  <si>
    <t>E28068940000502D21E54491</t>
  </si>
  <si>
    <t>E28068940000402D21E50953</t>
  </si>
  <si>
    <t>E28068940000402D21E55627</t>
  </si>
  <si>
    <t>E28068940000502D21E53CC4</t>
  </si>
  <si>
    <t>E28068940000402D21E528E4</t>
  </si>
  <si>
    <t>E28068940000402D21E54C1C</t>
  </si>
  <si>
    <t>E28068940000502D21E51636</t>
  </si>
  <si>
    <t>E28068940000402D21E558AB</t>
  </si>
  <si>
    <t>E28068940000502D21E4FCE4</t>
  </si>
  <si>
    <t>E28068940000402D21E5206B</t>
  </si>
  <si>
    <t>E28068940000402D21E51CA2</t>
  </si>
  <si>
    <t>E28068940000502D21E4CA17</t>
  </si>
  <si>
    <t>E28068940000502D21E50418</t>
  </si>
  <si>
    <t>E28068940000502D21E4C505</t>
  </si>
  <si>
    <t>E28068940000502D21E4E658</t>
  </si>
  <si>
    <t>E28068940000402D21E4C42E</t>
  </si>
  <si>
    <t>E28068940000502D21E52A09</t>
  </si>
  <si>
    <t>E28068940000502D21E4F123</t>
  </si>
  <si>
    <t>E28068940000502D21E52C41</t>
  </si>
  <si>
    <t>E28068940000402D21E50108</t>
  </si>
  <si>
    <t>E28068940000502D21E4D9C4</t>
  </si>
  <si>
    <t>E28068940000402D21E5315D</t>
  </si>
  <si>
    <t>E28068940000402D21E4E223</t>
  </si>
  <si>
    <t>E28068940000502D21E4F5E1</t>
  </si>
  <si>
    <t>E28068940000502D21E4DC9E</t>
  </si>
  <si>
    <t>E28068940000402D21E5412B</t>
  </si>
  <si>
    <t>E28068940000502D21E55C3B</t>
  </si>
  <si>
    <t>E28068940000502D21E4E579</t>
  </si>
  <si>
    <t>E28068940000502D21E51087</t>
  </si>
  <si>
    <t>E28068940000402A8A161824</t>
  </si>
  <si>
    <t>E28068940000402A8A1618E7</t>
  </si>
  <si>
    <t>E28068940000402A8A1609FF</t>
  </si>
  <si>
    <t>E28068940000402A8A16397B</t>
  </si>
  <si>
    <t>E28068940000502A8A15E115</t>
  </si>
  <si>
    <t>E28068940000402A8A166180</t>
  </si>
  <si>
    <t>E28068940000402A8A166993</t>
  </si>
  <si>
    <t>E28068940000502A8A1620FC</t>
  </si>
  <si>
    <t>E28068940000402A8A160D4C</t>
  </si>
  <si>
    <t>E28068940000402A8A15E0F7</t>
  </si>
  <si>
    <t>E28068940000502A8A161201</t>
  </si>
  <si>
    <t>E28068940000402D21E4D483</t>
  </si>
  <si>
    <t>E28068940000402A8A165996</t>
  </si>
  <si>
    <t>E28068940000402A8A164828</t>
  </si>
  <si>
    <t>E28068940000402A8A15EC2A</t>
  </si>
  <si>
    <t>E28068940000502A8A161C48</t>
  </si>
  <si>
    <t>E28068940000402A8A164D27</t>
  </si>
  <si>
    <t>E28068940000402A8A164E06</t>
  </si>
  <si>
    <t>E28068940000502A8A1654D2</t>
  </si>
  <si>
    <t>E28068940000402D21E4ECE2</t>
  </si>
  <si>
    <t>E28068940000402D21E4E074</t>
  </si>
  <si>
    <t>E28068940000402D21E51E0C</t>
  </si>
  <si>
    <t>E28068940000502D21E4F125</t>
  </si>
  <si>
    <t>E28068940000402A8A163C5F</t>
  </si>
  <si>
    <t>E28068940000502A8A1628D0</t>
  </si>
  <si>
    <t>E28068940000402A8A1650F5</t>
  </si>
  <si>
    <t>E28068940000502A8A164DFB</t>
  </si>
  <si>
    <t>E28068940000402A8A1614E4</t>
  </si>
  <si>
    <t>E28068940000502A8A15F4FA</t>
  </si>
  <si>
    <t>E28068940000502A8A163111</t>
  </si>
  <si>
    <t>E28068940000402A8A1620FB</t>
  </si>
  <si>
    <t>E28068940000402A8A1628C0</t>
  </si>
  <si>
    <t>E28068940000502A8A1649D4</t>
  </si>
  <si>
    <t>E28068940000402A8A16659A</t>
  </si>
  <si>
    <t>E28068940000402A8A162979</t>
  </si>
  <si>
    <t>E28068940000502A8A165487</t>
  </si>
  <si>
    <t>E28068940000402A8A15D9AB</t>
  </si>
  <si>
    <t>E28068940000502A8A161143</t>
  </si>
  <si>
    <t>E28068940000402A8A15CC71</t>
  </si>
  <si>
    <t>E28068940000502D21E4EC46</t>
  </si>
  <si>
    <t>E28068940000402A8A15F15E</t>
  </si>
  <si>
    <t>E28068940000502A8A1621B6</t>
  </si>
  <si>
    <t>E28068940000402A8A163C44</t>
  </si>
  <si>
    <t>E28068940000502D21E528D9</t>
  </si>
  <si>
    <t>E28068940000502D21E5614D</t>
  </si>
  <si>
    <t>E28068940000502D21E53A6B</t>
  </si>
  <si>
    <t>E28068940000502A8A165A16</t>
  </si>
  <si>
    <t>E28068940000502A8A1661A3</t>
  </si>
  <si>
    <t>E28068940000502A8A15EDCD</t>
  </si>
  <si>
    <t>E28068940000502D21E5144F</t>
  </si>
  <si>
    <t>E28068940000402D21E5092D</t>
  </si>
  <si>
    <t>E28068940000402D21E4FD95</t>
  </si>
  <si>
    <t>E28068940000502A8A160DD2</t>
  </si>
  <si>
    <t>E28068940000502A8A15F8D4</t>
  </si>
  <si>
    <t>E28068940000502A8A164921</t>
  </si>
  <si>
    <t>E28068940000402A8A160C95</t>
  </si>
  <si>
    <t>E28068940000502A8A16122F</t>
  </si>
  <si>
    <t>E28068940000402A8A161CF2</t>
  </si>
  <si>
    <t>E28068940000402A8A15ED44</t>
  </si>
  <si>
    <t>E28068940000502A8A161C21</t>
  </si>
  <si>
    <t>E28068940000402D21E4D192</t>
  </si>
  <si>
    <t>E28068940000502A8A16062C</t>
  </si>
  <si>
    <t>E28068940000502A8A1658B4</t>
  </si>
  <si>
    <t>E28068940000402A8A162224</t>
  </si>
  <si>
    <t>E28068940000502A8A1604F0</t>
  </si>
  <si>
    <t>E28068940000402A8A161D8D</t>
  </si>
  <si>
    <t>E28068940000402A8A15F959</t>
  </si>
  <si>
    <t>E28068940000502D21E4F509</t>
  </si>
  <si>
    <t>E28068940000502A8A162C69</t>
  </si>
  <si>
    <t>E28068940000402A8A1655ED</t>
  </si>
  <si>
    <t>E28068940000402A8A15DDBE</t>
  </si>
  <si>
    <t>E28068940000502A8A1649D7</t>
  </si>
  <si>
    <t>E28068940000502D21E530D6</t>
  </si>
  <si>
    <t>E28068940000502D21E53E06</t>
  </si>
  <si>
    <t>E28068940000402A8A1664A8</t>
  </si>
  <si>
    <t>E28068940000402A8A1650C3</t>
  </si>
  <si>
    <t>E28068940000402A8A15D5E0</t>
  </si>
  <si>
    <t>E28068940000402A8A15F483</t>
  </si>
  <si>
    <t>E28068940000502A8A160236</t>
  </si>
  <si>
    <t>E28068940000502D21E51A48</t>
  </si>
  <si>
    <t>E28068940000402D21E55A17</t>
  </si>
  <si>
    <t>E28068940000502A8A15DCCC</t>
  </si>
  <si>
    <t>E28068940000502A8A15D969</t>
  </si>
  <si>
    <t>E28068940000502A8A15FCBF</t>
  </si>
  <si>
    <t>E28068940000402A8A15F58B</t>
  </si>
  <si>
    <t>E28068940000402A8A15D20A</t>
  </si>
  <si>
    <t>E28068940000502D21E51E0E</t>
  </si>
  <si>
    <t>E28068940000502D21E565A2</t>
  </si>
  <si>
    <t>E28068940000402A8A1658B5</t>
  </si>
  <si>
    <t>E28068940000502A8A15ECB4</t>
  </si>
  <si>
    <t>E28068940000502A8A1659F4</t>
  </si>
  <si>
    <t>E28068940000502D21E4DD87</t>
  </si>
  <si>
    <t>E28068940000502A8A166172</t>
  </si>
  <si>
    <t>E28068940000402A8A15D81B</t>
  </si>
  <si>
    <t>E28068940000502A8A16050B</t>
  </si>
  <si>
    <t>E28068940000502D21E4D0C2</t>
  </si>
  <si>
    <t>E28068940000502D21E4DD55</t>
  </si>
  <si>
    <t>E28068940000502A8A166A1F</t>
  </si>
  <si>
    <t>E28068940000502A8A1660F2</t>
  </si>
  <si>
    <t>E28068940000502D21E5303D</t>
  </si>
  <si>
    <t>E28068940000502D21E4E112</t>
  </si>
  <si>
    <t>E28068940000402A8A160530</t>
  </si>
  <si>
    <t>E28068940000402A8A162C70</t>
  </si>
  <si>
    <t>E28068940000502D21E4EE05</t>
  </si>
  <si>
    <t>E28068940000402D21E520F7</t>
  </si>
  <si>
    <t>E28068940000402A8A165935</t>
  </si>
  <si>
    <t>E28068940000502A8A15D065</t>
  </si>
  <si>
    <t>E28068940000402A8A162C37</t>
  </si>
  <si>
    <t>E28068940000402A8A15DDC9</t>
  </si>
  <si>
    <t>E28068940000402D21E4E50A</t>
  </si>
  <si>
    <t>E28068940000402D21E55078</t>
  </si>
  <si>
    <t>E28068940000402A8A164865</t>
  </si>
  <si>
    <t>E28068940000402A8A15F49E</t>
  </si>
  <si>
    <t>E28068940000402A8A165D08</t>
  </si>
  <si>
    <t>E28068940000402D21E5483F</t>
  </si>
  <si>
    <t>E28068940000502D21E510C6</t>
  </si>
  <si>
    <t>E28068940000502D21E50D74</t>
  </si>
  <si>
    <t>E28068940000402D21E4CA10</t>
  </si>
  <si>
    <t>E28068940000502D21E529D4</t>
  </si>
  <si>
    <t>E28068940000502D21E554CF</t>
  </si>
  <si>
    <t>E28068940000502D21E4C02D</t>
  </si>
  <si>
    <t>E28068940000502D21E52633</t>
  </si>
  <si>
    <t>E28068940000402A8A16694B</t>
  </si>
  <si>
    <t>E28068940000502A8A161E1F</t>
  </si>
  <si>
    <t>E28068940000402A8A1641FC</t>
  </si>
  <si>
    <t>E28068940000502A8A16652A</t>
  </si>
  <si>
    <t>E28068940000502A8A1605AD</t>
  </si>
  <si>
    <t>E28068940000402D21E51256</t>
  </si>
  <si>
    <t>E28068940000502D21E4EA13</t>
  </si>
  <si>
    <t>E28068940000502D21E4CC35</t>
  </si>
  <si>
    <t>E28068940000502D21E4D9CB</t>
  </si>
  <si>
    <t>E28068940000402D21E4C083</t>
  </si>
  <si>
    <t>E28068940000402D21E4D98B</t>
  </si>
  <si>
    <t>E28068940000402D21E52174</t>
  </si>
  <si>
    <t>E28068940000402A8A15F065</t>
  </si>
  <si>
    <t>E28068940000402D21E53D4A</t>
  </si>
  <si>
    <t>E28068940000502A8A166206</t>
  </si>
  <si>
    <t>E28068940000502A8A165A29</t>
  </si>
  <si>
    <t>E28068940000402A8A16157F</t>
  </si>
  <si>
    <t>E28068940000402A8A1669C9</t>
  </si>
  <si>
    <t>E28068940000402A8A161CBA</t>
  </si>
  <si>
    <t>E28068940000502A8A16059E</t>
  </si>
  <si>
    <t>E28068940000402A8A15FCF5</t>
  </si>
  <si>
    <t>E28068940000402A8A164871</t>
  </si>
  <si>
    <t>E28068940000402A8A15DCD0</t>
  </si>
  <si>
    <t>E28068940000402A8A165820</t>
  </si>
  <si>
    <t>E28068940000402A8A15ED2D</t>
  </si>
  <si>
    <t>E28068940000502A8A165626</t>
  </si>
  <si>
    <t>E28068940000402A8A15DC45</t>
  </si>
  <si>
    <t>E28068940000402A8A161144</t>
  </si>
  <si>
    <t>E28068940000502A8A1631CA</t>
  </si>
  <si>
    <t>E28068940000502A8A15CC10</t>
  </si>
  <si>
    <t>E28068940000502A8A162DBA</t>
  </si>
  <si>
    <t>E28068940000402A8A164859</t>
  </si>
  <si>
    <t>E28068940000502D21E5020A</t>
  </si>
  <si>
    <t>E28068940000502D21E4EC4F</t>
  </si>
  <si>
    <t>E28068940000402D21E5057D</t>
  </si>
  <si>
    <t>E28068940000502D21E538DB</t>
  </si>
  <si>
    <t>E28068940000502D21E5592F</t>
  </si>
  <si>
    <t>E28068940000502A8A15E018</t>
  </si>
  <si>
    <t>E28068940000402A8A163D58</t>
  </si>
  <si>
    <t>E28068940000402A8A162991</t>
  </si>
  <si>
    <t>E28068940000402A8A162C91</t>
  </si>
  <si>
    <t>E28068940000502A8A164D2C</t>
  </si>
  <si>
    <t>E28068940000502D21E53481</t>
  </si>
  <si>
    <t>E28068940000502D21E51429</t>
  </si>
  <si>
    <t>E28068940000402D21E545BF</t>
  </si>
  <si>
    <t>E28068940000402D21E52142</t>
  </si>
  <si>
    <t>E28068940000402D21E4F4DE</t>
  </si>
  <si>
    <t>E28068940000502D21E50086</t>
  </si>
  <si>
    <t>E28068940000402D21E554FB</t>
  </si>
  <si>
    <t>E28068940000402D21E4B89D</t>
  </si>
  <si>
    <t>E28068940000502D21E4F8A4</t>
  </si>
  <si>
    <t>E28068940000402A8A1618B8</t>
  </si>
  <si>
    <t>E28068940000502D21E511F4</t>
  </si>
  <si>
    <t>E28068940000502A8A15FD28</t>
  </si>
  <si>
    <t>E28068940000402D21E5389B</t>
  </si>
  <si>
    <t>E28068940000502A8A15D5EE</t>
  </si>
  <si>
    <t>E28068940000402D21E4D8C4</t>
  </si>
  <si>
    <t>E28068940000402D21E54DB7</t>
  </si>
  <si>
    <t>E28068940000402A8A162CF1</t>
  </si>
  <si>
    <t>E28068940000402D21E51199</t>
  </si>
  <si>
    <t>E28068940000402D21E4D108</t>
  </si>
  <si>
    <t>E28068940000502D21E500AE</t>
  </si>
  <si>
    <t>E28068940000502D21E53882</t>
  </si>
  <si>
    <t>E28068940000502A8A161D2F</t>
  </si>
  <si>
    <t>E28068940000402A8A165E13</t>
  </si>
  <si>
    <t>E28068940000502A8A162186</t>
  </si>
  <si>
    <t>E28068940000402A8A15CD1C</t>
  </si>
  <si>
    <t>E28068940000402A8A164212</t>
  </si>
  <si>
    <t>E28068940000502A8A1644C2</t>
  </si>
  <si>
    <t>E28068940000502A8A16354F</t>
  </si>
  <si>
    <t>E28068940000502A8A164D02</t>
  </si>
  <si>
    <t>E28068940000402A8A15F834</t>
  </si>
  <si>
    <t>E28068940000502A8A16586A</t>
  </si>
  <si>
    <t>E28068940000402A8A15F96A</t>
  </si>
  <si>
    <t>E28068940000502A8A16484A</t>
  </si>
  <si>
    <t>E28068940000502D21E4BDAC</t>
  </si>
  <si>
    <t>E28068940000402A8A15FD7A</t>
  </si>
  <si>
    <t>E28068940000402A8A160DDC</t>
  </si>
  <si>
    <t>E28068940000402D21E530B2</t>
  </si>
  <si>
    <t>E28068940000402A8A160832</t>
  </si>
  <si>
    <t>E28068940000402A8A162594</t>
  </si>
  <si>
    <t>E28068940000402A8A15DCF4</t>
  </si>
  <si>
    <t>E28068940000502A8A163CB5</t>
  </si>
  <si>
    <t>E28068940000502D21E4E5FD</t>
  </si>
  <si>
    <t>E28068940000502A8A15D84F</t>
  </si>
  <si>
    <t>E28068940000402A8A165021</t>
  </si>
  <si>
    <t>E28068940000502A8A166932</t>
  </si>
  <si>
    <t>E28068940000502A8A15F1E8</t>
  </si>
  <si>
    <t>E28068940000402A8A15DD17</t>
  </si>
  <si>
    <t>E28068940000502A8A16401E</t>
  </si>
  <si>
    <t>E28068940000502D21E4EDFF</t>
  </si>
  <si>
    <t>E28068940000502D21E565DA</t>
  </si>
  <si>
    <t>E28068940000402D21E545D9</t>
  </si>
  <si>
    <t>E28068940000502D21E53E21</t>
  </si>
  <si>
    <t>E28068940000502D21E55CEA</t>
  </si>
  <si>
    <t>E28068940000502A8A1615EB</t>
  </si>
  <si>
    <t>E28068940000402A8A161DE1</t>
  </si>
  <si>
    <t>E28068940000502A8A1668DE</t>
  </si>
  <si>
    <t>E28068940000402A8A16549E</t>
  </si>
  <si>
    <t>E28068940000402D21E53C74</t>
  </si>
  <si>
    <t>E28068940000502A8A15E0AC</t>
  </si>
  <si>
    <t>E28068940000402A8A161619</t>
  </si>
  <si>
    <t>E28068940000402A8A1600A6</t>
  </si>
  <si>
    <t>E28068940000502D21E4C9EE</t>
  </si>
  <si>
    <t>E28068940000402A8A164607</t>
  </si>
  <si>
    <t>E28068940000402D21E50240</t>
  </si>
  <si>
    <t>E28068940000502A8A166938</t>
  </si>
  <si>
    <t>E28068940000402A8A1659FA</t>
  </si>
  <si>
    <t>E28068940000502A8A162D2A</t>
  </si>
  <si>
    <t>E28068940000502D21E54C30</t>
  </si>
  <si>
    <t>E28068940000402D21E535E8</t>
  </si>
  <si>
    <t>E28068940000502D21E4E975</t>
  </si>
  <si>
    <t>E28068940000402A8A15E9DA</t>
  </si>
  <si>
    <t>E28068940000402A8A160628</t>
  </si>
  <si>
    <t>E28068940000402A8A161DA3</t>
  </si>
  <si>
    <t>E2806894000040344026BCBA</t>
  </si>
  <si>
    <t>E280689400005029B5B3D185</t>
  </si>
  <si>
    <t>E28068940000503440268A3C</t>
  </si>
  <si>
    <t>E2806894000040344026B1F6</t>
  </si>
  <si>
    <t>E2806894000040344026A900</t>
  </si>
  <si>
    <t>E28068940000503440268480</t>
  </si>
  <si>
    <t>E2806894000040344026C8C1</t>
  </si>
  <si>
    <t>E28068940000503440268D6E</t>
  </si>
  <si>
    <t>E28068940000503440267832</t>
  </si>
  <si>
    <t>E280689400004029B5B3B0B5</t>
  </si>
  <si>
    <t>E280689400004029B5B42065</t>
  </si>
  <si>
    <t>E28068940000503440268500</t>
  </si>
  <si>
    <t>E2806894000050344026C8F3</t>
  </si>
  <si>
    <t>E280689400004029B5B35A03</t>
  </si>
  <si>
    <t>E2806894000050344026810E</t>
  </si>
  <si>
    <t>E28068940000403440269984</t>
  </si>
  <si>
    <t>E280689400004029B5B38623</t>
  </si>
  <si>
    <t>E28068940000502D21E4D097</t>
  </si>
  <si>
    <t>E28068940000402D21E5143F</t>
  </si>
  <si>
    <t>E28068940000502D21E554E2</t>
  </si>
  <si>
    <t>E28068940000502D21E559E6</t>
  </si>
  <si>
    <t>E28068940000402D21E56194</t>
  </si>
  <si>
    <t>E28068940000502D21E518D9</t>
  </si>
  <si>
    <t>E28068940000502D21E53227</t>
  </si>
  <si>
    <t>E28068940000502D21E4D96B</t>
  </si>
  <si>
    <t>E28068940000502D21E53C54</t>
  </si>
  <si>
    <t>E28068940000402D21E4D56A</t>
  </si>
  <si>
    <t>E28068940000402D21E51C6B</t>
  </si>
  <si>
    <t>E28068940000402D21E5552E</t>
  </si>
  <si>
    <t>E28068940000502D21E4D478</t>
  </si>
  <si>
    <t>E28068940000502D21E53D0F</t>
  </si>
  <si>
    <t>E28068940000502D21E4DE28</t>
  </si>
  <si>
    <t>E28068940000402D21E55A0A</t>
  </si>
  <si>
    <t>Codigo Interno</t>
  </si>
  <si>
    <t>V04-G02-S02-SP05-A519-E000-TA01-VR00-F20260102</t>
  </si>
  <si>
    <t>V04-G02-S02-SP05-A519-E000-TA04-VR00-F20260102</t>
  </si>
  <si>
    <t>V04-G02-S02-SP05-A519-E000-TA10-VR00-F20260102</t>
  </si>
  <si>
    <t>V04-G02-S02-SP05-A519-E000-TA01-VR00-F20260103</t>
  </si>
  <si>
    <t>V04-G02-S02-SP05-A519-E000-TA01-VR00-F20260112</t>
  </si>
  <si>
    <t>V04-G02-S02-SP05-A519-E000-TA04-VR00-F20260112</t>
  </si>
  <si>
    <t>V04-G02-S02-SP05-A519-E000-TA10-VR00-F20260112</t>
  </si>
  <si>
    <t>V04-G02-S02-SP05-A519-E000-TA09-VR00-F20260112</t>
  </si>
  <si>
    <t>V04-G02-S02-SP05-A519-E000-TA04-VR00-F20260224</t>
  </si>
  <si>
    <t>V04-G02-S02-SP05-A519-E000-TA01-VR00-F20260224</t>
  </si>
  <si>
    <t>V04-G02-S02-SP05-A519-E000-TA10-VR00-F20260224</t>
  </si>
  <si>
    <t>V04-G02-S02-SP05-A519-E000-TA09-VR00-F20260224</t>
  </si>
  <si>
    <t>V04-G02-S02-SP05-A519-E000-TA01-VR00-F20260301</t>
  </si>
  <si>
    <t>V04-G02-S02-SP05-A519-E000-TA04-VR00-F20260301</t>
  </si>
  <si>
    <t>V04-G02-S02-SP05-A519-E000-TA02-VR00-F20260301</t>
  </si>
  <si>
    <t>V04-G02-S02-SP05-A519-E000-TA10-VR00-F20260301</t>
  </si>
  <si>
    <t>V04-G02-S02-SP05-A519-E000-TA09-VR00-F20260301</t>
  </si>
  <si>
    <t>V04-G02-S02-SP05-A519-E000-TA08-VR00-F20260301</t>
  </si>
  <si>
    <t>V04-G02-S05-SP07-A501-E000-TA01-VR00-F20260417</t>
  </si>
  <si>
    <t>V04-G02-S05-SP07-A501-E000-TA01-VR00-F20260418</t>
  </si>
  <si>
    <t>V04-G02-S05-SP07-A501-E000-TA04-VR00-F20260418</t>
  </si>
  <si>
    <t>V04-G02-S05-SP07-A501-E000-TA01-VR00-F20260419</t>
  </si>
  <si>
    <t>V04-G02-S05-SP07-A501-E000-TA04-VR00-F20260419</t>
  </si>
  <si>
    <t>V04-G02-S05-SP07-A501-E000-TA03-VR00-F20260419</t>
  </si>
  <si>
    <t>V04-G02-S05-SP07-A501-E000-TA04-VR00-F20260420</t>
  </si>
  <si>
    <t>V04-G02-S05-SP07-A501-E000-TA10-VR00-F20260420</t>
  </si>
  <si>
    <t>V04-G02-S05-SP07-A501-E000-TA10-VR00-F20260421</t>
  </si>
  <si>
    <t>V04-G02-S05-SP07-A501-E000-TA01-VR00-F20260421</t>
  </si>
  <si>
    <t>V04-G02-S05-SP07-A501-E000-TA04-VR00-F20260421</t>
  </si>
  <si>
    <t>V04-G02-S05-SP07-A501-E000-TA10-VR00-F20260429</t>
  </si>
  <si>
    <t>V04-G02-S05-SP07-A501-E000-TA03-VR00-F20260430</t>
  </si>
  <si>
    <t>V04-G02-S05-SP07-A501-E000-TA04-VR00-F20260430</t>
  </si>
  <si>
    <t>V04-G02-S05-SP07-A501-E000-TA01-VR00-F20260430</t>
  </si>
  <si>
    <t>V04-G02-S05-SP07-A501-E000-TA10-VR00-F20260430</t>
  </si>
  <si>
    <t>V04-G02-S05-SP07-A501-E000-TA10-VR00-F20260501</t>
  </si>
  <si>
    <t>V04-G02-S05-SP07-A501-E000-TA10-VR00-F20260502</t>
  </si>
  <si>
    <t>V04-G02-S05-SP07-A501-E000-TA10-VR00-F20260503</t>
  </si>
  <si>
    <t>V04-G02-S05-SP07-A501-E000-TA10-VR00-F20260504</t>
  </si>
  <si>
    <t>V04-G02-S05-SP07-A501-E000-TA10-VR00-F20260505</t>
  </si>
  <si>
    <t>V04-G02-S05-SP07-A501-E000-TA01-VR00-F20260506</t>
  </si>
  <si>
    <t>V04-G02-S05-SP07-A501-E000-TA04-VR00-F20260506</t>
  </si>
  <si>
    <t>V04-G02-S05-SP07-A501-E000-TA01-VR00-F20260510</t>
  </si>
  <si>
    <t>V04-G02-S05-SP07-A501-E000-TA01-VR00-F20260511</t>
  </si>
  <si>
    <t>V04-G02-S05-SP07-A501-E000-TA04-VR00-F20260511</t>
  </si>
  <si>
    <t>V04-G02-S05-SP07-A501-E000-TA01-VR00-F20260512</t>
  </si>
  <si>
    <t>V04-G02-S05-SP07-A501-E000-TA04-VR00-F20260512</t>
  </si>
  <si>
    <t>V04-G02-S05-SP07-A501-E000-TA02-VR00-F20260512</t>
  </si>
  <si>
    <t>V04-G02-S03-SP01-A521-E000-TA10-VR00-F20260517</t>
  </si>
  <si>
    <t>V04-G02-S03-SP01-A521-E000-TA09-VR00-F20260517</t>
  </si>
  <si>
    <t>V04-G02-S03-SP01-A521-E000-TA01-VR00-F20260517</t>
  </si>
  <si>
    <t>V04-G02-S04-SP02-A509-E000-TA01-VR00-F20251130</t>
  </si>
  <si>
    <t>V04-G02-S04-SP02-A509-E000-TA04-VR00-F20251130</t>
  </si>
  <si>
    <t>V04-G02-S04-SP02-A509-E000-TA02-VR00-F20251130</t>
  </si>
  <si>
    <t>V04-G02-S04-SP02-A509-E000-TA10-VR00-F20251130</t>
  </si>
  <si>
    <t>V04-G02-S04-SP02-A509-E000-TA05-VR00-F20251130</t>
  </si>
  <si>
    <t>V04-G02-S04-SP02-A509-E000-TA05-VR00-F20251201</t>
  </si>
  <si>
    <t>V04-G02-S04-SP02-A509-E000-TA09-VR00-F20251201</t>
  </si>
  <si>
    <t>V04-G02-S04-SP02-A509-E000-TA01-VR00-F20251201</t>
  </si>
  <si>
    <t>V04-G02-S04-SP02-A509-E000-TA04-VR00-F20251201</t>
  </si>
  <si>
    <t>V04-G02-S04-SP02-A509-E000-TA03-VR00-F20251201</t>
  </si>
  <si>
    <t>V04-G02-S04-SP02-A509-E000-TA10-VR00-F20251201</t>
  </si>
  <si>
    <t>V04-G02-S04-SP02-A509-E000-TA01-VR00-F20251202</t>
  </si>
  <si>
    <t>V04-G02-S04-SP02-A509-E000-TA04-VR00-F20251202</t>
  </si>
  <si>
    <t>V04-G02-S04-SP02-A509-E000-TA02-VR00-F20251202</t>
  </si>
  <si>
    <t>V04-G02-S04-SP02-A509-E000-TA06-VR00-F20251202</t>
  </si>
  <si>
    <t>V04-G02-S04-SP03-A520-E000-TA01-VR00-F20260108</t>
  </si>
  <si>
    <t>V04-G02-S04-SP03-A520-E000-TA04-VR00-F20260108</t>
  </si>
  <si>
    <t>V04-G02-S04-SP03-A520-E000-TA10-VR00-F20260108</t>
  </si>
  <si>
    <t>V04-G02-S04-SP03-A520-E000-TA05-VR00-F20260108</t>
  </si>
  <si>
    <t>V04-G02-S04-SP03-A520-E000-TA03-VR00-F20260109</t>
  </si>
  <si>
    <t>V04-G02-S04-SP03-A520-E000-TA01-VR00-F20260118</t>
  </si>
  <si>
    <t>V04-G02-S04-SP03-A520-E000-TA04-VR00-F20260118</t>
  </si>
  <si>
    <t>V04-G02-S04-SP03-A520-E000-TA01-VR00-F20260131</t>
  </si>
  <si>
    <t>V04-G02-S04-SP03-A520-E000-TA04-VR00-F20260131</t>
  </si>
  <si>
    <t>V04-G02-S04-SP03-A520-E000-TA01-VR00-F20260227</t>
  </si>
  <si>
    <t>V04-G02-S04-SP03-A520-E000-TA04-VR00-F20260227</t>
  </si>
  <si>
    <t>V04-G02-S01-SP02-A504-E000-TA01-VR00-F20260103</t>
  </si>
  <si>
    <t>V04-G02-S01-SP02-A504-E000-TA04-VR00-F20260103</t>
  </si>
  <si>
    <t>V04-G02-S01-SP02-A504-E000-TA10-VR00-F20260103</t>
  </si>
  <si>
    <t>V04-G02-S01-SP02-A504-E000-TA03-VR00-F20260103</t>
  </si>
  <si>
    <t>V04-G02-S01-SP02-A504-E000-TA06-VR00-F20260103</t>
  </si>
  <si>
    <t>V04-G02-S01-SP02-A504-E000-TA08-VR00-F20260103</t>
  </si>
  <si>
    <t>V04-G02-S01-SP02-A504-E000-TA01-VR00-F20260104</t>
  </si>
  <si>
    <t>V04-G02-S01-SP02-A504-E000-TA10-VR00-F20260104</t>
  </si>
  <si>
    <t>V04-G02-S01-SP04-A504-E000-TA06-VR00-F20260104</t>
  </si>
  <si>
    <t>V04-G02-S01-SP04-A504-E000-TA02-VR00-F20260105</t>
  </si>
  <si>
    <t>V04-G02-S01-SP04-A504-E000-TA08-VR00-F20260105</t>
  </si>
  <si>
    <t>V04-G02-S01-SP04-A504-E000-TA01-VR00-F20260109</t>
  </si>
  <si>
    <t>V04-G02-S01-SP02-A504-E000-TA10-VR00-F20260109</t>
  </si>
  <si>
    <t>V04-G02-S01-SP04-A504-E000-TA08-VR00-F20260109</t>
  </si>
  <si>
    <t>V04-G02-S01-SP02-A504-E000-TA08-VR00-F20260109</t>
  </si>
  <si>
    <t>V04-G02-S01-SP04-A504-E000-TA04-VR00-F20260109</t>
  </si>
  <si>
    <t>V04-G02-S01-SP04-A504-E000-TA01-VR00-F20260110</t>
  </si>
  <si>
    <t>V04-G02-S01-SP04-A504-E000-TA10-VR00-F20260110</t>
  </si>
  <si>
    <t>V04-G02-S01-SP04-A504-E000-TA09-VR00-F20260110</t>
  </si>
  <si>
    <t>V04-G02-S01-SP04-A504-E000-TA01-VR00-F20260111</t>
  </si>
  <si>
    <t>V04-G02-S01-SP04-A504-E000-TA03-VR00-F20260111</t>
  </si>
  <si>
    <t>V04-G02-S01-SP04-A504-E000-TA09-VR00-F20260111</t>
  </si>
  <si>
    <t>V04-G02-S01-SP04-A504-E000-TA02-VR00-F20260111</t>
  </si>
  <si>
    <t>V04-G02-S01-SP02-A504-E000-TA01-VR00-F20260131</t>
  </si>
  <si>
    <t>V04-G02-S01-SP02-A504-E000-TA03-VR00-F20260131</t>
  </si>
  <si>
    <t>V04-G02-S01-SP02-A504-E000-TA10-VR00-F20260131</t>
  </si>
  <si>
    <t>V04-G02-S01-SP04-A504-E000-TA01-VR00-F20260201</t>
  </si>
  <si>
    <t>V04-G02-S01-SP04-A504-E000-TA04-VR00-F20260201</t>
  </si>
  <si>
    <t>V04-G02-S01-SP04-A504-E000-TA01-VR00-F20260210</t>
  </si>
  <si>
    <t>V04-G02-S01-SP04-A504-E000-TA04-VR00-F20260210</t>
  </si>
  <si>
    <t>V04-G02-S01-SP04-A504-E000-TA03-VR00-F20260210</t>
  </si>
  <si>
    <t>V04-G02-S01-SP04-A504-E000-TA02-VR00-F20260403</t>
  </si>
  <si>
    <t>V04-G02-S01-SP04-A504-E000-TA10-VR00-F20260403</t>
  </si>
  <si>
    <t>V04-G02-S01-SP04-A504-E000-TA01-VR00-F20260403</t>
  </si>
  <si>
    <t>V04-G02-S01-SP04-A504-E000-TA04-VR00-F20260403</t>
  </si>
  <si>
    <t>V04-G02-S01-SP04-A504-E000-TA01-VR00-F20260404</t>
  </si>
  <si>
    <t>V04-G02-S01-SP04-A504-E000-TA04-VR00-F20260404</t>
  </si>
  <si>
    <t>V04-G02-S01-SP04-A504-E000-TA10-VR00-F20260404</t>
  </si>
  <si>
    <t>V04-G02-S01-SP02-A504-E000-TA04-VR00-F20260511</t>
  </si>
  <si>
    <t>V04-G02-S01-SP02-A504-E000-TA02-VR00-F20260511</t>
  </si>
  <si>
    <t>V04-G02-S01-SP02-A504-E000-TA01-VR00-F20260511</t>
  </si>
  <si>
    <t>V04-G02-S01-SP02-A504-E000-TA01-VR00-F20260515</t>
  </si>
  <si>
    <t>V04-G02-S01-SP02-A504-E000-TA04-VR00-F20260515</t>
  </si>
  <si>
    <t>V04-G02-S01-SP02-A504-E000-TA03-VR00-F20260615</t>
  </si>
  <si>
    <t>V04-G02-S03-SP02-A513-E000-TA01-VR00-F20251125</t>
  </si>
  <si>
    <t>V04-G02-S03-SP02-A513-E000-TA04-VR00-F20251126</t>
  </si>
  <si>
    <t>V04-G02-S03-SP02-A513-E000-TA01-VR00-F20251126</t>
  </si>
  <si>
    <t>V04-G02-S03-SP02-A513-E000-TA10-VR00-F20251126</t>
  </si>
  <si>
    <t>V04-G02-S03-SP02-A513-E000-TA05-VR00-F20251126</t>
  </si>
  <si>
    <t>V04-G02-S03-SP02-A513-E000-TA10-VR00-F20251127</t>
  </si>
  <si>
    <t>V04-G02-S03-SP02-A513-E000-TA05-VR00-F20251127</t>
  </si>
  <si>
    <t>V04-G02-S03-SP02-A513-E000-TA04-VR00-F20251127</t>
  </si>
  <si>
    <t>V04-G02-S03-SP02-A513-E000-TA01-VR00-F20251127</t>
  </si>
  <si>
    <t>V04-G02-S03-SP02-A513-E000-TA05-VR00-F20251128</t>
  </si>
  <si>
    <t>V04-G02-S03-SP02-A513-E000-TA01-VR00-F20251128</t>
  </si>
  <si>
    <t>V04-G02-S03-SP02-A513-E000-TA09-VR00-F20251128</t>
  </si>
  <si>
    <t>V04-G02-S03-SP02-A513-E000-TA03-VR00-F20251128</t>
  </si>
  <si>
    <t>V04-G02-S03-SP02-A513-E000-TA04-VR00-F20251128</t>
  </si>
  <si>
    <t>V04-G02-S03-SP02-A513-E000-TA04-VR00-F20251129</t>
  </si>
  <si>
    <t>V04-G02-S03-SP02-A513-E000-TA09-VR00-F20251129</t>
  </si>
  <si>
    <t>V04-G02-S03-SP02-A513-E000-TA01-VR00-F20251129</t>
  </si>
  <si>
    <t>V04-G02-S03-SP02-A513-E000-TA01-VR00-F20260128</t>
  </si>
  <si>
    <t>V04-G02-S03-SP02-A513-E000-TA04-VR00-F20260128</t>
  </si>
  <si>
    <t>V04-G02-S03-SP04-A511-E000-TA01-VR00-F20251108</t>
  </si>
  <si>
    <t>V04-G02-S03-SP04-A511-E000-TA01-VR00-F20251109</t>
  </si>
  <si>
    <t>V04-G02-S03-SP04-A511-E000-TA04-VR00-F20251117</t>
  </si>
  <si>
    <t>V04-G02-S03-SP04-A511-E000-TA04-VR00-F20251118</t>
  </si>
  <si>
    <t>V04-G02-S03-SP04-A511-E000-TA03-VR00-F20251118</t>
  </si>
  <si>
    <t>V04-G02-S03-SP04-A511-E000-TA10-VR00-F20251118</t>
  </si>
  <si>
    <t>V04-G02-S03-SP04-A511-E000-TA01-VR00-F20251118</t>
  </si>
  <si>
    <t>V04-G02-S03-SP04-A511-E000-TA01-VR00-F20251119</t>
  </si>
  <si>
    <t>V04-G02-S03-SP04-A511-E000-TA04-VR00-F20251119</t>
  </si>
  <si>
    <t>V04-G02-S03-SP04-A511-E000-TA10-VR00-F20251119</t>
  </si>
  <si>
    <t>V04-G02-S03-SP04-A511-E000-TA01-VR00-F20251120</t>
  </si>
  <si>
    <t>V04-G02-S03-SP04-A511-E000-TA04-VR00-F20251120</t>
  </si>
  <si>
    <t>V04-G02-S03-SP04-A511-E000-TA10-VR00-F20251120</t>
  </si>
  <si>
    <t>V04-G02-S03-SP04-A511-E000-TA01-VR00-F20251121</t>
  </si>
  <si>
    <t>V04-G02-S03-SP04-A511-E000-TA04-VR00-F20251121</t>
  </si>
  <si>
    <t>V04-G02-S03-SP04-A511-E000-TA10-VR00-F20251121</t>
  </si>
  <si>
    <t>V04-G02-S03-SP04-A511-E000-TA01-VR00-F20251122</t>
  </si>
  <si>
    <t>V04-G02-S03-SP04-A511-E000-TA02-VR00-F20251122</t>
  </si>
  <si>
    <t>V04-G02-S03-SP04-A511-E000-TA03-VR00-F20251122</t>
  </si>
  <si>
    <t>V04-G02-S03-SP04-A511-E000-TA10-VR00-F20251122</t>
  </si>
  <si>
    <t>V04-G02-S03-SP04-A511-E000-TA01-VR00-F20251123</t>
  </si>
  <si>
    <t>V04-G02-S03-SP04-A511-E000-TA02-VR00-F20251123</t>
  </si>
  <si>
    <t>V04-G02-S03-SP04-A511-E000-TA09-VR00-F20251123</t>
  </si>
  <si>
    <t>V04-G02-S03-SP04-A511-E000-TA10-VR00-F20251123</t>
  </si>
  <si>
    <t>V04-G02-S03-SP04-A511-E000-TA05-VR00-F20251123</t>
  </si>
  <si>
    <t>V04-G02-S03-SP04-A511-E000-TA05-VR00-F20260131</t>
  </si>
  <si>
    <t>V04-G02-S03-SP04-A511-E000-TA03-VR00-F20260131</t>
  </si>
  <si>
    <t>V04-G02-S03-SP04-A511-E000-TA10-VR00-F20260227</t>
  </si>
  <si>
    <t>V04-G02-S03-SP04-A511-E000-TA09-VR00-F20260227</t>
  </si>
  <si>
    <t>V04-G02-S03-SP04-A511-E000-TA01-VR00-F20260227</t>
  </si>
  <si>
    <t>V04-G02-S03-SP04-A511-E000-TA04-VR00-F20260227</t>
  </si>
  <si>
    <t>V04-G02-S03-SP04-A511-E000-TA03-VR00-F20260228</t>
  </si>
  <si>
    <t>V04-G02-S03-SP04-A511-E000-TA01-VR00-F20260228</t>
  </si>
  <si>
    <t>V04-G02-S03-SP04-A511-E000-TA04-VR00-F20260228</t>
  </si>
  <si>
    <t>V04-G02-S03-SP04-A511-E000-TA01-VR00-F20260301</t>
  </si>
  <si>
    <t>V04-G02-S03-SP04-A511-E000-TA10-VR00-F20260301</t>
  </si>
  <si>
    <t>V04-G02-S03-SP04-A511-E000-TA04-VR00-F20260301</t>
  </si>
  <si>
    <t>V04-G02-S03-SP04-A511-E000-TA10-VR00-F20260505</t>
  </si>
  <si>
    <t>V04-G02-S03-SP04-A511-E000-TA10-VR00-F20260506</t>
  </si>
  <si>
    <t>V04-G02-S03-SP04-A511-E000-TA01-VR00-F20260506</t>
  </si>
  <si>
    <t>V04-G02-S05-SP04-A511-E000-TA01-VR00-F20260506</t>
  </si>
  <si>
    <t>V04-G02-S03-SP04-A511-E000-TA04-VR00-F20260506</t>
  </si>
  <si>
    <t>V04-G02-S03-SP04-A511-E000-TA04-VR00-F20260507</t>
  </si>
  <si>
    <t>V04-G02-S01-SP03-A507-E000-TA01-VR00-F20251220</t>
  </si>
  <si>
    <t>V04-G02-S01-SP03-A507-E000-TA10-VR00-F20251229</t>
  </si>
  <si>
    <t>V04-G02-S01-SP03-A507-E000-TA01-VR00-F20251229</t>
  </si>
  <si>
    <t>V04-G02-S01-SP03-A507-E000-TA10-VR00-F20251230</t>
  </si>
  <si>
    <t>V04-G02-S01-SP03-A507-E000-TA01-VR00-F20251230</t>
  </si>
  <si>
    <t>V04-G02-S01-SP03-A507-E000-TA04-VR00-F20251230</t>
  </si>
  <si>
    <t>V04-G02-S01-SP03-A507-E000-TA03-VR00-F20251230</t>
  </si>
  <si>
    <t>V04-G02-S01-SP03-A507-E000-TA04-VR00-F20251231</t>
  </si>
  <si>
    <t>V04-G02-S01-SP03-A507-E000-TA02-VR00-F20251231</t>
  </si>
  <si>
    <t>V04-G02-S01-SP03-A507-E000-TA03-VR00-F20251231</t>
  </si>
  <si>
    <t>V04-G02-S01-SP03-A507-E000-TA01-VR00-F20251231</t>
  </si>
  <si>
    <t>V04-G02-S01-SP03-A507-E000-TA01-VR00-F20260101</t>
  </si>
  <si>
    <t>V04-G02-S01-SP03-A507-E000-TA04-VR00-F20260101</t>
  </si>
  <si>
    <t>V04-G02-S01-SP03-A507-E000-TA04-VR00-F20260106</t>
  </si>
  <si>
    <t>V04-G02-S01-SP03-A507-E000-TA01-VR00-F20260108</t>
  </si>
  <si>
    <t>V04-G02-S01-SP03-A507-E000-TA09-VR00-F20260108</t>
  </si>
  <si>
    <t>V04-G02-S01-SP03-A507-E000-TA10-VR00-F20260108</t>
  </si>
  <si>
    <t>V04-G02-S01-SP03-A507-E000-TA04-VR00-F20260109</t>
  </si>
  <si>
    <t>V04-G02-S01-SP03-A507-E000-TA01-VR00-F20260109</t>
  </si>
  <si>
    <t>V04-G02-S01-SP03-A507-E000-TA04-VR00-F20260110</t>
  </si>
  <si>
    <t>V04-G02-S01-SP03-A507-E000-TA10-VR00-F20260110</t>
  </si>
  <si>
    <t>V04-G02-S01-SP03-A507-E000-TA09-VR00-F20260110</t>
  </si>
  <si>
    <t>V04-G02-S01-SP03-A507-E000-TA01-VR00-F20260111</t>
  </si>
  <si>
    <t>V04-G02-S01-SP03-A507-E000-TA04-VR00-F20260111</t>
  </si>
  <si>
    <t>V04-G02-S01-SP03-A507-E000-TA09-VR00-F20260111</t>
  </si>
  <si>
    <t>V04-G02-S01-SP03-A507-E000-TA10-VR00-F20260111</t>
  </si>
  <si>
    <t>V04-G02-S01-SP03-A507-E000-TA04-VR00-F20260112</t>
  </si>
  <si>
    <t>V04-G02-S01-SP03-A507-E000-TA03-VR00-F20260112</t>
  </si>
  <si>
    <t>V04-G02-S01-SP03-A507-E000-TA01-VR00-F20260116</t>
  </si>
  <si>
    <t>V04-G02-S01-SP03-A507-E000-TA01-VR00-F20260128</t>
  </si>
  <si>
    <t>V04-G02-S01-SP03-A507-E000-TA04-VR00-F20260128</t>
  </si>
  <si>
    <t>V04-G02-S01-SP03-A507-E000-TA09-VR00-F20260128</t>
  </si>
  <si>
    <t>V04-G02-S01-SP03-A507-E000-TA10-VR00-F20260128</t>
  </si>
  <si>
    <t>V04-G02-S01-SP03-A507-E000-TA06-VR00-F20260128</t>
  </si>
  <si>
    <t>V04-G02-S01-SP03-A507-E000-TA09-VR00-F20260129</t>
  </si>
  <si>
    <t>V04-G02-S01-SP03-A507-E000-TA01-VR00-F20260201</t>
  </si>
  <si>
    <t>V04-G02-S01-SP03-A507-E000-TA04-VR00-F20260201</t>
  </si>
  <si>
    <t>V04-G02-S01-SP03-A507-E000-TA01-VR00-F20260227</t>
  </si>
  <si>
    <t>V04-G02-S01-SP01-A507-E000-TA01-VR00-F20260403</t>
  </si>
  <si>
    <t>V04-G02-S01-SP01-A507-E000-TA04-VR00-F20260403</t>
  </si>
  <si>
    <t>V04-G02-S04-SP01-A510-E000-TA01-VR00-F20251203</t>
  </si>
  <si>
    <t>V04-G02-S04-SP01-A510-E000-TA04-VR00-F20251203</t>
  </si>
  <si>
    <t>V04-G02-S04-SP01-A510-E000-TA01-VR00-F20251204</t>
  </si>
  <si>
    <t>V04-G02-S04-SP01-A510-E000-TA04-VR00-F20251204</t>
  </si>
  <si>
    <t>V04-G02-S04-SP01-A510-E000-TA01-VR00-F20251205</t>
  </si>
  <si>
    <t>V04-G02-S04-SP01-A510-E000-TA04-VR00-F20251205</t>
  </si>
  <si>
    <t>V04-G02-S04-SP01-A510-E000-TA10-VR00-F20251205</t>
  </si>
  <si>
    <t>V04-G02-S04-SP01-A510-E000-TA01-VR00-F20251206</t>
  </si>
  <si>
    <t>V04-G02-S04-SP01-A510-E000-TA04-VR00-F20251206</t>
  </si>
  <si>
    <t>V04-G02-S04-SP01-A510-E000-TA10-VR00-F20251206</t>
  </si>
  <si>
    <t>V04-G02-S04-SP01-A510-E000-TA02-VR00-F20251206</t>
  </si>
  <si>
    <t>V04-G02-S04-SP01-A510-E000-TA10-VR00-F20251207</t>
  </si>
  <si>
    <t>V04-G02-S04-SP01-A510-E000-TA02-VR00-F20251207</t>
  </si>
  <si>
    <t>V04-G02-S04-SP01-A510-E000-TA03-VR00-F20251207</t>
  </si>
  <si>
    <t>V04-G02-S04-SP01-A510-E000-TA04-VR00-F20251207</t>
  </si>
  <si>
    <t>V04-G02-S04-SP01-A510-E000-TA05-VR00-F20251207</t>
  </si>
  <si>
    <t>V04-G02-S04-SP01-A510-E000-TA09-VR00-F20251215</t>
  </si>
  <si>
    <t>V04-G02-S04-SP01-A510-E000-TA02-VR00-F20251215</t>
  </si>
  <si>
    <t>V04-G02-S04-SP01-A510-E000-TA09-VR00-F20251216</t>
  </si>
  <si>
    <t>V04-G02-S04-SP01-A510-E000-TA05-VR00-F20251216</t>
  </si>
  <si>
    <t>V04-G02-S04-SP01-A510-E000-TA10-VR00-F20251216</t>
  </si>
  <si>
    <t>V04-G02-S04-SP01-A510-E000-TA04-VR00-F20251216</t>
  </si>
  <si>
    <t>V04-G02-S04-SP01-A510-E000-TA06-VR00-F20251216</t>
  </si>
  <si>
    <t>V04-G02-S04-SP01-A510-E000-TA01-VR00-F20251216</t>
  </si>
  <si>
    <t>V04-G02-S04-SP01-A510-E000-TA06-VR00-F20251217</t>
  </si>
  <si>
    <t>V04-G02-S04-SP01-A510-E000-TA09-VR00-F20260104</t>
  </si>
  <si>
    <t>V04-G02-S03-SP06-A505-E000-TA01-VR00-F20251025</t>
  </si>
  <si>
    <t>V04-G02-S03-SP06-A505-E000-TA01-VR00-F20251026</t>
  </si>
  <si>
    <t>V04-G02-S03-SP06-A505-E000-TA01-VR00-F20251027</t>
  </si>
  <si>
    <t>V04-G02-S03-SP06-A505-E000-TA01-VR00-F20251030</t>
  </si>
  <si>
    <t>V04-G02-S03-SP06-A505-E000-TA04-VR00-F20251028</t>
  </si>
  <si>
    <t>V04-G02-S03-SP06-A505-E000-TA01-VR00-F20251028</t>
  </si>
  <si>
    <t>V04-G02-S03-SP06-A505-E000-TA04-VR00-F20251029</t>
  </si>
  <si>
    <t>V04-G02-S03-SP06-A505-E000-TA03-VR00-F20251029</t>
  </si>
  <si>
    <t>V04-G02-S03-SP06-A505-E000-TA10-VR00-F20251029</t>
  </si>
  <si>
    <t>V04-G02-S03-SP06-A505-E000-TA09-VR00-F20251029</t>
  </si>
  <si>
    <t>V04-G02-S03-SP06-A505-E000-TA04-VR00-F20251030</t>
  </si>
  <si>
    <t>V04-G02-S03-SP06-A505-E000-TA02-VR00-F20251030</t>
  </si>
  <si>
    <t>V04-G02-S03-SP06-A505-E000-TA03-VR00-F20251030</t>
  </si>
  <si>
    <t>V04-G02-S03-SP06-A505-E000-TA09-VR00-F20251030</t>
  </si>
  <si>
    <t>V04-G02-S03-SP06-A505-E000-TA10-VR00-F20251030</t>
  </si>
  <si>
    <t>V04-G02-S03-SP06-A505-E000-TA04-VR00-F20251031</t>
  </si>
  <si>
    <t>V04-G02-S03-SP06-A505-E000-TA01-VR00-F20251031</t>
  </si>
  <si>
    <t>V04-G02-S03-SP06-A505-E000-TA02-VR00-F20251031</t>
  </si>
  <si>
    <t>V04-G02-S03-SP06-A505-E000-TA09-VR00-F20251031</t>
  </si>
  <si>
    <t>V04-G02-S03-SP06-A505-E000-TA10-VR00-F20251031</t>
  </si>
  <si>
    <t>V04-G02-S03-SP06-A505-E000-TA03-VR00-F20251031</t>
  </si>
  <si>
    <t>V04-G02-S03-SP06-A505-E000-TA01-VR00-F20251101</t>
  </si>
  <si>
    <t>V04-G02-S03-SP06-A505-E000-TA02-VR00-F20251101</t>
  </si>
  <si>
    <t>V04-G02-S03-SP06-A505-E000-TA03-VR00-F20251101</t>
  </si>
  <si>
    <t>V04-G02-S03-SP06-A505-E000-TA04-VR00-F20251101</t>
  </si>
  <si>
    <t>V04-G02-S03-SP06-A505-E000-TA10-VR00-F20251101</t>
  </si>
  <si>
    <t>V04-G02-S03-SP06-A505-E000-TA09-VR00-F20251101</t>
  </si>
  <si>
    <t>V04-G02-S03-SP06-A505-E000-TA01-VR00-F20251102</t>
  </si>
  <si>
    <t>V04-G02-S03-SP06-A505-E000-TA02-VR00-F20251102</t>
  </si>
  <si>
    <t>V04-G02-S03-SP06-A505-E000-TA10-VR00-F20251102</t>
  </si>
  <si>
    <t>V04-G02-S03-SP06-A505-E000-TA06-VR00-F20251102</t>
  </si>
  <si>
    <t>V04-G02-S03-SP06-A505-E000-TA04-VR00-F20251102</t>
  </si>
  <si>
    <t>V04-G02-S03-SP06-A505-E000-TA01-VR00-F20251103</t>
  </si>
  <si>
    <t>V04-G02-S03-SP06-A505-E000-TA10-VR00-F20251103</t>
  </si>
  <si>
    <t>V04-G02-S03-SP06-A505-E000-TA09-VR00-F20251103</t>
  </si>
  <si>
    <t>V04-G02-S03-SP06-A505-E000-TA01-VR00-F20251104</t>
  </si>
  <si>
    <t>V04-G02-S03-SP06-A505-E000-TA05-VR00-F20251104</t>
  </si>
  <si>
    <t>V04-G02-S03-SP06-A505-E000-TA09-VR00-F20251104</t>
  </si>
  <si>
    <t>V04-G02-S03-SP06-A505-E000-TA08-VR00-F20251104</t>
  </si>
  <si>
    <t>V04-G02-S03-SP06-A505-E000-TA10-VR00-F20251104</t>
  </si>
  <si>
    <t>V04-G02-S03-SP06-A505-E000-TA02-VR00-F20251104</t>
  </si>
  <si>
    <t>V04-G02-S03-SP06-A505-E000-TA03-VR00-F20251104</t>
  </si>
  <si>
    <t>V04-G02-S03-SP06-A505-E000-TA04-VR00-F20251104</t>
  </si>
  <si>
    <t>V04-G02-S03-SP06-A505-E000-TA01-VR00-F20251107</t>
  </si>
  <si>
    <t>V04-G02-S03-SP06-A505-E000-TA04-VR00-F20251107</t>
  </si>
  <si>
    <t>V04-G02-S03-SP06-A505-E000-TA09-VR00-F20251107</t>
  </si>
  <si>
    <t>V04-G02-S03-SP06-A505-E000-TA10-VR00-F20251107</t>
  </si>
  <si>
    <t>V04-G02-S03-SP06-A505-E000-TA02-VR00-F20251107</t>
  </si>
  <si>
    <t>V04-G02-S03-SP06-A505-E000-TA08-VR00-F20251107</t>
  </si>
  <si>
    <t>V04-G02-S03-SP06-A505-E000-TA04-VR00-F20251108</t>
  </si>
  <si>
    <t>V04-G02-S03-SP06-A505-E000-TA09-VR00-F20251108</t>
  </si>
  <si>
    <t>V04-G02-S03-SP06-A505-E000-TA01-VR00-F20251108</t>
  </si>
  <si>
    <t>V04-G02-S03-SP06-A505-E000-TA02-VR00-F20251108</t>
  </si>
  <si>
    <t>V04-G02-S03-SP06-A505-E000-TA08-VR00-F20251108</t>
  </si>
  <si>
    <t>V04-G02-S03-SP06-A505-E000-TA10-VR00-F20251108</t>
  </si>
  <si>
    <t>V04-G02-S03-SP06-A505-E000-TA01-VR00-F20260507</t>
  </si>
  <si>
    <t>V04-G02-S03-SP04-A505-E000-TA01-VR00-F20260507</t>
  </si>
  <si>
    <t>V04-G02-S03-SP06-A505-E000-TA01-VR00-F20260508</t>
  </si>
  <si>
    <t>V04-G02-S03-SP06-A505-E000-TA04-VR00-F20260508</t>
  </si>
  <si>
    <t>V04-G02-S03-SP06-A505-E000-TA10-VR00-F20260509</t>
  </si>
  <si>
    <t>Vagoneta</t>
  </si>
  <si>
    <t>ConectorTT</t>
  </si>
  <si>
    <t>ConectorAN</t>
  </si>
  <si>
    <t>SKN</t>
  </si>
  <si>
    <t>Skylotec</t>
  </si>
  <si>
    <t>WALFRED AYALA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</si>
</sst>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rgb="FF242424"/>
      <name val="Aptos Narrow"/>
      <family val="2"/>
      <charset val="1"/>
    </font>
    <font>
      <sz val="11"/>
      <color rgb="FF242424"/>
      <name val="Aptos Narrow"/>
      <family val="2"/>
    </font>
    <font>
      <sz val="9"/>
      <color theme="1"/>
      <name val="Cambri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11"/>
      <color rgb="FF1F497D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9"/>
      <color theme="0"/>
      <name val="Cambria"/>
      <family val="2"/>
    </font>
    <font>
      <b/>
      <sz val="14"/>
      <color theme="0"/>
      <name val="Calibri"/>
      <family val="2"/>
      <scheme val="minor"/>
    </font>
    <font>
      <sz val="9"/>
      <color theme="8" tint="-0.249977111117893"/>
      <name val="Cambria"/>
      <family val="2"/>
    </font>
    <font>
      <sz val="9"/>
      <color theme="3"/>
      <name val="Cambria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u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8"/>
        <bgColor theme="8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6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8"/>
      </top>
      <bottom style="thin">
        <color theme="8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theme="4" tint="0.39997558519241921"/>
      </left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0" fontId="14" fillId="0" borderId="0"/>
  </cellStyleXfs>
  <cellXfs count="101">
    <xf numFmtId="0" fontId="0" fillId="0" borderId="0" xfId="0"/>
    <xf numFmtId="0" fontId="0" fillId="2" borderId="1" xfId="0" applyFill="1" applyBorder="1"/>
    <xf numFmtId="0" fontId="1" fillId="0" borderId="1" xfId="0" applyFont="1" applyBorder="1"/>
    <xf numFmtId="0" fontId="1" fillId="2" borderId="1" xfId="0" applyFont="1" applyFill="1" applyBorder="1"/>
    <xf numFmtId="0" fontId="0" fillId="0" borderId="1" xfId="0" applyBorder="1"/>
    <xf numFmtId="0" fontId="1" fillId="0" borderId="0" xfId="0" applyFont="1"/>
    <xf numFmtId="0" fontId="2" fillId="0" borderId="0" xfId="0" applyFont="1"/>
    <xf numFmtId="0" fontId="1" fillId="0" borderId="2" xfId="0" applyFont="1" applyBorder="1" applyAlignment="1">
      <alignment wrapText="1"/>
    </xf>
    <xf numFmtId="0" fontId="0" fillId="0" borderId="3" xfId="0" applyBorder="1"/>
    <xf numFmtId="0" fontId="1" fillId="2" borderId="2" xfId="0" applyFont="1" applyFill="1" applyBorder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3" xfId="0" applyBorder="1" applyAlignment="1">
      <alignment wrapText="1"/>
    </xf>
    <xf numFmtId="0" fontId="0" fillId="2" borderId="2" xfId="0" applyFill="1" applyBorder="1" applyAlignment="1">
      <alignment wrapText="1"/>
    </xf>
    <xf numFmtId="0" fontId="1" fillId="0" borderId="4" xfId="0" applyFont="1" applyBorder="1" applyAlignment="1">
      <alignment wrapText="1"/>
    </xf>
    <xf numFmtId="0" fontId="0" fillId="0" borderId="2" xfId="0" applyBorder="1"/>
    <xf numFmtId="0" fontId="2" fillId="0" borderId="3" xfId="0" applyFont="1" applyBorder="1" applyAlignment="1">
      <alignment wrapText="1"/>
    </xf>
    <xf numFmtId="0" fontId="0" fillId="0" borderId="5" xfId="0" applyBorder="1"/>
    <xf numFmtId="0" fontId="0" fillId="0" borderId="6" xfId="0" applyBorder="1"/>
    <xf numFmtId="0" fontId="0" fillId="2" borderId="2" xfId="0" applyFill="1" applyBorder="1"/>
    <xf numFmtId="0" fontId="0" fillId="2" borderId="6" xfId="0" applyFill="1" applyBorder="1" applyAlignment="1">
      <alignment wrapText="1"/>
    </xf>
    <xf numFmtId="0" fontId="1" fillId="0" borderId="6" xfId="0" applyFont="1" applyBorder="1"/>
    <xf numFmtId="0" fontId="0" fillId="2" borderId="6" xfId="0" applyFill="1" applyBorder="1"/>
    <xf numFmtId="0" fontId="1" fillId="2" borderId="6" xfId="0" applyFont="1" applyFill="1" applyBorder="1"/>
    <xf numFmtId="0" fontId="3" fillId="3" borderId="0" xfId="0" applyFont="1" applyFill="1" applyAlignment="1">
      <alignment horizontal="left" vertical="center" wrapText="1"/>
    </xf>
    <xf numFmtId="0" fontId="0" fillId="0" borderId="2" xfId="0" applyBorder="1" applyAlignment="1">
      <alignment wrapText="1"/>
    </xf>
    <xf numFmtId="0" fontId="0" fillId="2" borderId="7" xfId="0" applyFill="1" applyBorder="1"/>
    <xf numFmtId="49" fontId="7" fillId="3" borderId="8" xfId="0" applyNumberFormat="1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wrapText="1"/>
    </xf>
    <xf numFmtId="49" fontId="7" fillId="3" borderId="9" xfId="0" applyNumberFormat="1" applyFont="1" applyFill="1" applyBorder="1" applyAlignment="1">
      <alignment horizontal="center" vertical="center" wrapText="1"/>
    </xf>
    <xf numFmtId="49" fontId="7" fillId="3" borderId="10" xfId="0" applyNumberFormat="1" applyFont="1" applyFill="1" applyBorder="1" applyAlignment="1">
      <alignment horizontal="center" vertical="center" wrapText="1"/>
    </xf>
    <xf numFmtId="49" fontId="7" fillId="3" borderId="1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5" xfId="0" applyBorder="1"/>
    <xf numFmtId="0" fontId="8" fillId="5" borderId="6" xfId="0" applyFont="1" applyFill="1" applyBorder="1"/>
    <xf numFmtId="0" fontId="6" fillId="4" borderId="0" xfId="0" applyFont="1" applyFill="1" applyAlignment="1">
      <alignment horizontal="center"/>
    </xf>
    <xf numFmtId="0" fontId="9" fillId="4" borderId="20" xfId="0" applyFont="1" applyFill="1" applyBorder="1" applyAlignment="1">
      <alignment horizontal="center" vertical="center"/>
    </xf>
    <xf numFmtId="0" fontId="9" fillId="4" borderId="20" xfId="0" applyFont="1" applyFill="1" applyBorder="1" applyAlignment="1">
      <alignment horizontal="center" vertical="center" wrapText="1"/>
    </xf>
    <xf numFmtId="0" fontId="9" fillId="4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21" xfId="0" applyBorder="1"/>
    <xf numFmtId="0" fontId="10" fillId="6" borderId="22" xfId="0" applyFont="1" applyFill="1" applyBorder="1" applyAlignment="1">
      <alignment horizontal="center" vertical="center"/>
    </xf>
    <xf numFmtId="0" fontId="0" fillId="7" borderId="23" xfId="0" applyFill="1" applyBorder="1"/>
    <xf numFmtId="0" fontId="0" fillId="7" borderId="24" xfId="0" applyFill="1" applyBorder="1"/>
    <xf numFmtId="0" fontId="0" fillId="8" borderId="23" xfId="0" applyFill="1" applyBorder="1"/>
    <xf numFmtId="0" fontId="0" fillId="8" borderId="24" xfId="0" applyFill="1" applyBorder="1"/>
    <xf numFmtId="0" fontId="1" fillId="3" borderId="0" xfId="0" applyFont="1" applyFill="1" applyAlignment="1">
      <alignment wrapText="1"/>
    </xf>
    <xf numFmtId="0" fontId="0" fillId="0" borderId="2" xfId="0" applyBorder="1" applyAlignment="1">
      <alignment horizontal="left"/>
    </xf>
    <xf numFmtId="0" fontId="0" fillId="0" borderId="25" xfId="0" applyBorder="1"/>
    <xf numFmtId="0" fontId="0" fillId="3" borderId="26" xfId="0" applyFill="1" applyBorder="1"/>
    <xf numFmtId="49" fontId="7" fillId="3" borderId="27" xfId="0" applyNumberFormat="1" applyFont="1" applyFill="1" applyBorder="1" applyAlignment="1">
      <alignment horizontal="center" vertical="center" wrapText="1"/>
    </xf>
    <xf numFmtId="0" fontId="0" fillId="0" borderId="26" xfId="0" applyBorder="1"/>
    <xf numFmtId="0" fontId="0" fillId="0" borderId="27" xfId="0" applyBorder="1"/>
    <xf numFmtId="0" fontId="1" fillId="0" borderId="27" xfId="0" applyFont="1" applyBorder="1"/>
    <xf numFmtId="0" fontId="11" fillId="9" borderId="0" xfId="0" applyFont="1" applyFill="1" applyAlignment="1">
      <alignment wrapText="1"/>
    </xf>
    <xf numFmtId="0" fontId="0" fillId="0" borderId="28" xfId="0" applyBorder="1"/>
    <xf numFmtId="0" fontId="0" fillId="0" borderId="29" xfId="0" applyBorder="1"/>
    <xf numFmtId="0" fontId="1" fillId="3" borderId="27" xfId="0" applyFont="1" applyFill="1" applyBorder="1" applyAlignment="1">
      <alignment horizontal="center" wrapText="1"/>
    </xf>
    <xf numFmtId="0" fontId="0" fillId="10" borderId="18" xfId="0" applyFill="1" applyBorder="1"/>
    <xf numFmtId="0" fontId="0" fillId="0" borderId="30" xfId="0" applyBorder="1"/>
    <xf numFmtId="0" fontId="0" fillId="3" borderId="28" xfId="0" applyFill="1" applyBorder="1"/>
    <xf numFmtId="49" fontId="7" fillId="3" borderId="29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0" fontId="0" fillId="2" borderId="31" xfId="0" applyFill="1" applyBorder="1"/>
    <xf numFmtId="0" fontId="1" fillId="0" borderId="3" xfId="0" applyFont="1" applyBorder="1" applyAlignment="1">
      <alignment wrapText="1"/>
    </xf>
    <xf numFmtId="0" fontId="1" fillId="2" borderId="7" xfId="0" applyFont="1" applyFill="1" applyBorder="1"/>
    <xf numFmtId="0" fontId="0" fillId="0" borderId="32" xfId="0" applyBorder="1"/>
    <xf numFmtId="0" fontId="0" fillId="0" borderId="6" xfId="0" applyBorder="1" applyAlignment="1">
      <alignment wrapText="1"/>
    </xf>
    <xf numFmtId="0" fontId="0" fillId="2" borderId="3" xfId="0" applyFill="1" applyBorder="1"/>
    <xf numFmtId="0" fontId="0" fillId="0" borderId="31" xfId="0" applyBorder="1"/>
    <xf numFmtId="0" fontId="0" fillId="0" borderId="7" xfId="0" applyBorder="1"/>
    <xf numFmtId="0" fontId="12" fillId="3" borderId="19" xfId="0" applyFont="1" applyFill="1" applyBorder="1" applyAlignment="1">
      <alignment horizontal="left" vertical="center" wrapText="1"/>
    </xf>
    <xf numFmtId="0" fontId="0" fillId="2" borderId="16" xfId="0" applyFill="1" applyBorder="1" applyAlignment="1">
      <alignment wrapText="1"/>
    </xf>
    <xf numFmtId="0" fontId="0" fillId="2" borderId="33" xfId="0" applyFill="1" applyBorder="1"/>
    <xf numFmtId="0" fontId="0" fillId="0" borderId="7" xfId="0" applyBorder="1" applyAlignment="1">
      <alignment wrapText="1"/>
    </xf>
    <xf numFmtId="0" fontId="6" fillId="0" borderId="6" xfId="0" applyFont="1" applyBorder="1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/>
    </xf>
    <xf numFmtId="0" fontId="2" fillId="0" borderId="6" xfId="0" applyFont="1" applyBorder="1"/>
    <xf numFmtId="0" fontId="2" fillId="2" borderId="6" xfId="0" applyFont="1" applyFill="1" applyBorder="1" applyAlignment="1">
      <alignment wrapText="1"/>
    </xf>
    <xf numFmtId="0" fontId="0" fillId="2" borderId="17" xfId="0" applyFill="1" applyBorder="1"/>
    <xf numFmtId="0" fontId="0" fillId="0" borderId="4" xfId="0" applyBorder="1"/>
    <xf numFmtId="0" fontId="3" fillId="3" borderId="6" xfId="0" applyFont="1" applyFill="1" applyBorder="1" applyAlignment="1">
      <alignment horizontal="left" vertical="center" wrapText="1"/>
    </xf>
    <xf numFmtId="0" fontId="2" fillId="2" borderId="6" xfId="0" applyFont="1" applyFill="1" applyBorder="1"/>
    <xf numFmtId="0" fontId="0" fillId="0" borderId="2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left" wrapText="1"/>
    </xf>
    <xf numFmtId="0" fontId="0" fillId="2" borderId="7" xfId="0" applyFont="1" applyFill="1" applyBorder="1"/>
    <xf numFmtId="0" fontId="0" fillId="0" borderId="2" xfId="0" applyNumberFormat="1" applyBorder="1"/>
    <xf numFmtId="0" fontId="0" fillId="2" borderId="16" xfId="0" applyFill="1" applyBorder="1"/>
    <xf numFmtId="0" fontId="0" fillId="0" borderId="16" xfId="0" applyBorder="1"/>
    <xf numFmtId="0" fontId="15" fillId="0" borderId="2" xfId="1" applyFont="1" applyBorder="1" applyAlignment="1">
      <alignment horizontal="left" vertical="center" wrapText="1" indent="1"/>
    </xf>
    <xf numFmtId="0" fontId="15" fillId="0" borderId="2" xfId="1" applyFont="1" applyBorder="1" applyAlignment="1">
      <alignment horizontal="left" vertical="center" indent="1"/>
    </xf>
    <xf numFmtId="0" fontId="16" fillId="0" borderId="0" xfId="0" applyFont="1"/>
    <xf numFmtId="0" fontId="0" fillId="2" borderId="6" xfId="0" applyFont="1" applyFill="1" applyBorder="1"/>
    <xf numFmtId="0" fontId="6" fillId="4" borderId="12" xfId="0" applyFont="1" applyFill="1" applyBorder="1" applyAlignment="1">
      <alignment horizontal="center"/>
    </xf>
    <xf numFmtId="0" fontId="6" fillId="4" borderId="13" xfId="0" applyFont="1" applyFill="1" applyBorder="1" applyAlignment="1">
      <alignment horizontal="center"/>
    </xf>
    <xf numFmtId="0" fontId="6" fillId="4" borderId="14" xfId="0" applyFont="1" applyFill="1" applyBorder="1" applyAlignment="1">
      <alignment horizontal="center"/>
    </xf>
    <xf numFmtId="0" fontId="0" fillId="0" borderId="0" xfId="0" applyFont="1" applyAlignment="1">
      <alignment horizontal="left" vertical="center"/>
    </xf>
  </cellXfs>
  <cellStyles count="2">
    <cellStyle name="Normal" xfId="0" builtinId="0"/>
    <cellStyle name="Normal 2" xfId="1" xr:uid="{2573548B-B527-4618-A5DB-F04426186A59}"/>
  </cellStyles>
  <dxfs count="98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497D"/>
        <name val="Calibri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497D"/>
        <name val="Calibri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theme="4" tint="0.39997558519241921"/>
        </bottom>
        <vertical/>
        <horizontal/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497D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charset val="1"/>
        <scheme val="none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charset val="1"/>
        <scheme val="none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family val="2"/>
        <charset val="1"/>
        <scheme val="none"/>
      </font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family val="2"/>
        <charset val="1"/>
        <scheme val="none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charset val="1"/>
        <scheme val="none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charset val="1"/>
        <scheme val="none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family val="2"/>
        <charset val="1"/>
        <scheme val="none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family val="2"/>
        <charset val="1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family val="2"/>
        <charset val="1"/>
        <scheme val="none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family val="2"/>
        <charset val="1"/>
        <scheme val="none"/>
      </font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thin">
          <color theme="4" tint="0.39997558519241921"/>
        </bottom>
      </border>
    </dxf>
    <dxf>
      <numFmt numFmtId="0" formatCode="General"/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mbria"/>
        <family val="2"/>
        <scheme val="none"/>
      </font>
      <fill>
        <patternFill patternType="solid">
          <fgColor indexed="64"/>
          <bgColor rgb="FF0070C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family val="2"/>
        <charset val="1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family val="2"/>
        <charset val="1"/>
        <scheme val="none"/>
      </font>
      <alignment horizontal="general" vertical="bottom" textRotation="0" wrapText="1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/>
        <vertical/>
        <horizontal/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/>
        <vertical/>
        <horizontal/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/>
        <vertical/>
        <horizontal/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/>
        <vertical/>
        <horizontal/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3"/>
        <name val="Cambria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charset val="1"/>
        <scheme val="none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charset val="1"/>
        <scheme val="none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family val="2"/>
        <charset val="1"/>
        <scheme val="none"/>
      </font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family val="2"/>
        <charset val="1"/>
        <scheme val="none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charset val="1"/>
        <scheme val="none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charset val="1"/>
        <scheme val="none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family val="2"/>
        <charset val="1"/>
        <scheme val="none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family val="2"/>
        <charset val="1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family val="2"/>
        <charset val="1"/>
        <scheme val="none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family val="2"/>
        <charset val="1"/>
        <scheme val="none"/>
      </font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ill>
        <patternFill patternType="solid">
          <fgColor indexed="64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charset val="1"/>
        <scheme val="none"/>
      </font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497D"/>
        <name val="Calibri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0"/>
        </patternFill>
      </fill>
    </dxf>
    <dxf>
      <border outline="0">
        <bottom style="thin">
          <color rgb="FF8EA9DB"/>
        </bottom>
      </border>
    </dxf>
    <dxf>
      <border outline="0"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border outline="0">
        <bottom style="thin">
          <color rgb="FF8EA9DB"/>
        </bottom>
      </border>
    </dxf>
    <dxf>
      <numFmt numFmtId="0" formatCode="General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mbria"/>
        <family val="2"/>
        <scheme val="none"/>
      </font>
      <fill>
        <patternFill patternType="solid">
          <fgColor indexed="64"/>
          <bgColor rgb="FF0070C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family val="2"/>
        <charset val="1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8EA9DB"/>
        </top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family val="2"/>
        <charset val="1"/>
        <scheme val="none"/>
      </font>
      <alignment horizontal="general" vertical="bottom" textRotation="0" wrapText="1" indent="0" justifyLastLine="0" shrinkToFit="0" readingOrder="0"/>
    </dxf>
    <dxf>
      <border outline="0"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/>
        <vertical/>
        <horizontal/>
      </border>
    </dxf>
    <dxf>
      <border outline="0"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/>
        <vertical/>
        <horizontal/>
      </border>
    </dxf>
    <dxf>
      <border outline="0"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/>
        <vertical/>
        <horizontal/>
      </border>
    </dxf>
    <dxf>
      <border outline="0"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9E1F2"/>
          <bgColor rgb="FFD9E1F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border outline="0">
        <bottom style="thin">
          <color rgb="FF8EA9DB"/>
        </bottom>
      </border>
    </dxf>
    <dxf>
      <border outline="0"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9E1F2"/>
          <bgColor rgb="FFD9E1F2"/>
        </patternFill>
      </fill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/>
        <vertical/>
        <horizontal/>
      </border>
    </dxf>
    <dxf>
      <border outline="0"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border outline="0">
        <top style="thin">
          <color rgb="FF8EA9DB"/>
        </top>
      </border>
    </dxf>
    <dxf>
      <border outline="0">
        <left style="thin">
          <color rgb="FF8EA9DB"/>
        </left>
        <right style="thin">
          <color rgb="FF8EA9DB"/>
        </right>
        <top style="thin">
          <color rgb="FF8EA9DB"/>
        </top>
        <bottom style="thin">
          <color rgb="FF8EA9DB"/>
        </bottom>
      </border>
    </dxf>
    <dxf>
      <border outline="0"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3"/>
        <name val="Cambria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border outline="0">
        <top style="thin">
          <color rgb="FF8EA9DB"/>
        </top>
        <bottom style="thin">
          <color rgb="FF8EA9DB"/>
        </bottom>
      </border>
    </dxf>
    <dxf>
      <border outline="0"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charset val="1"/>
        <scheme val="none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charset val="1"/>
        <scheme val="none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family val="2"/>
        <charset val="1"/>
        <scheme val="none"/>
      </font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family val="2"/>
        <charset val="1"/>
        <scheme val="none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charset val="1"/>
        <scheme val="none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charset val="1"/>
        <scheme val="none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family val="2"/>
        <charset val="1"/>
        <scheme val="none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family val="2"/>
        <charset val="1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family val="2"/>
        <charset val="1"/>
        <scheme val="none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family val="2"/>
        <charset val="1"/>
        <scheme val="none"/>
      </font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ill>
        <patternFill patternType="solid">
          <fgColor indexed="64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charset val="1"/>
        <scheme val="none"/>
      </font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497D"/>
        <name val="Calibri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000000"/>
          <bgColor rgb="FFFFFFFF"/>
        </patternFill>
      </fill>
    </dxf>
    <dxf>
      <border outline="0">
        <bottom style="thin">
          <color rgb="FF8EA9DB"/>
        </bottom>
      </border>
    </dxf>
    <dxf>
      <border outline="0"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border outline="0">
        <bottom style="thin">
          <color rgb="FF8EA9DB"/>
        </bottom>
      </border>
    </dxf>
    <dxf>
      <numFmt numFmtId="0" formatCode="General"/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mbria"/>
        <family val="2"/>
        <scheme val="none"/>
      </font>
      <fill>
        <patternFill patternType="solid">
          <fgColor indexed="64"/>
          <bgColor rgb="FF0070C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family val="2"/>
        <charset val="1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8EA9DB"/>
        </top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family val="2"/>
        <charset val="1"/>
        <scheme val="none"/>
      </font>
      <alignment horizontal="general" vertical="bottom" textRotation="0" wrapText="1" indent="0" justifyLastLine="0" shrinkToFit="0" readingOrder="0"/>
    </dxf>
    <dxf>
      <border outline="0"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/>
        <vertical/>
        <horizontal/>
      </border>
    </dxf>
    <dxf>
      <border outline="0"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/>
        <vertical/>
        <horizontal/>
      </border>
    </dxf>
    <dxf>
      <border outline="0"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/>
        <vertical/>
        <horizontal/>
      </border>
    </dxf>
    <dxf>
      <border outline="0"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9E1F2"/>
          <bgColor rgb="FFD9E1F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border outline="0">
        <bottom style="thin">
          <color rgb="FF8EA9DB"/>
        </bottom>
      </border>
    </dxf>
    <dxf>
      <border outline="0"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9E1F2"/>
          <bgColor rgb="FFD9E1F2"/>
        </patternFill>
      </fill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/>
        <vertical/>
        <horizontal/>
      </border>
    </dxf>
    <dxf>
      <border outline="0"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border outline="0">
        <top style="thin">
          <color rgb="FF8EA9DB"/>
        </top>
      </border>
    </dxf>
    <dxf>
      <border outline="0">
        <left style="thin">
          <color rgb="FF8EA9DB"/>
        </left>
        <right style="thin">
          <color rgb="FF8EA9DB"/>
        </right>
        <top style="thin">
          <color rgb="FF8EA9DB"/>
        </top>
        <bottom style="thin">
          <color rgb="FF8EA9DB"/>
        </bottom>
      </border>
    </dxf>
    <dxf>
      <border outline="0"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3"/>
        <name val="Cambria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border outline="0">
        <top style="thin">
          <color rgb="FF8EA9DB"/>
        </top>
        <bottom style="thin">
          <color rgb="FF8EA9DB"/>
        </bottom>
      </border>
    </dxf>
    <dxf>
      <border outline="0"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charset val="1"/>
        <scheme val="none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charset val="1"/>
        <scheme val="none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family val="2"/>
        <charset val="1"/>
        <scheme val="none"/>
      </font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family val="2"/>
        <charset val="1"/>
        <scheme val="none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charset val="1"/>
        <scheme val="none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charset val="1"/>
        <scheme val="none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family val="2"/>
        <charset val="1"/>
        <scheme val="none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family val="2"/>
        <charset val="1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family val="2"/>
        <charset val="1"/>
        <scheme val="none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family val="2"/>
        <charset val="1"/>
        <scheme val="none"/>
      </font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ill>
        <patternFill patternType="solid">
          <fgColor indexed="64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charset val="1"/>
        <scheme val="none"/>
      </font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497D"/>
        <name val="Calibri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000000"/>
          <bgColor rgb="FFFFFFFF"/>
        </patternFill>
      </fill>
    </dxf>
    <dxf>
      <border outline="0">
        <bottom style="thin">
          <color rgb="FF8EA9DB"/>
        </bottom>
      </border>
    </dxf>
    <dxf>
      <border outline="0"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border outline="0">
        <bottom style="thin">
          <color rgb="FF8EA9DB"/>
        </bottom>
      </border>
    </dxf>
    <dxf>
      <numFmt numFmtId="0" formatCode="General"/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mbria"/>
        <family val="2"/>
        <scheme val="none"/>
      </font>
      <fill>
        <patternFill patternType="solid">
          <fgColor indexed="64"/>
          <bgColor rgb="FF0070C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family val="2"/>
        <charset val="1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8EA9DB"/>
        </top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family val="2"/>
        <charset val="1"/>
        <scheme val="none"/>
      </font>
      <alignment horizontal="general" vertical="bottom" textRotation="0" wrapText="1" indent="0" justifyLastLine="0" shrinkToFit="0" readingOrder="0"/>
    </dxf>
    <dxf>
      <border outline="0"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/>
        <vertical/>
        <horizontal/>
      </border>
    </dxf>
    <dxf>
      <border outline="0"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/>
        <vertical/>
        <horizontal/>
      </border>
    </dxf>
    <dxf>
      <border outline="0"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/>
        <vertical/>
        <horizontal/>
      </border>
    </dxf>
    <dxf>
      <border outline="0"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9E1F2"/>
          <bgColor rgb="FFD9E1F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border outline="0">
        <bottom style="thin">
          <color rgb="FF8EA9DB"/>
        </bottom>
      </border>
    </dxf>
    <dxf>
      <border outline="0"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9E1F2"/>
          <bgColor rgb="FFD9E1F2"/>
        </patternFill>
      </fill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/>
        <vertical/>
        <horizontal/>
      </border>
    </dxf>
    <dxf>
      <border outline="0"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border outline="0">
        <top style="thin">
          <color rgb="FF8EA9DB"/>
        </top>
      </border>
    </dxf>
    <dxf>
      <border outline="0">
        <left style="thin">
          <color rgb="FF8EA9DB"/>
        </left>
        <right style="thin">
          <color rgb="FF8EA9DB"/>
        </right>
        <top style="thin">
          <color rgb="FF8EA9DB"/>
        </top>
        <bottom style="thin">
          <color rgb="FF8EA9DB"/>
        </bottom>
      </border>
    </dxf>
    <dxf>
      <border outline="0"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3"/>
        <name val="Cambria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border outline="0">
        <top style="thin">
          <color rgb="FF8EA9DB"/>
        </top>
        <bottom style="thin">
          <color rgb="FF8EA9DB"/>
        </bottom>
      </border>
    </dxf>
    <dxf>
      <border outline="0"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charset val="1"/>
        <scheme val="none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charset val="1"/>
        <scheme val="none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family val="2"/>
        <charset val="1"/>
        <scheme val="none"/>
      </font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family val="2"/>
        <charset val="1"/>
        <scheme val="none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charset val="1"/>
        <scheme val="none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charset val="1"/>
        <scheme val="none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family val="2"/>
        <charset val="1"/>
        <scheme val="none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family val="2"/>
        <charset val="1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family val="2"/>
        <charset val="1"/>
        <scheme val="none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family val="2"/>
        <charset val="1"/>
        <scheme val="none"/>
      </font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ill>
        <patternFill patternType="solid">
          <fgColor indexed="64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charset val="1"/>
        <scheme val="none"/>
      </font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497D"/>
        <name val="Calibri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000000"/>
          <bgColor rgb="FFFFFFFF"/>
        </patternFill>
      </fill>
    </dxf>
    <dxf>
      <border outline="0">
        <bottom style="thin">
          <color rgb="FF8EA9DB"/>
        </bottom>
      </border>
    </dxf>
    <dxf>
      <border outline="0"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border outline="0">
        <bottom style="thin">
          <color rgb="FF8EA9DB"/>
        </bottom>
      </border>
    </dxf>
    <dxf>
      <numFmt numFmtId="0" formatCode="General"/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mbria"/>
        <family val="2"/>
        <scheme val="none"/>
      </font>
      <fill>
        <patternFill patternType="solid">
          <fgColor indexed="64"/>
          <bgColor rgb="FF0070C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family val="2"/>
        <charset val="1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8EA9DB"/>
        </top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family val="2"/>
        <charset val="1"/>
        <scheme val="none"/>
      </font>
      <alignment horizontal="general" vertical="bottom" textRotation="0" wrapText="1" indent="0" justifyLastLine="0" shrinkToFit="0" readingOrder="0"/>
    </dxf>
    <dxf>
      <border outline="0"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/>
        <vertical/>
        <horizontal/>
      </border>
    </dxf>
    <dxf>
      <border outline="0"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/>
        <vertical/>
        <horizontal/>
      </border>
    </dxf>
    <dxf>
      <border outline="0"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/>
        <vertical/>
        <horizontal/>
      </border>
    </dxf>
    <dxf>
      <border outline="0"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9E1F2"/>
          <bgColor rgb="FFD9E1F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border outline="0">
        <bottom style="thin">
          <color rgb="FF8EA9DB"/>
        </bottom>
      </border>
    </dxf>
    <dxf>
      <border outline="0"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9E1F2"/>
          <bgColor rgb="FFD9E1F2"/>
        </patternFill>
      </fill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/>
        <vertical/>
        <horizontal/>
      </border>
    </dxf>
    <dxf>
      <border outline="0"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border outline="0">
        <top style="thin">
          <color rgb="FF8EA9DB"/>
        </top>
      </border>
    </dxf>
    <dxf>
      <border outline="0">
        <left style="thin">
          <color rgb="FF8EA9DB"/>
        </left>
        <right style="thin">
          <color rgb="FF8EA9DB"/>
        </right>
        <top style="thin">
          <color rgb="FF8EA9DB"/>
        </top>
        <bottom style="thin">
          <color rgb="FF8EA9DB"/>
        </bottom>
      </border>
    </dxf>
    <dxf>
      <border outline="0"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3"/>
        <name val="Cambria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border outline="0">
        <top style="thin">
          <color rgb="FF8EA9DB"/>
        </top>
        <bottom style="thin">
          <color rgb="FF8EA9DB"/>
        </bottom>
      </border>
    </dxf>
    <dxf>
      <border outline="0"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charset val="1"/>
        <scheme val="none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charset val="1"/>
        <scheme val="none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family val="2"/>
        <charset val="1"/>
        <scheme val="none"/>
      </font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family val="2"/>
        <charset val="1"/>
        <scheme val="none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charset val="1"/>
        <scheme val="none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charset val="1"/>
        <scheme val="none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family val="2"/>
        <charset val="1"/>
        <scheme val="none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family val="2"/>
        <charset val="1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family val="2"/>
        <charset val="1"/>
        <scheme val="none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family val="2"/>
        <charset val="1"/>
        <scheme val="none"/>
      </font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ill>
        <patternFill patternType="solid">
          <fgColor indexed="64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charset val="1"/>
        <scheme val="none"/>
      </font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497D"/>
        <name val="Calibri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mbria"/>
        <family val="2"/>
        <scheme val="none"/>
      </font>
      <fill>
        <patternFill patternType="solid">
          <fgColor indexed="64"/>
          <bgColor rgb="FF0070C0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8EA9DB"/>
        </bottom>
      </border>
    </dxf>
    <dxf>
      <border outline="0"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border outline="0"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family val="2"/>
        <charset val="1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8EA9DB"/>
        </top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family val="2"/>
        <charset val="1"/>
        <scheme val="none"/>
      </font>
      <alignment horizontal="general" vertical="bottom" textRotation="0" wrapText="1" indent="0" justifyLastLine="0" shrinkToFit="0" readingOrder="0"/>
    </dxf>
    <dxf>
      <border outline="0"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/>
        <vertical/>
        <horizontal/>
      </border>
    </dxf>
    <dxf>
      <border outline="0"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/>
        <vertical/>
        <horizontal/>
      </border>
    </dxf>
    <dxf>
      <border outline="0"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/>
        <vertical/>
        <horizontal/>
      </border>
    </dxf>
    <dxf>
      <border outline="0"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9E1F2"/>
          <bgColor rgb="FFD9E1F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border outline="0">
        <bottom style="thin">
          <color rgb="FF8EA9DB"/>
        </bottom>
      </border>
    </dxf>
    <dxf>
      <border outline="0"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9E1F2"/>
          <bgColor rgb="FFD9E1F2"/>
        </patternFill>
      </fill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/>
        <vertical/>
        <horizontal/>
      </border>
    </dxf>
    <dxf>
      <border outline="0"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border outline="0">
        <top style="thin">
          <color rgb="FF8EA9DB"/>
        </top>
      </border>
    </dxf>
    <dxf>
      <border outline="0">
        <left style="thin">
          <color rgb="FF8EA9DB"/>
        </left>
        <right style="thin">
          <color rgb="FF8EA9DB"/>
        </right>
        <top style="thin">
          <color rgb="FF8EA9DB"/>
        </top>
        <bottom style="thin">
          <color rgb="FF8EA9DB"/>
        </bottom>
      </border>
    </dxf>
    <dxf>
      <border outline="0"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3"/>
        <name val="Cambria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border outline="0">
        <top style="thin">
          <color rgb="FF8EA9DB"/>
        </top>
        <bottom style="thin">
          <color rgb="FF8EA9DB"/>
        </bottom>
      </border>
    </dxf>
    <dxf>
      <border outline="0"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charset val="1"/>
        <scheme val="none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charset val="1"/>
        <scheme val="none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family val="2"/>
        <charset val="1"/>
        <scheme val="none"/>
      </font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family val="2"/>
        <charset val="1"/>
        <scheme val="none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charset val="1"/>
        <scheme val="none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charset val="1"/>
        <scheme val="none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family val="2"/>
        <charset val="1"/>
        <scheme val="none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family val="2"/>
        <charset val="1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family val="2"/>
        <charset val="1"/>
        <scheme val="none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family val="2"/>
        <charset val="1"/>
        <scheme val="none"/>
      </font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ill>
        <patternFill patternType="solid">
          <fgColor indexed="64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charset val="1"/>
        <scheme val="none"/>
      </font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497D"/>
        <name val="Calibri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000000"/>
          <bgColor rgb="FFFFFFFF"/>
        </patternFill>
      </fill>
    </dxf>
    <dxf>
      <border outline="0">
        <bottom style="thin">
          <color rgb="FF8EA9DB"/>
        </bottom>
      </border>
    </dxf>
    <dxf>
      <border outline="0"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border outline="0">
        <bottom style="thin">
          <color rgb="FF8EA9DB"/>
        </bottom>
      </border>
    </dxf>
    <dxf>
      <numFmt numFmtId="0" formatCode="General"/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mbria"/>
        <family val="2"/>
        <scheme val="none"/>
      </font>
      <fill>
        <patternFill patternType="solid">
          <fgColor indexed="64"/>
          <bgColor rgb="FF0070C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family val="2"/>
        <charset val="1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8EA9DB"/>
        </top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family val="2"/>
        <charset val="1"/>
        <scheme val="none"/>
      </font>
      <alignment horizontal="general" vertical="bottom" textRotation="0" wrapText="1" indent="0" justifyLastLine="0" shrinkToFit="0" readingOrder="0"/>
    </dxf>
    <dxf>
      <border outline="0"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/>
        <vertical/>
        <horizontal/>
      </border>
    </dxf>
    <dxf>
      <border outline="0"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/>
        <vertical/>
        <horizontal/>
      </border>
    </dxf>
    <dxf>
      <border outline="0"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/>
        <vertical/>
        <horizontal/>
      </border>
    </dxf>
    <dxf>
      <border outline="0"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9E1F2"/>
          <bgColor rgb="FFD9E1F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border outline="0">
        <bottom style="thin">
          <color rgb="FF8EA9DB"/>
        </bottom>
      </border>
    </dxf>
    <dxf>
      <border outline="0"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9E1F2"/>
          <bgColor rgb="FFD9E1F2"/>
        </patternFill>
      </fill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/>
        <vertical/>
        <horizontal/>
      </border>
    </dxf>
    <dxf>
      <border outline="0"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border outline="0">
        <top style="thin">
          <color rgb="FF8EA9DB"/>
        </top>
      </border>
    </dxf>
    <dxf>
      <border outline="0">
        <left style="thin">
          <color rgb="FF8EA9DB"/>
        </left>
        <right style="thin">
          <color rgb="FF8EA9DB"/>
        </right>
        <top style="thin">
          <color rgb="FF8EA9DB"/>
        </top>
        <bottom style="thin">
          <color rgb="FF8EA9DB"/>
        </bottom>
      </border>
    </dxf>
    <dxf>
      <border outline="0"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3"/>
        <name val="Cambria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border outline="0">
        <top style="thin">
          <color rgb="FF8EA9DB"/>
        </top>
        <bottom style="thin">
          <color rgb="FF8EA9DB"/>
        </bottom>
      </border>
    </dxf>
    <dxf>
      <border outline="0"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charset val="1"/>
        <scheme val="none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charset val="1"/>
        <scheme val="none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family val="2"/>
        <charset val="1"/>
        <scheme val="none"/>
      </font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family val="2"/>
        <charset val="1"/>
        <scheme val="none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charset val="1"/>
        <scheme val="none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charset val="1"/>
        <scheme val="none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family val="2"/>
        <charset val="1"/>
        <scheme val="none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family val="2"/>
        <charset val="1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family val="2"/>
        <charset val="1"/>
        <scheme val="none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family val="2"/>
        <charset val="1"/>
        <scheme val="none"/>
      </font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ill>
        <patternFill patternType="solid">
          <fgColor indexed="64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charset val="1"/>
        <scheme val="none"/>
      </font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497D"/>
        <name val="Calibri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000000"/>
          <bgColor rgb="FFFFFFFF"/>
        </patternFill>
      </fill>
    </dxf>
    <dxf>
      <border outline="0">
        <bottom style="thin">
          <color rgb="FF8EA9DB"/>
        </bottom>
      </border>
    </dxf>
    <dxf>
      <border outline="0"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border outline="0">
        <bottom style="thin">
          <color rgb="FF8EA9DB"/>
        </bottom>
      </border>
    </dxf>
    <dxf>
      <numFmt numFmtId="0" formatCode="General"/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mbria"/>
        <family val="2"/>
        <scheme val="none"/>
      </font>
      <fill>
        <patternFill patternType="solid">
          <fgColor indexed="64"/>
          <bgColor rgb="FF0070C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family val="2"/>
        <charset val="1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8EA9DB"/>
        </top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family val="2"/>
        <charset val="1"/>
        <scheme val="none"/>
      </font>
      <alignment horizontal="general" vertical="bottom" textRotation="0" wrapText="1" indent="0" justifyLastLine="0" shrinkToFit="0" readingOrder="0"/>
    </dxf>
    <dxf>
      <border outline="0"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/>
        <vertical/>
        <horizontal/>
      </border>
    </dxf>
    <dxf>
      <border outline="0"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/>
        <vertical/>
        <horizontal/>
      </border>
    </dxf>
    <dxf>
      <border outline="0"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/>
        <vertical/>
        <horizontal/>
      </border>
    </dxf>
    <dxf>
      <border outline="0"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9E1F2"/>
          <bgColor rgb="FFD9E1F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border outline="0">
        <bottom style="thin">
          <color rgb="FF8EA9DB"/>
        </bottom>
      </border>
    </dxf>
    <dxf>
      <border outline="0"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9E1F2"/>
          <bgColor rgb="FFD9E1F2"/>
        </patternFill>
      </fill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/>
        <vertical/>
        <horizontal/>
      </border>
    </dxf>
    <dxf>
      <border outline="0"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border outline="0">
        <top style="thin">
          <color rgb="FF8EA9DB"/>
        </top>
      </border>
    </dxf>
    <dxf>
      <border outline="0">
        <left style="thin">
          <color rgb="FF8EA9DB"/>
        </left>
        <right style="thin">
          <color rgb="FF8EA9DB"/>
        </right>
        <top style="thin">
          <color rgb="FF8EA9DB"/>
        </top>
        <bottom style="thin">
          <color rgb="FF8EA9DB"/>
        </bottom>
      </border>
    </dxf>
    <dxf>
      <border outline="0"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3"/>
        <name val="Cambria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border outline="0">
        <top style="thin">
          <color rgb="FF8EA9DB"/>
        </top>
        <bottom style="thin">
          <color rgb="FF8EA9DB"/>
        </bottom>
      </border>
    </dxf>
    <dxf>
      <border outline="0"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charset val="1"/>
        <scheme val="none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charset val="1"/>
        <scheme val="none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family val="2"/>
        <charset val="1"/>
        <scheme val="none"/>
      </font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family val="2"/>
        <charset val="1"/>
        <scheme val="none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charset val="1"/>
        <scheme val="none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charset val="1"/>
        <scheme val="none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family val="2"/>
        <charset val="1"/>
        <scheme val="none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family val="2"/>
        <charset val="1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family val="2"/>
        <charset val="1"/>
        <scheme val="none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family val="2"/>
        <charset val="1"/>
        <scheme val="none"/>
      </font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ill>
        <patternFill patternType="solid">
          <fgColor indexed="64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charset val="1"/>
        <scheme val="none"/>
      </font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497D"/>
        <name val="Calibri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000000"/>
          <bgColor rgb="FFFFFFFF"/>
        </patternFill>
      </fill>
    </dxf>
    <dxf>
      <border outline="0">
        <bottom style="thin">
          <color rgb="FF8EA9DB"/>
        </bottom>
      </border>
    </dxf>
    <dxf>
      <border outline="0"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border outline="0">
        <bottom style="thin">
          <color rgb="FF8EA9DB"/>
        </bottom>
      </border>
    </dxf>
    <dxf>
      <numFmt numFmtId="0" formatCode="General"/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mbria"/>
        <family val="2"/>
        <scheme val="none"/>
      </font>
      <fill>
        <patternFill patternType="solid">
          <fgColor indexed="64"/>
          <bgColor rgb="FF0070C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family val="2"/>
        <charset val="1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8EA9DB"/>
        </top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family val="2"/>
        <charset val="1"/>
        <scheme val="none"/>
      </font>
      <alignment horizontal="general" vertical="bottom" textRotation="0" wrapText="1" indent="0" justifyLastLine="0" shrinkToFit="0" readingOrder="0"/>
    </dxf>
    <dxf>
      <border outline="0"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/>
        <vertical/>
        <horizontal/>
      </border>
    </dxf>
    <dxf>
      <border outline="0"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/>
        <vertical/>
        <horizontal/>
      </border>
    </dxf>
    <dxf>
      <border outline="0"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/>
        <vertical/>
        <horizontal/>
      </border>
    </dxf>
    <dxf>
      <border outline="0"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9E1F2"/>
          <bgColor rgb="FFD9E1F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border outline="0">
        <bottom style="thin">
          <color rgb="FF8EA9DB"/>
        </bottom>
      </border>
    </dxf>
    <dxf>
      <border outline="0"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9E1F2"/>
          <bgColor rgb="FFD9E1F2"/>
        </patternFill>
      </fill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/>
        <vertical/>
        <horizontal/>
      </border>
    </dxf>
    <dxf>
      <border outline="0"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border outline="0">
        <top style="thin">
          <color rgb="FF8EA9DB"/>
        </top>
      </border>
    </dxf>
    <dxf>
      <border outline="0">
        <left style="thin">
          <color rgb="FF8EA9DB"/>
        </left>
        <right style="thin">
          <color rgb="FF8EA9DB"/>
        </right>
        <top style="thin">
          <color rgb="FF8EA9DB"/>
        </top>
        <bottom style="thin">
          <color rgb="FF8EA9DB"/>
        </bottom>
      </border>
    </dxf>
    <dxf>
      <border outline="0"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3"/>
        <name val="Cambria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border outline="0">
        <top style="thin">
          <color rgb="FF8EA9DB"/>
        </top>
        <bottom style="thin">
          <color rgb="FF8EA9DB"/>
        </bottom>
      </border>
    </dxf>
    <dxf>
      <border outline="0"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charset val="1"/>
        <scheme val="none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charset val="1"/>
        <scheme val="none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family val="2"/>
        <charset val="1"/>
        <scheme val="none"/>
      </font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family val="2"/>
        <charset val="1"/>
        <scheme val="none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charset val="1"/>
        <scheme val="none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charset val="1"/>
        <scheme val="none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family val="2"/>
        <charset val="1"/>
        <scheme val="none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family val="2"/>
        <charset val="1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family val="2"/>
        <charset val="1"/>
        <scheme val="none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family val="2"/>
        <charset val="1"/>
        <scheme val="none"/>
      </font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ill>
        <patternFill patternType="solid">
          <fgColor indexed="64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charset val="1"/>
        <scheme val="none"/>
      </font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497D"/>
        <name val="Calibri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000000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YZEN%205\Downloads\SPCC%20Mantenimiento%20PlantaModificado.xlsx" TargetMode="External"/><Relationship Id="rId1" Type="http://schemas.openxmlformats.org/officeDocument/2006/relationships/externalLinkPath" Target="file:///C:\Users\RYZEN%205\Downloads\SPCC%20Mantenimiento%20PlantaModificad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modificado"/>
      <sheetName val="SPCC Mantenimiento PlantaModifi"/>
    </sheetNames>
    <sheetDataSet>
      <sheetData sheetId="0"/>
      <sheetData sheetId="1">
        <row r="2">
          <cell r="O2" t="str">
            <v>3M 10955-LOGO</v>
          </cell>
        </row>
      </sheetData>
      <sheetData sheetId="2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3" xr:uid="{10FFCD7F-7D27-45FD-88E6-B53293941C1B}" name="Tabla758102145188274" displayName="Tabla758102145188274" ref="V1:W12" totalsRowShown="0" dataDxfId="986" tableBorderDxfId="985">
  <autoFilter ref="V1:W12" xr:uid="{9C601E76-6EC7-4996-8C5A-4EC2650D4D49}"/>
  <tableColumns count="2">
    <tableColumn id="1" xr3:uid="{DD1A2098-4668-4D84-8B96-971E0E12E39C}" name="ID" dataDxfId="984"/>
    <tableColumn id="2" xr3:uid="{104CC02F-8273-4118-BA88-D863BF6FD894}" name="Area" dataDxfId="98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4" xr:uid="{F5C4E529-98A3-4B57-9E2E-06A441197F76}" name="Tabla259103146189275" displayName="Tabla259103146189275" ref="Y1:Z4" totalsRowShown="0" headerRowDxfId="982" headerRowBorderDxfId="981" tableBorderDxfId="980" totalsRowBorderDxfId="979">
  <autoFilter ref="Y1:Z4" xr:uid="{8EA5E146-546E-4301-8341-E9A2182AF11B}"/>
  <tableColumns count="2">
    <tableColumn id="1" xr3:uid="{E8298DDF-5089-44AB-9F48-4B359284051A}" name="ID" dataDxfId="978"/>
    <tableColumn id="2" xr3:uid="{4294EF25-B3D8-4A6D-AED7-7202543E7CDF}" name="Estado" dataDxfId="97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5" xr:uid="{AA83DBF0-9370-4CC0-A30F-7F02FE94CD06}" name="Tabla360104147190276" displayName="Tabla360104147190276" ref="AB1:AC7" totalsRowShown="0" headerRowDxfId="976" headerRowBorderDxfId="975" tableBorderDxfId="974" totalsRowBorderDxfId="973">
  <autoFilter ref="AB1:AC7" xr:uid="{4313A204-2187-4F5D-B195-E9D8244B0B6A}"/>
  <tableColumns count="2">
    <tableColumn id="1" xr3:uid="{C3551A1C-50B8-4820-899C-C5FAF9F1726F}" name="ID" dataDxfId="972"/>
    <tableColumn id="2" xr3:uid="{5BD4D0C1-733C-44C1-ACAC-6554177C46D8}" name="Clasificación" dataDxfId="97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6" xr:uid="{20013944-6A41-40D1-BB66-5751696BBFD7}" name="Tabla461105148191277" displayName="Tabla461105148191277" ref="AB9:AB12" totalsRowShown="0" headerRowDxfId="970" headerRowBorderDxfId="969" tableBorderDxfId="968" totalsRowBorderDxfId="967">
  <autoFilter ref="AB9:AB12" xr:uid="{4FA69CD1-8D3C-4F41-B69E-D64790738288}"/>
  <tableColumns count="1">
    <tableColumn id="1" xr3:uid="{28055357-0E4C-4C3D-B5DB-CD1FB7FFF446}" name="Frecuencia de uso" dataDxfId="96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7" xr:uid="{BB14DBA6-EF72-45A8-B1C1-5CDB30D373DC}" name="Herramientas_eléctricas1862106149192278" displayName="Herramientas_eléctricas1862106149192278" ref="AF1:AF21" totalsRowShown="0" headerRowDxfId="965" headerRowBorderDxfId="964" tableBorderDxfId="963">
  <autoFilter ref="AF1:AF21" xr:uid="{9A901B8B-4001-4C56-97C1-F800FB168E81}"/>
  <tableColumns count="1">
    <tableColumn id="1" xr3:uid="{F0A4EE37-09A1-4517-AB8E-D45489E6B128}" name="Herramientas_eléctrica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8" xr:uid="{5119ABBC-AEE8-41FF-A30A-B1E0429AEADD}" name="Herramientas_neumáticas1963107150193279" displayName="Herramientas_neumáticas1963107150193279" ref="AG1:AG6" totalsRowShown="0" headerRowDxfId="962" headerRowBorderDxfId="961" tableBorderDxfId="960">
  <autoFilter ref="AG1:AG6" xr:uid="{DDFD7ABB-9233-49B8-8E7D-0C4E4E73668B}"/>
  <tableColumns count="1">
    <tableColumn id="1" xr3:uid="{92B11C6E-FB64-4151-9C40-1ED807AB6247}" name="Herramientas_neumática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9" xr:uid="{9116DC27-78EB-4790-AB4B-78DC45B07974}" name="Herramientas_de_medición2064108151194280" displayName="Herramientas_de_medición2064108151194280" ref="AH1:AH16" totalsRowShown="0" headerRowDxfId="959" headerRowBorderDxfId="958" tableBorderDxfId="957">
  <autoFilter ref="AH1:AH16" xr:uid="{A1A99238-FF6A-4B46-95FE-F6F59C0A59FF}"/>
  <tableColumns count="1">
    <tableColumn id="1" xr3:uid="{F7E0EAB1-B877-4B6B-985C-F8BF7AB9F65B}" name="Herramientas_de_medición" dataDxfId="956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0" xr:uid="{FD8ABDE1-6293-4E7D-8712-8839E3DFF069}" name="Herrramientas_mecánicas2165109152195281" displayName="Herrramientas_mecánicas2165109152195281" ref="AI1:AI21" totalsRowShown="0" headerRowDxfId="955" headerRowBorderDxfId="954" tableBorderDxfId="953">
  <autoFilter ref="AI1:AI21" xr:uid="{82699701-A4C7-4A41-A40B-8F87727B2FCD}"/>
  <tableColumns count="1">
    <tableColumn id="1" xr3:uid="{F6B2DEF4-F98C-4F5C-B640-6893C55B0470}" name="Herramientas_mecánica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1" xr:uid="{72F3A0F2-EF49-49E2-A56F-7AA27C22CE20}" name="Herramientas_hidráulicas2266110153196282" displayName="Herramientas_hidráulicas2266110153196282" ref="AJ1:AJ9" totalsRowShown="0" headerRowDxfId="952" dataDxfId="950" headerRowBorderDxfId="951" tableBorderDxfId="949">
  <autoFilter ref="AJ1:AJ9" xr:uid="{5C7C5014-0DFD-4140-8DC3-6AF6EDF169E4}"/>
  <tableColumns count="1">
    <tableColumn id="1" xr3:uid="{1BE57793-C78C-4D1A-B81A-6BD4B413ADA0}" name="Herramientas_hidráulicas" dataDxfId="948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2" xr:uid="{31246633-6296-4A00-AC3F-0A3178736A1C}" name="EPP_2367111154197283" displayName="EPP_2367111154197283" ref="AK1:AK6" totalsRowShown="0" headerRowDxfId="947" headerRowBorderDxfId="946" tableBorderDxfId="945">
  <autoFilter ref="AK1:AK6" xr:uid="{6ED4F867-D028-4151-85A1-2598FAD98928}"/>
  <tableColumns count="1">
    <tableColumn id="1" xr3:uid="{2FFBB613-B1E0-4303-8FDA-341FDB1D1E65}" name="SPCC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3" xr:uid="{3E7803FE-9B90-4F82-8138-583B9A90388E}" name="Herramientas_de_izaje2468112155198284" displayName="Herramientas_de_izaje2468112155198284" ref="AL1:AL6" totalsRowShown="0" headerRowDxfId="944" headerRowBorderDxfId="943" tableBorderDxfId="942">
  <autoFilter ref="AL1:AL6" xr:uid="{0DE75960-5B93-46A7-AAE6-BC581FFF1354}"/>
  <tableColumns count="1">
    <tableColumn id="1" xr3:uid="{C42E62A4-FE6C-4E6F-8CF1-22CC1EF73DC6}" name="Herramientas_de_izaj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4" xr:uid="{B6E317D8-7941-4475-AC84-8A020F223937}" name="Tabla152569113156199285" displayName="Tabla152569113156199285" ref="AM1:AM2" totalsRowShown="0" headerRowDxfId="941" dataDxfId="939" headerRowBorderDxfId="940" tableBorderDxfId="938">
  <autoFilter ref="AM1:AM2" xr:uid="{7CDF3488-ADF8-42BB-8EFE-46E3A509430E}"/>
  <tableColumns count="1">
    <tableColumn id="1" xr3:uid="{DC952D3A-780C-4DFF-B821-D7DE6D08D66E}" name="Otros" dataDxfId="937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5" xr:uid="{E6CCEDF9-CF59-406A-BC3F-B3FFE4FC3A72}" name="Tabla162670114157200286" displayName="Tabla162670114157200286" ref="AN1:AN6" totalsRowShown="0">
  <autoFilter ref="AN1:AN6" xr:uid="{BA84FDFB-CFCF-49B5-A4A0-7E55EE0C8343}"/>
  <tableColumns count="1">
    <tableColumn id="1" xr3:uid="{C1668E6B-6C2C-43B3-942D-14F12F68533F}" name="Equipos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6" xr:uid="{D9F71F24-F937-4BE9-AF37-DF232F53CB28}" name="Tabla571115158201287" displayName="Tabla571115158201287" ref="AF33:AG35" totalsRowShown="0" tableBorderDxfId="936">
  <autoFilter ref="AF33:AG35" xr:uid="{CF2FEFF5-0ED4-40EF-A2CA-B8658D653CBB}"/>
  <tableColumns count="2">
    <tableColumn id="1" xr3:uid="{B0D728D0-977B-42BE-A860-2B6958FAA388}" name="Calentador"/>
    <tableColumn id="2" xr3:uid="{185AEFB8-A50B-4797-9B67-EEEE2D84216F}" name="Bomba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7" xr:uid="{CF69CDD3-D68E-4DC6-BC26-3D038F80887F}" name="Tabla1772116159202288" displayName="Tabla1772116159202288" ref="AF38:AF40" totalsRowShown="0" headerRowDxfId="935" headerRowBorderDxfId="934" tableBorderDxfId="933">
  <autoFilter ref="AF38:AF40" xr:uid="{830EF362-0156-4A25-9CC5-538DDBFCF308}"/>
  <tableColumns count="1">
    <tableColumn id="1" xr3:uid="{8A782E23-F9E0-44C8-92DD-67A0C3AC7632}" name="Martillo 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8" xr:uid="{A6265930-D5ED-4614-9FC4-08C8C8E1AAB9}" name="Tabla1873117160203289" displayName="Tabla1873117160203289" ref="AH29:AH31" totalsRowShown="0" dataDxfId="932">
  <autoFilter ref="AH29:AH31" xr:uid="{D9204BB2-CBF2-43D1-8CAA-9AC826A37056}"/>
  <tableColumns count="1">
    <tableColumn id="1" xr3:uid="{0FA8E357-BBB8-4BDC-B3E1-0352F9D2D754}" name="Nivel" dataDxfId="931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9" xr:uid="{4E6CFD80-353B-4B6E-973D-74AD8F04E374}" name="Tabla1974118161204290" displayName="Tabla1974118161204290" ref="AF42:AF45" totalsRowShown="0" headerRowDxfId="930" headerRowBorderDxfId="929" tableBorderDxfId="928" totalsRowBorderDxfId="927">
  <autoFilter ref="AF42:AF45" xr:uid="{751CC4DE-0F10-45F1-BAA4-31688AE830B1}"/>
  <tableColumns count="1">
    <tableColumn id="1" xr3:uid="{F7C291EE-08E7-4EAA-AB55-6F35A23ABB05}" name="Impactor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0" xr:uid="{07D5D87F-942B-46E7-AA6B-765E52B56D1A}" name="Tabla2075119162205291" displayName="Tabla2075119162205291" ref="AF47:AF50" totalsRowShown="0">
  <autoFilter ref="AF47:AF50" xr:uid="{A14E2475-26A8-4E9D-8E77-6DD3075B12E9}"/>
  <tableColumns count="1">
    <tableColumn id="1" xr3:uid="{E220850A-BCAC-4B3B-B531-2A9905A0C810}" name="Extractor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1" xr:uid="{7906CF0B-4AD0-4947-81C5-F93399B4E120}" name="Tabla2176120163206292" displayName="Tabla2176120163206292" ref="AF52:AF53" totalsRowShown="0" dataDxfId="926" tableBorderDxfId="925">
  <autoFilter ref="AF52:AF53" xr:uid="{FB135CB6-85B5-46C8-99B8-45176F814696}"/>
  <tableColumns count="1">
    <tableColumn id="1" xr3:uid="{7F5EE634-4EB1-4593-8D05-000F1CE2C0AB}" name="Esmeril" dataDxfId="924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2" xr:uid="{8AD1AC4A-5561-4975-823C-51C8F0E40000}" name="Tabla2277121164207293" displayName="Tabla2277121164207293" ref="AH56:AH58" totalsRowShown="0">
  <autoFilter ref="AH56:AH58" xr:uid="{3AB821FA-FFC5-4307-AC30-B52EA5139269}"/>
  <tableColumns count="1">
    <tableColumn id="1" xr3:uid="{4EB29510-0EEC-46C9-9869-2ECA4DB52855}" name="Manometro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3" xr:uid="{5C874C88-AEA1-4D35-B4E1-EFADD2596F92}" name="Tabla2378122165208294" displayName="Tabla2378122165208294" ref="AH33:AH36" totalsRowShown="0" headerRowDxfId="923" tableBorderDxfId="922">
  <autoFilter ref="AH33:AH36" xr:uid="{16F850A9-F3B2-41CD-A0AE-53D6CE1A75ED}"/>
  <tableColumns count="1">
    <tableColumn id="1" xr3:uid="{A2979D5E-3709-4747-AAE1-A54D9FB468B4}" name="Medidor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4" xr:uid="{950DD923-B2A1-4DDE-A0B9-36F33C2C7E22}" name="Tabla2479123166209295" displayName="Tabla2479123166209295" ref="AH38:AH39" totalsRowShown="0" dataDxfId="921" tableBorderDxfId="920">
  <autoFilter ref="AH38:AH39" xr:uid="{1889A6F9-230B-4AFF-867D-3DF6472821F5}"/>
  <tableColumns count="1">
    <tableColumn id="1" xr3:uid="{596CFCAE-18C2-4B55-A0DB-827824508E15}" name="Camara termografica" dataDxfId="919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5" xr:uid="{7BD76F5A-60C8-4256-97A6-DDE6F797AAEB}" name="Tabla2580124167210296" displayName="Tabla2580124167210296" ref="AI33:AI40" totalsRowShown="0">
  <autoFilter ref="AI33:AI40" xr:uid="{A0DED689-2510-4BE0-B85F-FD1D7D88DFA4}"/>
  <tableColumns count="1">
    <tableColumn id="1" xr3:uid="{6136028E-EFC1-4E87-B4F2-1A849B101378}" name="Llaves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6" xr:uid="{D2F02206-778B-441C-B31F-E566418B5213}" name="Tabla2681125168211297" displayName="Tabla2681125168211297" ref="AH41:AH45" totalsRowShown="0" tableBorderDxfId="918">
  <autoFilter ref="AH41:AH45" xr:uid="{8ED6E545-64E7-44D4-B8A8-CB23D42265C0}"/>
  <tableColumns count="1">
    <tableColumn id="1" xr3:uid="{248BA581-9EC2-42B6-95F7-ABA4E4BCCFE2}" name="Calibrador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7" xr:uid="{7365496A-76C4-4EE8-9B5C-1F988A683DCF}" name="Tabla2882126169212298" displayName="Tabla2882126169212298" ref="AH48:AH51" totalsRowShown="0">
  <autoFilter ref="AH48:AH51" xr:uid="{9EF16892-84A3-4412-9559-E3ECBCBE8FAD}"/>
  <tableColumns count="1">
    <tableColumn id="1" xr3:uid="{38043971-69FF-4E08-99C3-17B388A09216}" name="Micrómetro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8" xr:uid="{9E5771E4-4A0A-45F4-8CE8-117408BC7EF6}" name="Tabla2983127170213299" displayName="Tabla2983127170213299" ref="AI67:AI69" totalsRowShown="0" tableBorderDxfId="917">
  <autoFilter ref="AI67:AI69" xr:uid="{2312EFE8-ED6F-40CE-936E-92708A2A3E11}"/>
  <tableColumns count="1">
    <tableColumn id="1" xr3:uid="{350FDF08-2E80-49FC-8B5A-FF86BCB83F9D}" name="Alicates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9" xr:uid="{9C93682B-DDEA-4987-B987-BCF11B228DE3}" name="Tabla3084128171214300" displayName="Tabla3084128171214300" ref="AI50:AI59" totalsRowShown="0" dataDxfId="916" tableBorderDxfId="915">
  <autoFilter ref="AI50:AI59" xr:uid="{3B268A63-E4A5-4D1B-B445-E13631B6E887}"/>
  <tableColumns count="1">
    <tableColumn id="1" xr3:uid="{FC78F205-786C-42BE-90E0-71A8A14AC60D}" name="Dados" dataDxfId="914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0" xr:uid="{9B69422A-20F2-4FEF-9504-81ADE37D70EC}" name="Tabla3285129172215301" displayName="Tabla3285129172215301" ref="AI43:AI44" totalsRowShown="0" dataDxfId="913" tableBorderDxfId="912">
  <autoFilter ref="AI43:AI44" xr:uid="{005ABD67-F7E0-47FD-8970-322FEA5BBC4C}"/>
  <tableColumns count="1">
    <tableColumn id="1" xr3:uid="{75948269-0F6F-4F95-8911-ED197C90549D}" name="Tijera" dataDxfId="911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1" xr:uid="{BE6D0405-EFE9-4362-8106-B69B0191D290}" name="Tabla3386130173216302" displayName="Tabla3386130173216302" ref="AH63:AH64" totalsRowShown="0" dataDxfId="910" tableBorderDxfId="909">
  <autoFilter ref="AH63:AH64" xr:uid="{7D457BB0-C389-4126-BC6E-CB6D91AFE2A6}"/>
  <tableColumns count="1">
    <tableColumn id="1" xr3:uid="{2467AEC4-A880-4196-9694-67B7A401357F}" name="Estetoscopio" dataDxfId="908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2" xr:uid="{F0268086-70BC-488B-97F3-80C1CFDDD1FE}" name="Tabla3487131174217303" displayName="Tabla3487131174217303" ref="AI47:AI48" totalsRowShown="0" dataDxfId="907" tableBorderDxfId="906">
  <autoFilter ref="AI47:AI48" xr:uid="{EC300733-E688-43CB-A693-F1E2F80F6495}"/>
  <tableColumns count="1">
    <tableColumn id="1" xr3:uid="{C60EFCA0-7F0E-4436-AA23-4A6F48A18061}" name="Alargador" dataDxfId="905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3" xr:uid="{B53D83E0-F3DE-4CF7-8F0A-4269B9367EB3}" name="Tabla3588132175218304" displayName="Tabla3588132175218304" ref="AH60:AH61" totalsRowShown="0" dataDxfId="904" tableBorderDxfId="903">
  <autoFilter ref="AH60:AH61" xr:uid="{B42C8F8F-E6AD-4FF3-9580-F9F4B996FF6F}"/>
  <tableColumns count="1">
    <tableColumn id="1" xr3:uid="{0DF425DB-CCF5-49A4-BBE4-D389AA372DBD}" name="Torquimetro" dataDxfId="902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4" xr:uid="{2F6B8C91-4503-43C9-A12E-E73BA40CA0EE}" name="Tabla3789133176219305" displayName="Tabla3789133176219305" ref="AJ29:AJ30" totalsRowShown="0" headerRowDxfId="901" dataDxfId="899" headerRowBorderDxfId="900" tableBorderDxfId="898" totalsRowBorderDxfId="897">
  <autoFilter ref="AJ29:AJ30" xr:uid="{2886962D-17B4-4D37-AB1E-9FE27B267D99}"/>
  <tableColumns count="1">
    <tableColumn id="1" xr3:uid="{EDEDDCA3-E236-41C4-A540-066A069C5F90}" name="Llave " dataDxfId="896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5" xr:uid="{7F3DE86D-8F1D-4BE7-B334-38985DEFA45B}" name="Tabla3890134177220306" displayName="Tabla3890134177220306" ref="B1:T611" totalsRowShown="0" headerRowDxfId="895">
  <autoFilter ref="B1:T611" xr:uid="{58127080-A22D-466C-8BA0-CCF2E2227FD2}"/>
  <tableColumns count="19">
    <tableColumn id="1" xr3:uid="{757C9F04-EF30-4E2A-86CC-8D0BD0C63DD6}" name="Item">
      <calculatedColumnFormula>ROW()-1</calculatedColumnFormula>
    </tableColumn>
    <tableColumn id="2" xr3:uid="{B3F0E683-CACF-4753-8B19-C49A5F58197F}" name="Area" dataDxfId="894"/>
    <tableColumn id="3" xr3:uid="{93BE3FE0-A656-41DE-A866-A610D4D89EFE}" name="Cantidad"/>
    <tableColumn id="4" xr3:uid="{4914D54D-5F44-4F35-9D99-14DBCD05EBF0}" name="Clasificacion" dataDxfId="893"/>
    <tableColumn id="5" xr3:uid="{E4BEB269-9F5C-4028-BE48-04ED461ABD47}" name="Descripción del equipo"/>
    <tableColumn id="18" xr3:uid="{852FD1A4-E9E8-46CF-9A05-46C26261CAD3}" name="voltaje"/>
    <tableColumn id="19" xr3:uid="{E51A0AC4-647B-4DD3-B0DC-D58274D68E82}" name="amperaje"/>
    <tableColumn id="17" xr3:uid="{8A4C304A-CD6D-4B2D-ADDB-3402D2796C87}" name="RPMs"/>
    <tableColumn id="16" xr3:uid="{67DDE79E-DABD-4158-B0E2-B596D208E7DC}" name="Diametro de discos "/>
    <tableColumn id="6" xr3:uid="{D7700758-05A2-46B6-B4A4-0D5CAED24E23}" name="Marca" dataDxfId="892"/>
    <tableColumn id="7" xr3:uid="{7DB6787D-8199-41DF-8CC5-4169834C2E81}" name="Modelo" dataDxfId="891"/>
    <tableColumn id="8" xr3:uid="{6A9B29DF-E825-4565-B05B-B12CEAE0C706}" name="Cod. Antiguo"/>
    <tableColumn id="9" xr3:uid="{BCB32A85-5E8A-4348-A1AD-C7F55B2E781A}" name="Número de Serie"/>
    <tableColumn id="10" xr3:uid="{6DCE42B3-89B4-47D3-8C4E-70FAC01CF00A}" name="Cód. Nuevo Asig" dataDxfId="890">
      <calculatedColumnFormula>_xlfn.LET(
    _xlpm.itemBuscado, B2,
    _xlpm.areaBuscada, C2,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TEXT(COUNTIF($C$2:C2, _xlpm.areaBuscada), "0000"),
    _xlpm.codItem &amp; "-" &amp; _xlpm.codArea &amp; "-" &amp; _xlpm.secuencia
)</calculatedColumnFormula>
    </tableColumn>
    <tableColumn id="11" xr3:uid="{C1857F9A-E0B3-4C56-ACD3-0056EC7AF7B3}" name="Codigo de parte"/>
    <tableColumn id="12" xr3:uid="{49246B51-CD8F-4F50-AFCB-E3BAB0E81572}" name="Ubicación"/>
    <tableColumn id="13" xr3:uid="{F4BBCB51-0E5B-4866-BA6A-8DF612FD4D19}" name="Frecuencia de uso"/>
    <tableColumn id="14" xr3:uid="{32300A07-F7A6-47AB-8054-11EF7A4B09B8}" name="Estado"/>
    <tableColumn id="15" xr3:uid="{8AFEBFC2-D7B5-47D0-9859-DB4C08B1822F}" name="Observaciones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6" xr:uid="{B4E276A9-BB6C-4F62-8C05-2712A986A11E}" name="Tabla3991135178221307" displayName="Tabla3991135178221307" ref="AI29:AI30" totalsRowShown="0">
  <autoFilter ref="AI29:AI30" xr:uid="{1C0F20AA-1469-4335-A289-55F2E420509F}"/>
  <tableColumns count="1">
    <tableColumn id="1" xr3:uid="{161F1A65-4D17-4046-8955-6D73573A3899}" name="Multiplicador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7" xr:uid="{82DBA7D2-D3B9-4077-B976-1467721D9814}" name="Tabla4092136179222308" displayName="Tabla4092136179222308" ref="AF29:AG31" totalsRowShown="0" tableBorderDxfId="889">
  <autoFilter ref="AF29:AG31" xr:uid="{2E7F26C8-B310-438B-BD08-8C0BC82B7627}"/>
  <tableColumns count="2">
    <tableColumn id="1" xr3:uid="{B8A7ECDC-C99B-44D7-B2F9-A59FA5DCE98A}" name="Soldadoras"/>
    <tableColumn id="2" xr3:uid="{8917FD97-E351-4BB7-A20E-AD35A0AF63CD}" name="Martillo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8" xr:uid="{0C160707-6E5F-41F0-9E9A-24AC26F7CE44}" name="Tabla4293137180223309" displayName="Tabla4293137180223309" ref="AF58:AF59" totalsRowShown="0">
  <autoFilter ref="AF58:AF59" xr:uid="{BDB2A400-1F11-4F53-807B-27202876BE6C}"/>
  <tableColumns count="1">
    <tableColumn id="1" xr3:uid="{5CD78EEF-6AA7-408E-917B-1D5880048176}" name="Amoladora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9" xr:uid="{2AC6B4D8-3294-4C22-8596-513C017FBB67}" name="Tabla4394138181224310" displayName="Tabla4394138181224310" ref="AF62:AF64" totalsRowShown="0" dataDxfId="888" tableBorderDxfId="887">
  <autoFilter ref="AF62:AF64" xr:uid="{931F2BE3-67FF-44D5-B415-148F761F93A6}"/>
  <tableColumns count="1">
    <tableColumn id="1" xr3:uid="{022BC337-83EF-4B4C-83E5-C494616D9067}" name="Iluminación" dataDxfId="886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0" xr:uid="{4AEDBBA4-AD1E-4565-9FC5-29A83A425572}" name="Tabla4495139182225311" displayName="Tabla4495139182225311" ref="AL29:AL30" totalsRowShown="0">
  <autoFilter ref="AL29:AL30" xr:uid="{9781A61A-AC29-41AE-98F6-916225D99E1D}"/>
  <tableColumns count="1">
    <tableColumn id="1" xr3:uid="{3FF5746C-D38B-4900-BEBF-49624CF8D7A3}" name="Tecle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1" xr:uid="{F9CB3B07-5CFA-485F-B597-6F064A109A39}" name="Tabla4596140183226312" displayName="Tabla4596140183226312" ref="AF66:AF68" totalsRowShown="0">
  <autoFilter ref="AF66:AF68" xr:uid="{883961C8-D276-4BAE-B81D-192750F3D2CC}"/>
  <tableColumns count="1">
    <tableColumn id="1" xr3:uid="{6883D3BB-417B-4AD5-B19B-B1429498FFDC}" name="Lubricador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2" xr:uid="{ABDF6DE8-6E0F-4718-8E01-EBAC7B17A4A8}" name="Tabla4697141184227313" displayName="Tabla4697141184227313" ref="AI61:AI62" totalsRowShown="0">
  <autoFilter ref="AI61:AI62" xr:uid="{F9F816C6-2BEF-46FF-915F-BE5B9C6045E2}"/>
  <tableColumns count="1">
    <tableColumn id="1" xr3:uid="{6C8F00D3-8D0C-4CDF-B058-DE7CEE22F9B1}" name="Combos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3" xr:uid="{82A2B497-1A90-4C5E-8A31-46E5D7CA70B7}" name="Tabla4798142185228314" displayName="Tabla4798142185228314" ref="AI64:AI65" totalsRowShown="0">
  <autoFilter ref="AI64:AI65" xr:uid="{D0087047-FAAD-47F1-8107-9751D313CB07}"/>
  <tableColumns count="1">
    <tableColumn id="1" xr3:uid="{72887126-1551-4739-B577-5B2C39BA7AB5}" name="Mesa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4" xr:uid="{D7434E43-2657-423B-9D9C-3644ED41876A}" name="Tabla4899143186229315" displayName="Tabla4899143186229315" ref="AO29:AO31" totalsRowShown="0" tableBorderDxfId="885">
  <autoFilter ref="AO29:AO31" xr:uid="{98D206C1-A450-4754-81B2-030642ED939D}"/>
  <tableColumns count="1">
    <tableColumn id="1" xr3:uid="{3D0B6004-8EDC-4251-BB42-3D2ED27AFA5D}" name="Pinza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5" xr:uid="{0ED1C4D0-F29F-437C-9447-8630A33615A4}" name="Tabla4956100144187230316" displayName="Tabla4956100144187230316" ref="AO1:AO20" totalsRowShown="0" tableBorderDxfId="884">
  <autoFilter ref="AO1:AO20" xr:uid="{682A1042-040F-4BDC-814E-19EDB04144BA}"/>
  <tableColumns count="1">
    <tableColumn id="1" xr3:uid="{AD9C0F7A-AFBA-4FF3-A394-6D9DACBA8621}" name="Accesorios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92D7C5A6-F2D5-4BF7-9174-590C9840669F}" name="Tabla758102145188" displayName="Tabla758102145188" ref="T1:U15" totalsRowShown="0" dataDxfId="883" tableBorderDxfId="882">
  <autoFilter ref="T1:U15" xr:uid="{9C601E76-6EC7-4996-8C5A-4EC2650D4D49}"/>
  <tableColumns count="2">
    <tableColumn id="1" xr3:uid="{C35A5FDF-4299-4862-BDE7-00A98AC1651F}" name="ID" dataDxfId="881"/>
    <tableColumn id="2" xr3:uid="{825D8C2B-982C-4D29-B176-6A8F5221EE12}" name="Area" dataDxfId="880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110ECA7C-BB80-4AEB-A6D6-FBD3C2138ED8}" name="Tabla259103146189" displayName="Tabla259103146189" ref="W1:X4" totalsRowShown="0" headerRowDxfId="879" headerRowBorderDxfId="878" tableBorderDxfId="877" totalsRowBorderDxfId="876">
  <autoFilter ref="W1:X4" xr:uid="{8EA5E146-546E-4301-8341-E9A2182AF11B}"/>
  <tableColumns count="2">
    <tableColumn id="1" xr3:uid="{DF65FC86-5833-493E-B129-E550655F9D3E}" name="ID" dataDxfId="875"/>
    <tableColumn id="2" xr3:uid="{A03C014B-4394-484C-974E-3BAF0C1927AE}" name="Estado" dataDxfId="874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03A6765C-E84A-4B83-AB75-C4C68A0C36EB}" name="Tabla360104147190" displayName="Tabla360104147190" ref="Z1:AA7" totalsRowShown="0" headerRowDxfId="873" headerRowBorderDxfId="872" tableBorderDxfId="871" totalsRowBorderDxfId="870">
  <autoFilter ref="Z1:AA7" xr:uid="{4313A204-2187-4F5D-B195-E9D8244B0B6A}"/>
  <tableColumns count="2">
    <tableColumn id="1" xr3:uid="{A9BC99CD-0948-4231-8F7C-FFF3A06C1851}" name="ID" dataDxfId="869"/>
    <tableColumn id="2" xr3:uid="{89C438B4-2354-4710-853F-8E3670A0A3F8}" name="Clasificación" dataDxfId="868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8C0043BD-C613-4871-A054-EC08B4D7EC5F}" name="Tabla461105148191" displayName="Tabla461105148191" ref="Z9:Z12" totalsRowShown="0" headerRowDxfId="867" headerRowBorderDxfId="866" tableBorderDxfId="865" totalsRowBorderDxfId="864">
  <autoFilter ref="Z9:Z12" xr:uid="{4FA69CD1-8D3C-4F41-B69E-D64790738288}"/>
  <tableColumns count="1">
    <tableColumn id="1" xr3:uid="{D13D17B3-EA36-4C56-8ACF-1D8D66FF87C6}" name="Frecuencia de uso" dataDxfId="863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7AE36720-4D20-4D75-8997-DC239F91CB39}" name="Herramientas_eléctricas1862106149192" displayName="Herramientas_eléctricas1862106149192" ref="AD1:AD21" totalsRowShown="0" headerRowDxfId="862" headerRowBorderDxfId="861" tableBorderDxfId="860">
  <autoFilter ref="AD1:AD21" xr:uid="{9A901B8B-4001-4C56-97C1-F800FB168E81}"/>
  <tableColumns count="1">
    <tableColumn id="1" xr3:uid="{D2E21A61-8632-439A-AD07-35106CC7CA9E}" name="Herramientas_eléctricas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65324EC9-8AFF-4D97-9568-124F2910DABD}" name="Herramientas_neumáticas1963107150193" displayName="Herramientas_neumáticas1963107150193" ref="AE1:AE6" totalsRowShown="0" headerRowDxfId="859" headerRowBorderDxfId="858" tableBorderDxfId="857">
  <autoFilter ref="AE1:AE6" xr:uid="{DDFD7ABB-9233-49B8-8E7D-0C4E4E73668B}"/>
  <tableColumns count="1">
    <tableColumn id="1" xr3:uid="{5D121130-9F9D-449B-93B3-9B8010470D1B}" name="Herramientas_neumáticas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85217E3E-0AE3-4FBC-B352-46B030DDF483}" name="Herramientas_de_medición2064108151194" displayName="Herramientas_de_medición2064108151194" ref="AF1:AF16" totalsRowShown="0" headerRowDxfId="856" headerRowBorderDxfId="855" tableBorderDxfId="854">
  <autoFilter ref="AF1:AF16" xr:uid="{A1A99238-FF6A-4B46-95FE-F6F59C0A59FF}"/>
  <tableColumns count="1">
    <tableColumn id="1" xr3:uid="{3D1D1920-FC90-49DD-818C-23EDB0EF0C69}" name="Herramientas_de_medición" dataDxfId="853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37AE2386-44E6-4E91-AB6F-68C530E09820}" name="Herrramientas_mecánicas2165109152195" displayName="Herrramientas_mecánicas2165109152195" ref="AG1:AG21" totalsRowShown="0" headerRowDxfId="852" headerRowBorderDxfId="851" tableBorderDxfId="850">
  <autoFilter ref="AG1:AG21" xr:uid="{82699701-A4C7-4A41-A40B-8F87727B2FCD}"/>
  <tableColumns count="1">
    <tableColumn id="1" xr3:uid="{B1633D36-33EF-4823-A189-7CDF002FCF70}" name="Herramientas_mecánicas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5" xr:uid="{A67C2161-E3D5-459C-99AA-107CDA95A27C}" name="Herramientas_hidráulicas2266110153196" displayName="Herramientas_hidráulicas2266110153196" ref="AH1:AH9" totalsRowShown="0" headerRowDxfId="849" dataDxfId="847" headerRowBorderDxfId="848" tableBorderDxfId="846">
  <autoFilter ref="AH1:AH9" xr:uid="{5C7C5014-0DFD-4140-8DC3-6AF6EDF169E4}"/>
  <tableColumns count="1">
    <tableColumn id="1" xr3:uid="{A5316E18-8141-4509-A2A1-1615B742744E}" name="Herramientas_hidráulicas" dataDxfId="845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6" xr:uid="{1587FF14-39E1-4B88-AFF6-31E06AD7D66E}" name="EPP_2367111154197" displayName="EPP_2367111154197" ref="AI1:AI6" totalsRowShown="0" headerRowDxfId="844" headerRowBorderDxfId="843" tableBorderDxfId="842">
  <autoFilter ref="AI1:AI6" xr:uid="{6ED4F867-D028-4151-85A1-2598FAD98928}"/>
  <tableColumns count="1">
    <tableColumn id="1" xr3:uid="{731E96FF-AF59-4D22-9D27-01D24ECC7365}" name="SPCC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7" xr:uid="{F07EC0D6-5C4C-4C75-8EA2-4C2254393277}" name="Herramientas_de_izaje2468112155198" displayName="Herramientas_de_izaje2468112155198" ref="AJ1:AJ6" totalsRowShown="0" headerRowDxfId="841" headerRowBorderDxfId="840" tableBorderDxfId="839">
  <autoFilter ref="AJ1:AJ6" xr:uid="{0DE75960-5B93-46A7-AAE6-BC581FFF1354}"/>
  <tableColumns count="1">
    <tableColumn id="1" xr3:uid="{337AD63D-9472-4E4D-9D9B-3FAABABB9922}" name="Herramientas_de_izaje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8" xr:uid="{9504BF53-7B15-49BF-83A9-33537C74BEB5}" name="Tabla152569113156199" displayName="Tabla152569113156199" ref="AK1:AK2" totalsRowShown="0" headerRowDxfId="838" dataDxfId="836" headerRowBorderDxfId="837" tableBorderDxfId="835">
  <autoFilter ref="AK1:AK2" xr:uid="{7CDF3488-ADF8-42BB-8EFE-46E3A509430E}"/>
  <tableColumns count="1">
    <tableColumn id="1" xr3:uid="{6FB6006D-7E85-414F-BD2D-184A2F14A077}" name="Otros" dataDxfId="834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9" xr:uid="{7B0F322B-E49B-4649-9150-2B166752ED99}" name="Tabla162670114157200" displayName="Tabla162670114157200" ref="AL1:AL6" totalsRowShown="0">
  <autoFilter ref="AL1:AL6" xr:uid="{BA84FDFB-CFCF-49B5-A4A0-7E55EE0C8343}"/>
  <tableColumns count="1">
    <tableColumn id="1" xr3:uid="{261F98FC-DDBA-44EE-B02B-DA740F4F88CB}" name="Equipos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0" xr:uid="{3A2C68D5-1D96-47D2-BC09-942F851A110E}" name="Tabla571115158201" displayName="Tabla571115158201" ref="AD33:AE35" totalsRowShown="0" tableBorderDxfId="833">
  <autoFilter ref="AD33:AE35" xr:uid="{CF2FEFF5-0ED4-40EF-A2CA-B8658D653CBB}"/>
  <tableColumns count="2">
    <tableColumn id="1" xr3:uid="{1D9E92AD-9370-42F9-8915-AA93E658A9B0}" name="Calentador"/>
    <tableColumn id="2" xr3:uid="{7849B8E8-A462-48CF-8995-A6D688BD8DEA}" name="Bomba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1" xr:uid="{71BA5E3E-0BE0-45B5-BF72-99EA4AED1112}" name="Tabla1772116159202" displayName="Tabla1772116159202" ref="AD38:AD40" totalsRowShown="0" headerRowDxfId="832" headerRowBorderDxfId="831" tableBorderDxfId="830">
  <autoFilter ref="AD38:AD40" xr:uid="{830EF362-0156-4A25-9CC5-538DDBFCF308}"/>
  <tableColumns count="1">
    <tableColumn id="1" xr3:uid="{236D2849-0DCA-4A16-8641-A6D9FE3DBF52}" name="Martillo 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2" xr:uid="{298EC68A-8195-4C85-8CA0-339E0E6B3930}" name="Tabla1873117160203" displayName="Tabla1873117160203" ref="AF29:AF31" totalsRowShown="0" dataDxfId="829">
  <autoFilter ref="AF29:AF31" xr:uid="{D9204BB2-CBF2-43D1-8CAA-9AC826A37056}"/>
  <tableColumns count="1">
    <tableColumn id="1" xr3:uid="{3507FAFA-E224-4F00-A581-4E1D46DD077E}" name="Nivel" dataDxfId="828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3" xr:uid="{D8643201-75E8-4FAB-9FCF-187D1FAD357E}" name="Tabla1974118161204" displayName="Tabla1974118161204" ref="AD42:AD45" totalsRowShown="0" headerRowDxfId="827" headerRowBorderDxfId="826" tableBorderDxfId="825" totalsRowBorderDxfId="824">
  <autoFilter ref="AD42:AD45" xr:uid="{751CC4DE-0F10-45F1-BAA4-31688AE830B1}"/>
  <tableColumns count="1">
    <tableColumn id="1" xr3:uid="{49A0A6C1-198F-4145-A82A-06FFAD684CC6}" name="Impactor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4" xr:uid="{DD2215CA-0FE0-4A0E-94F7-E4E593E5542D}" name="Tabla2075119162205" displayName="Tabla2075119162205" ref="AD47:AD50" totalsRowShown="0">
  <autoFilter ref="AD47:AD50" xr:uid="{A14E2475-26A8-4E9D-8E77-6DD3075B12E9}"/>
  <tableColumns count="1">
    <tableColumn id="1" xr3:uid="{3D7F224C-15C5-4514-BAFC-5D29E736E9BF}" name="Extractor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5" xr:uid="{86348383-1309-4D9F-BF51-325BE5EA021C}" name="Tabla2176120163206" displayName="Tabla2176120163206" ref="AD52:AD53" totalsRowShown="0" dataDxfId="823" tableBorderDxfId="822">
  <autoFilter ref="AD52:AD53" xr:uid="{FB135CB6-85B5-46C8-99B8-45176F814696}"/>
  <tableColumns count="1">
    <tableColumn id="1" xr3:uid="{7C09FA8F-CEDB-4D45-A918-0EFC498328C2}" name="Esmeril" dataDxfId="821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6" xr:uid="{A4E6B82C-AE08-4D7C-A2F0-541F8399C3A3}" name="Tabla2277121164207" displayName="Tabla2277121164207" ref="AF56:AF58" totalsRowShown="0">
  <autoFilter ref="AF56:AF58" xr:uid="{3AB821FA-FFC5-4307-AC30-B52EA5139269}"/>
  <tableColumns count="1">
    <tableColumn id="1" xr3:uid="{952B5EC9-F40B-4072-8F04-8E7065785A71}" name="Manometro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7" xr:uid="{EE1A09C6-01AC-4AFF-A586-1DD0691A37F5}" name="Tabla2378122165208" displayName="Tabla2378122165208" ref="AF33:AF36" totalsRowShown="0" headerRowDxfId="820" tableBorderDxfId="819">
  <autoFilter ref="AF33:AF36" xr:uid="{16F850A9-F3B2-41CD-A0AE-53D6CE1A75ED}"/>
  <tableColumns count="1">
    <tableColumn id="1" xr3:uid="{2A05523F-4C44-44A0-A3B8-4ED04DD74599}" name="Medidor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8" xr:uid="{EFDF2396-C5B4-4D9C-8BB0-1823208C37DD}" name="Tabla2479123166209" displayName="Tabla2479123166209" ref="AF38:AF39" totalsRowShown="0" dataDxfId="818" tableBorderDxfId="817">
  <autoFilter ref="AF38:AF39" xr:uid="{1889A6F9-230B-4AFF-867D-3DF6472821F5}"/>
  <tableColumns count="1">
    <tableColumn id="1" xr3:uid="{9CF45B09-52E6-4AB3-BAE4-6B1EEDEF9596}" name="Camara termografica" dataDxfId="816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9" xr:uid="{ECFD2E22-D87E-4CB4-8F3D-FDEF150981F7}" name="Tabla2580124167210" displayName="Tabla2580124167210" ref="AG33:AG40" totalsRowShown="0">
  <autoFilter ref="AG33:AG40" xr:uid="{A0DED689-2510-4BE0-B85F-FD1D7D88DFA4}"/>
  <tableColumns count="1">
    <tableColumn id="1" xr3:uid="{EDA2AD42-F880-41D2-922D-E5E3AA148B5B}" name="Llaves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0" xr:uid="{F68EF03D-1748-432A-8F5B-DED013934386}" name="Tabla2681125168211" displayName="Tabla2681125168211" ref="AF41:AF45" totalsRowShown="0" tableBorderDxfId="815">
  <autoFilter ref="AF41:AF45" xr:uid="{8ED6E545-64E7-44D4-B8A8-CB23D42265C0}"/>
  <tableColumns count="1">
    <tableColumn id="1" xr3:uid="{2CFE1CA5-6779-4C7D-A3EB-671A50429A68}" name="Calibrador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1" xr:uid="{40144D6A-23A5-4BC7-A7AE-EF60FDCDF706}" name="Tabla2882126169212" displayName="Tabla2882126169212" ref="AF48:AF51" totalsRowShown="0">
  <autoFilter ref="AF48:AF51" xr:uid="{9EF16892-84A3-4412-9559-E3ECBCBE8FAD}"/>
  <tableColumns count="1">
    <tableColumn id="1" xr3:uid="{F9B3E097-8289-4487-81CA-03E565CF7CD4}" name="Micrómetro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2" xr:uid="{F67E88E5-C210-45F1-B9FF-0B3C33286A73}" name="Tabla2983127170213" displayName="Tabla2983127170213" ref="AG67:AG69" totalsRowShown="0" tableBorderDxfId="814">
  <autoFilter ref="AG67:AG69" xr:uid="{2312EFE8-ED6F-40CE-936E-92708A2A3E11}"/>
  <tableColumns count="1">
    <tableColumn id="1" xr3:uid="{7F64A275-57B9-4E62-A479-C19A1B83673D}" name="Alicates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3" xr:uid="{3730BDE8-016C-432C-8748-BF6E49C8DEC0}" name="Tabla3084128171214" displayName="Tabla3084128171214" ref="AG50:AG59" totalsRowShown="0" dataDxfId="813" tableBorderDxfId="812">
  <autoFilter ref="AG50:AG59" xr:uid="{3B268A63-E4A5-4D1B-B445-E13631B6E887}"/>
  <tableColumns count="1">
    <tableColumn id="1" xr3:uid="{119818B3-EC98-4ACB-BFB8-3060E8823F36}" name="Dados" dataDxfId="811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4" xr:uid="{D422D0AA-68DB-47BA-871C-291EE12E1F4B}" name="Tabla3285129172215" displayName="Tabla3285129172215" ref="AG43:AG44" totalsRowShown="0" dataDxfId="810" tableBorderDxfId="809">
  <autoFilter ref="AG43:AG44" xr:uid="{005ABD67-F7E0-47FD-8970-322FEA5BBC4C}"/>
  <tableColumns count="1">
    <tableColumn id="1" xr3:uid="{9BE85BC9-89DE-40A9-8174-34740F6FF804}" name="Tijera" dataDxfId="808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5" xr:uid="{F632C5BC-169C-4A52-BBE4-2EA8D5426353}" name="Tabla3386130173216" displayName="Tabla3386130173216" ref="AF63:AF64" totalsRowShown="0" dataDxfId="807" tableBorderDxfId="806">
  <autoFilter ref="AF63:AF64" xr:uid="{7D457BB0-C389-4126-BC6E-CB6D91AFE2A6}"/>
  <tableColumns count="1">
    <tableColumn id="1" xr3:uid="{D6B1C773-84F5-4DDE-9D2D-B387A1E22532}" name="Estetoscopio" dataDxfId="805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6" xr:uid="{9153DCCD-78BA-4287-9570-6A63EDC19906}" name="Tabla3487131174217" displayName="Tabla3487131174217" ref="AG47:AG48" totalsRowShown="0" dataDxfId="804" tableBorderDxfId="803">
  <autoFilter ref="AG47:AG48" xr:uid="{EC300733-E688-43CB-A693-F1E2F80F6495}"/>
  <tableColumns count="1">
    <tableColumn id="1" xr3:uid="{B84DB5F4-E1C3-440D-A47F-37CBA4E55475}" name="Alargador" dataDxfId="802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7" xr:uid="{2747EE61-33AA-4C60-AD78-64AB7A1B5310}" name="Tabla3588132175218" displayName="Tabla3588132175218" ref="AF60:AF61" totalsRowShown="0" dataDxfId="801" tableBorderDxfId="800">
  <autoFilter ref="AF60:AF61" xr:uid="{B42C8F8F-E6AD-4FF3-9580-F9F4B996FF6F}"/>
  <tableColumns count="1">
    <tableColumn id="1" xr3:uid="{4C5B7512-F174-4964-AC17-02BD68B9715D}" name="Torquimetro" dataDxfId="799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8" xr:uid="{75AD2100-991F-40D5-BB66-B3F832F852DD}" name="Tabla3789133176219" displayName="Tabla3789133176219" ref="AH29:AH30" totalsRowShown="0" headerRowDxfId="798" dataDxfId="796" headerRowBorderDxfId="797" tableBorderDxfId="795" totalsRowBorderDxfId="794">
  <autoFilter ref="AH29:AH30" xr:uid="{2886962D-17B4-4D37-AB1E-9FE27B267D99}"/>
  <tableColumns count="1">
    <tableColumn id="1" xr3:uid="{C3AA3BB9-66AC-4A2B-AA8F-A884EB784E91}" name="Llave " dataDxfId="793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9" xr:uid="{646EFEAA-AD0A-4F50-AF72-6A0E2B89CB6C}" name="Tabla3890134177220" displayName="Tabla3890134177220" ref="B1:R610" totalsRowShown="0" headerRowDxfId="792">
  <autoFilter ref="B1:R610" xr:uid="{58127080-A22D-466C-8BA0-CCF2E2227FD2}"/>
  <tableColumns count="17">
    <tableColumn id="1" xr3:uid="{D857AB6C-B623-48A3-A36A-A058ACC5BB93}" name="Item">
      <calculatedColumnFormula>ROW()-1</calculatedColumnFormula>
    </tableColumn>
    <tableColumn id="2" xr3:uid="{E90194AC-E8C5-4979-8F41-578326364B46}" name="Area" dataDxfId="791"/>
    <tableColumn id="3" xr3:uid="{E23B2EFA-6C53-481E-BCA7-AF538160121F}" name="Cantidad"/>
    <tableColumn id="4" xr3:uid="{54E6BF08-02ED-43B3-AE5E-50B0FA10AB08}" name="Clasificacion" dataDxfId="790"/>
    <tableColumn id="5" xr3:uid="{7BFB8ADF-931D-444F-9F15-BD113A52C82A}" name="Descripción del equipo"/>
    <tableColumn id="17" xr3:uid="{55033741-E08A-473C-BCAA-655B00E09DF9}" name="Responsable"/>
    <tableColumn id="16" xr3:uid="{4C77146F-F878-467D-AFFB-B01D6A7542ED}" name="Tipo de vehiculo"/>
    <tableColumn id="6" xr3:uid="{B0B958A9-0116-4643-BF03-A8971DB07F13}" name="Marca" dataDxfId="789"/>
    <tableColumn id="7" xr3:uid="{4BBA0867-A6B6-40D6-932B-2D6979BB917F}" name="Modelo" dataDxfId="788"/>
    <tableColumn id="8" xr3:uid="{62885207-5909-4192-8AE3-1C99E4CD7EE4}" name="Cod. Antiguo"/>
    <tableColumn id="9" xr3:uid="{EE3F7521-5FB1-44BB-902E-3A932FAAF3AE}" name="Número de Serie"/>
    <tableColumn id="10" xr3:uid="{D5B90D44-7331-4D0C-8E73-3FBA0785B20E}" name="Cód. Nuevo Asig" dataDxfId="787"/>
    <tableColumn id="11" xr3:uid="{AAB27323-4503-4854-9DCD-142EA0CC4F33}" name="Codigo de parte"/>
    <tableColumn id="12" xr3:uid="{BB1829B9-6C1B-48C2-AFC2-83D8C6AF4EA5}" name="Ubicación"/>
    <tableColumn id="13" xr3:uid="{4D2705FE-46DF-47B7-9A59-908936CBA4EC}" name="Frecuencia de uso"/>
    <tableColumn id="14" xr3:uid="{B15B00AB-E361-40FC-9A52-A4AAC8054209}" name="Estado"/>
    <tableColumn id="15" xr3:uid="{E8C0370A-24CD-4EA8-BFBE-450C76697E42}" name="Observaciones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0" xr:uid="{30EF6FE8-4356-469B-9E68-B305251CB7CC}" name="Tabla3991135178221" displayName="Tabla3991135178221" ref="AG29:AG30" totalsRowShown="0">
  <autoFilter ref="AG29:AG30" xr:uid="{1C0F20AA-1469-4335-A289-55F2E420509F}"/>
  <tableColumns count="1">
    <tableColumn id="1" xr3:uid="{F58E952A-2F7F-4F46-BDF6-F2F080CEDFC1}" name="Multiplicador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1" xr:uid="{E9A514E2-72B2-49CA-BADD-72C953B8E2E9}" name="Tabla4092136179222" displayName="Tabla4092136179222" ref="AD29:AE31" totalsRowShown="0" tableBorderDxfId="786">
  <autoFilter ref="AD29:AE31" xr:uid="{2E7F26C8-B310-438B-BD08-8C0BC82B7627}"/>
  <tableColumns count="2">
    <tableColumn id="1" xr3:uid="{4367C219-59B8-41F9-AA37-2391937B5A7F}" name="Soldadoras"/>
    <tableColumn id="2" xr3:uid="{49862476-C343-46F6-B988-D7756F05213E}" name="Martillo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2" xr:uid="{F8AB891E-333B-4BFE-9844-B21E26AC1D9D}" name="Tabla4293137180223" displayName="Tabla4293137180223" ref="AD58:AD59" totalsRowShown="0">
  <autoFilter ref="AD58:AD59" xr:uid="{BDB2A400-1F11-4F53-807B-27202876BE6C}"/>
  <tableColumns count="1">
    <tableColumn id="1" xr3:uid="{936FB188-6CF6-41EA-BAF0-3E8A5AF81E4E}" name="Amoladora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3" xr:uid="{80C87A52-3EFD-4234-8F4D-96F645F4A679}" name="Tabla4394138181224" displayName="Tabla4394138181224" ref="AD62:AD64" totalsRowShown="0" dataDxfId="785" tableBorderDxfId="784">
  <autoFilter ref="AD62:AD64" xr:uid="{931F2BE3-67FF-44D5-B415-148F761F93A6}"/>
  <tableColumns count="1">
    <tableColumn id="1" xr3:uid="{CFEEDB38-F430-4139-BE9D-6D626CB894C5}" name="Iluminación" dataDxfId="783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4" xr:uid="{D331F841-FF9C-4942-A0A2-0809D2351F4F}" name="Tabla4495139182225" displayName="Tabla4495139182225" ref="AJ29:AJ30" totalsRowShown="0">
  <autoFilter ref="AJ29:AJ30" xr:uid="{9781A61A-AC29-41AE-98F6-916225D99E1D}"/>
  <tableColumns count="1">
    <tableColumn id="1" xr3:uid="{C558457B-FECA-4948-B20F-D5B9B37B10E8}" name="Tecle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5" xr:uid="{BD8F77B7-9B8F-4CDB-BE73-918A97BE5FCC}" name="Tabla4596140183226" displayName="Tabla4596140183226" ref="AD66:AD68" totalsRowShown="0">
  <autoFilter ref="AD66:AD68" xr:uid="{883961C8-D276-4BAE-B81D-192750F3D2CC}"/>
  <tableColumns count="1">
    <tableColumn id="1" xr3:uid="{5F4DBF91-F3F9-4D31-A012-35D2A279E0C8}" name="Lubricador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6" xr:uid="{9C8E328C-9083-4BCA-8839-5BFF0D864115}" name="Tabla4697141184227" displayName="Tabla4697141184227" ref="AG61:AG62" totalsRowShown="0">
  <autoFilter ref="AG61:AG62" xr:uid="{F9F816C6-2BEF-46FF-915F-BE5B9C6045E2}"/>
  <tableColumns count="1">
    <tableColumn id="1" xr3:uid="{BE690325-9C48-4750-8A76-502C6EB9EF2F}" name="Combos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7" xr:uid="{02E7309A-2E1D-4DAD-ABD7-1C5E322CD422}" name="Tabla4798142185228" displayName="Tabla4798142185228" ref="AG64:AG65" totalsRowShown="0">
  <autoFilter ref="AG64:AG65" xr:uid="{D0087047-FAAD-47F1-8107-9751D313CB07}"/>
  <tableColumns count="1">
    <tableColumn id="1" xr3:uid="{28697811-13B9-4BA1-A09F-317612B26185}" name="Mesa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8" xr:uid="{81D41C48-35F2-4179-9439-971DE0C561DE}" name="Tabla4899143186229" displayName="Tabla4899143186229" ref="AM29:AM31" totalsRowShown="0" tableBorderDxfId="782">
  <autoFilter ref="AM29:AM31" xr:uid="{98D206C1-A450-4754-81B2-030642ED939D}"/>
  <tableColumns count="1">
    <tableColumn id="1" xr3:uid="{A1F58828-74EF-4EA5-BB51-41FF56458A30}" name="Pinza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9" xr:uid="{EF9F225C-5F3C-46FA-BF6E-DA65EA032701}" name="Tabla4956100144187230" displayName="Tabla4956100144187230" ref="AM1:AM20" totalsRowShown="0" tableBorderDxfId="781">
  <autoFilter ref="AM1:AM20" xr:uid="{682A1042-040F-4BDC-814E-19EDB04144BA}"/>
  <tableColumns count="1">
    <tableColumn id="1" xr3:uid="{B170CC05-0222-413F-AA55-0F2A70B570C7}" name="Accesorios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0" xr:uid="{0ADB5D7A-E157-49DD-AE84-FD76623B0FF6}" name="Tabla758102145188231" displayName="Tabla758102145188231" ref="V1:W12" totalsRowShown="0" dataDxfId="780" tableBorderDxfId="779">
  <autoFilter ref="V1:W12" xr:uid="{9C601E76-6EC7-4996-8C5A-4EC2650D4D49}"/>
  <tableColumns count="2">
    <tableColumn id="1" xr3:uid="{CE34DD8A-2B5B-463A-AA52-EE90E4B8954D}" name="ID" dataDxfId="778"/>
    <tableColumn id="2" xr3:uid="{B3757126-6F35-49C3-9EDA-7F9B13537CA6}" name="Area" dataDxfId="777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1" xr:uid="{1562A2E7-86DF-44B4-A4DF-5D44EB54CB1B}" name="Tabla259103146189232" displayName="Tabla259103146189232" ref="Y1:Z4" totalsRowShown="0" headerRowDxfId="776" headerRowBorderDxfId="775" tableBorderDxfId="774" totalsRowBorderDxfId="773">
  <autoFilter ref="Y1:Z4" xr:uid="{8EA5E146-546E-4301-8341-E9A2182AF11B}"/>
  <tableColumns count="2">
    <tableColumn id="1" xr3:uid="{B1873A51-8336-429B-8A15-B8C83E8FB0CB}" name="ID" dataDxfId="772"/>
    <tableColumn id="2" xr3:uid="{6BFB346C-8A91-4CAB-833E-0FA31CF5EFCC}" name="Estado" dataDxfId="771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2" xr:uid="{D406082A-C5AD-4A21-9376-6401F3DE1333}" name="Tabla360104147190233" displayName="Tabla360104147190233" ref="AB1:AC7" totalsRowShown="0" headerRowDxfId="770" headerRowBorderDxfId="769" tableBorderDxfId="768" totalsRowBorderDxfId="767">
  <autoFilter ref="AB1:AC7" xr:uid="{4313A204-2187-4F5D-B195-E9D8244B0B6A}"/>
  <tableColumns count="2">
    <tableColumn id="1" xr3:uid="{6093A3A0-74D4-4D05-AFF2-543340A7413B}" name="ID" dataDxfId="766"/>
    <tableColumn id="2" xr3:uid="{79CC7775-E013-42D0-A04F-89C0788FBD55}" name="Clasificación" dataDxfId="765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3" xr:uid="{37FCB595-8BAA-4176-A9BB-70C9657DFB51}" name="Tabla461105148191234" displayName="Tabla461105148191234" ref="AB9:AB12" totalsRowShown="0" headerRowDxfId="764" headerRowBorderDxfId="763" tableBorderDxfId="762" totalsRowBorderDxfId="761">
  <autoFilter ref="AB9:AB12" xr:uid="{4FA69CD1-8D3C-4F41-B69E-D64790738288}"/>
  <tableColumns count="1">
    <tableColumn id="1" xr3:uid="{B8B7B181-194A-4681-8516-15B270551D28}" name="Frecuencia de uso" dataDxfId="760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4" xr:uid="{1E8DA373-7134-41B5-B579-6ABEDE948225}" name="Herramientas_eléctricas1862106149192235" displayName="Herramientas_eléctricas1862106149192235" ref="AF1:AF21" totalsRowShown="0" headerRowDxfId="759" headerRowBorderDxfId="758" tableBorderDxfId="757">
  <autoFilter ref="AF1:AF21" xr:uid="{9A901B8B-4001-4C56-97C1-F800FB168E81}"/>
  <tableColumns count="1">
    <tableColumn id="1" xr3:uid="{DCD8E27C-9490-484C-A4FA-ABD726E2D192}" name="Herramientas_eléctricas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5" xr:uid="{A98B2604-84DF-4F34-B8B0-8024B7E2F882}" name="Herramientas_neumáticas1963107150193236" displayName="Herramientas_neumáticas1963107150193236" ref="AG1:AG6" totalsRowShown="0" headerRowDxfId="756" headerRowBorderDxfId="755" tableBorderDxfId="754">
  <autoFilter ref="AG1:AG6" xr:uid="{DDFD7ABB-9233-49B8-8E7D-0C4E4E73668B}"/>
  <tableColumns count="1">
    <tableColumn id="1" xr3:uid="{75F6859A-84FC-4024-8ED2-B8B16F2886A3}" name="Herramientas_neumáticas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6" xr:uid="{6802F604-B9C8-4665-84F4-C6F905671EF2}" name="Herramientas_de_medición2064108151194237" displayName="Herramientas_de_medición2064108151194237" ref="AH1:AH16" totalsRowShown="0" headerRowDxfId="753" headerRowBorderDxfId="752" tableBorderDxfId="751">
  <autoFilter ref="AH1:AH16" xr:uid="{A1A99238-FF6A-4B46-95FE-F6F59C0A59FF}"/>
  <tableColumns count="1">
    <tableColumn id="1" xr3:uid="{D88DD097-12EC-473E-A552-23FD31FE81F3}" name="Herramientas_de_medición" dataDxfId="750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7" xr:uid="{CB7A978F-2E36-4DD4-AF5B-A7B5BBDD859B}" name="Herrramientas_mecánicas2165109152195238" displayName="Herrramientas_mecánicas2165109152195238" ref="AI1:AI21" totalsRowShown="0" headerRowDxfId="749" headerRowBorderDxfId="748" tableBorderDxfId="747">
  <autoFilter ref="AI1:AI21" xr:uid="{82699701-A4C7-4A41-A40B-8F87727B2FCD}"/>
  <tableColumns count="1">
    <tableColumn id="1" xr3:uid="{D05408F3-C682-4746-B7E4-AFB371FF4096}" name="Herramientas_mecánicas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8" xr:uid="{865219AC-17DC-4613-B876-404272674FC4}" name="Herramientas_hidráulicas2266110153196239" displayName="Herramientas_hidráulicas2266110153196239" ref="AJ1:AJ9" totalsRowShown="0" headerRowDxfId="746" dataDxfId="744" headerRowBorderDxfId="745" tableBorderDxfId="743">
  <autoFilter ref="AJ1:AJ9" xr:uid="{5C7C5014-0DFD-4140-8DC3-6AF6EDF169E4}"/>
  <tableColumns count="1">
    <tableColumn id="1" xr3:uid="{C929FDF7-116E-436E-BCA7-8A7980934FE6}" name="Herramientas_hidráulicas" dataDxfId="742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9" xr:uid="{D5C29A72-AA41-46A2-B6E4-52AD3F997026}" name="EPP_2367111154197240" displayName="EPP_2367111154197240" ref="AK1:AK6" totalsRowShown="0" headerRowDxfId="741" headerRowBorderDxfId="740" tableBorderDxfId="739">
  <autoFilter ref="AK1:AK6" xr:uid="{6ED4F867-D028-4151-85A1-2598FAD98928}"/>
  <tableColumns count="1">
    <tableColumn id="1" xr3:uid="{27F8DBAC-D8C0-4023-AE32-3260FF4832EF}" name="SPCC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0" xr:uid="{5DF52E97-F254-4856-8FAF-A0AFCF1C6328}" name="Herramientas_de_izaje2468112155198241" displayName="Herramientas_de_izaje2468112155198241" ref="AL1:AL6" totalsRowShown="0" headerRowDxfId="738" headerRowBorderDxfId="737" tableBorderDxfId="736">
  <autoFilter ref="AL1:AL6" xr:uid="{0DE75960-5B93-46A7-AAE6-BC581FFF1354}"/>
  <tableColumns count="1">
    <tableColumn id="1" xr3:uid="{3B27BDBD-69E2-4A0F-9DFC-B75B36ECBE3B}" name="Herramientas_de_izaje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1" xr:uid="{4F88FC1B-19E1-4E3A-BA23-7906EF7AE442}" name="Tabla152569113156199242" displayName="Tabla152569113156199242" ref="AM1:AM2" totalsRowShown="0" headerRowDxfId="735" dataDxfId="733" headerRowBorderDxfId="734" tableBorderDxfId="732">
  <autoFilter ref="AM1:AM2" xr:uid="{7CDF3488-ADF8-42BB-8EFE-46E3A509430E}"/>
  <tableColumns count="1">
    <tableColumn id="1" xr3:uid="{2FF954D7-A0A6-4705-9D9F-42122B4F9A46}" name="Otros" dataDxfId="731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2" xr:uid="{3783D76D-9F47-4BCB-9DE7-A5F2676D45DD}" name="Tabla162670114157200243" displayName="Tabla162670114157200243" ref="AN1:AN6" totalsRowShown="0">
  <autoFilter ref="AN1:AN6" xr:uid="{BA84FDFB-CFCF-49B5-A4A0-7E55EE0C8343}"/>
  <tableColumns count="1">
    <tableColumn id="1" xr3:uid="{802BBC54-1E8C-4A05-950A-23FBF9E44C24}" name="Equipos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3" xr:uid="{8895EB74-B791-4B73-AD79-F921E03D29C3}" name="Tabla571115158201244" displayName="Tabla571115158201244" ref="AF33:AG35" totalsRowShown="0" tableBorderDxfId="730">
  <autoFilter ref="AF33:AG35" xr:uid="{CF2FEFF5-0ED4-40EF-A2CA-B8658D653CBB}"/>
  <tableColumns count="2">
    <tableColumn id="1" xr3:uid="{5D373AFE-599C-4171-94DA-E638F5A56BE8}" name="Calentador"/>
    <tableColumn id="2" xr3:uid="{535E42EE-2C19-48CA-A05D-1B017F58F0DD}" name="Bomba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4" xr:uid="{22433AD8-1730-4AF0-8C90-160428150820}" name="Tabla1772116159202245" displayName="Tabla1772116159202245" ref="AF38:AF40" totalsRowShown="0" headerRowDxfId="729" headerRowBorderDxfId="728" tableBorderDxfId="727">
  <autoFilter ref="AF38:AF40" xr:uid="{830EF362-0156-4A25-9CC5-538DDBFCF308}"/>
  <tableColumns count="1">
    <tableColumn id="1" xr3:uid="{1698201C-53CE-45C1-AE54-BE0F6D0840E4}" name="Martillo 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5" xr:uid="{F9A901FE-8FDB-47E5-A534-6D057CE22D94}" name="Tabla1873117160203246" displayName="Tabla1873117160203246" ref="AH29:AH31" totalsRowShown="0" dataDxfId="726">
  <autoFilter ref="AH29:AH31" xr:uid="{D9204BB2-CBF2-43D1-8CAA-9AC826A37056}"/>
  <tableColumns count="1">
    <tableColumn id="1" xr3:uid="{31655FC7-30AF-4415-9191-1D70A6D85F49}" name="Nivel" dataDxfId="725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6" xr:uid="{C3629785-EC5A-47E9-AA42-5B43FFECA5C8}" name="Tabla1974118161204247" displayName="Tabla1974118161204247" ref="AF42:AF45" totalsRowShown="0" headerRowDxfId="724" headerRowBorderDxfId="723" tableBorderDxfId="722" totalsRowBorderDxfId="721">
  <autoFilter ref="AF42:AF45" xr:uid="{751CC4DE-0F10-45F1-BAA4-31688AE830B1}"/>
  <tableColumns count="1">
    <tableColumn id="1" xr3:uid="{21EECDE5-BA5F-47FD-853E-044255682E51}" name="Impactor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7" xr:uid="{5C8A4D35-B0EF-40BE-9D4B-B3769D308762}" name="Tabla2075119162205248" displayName="Tabla2075119162205248" ref="AF47:AF50" totalsRowShown="0">
  <autoFilter ref="AF47:AF50" xr:uid="{A14E2475-26A8-4E9D-8E77-6DD3075B12E9}"/>
  <tableColumns count="1">
    <tableColumn id="1" xr3:uid="{05EBAFC3-C55D-478A-9882-2F24C07AF6C3}" name="Extractor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8" xr:uid="{2FF005AB-FFC3-43BC-89DA-342893A1E08E}" name="Tabla2176120163206249" displayName="Tabla2176120163206249" ref="AF52:AF53" totalsRowShown="0" dataDxfId="720" tableBorderDxfId="719">
  <autoFilter ref="AF52:AF53" xr:uid="{FB135CB6-85B5-46C8-99B8-45176F814696}"/>
  <tableColumns count="1">
    <tableColumn id="1" xr3:uid="{010325A0-4810-4D2C-9D21-C021BDF7C889}" name="Esmeril" dataDxfId="718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9" xr:uid="{066230D9-D7FF-4673-B579-7861A96EDD2C}" name="Tabla2277121164207250" displayName="Tabla2277121164207250" ref="AH56:AH58" totalsRowShown="0">
  <autoFilter ref="AH56:AH58" xr:uid="{3AB821FA-FFC5-4307-AC30-B52EA5139269}"/>
  <tableColumns count="1">
    <tableColumn id="1" xr3:uid="{8B0FC10B-ACED-462B-8751-C571E7A1DB9F}" name="Manometro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0" xr:uid="{FCE30E1D-C4CB-47B2-8641-9349E9A64E1C}" name="Tabla2378122165208251" displayName="Tabla2378122165208251" ref="AH33:AH36" totalsRowShown="0" headerRowDxfId="717" tableBorderDxfId="716">
  <autoFilter ref="AH33:AH36" xr:uid="{16F850A9-F3B2-41CD-A0AE-53D6CE1A75ED}"/>
  <tableColumns count="1">
    <tableColumn id="1" xr3:uid="{A2CE3E6D-0A7C-4E26-AA63-4EFC0E4DA085}" name="Medidor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1" xr:uid="{01B6A180-9877-4DC8-AE32-F48305BD8540}" name="Tabla2479123166209252" displayName="Tabla2479123166209252" ref="AH38:AH39" totalsRowShown="0" dataDxfId="715" tableBorderDxfId="714">
  <autoFilter ref="AH38:AH39" xr:uid="{1889A6F9-230B-4AFF-867D-3DF6472821F5}"/>
  <tableColumns count="1">
    <tableColumn id="1" xr3:uid="{D322A4C4-9DD7-4E40-9673-5E5927A48D65}" name="Camara termografica" dataDxfId="713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2" xr:uid="{56AB242D-622F-4EB7-9A19-965FF8A6826F}" name="Tabla2580124167210253" displayName="Tabla2580124167210253" ref="AI33:AI40" totalsRowShown="0">
  <autoFilter ref="AI33:AI40" xr:uid="{A0DED689-2510-4BE0-B85F-FD1D7D88DFA4}"/>
  <tableColumns count="1">
    <tableColumn id="1" xr3:uid="{0FA09052-6AB2-4281-95F1-BEBB0A333BE0}" name="Llaves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3" xr:uid="{B3F24005-AA4C-423C-8D06-E11623FDB993}" name="Tabla2681125168211254" displayName="Tabla2681125168211254" ref="AH41:AH45" totalsRowShown="0" tableBorderDxfId="712">
  <autoFilter ref="AH41:AH45" xr:uid="{8ED6E545-64E7-44D4-B8A8-CB23D42265C0}"/>
  <tableColumns count="1">
    <tableColumn id="1" xr3:uid="{4A022BB7-5039-4618-9AE1-25B130F9AD36}" name="Calibrador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4" xr:uid="{C9EDEECA-D0B6-43E4-ACF5-6E052C157FC6}" name="Tabla2882126169212255" displayName="Tabla2882126169212255" ref="AH48:AH51" totalsRowShown="0">
  <autoFilter ref="AH48:AH51" xr:uid="{9EF16892-84A3-4412-9559-E3ECBCBE8FAD}"/>
  <tableColumns count="1">
    <tableColumn id="1" xr3:uid="{07D24C0F-0D11-452A-9AEB-7D941D9198B1}" name="Micrómetro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5" xr:uid="{B85CBAB1-3A94-49B7-82D3-487FA055D5BE}" name="Tabla2983127170213256" displayName="Tabla2983127170213256" ref="AI67:AI69" totalsRowShown="0" tableBorderDxfId="711">
  <autoFilter ref="AI67:AI69" xr:uid="{2312EFE8-ED6F-40CE-936E-92708A2A3E11}"/>
  <tableColumns count="1">
    <tableColumn id="1" xr3:uid="{4657E793-3C2A-4455-98B0-BB139638372A}" name="Alicates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6" xr:uid="{13D2FBB5-77E1-4B84-936E-8F03E511B15C}" name="Tabla3084128171214257" displayName="Tabla3084128171214257" ref="AI50:AI59" totalsRowShown="0" dataDxfId="710" tableBorderDxfId="709">
  <autoFilter ref="AI50:AI59" xr:uid="{3B268A63-E4A5-4D1B-B445-E13631B6E887}"/>
  <tableColumns count="1">
    <tableColumn id="1" xr3:uid="{587A90B6-6947-482F-9D55-D2CAD1647DAD}" name="Dados" dataDxfId="708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7" xr:uid="{A21A2D09-EAB4-4F9E-A4AF-3D54AAEFB5C1}" name="Tabla3285129172215258" displayName="Tabla3285129172215258" ref="AI43:AI44" totalsRowShown="0" dataDxfId="707" tableBorderDxfId="706">
  <autoFilter ref="AI43:AI44" xr:uid="{005ABD67-F7E0-47FD-8970-322FEA5BBC4C}"/>
  <tableColumns count="1">
    <tableColumn id="1" xr3:uid="{E4DE528B-29AE-4065-BD19-9A0FABFF777D}" name="Tijera" dataDxfId="705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8" xr:uid="{3027E72F-6A75-45B4-A868-B3E1DED52412}" name="Tabla3386130173216259" displayName="Tabla3386130173216259" ref="AH63:AH64" totalsRowShown="0" dataDxfId="704" tableBorderDxfId="703">
  <autoFilter ref="AH63:AH64" xr:uid="{7D457BB0-C389-4126-BC6E-CB6D91AFE2A6}"/>
  <tableColumns count="1">
    <tableColumn id="1" xr3:uid="{607CFF10-2041-431F-88E0-AA1278D2BA1D}" name="Estetoscopio" dataDxfId="702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9" xr:uid="{5CDC1FAA-F016-4134-869D-79F41A2B22A1}" name="Tabla3487131174217260" displayName="Tabla3487131174217260" ref="AI47:AI48" totalsRowShown="0" dataDxfId="701" tableBorderDxfId="700">
  <autoFilter ref="AI47:AI48" xr:uid="{EC300733-E688-43CB-A693-F1E2F80F6495}"/>
  <tableColumns count="1">
    <tableColumn id="1" xr3:uid="{EC938FBA-79AB-41BF-8786-A7435A0AA204}" name="Alargador" dataDxfId="699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0" xr:uid="{93CE1738-F69E-4D23-97C6-62900ED0D33E}" name="Tabla3588132175218261" displayName="Tabla3588132175218261" ref="AH60:AH61" totalsRowShown="0" dataDxfId="698" tableBorderDxfId="697">
  <autoFilter ref="AH60:AH61" xr:uid="{B42C8F8F-E6AD-4FF3-9580-F9F4B996FF6F}"/>
  <tableColumns count="1">
    <tableColumn id="1" xr3:uid="{A6B15C30-0950-4D74-9393-6B6C7E6AF63E}" name="Torquimetro" dataDxfId="696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1" xr:uid="{641E892D-2896-47ED-A189-11F1F64879AB}" name="Tabla3789133176219262" displayName="Tabla3789133176219262" ref="AJ29:AJ30" totalsRowShown="0" headerRowDxfId="695" dataDxfId="693" headerRowBorderDxfId="694" tableBorderDxfId="692" totalsRowBorderDxfId="691">
  <autoFilter ref="AJ29:AJ30" xr:uid="{2886962D-17B4-4D37-AB1E-9FE27B267D99}"/>
  <tableColumns count="1">
    <tableColumn id="1" xr3:uid="{10EFB339-2F33-412C-9EE0-01F8DBB65C67}" name="Llave " dataDxfId="690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2" xr:uid="{CD246C01-D14D-40C4-AD99-F359E7E876F9}" name="Tabla3890134177220263" displayName="Tabla3890134177220263" ref="B1:T611" totalsRowShown="0" headerRowDxfId="689">
  <autoFilter ref="B1:T611" xr:uid="{58127080-A22D-466C-8BA0-CCF2E2227FD2}"/>
  <tableColumns count="19">
    <tableColumn id="1" xr3:uid="{C6C5C672-2D05-466B-9837-F382E608FEC7}" name="Item">
      <calculatedColumnFormula>ROW()-1</calculatedColumnFormula>
    </tableColumn>
    <tableColumn id="2" xr3:uid="{5E590B8F-E9B3-4DDD-AF9F-6081CB46EAF8}" name="Area" dataDxfId="688"/>
    <tableColumn id="3" xr3:uid="{4E76FFB3-D163-44DA-AA5A-AAE8182ECEC0}" name="Cantidad"/>
    <tableColumn id="4" xr3:uid="{63851822-742E-4ACC-947F-3D7EAD71ABE2}" name="Clasificacion" dataDxfId="687"/>
    <tableColumn id="5" xr3:uid="{F6EBE6FF-A2E7-4409-94F8-79AF56DED274}" name="Descripción del equipo"/>
    <tableColumn id="17" xr3:uid="{BAB6D0B7-9319-496F-B83C-EAA53B55B66A}" name="Diametro máximo"/>
    <tableColumn id="27" xr3:uid="{18E9B7EF-57C0-444C-9557-A255FDA4DEB5}" name="voltaje"/>
    <tableColumn id="28" xr3:uid="{A16CC2C0-E064-4402-B3BD-45439F24ED66}" name="AMPERAJE"/>
    <tableColumn id="16" xr3:uid="{0809270C-522C-4A0A-8617-8CFDAF75525E}" name="Potencia"/>
    <tableColumn id="6" xr3:uid="{0740F3D7-B6FD-438E-AB63-6BA6ED736E97}" name="Marca" dataDxfId="686"/>
    <tableColumn id="7" xr3:uid="{9A43D5D8-B4AB-45C7-B246-431E42590169}" name="Modelo" dataDxfId="685"/>
    <tableColumn id="8" xr3:uid="{D359CCAB-6895-42C3-B9A8-3BF01CAA7BC9}" name="Cod. Antiguo"/>
    <tableColumn id="9" xr3:uid="{77841F83-4368-4B88-8042-9D9FDADD9C29}" name="Número de Serie"/>
    <tableColumn id="10" xr3:uid="{A852AAB4-1186-42F6-B57E-0455966AFFD6}" name="Cód. Nuevo Asig" dataDxfId="684">
      <calculatedColumnFormula>_xlfn.LET(
    _xlpm.itemBuscado, B2,
    _xlpm.areaBuscada, C2,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TEXT(COUNTIF($C$2:C2, _xlpm.areaBuscada), "0000"),
    _xlpm.codItem &amp; "-" &amp; _xlpm.codArea &amp; "-" &amp; _xlpm.secuencia
)</calculatedColumnFormula>
    </tableColumn>
    <tableColumn id="11" xr3:uid="{B432BACD-8D56-4A2E-8473-AF2D2D58C1AA}" name="Codigo de parte"/>
    <tableColumn id="12" xr3:uid="{499A31C2-7799-45AD-9F99-D14C4E0D7B29}" name="Ubicación"/>
    <tableColumn id="13" xr3:uid="{7E7E6A7D-83EE-4E3C-974B-96798FCFC35B}" name="Frecuencia de uso"/>
    <tableColumn id="14" xr3:uid="{9C6298F0-A6E7-4A8D-8774-0BC186523DD6}" name="Estado"/>
    <tableColumn id="15" xr3:uid="{BBA8711C-E28E-4414-9859-DC942039218E}" name="Observaciones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3" xr:uid="{4A1BFF1E-9C6F-4E7B-A984-26CCE3329094}" name="Tabla3991135178221264" displayName="Tabla3991135178221264" ref="AI29:AI30" totalsRowShown="0">
  <autoFilter ref="AI29:AI30" xr:uid="{1C0F20AA-1469-4335-A289-55F2E420509F}"/>
  <tableColumns count="1">
    <tableColumn id="1" xr3:uid="{C3BE1B63-2E2C-4148-903A-95600765469F}" name="Multiplicador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4" xr:uid="{286E25CB-BA1C-4B51-B901-44A19F48B02C}" name="Tabla4092136179222265" displayName="Tabla4092136179222265" ref="AF29:AG31" totalsRowShown="0" tableBorderDxfId="683">
  <autoFilter ref="AF29:AG31" xr:uid="{2E7F26C8-B310-438B-BD08-8C0BC82B7627}"/>
  <tableColumns count="2">
    <tableColumn id="1" xr3:uid="{CE4F6DCE-C46B-473D-B278-C9D189CBEE56}" name="Soldadoras"/>
    <tableColumn id="2" xr3:uid="{15A3680F-2A30-44E8-AA12-C8EAD68AF721}" name="Martillo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5" xr:uid="{FD51F308-829B-439D-B720-BC10F730BB25}" name="Tabla4293137180223266" displayName="Tabla4293137180223266" ref="AF58:AF59" totalsRowShown="0">
  <autoFilter ref="AF58:AF59" xr:uid="{BDB2A400-1F11-4F53-807B-27202876BE6C}"/>
  <tableColumns count="1">
    <tableColumn id="1" xr3:uid="{AAA596B5-8696-4819-B083-9F08D84DC71C}" name="Amoladora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6" xr:uid="{91C59D8D-7D15-4AFE-9F79-BB985B866962}" name="Tabla4394138181224267" displayName="Tabla4394138181224267" ref="AF62:AF64" totalsRowShown="0" dataDxfId="682" tableBorderDxfId="681">
  <autoFilter ref="AF62:AF64" xr:uid="{931F2BE3-67FF-44D5-B415-148F761F93A6}"/>
  <tableColumns count="1">
    <tableColumn id="1" xr3:uid="{FC4ECE83-42B4-43F6-BDC1-918E5F0E9394}" name="Iluminación" dataDxfId="680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7" xr:uid="{C7662CEB-EBC6-43F2-B946-694A41058398}" name="Tabla4495139182225268" displayName="Tabla4495139182225268" ref="AL29:AL30" totalsRowShown="0">
  <autoFilter ref="AL29:AL30" xr:uid="{9781A61A-AC29-41AE-98F6-916225D99E1D}"/>
  <tableColumns count="1">
    <tableColumn id="1" xr3:uid="{239F5BDD-7B3C-42E0-A1BC-19069194CCBA}" name="Tecle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8" xr:uid="{A2ED08DA-9C0E-4457-8E84-8440EFDD548C}" name="Tabla4596140183226269" displayName="Tabla4596140183226269" ref="AF66:AF68" totalsRowShown="0">
  <autoFilter ref="AF66:AF68" xr:uid="{883961C8-D276-4BAE-B81D-192750F3D2CC}"/>
  <tableColumns count="1">
    <tableColumn id="1" xr3:uid="{36AD3F0D-F512-42D0-AB5E-A47397BFF380}" name="Lubricador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9" xr:uid="{3DF038B3-2723-412C-B1A4-9F18000B954E}" name="Tabla4697141184227270" displayName="Tabla4697141184227270" ref="AI61:AI62" totalsRowShown="0">
  <autoFilter ref="AI61:AI62" xr:uid="{F9F816C6-2BEF-46FF-915F-BE5B9C6045E2}"/>
  <tableColumns count="1">
    <tableColumn id="1" xr3:uid="{FCDC2760-FE62-455F-BA49-1511F20F0A5B}" name="Combos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0" xr:uid="{775C3690-D3DF-4BA6-A7AD-4E4E6522ABA2}" name="Tabla4798142185228271" displayName="Tabla4798142185228271" ref="AI64:AI65" totalsRowShown="0">
  <autoFilter ref="AI64:AI65" xr:uid="{D0087047-FAAD-47F1-8107-9751D313CB07}"/>
  <tableColumns count="1">
    <tableColumn id="1" xr3:uid="{2ACAACD8-BDEA-44DD-BB42-E9F30A369053}" name="Mesa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1" xr:uid="{688FDF4D-B88B-4D0F-94D3-8D1F3416598C}" name="Tabla4899143186229272" displayName="Tabla4899143186229272" ref="AO29:AO31" totalsRowShown="0" tableBorderDxfId="679">
  <autoFilter ref="AO29:AO31" xr:uid="{98D206C1-A450-4754-81B2-030642ED939D}"/>
  <tableColumns count="1">
    <tableColumn id="1" xr3:uid="{3BFB65E8-E784-4FD9-A3F1-CC4073F8F872}" name="Pinza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2" xr:uid="{6400C8F6-1424-4EF8-BF07-F459E8FAB2E8}" name="Tabla4956100144187230273" displayName="Tabla4956100144187230273" ref="AO1:AO20" totalsRowShown="0" tableBorderDxfId="678">
  <autoFilter ref="AO1:AO20" xr:uid="{682A1042-040F-4BDC-814E-19EDB04144BA}"/>
  <tableColumns count="1">
    <tableColumn id="1" xr3:uid="{182F5A02-F32C-4420-83A2-32BB87A42760}" name="Accesorios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9" xr:uid="{1DF1D2A2-2C6D-4C84-AB5B-50F91CF14EAC}" name="Tabla758102145188360" displayName="Tabla758102145188360" ref="U1:V13" totalsRowShown="0" dataDxfId="677" tableBorderDxfId="676">
  <autoFilter ref="U1:V13" xr:uid="{9C601E76-6EC7-4996-8C5A-4EC2650D4D49}"/>
  <tableColumns count="2">
    <tableColumn id="1" xr3:uid="{C29E31E5-8401-4B25-8005-32D676FA7653}" name="ID" dataDxfId="675"/>
    <tableColumn id="2" xr3:uid="{ABBF913B-F198-48F2-900D-946997BD729A}" name="Area" dataDxfId="674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0" xr:uid="{ED85C1E0-B1E6-4B88-BD2B-7815F742B4CC}" name="Tabla259103146189361" displayName="Tabla259103146189361" ref="X1:Y4" totalsRowShown="0" headerRowDxfId="673" headerRowBorderDxfId="672" tableBorderDxfId="671" totalsRowBorderDxfId="670">
  <autoFilter ref="X1:Y4" xr:uid="{8EA5E146-546E-4301-8341-E9A2182AF11B}"/>
  <tableColumns count="2">
    <tableColumn id="1" xr3:uid="{0ABA0CEC-9CBE-4E08-A35F-7CA2AA7DCF46}" name="ID" dataDxfId="669"/>
    <tableColumn id="2" xr3:uid="{63CB449F-F81E-4A12-8E7F-B40E6C182B52}" name="Estado" dataDxfId="668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1" xr:uid="{E5E79FC6-80C6-44A6-B045-A5E46901C109}" name="Tabla360104147190362" displayName="Tabla360104147190362" ref="AA1:AB7" totalsRowShown="0" headerRowDxfId="667" headerRowBorderDxfId="666" tableBorderDxfId="665" totalsRowBorderDxfId="664">
  <autoFilter ref="AA1:AB7" xr:uid="{4313A204-2187-4F5D-B195-E9D8244B0B6A}"/>
  <tableColumns count="2">
    <tableColumn id="1" xr3:uid="{01E07834-FCB3-4E4F-B501-B91E51FA6C43}" name="ID" dataDxfId="663"/>
    <tableColumn id="2" xr3:uid="{16924610-A0CB-4913-AE27-611CC7CF66C8}" name="Clasificación" dataDxfId="662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2" xr:uid="{B206F338-E46A-449C-95A2-FF38842FA55A}" name="Tabla461105148191363" displayName="Tabla461105148191363" ref="AA9:AA12" totalsRowShown="0" headerRowDxfId="661" headerRowBorderDxfId="660" tableBorderDxfId="659" totalsRowBorderDxfId="658">
  <autoFilter ref="AA9:AA12" xr:uid="{4FA69CD1-8D3C-4F41-B69E-D64790738288}"/>
  <tableColumns count="1">
    <tableColumn id="1" xr3:uid="{DD7DC13F-39D4-484F-9F88-B96B7FAECEBD}" name="Frecuencia de uso" dataDxfId="657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3" xr:uid="{0C423071-D86B-496E-94B6-BBC839E06ACA}" name="Herramientas_eléctricas1862106149192364" displayName="Herramientas_eléctricas1862106149192364" ref="AE1:AE21" totalsRowShown="0" headerRowDxfId="656" headerRowBorderDxfId="655" tableBorderDxfId="654">
  <autoFilter ref="AE1:AE21" xr:uid="{9A901B8B-4001-4C56-97C1-F800FB168E81}"/>
  <tableColumns count="1">
    <tableColumn id="1" xr3:uid="{8BEFC617-1688-4FC8-B317-9DFEDCC8D19A}" name="Herramientas_eléctricas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4" xr:uid="{87FE92F1-0B0D-410E-A931-42417780EB02}" name="Herramientas_neumáticas1963107150193365" displayName="Herramientas_neumáticas1963107150193365" ref="AF1:AF6" totalsRowShown="0" headerRowDxfId="653" headerRowBorderDxfId="652" tableBorderDxfId="651">
  <autoFilter ref="AF1:AF6" xr:uid="{DDFD7ABB-9233-49B8-8E7D-0C4E4E73668B}"/>
  <tableColumns count="1">
    <tableColumn id="1" xr3:uid="{38FC0537-F56E-4BBB-AA69-DFE50CC4FE2F}" name="Herramientas_neumáticas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5" xr:uid="{FF228FF0-954D-42FC-BFB9-6C0B41C33F83}" name="Herramientas_de_medición2064108151194366" displayName="Herramientas_de_medición2064108151194366" ref="AG1:AG16" totalsRowShown="0" headerRowDxfId="650" headerRowBorderDxfId="649" tableBorderDxfId="648">
  <autoFilter ref="AG1:AG16" xr:uid="{A1A99238-FF6A-4B46-95FE-F6F59C0A59FF}"/>
  <tableColumns count="1">
    <tableColumn id="1" xr3:uid="{F3B627D3-1FD3-400F-A748-A42647B350A7}" name="Herramientas_de_medición" dataDxfId="647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6" xr:uid="{59E9B227-6D06-41C8-A5E1-046384FBC1EC}" name="Herrramientas_mecánicas2165109152195367" displayName="Herrramientas_mecánicas2165109152195367" ref="AH1:AH21" totalsRowShown="0" headerRowDxfId="646" headerRowBorderDxfId="645" tableBorderDxfId="644">
  <autoFilter ref="AH1:AH21" xr:uid="{82699701-A4C7-4A41-A40B-8F87727B2FCD}"/>
  <tableColumns count="1">
    <tableColumn id="1" xr3:uid="{5C9A46FB-F504-4154-B8E4-7F4C5718A890}" name="Herramientas_mecánicas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7" xr:uid="{ADFBE70F-3F9D-4A6C-808B-E7C9A74CBF6B}" name="Herramientas_hidráulicas2266110153196368" displayName="Herramientas_hidráulicas2266110153196368" ref="AI1:AI9" totalsRowShown="0" headerRowDxfId="643" dataDxfId="641" headerRowBorderDxfId="642" tableBorderDxfId="640">
  <autoFilter ref="AI1:AI9" xr:uid="{5C7C5014-0DFD-4140-8DC3-6AF6EDF169E4}"/>
  <tableColumns count="1">
    <tableColumn id="1" xr3:uid="{A8B48FC7-11A8-48E2-BB44-3BFABE724731}" name="Herramientas_hidráulicas" dataDxfId="639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8" xr:uid="{A295F857-2CFB-4A8C-876C-EC4884DF1234}" name="EPP_2367111154197369" displayName="EPP_2367111154197369" ref="AJ1:AJ6" totalsRowShown="0" headerRowDxfId="638" headerRowBorderDxfId="637" tableBorderDxfId="636">
  <autoFilter ref="AJ1:AJ6" xr:uid="{6ED4F867-D028-4151-85A1-2598FAD98928}"/>
  <tableColumns count="1">
    <tableColumn id="1" xr3:uid="{24B98355-06D8-435E-9F65-A371CC4775BB}" name="SPCC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9" xr:uid="{9667AAAC-A15A-4B3A-8E33-121322253607}" name="Herramientas_de_izaje2468112155198370" displayName="Herramientas_de_izaje2468112155198370" ref="AK1:AK6" totalsRowShown="0" headerRowDxfId="635" headerRowBorderDxfId="634" tableBorderDxfId="633">
  <autoFilter ref="AK1:AK6" xr:uid="{0DE75960-5B93-46A7-AAE6-BC581FFF1354}"/>
  <tableColumns count="1">
    <tableColumn id="1" xr3:uid="{EA6F4A65-99C9-4889-B0BC-BC1A55E471EA}" name="Herramientas_de_izaje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0" xr:uid="{AC1E1748-F79F-4B47-921B-8D28723D2E25}" name="Tabla152569113156199371" displayName="Tabla152569113156199371" ref="AL1:AL2" totalsRowShown="0" headerRowDxfId="632" dataDxfId="630" headerRowBorderDxfId="631" tableBorderDxfId="629">
  <autoFilter ref="AL1:AL2" xr:uid="{7CDF3488-ADF8-42BB-8EFE-46E3A509430E}"/>
  <tableColumns count="1">
    <tableColumn id="1" xr3:uid="{1569756D-5131-410B-A90C-47AC84111FB3}" name="Otros" dataDxfId="628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1" xr:uid="{02A46BFE-2D07-4791-A520-21B1928278B4}" name="Tabla162670114157200372" displayName="Tabla162670114157200372" ref="AM1:AM6" totalsRowShown="0">
  <autoFilter ref="AM1:AM6" xr:uid="{BA84FDFB-CFCF-49B5-A4A0-7E55EE0C8343}"/>
  <tableColumns count="1">
    <tableColumn id="1" xr3:uid="{A3934A60-7917-4C3B-A291-8ACB7A0FD337}" name="Equipos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2" xr:uid="{F469E820-3486-4D25-BBE6-15B67FFECBEC}" name="Tabla571115158201373" displayName="Tabla571115158201373" ref="AE33:AF35" totalsRowShown="0" tableBorderDxfId="627">
  <autoFilter ref="AE33:AF35" xr:uid="{CF2FEFF5-0ED4-40EF-A2CA-B8658D653CBB}"/>
  <tableColumns count="2">
    <tableColumn id="1" xr3:uid="{B4A93D01-E4AB-42EE-B0BF-33DFCC71D905}" name="Calentador"/>
    <tableColumn id="2" xr3:uid="{F0622BE4-F0F5-4621-8AF6-9A33A4BBA3F6}" name="Bomba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3" xr:uid="{66FFBF51-63AE-4434-ABC0-5FEB31A05E50}" name="Tabla1772116159202374" displayName="Tabla1772116159202374" ref="AE38:AE40" totalsRowShown="0" headerRowDxfId="626" headerRowBorderDxfId="625" tableBorderDxfId="624">
  <autoFilter ref="AE38:AE40" xr:uid="{830EF362-0156-4A25-9CC5-538DDBFCF308}"/>
  <tableColumns count="1">
    <tableColumn id="1" xr3:uid="{AC2B6D82-5203-45B9-ACB5-D78309FF0983}" name="Martillo 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4" xr:uid="{222151E4-A29B-44F9-96D5-41ABF21543F9}" name="Tabla1873117160203375" displayName="Tabla1873117160203375" ref="AG29:AG31" totalsRowShown="0" dataDxfId="623">
  <autoFilter ref="AG29:AG31" xr:uid="{D9204BB2-CBF2-43D1-8CAA-9AC826A37056}"/>
  <tableColumns count="1">
    <tableColumn id="1" xr3:uid="{21864470-B683-4857-B47B-139EE23FBAF7}" name="Nivel" dataDxfId="622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5" xr:uid="{12895B6D-DE23-4694-9B99-3573FF46DAD2}" name="Tabla1974118161204376" displayName="Tabla1974118161204376" ref="AE42:AE45" totalsRowShown="0" headerRowDxfId="621" headerRowBorderDxfId="620" tableBorderDxfId="619" totalsRowBorderDxfId="618">
  <autoFilter ref="AE42:AE45" xr:uid="{751CC4DE-0F10-45F1-BAA4-31688AE830B1}"/>
  <tableColumns count="1">
    <tableColumn id="1" xr3:uid="{5003093C-4D28-48F5-B90B-52AEE129B5EF}" name="Impactor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6" xr:uid="{10674AC8-E7D5-4D0C-9C32-8E1AD370662B}" name="Tabla2075119162205377" displayName="Tabla2075119162205377" ref="AE47:AE50" totalsRowShown="0">
  <autoFilter ref="AE47:AE50" xr:uid="{A14E2475-26A8-4E9D-8E77-6DD3075B12E9}"/>
  <tableColumns count="1">
    <tableColumn id="1" xr3:uid="{C0B0D6E1-8647-4781-B6E1-59F432DB39D1}" name="Extractor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7" xr:uid="{C763E2D8-A6B9-40DC-AADE-7EE642F40996}" name="Tabla2176120163206378" displayName="Tabla2176120163206378" ref="AE52:AE53" totalsRowShown="0" dataDxfId="617" tableBorderDxfId="616">
  <autoFilter ref="AE52:AE53" xr:uid="{FB135CB6-85B5-46C8-99B8-45176F814696}"/>
  <tableColumns count="1">
    <tableColumn id="1" xr3:uid="{E100EF37-C1D7-4B1C-B3CA-C2859A0C4504}" name="Esmeril" dataDxfId="615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8" xr:uid="{E034FA38-1C3C-4456-9776-B4C0A87245A5}" name="Tabla2277121164207379" displayName="Tabla2277121164207379" ref="AG56:AG58" totalsRowShown="0">
  <autoFilter ref="AG56:AG58" xr:uid="{3AB821FA-FFC5-4307-AC30-B52EA5139269}"/>
  <tableColumns count="1">
    <tableColumn id="1" xr3:uid="{8B7ED76F-FF2B-42EC-914C-BDA4B2845E5C}" name="Manometro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9" xr:uid="{F7098FD7-9F3A-4DE1-ACB6-ED7DD86926C8}" name="Tabla2378122165208380" displayName="Tabla2378122165208380" ref="AG33:AG36" totalsRowShown="0" headerRowDxfId="614" tableBorderDxfId="613">
  <autoFilter ref="AG33:AG36" xr:uid="{16F850A9-F3B2-41CD-A0AE-53D6CE1A75ED}"/>
  <tableColumns count="1">
    <tableColumn id="1" xr3:uid="{69F5D5DC-0F46-475D-B61C-2286446EE374}" name="Medidor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0" xr:uid="{C6A292F0-4260-4C5D-A6EA-8DE51E1C68FE}" name="Tabla2479123166209381" displayName="Tabla2479123166209381" ref="AG38:AG39" totalsRowShown="0" dataDxfId="612" tableBorderDxfId="611">
  <autoFilter ref="AG38:AG39" xr:uid="{1889A6F9-230B-4AFF-867D-3DF6472821F5}"/>
  <tableColumns count="1">
    <tableColumn id="1" xr3:uid="{C08F7377-2E55-4A9E-AF7D-B2DA9F3658A8}" name="Camara termografica" dataDxfId="610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1" xr:uid="{B8986D0D-B388-48B3-8D40-3F01A3622189}" name="Tabla2580124167210382" displayName="Tabla2580124167210382" ref="AH33:AH40" totalsRowShown="0">
  <autoFilter ref="AH33:AH40" xr:uid="{A0DED689-2510-4BE0-B85F-FD1D7D88DFA4}"/>
  <tableColumns count="1">
    <tableColumn id="1" xr3:uid="{FF30F9EB-973E-4DE4-B210-4E5FBDE51593}" name="Llaves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2" xr:uid="{59D33CB3-CF57-4B14-9A10-088BAE45BDD8}" name="Tabla2681125168211383" displayName="Tabla2681125168211383" ref="AG41:AG45" totalsRowShown="0" tableBorderDxfId="609">
  <autoFilter ref="AG41:AG45" xr:uid="{8ED6E545-64E7-44D4-B8A8-CB23D42265C0}"/>
  <tableColumns count="1">
    <tableColumn id="1" xr3:uid="{21550250-7794-4581-8573-623D4B42C324}" name="Calibrador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3" xr:uid="{AAD986D9-7CE6-4412-A794-C54C1528D286}" name="Tabla2882126169212384" displayName="Tabla2882126169212384" ref="AG48:AG51" totalsRowShown="0">
  <autoFilter ref="AG48:AG51" xr:uid="{9EF16892-84A3-4412-9559-E3ECBCBE8FAD}"/>
  <tableColumns count="1">
    <tableColumn id="1" xr3:uid="{08A3356D-D460-4C1F-8BF1-455DD8D290D8}" name="Micrómetro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4" xr:uid="{46A5BC1F-1E65-423B-A53A-03C6CB0DF5D4}" name="Tabla2983127170213385" displayName="Tabla2983127170213385" ref="AH67:AH69" totalsRowShown="0" tableBorderDxfId="608">
  <autoFilter ref="AH67:AH69" xr:uid="{2312EFE8-ED6F-40CE-936E-92708A2A3E11}"/>
  <tableColumns count="1">
    <tableColumn id="1" xr3:uid="{063B3B3C-63CA-4C9D-9D6F-03FEA98BCCC8}" name="Alicates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5" xr:uid="{9F18C59E-DF43-4967-92D2-46D3005DD174}" name="Tabla3084128171214386" displayName="Tabla3084128171214386" ref="AH50:AH59" totalsRowShown="0" dataDxfId="607" tableBorderDxfId="606">
  <autoFilter ref="AH50:AH59" xr:uid="{3B268A63-E4A5-4D1B-B445-E13631B6E887}"/>
  <tableColumns count="1">
    <tableColumn id="1" xr3:uid="{B4C63B27-1C04-4E1D-A2BB-F776EC99D757}" name="Dados" dataDxfId="605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6" xr:uid="{CAAAC45B-EDBB-44D5-A9B8-654FDE8271FE}" name="Tabla3285129172215387" displayName="Tabla3285129172215387" ref="AH43:AH44" totalsRowShown="0" dataDxfId="604" tableBorderDxfId="603">
  <autoFilter ref="AH43:AH44" xr:uid="{005ABD67-F7E0-47FD-8970-322FEA5BBC4C}"/>
  <tableColumns count="1">
    <tableColumn id="1" xr3:uid="{47509E56-EB8B-472D-915C-45B1AD674555}" name="Tijera" dataDxfId="602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7" xr:uid="{8949AECA-9BFA-43FB-8DCD-BA5D373A15C8}" name="Tabla3386130173216388" displayName="Tabla3386130173216388" ref="AG63:AG64" totalsRowShown="0" dataDxfId="601" tableBorderDxfId="600">
  <autoFilter ref="AG63:AG64" xr:uid="{7D457BB0-C389-4126-BC6E-CB6D91AFE2A6}"/>
  <tableColumns count="1">
    <tableColumn id="1" xr3:uid="{00A16462-4D43-4358-AD14-FEB2654AA780}" name="Estetoscopio" dataDxfId="599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8" xr:uid="{86EEB555-4E63-4247-BF78-C605AB592FC2}" name="Tabla3487131174217389" displayName="Tabla3487131174217389" ref="AH47:AH48" totalsRowShown="0" dataDxfId="598" tableBorderDxfId="597">
  <autoFilter ref="AH47:AH48" xr:uid="{EC300733-E688-43CB-A693-F1E2F80F6495}"/>
  <tableColumns count="1">
    <tableColumn id="1" xr3:uid="{C60BEA77-214D-4A6D-9257-3DDA3703A16F}" name="Alargador" dataDxfId="596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9" xr:uid="{BF7A2C8E-1B55-4B5B-ABCD-F5F191D8D09D}" name="Tabla3588132175218390" displayName="Tabla3588132175218390" ref="AG60:AG61" totalsRowShown="0" dataDxfId="595" tableBorderDxfId="594">
  <autoFilter ref="AG60:AG61" xr:uid="{B42C8F8F-E6AD-4FF3-9580-F9F4B996FF6F}"/>
  <tableColumns count="1">
    <tableColumn id="1" xr3:uid="{B77A4DEA-D379-4663-A90D-32C170EB0749}" name="Torquimetro" dataDxfId="593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0" xr:uid="{B0FF7044-BE74-47FB-A458-C850DACC0553}" name="Tabla3789133176219391" displayName="Tabla3789133176219391" ref="AI29:AI30" totalsRowShown="0" headerRowDxfId="592" dataDxfId="590" headerRowBorderDxfId="591" tableBorderDxfId="589" totalsRowBorderDxfId="588">
  <autoFilter ref="AI29:AI30" xr:uid="{2886962D-17B4-4D37-AB1E-9FE27B267D99}"/>
  <tableColumns count="1">
    <tableColumn id="1" xr3:uid="{CA398B2C-7A8D-4A76-A7A7-B902816B4866}" name="Llave " dataDxfId="587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2" xr:uid="{EBFD1649-B0A3-44D8-81B6-DAF0C47B209F}" name="Tabla3991135178221393" displayName="Tabla3991135178221393" ref="AH29:AH30" totalsRowShown="0">
  <autoFilter ref="AH29:AH30" xr:uid="{1C0F20AA-1469-4335-A289-55F2E420509F}"/>
  <tableColumns count="1">
    <tableColumn id="1" xr3:uid="{DB8B0DA5-1666-4A39-B35A-56D281498B57}" name="Multiplicador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3" xr:uid="{47511B1C-E526-4B99-ACBB-7694808E9EF6}" name="Tabla4092136179222394" displayName="Tabla4092136179222394" ref="AE29:AF31" totalsRowShown="0" tableBorderDxfId="586">
  <autoFilter ref="AE29:AF31" xr:uid="{2E7F26C8-B310-438B-BD08-8C0BC82B7627}"/>
  <tableColumns count="2">
    <tableColumn id="1" xr3:uid="{BA723571-984D-4B27-BEF5-27708715E272}" name="Soldadoras"/>
    <tableColumn id="2" xr3:uid="{3F515D91-294D-4B9C-8D4C-B493CF803EAB}" name="Martillo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4" xr:uid="{61D61259-90A2-4758-9AF6-134219FB89F2}" name="Tabla4293137180223395" displayName="Tabla4293137180223395" ref="AE58:AE59" totalsRowShown="0">
  <autoFilter ref="AE58:AE59" xr:uid="{BDB2A400-1F11-4F53-807B-27202876BE6C}"/>
  <tableColumns count="1">
    <tableColumn id="1" xr3:uid="{8083E154-4676-4D1C-8BCA-4D0A8EDDB559}" name="Amoladora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5" xr:uid="{2CC35059-9A55-4408-AD3E-DF6E39B120F2}" name="Tabla4394138181224396" displayName="Tabla4394138181224396" ref="AE62:AE64" totalsRowShown="0" dataDxfId="585" tableBorderDxfId="584">
  <autoFilter ref="AE62:AE64" xr:uid="{931F2BE3-67FF-44D5-B415-148F761F93A6}"/>
  <tableColumns count="1">
    <tableColumn id="1" xr3:uid="{D3C90DDA-E0A3-4810-BDE0-3A0BCA5E9923}" name="Iluminación" dataDxfId="583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6" xr:uid="{28C63FB1-D959-47F3-A2F1-172F18563448}" name="Tabla4495139182225397" displayName="Tabla4495139182225397" ref="AK29:AK30" totalsRowShown="0">
  <autoFilter ref="AK29:AK30" xr:uid="{9781A61A-AC29-41AE-98F6-916225D99E1D}"/>
  <tableColumns count="1">
    <tableColumn id="1" xr3:uid="{552A9E31-C067-4A2C-BAE4-0FDEBE4764AE}" name="Tecle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7" xr:uid="{0E307621-08BE-4A83-964E-281A6655C1AE}" name="Tabla4596140183226398" displayName="Tabla4596140183226398" ref="AE66:AE68" totalsRowShown="0">
  <autoFilter ref="AE66:AE68" xr:uid="{883961C8-D276-4BAE-B81D-192750F3D2CC}"/>
  <tableColumns count="1">
    <tableColumn id="1" xr3:uid="{372F76AA-B8F5-437A-9278-79DF317E9C86}" name="Lubricador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8" xr:uid="{F99086BC-41B0-46B9-B844-30204750214C}" name="Tabla4697141184227399" displayName="Tabla4697141184227399" ref="AH61:AH62" totalsRowShown="0">
  <autoFilter ref="AH61:AH62" xr:uid="{F9F816C6-2BEF-46FF-915F-BE5B9C6045E2}"/>
  <tableColumns count="1">
    <tableColumn id="1" xr3:uid="{11D8B4A9-7C03-4084-976E-5CBAB32BB7A6}" name="Combos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9" xr:uid="{A210D660-67CA-43BF-9023-1AD71BCECC83}" name="Tabla4798142185228400" displayName="Tabla4798142185228400" ref="AH64:AH65" totalsRowShown="0">
  <autoFilter ref="AH64:AH65" xr:uid="{D0087047-FAAD-47F1-8107-9751D313CB07}"/>
  <tableColumns count="1">
    <tableColumn id="1" xr3:uid="{821AE56B-CAF2-457B-823A-8A94DB27CE14}" name="Mesa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0" xr:uid="{51C4A9E6-9AAB-48F3-96BD-CEA54F227B26}" name="Tabla4899143186229401" displayName="Tabla4899143186229401" ref="AN29:AN31" totalsRowShown="0" tableBorderDxfId="582">
  <autoFilter ref="AN29:AN31" xr:uid="{98D206C1-A450-4754-81B2-030642ED939D}"/>
  <tableColumns count="1">
    <tableColumn id="1" xr3:uid="{A2FD72EF-D1D1-4A89-87F4-E4E9A4280273}" name="Pinza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1" xr:uid="{C7366CDF-2678-427D-A67D-80A02565365A}" name="Tabla4956100144187230402" displayName="Tabla4956100144187230402" ref="AN1:AN20" totalsRowShown="0" tableBorderDxfId="581">
  <autoFilter ref="AN1:AN20" xr:uid="{682A1042-040F-4BDC-814E-19EDB04144BA}"/>
  <tableColumns count="1">
    <tableColumn id="1" xr3:uid="{56937927-50F3-4303-B80F-1EA6E9D7E4D2}" name="Accesorios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1" xr:uid="{701E3DC4-BF4B-4A2A-8A00-43AE05820DE9}" name="Tabla3890134177220392" displayName="Tabla3890134177220392" ref="B1:S1426" totalsRowShown="0" headerRowDxfId="580">
  <autoFilter ref="B1:S1426" xr:uid="{58127080-A22D-466C-8BA0-CCF2E2227FD2}"/>
  <tableColumns count="18">
    <tableColumn id="1" xr3:uid="{FE8E20F0-4119-4007-811B-100B52C4E2E6}" name="Item">
      <calculatedColumnFormula>ROW()-1</calculatedColumnFormula>
    </tableColumn>
    <tableColumn id="2" xr3:uid="{5751D76F-B4A8-4427-9A47-2026B101B4B6}" name="Area" dataDxfId="579"/>
    <tableColumn id="3" xr3:uid="{E7CD50E5-840B-4E6F-99DC-E413C8ED7359}" name="Cantidad"/>
    <tableColumn id="4" xr3:uid="{56364780-5328-4DBB-A88D-C8FB14586564}" name="Clasificacion" dataDxfId="578"/>
    <tableColumn id="5" xr3:uid="{2D8F2819-C082-46E1-9030-BB498B7E36C8}" name="Descripción del equipo"/>
    <tableColumn id="6" xr3:uid="{4D32006B-FBDE-400E-9E68-E03EE1986681}" name="Marca" dataDxfId="577">
      <calculatedColumnFormula>LEFT([1]modificado!$O$2, FIND(" ", [1]modificado!$O$2 &amp; " ") - 1)</calculatedColumnFormula>
    </tableColumn>
    <tableColumn id="7" xr3:uid="{29F6AE7D-2115-4456-8999-5ECBDAEEA251}" name="Modelo" dataDxfId="576">
      <calculatedColumnFormula>RIGHT([1]!Tabla2[[#This Row],[Marca y Modelo]], LEN([1]!Tabla2[[#This Row],[Marca y Modelo]]) - FIND(" ", [1]!Tabla2[[#This Row],[Marca y Modelo]]))</calculatedColumnFormula>
    </tableColumn>
    <tableColumn id="8" xr3:uid="{61B21A36-2B21-440E-B329-A9872737687D}" name="Cod. Antiguo"/>
    <tableColumn id="9" xr3:uid="{4604289E-2875-4B91-A685-C0C6AFBE6038}" name="Número de Serie"/>
    <tableColumn id="18" xr3:uid="{812B02FF-9D5A-4FE9-B14A-EFAE6B9A251A}" name="Codigo Interno" dataDxfId="575"/>
    <tableColumn id="17" xr3:uid="{D07CF804-38AC-4970-9899-1760F871F509}" name="ID Unico RFID (EPC)" dataDxfId="574"/>
    <tableColumn id="16" xr3:uid="{8D5BE020-DBD1-44C6-BE96-0D4C2ADC2314}" name="Normativa" dataDxfId="573"/>
    <tableColumn id="10" xr3:uid="{FA8CD494-E500-4622-8135-32C3C7415F35}" name="Cód. Nuevo Asig" dataDxfId="572"/>
    <tableColumn id="11" xr3:uid="{C513C103-1988-4D23-BA31-ACBD8007C7D7}" name="Codigo de parte"/>
    <tableColumn id="12" xr3:uid="{81B51F3B-9FF4-46FC-B48E-680023093703}" name="Ubicación" dataDxfId="571"/>
    <tableColumn id="13" xr3:uid="{F44C3C3B-5CCD-4D59-9321-43DCFAB1A63F}" name="Frecuencia de uso"/>
    <tableColumn id="14" xr3:uid="{7580980D-7A72-4CF4-84A8-5CC872809DD6}" name="Estado"/>
    <tableColumn id="15" xr3:uid="{EC3C5B18-1559-400B-8118-33200B1539CE}" name="Observaciones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6" xr:uid="{9385F3C0-CDC7-4D4D-917A-D13A688B9493}" name="Tabla758102145188317" displayName="Tabla758102145188317" ref="U1:V12" totalsRowShown="0" dataDxfId="570" tableBorderDxfId="569">
  <autoFilter ref="U1:V12" xr:uid="{9C601E76-6EC7-4996-8C5A-4EC2650D4D49}"/>
  <tableColumns count="2">
    <tableColumn id="1" xr3:uid="{91D279D4-A627-419A-BA57-B12E91991691}" name="ID" dataDxfId="568"/>
    <tableColumn id="2" xr3:uid="{6759DAA8-E9B8-49B9-A1E9-7D6510A05183}" name="Area" dataDxfId="567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7" xr:uid="{99D066A6-FE65-43ED-9990-CE2ECE5D9DEE}" name="Tabla259103146189318" displayName="Tabla259103146189318" ref="X1:Y4" totalsRowShown="0" headerRowDxfId="566" headerRowBorderDxfId="565" tableBorderDxfId="564" totalsRowBorderDxfId="563">
  <autoFilter ref="X1:Y4" xr:uid="{8EA5E146-546E-4301-8341-E9A2182AF11B}"/>
  <tableColumns count="2">
    <tableColumn id="1" xr3:uid="{C3C9D9C4-E2B7-42AC-BDD9-E793492A8434}" name="ID" dataDxfId="562"/>
    <tableColumn id="2" xr3:uid="{0AB5EF41-FB73-454D-8A14-09E2C966BF20}" name="Estado" dataDxfId="561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8" xr:uid="{12C6F843-F157-42BE-AC20-5A46F8CE2A3A}" name="Tabla360104147190319" displayName="Tabla360104147190319" ref="AA1:AB7" totalsRowShown="0" headerRowDxfId="560" headerRowBorderDxfId="559" tableBorderDxfId="558" totalsRowBorderDxfId="557">
  <autoFilter ref="AA1:AB7" xr:uid="{4313A204-2187-4F5D-B195-E9D8244B0B6A}"/>
  <tableColumns count="2">
    <tableColumn id="1" xr3:uid="{04685332-A45A-480F-9366-87A2BC025884}" name="ID" dataDxfId="556"/>
    <tableColumn id="2" xr3:uid="{3D385D5E-F5F0-44BB-9704-2C55D52E04DA}" name="Clasificación" dataDxfId="555"/>
  </tableColumns>
  <tableStyleInfo name="TableStyleMedium2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9" xr:uid="{FED52538-4EE3-411E-A25B-8EE705C6DE0E}" name="Tabla461105148191320" displayName="Tabla461105148191320" ref="AA9:AA12" totalsRowShown="0" headerRowDxfId="554" headerRowBorderDxfId="553" tableBorderDxfId="552" totalsRowBorderDxfId="551">
  <autoFilter ref="AA9:AA12" xr:uid="{4FA69CD1-8D3C-4F41-B69E-D64790738288}"/>
  <tableColumns count="1">
    <tableColumn id="1" xr3:uid="{A86648F6-6A0F-48F5-846F-12ADF0D5ED4D}" name="Frecuencia de uso" dataDxfId="550"/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0" xr:uid="{AC555229-B1F5-4D31-B25B-8DBE20FB1112}" name="Herramientas_eléctricas1862106149192321" displayName="Herramientas_eléctricas1862106149192321" ref="AE1:AE21" totalsRowShown="0" headerRowDxfId="549" headerRowBorderDxfId="548" tableBorderDxfId="547">
  <autoFilter ref="AE1:AE21" xr:uid="{9A901B8B-4001-4C56-97C1-F800FB168E81}"/>
  <tableColumns count="1">
    <tableColumn id="1" xr3:uid="{F23C312F-42A1-4D6D-B332-633CBFA48A19}" name="Herramientas_eléctricas"/>
  </tableColumns>
  <tableStyleInfo name="TableStyleMedium2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1" xr:uid="{653CD0BA-6DFC-4BE7-91FE-7091E294DC6D}" name="Herramientas_neumáticas1963107150193322" displayName="Herramientas_neumáticas1963107150193322" ref="AF1:AF6" totalsRowShown="0" headerRowDxfId="546" headerRowBorderDxfId="545" tableBorderDxfId="544">
  <autoFilter ref="AF1:AF6" xr:uid="{DDFD7ABB-9233-49B8-8E7D-0C4E4E73668B}"/>
  <tableColumns count="1">
    <tableColumn id="1" xr3:uid="{11F5D621-7EFC-49AE-B741-7EC9B598C5E4}" name="Herramientas_neumáticas"/>
  </tableColumns>
  <tableStyleInfo name="TableStyleMedium2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2" xr:uid="{3E97A4B0-4347-47E1-AA27-B172428ACF80}" name="Herramientas_de_medición2064108151194323" displayName="Herramientas_de_medición2064108151194323" ref="AG1:AG16" totalsRowShown="0" headerRowDxfId="543" headerRowBorderDxfId="542" tableBorderDxfId="541">
  <autoFilter ref="AG1:AG16" xr:uid="{A1A99238-FF6A-4B46-95FE-F6F59C0A59FF}"/>
  <tableColumns count="1">
    <tableColumn id="1" xr3:uid="{5AAD3D39-D867-4B22-A3B2-341F59306CBF}" name="Herramientas_de_medición" dataDxfId="540"/>
  </tableColumns>
  <tableStyleInfo name="TableStyleMedium2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3" xr:uid="{3BF27C3C-0E7C-401B-923A-D3C5A1753927}" name="Herrramientas_mecánicas2165109152195324" displayName="Herrramientas_mecánicas2165109152195324" ref="AH1:AH21" totalsRowShown="0" headerRowDxfId="539" headerRowBorderDxfId="538" tableBorderDxfId="537">
  <autoFilter ref="AH1:AH21" xr:uid="{82699701-A4C7-4A41-A40B-8F87727B2FCD}"/>
  <tableColumns count="1">
    <tableColumn id="1" xr3:uid="{A3543A37-0254-4AE3-918F-D6C5300A07E3}" name="Herramientas_mecánicas"/>
  </tableColumns>
  <tableStyleInfo name="TableStyleMedium2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4" xr:uid="{10FD923F-B88B-4189-83C8-4BB7E2EBABF1}" name="Herramientas_hidráulicas2266110153196325" displayName="Herramientas_hidráulicas2266110153196325" ref="AI1:AI9" totalsRowShown="0" headerRowDxfId="536" dataDxfId="534" headerRowBorderDxfId="535" tableBorderDxfId="533">
  <autoFilter ref="AI1:AI9" xr:uid="{5C7C5014-0DFD-4140-8DC3-6AF6EDF169E4}"/>
  <tableColumns count="1">
    <tableColumn id="1" xr3:uid="{6A401888-D52A-4334-8BE4-A29B887E6D81}" name="Herramientas_hidráulicas" dataDxfId="532"/>
  </tableColumns>
  <tableStyleInfo name="TableStyleMedium2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5" xr:uid="{64DECC87-AAC8-4B1A-8BA4-D04A5A719F7F}" name="EPP_2367111154197326" displayName="EPP_2367111154197326" ref="AJ1:AJ6" totalsRowShown="0" headerRowDxfId="531" headerRowBorderDxfId="530" tableBorderDxfId="529">
  <autoFilter ref="AJ1:AJ6" xr:uid="{6ED4F867-D028-4151-85A1-2598FAD98928}"/>
  <tableColumns count="1">
    <tableColumn id="1" xr3:uid="{052E0D63-2EC9-4E4F-AF47-22AE8F8B38D7}" name="SPCC"/>
  </tableColumns>
  <tableStyleInfo name="TableStyleMedium2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6" xr:uid="{B7079C30-BA31-4ED9-B2FD-DDD8F0226FA3}" name="Herramientas_de_izaje2468112155198327" displayName="Herramientas_de_izaje2468112155198327" ref="AK1:AK6" totalsRowShown="0" headerRowDxfId="528" headerRowBorderDxfId="527" tableBorderDxfId="526">
  <autoFilter ref="AK1:AK6" xr:uid="{0DE75960-5B93-46A7-AAE6-BC581FFF1354}"/>
  <tableColumns count="1">
    <tableColumn id="1" xr3:uid="{A51F9103-F6B3-4782-BE5C-FF222A487C40}" name="Herramientas_de_izaje"/>
  </tableColumns>
  <tableStyleInfo name="TableStyleMedium2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7" xr:uid="{B918A409-E9C2-42AE-B9E5-8118866AF966}" name="Tabla152569113156199328" displayName="Tabla152569113156199328" ref="AL1:AL2" totalsRowShown="0" headerRowDxfId="525" dataDxfId="523" headerRowBorderDxfId="524" tableBorderDxfId="522">
  <autoFilter ref="AL1:AL2" xr:uid="{7CDF3488-ADF8-42BB-8EFE-46E3A509430E}"/>
  <tableColumns count="1">
    <tableColumn id="1" xr3:uid="{0A8F125D-D6F6-40C7-B59B-0A78D491DE57}" name="Otros" dataDxfId="521"/>
  </tableColumns>
  <tableStyleInfo name="TableStyleMedium2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8" xr:uid="{9CF8C5E4-570C-4673-8027-54A448ED75CC}" name="Tabla162670114157200329" displayName="Tabla162670114157200329" ref="AM1:AM6" totalsRowShown="0">
  <autoFilter ref="AM1:AM6" xr:uid="{BA84FDFB-CFCF-49B5-A4A0-7E55EE0C8343}"/>
  <tableColumns count="1">
    <tableColumn id="1" xr3:uid="{E271D9D8-B02C-4440-A04D-BC4674B3EDCD}" name="Equipos"/>
  </tableColumns>
  <tableStyleInfo name="TableStyleMedium2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9" xr:uid="{3E007313-30AD-4E37-B79A-66FB0FA6494E}" name="Tabla571115158201330" displayName="Tabla571115158201330" ref="AE33:AF35" totalsRowShown="0" tableBorderDxfId="520">
  <autoFilter ref="AE33:AF35" xr:uid="{CF2FEFF5-0ED4-40EF-A2CA-B8658D653CBB}"/>
  <tableColumns count="2">
    <tableColumn id="1" xr3:uid="{7E6E792C-E6BD-44FA-844F-924D7B0336BF}" name="Calentador"/>
    <tableColumn id="2" xr3:uid="{D8A03681-78DF-4D44-B68E-5C3F700AE619}" name="Bomba"/>
  </tableColumns>
  <tableStyleInfo name="TableStyleMedium2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0" xr:uid="{97255148-E72A-4BA7-B730-12DDBC380652}" name="Tabla1772116159202331" displayName="Tabla1772116159202331" ref="AE38:AE40" totalsRowShown="0" headerRowDxfId="519" headerRowBorderDxfId="518" tableBorderDxfId="517">
  <autoFilter ref="AE38:AE40" xr:uid="{830EF362-0156-4A25-9CC5-538DDBFCF308}"/>
  <tableColumns count="1">
    <tableColumn id="1" xr3:uid="{97C348F1-9DE6-4FB7-AE74-6BA258744287}" name="Martillo "/>
  </tableColumns>
  <tableStyleInfo name="TableStyleMedium2"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1" xr:uid="{9CEF6E34-5DE0-499C-A084-7DCF4CDBD076}" name="Tabla1873117160203332" displayName="Tabla1873117160203332" ref="AG29:AG31" totalsRowShown="0" dataDxfId="516">
  <autoFilter ref="AG29:AG31" xr:uid="{D9204BB2-CBF2-43D1-8CAA-9AC826A37056}"/>
  <tableColumns count="1">
    <tableColumn id="1" xr3:uid="{BEF80D04-269A-44E2-BA1D-A99804892E06}" name="Nivel" dataDxfId="515"/>
  </tableColumns>
  <tableStyleInfo name="TableStyleMedium2" showFirstColumn="0" showLastColumn="0" showRowStripes="1" showColumnStripes="0"/>
</table>
</file>

<file path=xl/tables/table1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2" xr:uid="{CE21A2AD-16C8-478F-9998-BB122AC49458}" name="Tabla1974118161204333" displayName="Tabla1974118161204333" ref="AE42:AE45" totalsRowShown="0" headerRowDxfId="514" headerRowBorderDxfId="513" tableBorderDxfId="512" totalsRowBorderDxfId="511">
  <autoFilter ref="AE42:AE45" xr:uid="{751CC4DE-0F10-45F1-BAA4-31688AE830B1}"/>
  <tableColumns count="1">
    <tableColumn id="1" xr3:uid="{E64AC16B-2D5D-4EDE-88D4-495B7F257652}" name="Impactor"/>
  </tableColumns>
  <tableStyleInfo name="TableStyleMedium2" showFirstColumn="0" showLastColumn="0" showRowStripes="1" showColumnStripes="0"/>
</table>
</file>

<file path=xl/tables/table1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3" xr:uid="{3D564C88-2EFD-4852-97F3-B7630A09BFD6}" name="Tabla2075119162205334" displayName="Tabla2075119162205334" ref="AE47:AE50" totalsRowShown="0">
  <autoFilter ref="AE47:AE50" xr:uid="{A14E2475-26A8-4E9D-8E77-6DD3075B12E9}"/>
  <tableColumns count="1">
    <tableColumn id="1" xr3:uid="{3C1FAE5A-1D75-446D-9E12-B3978FF31A50}" name="Extractor"/>
  </tableColumns>
  <tableStyleInfo name="TableStyleMedium2" showFirstColumn="0" showLastColumn="0" showRowStripes="1" showColumnStripes="0"/>
</table>
</file>

<file path=xl/tables/table1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4" xr:uid="{153201D8-F2C1-471F-B22E-CC6AC99A17DB}" name="Tabla2176120163206335" displayName="Tabla2176120163206335" ref="AE52:AE53" totalsRowShown="0" dataDxfId="510" tableBorderDxfId="509">
  <autoFilter ref="AE52:AE53" xr:uid="{FB135CB6-85B5-46C8-99B8-45176F814696}"/>
  <tableColumns count="1">
    <tableColumn id="1" xr3:uid="{D0B01298-8368-4C67-AE43-E5B16A3DBF25}" name="Esmeril" dataDxfId="508"/>
  </tableColumns>
  <tableStyleInfo name="TableStyleMedium2" showFirstColumn="0" showLastColumn="0" showRowStripes="1" showColumnStripes="0"/>
</table>
</file>

<file path=xl/tables/table1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5" xr:uid="{F048E6FC-646F-49F8-A608-E39437E95770}" name="Tabla2277121164207336" displayName="Tabla2277121164207336" ref="AG56:AG58" totalsRowShown="0">
  <autoFilter ref="AG56:AG58" xr:uid="{3AB821FA-FFC5-4307-AC30-B52EA5139269}"/>
  <tableColumns count="1">
    <tableColumn id="1" xr3:uid="{DBE1D101-A312-4186-9720-1D0096C61DA5}" name="Manometro"/>
  </tableColumns>
  <tableStyleInfo name="TableStyleMedium2" showFirstColumn="0" showLastColumn="0" showRowStripes="1" showColumnStripes="0"/>
</table>
</file>

<file path=xl/tables/table1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6" xr:uid="{6C4ADE7F-0E19-43F2-A4E9-932CF2409AB6}" name="Tabla2378122165208337" displayName="Tabla2378122165208337" ref="AG33:AG36" totalsRowShown="0" headerRowDxfId="507" tableBorderDxfId="506">
  <autoFilter ref="AG33:AG36" xr:uid="{16F850A9-F3B2-41CD-A0AE-53D6CE1A75ED}"/>
  <tableColumns count="1">
    <tableColumn id="1" xr3:uid="{2D3AA306-A798-48D1-9F7F-728AEBD538A0}" name="Medidor"/>
  </tableColumns>
  <tableStyleInfo name="TableStyleMedium2" showFirstColumn="0" showLastColumn="0" showRowStripes="1" showColumnStripes="0"/>
</table>
</file>

<file path=xl/tables/table1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7" xr:uid="{23C9AD61-7077-4B92-B687-011B1AFFC7E0}" name="Tabla2479123166209338" displayName="Tabla2479123166209338" ref="AG38:AG39" totalsRowShown="0" dataDxfId="505" tableBorderDxfId="504">
  <autoFilter ref="AG38:AG39" xr:uid="{1889A6F9-230B-4AFF-867D-3DF6472821F5}"/>
  <tableColumns count="1">
    <tableColumn id="1" xr3:uid="{66E7F27D-A681-4B11-A74A-3F85A4784CE0}" name="Camara termografica" dataDxfId="503"/>
  </tableColumns>
  <tableStyleInfo name="TableStyleMedium2" showFirstColumn="0" showLastColumn="0" showRowStripes="1" showColumnStripes="0"/>
</table>
</file>

<file path=xl/tables/table1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8" xr:uid="{DD30B449-D19D-42B7-92B8-80BF1CEE4356}" name="Tabla2580124167210339" displayName="Tabla2580124167210339" ref="AH33:AH40" totalsRowShown="0">
  <autoFilter ref="AH33:AH40" xr:uid="{A0DED689-2510-4BE0-B85F-FD1D7D88DFA4}"/>
  <tableColumns count="1">
    <tableColumn id="1" xr3:uid="{CAEC66C0-F439-455A-8E1B-BB13B7DCF69A}" name="Llaves"/>
  </tableColumns>
  <tableStyleInfo name="TableStyleMedium2" showFirstColumn="0" showLastColumn="0" showRowStripes="1" showColumnStripes="0"/>
</table>
</file>

<file path=xl/tables/table1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9" xr:uid="{3A6B5411-65C0-42CC-B243-E16CC8C52830}" name="Tabla2681125168211340" displayName="Tabla2681125168211340" ref="AG41:AG45" totalsRowShown="0" tableBorderDxfId="502">
  <autoFilter ref="AG41:AG45" xr:uid="{8ED6E545-64E7-44D4-B8A8-CB23D42265C0}"/>
  <tableColumns count="1">
    <tableColumn id="1" xr3:uid="{B17D2470-494B-41BC-8D4C-2ECB613C46A8}" name="Calibrador"/>
  </tableColumns>
  <tableStyleInfo name="TableStyleMedium2" showFirstColumn="0" showLastColumn="0" showRowStripes="1" showColumnStripes="0"/>
</table>
</file>

<file path=xl/tables/table1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0" xr:uid="{3E90F2E4-A28B-40B7-9386-DC2E88DB9EB7}" name="Tabla2882126169212341" displayName="Tabla2882126169212341" ref="AG48:AG51" totalsRowShown="0">
  <autoFilter ref="AG48:AG51" xr:uid="{9EF16892-84A3-4412-9559-E3ECBCBE8FAD}"/>
  <tableColumns count="1">
    <tableColumn id="1" xr3:uid="{8B46497B-FAA7-4FC0-84D4-F9966A590EB2}" name="Micrómetro"/>
  </tableColumns>
  <tableStyleInfo name="TableStyleMedium2" showFirstColumn="0" showLastColumn="0" showRowStripes="1" showColumnStripes="0"/>
</table>
</file>

<file path=xl/tables/table1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1" xr:uid="{B25B7C10-CE8E-4DCD-934F-99284EF4B885}" name="Tabla2983127170213342" displayName="Tabla2983127170213342" ref="AH67:AH69" totalsRowShown="0" tableBorderDxfId="501">
  <autoFilter ref="AH67:AH69" xr:uid="{2312EFE8-ED6F-40CE-936E-92708A2A3E11}"/>
  <tableColumns count="1">
    <tableColumn id="1" xr3:uid="{3483BCED-45C3-4632-A4FA-7FDFE5B9DB05}" name="Alicates"/>
  </tableColumns>
  <tableStyleInfo name="TableStyleMedium2" showFirstColumn="0" showLastColumn="0" showRowStripes="1" showColumnStripes="0"/>
</table>
</file>

<file path=xl/tables/table1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2" xr:uid="{1F4F8865-748A-45C9-AF5F-FA362CA4A631}" name="Tabla3084128171214343" displayName="Tabla3084128171214343" ref="AH50:AH59" totalsRowShown="0" dataDxfId="500" tableBorderDxfId="499">
  <autoFilter ref="AH50:AH59" xr:uid="{3B268A63-E4A5-4D1B-B445-E13631B6E887}"/>
  <tableColumns count="1">
    <tableColumn id="1" xr3:uid="{EB3FB134-B7AB-4B23-B5F7-FBF1C21F7C93}" name="Dados" dataDxfId="498"/>
  </tableColumns>
  <tableStyleInfo name="TableStyleMedium2" showFirstColumn="0" showLastColumn="0" showRowStripes="1" showColumnStripes="0"/>
</table>
</file>

<file path=xl/tables/table2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3" xr:uid="{AAD02867-9577-4996-B2C3-CB20CD6C505E}" name="Tabla3285129172215344" displayName="Tabla3285129172215344" ref="AH43:AH44" totalsRowShown="0" dataDxfId="497" tableBorderDxfId="496">
  <autoFilter ref="AH43:AH44" xr:uid="{005ABD67-F7E0-47FD-8970-322FEA5BBC4C}"/>
  <tableColumns count="1">
    <tableColumn id="1" xr3:uid="{7D06C890-8657-45EB-8CED-9417EFBACED1}" name="Tijera" dataDxfId="495"/>
  </tableColumns>
  <tableStyleInfo name="TableStyleMedium2" showFirstColumn="0" showLastColumn="0" showRowStripes="1" showColumnStripes="0"/>
</table>
</file>

<file path=xl/tables/table2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4" xr:uid="{3B9A467F-4BA7-4C5B-9D32-3512892B4EE2}" name="Tabla3386130173216345" displayName="Tabla3386130173216345" ref="AG63:AG64" totalsRowShown="0" dataDxfId="494" tableBorderDxfId="493">
  <autoFilter ref="AG63:AG64" xr:uid="{7D457BB0-C389-4126-BC6E-CB6D91AFE2A6}"/>
  <tableColumns count="1">
    <tableColumn id="1" xr3:uid="{DE715DB7-C485-4B17-A1F1-754E2FC96895}" name="Estetoscopio" dataDxfId="492"/>
  </tableColumns>
  <tableStyleInfo name="TableStyleMedium2" showFirstColumn="0" showLastColumn="0" showRowStripes="1" showColumnStripes="0"/>
</table>
</file>

<file path=xl/tables/table2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5" xr:uid="{F7EB98A6-57B3-4C96-8C87-040164E2CC6D}" name="Tabla3487131174217346" displayName="Tabla3487131174217346" ref="AH47:AH48" totalsRowShown="0" dataDxfId="491" tableBorderDxfId="490">
  <autoFilter ref="AH47:AH48" xr:uid="{EC300733-E688-43CB-A693-F1E2F80F6495}"/>
  <tableColumns count="1">
    <tableColumn id="1" xr3:uid="{83780C20-6205-44AA-9CC1-E88C547A0B0A}" name="Alargador" dataDxfId="489"/>
  </tableColumns>
  <tableStyleInfo name="TableStyleMedium2" showFirstColumn="0" showLastColumn="0" showRowStripes="1" showColumnStripes="0"/>
</table>
</file>

<file path=xl/tables/table2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6" xr:uid="{C19CDE28-09AB-4289-8200-47642BFED1EF}" name="Tabla3588132175218347" displayName="Tabla3588132175218347" ref="AG60:AG61" totalsRowShown="0" dataDxfId="488" tableBorderDxfId="487">
  <autoFilter ref="AG60:AG61" xr:uid="{B42C8F8F-E6AD-4FF3-9580-F9F4B996FF6F}"/>
  <tableColumns count="1">
    <tableColumn id="1" xr3:uid="{9F884B2D-61D8-475D-8864-C41696B80B47}" name="Torquimetro" dataDxfId="486"/>
  </tableColumns>
  <tableStyleInfo name="TableStyleMedium2" showFirstColumn="0" showLastColumn="0" showRowStripes="1" showColumnStripes="0"/>
</table>
</file>

<file path=xl/tables/table2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7" xr:uid="{DA1ECCA1-07E9-40DD-95AE-B84189A1C2BE}" name="Tabla3789133176219348" displayName="Tabla3789133176219348" ref="AI29:AI30" totalsRowShown="0" headerRowDxfId="485" dataDxfId="483" headerRowBorderDxfId="484" tableBorderDxfId="482" totalsRowBorderDxfId="481">
  <autoFilter ref="AI29:AI30" xr:uid="{2886962D-17B4-4D37-AB1E-9FE27B267D99}"/>
  <tableColumns count="1">
    <tableColumn id="1" xr3:uid="{0EDB1726-05A7-46EA-9F04-AD7ECD1DFF5A}" name="Llave " dataDxfId="480"/>
  </tableColumns>
  <tableStyleInfo name="TableStyleMedium2" showFirstColumn="0" showLastColumn="0" showRowStripes="1" showColumnStripes="0"/>
</table>
</file>

<file path=xl/tables/table2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8" xr:uid="{85A9C693-7D16-42C3-99C3-56FCD5CBAD02}" name="Tabla3890134177220349" displayName="Tabla3890134177220349" ref="B1:S611" totalsRowShown="0" headerRowDxfId="479">
  <autoFilter ref="B1:S611" xr:uid="{58127080-A22D-466C-8BA0-CCF2E2227FD2}"/>
  <tableColumns count="18">
    <tableColumn id="1" xr3:uid="{770660E3-FFDC-48DF-B494-5CBB8885DEBC}" name="Item">
      <calculatedColumnFormula>ROW()-1</calculatedColumnFormula>
    </tableColumn>
    <tableColumn id="2" xr3:uid="{63AD9B6B-37D0-43C9-B1D7-627C27034A83}" name="Area" dataDxfId="478"/>
    <tableColumn id="3" xr3:uid="{BAE0B56C-4949-4161-8D50-D0588CB8020A}" name="Cantidad"/>
    <tableColumn id="4" xr3:uid="{510D9FC7-990A-4BC9-8E7D-6F4FE34AE79E}" name="Clasificacion" dataDxfId="477"/>
    <tableColumn id="5" xr3:uid="{6409062C-0E1B-4B7C-A78A-AF0ACCD8B8B3}" name="Descripción del equipo"/>
    <tableColumn id="16" xr3:uid="{5BF3DD61-D2B5-41D4-8D4A-8269AB9E618A}" name="Potencia"/>
    <tableColumn id="17" xr3:uid="{BB52D618-4D54-47CF-B4DB-23948ED48CEB}" name="Voltaje"/>
    <tableColumn id="18" xr3:uid="{44FFBEF4-25A7-4CB4-9EA9-976C9F5F0AD3}" name="amperaje"/>
    <tableColumn id="6" xr3:uid="{9034CF9D-99F8-4B08-8C33-A072DD0A4679}" name="Marca" dataDxfId="476"/>
    <tableColumn id="7" xr3:uid="{5189E392-BA7C-4834-9718-0F69AAE253AA}" name="Modelo" dataDxfId="475"/>
    <tableColumn id="8" xr3:uid="{D5797842-5350-45BD-8415-54953EEDDCE2}" name="Cod. Antiguo"/>
    <tableColumn id="9" xr3:uid="{B8B7B89D-7CBE-4F6A-8AB8-BACA3CF077E8}" name="Número de Serie"/>
    <tableColumn id="10" xr3:uid="{B496F62C-8F8E-4A02-9D70-143D51B9EB28}" name="Cód. Nuevo Asig" dataDxfId="474">
      <calculatedColumnFormula>_xlfn.LET(
    _xlpm.itemBuscado, B2,
    _xlpm.areaBuscada, C2,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TEXT(COUNTIF($C$2:C2, _xlpm.areaBuscada), "0000"),
    _xlpm.codItem &amp; "-" &amp; _xlpm.codArea &amp; "-" &amp; _xlpm.secuencia
)</calculatedColumnFormula>
    </tableColumn>
    <tableColumn id="11" xr3:uid="{88F543C3-A730-4CFE-9032-DE4625846879}" name="Codigo de parte"/>
    <tableColumn id="12" xr3:uid="{7EEA1DF9-05FD-461A-84C5-9FC2EE4B9241}" name="Ubicación"/>
    <tableColumn id="13" xr3:uid="{DFC4C049-9A0E-4F3E-B44C-DF6B2C5200AD}" name="Frecuencia de uso"/>
    <tableColumn id="14" xr3:uid="{27D9BB17-4456-4754-8ADA-FA0293F32A6E}" name="Estado"/>
    <tableColumn id="15" xr3:uid="{D43C67EE-B3A3-4C3D-8E61-A314E1A524F5}" name="Observaciones"/>
  </tableColumns>
  <tableStyleInfo name="TableStyleMedium2" showFirstColumn="0" showLastColumn="0" showRowStripes="1" showColumnStripes="0"/>
</table>
</file>

<file path=xl/tables/table2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9" xr:uid="{A73EC931-B8E5-4CE0-AC1A-A49FBC0AFF95}" name="Tabla3991135178221350" displayName="Tabla3991135178221350" ref="AH29:AH30" totalsRowShown="0">
  <autoFilter ref="AH29:AH30" xr:uid="{1C0F20AA-1469-4335-A289-55F2E420509F}"/>
  <tableColumns count="1">
    <tableColumn id="1" xr3:uid="{BFA9EBE6-DBE4-460A-9C22-6D0C1DBDD10E}" name="Multiplicador"/>
  </tableColumns>
  <tableStyleInfo name="TableStyleMedium2" showFirstColumn="0" showLastColumn="0" showRowStripes="1" showColumnStripes="0"/>
</table>
</file>

<file path=xl/tables/table2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0" xr:uid="{78312721-D7E5-46B9-A8AE-9746F19FFA0A}" name="Tabla4092136179222351" displayName="Tabla4092136179222351" ref="AE29:AF31" totalsRowShown="0" tableBorderDxfId="473">
  <autoFilter ref="AE29:AF31" xr:uid="{2E7F26C8-B310-438B-BD08-8C0BC82B7627}"/>
  <tableColumns count="2">
    <tableColumn id="1" xr3:uid="{698964FA-A346-4DA6-9386-13D5AB18334A}" name="Soldadoras"/>
    <tableColumn id="2" xr3:uid="{B908FB37-08CD-4316-954E-61ECF8A0CD64}" name="Martillo"/>
  </tableColumns>
  <tableStyleInfo name="TableStyleMedium2" showFirstColumn="0" showLastColumn="0" showRowStripes="1" showColumnStripes="0"/>
</table>
</file>

<file path=xl/tables/table2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1" xr:uid="{FE3AFEF6-EF0A-4196-B437-AFF7E0215DE2}" name="Tabla4293137180223352" displayName="Tabla4293137180223352" ref="AE58:AE59" totalsRowShown="0">
  <autoFilter ref="AE58:AE59" xr:uid="{BDB2A400-1F11-4F53-807B-27202876BE6C}"/>
  <tableColumns count="1">
    <tableColumn id="1" xr3:uid="{0546AB18-C7E1-4B81-80E7-B19B292A0C52}" name="Amoladora"/>
  </tableColumns>
  <tableStyleInfo name="TableStyleMedium2" showFirstColumn="0" showLastColumn="0" showRowStripes="1" showColumnStripes="0"/>
</table>
</file>

<file path=xl/tables/table2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2" xr:uid="{3C183BAE-281F-4900-BF44-A276ECEFC575}" name="Tabla4394138181224353" displayName="Tabla4394138181224353" ref="AE62:AE64" totalsRowShown="0" dataDxfId="472" tableBorderDxfId="471">
  <autoFilter ref="AE62:AE64" xr:uid="{931F2BE3-67FF-44D5-B415-148F761F93A6}"/>
  <tableColumns count="1">
    <tableColumn id="1" xr3:uid="{97BF94D5-C30B-489A-AF4C-64AAA4136833}" name="Iluminación" dataDxfId="470"/>
  </tableColumns>
  <tableStyleInfo name="TableStyleMedium2" showFirstColumn="0" showLastColumn="0" showRowStripes="1" showColumnStripes="0"/>
</table>
</file>

<file path=xl/tables/table2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3" xr:uid="{B5418C94-A7BA-4E14-AFAC-1D3BD477229E}" name="Tabla4495139182225354" displayName="Tabla4495139182225354" ref="AK29:AK30" totalsRowShown="0">
  <autoFilter ref="AK29:AK30" xr:uid="{9781A61A-AC29-41AE-98F6-916225D99E1D}"/>
  <tableColumns count="1">
    <tableColumn id="1" xr3:uid="{8291D661-3D75-405C-98DF-A734EDA91FE0}" name="Tecle"/>
  </tableColumns>
  <tableStyleInfo name="TableStyleMedium2" showFirstColumn="0" showLastColumn="0" showRowStripes="1" showColumnStripes="0"/>
</table>
</file>

<file path=xl/tables/table2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4" xr:uid="{30AB84C0-EB53-435F-A443-B582C5507277}" name="Tabla4596140183226355" displayName="Tabla4596140183226355" ref="AE66:AE68" totalsRowShown="0">
  <autoFilter ref="AE66:AE68" xr:uid="{883961C8-D276-4BAE-B81D-192750F3D2CC}"/>
  <tableColumns count="1">
    <tableColumn id="1" xr3:uid="{5085C82C-EAF6-4EB0-BD40-2F9A54AE3737}" name="Lubricador"/>
  </tableColumns>
  <tableStyleInfo name="TableStyleMedium2" showFirstColumn="0" showLastColumn="0" showRowStripes="1" showColumnStripes="0"/>
</table>
</file>

<file path=xl/tables/table2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5" xr:uid="{0258FCB8-BFD6-4011-8362-EE8D5F33547C}" name="Tabla4697141184227356" displayName="Tabla4697141184227356" ref="AH61:AH62" totalsRowShown="0">
  <autoFilter ref="AH61:AH62" xr:uid="{F9F816C6-2BEF-46FF-915F-BE5B9C6045E2}"/>
  <tableColumns count="1">
    <tableColumn id="1" xr3:uid="{580027D8-B1EA-421E-8A71-4555F6E59EFC}" name="Combos"/>
  </tableColumns>
  <tableStyleInfo name="TableStyleMedium2" showFirstColumn="0" showLastColumn="0" showRowStripes="1" showColumnStripes="0"/>
</table>
</file>

<file path=xl/tables/table2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6" xr:uid="{6785A69A-2ECA-4E91-9C90-00573D50DFE9}" name="Tabla4798142185228357" displayName="Tabla4798142185228357" ref="AH64:AH65" totalsRowShown="0">
  <autoFilter ref="AH64:AH65" xr:uid="{D0087047-FAAD-47F1-8107-9751D313CB07}"/>
  <tableColumns count="1">
    <tableColumn id="1" xr3:uid="{FEC5F89E-8927-4ADE-A848-4AECE28657DF}" name="Mesa"/>
  </tableColumns>
  <tableStyleInfo name="TableStyleMedium2" showFirstColumn="0" showLastColumn="0" showRowStripes="1" showColumnStripes="0"/>
</table>
</file>

<file path=xl/tables/table2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7" xr:uid="{10A70F38-4E62-45D3-85B8-A19091C121FF}" name="Tabla4899143186229358" displayName="Tabla4899143186229358" ref="AN29:AN31" totalsRowShown="0" tableBorderDxfId="469">
  <autoFilter ref="AN29:AN31" xr:uid="{98D206C1-A450-4754-81B2-030642ED939D}"/>
  <tableColumns count="1">
    <tableColumn id="1" xr3:uid="{5C6CDA17-2102-482A-AAF1-77AF7CD2CC75}" name="Pinza"/>
  </tableColumns>
  <tableStyleInfo name="TableStyleMedium2" showFirstColumn="0" showLastColumn="0" showRowStripes="1" showColumnStripes="0"/>
</table>
</file>

<file path=xl/tables/table2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8" xr:uid="{0E4CC610-9361-4736-AC06-605CD14C5C5D}" name="Tabla4956100144187230359" displayName="Tabla4956100144187230359" ref="AN1:AN20" totalsRowShown="0" tableBorderDxfId="468">
  <autoFilter ref="AN1:AN20" xr:uid="{682A1042-040F-4BDC-814E-19EDB04144BA}"/>
  <tableColumns count="1">
    <tableColumn id="1" xr3:uid="{A7AD5119-646D-4F35-AE56-603C3BFA7CE1}" name="Accesorios"/>
  </tableColumns>
  <tableStyleInfo name="TableStyleMedium2" showFirstColumn="0" showLastColumn="0" showRowStripes="1" showColumnStripes="0"/>
</table>
</file>

<file path=xl/tables/table2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1F0469D4-1FFF-488D-BA98-8BA53AA21938}" name="Tabla758102145" displayName="Tabla758102145" ref="T1:U12" totalsRowShown="0" dataDxfId="467" tableBorderDxfId="466">
  <autoFilter ref="T1:U12" xr:uid="{9C601E76-6EC7-4996-8C5A-4EC2650D4D49}"/>
  <tableColumns count="2">
    <tableColumn id="1" xr3:uid="{8F546A24-7D11-4A24-B533-6534DF11609C}" name="ID" dataDxfId="465"/>
    <tableColumn id="2" xr3:uid="{2920414E-7CE7-4515-B796-55950159FE94}" name="Area" dataDxfId="464"/>
  </tableColumns>
  <tableStyleInfo name="TableStyleMedium2" showFirstColumn="0" showLastColumn="0" showRowStripes="1" showColumnStripes="0"/>
</table>
</file>

<file path=xl/tables/table2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A7344EB1-5BD0-442D-ADDF-0D8E1AE1F473}" name="Tabla259103146" displayName="Tabla259103146" ref="W1:X4" totalsRowShown="0" headerRowDxfId="463" headerRowBorderDxfId="462" tableBorderDxfId="461" totalsRowBorderDxfId="460">
  <autoFilter ref="W1:X4" xr:uid="{8EA5E146-546E-4301-8341-E9A2182AF11B}"/>
  <tableColumns count="2">
    <tableColumn id="1" xr3:uid="{8ED55C9A-8CB7-4D3B-9992-565209C8A4CE}" name="ID" dataDxfId="459"/>
    <tableColumn id="2" xr3:uid="{CE54DD2F-6748-4247-9765-55330939E478}" name="Estado" dataDxfId="458"/>
  </tableColumns>
  <tableStyleInfo name="TableStyleMedium2" showFirstColumn="0" showLastColumn="0" showRowStripes="1" showColumnStripes="0"/>
</table>
</file>

<file path=xl/tables/table2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9B5FFCCA-73DC-4FAF-B1CC-51E4917024F6}" name="Tabla360104147" displayName="Tabla360104147" ref="Z1:AA7" totalsRowShown="0" headerRowDxfId="457" headerRowBorderDxfId="456" tableBorderDxfId="455" totalsRowBorderDxfId="454">
  <autoFilter ref="Z1:AA7" xr:uid="{4313A204-2187-4F5D-B195-E9D8244B0B6A}"/>
  <tableColumns count="2">
    <tableColumn id="1" xr3:uid="{6048CAB8-3F1E-4C8F-B8FF-4740D2925EDF}" name="ID" dataDxfId="453"/>
    <tableColumn id="2" xr3:uid="{5395F834-94A4-4F60-BC40-D297A50E65B5}" name="Clasificación" dataDxfId="452"/>
  </tableColumns>
  <tableStyleInfo name="TableStyleMedium2" showFirstColumn="0" showLastColumn="0" showRowStripes="1" showColumnStripes="0"/>
</table>
</file>

<file path=xl/tables/table2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188726E5-5CA9-41A2-98C0-D912906A92C2}" name="Tabla461105148" displayName="Tabla461105148" ref="Z9:Z12" totalsRowShown="0" headerRowDxfId="451" headerRowBorderDxfId="450" tableBorderDxfId="449" totalsRowBorderDxfId="448">
  <autoFilter ref="Z9:Z12" xr:uid="{4FA69CD1-8D3C-4F41-B69E-D64790738288}"/>
  <tableColumns count="1">
    <tableColumn id="1" xr3:uid="{C564DE1F-BB88-4760-A65F-08662D506833}" name="Frecuencia de uso" dataDxfId="447"/>
  </tableColumns>
  <tableStyleInfo name="TableStyleMedium2" showFirstColumn="0" showLastColumn="0" showRowStripes="1" showColumnStripes="0"/>
</table>
</file>

<file path=xl/tables/table2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6CB478DD-78ED-47AD-AD14-63B68DCC5843}" name="Herramientas_eléctricas1862106149" displayName="Herramientas_eléctricas1862106149" ref="AD1:AD21" totalsRowShown="0" headerRowDxfId="446" headerRowBorderDxfId="445" tableBorderDxfId="444">
  <autoFilter ref="AD1:AD21" xr:uid="{9A901B8B-4001-4C56-97C1-F800FB168E81}"/>
  <tableColumns count="1">
    <tableColumn id="1" xr3:uid="{EE61F660-2F5E-4F59-85B0-855135DF8635}" name="Herramientas_eléctricas"/>
  </tableColumns>
  <tableStyleInfo name="TableStyleMedium2" showFirstColumn="0" showLastColumn="0" showRowStripes="1" showColumnStripes="0"/>
</table>
</file>

<file path=xl/tables/table2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B3FB1553-CD9C-4670-A452-40540A39C7E5}" name="Herramientas_neumáticas1963107150" displayName="Herramientas_neumáticas1963107150" ref="AE1:AE6" totalsRowShown="0" headerRowDxfId="443" headerRowBorderDxfId="442" tableBorderDxfId="441">
  <autoFilter ref="AE1:AE6" xr:uid="{DDFD7ABB-9233-49B8-8E7D-0C4E4E73668B}"/>
  <tableColumns count="1">
    <tableColumn id="1" xr3:uid="{A7E1C17B-9F6A-4434-80BC-87BF2F25B86D}" name="Herramientas_neumáticas"/>
  </tableColumns>
  <tableStyleInfo name="TableStyleMedium2" showFirstColumn="0" showLastColumn="0" showRowStripes="1" showColumnStripes="0"/>
</table>
</file>

<file path=xl/tables/table2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C13E9891-9220-43FB-B185-64E443A17C97}" name="Herramientas_de_medición2064108151" displayName="Herramientas_de_medición2064108151" ref="AF1:AF16" totalsRowShown="0" headerRowDxfId="440" headerRowBorderDxfId="439" tableBorderDxfId="438">
  <autoFilter ref="AF1:AF16" xr:uid="{A1A99238-FF6A-4B46-95FE-F6F59C0A59FF}"/>
  <tableColumns count="1">
    <tableColumn id="1" xr3:uid="{97369E52-B2C7-4C62-B15D-0B4910F9FF10}" name="Herramientas_de_medición" dataDxfId="437"/>
  </tableColumns>
  <tableStyleInfo name="TableStyleMedium2" showFirstColumn="0" showLastColumn="0" showRowStripes="1" showColumnStripes="0"/>
</table>
</file>

<file path=xl/tables/table2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D1DDA0E3-1609-4104-9CF7-C971A2184A8F}" name="Herrramientas_mecánicas2165109152" displayName="Herrramientas_mecánicas2165109152" ref="AG1:AG21" totalsRowShown="0" headerRowDxfId="436" headerRowBorderDxfId="435" tableBorderDxfId="434">
  <autoFilter ref="AG1:AG21" xr:uid="{82699701-A4C7-4A41-A40B-8F87727B2FCD}"/>
  <tableColumns count="1">
    <tableColumn id="1" xr3:uid="{1BF25B7F-4F17-4180-9134-AA4396D3E055}" name="Herramientas_mecánicas"/>
  </tableColumns>
  <tableStyleInfo name="TableStyleMedium2" showFirstColumn="0" showLastColumn="0" showRowStripes="1" showColumnStripes="0"/>
</table>
</file>

<file path=xl/tables/table2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E43022C2-9E10-4391-B627-93D762E03D4D}" name="Herramientas_hidráulicas2266110153" displayName="Herramientas_hidráulicas2266110153" ref="AH1:AH9" totalsRowShown="0" headerRowDxfId="433" dataDxfId="431" headerRowBorderDxfId="432" tableBorderDxfId="430">
  <autoFilter ref="AH1:AH9" xr:uid="{5C7C5014-0DFD-4140-8DC3-6AF6EDF169E4}"/>
  <tableColumns count="1">
    <tableColumn id="1" xr3:uid="{1350D54C-025D-4AD9-A5B3-7BA5387281B7}" name="Herramientas_hidráulicas" dataDxfId="429"/>
  </tableColumns>
  <tableStyleInfo name="TableStyleMedium2" showFirstColumn="0" showLastColumn="0" showRowStripes="1" showColumnStripes="0"/>
</table>
</file>

<file path=xl/tables/table2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FE5320C6-E6B1-411A-8E53-1736C1E417BB}" name="EPP_2367111154" displayName="EPP_2367111154" ref="AI1:AI6" totalsRowShown="0" headerRowDxfId="428" headerRowBorderDxfId="427" tableBorderDxfId="426">
  <autoFilter ref="AI1:AI6" xr:uid="{6ED4F867-D028-4151-85A1-2598FAD98928}"/>
  <tableColumns count="1">
    <tableColumn id="1" xr3:uid="{A23FE6F1-F762-488D-9D61-3A5865986189}" name="SPCC"/>
  </tableColumns>
  <tableStyleInfo name="TableStyleMedium2" showFirstColumn="0" showLastColumn="0" showRowStripes="1" showColumnStripes="0"/>
</table>
</file>

<file path=xl/tables/table2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D5654804-C5AD-4255-B282-C0541F085E18}" name="Herramientas_de_izaje2468112155" displayName="Herramientas_de_izaje2468112155" ref="AJ1:AJ6" totalsRowShown="0" headerRowDxfId="425" headerRowBorderDxfId="424" tableBorderDxfId="423">
  <autoFilter ref="AJ1:AJ6" xr:uid="{0DE75960-5B93-46A7-AAE6-BC581FFF1354}"/>
  <tableColumns count="1">
    <tableColumn id="1" xr3:uid="{B62F2DA2-EA80-4938-9F1A-C7AA628C41A2}" name="Herramientas_de_izaje"/>
  </tableColumns>
  <tableStyleInfo name="TableStyleMedium2" showFirstColumn="0" showLastColumn="0" showRowStripes="1" showColumnStripes="0"/>
</table>
</file>

<file path=xl/tables/table2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27CF2C5B-CD0B-472F-B3C9-BA3B8338FD76}" name="Tabla152569113156" displayName="Tabla152569113156" ref="AK1:AK2" totalsRowShown="0" headerRowDxfId="422" dataDxfId="420" headerRowBorderDxfId="421" tableBorderDxfId="419">
  <autoFilter ref="AK1:AK2" xr:uid="{7CDF3488-ADF8-42BB-8EFE-46E3A509430E}"/>
  <tableColumns count="1">
    <tableColumn id="1" xr3:uid="{5D2AE8D5-E9EC-4EF3-95C9-BFB20F96A012}" name="Otros" dataDxfId="418"/>
  </tableColumns>
  <tableStyleInfo name="TableStyleMedium2" showFirstColumn="0" showLastColumn="0" showRowStripes="1" showColumnStripes="0"/>
</table>
</file>

<file path=xl/tables/table2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D6E0D420-0617-4789-863A-36CBFF7BAA9B}" name="Tabla162670114157" displayName="Tabla162670114157" ref="AL1:AL6" totalsRowShown="0">
  <autoFilter ref="AL1:AL6" xr:uid="{BA84FDFB-CFCF-49B5-A4A0-7E55EE0C8343}"/>
  <tableColumns count="1">
    <tableColumn id="1" xr3:uid="{A55F3984-2C4E-44C3-B8FE-8FC424EA901F}" name="Equipos"/>
  </tableColumns>
  <tableStyleInfo name="TableStyleMedium2" showFirstColumn="0" showLastColumn="0" showRowStripes="1" showColumnStripes="0"/>
</table>
</file>

<file path=xl/tables/table2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09CFCAAF-8856-49FF-AAE9-D568E61C0D14}" name="Tabla571115158" displayName="Tabla571115158" ref="AD33:AE35" totalsRowShown="0" tableBorderDxfId="417">
  <autoFilter ref="AD33:AE35" xr:uid="{CF2FEFF5-0ED4-40EF-A2CA-B8658D653CBB}"/>
  <tableColumns count="2">
    <tableColumn id="1" xr3:uid="{4862B531-BAF6-4EA2-8542-746DEAF8AC59}" name="Calentador"/>
    <tableColumn id="2" xr3:uid="{691B4E51-2D35-4563-9910-C71C1D9FA6EB}" name="Bomba"/>
  </tableColumns>
  <tableStyleInfo name="TableStyleMedium2" showFirstColumn="0" showLastColumn="0" showRowStripes="1" showColumnStripes="0"/>
</table>
</file>

<file path=xl/tables/table2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CA2B0667-F927-4325-B3B5-A3D30B34826A}" name="Tabla1772116159" displayName="Tabla1772116159" ref="AD38:AD40" totalsRowShown="0" headerRowDxfId="416" headerRowBorderDxfId="415" tableBorderDxfId="414">
  <autoFilter ref="AD38:AD40" xr:uid="{830EF362-0156-4A25-9CC5-538DDBFCF308}"/>
  <tableColumns count="1">
    <tableColumn id="1" xr3:uid="{3A750B9C-02D7-4F07-8621-97870EBD3BA4}" name="Martillo "/>
  </tableColumns>
  <tableStyleInfo name="TableStyleMedium2" showFirstColumn="0" showLastColumn="0" showRowStripes="1" showColumnStripes="0"/>
</table>
</file>

<file path=xl/tables/table2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5811C116-82D6-4E16-97E4-76A84D1DCE5B}" name="Tabla1873117160" displayName="Tabla1873117160" ref="AF29:AF31" totalsRowShown="0" dataDxfId="413">
  <autoFilter ref="AF29:AF31" xr:uid="{D9204BB2-CBF2-43D1-8CAA-9AC826A37056}"/>
  <tableColumns count="1">
    <tableColumn id="1" xr3:uid="{3D6DFEF4-4DCF-46B4-B5C9-2B12541A131B}" name="Nivel" dataDxfId="412"/>
  </tableColumns>
  <tableStyleInfo name="TableStyleMedium2" showFirstColumn="0" showLastColumn="0" showRowStripes="1" showColumnStripes="0"/>
</table>
</file>

<file path=xl/tables/table2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E558860B-8867-411F-9D28-577224FAC3BB}" name="Tabla1974118161" displayName="Tabla1974118161" ref="AD42:AD45" totalsRowShown="0" headerRowDxfId="411" headerRowBorderDxfId="410" tableBorderDxfId="409" totalsRowBorderDxfId="408">
  <autoFilter ref="AD42:AD45" xr:uid="{751CC4DE-0F10-45F1-BAA4-31688AE830B1}"/>
  <tableColumns count="1">
    <tableColumn id="1" xr3:uid="{84AB9B5D-2D2F-4CE7-AC53-127314476CA1}" name="Impactor"/>
  </tableColumns>
  <tableStyleInfo name="TableStyleMedium2" showFirstColumn="0" showLastColumn="0" showRowStripes="1" showColumnStripes="0"/>
</table>
</file>

<file path=xl/tables/table2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4FB3F774-5743-430D-8350-7BA8302C82AB}" name="Tabla2075119162" displayName="Tabla2075119162" ref="AD47:AD50" totalsRowShown="0">
  <autoFilter ref="AD47:AD50" xr:uid="{A14E2475-26A8-4E9D-8E77-6DD3075B12E9}"/>
  <tableColumns count="1">
    <tableColumn id="1" xr3:uid="{BFCF3243-D315-464A-8C22-2EAC8F582B27}" name="Extractor"/>
  </tableColumns>
  <tableStyleInfo name="TableStyleMedium2" showFirstColumn="0" showLastColumn="0" showRowStripes="1" showColumnStripes="0"/>
</table>
</file>

<file path=xl/tables/table2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B58DC511-3C7F-48F9-ACA4-24DB8ABC0DA3}" name="Tabla2176120163" displayName="Tabla2176120163" ref="AD52:AD53" totalsRowShown="0" dataDxfId="407" tableBorderDxfId="406">
  <autoFilter ref="AD52:AD53" xr:uid="{FB135CB6-85B5-46C8-99B8-45176F814696}"/>
  <tableColumns count="1">
    <tableColumn id="1" xr3:uid="{3F96E4F2-238D-42B3-B285-857E70EBB9C3}" name="Esmeril" dataDxfId="405"/>
  </tableColumns>
  <tableStyleInfo name="TableStyleMedium2" showFirstColumn="0" showLastColumn="0" showRowStripes="1" showColumnStripes="0"/>
</table>
</file>

<file path=xl/tables/table2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DA9CBD81-0110-40D8-B821-078A5BCDC878}" name="Tabla2277121164" displayName="Tabla2277121164" ref="AF56:AF58" totalsRowShown="0">
  <autoFilter ref="AF56:AF58" xr:uid="{3AB821FA-FFC5-4307-AC30-B52EA5139269}"/>
  <tableColumns count="1">
    <tableColumn id="1" xr3:uid="{4D975094-4B51-4626-9A06-98D5AB955639}" name="Manometro"/>
  </tableColumns>
  <tableStyleInfo name="TableStyleMedium2" showFirstColumn="0" showLastColumn="0" showRowStripes="1" showColumnStripes="0"/>
</table>
</file>

<file path=xl/tables/table2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9EB53DA9-CE6F-4A04-9FB3-0E92A763E12A}" name="Tabla2378122165" displayName="Tabla2378122165" ref="AF33:AF36" totalsRowShown="0" headerRowDxfId="404" tableBorderDxfId="403">
  <autoFilter ref="AF33:AF36" xr:uid="{16F850A9-F3B2-41CD-A0AE-53D6CE1A75ED}"/>
  <tableColumns count="1">
    <tableColumn id="1" xr3:uid="{07D1FA05-6F82-4F73-B3CE-30F4CF806442}" name="Medidor"/>
  </tableColumns>
  <tableStyleInfo name="TableStyleMedium2" showFirstColumn="0" showLastColumn="0" showRowStripes="1" showColumnStripes="0"/>
</table>
</file>

<file path=xl/tables/table2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2231ADB2-E167-4E7B-B0D2-C9F727114AB2}" name="Tabla2479123166" displayName="Tabla2479123166" ref="AF38:AF39" totalsRowShown="0" dataDxfId="402" tableBorderDxfId="401">
  <autoFilter ref="AF38:AF39" xr:uid="{1889A6F9-230B-4AFF-867D-3DF6472821F5}"/>
  <tableColumns count="1">
    <tableColumn id="1" xr3:uid="{633C4F30-F857-4CA4-B0BD-50B5D8720765}" name="Camara termografica" dataDxfId="400"/>
  </tableColumns>
  <tableStyleInfo name="TableStyleMedium2" showFirstColumn="0" showLastColumn="0" showRowStripes="1" showColumnStripes="0"/>
</table>
</file>

<file path=xl/tables/table2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F8E4E7D6-0FE0-4972-8D9B-2F288AA90B3D}" name="Tabla2580124167" displayName="Tabla2580124167" ref="AG33:AG40" totalsRowShown="0">
  <autoFilter ref="AG33:AG40" xr:uid="{A0DED689-2510-4BE0-B85F-FD1D7D88DFA4}"/>
  <tableColumns count="1">
    <tableColumn id="1" xr3:uid="{064CB8D3-4EC8-4B72-94C3-05E73CA2F426}" name="Llaves"/>
  </tableColumns>
  <tableStyleInfo name="TableStyleMedium2" showFirstColumn="0" showLastColumn="0" showRowStripes="1" showColumnStripes="0"/>
</table>
</file>

<file path=xl/tables/table2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9FED7334-3496-45FD-9790-D2AAF61FFB71}" name="Tabla2681125168" displayName="Tabla2681125168" ref="AF41:AF45" totalsRowShown="0" tableBorderDxfId="399">
  <autoFilter ref="AF41:AF45" xr:uid="{8ED6E545-64E7-44D4-B8A8-CB23D42265C0}"/>
  <tableColumns count="1">
    <tableColumn id="1" xr3:uid="{B3DA95C1-91E8-4434-B6BA-2E2FE2A71414}" name="Calibrador"/>
  </tableColumns>
  <tableStyleInfo name="TableStyleMedium2" showFirstColumn="0" showLastColumn="0" showRowStripes="1" showColumnStripes="0"/>
</table>
</file>

<file path=xl/tables/table2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E18F27B2-98F0-4F62-B98D-E6E9A8F3114A}" name="Tabla2882126169" displayName="Tabla2882126169" ref="AF48:AF51" totalsRowShown="0">
  <autoFilter ref="AF48:AF51" xr:uid="{9EF16892-84A3-4412-9559-E3ECBCBE8FAD}"/>
  <tableColumns count="1">
    <tableColumn id="1" xr3:uid="{D66455EC-C783-4B2A-967D-4D5CC3E2FF8D}" name="Micrómetro"/>
  </tableColumns>
  <tableStyleInfo name="TableStyleMedium2" showFirstColumn="0" showLastColumn="0" showRowStripes="1" showColumnStripes="0"/>
</table>
</file>

<file path=xl/tables/table2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1866E1B1-DAE8-4CC6-B347-F9A7E25FA35B}" name="Tabla2983127170" displayName="Tabla2983127170" ref="AG67:AG69" totalsRowShown="0" tableBorderDxfId="398">
  <autoFilter ref="AG67:AG69" xr:uid="{2312EFE8-ED6F-40CE-936E-92708A2A3E11}"/>
  <tableColumns count="1">
    <tableColumn id="1" xr3:uid="{DFEFCC29-8620-415A-AF1B-14F14B268189}" name="Alicates"/>
  </tableColumns>
  <tableStyleInfo name="TableStyleMedium2" showFirstColumn="0" showLastColumn="0" showRowStripes="1" showColumnStripes="0"/>
</table>
</file>

<file path=xl/tables/table2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5465464A-B07D-41D1-9D44-2FE9B37AA0BF}" name="Tabla3084128171" displayName="Tabla3084128171" ref="AG50:AG59" totalsRowShown="0" dataDxfId="397" tableBorderDxfId="396">
  <autoFilter ref="AG50:AG59" xr:uid="{3B268A63-E4A5-4D1B-B445-E13631B6E887}"/>
  <tableColumns count="1">
    <tableColumn id="1" xr3:uid="{FFF7AE3B-7B97-4588-8809-AD9ED7C0BA4C}" name="Dados" dataDxfId="395"/>
  </tableColumns>
  <tableStyleInfo name="TableStyleMedium2" showFirstColumn="0" showLastColumn="0" showRowStripes="1" showColumnStripes="0"/>
</table>
</file>

<file path=xl/tables/table2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790EE0AE-4962-4A43-8B2A-E673FCECB743}" name="Tabla3285129172" displayName="Tabla3285129172" ref="AG43:AG44" totalsRowShown="0" dataDxfId="394" tableBorderDxfId="393">
  <autoFilter ref="AG43:AG44" xr:uid="{005ABD67-F7E0-47FD-8970-322FEA5BBC4C}"/>
  <tableColumns count="1">
    <tableColumn id="1" xr3:uid="{04741C44-D565-4BC9-9108-B616ED24FA4F}" name="Tijera" dataDxfId="392"/>
  </tableColumns>
  <tableStyleInfo name="TableStyleMedium2" showFirstColumn="0" showLastColumn="0" showRowStripes="1" showColumnStripes="0"/>
</table>
</file>

<file path=xl/tables/table2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3A62B173-8BF2-41F0-B576-CB61CE8A87FC}" name="Tabla3386130173" displayName="Tabla3386130173" ref="AF63:AF64" totalsRowShown="0" dataDxfId="391" tableBorderDxfId="390">
  <autoFilter ref="AF63:AF64" xr:uid="{7D457BB0-C389-4126-BC6E-CB6D91AFE2A6}"/>
  <tableColumns count="1">
    <tableColumn id="1" xr3:uid="{FF900327-3706-4D81-9E0A-EB2A6CB09558}" name="Estetoscopio" dataDxfId="389"/>
  </tableColumns>
  <tableStyleInfo name="TableStyleMedium2" showFirstColumn="0" showLastColumn="0" showRowStripes="1" showColumnStripes="0"/>
</table>
</file>

<file path=xl/tables/table2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E241C39B-9354-4881-B1D1-137028840DC3}" name="Tabla3487131174" displayName="Tabla3487131174" ref="AG47:AG48" totalsRowShown="0" dataDxfId="388" tableBorderDxfId="387">
  <autoFilter ref="AG47:AG48" xr:uid="{EC300733-E688-43CB-A693-F1E2F80F6495}"/>
  <tableColumns count="1">
    <tableColumn id="1" xr3:uid="{3D8A19C1-B73D-4381-A892-00B9C4131BE7}" name="Alargador" dataDxfId="386"/>
  </tableColumns>
  <tableStyleInfo name="TableStyleMedium2" showFirstColumn="0" showLastColumn="0" showRowStripes="1" showColumnStripes="0"/>
</table>
</file>

<file path=xl/tables/table2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012E99BC-1EC1-4BFE-A7FE-331C2FD452DC}" name="Tabla3588132175" displayName="Tabla3588132175" ref="AF60:AF61" totalsRowShown="0" dataDxfId="385" tableBorderDxfId="384">
  <autoFilter ref="AF60:AF61" xr:uid="{B42C8F8F-E6AD-4FF3-9580-F9F4B996FF6F}"/>
  <tableColumns count="1">
    <tableColumn id="1" xr3:uid="{8E0A97DC-F8B0-42B1-B0B8-B8BD6EB34A90}" name="Torquimetro" dataDxfId="383"/>
  </tableColumns>
  <tableStyleInfo name="TableStyleMedium2" showFirstColumn="0" showLastColumn="0" showRowStripes="1" showColumnStripes="0"/>
</table>
</file>

<file path=xl/tables/table2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936E5D69-8624-44CE-84D2-E8BEE7AA586A}" name="Tabla3789133176" displayName="Tabla3789133176" ref="AH29:AH30" totalsRowShown="0" headerRowDxfId="382" dataDxfId="380" headerRowBorderDxfId="381" tableBorderDxfId="379" totalsRowBorderDxfId="378">
  <autoFilter ref="AH29:AH30" xr:uid="{2886962D-17B4-4D37-AB1E-9FE27B267D99}"/>
  <tableColumns count="1">
    <tableColumn id="1" xr3:uid="{0E9037A5-9FD9-4343-AAF0-954ACFFBF899}" name="Llave " dataDxfId="377"/>
  </tableColumns>
  <tableStyleInfo name="TableStyleMedium2" showFirstColumn="0" showLastColumn="0" showRowStripes="1" showColumnStripes="0"/>
</table>
</file>

<file path=xl/tables/table2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47B90F46-4F84-4EE8-811D-547FC4998DF2}" name="Tabla3890134177" displayName="Tabla3890134177" ref="B1:R611" totalsRowShown="0" headerRowDxfId="376">
  <autoFilter ref="B1:R611" xr:uid="{58127080-A22D-466C-8BA0-CCF2E2227FD2}"/>
  <tableColumns count="17">
    <tableColumn id="1" xr3:uid="{9525532A-BA1C-48D6-A4D0-C4FB59897454}" name="Item">
      <calculatedColumnFormula>ROW()-1</calculatedColumnFormula>
    </tableColumn>
    <tableColumn id="2" xr3:uid="{B5E5F604-BE0A-41ED-97E1-2790E3BEFA85}" name="Area" dataDxfId="375"/>
    <tableColumn id="3" xr3:uid="{DE789792-C2D2-4BE0-81DA-116B8B9E786C}" name="Cantidad"/>
    <tableColumn id="4" xr3:uid="{85936DFB-FE5A-4DDA-9D94-FFB7BAFE5301}" name="Clasificacion" dataDxfId="374"/>
    <tableColumn id="5" xr3:uid="{52E0D03B-0548-491C-BE01-ACF400939EAA}" name="Descripción del equipo"/>
    <tableColumn id="16" xr3:uid="{0FF29518-2F23-467F-A431-45750BE25610}" name="VOLTAJE"/>
    <tableColumn id="17" xr3:uid="{994FCB69-9F9E-4AC0-B555-92A4CBE93D52}" name="AMPERIOS"/>
    <tableColumn id="6" xr3:uid="{76A6FFE6-D492-4C81-89CF-513ED41A9158}" name="Marca" dataDxfId="373"/>
    <tableColumn id="7" xr3:uid="{830FCF74-5890-4AFA-A267-46820B832C45}" name="Modelo" dataDxfId="372"/>
    <tableColumn id="8" xr3:uid="{7889F37E-F888-4714-9E34-8D6323ED7466}" name="Cod. Antiguo"/>
    <tableColumn id="9" xr3:uid="{8BEB2EEC-DA0A-4398-811E-A885A897B881}" name="Número de Serie"/>
    <tableColumn id="10" xr3:uid="{859BDB34-FD81-48EF-994F-8D580F145FA8}" name="Cód. Nuevo Asig" dataDxfId="371">
      <calculatedColumnFormula>_xlfn.LET(
    _xlpm.itemBuscado, B2,
    _xlpm.areaBuscada, C2,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TEXT(COUNTIF($C$2:C2, _xlpm.areaBuscada), "0000"),
    _xlpm.codItem &amp; "-" &amp; _xlpm.codArea &amp; "-" &amp; _xlpm.secuencia
)</calculatedColumnFormula>
    </tableColumn>
    <tableColumn id="11" xr3:uid="{2013B295-8EB9-4102-870A-CC1AB2790E71}" name="Codigo de parte"/>
    <tableColumn id="12" xr3:uid="{9E4DFBF8-3280-405C-8281-C2E942B6DBFC}" name="Ubicación"/>
    <tableColumn id="13" xr3:uid="{76A94FB7-B45D-4FB9-A0EF-16A6C6658E9D}" name="Frecuencia de uso"/>
    <tableColumn id="14" xr3:uid="{81BFC6E2-8B80-4AD4-BDA7-E1A1B2CD1154}" name="Estado"/>
    <tableColumn id="15" xr3:uid="{11DB0881-59E1-4DFB-8A33-ACC58179E6CA}" name="Observaciones"/>
  </tableColumns>
  <tableStyleInfo name="TableStyleMedium2" showFirstColumn="0" showLastColumn="0" showRowStripes="1" showColumnStripes="0"/>
</table>
</file>

<file path=xl/tables/table2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55EF6885-195B-4E51-BC11-2FFD7A36E88C}" name="Tabla3991135178" displayName="Tabla3991135178" ref="AG29:AG30" totalsRowShown="0">
  <autoFilter ref="AG29:AG30" xr:uid="{1C0F20AA-1469-4335-A289-55F2E420509F}"/>
  <tableColumns count="1">
    <tableColumn id="1" xr3:uid="{D6C0DD15-504D-4D6B-B5F0-CC550A09D4F3}" name="Multiplicador"/>
  </tableColumns>
  <tableStyleInfo name="TableStyleMedium2" showFirstColumn="0" showLastColumn="0" showRowStripes="1" showColumnStripes="0"/>
</table>
</file>

<file path=xl/tables/table2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CED7333D-6D3A-4774-8A9F-D65B5E057ACF}" name="Tabla4092136179" displayName="Tabla4092136179" ref="AD29:AE31" totalsRowShown="0" tableBorderDxfId="370">
  <autoFilter ref="AD29:AE31" xr:uid="{2E7F26C8-B310-438B-BD08-8C0BC82B7627}"/>
  <tableColumns count="2">
    <tableColumn id="1" xr3:uid="{E58904F0-DEDB-45BE-BAA1-99B6B39BD816}" name="Soldadoras"/>
    <tableColumn id="2" xr3:uid="{F41DAF0A-B1D1-42AA-9EC7-94F7A3AC9F55}" name="Martillo"/>
  </tableColumns>
  <tableStyleInfo name="TableStyleMedium2" showFirstColumn="0" showLastColumn="0" showRowStripes="1" showColumnStripes="0"/>
</table>
</file>

<file path=xl/tables/table2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C1202E3C-8EB8-476E-AB6A-037D2365AECE}" name="Tabla4293137180" displayName="Tabla4293137180" ref="AD58:AD59" totalsRowShown="0">
  <autoFilter ref="AD58:AD59" xr:uid="{BDB2A400-1F11-4F53-807B-27202876BE6C}"/>
  <tableColumns count="1">
    <tableColumn id="1" xr3:uid="{04A03A73-4DA2-4B24-929D-29BAEFD6C489}" name="Amoladora"/>
  </tableColumns>
  <tableStyleInfo name="TableStyleMedium2" showFirstColumn="0" showLastColumn="0" showRowStripes="1" showColumnStripes="0"/>
</table>
</file>

<file path=xl/tables/table2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AE8C18AC-1878-4DA3-B891-CB571F6F4BC0}" name="Tabla4394138181" displayName="Tabla4394138181" ref="AD62:AD64" totalsRowShown="0" dataDxfId="369" tableBorderDxfId="368">
  <autoFilter ref="AD62:AD64" xr:uid="{931F2BE3-67FF-44D5-B415-148F761F93A6}"/>
  <tableColumns count="1">
    <tableColumn id="1" xr3:uid="{EDA2BA24-839A-447C-B6CB-9FB02213B362}" name="Iluminación" dataDxfId="367"/>
  </tableColumns>
  <tableStyleInfo name="TableStyleMedium2" showFirstColumn="0" showLastColumn="0" showRowStripes="1" showColumnStripes="0"/>
</table>
</file>

<file path=xl/tables/table2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C60DA78F-CE91-4710-AD87-3681BAEE3E2D}" name="Tabla4495139182" displayName="Tabla4495139182" ref="AJ29:AJ30" totalsRowShown="0">
  <autoFilter ref="AJ29:AJ30" xr:uid="{9781A61A-AC29-41AE-98F6-916225D99E1D}"/>
  <tableColumns count="1">
    <tableColumn id="1" xr3:uid="{C65CDC3F-AE56-4085-B482-C5CFE6BE484B}" name="Tecle"/>
  </tableColumns>
  <tableStyleInfo name="TableStyleMedium2" showFirstColumn="0" showLastColumn="0" showRowStripes="1" showColumnStripes="0"/>
</table>
</file>

<file path=xl/tables/table2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692998BA-7308-4939-A3B2-736C216712DB}" name="Tabla4596140183" displayName="Tabla4596140183" ref="AD66:AD68" totalsRowShown="0">
  <autoFilter ref="AD66:AD68" xr:uid="{883961C8-D276-4BAE-B81D-192750F3D2CC}"/>
  <tableColumns count="1">
    <tableColumn id="1" xr3:uid="{00E1FFD1-9204-4527-9ED2-439AA6C1613F}" name="Lubricador"/>
  </tableColumns>
  <tableStyleInfo name="TableStyleMedium2" showFirstColumn="0" showLastColumn="0" showRowStripes="1" showColumnStripes="0"/>
</table>
</file>

<file path=xl/tables/table2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D80E2B77-851C-4307-91B0-8A1CF3540469}" name="Tabla4697141184" displayName="Tabla4697141184" ref="AG61:AG62" totalsRowShown="0">
  <autoFilter ref="AG61:AG62" xr:uid="{F9F816C6-2BEF-46FF-915F-BE5B9C6045E2}"/>
  <tableColumns count="1">
    <tableColumn id="1" xr3:uid="{A7FCECE1-1DFC-4572-AAAF-396B1FFB5CE1}" name="Combos"/>
  </tableColumns>
  <tableStyleInfo name="TableStyleMedium2" showFirstColumn="0" showLastColumn="0" showRowStripes="1" showColumnStripes="0"/>
</table>
</file>

<file path=xl/tables/table2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BDF994AB-F851-42C4-9F50-2A108F9C83D2}" name="Tabla4798142185" displayName="Tabla4798142185" ref="AG64:AG65" totalsRowShown="0">
  <autoFilter ref="AG64:AG65" xr:uid="{D0087047-FAAD-47F1-8107-9751D313CB07}"/>
  <tableColumns count="1">
    <tableColumn id="1" xr3:uid="{E9AB31F3-4030-4EED-B4DE-29A6A8EAB778}" name="Mesa"/>
  </tableColumns>
  <tableStyleInfo name="TableStyleMedium2" showFirstColumn="0" showLastColumn="0" showRowStripes="1" showColumnStripes="0"/>
</table>
</file>

<file path=xl/tables/table2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509D4D1E-D262-496B-8BF5-C7F614B4E23E}" name="Tabla4899143186" displayName="Tabla4899143186" ref="AM29:AM31" totalsRowShown="0" tableBorderDxfId="366">
  <autoFilter ref="AM29:AM31" xr:uid="{98D206C1-A450-4754-81B2-030642ED939D}"/>
  <tableColumns count="1">
    <tableColumn id="1" xr3:uid="{1818EEC0-F18B-44F2-9C4F-34FE01A40613}" name="Pinza"/>
  </tableColumns>
  <tableStyleInfo name="TableStyleMedium2" showFirstColumn="0" showLastColumn="0" showRowStripes="1" showColumnStripes="0"/>
</table>
</file>

<file path=xl/tables/table2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D5C5758F-54F2-44A5-BE7E-A3BD406834D0}" name="Tabla4956100144187" displayName="Tabla4956100144187" ref="AM1:AM20" totalsRowShown="0" tableBorderDxfId="365">
  <autoFilter ref="AM1:AM20" xr:uid="{682A1042-040F-4BDC-814E-19EDB04144BA}"/>
  <tableColumns count="1">
    <tableColumn id="1" xr3:uid="{50C0831A-9218-444B-99EE-56D3593B655B}" name="Accesorios"/>
  </tableColumns>
  <tableStyleInfo name="TableStyleMedium2" showFirstColumn="0" showLastColumn="0" showRowStripes="1" showColumnStripes="0"/>
</table>
</file>

<file path=xl/tables/table2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769E4A2E-EFD8-440B-A3E6-476B1BC45006}" name="Tabla758102" displayName="Tabla758102" ref="R1:S12" totalsRowShown="0" dataDxfId="364" tableBorderDxfId="363">
  <autoFilter ref="R1:S12" xr:uid="{9C601E76-6EC7-4996-8C5A-4EC2650D4D49}"/>
  <tableColumns count="2">
    <tableColumn id="1" xr3:uid="{12F028F5-3EA1-488C-BBB7-596292727F81}" name="ID" dataDxfId="362"/>
    <tableColumn id="2" xr3:uid="{BE49DDBA-AC0C-4945-AD1D-CFF76D24A81B}" name="Area" dataDxfId="361"/>
  </tableColumns>
  <tableStyleInfo name="TableStyleMedium2" showFirstColumn="0" showLastColumn="0" showRowStripes="1" showColumnStripes="0"/>
</table>
</file>

<file path=xl/tables/table2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0D375994-3643-42D2-BCDC-EF33A39666FC}" name="Tabla259103" displayName="Tabla259103" ref="U1:V4" totalsRowShown="0" headerRowDxfId="360" headerRowBorderDxfId="359" tableBorderDxfId="358" totalsRowBorderDxfId="357">
  <autoFilter ref="U1:V4" xr:uid="{8EA5E146-546E-4301-8341-E9A2182AF11B}"/>
  <tableColumns count="2">
    <tableColumn id="1" xr3:uid="{96731C59-D5E7-4D79-AB2C-D0030CFDEC05}" name="ID" dataDxfId="356"/>
    <tableColumn id="2" xr3:uid="{12620159-EA42-4F37-8509-32B54C7E44AA}" name="Estado" dataDxfId="355"/>
  </tableColumns>
  <tableStyleInfo name="TableStyleMedium2" showFirstColumn="0" showLastColumn="0" showRowStripes="1" showColumnStripes="0"/>
</table>
</file>

<file path=xl/tables/table2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063AE104-4273-4DA6-86DB-721E396FC805}" name="Tabla360104" displayName="Tabla360104" ref="X1:Y7" totalsRowShown="0" headerRowDxfId="354" headerRowBorderDxfId="353" tableBorderDxfId="352" totalsRowBorderDxfId="351">
  <autoFilter ref="X1:Y7" xr:uid="{4313A204-2187-4F5D-B195-E9D8244B0B6A}"/>
  <tableColumns count="2">
    <tableColumn id="1" xr3:uid="{C15929D5-1972-46CF-A622-21C59E9778D9}" name="ID" dataDxfId="350"/>
    <tableColumn id="2" xr3:uid="{F7CE712C-A3A8-4B84-80A4-F3B889F1352B}" name="Clasificación" dataDxfId="349"/>
  </tableColumns>
  <tableStyleInfo name="TableStyleMedium2" showFirstColumn="0" showLastColumn="0" showRowStripes="1" showColumnStripes="0"/>
</table>
</file>

<file path=xl/tables/table2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EAB77D01-723E-45C5-B349-29EB6E2A6FF0}" name="Tabla461105" displayName="Tabla461105" ref="X9:X12" totalsRowShown="0" headerRowDxfId="348" headerRowBorderDxfId="347" tableBorderDxfId="346" totalsRowBorderDxfId="345">
  <autoFilter ref="X9:X12" xr:uid="{4FA69CD1-8D3C-4F41-B69E-D64790738288}"/>
  <tableColumns count="1">
    <tableColumn id="1" xr3:uid="{1ACE24B5-384E-4932-9A36-A43D7A0E4C23}" name="Frecuencia de uso" dataDxfId="344"/>
  </tableColumns>
  <tableStyleInfo name="TableStyleMedium2" showFirstColumn="0" showLastColumn="0" showRowStripes="1" showColumnStripes="0"/>
</table>
</file>

<file path=xl/tables/table2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F573ACA0-A664-4DB6-AFAC-21BAF2739469}" name="Herramientas_eléctricas1862106" displayName="Herramientas_eléctricas1862106" ref="AB1:AB21" totalsRowShown="0" headerRowDxfId="343" headerRowBorderDxfId="342" tableBorderDxfId="341">
  <autoFilter ref="AB1:AB21" xr:uid="{9A901B8B-4001-4C56-97C1-F800FB168E81}"/>
  <tableColumns count="1">
    <tableColumn id="1" xr3:uid="{69631A90-35D3-4B2B-BA7A-D408A813CC4C}" name="Herramientas_eléctricas"/>
  </tableColumns>
  <tableStyleInfo name="TableStyleMedium2" showFirstColumn="0" showLastColumn="0" showRowStripes="1" showColumnStripes="0"/>
</table>
</file>

<file path=xl/tables/table2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0A264DE6-961B-451A-85F6-0D66FDD165FF}" name="Herramientas_neumáticas1963107" displayName="Herramientas_neumáticas1963107" ref="AC1:AC6" totalsRowShown="0" headerRowDxfId="340" headerRowBorderDxfId="339" tableBorderDxfId="338">
  <autoFilter ref="AC1:AC6" xr:uid="{DDFD7ABB-9233-49B8-8E7D-0C4E4E73668B}"/>
  <tableColumns count="1">
    <tableColumn id="1" xr3:uid="{14C99801-F26C-4DCE-96F4-EFE00BA2470E}" name="Herramientas_neumáticas"/>
  </tableColumns>
  <tableStyleInfo name="TableStyleMedium2" showFirstColumn="0" showLastColumn="0" showRowStripes="1" showColumnStripes="0"/>
</table>
</file>

<file path=xl/tables/table2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F24082EB-B811-4370-9A5B-CF90FFC0C9D6}" name="Herramientas_de_medición2064108" displayName="Herramientas_de_medición2064108" ref="AD1:AD16" totalsRowShown="0" headerRowDxfId="337" headerRowBorderDxfId="336" tableBorderDxfId="335">
  <autoFilter ref="AD1:AD16" xr:uid="{A1A99238-FF6A-4B46-95FE-F6F59C0A59FF}"/>
  <tableColumns count="1">
    <tableColumn id="1" xr3:uid="{CB1EAF8E-ABBF-48BE-B643-82F78A4B7CC9}" name="Herramientas_de_medición" dataDxfId="334"/>
  </tableColumns>
  <tableStyleInfo name="TableStyleMedium2" showFirstColumn="0" showLastColumn="0" showRowStripes="1" showColumnStripes="0"/>
</table>
</file>

<file path=xl/tables/table2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91483EBE-DF11-45F2-B62F-9796B2634BE8}" name="Herrramientas_mecánicas2165109" displayName="Herrramientas_mecánicas2165109" ref="AE1:AE21" totalsRowShown="0" headerRowDxfId="333" headerRowBorderDxfId="332" tableBorderDxfId="331">
  <autoFilter ref="AE1:AE21" xr:uid="{82699701-A4C7-4A41-A40B-8F87727B2FCD}"/>
  <tableColumns count="1">
    <tableColumn id="1" xr3:uid="{93408B12-FFEF-48D7-B533-1CD5707BD99E}" name="Herramientas_mecánicas"/>
  </tableColumns>
  <tableStyleInfo name="TableStyleMedium2" showFirstColumn="0" showLastColumn="0" showRowStripes="1" showColumnStripes="0"/>
</table>
</file>

<file path=xl/tables/table2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69D71BE9-5AE5-42B4-ACA5-BBAFAEA33EC5}" name="Herramientas_hidráulicas2266110" displayName="Herramientas_hidráulicas2266110" ref="AF1:AF9" totalsRowShown="0" headerRowDxfId="330" dataDxfId="328" headerRowBorderDxfId="329" tableBorderDxfId="327">
  <autoFilter ref="AF1:AF9" xr:uid="{5C7C5014-0DFD-4140-8DC3-6AF6EDF169E4}"/>
  <tableColumns count="1">
    <tableColumn id="1" xr3:uid="{110DB470-8A90-40F5-9195-E7FDD4B61FDD}" name="Herramientas_hidráulicas" dataDxfId="326"/>
  </tableColumns>
  <tableStyleInfo name="TableStyleMedium2" showFirstColumn="0" showLastColumn="0" showRowStripes="1" showColumnStripes="0"/>
</table>
</file>

<file path=xl/tables/table2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4D5333DB-8442-4BDB-B209-A9DAC7FA4D0A}" name="EPP_2367111" displayName="EPP_2367111" ref="AG1:AG6" totalsRowShown="0" headerRowDxfId="325" headerRowBorderDxfId="324" tableBorderDxfId="323">
  <autoFilter ref="AG1:AG6" xr:uid="{6ED4F867-D028-4151-85A1-2598FAD98928}"/>
  <tableColumns count="1">
    <tableColumn id="1" xr3:uid="{614E4AC1-F160-4E2B-967D-663A5F4380D2}" name="SPCC"/>
  </tableColumns>
  <tableStyleInfo name="TableStyleMedium2" showFirstColumn="0" showLastColumn="0" showRowStripes="1" showColumnStripes="0"/>
</table>
</file>

<file path=xl/tables/table2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3E1B6FA5-728C-44ED-9065-79384CC30E26}" name="Herramientas_de_izaje2468112" displayName="Herramientas_de_izaje2468112" ref="AH1:AH6" totalsRowShown="0" headerRowDxfId="322" headerRowBorderDxfId="321" tableBorderDxfId="320">
  <autoFilter ref="AH1:AH6" xr:uid="{0DE75960-5B93-46A7-AAE6-BC581FFF1354}"/>
  <tableColumns count="1">
    <tableColumn id="1" xr3:uid="{B083457E-E51D-4057-B79B-DD369986B6E5}" name="Herramientas_de_izaje"/>
  </tableColumns>
  <tableStyleInfo name="TableStyleMedium2" showFirstColumn="0" showLastColumn="0" showRowStripes="1" showColumnStripes="0"/>
</table>
</file>

<file path=xl/tables/table2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DE5D1016-EC85-445F-AD9D-48A8A0685027}" name="Tabla152569113" displayName="Tabla152569113" ref="AI1:AI2" totalsRowShown="0" headerRowDxfId="319" dataDxfId="317" headerRowBorderDxfId="318" tableBorderDxfId="316">
  <autoFilter ref="AI1:AI2" xr:uid="{7CDF3488-ADF8-42BB-8EFE-46E3A509430E}"/>
  <tableColumns count="1">
    <tableColumn id="1" xr3:uid="{CF29FE3D-79F4-4015-8979-D6A2909F6101}" name="Otros" dataDxfId="315"/>
  </tableColumns>
  <tableStyleInfo name="TableStyleMedium2" showFirstColumn="0" showLastColumn="0" showRowStripes="1" showColumnStripes="0"/>
</table>
</file>

<file path=xl/tables/table2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B28640E2-0B88-41C2-9AB3-5E8E418AB160}" name="Tabla162670114" displayName="Tabla162670114" ref="AJ1:AJ6" totalsRowShown="0">
  <autoFilter ref="AJ1:AJ6" xr:uid="{BA84FDFB-CFCF-49B5-A4A0-7E55EE0C8343}"/>
  <tableColumns count="1">
    <tableColumn id="1" xr3:uid="{8FD54B87-80BE-4754-8B17-D7940B39143B}" name="Equipos"/>
  </tableColumns>
  <tableStyleInfo name="TableStyleMedium2" showFirstColumn="0" showLastColumn="0" showRowStripes="1" showColumnStripes="0"/>
</table>
</file>

<file path=xl/tables/table2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916B2460-2476-43C5-A957-D1CDE2B10AF3}" name="Tabla571115" displayName="Tabla571115" ref="AB33:AC35" totalsRowShown="0" tableBorderDxfId="314">
  <autoFilter ref="AB33:AC35" xr:uid="{CF2FEFF5-0ED4-40EF-A2CA-B8658D653CBB}"/>
  <tableColumns count="2">
    <tableColumn id="1" xr3:uid="{30EBCD76-79E6-4A12-9330-AE9BA88BC3FC}" name="Calentador"/>
    <tableColumn id="2" xr3:uid="{2681CE61-5F9B-4F1A-99CC-B370CA6446AA}" name="Bomba"/>
  </tableColumns>
  <tableStyleInfo name="TableStyleMedium2" showFirstColumn="0" showLastColumn="0" showRowStripes="1" showColumnStripes="0"/>
</table>
</file>

<file path=xl/tables/table2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D64E589F-385D-4050-917B-6E70597492A4}" name="Tabla1772116" displayName="Tabla1772116" ref="AB38:AB40" totalsRowShown="0" headerRowDxfId="313" headerRowBorderDxfId="312" tableBorderDxfId="311">
  <autoFilter ref="AB38:AB40" xr:uid="{830EF362-0156-4A25-9CC5-538DDBFCF308}"/>
  <tableColumns count="1">
    <tableColumn id="1" xr3:uid="{9E03253A-6D1F-44C0-9FA2-697F336E5DF3}" name="Martillo "/>
  </tableColumns>
  <tableStyleInfo name="TableStyleMedium2" showFirstColumn="0" showLastColumn="0" showRowStripes="1" showColumnStripes="0"/>
</table>
</file>

<file path=xl/tables/table2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5F457B9E-C41E-43AC-96DC-ADA6F84FD904}" name="Tabla1873117" displayName="Tabla1873117" ref="AD29:AD31" totalsRowShown="0" dataDxfId="310">
  <autoFilter ref="AD29:AD31" xr:uid="{D9204BB2-CBF2-43D1-8CAA-9AC826A37056}"/>
  <tableColumns count="1">
    <tableColumn id="1" xr3:uid="{27B3ED3A-788A-4485-B72B-6871722C39DD}" name="Nivel" dataDxfId="309"/>
  </tableColumns>
  <tableStyleInfo name="TableStyleMedium2" showFirstColumn="0" showLastColumn="0" showRowStripes="1" showColumnStripes="0"/>
</table>
</file>

<file path=xl/tables/table2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52F02D58-3BC9-47A1-A132-C900A97F56EA}" name="Tabla1974118" displayName="Tabla1974118" ref="AB42:AB45" totalsRowShown="0" headerRowDxfId="308" headerRowBorderDxfId="307" tableBorderDxfId="306" totalsRowBorderDxfId="305">
  <autoFilter ref="AB42:AB45" xr:uid="{751CC4DE-0F10-45F1-BAA4-31688AE830B1}"/>
  <tableColumns count="1">
    <tableColumn id="1" xr3:uid="{B9179ECF-C653-4987-BA1D-A79CE4625FD1}" name="Impactor"/>
  </tableColumns>
  <tableStyleInfo name="TableStyleMedium2" showFirstColumn="0" showLastColumn="0" showRowStripes="1" showColumnStripes="0"/>
</table>
</file>

<file path=xl/tables/table2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16D81850-E880-4680-B297-5C06737DA48B}" name="Tabla2075119" displayName="Tabla2075119" ref="AB47:AB50" totalsRowShown="0">
  <autoFilter ref="AB47:AB50" xr:uid="{A14E2475-26A8-4E9D-8E77-6DD3075B12E9}"/>
  <tableColumns count="1">
    <tableColumn id="1" xr3:uid="{AB63DC03-9252-424E-8A12-1B0E51C56B93}" name="Extractor"/>
  </tableColumns>
  <tableStyleInfo name="TableStyleMedium2" showFirstColumn="0" showLastColumn="0" showRowStripes="1" showColumnStripes="0"/>
</table>
</file>

<file path=xl/tables/table2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81375098-F38C-48EF-B6B8-FACDB6B98E63}" name="Tabla2176120" displayName="Tabla2176120" ref="AB52:AB53" totalsRowShown="0" dataDxfId="304" tableBorderDxfId="303">
  <autoFilter ref="AB52:AB53" xr:uid="{FB135CB6-85B5-46C8-99B8-45176F814696}"/>
  <tableColumns count="1">
    <tableColumn id="1" xr3:uid="{774BF5C9-4363-4C30-BABF-250199B7F680}" name="Esmeril" dataDxfId="302"/>
  </tableColumns>
  <tableStyleInfo name="TableStyleMedium2" showFirstColumn="0" showLastColumn="0" showRowStripes="1" showColumnStripes="0"/>
</table>
</file>

<file path=xl/tables/table2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400A4CD0-61A7-47DB-A228-018474F0768D}" name="Tabla2277121" displayName="Tabla2277121" ref="AD56:AD58" totalsRowShown="0">
  <autoFilter ref="AD56:AD58" xr:uid="{3AB821FA-FFC5-4307-AC30-B52EA5139269}"/>
  <tableColumns count="1">
    <tableColumn id="1" xr3:uid="{901188D3-9D75-4DD2-B678-7C983243EA4D}" name="Manometro"/>
  </tableColumns>
  <tableStyleInfo name="TableStyleMedium2" showFirstColumn="0" showLastColumn="0" showRowStripes="1" showColumnStripes="0"/>
</table>
</file>

<file path=xl/tables/table2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C3F90973-4A9C-4AA3-8B41-317A76E8DE42}" name="Tabla2378122" displayName="Tabla2378122" ref="AD33:AD36" totalsRowShown="0" headerRowDxfId="301" tableBorderDxfId="300">
  <autoFilter ref="AD33:AD36" xr:uid="{16F850A9-F3B2-41CD-A0AE-53D6CE1A75ED}"/>
  <tableColumns count="1">
    <tableColumn id="1" xr3:uid="{4460039C-64A1-462C-8FEE-D3BDFDE06BA8}" name="Medidor"/>
  </tableColumns>
  <tableStyleInfo name="TableStyleMedium2" showFirstColumn="0" showLastColumn="0" showRowStripes="1" showColumnStripes="0"/>
</table>
</file>

<file path=xl/tables/table2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E8C37329-F364-4F2E-B0DC-13C005B9B92C}" name="Tabla2479123" displayName="Tabla2479123" ref="AD38:AD39" totalsRowShown="0" dataDxfId="299" tableBorderDxfId="298">
  <autoFilter ref="AD38:AD39" xr:uid="{1889A6F9-230B-4AFF-867D-3DF6472821F5}"/>
  <tableColumns count="1">
    <tableColumn id="1" xr3:uid="{C68325D1-CA64-4CE3-9BB3-475DDE42046F}" name="Camara termografica" dataDxfId="297"/>
  </tableColumns>
  <tableStyleInfo name="TableStyleMedium2" showFirstColumn="0" showLastColumn="0" showRowStripes="1" showColumnStripes="0"/>
</table>
</file>

<file path=xl/tables/table2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4D569736-8D6C-4350-8255-D17509A01066}" name="Tabla2580124" displayName="Tabla2580124" ref="AE33:AE40" totalsRowShown="0">
  <autoFilter ref="AE33:AE40" xr:uid="{A0DED689-2510-4BE0-B85F-FD1D7D88DFA4}"/>
  <tableColumns count="1">
    <tableColumn id="1" xr3:uid="{E7286EAD-31C8-4D59-8644-A727E166E204}" name="Llaves"/>
  </tableColumns>
  <tableStyleInfo name="TableStyleMedium2" showFirstColumn="0" showLastColumn="0" showRowStripes="1" showColumnStripes="0"/>
</table>
</file>

<file path=xl/tables/table2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CBF25423-A587-4F40-A1D0-5F6C9EECF3DB}" name="Tabla2681125" displayName="Tabla2681125" ref="AD41:AD45" totalsRowShown="0" tableBorderDxfId="296">
  <autoFilter ref="AD41:AD45" xr:uid="{8ED6E545-64E7-44D4-B8A8-CB23D42265C0}"/>
  <tableColumns count="1">
    <tableColumn id="1" xr3:uid="{0AE41433-2BE6-4B36-AF74-8CE627B04D15}" name="Calibrador"/>
  </tableColumns>
  <tableStyleInfo name="TableStyleMedium2" showFirstColumn="0" showLastColumn="0" showRowStripes="1" showColumnStripes="0"/>
</table>
</file>

<file path=xl/tables/table2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82F3587C-6D54-4771-B6D6-EA68898A0412}" name="Tabla2882126" displayName="Tabla2882126" ref="AD48:AD51" totalsRowShown="0">
  <autoFilter ref="AD48:AD51" xr:uid="{9EF16892-84A3-4412-9559-E3ECBCBE8FAD}"/>
  <tableColumns count="1">
    <tableColumn id="1" xr3:uid="{E499B316-677B-452F-B213-6A00EAA00AD3}" name="Micrómetro"/>
  </tableColumns>
  <tableStyleInfo name="TableStyleMedium2" showFirstColumn="0" showLastColumn="0" showRowStripes="1" showColumnStripes="0"/>
</table>
</file>

<file path=xl/tables/table2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B0218185-5F64-4C63-B938-F6A74CB32AD0}" name="Tabla2983127" displayName="Tabla2983127" ref="AE67:AE69" totalsRowShown="0" tableBorderDxfId="295">
  <autoFilter ref="AE67:AE69" xr:uid="{2312EFE8-ED6F-40CE-936E-92708A2A3E11}"/>
  <tableColumns count="1">
    <tableColumn id="1" xr3:uid="{32B5F988-5389-4A0B-8A9C-7B4AADAED3F5}" name="Alicates"/>
  </tableColumns>
  <tableStyleInfo name="TableStyleMedium2" showFirstColumn="0" showLastColumn="0" showRowStripes="1" showColumnStripes="0"/>
</table>
</file>

<file path=xl/tables/table2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EED8FB68-8F1F-40A5-ABD1-39F9D6447307}" name="Tabla3084128" displayName="Tabla3084128" ref="AE50:AE59" totalsRowShown="0" dataDxfId="294" tableBorderDxfId="293">
  <autoFilter ref="AE50:AE59" xr:uid="{3B268A63-E4A5-4D1B-B445-E13631B6E887}"/>
  <tableColumns count="1">
    <tableColumn id="1" xr3:uid="{80D85EF9-440D-41AB-8BB4-993422A69549}" name="Dados" dataDxfId="292"/>
  </tableColumns>
  <tableStyleInfo name="TableStyleMedium2" showFirstColumn="0" showLastColumn="0" showRowStripes="1" showColumnStripes="0"/>
</table>
</file>

<file path=xl/tables/table2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9575DB7E-D2B8-42F3-863E-FEDB31D36D2F}" name="Tabla3285129" displayName="Tabla3285129" ref="AE43:AE44" totalsRowShown="0" dataDxfId="291" tableBorderDxfId="290">
  <autoFilter ref="AE43:AE44" xr:uid="{005ABD67-F7E0-47FD-8970-322FEA5BBC4C}"/>
  <tableColumns count="1">
    <tableColumn id="1" xr3:uid="{EF7CE797-3F15-4156-8648-C41C6C12F08A}" name="Tijera" dataDxfId="289"/>
  </tableColumns>
  <tableStyleInfo name="TableStyleMedium2" showFirstColumn="0" showLastColumn="0" showRowStripes="1" showColumnStripes="0"/>
</table>
</file>

<file path=xl/tables/table2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0F8A4E5C-2BBB-443E-91D6-D200E8131ABA}" name="Tabla3386130" displayName="Tabla3386130" ref="AD63:AD64" totalsRowShown="0" dataDxfId="288" tableBorderDxfId="287">
  <autoFilter ref="AD63:AD64" xr:uid="{7D457BB0-C389-4126-BC6E-CB6D91AFE2A6}"/>
  <tableColumns count="1">
    <tableColumn id="1" xr3:uid="{09BC1AB8-67AC-4567-9FB6-BBAFE2AE0272}" name="Estetoscopio" dataDxfId="286"/>
  </tableColumns>
  <tableStyleInfo name="TableStyleMedium2" showFirstColumn="0" showLastColumn="0" showRowStripes="1" showColumnStripes="0"/>
</table>
</file>

<file path=xl/tables/table2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8BEFD85D-8B69-4D71-B6EF-58A9FAF81D89}" name="Tabla3487131" displayName="Tabla3487131" ref="AE47:AE48" totalsRowShown="0" dataDxfId="285" tableBorderDxfId="284">
  <autoFilter ref="AE47:AE48" xr:uid="{EC300733-E688-43CB-A693-F1E2F80F6495}"/>
  <tableColumns count="1">
    <tableColumn id="1" xr3:uid="{1238D0A5-CBB0-40E7-BEE4-ECF58B454BD3}" name="Alargador" dataDxfId="283"/>
  </tableColumns>
  <tableStyleInfo name="TableStyleMedium2" showFirstColumn="0" showLastColumn="0" showRowStripes="1" showColumnStripes="0"/>
</table>
</file>

<file path=xl/tables/table2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7A825D65-7B05-475D-8B42-56CD904FD750}" name="Tabla3588132" displayName="Tabla3588132" ref="AD60:AD61" totalsRowShown="0" dataDxfId="282" tableBorderDxfId="281">
  <autoFilter ref="AD60:AD61" xr:uid="{B42C8F8F-E6AD-4FF3-9580-F9F4B996FF6F}"/>
  <tableColumns count="1">
    <tableColumn id="1" xr3:uid="{28AA030F-0F94-4887-8B44-2C22D85FEF5B}" name="Torquimetro" dataDxfId="280"/>
  </tableColumns>
  <tableStyleInfo name="TableStyleMedium2" showFirstColumn="0" showLastColumn="0" showRowStripes="1" showColumnStripes="0"/>
</table>
</file>

<file path=xl/tables/table2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30A3E71E-C64E-466B-8D85-319D71D9694E}" name="Tabla3789133" displayName="Tabla3789133" ref="AF29:AF30" totalsRowShown="0" headerRowDxfId="279" dataDxfId="277" headerRowBorderDxfId="278" tableBorderDxfId="276" totalsRowBorderDxfId="275">
  <autoFilter ref="AF29:AF30" xr:uid="{2886962D-17B4-4D37-AB1E-9FE27B267D99}"/>
  <tableColumns count="1">
    <tableColumn id="1" xr3:uid="{77F54FCF-394B-4013-BDEA-477A3A016506}" name="Llave " dataDxfId="274"/>
  </tableColumns>
  <tableStyleInfo name="TableStyleMedium2" showFirstColumn="0" showLastColumn="0" showRowStripes="1" showColumnStripes="0"/>
</table>
</file>

<file path=xl/tables/table2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C61C7125-1688-4D5D-89AE-D04D0C55720F}" name="Tabla3890134" displayName="Tabla3890134" ref="B1:P611" totalsRowShown="0" headerRowDxfId="273">
  <autoFilter ref="B1:P611" xr:uid="{58127080-A22D-466C-8BA0-CCF2E2227FD2}"/>
  <tableColumns count="15">
    <tableColumn id="1" xr3:uid="{9A4F6BEF-16A1-4F4F-9553-11F4F148D5F3}" name="Item">
      <calculatedColumnFormula>ROW()-1</calculatedColumnFormula>
    </tableColumn>
    <tableColumn id="2" xr3:uid="{3D3D893D-C7B0-41FB-8390-56890C8DA99C}" name="Area" dataDxfId="272"/>
    <tableColumn id="3" xr3:uid="{2CC409CD-DCB1-4AF1-868A-0724B92F7C55}" name="Cantidad"/>
    <tableColumn id="4" xr3:uid="{BF67B668-6039-4671-B5A1-1501FF459779}" name="Clasificacion" dataDxfId="271"/>
    <tableColumn id="5" xr3:uid="{CE9C5298-9DDF-4CB1-9664-50C0A421FD55}" name="Descripción del equipo"/>
    <tableColumn id="6" xr3:uid="{0BDF3B17-C889-4870-8294-02265DD1B6EF}" name="Marca" dataDxfId="270"/>
    <tableColumn id="7" xr3:uid="{B709A628-5859-47DF-B3BA-8E9A9F787DE3}" name="Modelo" dataDxfId="269"/>
    <tableColumn id="8" xr3:uid="{325CEEBF-EC4D-47B5-907A-1DD751900A24}" name="Cod. Antiguo"/>
    <tableColumn id="9" xr3:uid="{BF8BEAD0-C02A-45BC-BB07-CB579875B91E}" name="Número de Serie"/>
    <tableColumn id="10" xr3:uid="{6DE242B7-E3C2-46A9-8476-BBCA9E652760}" name="Cód. Nuevo Asig" dataDxfId="268">
      <calculatedColumnFormula>_xlfn.LET(
    _xlpm.itemBuscado, B2,
    _xlpm.areaBuscada, C2,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TEXT(COUNTIF($C$2:C2, _xlpm.areaBuscada), "0000"),
    _xlpm.codItem &amp; "-" &amp; _xlpm.codArea &amp; "-" &amp; _xlpm.secuencia
)</calculatedColumnFormula>
    </tableColumn>
    <tableColumn id="11" xr3:uid="{710B7E00-9CCB-4AC5-8446-D0ABBD8D5C06}" name="Codigo de parte"/>
    <tableColumn id="12" xr3:uid="{D21F20EC-64B6-41C5-9A3B-F69EDEBFCD28}" name="Ubicación"/>
    <tableColumn id="13" xr3:uid="{80FA807A-1D4D-4AC8-AF3F-E3121F826D72}" name="Frecuencia de uso"/>
    <tableColumn id="14" xr3:uid="{88B1D920-A1A5-4835-9EE9-22DEEE816C4C}" name="Estado"/>
    <tableColumn id="15" xr3:uid="{66733C9F-A25A-47AE-9372-81906319A660}" name="Observaciones"/>
  </tableColumns>
  <tableStyleInfo name="TableStyleMedium2" showFirstColumn="0" showLastColumn="0" showRowStripes="1" showColumnStripes="0"/>
</table>
</file>

<file path=xl/tables/table2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E6E2CAE0-51D5-4F09-9ADF-4BF1BA039E62}" name="Tabla3991135" displayName="Tabla3991135" ref="AE29:AE30" totalsRowShown="0">
  <autoFilter ref="AE29:AE30" xr:uid="{1C0F20AA-1469-4335-A289-55F2E420509F}"/>
  <tableColumns count="1">
    <tableColumn id="1" xr3:uid="{2E4E37C5-ABD7-473B-AD36-B30B934D94EF}" name="Multiplicador"/>
  </tableColumns>
  <tableStyleInfo name="TableStyleMedium2" showFirstColumn="0" showLastColumn="0" showRowStripes="1" showColumnStripes="0"/>
</table>
</file>

<file path=xl/tables/table2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0370C92D-CEFD-471B-AA0B-9B40FE993474}" name="Tabla4092136" displayName="Tabla4092136" ref="AB29:AC31" totalsRowShown="0" tableBorderDxfId="267">
  <autoFilter ref="AB29:AC31" xr:uid="{2E7F26C8-B310-438B-BD08-8C0BC82B7627}"/>
  <tableColumns count="2">
    <tableColumn id="1" xr3:uid="{43FD39B1-4289-433C-A683-7309AC0C038A}" name="Soldadoras"/>
    <tableColumn id="2" xr3:uid="{7BA551A2-5D22-421A-B7BE-5D3A7F5BCB95}" name="Martillo"/>
  </tableColumns>
  <tableStyleInfo name="TableStyleMedium2" showFirstColumn="0" showLastColumn="0" showRowStripes="1" showColumnStripes="0"/>
</table>
</file>

<file path=xl/tables/table2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A0AEEC5A-8128-45F0-AC6A-FE2289B74061}" name="Tabla4293137" displayName="Tabla4293137" ref="AB58:AB59" totalsRowShown="0">
  <autoFilter ref="AB58:AB59" xr:uid="{BDB2A400-1F11-4F53-807B-27202876BE6C}"/>
  <tableColumns count="1">
    <tableColumn id="1" xr3:uid="{8D8D1902-BF77-471D-846B-9DB30D245DC2}" name="Amoladora"/>
  </tableColumns>
  <tableStyleInfo name="TableStyleMedium2" showFirstColumn="0" showLastColumn="0" showRowStripes="1" showColumnStripes="0"/>
</table>
</file>

<file path=xl/tables/table2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364779EB-1B8B-4488-BB8E-CD4D7BB492E6}" name="Tabla4394138" displayName="Tabla4394138" ref="AB62:AB64" totalsRowShown="0" dataDxfId="266" tableBorderDxfId="265">
  <autoFilter ref="AB62:AB64" xr:uid="{931F2BE3-67FF-44D5-B415-148F761F93A6}"/>
  <tableColumns count="1">
    <tableColumn id="1" xr3:uid="{38B72FF7-55B9-4140-A29B-C075A3356549}" name="Iluminación" dataDxfId="264"/>
  </tableColumns>
  <tableStyleInfo name="TableStyleMedium2" showFirstColumn="0" showLastColumn="0" showRowStripes="1" showColumnStripes="0"/>
</table>
</file>

<file path=xl/tables/table2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970A0288-CA02-4BD3-A61C-D23C4812DE6F}" name="Tabla4495139" displayName="Tabla4495139" ref="AH29:AH30" totalsRowShown="0">
  <autoFilter ref="AH29:AH30" xr:uid="{9781A61A-AC29-41AE-98F6-916225D99E1D}"/>
  <tableColumns count="1">
    <tableColumn id="1" xr3:uid="{C807A56E-46AE-4FCE-A688-F7CE517D43E8}" name="Tecle"/>
  </tableColumns>
  <tableStyleInfo name="TableStyleMedium2" showFirstColumn="0" showLastColumn="0" showRowStripes="1" showColumnStripes="0"/>
</table>
</file>

<file path=xl/tables/table2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46AED786-0E74-4852-83A1-57EF11AD092E}" name="Tabla4596140" displayName="Tabla4596140" ref="AB66:AB68" totalsRowShown="0">
  <autoFilter ref="AB66:AB68" xr:uid="{883961C8-D276-4BAE-B81D-192750F3D2CC}"/>
  <tableColumns count="1">
    <tableColumn id="1" xr3:uid="{15D71575-49F5-4D37-85FE-3504E3E09E8C}" name="Lubricador"/>
  </tableColumns>
  <tableStyleInfo name="TableStyleMedium2" showFirstColumn="0" showLastColumn="0" showRowStripes="1" showColumnStripes="0"/>
</table>
</file>

<file path=xl/tables/table2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B55E93E1-0C85-44EE-BF5E-579F3E9B258A}" name="Tabla4697141" displayName="Tabla4697141" ref="AE61:AE62" totalsRowShown="0">
  <autoFilter ref="AE61:AE62" xr:uid="{F9F816C6-2BEF-46FF-915F-BE5B9C6045E2}"/>
  <tableColumns count="1">
    <tableColumn id="1" xr3:uid="{F7A03EED-4FCC-4B24-8461-5396E68BFDC4}" name="Combos"/>
  </tableColumns>
  <tableStyleInfo name="TableStyleMedium2" showFirstColumn="0" showLastColumn="0" showRowStripes="1" showColumnStripes="0"/>
</table>
</file>

<file path=xl/tables/table2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F48C0CCC-524F-47F0-8229-9D51FCC4031C}" name="Tabla4798142" displayName="Tabla4798142" ref="AE64:AE65" totalsRowShown="0">
  <autoFilter ref="AE64:AE65" xr:uid="{D0087047-FAAD-47F1-8107-9751D313CB07}"/>
  <tableColumns count="1">
    <tableColumn id="1" xr3:uid="{386D90D0-A211-49FC-9EE9-251D2F8204CA}" name="Mesa"/>
  </tableColumns>
  <tableStyleInfo name="TableStyleMedium2" showFirstColumn="0" showLastColumn="0" showRowStripes="1" showColumnStripes="0"/>
</table>
</file>

<file path=xl/tables/table3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67D4A09F-8DF6-4AFF-A4C1-916189F97866}" name="Tabla4899143" displayName="Tabla4899143" ref="AK29:AK31" totalsRowShown="0" tableBorderDxfId="263">
  <autoFilter ref="AK29:AK31" xr:uid="{98D206C1-A450-4754-81B2-030642ED939D}"/>
  <tableColumns count="1">
    <tableColumn id="1" xr3:uid="{FFE5DD36-21E0-433B-BF35-C6730788F620}" name="Pinza"/>
  </tableColumns>
  <tableStyleInfo name="TableStyleMedium2" showFirstColumn="0" showLastColumn="0" showRowStripes="1" showColumnStripes="0"/>
</table>
</file>

<file path=xl/tables/table3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102517A8-BE62-43C7-B852-1C906031CB5C}" name="Tabla4956100144" displayName="Tabla4956100144" ref="AK1:AK20" totalsRowShown="0" tableBorderDxfId="262">
  <autoFilter ref="AK1:AK20" xr:uid="{682A1042-040F-4BDC-814E-19EDB04144BA}"/>
  <tableColumns count="1">
    <tableColumn id="1" xr3:uid="{F160EA7D-698E-4CF6-A74F-190AE40237E4}" name="Accesorios"/>
  </tableColumns>
  <tableStyleInfo name="TableStyleMedium2" showFirstColumn="0" showLastColumn="0" showRowStripes="1" showColumnStripes="0"/>
</table>
</file>

<file path=xl/tables/table3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8F6D70F4-FBA5-4A88-A083-4BC19CB60078}" name="Tabla758" displayName="Tabla758" ref="W1:X13" totalsRowShown="0" dataDxfId="261" tableBorderDxfId="260">
  <autoFilter ref="W1:X13" xr:uid="{9C601E76-6EC7-4996-8C5A-4EC2650D4D49}"/>
  <tableColumns count="2">
    <tableColumn id="1" xr3:uid="{8788D6B4-0EF7-4B68-BDE3-572FE36E1C42}" name="ID" dataDxfId="259"/>
    <tableColumn id="2" xr3:uid="{C2BC89DD-0365-45B9-A5D5-5AADD8572CC2}" name="Area" dataDxfId="258"/>
  </tableColumns>
  <tableStyleInfo name="TableStyleMedium2" showFirstColumn="0" showLastColumn="0" showRowStripes="1" showColumnStripes="0"/>
</table>
</file>

<file path=xl/tables/table3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AA0728C-D59D-4A9B-BABE-3CE9D6E9E931}" name="Tabla259" displayName="Tabla259" ref="Z1:AA4" totalsRowShown="0" headerRowDxfId="257" headerRowBorderDxfId="256" tableBorderDxfId="255" totalsRowBorderDxfId="254">
  <autoFilter ref="Z1:AA4" xr:uid="{8EA5E146-546E-4301-8341-E9A2182AF11B}"/>
  <tableColumns count="2">
    <tableColumn id="1" xr3:uid="{15167D67-A025-40B2-9CE3-A792A0099E3C}" name="ID" dataDxfId="253"/>
    <tableColumn id="2" xr3:uid="{0349A727-9CC4-4481-8F47-5A7DFBB48BEF}" name="Estado" dataDxfId="252"/>
  </tableColumns>
  <tableStyleInfo name="TableStyleMedium2" showFirstColumn="0" showLastColumn="0" showRowStripes="1" showColumnStripes="0"/>
</table>
</file>

<file path=xl/tables/table3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711F65EC-032F-46C5-87E0-891A3C61375D}" name="Tabla360" displayName="Tabla360" ref="AC1:AD7" totalsRowShown="0" headerRowDxfId="251" headerRowBorderDxfId="250" tableBorderDxfId="249" totalsRowBorderDxfId="248">
  <autoFilter ref="AC1:AD7" xr:uid="{4313A204-2187-4F5D-B195-E9D8244B0B6A}"/>
  <tableColumns count="2">
    <tableColumn id="1" xr3:uid="{3F21EBBC-C30B-493E-A174-0E7E8EF5D2B4}" name="ID" dataDxfId="247"/>
    <tableColumn id="2" xr3:uid="{0BB06623-455B-40E6-9B74-0E1523FC1940}" name="Clasificación" dataDxfId="246"/>
  </tableColumns>
  <tableStyleInfo name="TableStyleMedium2" showFirstColumn="0" showLastColumn="0" showRowStripes="1" showColumnStripes="0"/>
</table>
</file>

<file path=xl/tables/table3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DC1D7174-C54B-4DC9-879F-CBD8D89AC010}" name="Tabla461" displayName="Tabla461" ref="AC9:AC12" totalsRowShown="0" headerRowDxfId="245" headerRowBorderDxfId="244" tableBorderDxfId="243" totalsRowBorderDxfId="242">
  <autoFilter ref="AC9:AC12" xr:uid="{4FA69CD1-8D3C-4F41-B69E-D64790738288}"/>
  <tableColumns count="1">
    <tableColumn id="1" xr3:uid="{C8814BEA-78CC-4152-8660-3105F12535C3}" name="Frecuencia de uso" dataDxfId="241"/>
  </tableColumns>
  <tableStyleInfo name="TableStyleMedium2" showFirstColumn="0" showLastColumn="0" showRowStripes="1" showColumnStripes="0"/>
</table>
</file>

<file path=xl/tables/table3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5576E2A2-EC21-43C9-BFD6-9551F5187870}" name="Herramientas_eléctricas1862" displayName="Herramientas_eléctricas1862" ref="AG1:AG21" totalsRowShown="0" headerRowDxfId="240" headerRowBorderDxfId="239" tableBorderDxfId="238">
  <autoFilter ref="AG1:AG21" xr:uid="{9A901B8B-4001-4C56-97C1-F800FB168E81}"/>
  <tableColumns count="1">
    <tableColumn id="1" xr3:uid="{F2EB56F7-E925-4C01-B6F8-9E452210380D}" name="Herramientas_eléctricas"/>
  </tableColumns>
  <tableStyleInfo name="TableStyleMedium2" showFirstColumn="0" showLastColumn="0" showRowStripes="1" showColumnStripes="0"/>
</table>
</file>

<file path=xl/tables/table3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109433CA-26A3-4122-BF64-328E63A3E482}" name="Herramientas_neumáticas1963" displayName="Herramientas_neumáticas1963" ref="AH1:AH6" totalsRowShown="0" headerRowDxfId="237" headerRowBorderDxfId="236" tableBorderDxfId="235">
  <autoFilter ref="AH1:AH6" xr:uid="{DDFD7ABB-9233-49B8-8E7D-0C4E4E73668B}"/>
  <tableColumns count="1">
    <tableColumn id="1" xr3:uid="{B904F643-78CB-439C-90FE-293E3FD425EB}" name="Herramientas_neumáticas"/>
  </tableColumns>
  <tableStyleInfo name="TableStyleMedium2" showFirstColumn="0" showLastColumn="0" showRowStripes="1" showColumnStripes="0"/>
</table>
</file>

<file path=xl/tables/table3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9E2DB0ED-75D8-4119-B09D-F15589578922}" name="Herramientas_de_medición2064" displayName="Herramientas_de_medición2064" ref="AI1:AI16" totalsRowShown="0" headerRowDxfId="234" headerRowBorderDxfId="233" tableBorderDxfId="232">
  <autoFilter ref="AI1:AI16" xr:uid="{A1A99238-FF6A-4B46-95FE-F6F59C0A59FF}"/>
  <tableColumns count="1">
    <tableColumn id="1" xr3:uid="{56A20403-EB94-460B-B9CF-3AAB32D9756F}" name="Herramientas_de_medición" dataDxfId="231"/>
  </tableColumns>
  <tableStyleInfo name="TableStyleMedium2" showFirstColumn="0" showLastColumn="0" showRowStripes="1" showColumnStripes="0"/>
</table>
</file>

<file path=xl/tables/table3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80AF80DC-D1E5-44D0-AC82-FD0FD59E5654}" name="Herrramientas_mecánicas2165" displayName="Herrramientas_mecánicas2165" ref="AJ1:AJ21" totalsRowShown="0" headerRowDxfId="230" headerRowBorderDxfId="229" tableBorderDxfId="228">
  <autoFilter ref="AJ1:AJ21" xr:uid="{82699701-A4C7-4A41-A40B-8F87727B2FCD}"/>
  <tableColumns count="1">
    <tableColumn id="1" xr3:uid="{DD3C8C92-D4F8-4F88-BC6F-B25671A4D4E3}" name="Herramientas_mecánicas"/>
  </tableColumns>
  <tableStyleInfo name="TableStyleMedium2" showFirstColumn="0" showLastColumn="0" showRowStripes="1" showColumnStripes="0"/>
</table>
</file>

<file path=xl/tables/table3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6294E24B-C135-4918-ACD3-F44E1514DFF4}" name="Herramientas_hidráulicas2266" displayName="Herramientas_hidráulicas2266" ref="AK1:AK9" totalsRowShown="0" headerRowDxfId="227" dataDxfId="225" headerRowBorderDxfId="226" tableBorderDxfId="224">
  <autoFilter ref="AK1:AK9" xr:uid="{5C7C5014-0DFD-4140-8DC3-6AF6EDF169E4}"/>
  <tableColumns count="1">
    <tableColumn id="1" xr3:uid="{0D557DC3-F3D0-4097-9CE8-D9EEFDC40B06}" name="Herramientas_hidráulicas" dataDxfId="223"/>
  </tableColumns>
  <tableStyleInfo name="TableStyleMedium2" showFirstColumn="0" showLastColumn="0" showRowStripes="1" showColumnStripes="0"/>
</table>
</file>

<file path=xl/tables/table3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C4412AA0-90D7-475A-844A-7D0DDC87A62E}" name="EPP_2367" displayName="EPP_2367" ref="AL1:AL6" totalsRowShown="0" headerRowDxfId="222" headerRowBorderDxfId="221" tableBorderDxfId="220">
  <autoFilter ref="AL1:AL6" xr:uid="{6ED4F867-D028-4151-85A1-2598FAD98928}"/>
  <tableColumns count="1">
    <tableColumn id="1" xr3:uid="{9B9CAF19-78A0-4BEC-824C-4BB324FB5F95}" name="SPCC"/>
  </tableColumns>
  <tableStyleInfo name="TableStyleMedium2" showFirstColumn="0" showLastColumn="0" showRowStripes="1" showColumnStripes="0"/>
</table>
</file>

<file path=xl/tables/table3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4C2C834C-6EB6-48D8-8381-27CA5B0D6B1F}" name="Herramientas_de_izaje2468" displayName="Herramientas_de_izaje2468" ref="AM1:AM6" totalsRowShown="0" headerRowDxfId="219" headerRowBorderDxfId="218" tableBorderDxfId="217">
  <autoFilter ref="AM1:AM6" xr:uid="{0DE75960-5B93-46A7-AAE6-BC581FFF1354}"/>
  <tableColumns count="1">
    <tableColumn id="1" xr3:uid="{EE83FFEB-8EDB-4EF1-8604-23530ABC2C73}" name="Herramientas_de_izaje"/>
  </tableColumns>
  <tableStyleInfo name="TableStyleMedium2" showFirstColumn="0" showLastColumn="0" showRowStripes="1" showColumnStripes="0"/>
</table>
</file>

<file path=xl/tables/table3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9DE7431E-7358-45A9-BA05-F969D525E2CD}" name="Tabla152569" displayName="Tabla152569" ref="AN1:AN2" totalsRowShown="0" headerRowDxfId="216" dataDxfId="214" headerRowBorderDxfId="215" tableBorderDxfId="213">
  <autoFilter ref="AN1:AN2" xr:uid="{7CDF3488-ADF8-42BB-8EFE-46E3A509430E}"/>
  <tableColumns count="1">
    <tableColumn id="1" xr3:uid="{9BA568BE-EE7B-4988-A85C-EF8F8DECA937}" name="Otros" dataDxfId="212"/>
  </tableColumns>
  <tableStyleInfo name="TableStyleMedium2" showFirstColumn="0" showLastColumn="0" showRowStripes="1" showColumnStripes="0"/>
</table>
</file>

<file path=xl/tables/table3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EDD39826-6E58-41FA-B94C-A39033608E57}" name="Tabla162670" displayName="Tabla162670" ref="AO1:AO6" totalsRowShown="0">
  <autoFilter ref="AO1:AO6" xr:uid="{BA84FDFB-CFCF-49B5-A4A0-7E55EE0C8343}"/>
  <tableColumns count="1">
    <tableColumn id="1" xr3:uid="{6F6A621A-2D54-41A9-8AFD-C4460535AD91}" name="Equipos"/>
  </tableColumns>
  <tableStyleInfo name="TableStyleMedium2" showFirstColumn="0" showLastColumn="0" showRowStripes="1" showColumnStripes="0"/>
</table>
</file>

<file path=xl/tables/table3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A976D1BE-4FA4-4D96-AD99-BA379DCEC2C3}" name="Tabla571" displayName="Tabla571" ref="AG33:AH35" totalsRowShown="0" tableBorderDxfId="211">
  <autoFilter ref="AG33:AH35" xr:uid="{CF2FEFF5-0ED4-40EF-A2CA-B8658D653CBB}"/>
  <tableColumns count="2">
    <tableColumn id="1" xr3:uid="{D027E6D7-D498-477C-929E-CD25C0F25AA5}" name="Calentador"/>
    <tableColumn id="2" xr3:uid="{B15E686E-3231-4416-BCF2-46F257CD8C28}" name="Bomba"/>
  </tableColumns>
  <tableStyleInfo name="TableStyleMedium2" showFirstColumn="0" showLastColumn="0" showRowStripes="1" showColumnStripes="0"/>
</table>
</file>

<file path=xl/tables/table3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BE3BB531-2A44-4349-A7AF-574DFF201D15}" name="Tabla1772" displayName="Tabla1772" ref="AG38:AG40" totalsRowShown="0" headerRowDxfId="210" headerRowBorderDxfId="209" tableBorderDxfId="208">
  <autoFilter ref="AG38:AG40" xr:uid="{830EF362-0156-4A25-9CC5-538DDBFCF308}"/>
  <tableColumns count="1">
    <tableColumn id="1" xr3:uid="{8A4EFC25-D5D2-4E32-A2CE-9330DED0076A}" name="Martillo "/>
  </tableColumns>
  <tableStyleInfo name="TableStyleMedium2" showFirstColumn="0" showLastColumn="0" showRowStripes="1" showColumnStripes="0"/>
</table>
</file>

<file path=xl/tables/table3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4ADCEA5C-52A3-4E52-9411-6359720CC60B}" name="Tabla1873" displayName="Tabla1873" ref="AI29:AI31" totalsRowShown="0" dataDxfId="207">
  <autoFilter ref="AI29:AI31" xr:uid="{D9204BB2-CBF2-43D1-8CAA-9AC826A37056}"/>
  <tableColumns count="1">
    <tableColumn id="1" xr3:uid="{64754FD7-173A-4F0A-AE19-F9174CE4BF65}" name="Nivel" dataDxfId="206"/>
  </tableColumns>
  <tableStyleInfo name="TableStyleMedium2" showFirstColumn="0" showLastColumn="0" showRowStripes="1" showColumnStripes="0"/>
</table>
</file>

<file path=xl/tables/table3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5E5357AB-9B0F-4D13-AF7A-840E99CBFD91}" name="Tabla1974" displayName="Tabla1974" ref="AG42:AG45" totalsRowShown="0" headerRowDxfId="205" headerRowBorderDxfId="204" tableBorderDxfId="203" totalsRowBorderDxfId="202">
  <autoFilter ref="AG42:AG45" xr:uid="{751CC4DE-0F10-45F1-BAA4-31688AE830B1}"/>
  <tableColumns count="1">
    <tableColumn id="1" xr3:uid="{AD11BA9D-C3A0-4368-9B25-21F4537EC57D}" name="Impactor"/>
  </tableColumns>
  <tableStyleInfo name="TableStyleMedium2" showFirstColumn="0" showLastColumn="0" showRowStripes="1" showColumnStripes="0"/>
</table>
</file>

<file path=xl/tables/table3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D2363A82-BA7C-4BC5-98C3-8D0BEFB667A5}" name="Tabla2075" displayName="Tabla2075" ref="AG47:AG50" totalsRowShown="0">
  <autoFilter ref="AG47:AG50" xr:uid="{A14E2475-26A8-4E9D-8E77-6DD3075B12E9}"/>
  <tableColumns count="1">
    <tableColumn id="1" xr3:uid="{5F7AEF7A-A80A-4F17-AA1A-C4D298D40699}" name="Extractor"/>
  </tableColumns>
  <tableStyleInfo name="TableStyleMedium2" showFirstColumn="0" showLastColumn="0" showRowStripes="1" showColumnStripes="0"/>
</table>
</file>

<file path=xl/tables/table3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0389C88D-220A-42A4-B8B3-70BC6AE9D34E}" name="Tabla2176" displayName="Tabla2176" ref="AG52:AG53" totalsRowShown="0" dataDxfId="201" tableBorderDxfId="200">
  <autoFilter ref="AG52:AG53" xr:uid="{FB135CB6-85B5-46C8-99B8-45176F814696}"/>
  <tableColumns count="1">
    <tableColumn id="1" xr3:uid="{FCCD73D3-0A5E-4278-8861-C1D41B068021}" name="Esmeril" dataDxfId="199"/>
  </tableColumns>
  <tableStyleInfo name="TableStyleMedium2" showFirstColumn="0" showLastColumn="0" showRowStripes="1" showColumnStripes="0"/>
</table>
</file>

<file path=xl/tables/table3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48908D2D-6AC2-4C0F-B364-F24FB66C01D1}" name="Tabla2277" displayName="Tabla2277" ref="AI56:AI58" totalsRowShown="0">
  <autoFilter ref="AI56:AI58" xr:uid="{3AB821FA-FFC5-4307-AC30-B52EA5139269}"/>
  <tableColumns count="1">
    <tableColumn id="1" xr3:uid="{F243103B-DAEC-4CFD-8394-5F67F6858ABD}" name="Manometro"/>
  </tableColumns>
  <tableStyleInfo name="TableStyleMedium2" showFirstColumn="0" showLastColumn="0" showRowStripes="1" showColumnStripes="0"/>
</table>
</file>

<file path=xl/tables/table3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2AFA6350-BB43-4AE6-BDF8-4FD66BDE958C}" name="Tabla2378" displayName="Tabla2378" ref="AI33:AI36" totalsRowShown="0" headerRowDxfId="198" tableBorderDxfId="197">
  <autoFilter ref="AI33:AI36" xr:uid="{16F850A9-F3B2-41CD-A0AE-53D6CE1A75ED}"/>
  <tableColumns count="1">
    <tableColumn id="1" xr3:uid="{DBAAA9F3-1D6F-430F-956D-47F8F1DB1A5D}" name="Medidor"/>
  </tableColumns>
  <tableStyleInfo name="TableStyleMedium2" showFirstColumn="0" showLastColumn="0" showRowStripes="1" showColumnStripes="0"/>
</table>
</file>

<file path=xl/tables/table3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CFEF15BF-6720-4A4E-8EFB-A58000658947}" name="Tabla2479" displayName="Tabla2479" ref="AI38:AI39" totalsRowShown="0" dataDxfId="196" tableBorderDxfId="195">
  <autoFilter ref="AI38:AI39" xr:uid="{1889A6F9-230B-4AFF-867D-3DF6472821F5}"/>
  <tableColumns count="1">
    <tableColumn id="1" xr3:uid="{568A4B89-8923-43B8-83E0-B2F616F42AC9}" name="Camara termografica" dataDxfId="194"/>
  </tableColumns>
  <tableStyleInfo name="TableStyleMedium2" showFirstColumn="0" showLastColumn="0" showRowStripes="1" showColumnStripes="0"/>
</table>
</file>

<file path=xl/tables/table3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2732B16C-CEA0-4FE2-B7ED-A8DB240ED900}" name="Tabla2580" displayName="Tabla2580" ref="AJ33:AJ40" totalsRowShown="0">
  <autoFilter ref="AJ33:AJ40" xr:uid="{A0DED689-2510-4BE0-B85F-FD1D7D88DFA4}"/>
  <tableColumns count="1">
    <tableColumn id="1" xr3:uid="{F04E45AB-258C-4A9C-B1B1-5E16DEEF12BD}" name="Llaves"/>
  </tableColumns>
  <tableStyleInfo name="TableStyleMedium2" showFirstColumn="0" showLastColumn="0" showRowStripes="1" showColumnStripes="0"/>
</table>
</file>

<file path=xl/tables/table3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9464F0E3-F213-48AE-99C9-0B4B5524DF7B}" name="Tabla2681" displayName="Tabla2681" ref="AI41:AI45" totalsRowShown="0" tableBorderDxfId="193">
  <autoFilter ref="AI41:AI45" xr:uid="{8ED6E545-64E7-44D4-B8A8-CB23D42265C0}"/>
  <tableColumns count="1">
    <tableColumn id="1" xr3:uid="{AD11F3DD-96D2-4151-92EB-C3CE1FC37C0F}" name="Calibrador"/>
  </tableColumns>
  <tableStyleInfo name="TableStyleMedium2" showFirstColumn="0" showLastColumn="0" showRowStripes="1" showColumnStripes="0"/>
</table>
</file>

<file path=xl/tables/table3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F3A3D7CC-70D6-4562-83FC-83784AA1B361}" name="Tabla2882" displayName="Tabla2882" ref="AI48:AI51" totalsRowShown="0">
  <autoFilter ref="AI48:AI51" xr:uid="{9EF16892-84A3-4412-9559-E3ECBCBE8FAD}"/>
  <tableColumns count="1">
    <tableColumn id="1" xr3:uid="{04B5254B-10B7-4898-8C27-58FA707E422A}" name="Micrómetro"/>
  </tableColumns>
  <tableStyleInfo name="TableStyleMedium2" showFirstColumn="0" showLastColumn="0" showRowStripes="1" showColumnStripes="0"/>
</table>
</file>

<file path=xl/tables/table3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5283A706-3C05-446D-894C-4F156D1CABAF}" name="Tabla2983" displayName="Tabla2983" ref="AJ67:AJ69" totalsRowShown="0" tableBorderDxfId="192">
  <autoFilter ref="AJ67:AJ69" xr:uid="{2312EFE8-ED6F-40CE-936E-92708A2A3E11}"/>
  <tableColumns count="1">
    <tableColumn id="1" xr3:uid="{EDD87B72-53DF-4D1F-96B5-5FF96522E4BD}" name="Alicates"/>
  </tableColumns>
  <tableStyleInfo name="TableStyleMedium2" showFirstColumn="0" showLastColumn="0" showRowStripes="1" showColumnStripes="0"/>
</table>
</file>

<file path=xl/tables/table3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ECA0A34A-D289-4F3D-B84B-A8D3E268C248}" name="Tabla3084" displayName="Tabla3084" ref="AJ50:AJ59" totalsRowShown="0" dataDxfId="191" tableBorderDxfId="190">
  <autoFilter ref="AJ50:AJ59" xr:uid="{3B268A63-E4A5-4D1B-B445-E13631B6E887}"/>
  <tableColumns count="1">
    <tableColumn id="1" xr3:uid="{9092BAAD-8E39-4CA0-A834-2189BB7BBCBD}" name="Dados" dataDxfId="189"/>
  </tableColumns>
  <tableStyleInfo name="TableStyleMedium2" showFirstColumn="0" showLastColumn="0" showRowStripes="1" showColumnStripes="0"/>
</table>
</file>

<file path=xl/tables/table3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0A363CB1-D105-4211-B509-449FC596896B}" name="Tabla3285" displayName="Tabla3285" ref="AJ43:AJ44" totalsRowShown="0" dataDxfId="188" tableBorderDxfId="187">
  <autoFilter ref="AJ43:AJ44" xr:uid="{005ABD67-F7E0-47FD-8970-322FEA5BBC4C}"/>
  <tableColumns count="1">
    <tableColumn id="1" xr3:uid="{582DAF61-0715-4EAE-91AC-AD6833F49634}" name="Tijera" dataDxfId="186"/>
  </tableColumns>
  <tableStyleInfo name="TableStyleMedium2" showFirstColumn="0" showLastColumn="0" showRowStripes="1" showColumnStripes="0"/>
</table>
</file>

<file path=xl/tables/table3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ADCD47A9-ED88-4D0E-AEFD-2DBFCED5B7EB}" name="Tabla3386" displayName="Tabla3386" ref="AI63:AI64" totalsRowShown="0" dataDxfId="185" tableBorderDxfId="184">
  <autoFilter ref="AI63:AI64" xr:uid="{7D457BB0-C389-4126-BC6E-CB6D91AFE2A6}"/>
  <tableColumns count="1">
    <tableColumn id="1" xr3:uid="{FBC0B04A-7C86-443C-A4EF-F169F981AFA4}" name="Estetoscopio" dataDxfId="183"/>
  </tableColumns>
  <tableStyleInfo name="TableStyleMedium2" showFirstColumn="0" showLastColumn="0" showRowStripes="1" showColumnStripes="0"/>
</table>
</file>

<file path=xl/tables/table3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891BC7A6-56AD-4D04-87CA-43E1ABCB79A7}" name="Tabla3487" displayName="Tabla3487" ref="AJ47:AJ48" totalsRowShown="0" dataDxfId="182" tableBorderDxfId="181">
  <autoFilter ref="AJ47:AJ48" xr:uid="{EC300733-E688-43CB-A693-F1E2F80F6495}"/>
  <tableColumns count="1">
    <tableColumn id="1" xr3:uid="{FD5250A6-7B4A-4AC2-B4E8-E3BB6A8475CB}" name="Alargador" dataDxfId="180"/>
  </tableColumns>
  <tableStyleInfo name="TableStyleMedium2" showFirstColumn="0" showLastColumn="0" showRowStripes="1" showColumnStripes="0"/>
</table>
</file>

<file path=xl/tables/table3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63C95ADE-CE12-41A0-B158-82D5F25EF2D3}" name="Tabla3588" displayName="Tabla3588" ref="AI60:AI61" totalsRowShown="0" dataDxfId="179" tableBorderDxfId="178">
  <autoFilter ref="AI60:AI61" xr:uid="{B42C8F8F-E6AD-4FF3-9580-F9F4B996FF6F}"/>
  <tableColumns count="1">
    <tableColumn id="1" xr3:uid="{80D76175-D9F0-4C23-95D1-0B44FF12E788}" name="Torquimetro" dataDxfId="177"/>
  </tableColumns>
  <tableStyleInfo name="TableStyleMedium2" showFirstColumn="0" showLastColumn="0" showRowStripes="1" showColumnStripes="0"/>
</table>
</file>

<file path=xl/tables/table3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9CA39D2D-8A9B-4185-B78B-609197663A85}" name="Tabla3789" displayName="Tabla3789" ref="AK29:AK30" totalsRowShown="0" headerRowDxfId="176" dataDxfId="174" headerRowBorderDxfId="175" tableBorderDxfId="173" totalsRowBorderDxfId="172">
  <autoFilter ref="AK29:AK30" xr:uid="{2886962D-17B4-4D37-AB1E-9FE27B267D99}"/>
  <tableColumns count="1">
    <tableColumn id="1" xr3:uid="{20AFE752-21B3-4D14-8FE1-6B6AA6B30A0C}" name="Llave " dataDxfId="171"/>
  </tableColumns>
  <tableStyleInfo name="TableStyleMedium2" showFirstColumn="0" showLastColumn="0" showRowStripes="1" showColumnStripes="0"/>
</table>
</file>

<file path=xl/tables/table3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E382CC04-73A5-42D2-8C23-9CA6F261812B}" name="Tabla3890" displayName="Tabla3890" ref="B1:U611" totalsRowShown="0" headerRowDxfId="170">
  <autoFilter ref="B1:U611" xr:uid="{E382CC04-73A5-42D2-8C23-9CA6F261812B}"/>
  <tableColumns count="20">
    <tableColumn id="1" xr3:uid="{0C69CB68-1E81-4F6D-8A30-218C8CC7383C}" name="Item">
      <calculatedColumnFormula>ROW()-1</calculatedColumnFormula>
    </tableColumn>
    <tableColumn id="2" xr3:uid="{A3B8EB51-728E-4334-B4E2-944B16303689}" name="Area" dataDxfId="169"/>
    <tableColumn id="3" xr3:uid="{A3BFCC82-BFDA-4438-8FC6-1DA43E773241}" name="Cantidad"/>
    <tableColumn id="4" xr3:uid="{9E122A94-86F6-46C1-A4C5-751BB97B7E31}" name="Clasificacion" dataDxfId="168"/>
    <tableColumn id="5" xr3:uid="{9063ABDA-11AB-45A3-B53E-9D38CB40DE9A}" name="Descripción del equipo"/>
    <tableColumn id="6" xr3:uid="{3B20B15E-4A40-4118-BB29-0A4EBB41DAA9}" name="Marca" dataDxfId="167"/>
    <tableColumn id="7" xr3:uid="{C17F846D-8E58-4767-9AAF-97F82F882705}" name="Modelo" dataDxfId="166"/>
    <tableColumn id="20" xr3:uid="{97AC4C4B-7854-42AE-B063-5A29356964F6}" name="AMPERAJE" dataDxfId="165"/>
    <tableColumn id="17" xr3:uid="{FB558056-6303-4F6D-BD7F-DED076F85604}" name="Diametro de disco" dataDxfId="164"/>
    <tableColumn id="19" xr3:uid="{026555C9-BB00-4B0E-9989-C0E1FC04853F}" name="Potencia" dataDxfId="163"/>
    <tableColumn id="16" xr3:uid="{658AD337-5715-4B20-9B76-312F252B64B1}" name="voltaje" dataDxfId="162"/>
    <tableColumn id="18" xr3:uid="{8E5A37E7-2103-4186-BE40-36ABBEC10830}" name="RPMs" dataDxfId="161"/>
    <tableColumn id="8" xr3:uid="{505CDD2B-08F3-428C-8A9F-70E3A7AA12E2}" name="Cod. Antiguo"/>
    <tableColumn id="9" xr3:uid="{DA8D6ABE-61FE-4CC3-B23C-1FAB94FBB995}" name="Número de Serie"/>
    <tableColumn id="10" xr3:uid="{9BBBF7AE-DE1B-4CC9-BAD1-340FE66440F9}" name="Cód. Nuevo Asig" dataDxfId="160">
      <calculatedColumnFormula>_xlfn.LET(
    _xlpm.itemBuscado, B2,
    _xlpm.areaBuscada, C2,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TEXT(COUNTIF($C$2:C2, _xlpm.areaBuscada), "0000"),
    _xlpm.codItem &amp; "-" &amp; _xlpm.codArea &amp; "-" &amp; _xlpm.secuencia
)</calculatedColumnFormula>
    </tableColumn>
    <tableColumn id="11" xr3:uid="{582DBCBD-CF6C-494E-84DF-087DEF31EA94}" name="Codigo de parte"/>
    <tableColumn id="12" xr3:uid="{6D2A407A-CFA3-4136-BBDD-C4C49E62DB14}" name="Ubicación"/>
    <tableColumn id="13" xr3:uid="{BC877CC9-36A8-49D4-AB55-EF39C6B04A42}" name="Frecuencia de uso"/>
    <tableColumn id="14" xr3:uid="{51EDF04A-1B23-423A-9088-D5EBAA302233}" name="Estado"/>
    <tableColumn id="15" xr3:uid="{4F13C8D8-9A0E-4420-A11E-2DAA2DF27E52}" name="Observaciones"/>
  </tableColumns>
  <tableStyleInfo name="TableStyleMedium2" showFirstColumn="0" showLastColumn="0" showRowStripes="1" showColumnStripes="0"/>
</table>
</file>

<file path=xl/tables/table3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B29F2B28-C132-4EB6-AEFC-2BC8F835FF19}" name="Tabla3991" displayName="Tabla3991" ref="AJ29:AJ30" totalsRowShown="0">
  <autoFilter ref="AJ29:AJ30" xr:uid="{1C0F20AA-1469-4335-A289-55F2E420509F}"/>
  <tableColumns count="1">
    <tableColumn id="1" xr3:uid="{E199CA43-7A65-4C13-945A-A133442EC195}" name="Multiplicador"/>
  </tableColumns>
  <tableStyleInfo name="TableStyleMedium2" showFirstColumn="0" showLastColumn="0" showRowStripes="1" showColumnStripes="0"/>
</table>
</file>

<file path=xl/tables/table3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A13B8778-51C4-4C10-BD31-1FAC1074B56E}" name="Tabla4092" displayName="Tabla4092" ref="AG29:AH31" totalsRowShown="0" tableBorderDxfId="159">
  <autoFilter ref="AG29:AH31" xr:uid="{2E7F26C8-B310-438B-BD08-8C0BC82B7627}"/>
  <tableColumns count="2">
    <tableColumn id="1" xr3:uid="{2B528F3D-BB07-4FC3-8756-D88F831D064F}" name="Soldadoras"/>
    <tableColumn id="2" xr3:uid="{D2CD2767-8AD4-415F-AC38-4E76EA7A7C01}" name="Martillo"/>
  </tableColumns>
  <tableStyleInfo name="TableStyleMedium2" showFirstColumn="0" showLastColumn="0" showRowStripes="1" showColumnStripes="0"/>
</table>
</file>

<file path=xl/tables/table3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0B96F8F2-4208-4F2A-8313-18289214C89D}" name="Tabla4293" displayName="Tabla4293" ref="AG58:AG59" totalsRowShown="0">
  <autoFilter ref="AG58:AG59" xr:uid="{BDB2A400-1F11-4F53-807B-27202876BE6C}"/>
  <tableColumns count="1">
    <tableColumn id="1" xr3:uid="{571E246E-2DD7-4723-9B4F-AFD8315BD649}" name="Amoladora"/>
  </tableColumns>
  <tableStyleInfo name="TableStyleMedium2" showFirstColumn="0" showLastColumn="0" showRowStripes="1" showColumnStripes="0"/>
</table>
</file>

<file path=xl/tables/table3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438732EF-E267-4B00-8613-18C734500BC9}" name="Tabla4394" displayName="Tabla4394" ref="AG62:AG64" totalsRowShown="0" dataDxfId="158" tableBorderDxfId="157">
  <autoFilter ref="AG62:AG64" xr:uid="{931F2BE3-67FF-44D5-B415-148F761F93A6}"/>
  <tableColumns count="1">
    <tableColumn id="1" xr3:uid="{29061269-F5F7-4559-A828-28C26D3B87EB}" name="Iluminación" dataDxfId="156"/>
  </tableColumns>
  <tableStyleInfo name="TableStyleMedium2" showFirstColumn="0" showLastColumn="0" showRowStripes="1" showColumnStripes="0"/>
</table>
</file>

<file path=xl/tables/table3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8B03040-03D1-4517-9B57-4C776670C6D7}" name="Tabla4495" displayName="Tabla4495" ref="AM29:AM30" totalsRowShown="0">
  <autoFilter ref="AM29:AM30" xr:uid="{9781A61A-AC29-41AE-98F6-916225D99E1D}"/>
  <tableColumns count="1">
    <tableColumn id="1" xr3:uid="{22B06C15-E904-4C98-A533-B590EC7BC77F}" name="Tecle"/>
  </tableColumns>
  <tableStyleInfo name="TableStyleMedium2" showFirstColumn="0" showLastColumn="0" showRowStripes="1" showColumnStripes="0"/>
</table>
</file>

<file path=xl/tables/table3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DE2A175E-4FEC-4E10-90AB-A711FFC0FC7F}" name="Tabla4596" displayName="Tabla4596" ref="AG66:AG68" totalsRowShown="0">
  <autoFilter ref="AG66:AG68" xr:uid="{883961C8-D276-4BAE-B81D-192750F3D2CC}"/>
  <tableColumns count="1">
    <tableColumn id="1" xr3:uid="{F7E40B2C-3176-4D95-A70C-DBF7FFE88117}" name="Lubricador"/>
  </tableColumns>
  <tableStyleInfo name="TableStyleMedium2" showFirstColumn="0" showLastColumn="0" showRowStripes="1" showColumnStripes="0"/>
</table>
</file>

<file path=xl/tables/table3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C090F55A-6539-4C4F-A6EB-4D75B8A850F3}" name="Tabla4697" displayName="Tabla4697" ref="AJ61:AJ62" totalsRowShown="0">
  <autoFilter ref="AJ61:AJ62" xr:uid="{F9F816C6-2BEF-46FF-915F-BE5B9C6045E2}"/>
  <tableColumns count="1">
    <tableColumn id="1" xr3:uid="{5130E97B-6A95-476F-82AA-74A293101D1F}" name="Combos"/>
  </tableColumns>
  <tableStyleInfo name="TableStyleMedium2" showFirstColumn="0" showLastColumn="0" showRowStripes="1" showColumnStripes="0"/>
</table>
</file>

<file path=xl/tables/table3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72E3AB3A-3667-4BF4-A63C-E205A304708D}" name="Tabla4798" displayName="Tabla4798" ref="AJ64:AJ65" totalsRowShown="0">
  <autoFilter ref="AJ64:AJ65" xr:uid="{D0087047-FAAD-47F1-8107-9751D313CB07}"/>
  <tableColumns count="1">
    <tableColumn id="1" xr3:uid="{B5CC6FDB-2479-4C3D-B26D-D7991FBB68A5}" name="Mesa"/>
  </tableColumns>
  <tableStyleInfo name="TableStyleMedium2" showFirstColumn="0" showLastColumn="0" showRowStripes="1" showColumnStripes="0"/>
</table>
</file>

<file path=xl/tables/table3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CC84A3DF-E206-4E7D-BBE8-7513CFE82CC0}" name="Tabla4899" displayName="Tabla4899" ref="AP29:AP31" totalsRowShown="0" tableBorderDxfId="155">
  <autoFilter ref="AP29:AP31" xr:uid="{98D206C1-A450-4754-81B2-030642ED939D}"/>
  <tableColumns count="1">
    <tableColumn id="1" xr3:uid="{117E36E4-9F59-4F71-8554-C3B1C4069D72}" name="Pinza"/>
  </tableColumns>
  <tableStyleInfo name="TableStyleMedium2" showFirstColumn="0" showLastColumn="0" showRowStripes="1" showColumnStripes="0"/>
</table>
</file>

<file path=xl/tables/table3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F29A118C-F985-4F25-8136-34E012AFDCDF}" name="Tabla4956100" displayName="Tabla4956100" ref="AP1:AP20" totalsRowShown="0" tableBorderDxfId="154">
  <autoFilter ref="AP1:AP20" xr:uid="{682A1042-040F-4BDC-814E-19EDB04144BA}"/>
  <tableColumns count="1">
    <tableColumn id="1" xr3:uid="{C33D55FC-830C-41B9-9A32-543561A29ED2}" name="Accesorios"/>
  </tableColumns>
  <tableStyleInfo name="TableStyleMedium2" showFirstColumn="0" showLastColumn="0" showRowStripes="1" showColumnStripes="0"/>
</table>
</file>

<file path=xl/tables/table3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1734BDE1-CDD7-4791-A0EA-E0AA310F030C}" name="Tabla7" displayName="Tabla7" ref="U1:V13" totalsRowShown="0" dataDxfId="153" tableBorderDxfId="152">
  <autoFilter ref="U1:V13" xr:uid="{9C601E76-6EC7-4996-8C5A-4EC2650D4D49}"/>
  <tableColumns count="2">
    <tableColumn id="1" xr3:uid="{F6F987C9-13B8-4B32-A1E8-4620D4795377}" name="ID" dataDxfId="151"/>
    <tableColumn id="2" xr3:uid="{43914F79-9F69-457D-96F6-305289487FF2}" name="Area" dataDxfId="150"/>
  </tableColumns>
  <tableStyleInfo name="TableStyleMedium2" showFirstColumn="0" showLastColumn="0" showRowStripes="1" showColumnStripes="0"/>
</table>
</file>

<file path=xl/tables/table3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E44695E9-AA16-45FA-92E5-9C06D5B14F32}" name="Tabla2" displayName="Tabla2" ref="X1:Y4" totalsRowShown="0" headerRowDxfId="149" headerRowBorderDxfId="148" tableBorderDxfId="147" totalsRowBorderDxfId="146">
  <autoFilter ref="X1:Y4" xr:uid="{8EA5E146-546E-4301-8341-E9A2182AF11B}"/>
  <tableColumns count="2">
    <tableColumn id="1" xr3:uid="{B8F82E14-E508-4F3A-A4CF-3223A3FD32B3}" name="ID" dataDxfId="145"/>
    <tableColumn id="2" xr3:uid="{A385DAE2-7D05-4AAF-808F-13232488AC6B}" name="Estado" dataDxfId="144"/>
  </tableColumns>
  <tableStyleInfo name="TableStyleMedium2" showFirstColumn="0" showLastColumn="0" showRowStripes="1" showColumnStripes="0"/>
</table>
</file>

<file path=xl/tables/table3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1F49398B-AD06-4F1D-B5B4-C546F864616E}" name="Tabla3" displayName="Tabla3" ref="AA1:AB7" totalsRowShown="0" headerRowDxfId="143" headerRowBorderDxfId="142" tableBorderDxfId="141" totalsRowBorderDxfId="140">
  <autoFilter ref="AA1:AB7" xr:uid="{4313A204-2187-4F5D-B195-E9D8244B0B6A}"/>
  <tableColumns count="2">
    <tableColumn id="1" xr3:uid="{BCCB251B-BF33-4C2C-9FBA-B03B6C9D7E03}" name="ID" dataDxfId="139"/>
    <tableColumn id="2" xr3:uid="{B926B646-E520-4772-B5E7-7B9BDA6F3F64}" name="Clasificación" dataDxfId="138"/>
  </tableColumns>
  <tableStyleInfo name="TableStyleMedium2" showFirstColumn="0" showLastColumn="0" showRowStripes="1" showColumnStripes="0"/>
</table>
</file>

<file path=xl/tables/table3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BC373DBA-50C2-438E-B557-682939406092}" name="Tabla4" displayName="Tabla4" ref="AA9:AA12" totalsRowShown="0" headerRowDxfId="137" headerRowBorderDxfId="136" tableBorderDxfId="135" totalsRowBorderDxfId="134">
  <autoFilter ref="AA9:AA12" xr:uid="{4FA69CD1-8D3C-4F41-B69E-D64790738288}"/>
  <tableColumns count="1">
    <tableColumn id="1" xr3:uid="{36FBCD71-1297-413D-A9F9-1692C65C891F}" name="Frecuencia de uso" dataDxfId="133"/>
  </tableColumns>
  <tableStyleInfo name="TableStyleMedium2" showFirstColumn="0" showLastColumn="0" showRowStripes="1" showColumnStripes="0"/>
</table>
</file>

<file path=xl/tables/table3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171BBE6-6405-42D7-BF9D-0AF500074AB7}" name="Herramientas_eléctricas18" displayName="Herramientas_eléctricas18" ref="AE1:AE21" totalsRowShown="0" headerRowDxfId="132" headerRowBorderDxfId="131" tableBorderDxfId="130">
  <autoFilter ref="AE1:AE21" xr:uid="{9A901B8B-4001-4C56-97C1-F800FB168E81}"/>
  <tableColumns count="1">
    <tableColumn id="1" xr3:uid="{F9BC4061-ABF1-435E-9CEF-EE6B9C51D95B}" name="Herramientas_eléctricas"/>
  </tableColumns>
  <tableStyleInfo name="TableStyleMedium2" showFirstColumn="0" showLastColumn="0" showRowStripes="1" showColumnStripes="0"/>
</table>
</file>

<file path=xl/tables/table3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EC2CBFBF-3B35-42A4-B23A-FE5D9C5AF4E6}" name="Herramientas_neumáticas19" displayName="Herramientas_neumáticas19" ref="AF1:AF6" totalsRowShown="0" headerRowDxfId="129" headerRowBorderDxfId="128" tableBorderDxfId="127">
  <autoFilter ref="AF1:AF6" xr:uid="{DDFD7ABB-9233-49B8-8E7D-0C4E4E73668B}"/>
  <tableColumns count="1">
    <tableColumn id="1" xr3:uid="{896C75BA-41C2-4F04-B525-C79F5940F15D}" name="Herramientas_neumáticas"/>
  </tableColumns>
  <tableStyleInfo name="TableStyleMedium2" showFirstColumn="0" showLastColumn="0" showRowStripes="1" showColumnStripes="0"/>
</table>
</file>

<file path=xl/tables/table3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9C3F6B2-0093-4A11-982A-383FCBA58A9C}" name="Herramientas_de_medición20" displayName="Herramientas_de_medición20" ref="AG1:AG16" totalsRowShown="0" headerRowDxfId="126" headerRowBorderDxfId="125" tableBorderDxfId="124">
  <autoFilter ref="AG1:AG16" xr:uid="{A1A99238-FF6A-4B46-95FE-F6F59C0A59FF}"/>
  <tableColumns count="1">
    <tableColumn id="1" xr3:uid="{B84E1A93-DE15-4512-97EE-D0A69670BB5E}" name="Herramientas_de_medición" dataDxfId="123"/>
  </tableColumns>
  <tableStyleInfo name="TableStyleMedium2" showFirstColumn="0" showLastColumn="0" showRowStripes="1" showColumnStripes="0"/>
</table>
</file>

<file path=xl/tables/table3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8BC65BBD-B5DA-4F1E-90B5-48134AC8881D}" name="Herrramientas_mecánicas21" displayName="Herrramientas_mecánicas21" ref="AH1:AH21" totalsRowShown="0" headerRowDxfId="122" headerRowBorderDxfId="121" tableBorderDxfId="120">
  <autoFilter ref="AH1:AH21" xr:uid="{82699701-A4C7-4A41-A40B-8F87727B2FCD}"/>
  <tableColumns count="1">
    <tableColumn id="1" xr3:uid="{8694183B-C98F-42A7-885C-2B7AF7F1B066}" name="Herramientas_mecánicas"/>
  </tableColumns>
  <tableStyleInfo name="TableStyleMedium2" showFirstColumn="0" showLastColumn="0" showRowStripes="1" showColumnStripes="0"/>
</table>
</file>

<file path=xl/tables/table3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A378C9E-7827-44D4-A483-0AA91CB9F8BA}" name="Herramientas_hidráulicas22" displayName="Herramientas_hidráulicas22" ref="AI1:AI9" totalsRowShown="0" headerRowDxfId="119" dataDxfId="117" headerRowBorderDxfId="118" tableBorderDxfId="116">
  <autoFilter ref="AI1:AI9" xr:uid="{5C7C5014-0DFD-4140-8DC3-6AF6EDF169E4}"/>
  <tableColumns count="1">
    <tableColumn id="1" xr3:uid="{8EAE4DDF-FAF1-4DB7-815F-0268E8ECF1B0}" name="Herramientas_hidráulicas" dataDxfId="115"/>
  </tableColumns>
  <tableStyleInfo name="TableStyleMedium2" showFirstColumn="0" showLastColumn="0" showRowStripes="1" showColumnStripes="0"/>
</table>
</file>

<file path=xl/tables/table3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42CAF278-506C-448C-AE51-5F81288FAED0}" name="EPP_23" displayName="EPP_23" ref="AJ1:AJ6" totalsRowShown="0" headerRowDxfId="114" headerRowBorderDxfId="113" tableBorderDxfId="112">
  <autoFilter ref="AJ1:AJ6" xr:uid="{6ED4F867-D028-4151-85A1-2598FAD98928}"/>
  <tableColumns count="1">
    <tableColumn id="1" xr3:uid="{30F4630C-F9A9-4CF8-8CF3-78338031A548}" name="SPCC"/>
  </tableColumns>
  <tableStyleInfo name="TableStyleMedium2" showFirstColumn="0" showLastColumn="0" showRowStripes="1" showColumnStripes="0"/>
</table>
</file>

<file path=xl/tables/table3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883B34D0-9B7B-4977-A911-46DF15555A70}" name="Herramientas_de_izaje24" displayName="Herramientas_de_izaje24" ref="AK1:AK6" totalsRowShown="0" headerRowDxfId="111" headerRowBorderDxfId="110" tableBorderDxfId="109">
  <autoFilter ref="AK1:AK6" xr:uid="{0DE75960-5B93-46A7-AAE6-BC581FFF1354}"/>
  <tableColumns count="1">
    <tableColumn id="1" xr3:uid="{E4A192F8-D339-4225-9BEA-A7C26A377588}" name="Herramientas_de_izaje"/>
  </tableColumns>
  <tableStyleInfo name="TableStyleMedium2" showFirstColumn="0" showLastColumn="0" showRowStripes="1" showColumnStripes="0"/>
</table>
</file>

<file path=xl/tables/table3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D338E1C-EEAB-4FD7-A9B2-D5867C251F4F}" name="Tabla1525" displayName="Tabla1525" ref="AL1:AL2" totalsRowShown="0" headerRowDxfId="108" dataDxfId="106" headerRowBorderDxfId="107" tableBorderDxfId="105">
  <autoFilter ref="AL1:AL2" xr:uid="{7CDF3488-ADF8-42BB-8EFE-46E3A509430E}"/>
  <tableColumns count="1">
    <tableColumn id="1" xr3:uid="{EEF8D83E-B317-4B84-951C-A4A5825B91FC}" name="Otros" dataDxfId="104"/>
  </tableColumns>
  <tableStyleInfo name="TableStyleMedium2" showFirstColumn="0" showLastColumn="0" showRowStripes="1" showColumnStripes="0"/>
</table>
</file>

<file path=xl/tables/table3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60F3AC60-68EB-4FD1-A8F5-112958D50CAB}" name="Tabla1626" displayName="Tabla1626" ref="AM1:AM6" totalsRowShown="0">
  <autoFilter ref="AM1:AM6" xr:uid="{BA84FDFB-CFCF-49B5-A4A0-7E55EE0C8343}"/>
  <tableColumns count="1">
    <tableColumn id="1" xr3:uid="{3188F88F-638B-4D4B-BF90-BCCD0C339633}" name="Equipos"/>
  </tableColumns>
  <tableStyleInfo name="TableStyleMedium2" showFirstColumn="0" showLastColumn="0" showRowStripes="1" showColumnStripes="0"/>
</table>
</file>

<file path=xl/tables/table3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9A6CB497-6E60-4A94-812A-0870F684B832}" name="Tabla5" displayName="Tabla5" ref="AE33:AF35" totalsRowShown="0" tableBorderDxfId="103">
  <autoFilter ref="AE33:AF35" xr:uid="{CF2FEFF5-0ED4-40EF-A2CA-B8658D653CBB}"/>
  <tableColumns count="2">
    <tableColumn id="1" xr3:uid="{614D0A75-D668-4F6A-AA69-F8EA0746E9FB}" name="Calentador"/>
    <tableColumn id="2" xr3:uid="{8D19BA2A-8B87-437F-AEB0-063029A25B9E}" name="Bomba"/>
  </tableColumns>
  <tableStyleInfo name="TableStyleMedium2" showFirstColumn="0" showLastColumn="0" showRowStripes="1" showColumnStripes="0"/>
</table>
</file>

<file path=xl/tables/table3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AC80E20F-4AD9-40CA-84EE-4FA7D4514C06}" name="Tabla17" displayName="Tabla17" ref="AE38:AE40" totalsRowShown="0" headerRowDxfId="102" headerRowBorderDxfId="101" tableBorderDxfId="100">
  <autoFilter ref="AE38:AE40" xr:uid="{830EF362-0156-4A25-9CC5-538DDBFCF308}"/>
  <tableColumns count="1">
    <tableColumn id="1" xr3:uid="{1513EC6D-D346-45B5-8A12-C3D2BD47FD7F}" name="Martillo "/>
  </tableColumns>
  <tableStyleInfo name="TableStyleMedium2" showFirstColumn="0" showLastColumn="0" showRowStripes="1" showColumnStripes="0"/>
</table>
</file>

<file path=xl/tables/table3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78A76492-00F9-49E6-9A12-E2EB2D5EDF76}" name="Tabla18" displayName="Tabla18" ref="AG29:AG31" totalsRowShown="0" dataDxfId="99">
  <autoFilter ref="AG29:AG31" xr:uid="{D9204BB2-CBF2-43D1-8CAA-9AC826A37056}"/>
  <tableColumns count="1">
    <tableColumn id="1" xr3:uid="{5BFC6752-B5B9-4580-8DED-256795D7FAFC}" name="Nivel" dataDxfId="98"/>
  </tableColumns>
  <tableStyleInfo name="TableStyleMedium2" showFirstColumn="0" showLastColumn="0" showRowStripes="1" showColumnStripes="0"/>
</table>
</file>

<file path=xl/tables/table3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F948E2F9-3366-4BD4-9986-573532B1DD40}" name="Tabla19" displayName="Tabla19" ref="AE42:AE45" totalsRowShown="0" headerRowDxfId="97" headerRowBorderDxfId="96" tableBorderDxfId="95" totalsRowBorderDxfId="94">
  <autoFilter ref="AE42:AE45" xr:uid="{751CC4DE-0F10-45F1-BAA4-31688AE830B1}"/>
  <tableColumns count="1">
    <tableColumn id="1" xr3:uid="{3453A47C-E11D-42E4-84C0-16B36F892B8E}" name="Impactor"/>
  </tableColumns>
  <tableStyleInfo name="TableStyleMedium2" showFirstColumn="0" showLastColumn="0" showRowStripes="1" showColumnStripes="0"/>
</table>
</file>

<file path=xl/tables/table3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25667D23-C0BD-4A8C-8457-96A43DD5DF12}" name="Tabla20" displayName="Tabla20" ref="AE47:AE50" totalsRowShown="0">
  <autoFilter ref="AE47:AE50" xr:uid="{A14E2475-26A8-4E9D-8E77-6DD3075B12E9}"/>
  <tableColumns count="1">
    <tableColumn id="1" xr3:uid="{B18198E3-0E70-4AB1-BE91-C796996161CD}" name="Extractor"/>
  </tableColumns>
  <tableStyleInfo name="TableStyleMedium2" showFirstColumn="0" showLastColumn="0" showRowStripes="1" showColumnStripes="0"/>
</table>
</file>

<file path=xl/tables/table3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25D91DE1-0DF1-41AB-9FA5-C75A658B2FB6}" name="Tabla21" displayName="Tabla21" ref="AE52:AE53" totalsRowShown="0" dataDxfId="93" tableBorderDxfId="92">
  <autoFilter ref="AE52:AE53" xr:uid="{FB135CB6-85B5-46C8-99B8-45176F814696}"/>
  <tableColumns count="1">
    <tableColumn id="1" xr3:uid="{FE36A56B-58A3-4C35-94F3-4B26E6057E8E}" name="Esmeril" dataDxfId="91"/>
  </tableColumns>
  <tableStyleInfo name="TableStyleMedium2" showFirstColumn="0" showLastColumn="0" showRowStripes="1" showColumnStripes="0"/>
</table>
</file>

<file path=xl/tables/table3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2120F62F-CF3F-44AD-A8AE-E60A8AFBE4BC}" name="Tabla22" displayName="Tabla22" ref="AG56:AG58" totalsRowShown="0">
  <autoFilter ref="AG56:AG58" xr:uid="{3AB821FA-FFC5-4307-AC30-B52EA5139269}"/>
  <tableColumns count="1">
    <tableColumn id="1" xr3:uid="{B28F7A5A-391E-48CB-9FED-8C078DCA53B1}" name="Manometro"/>
  </tableColumns>
  <tableStyleInfo name="TableStyleMedium2" showFirstColumn="0" showLastColumn="0" showRowStripes="1" showColumnStripes="0"/>
</table>
</file>

<file path=xl/tables/table3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2BF3E156-A8DA-4597-9D93-CC974497737E}" name="Tabla23" displayName="Tabla23" ref="AG33:AG36" totalsRowShown="0" headerRowDxfId="90" tableBorderDxfId="89">
  <autoFilter ref="AG33:AG36" xr:uid="{16F850A9-F3B2-41CD-A0AE-53D6CE1A75ED}"/>
  <tableColumns count="1">
    <tableColumn id="1" xr3:uid="{7AF85DD0-8D07-4247-A4C7-42F98BA58742}" name="Medidor"/>
  </tableColumns>
  <tableStyleInfo name="TableStyleMedium2" showFirstColumn="0" showLastColumn="0" showRowStripes="1" showColumnStripes="0"/>
</table>
</file>

<file path=xl/tables/table3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82D3D2E-7C1A-446C-A016-D542D40020DC}" name="Tabla24" displayName="Tabla24" ref="AG38:AG39" totalsRowShown="0" dataDxfId="88" tableBorderDxfId="87">
  <autoFilter ref="AG38:AG39" xr:uid="{1889A6F9-230B-4AFF-867D-3DF6472821F5}"/>
  <tableColumns count="1">
    <tableColumn id="1" xr3:uid="{25393FFE-1E09-4787-A989-D799481229A5}" name="Camara termografica" dataDxfId="86"/>
  </tableColumns>
  <tableStyleInfo name="TableStyleMedium2" showFirstColumn="0" showLastColumn="0" showRowStripes="1" showColumnStripes="0"/>
</table>
</file>

<file path=xl/tables/table3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51F13D7-F814-47A1-A3F2-ABDBA96B9A17}" name="Tabla25" displayName="Tabla25" ref="AH33:AH40" totalsRowShown="0">
  <autoFilter ref="AH33:AH40" xr:uid="{A0DED689-2510-4BE0-B85F-FD1D7D88DFA4}"/>
  <tableColumns count="1">
    <tableColumn id="1" xr3:uid="{41034796-1ED0-46CE-99B2-CC2B442FFCB6}" name="Llaves"/>
  </tableColumns>
  <tableStyleInfo name="TableStyleMedium2" showFirstColumn="0" showLastColumn="0" showRowStripes="1" showColumnStripes="0"/>
</table>
</file>

<file path=xl/tables/table3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AC9028D0-EEA8-45A5-9CC9-43AC57A0EBA6}" name="Tabla26" displayName="Tabla26" ref="AG41:AG45" totalsRowShown="0" tableBorderDxfId="85">
  <autoFilter ref="AG41:AG45" xr:uid="{8ED6E545-64E7-44D4-B8A8-CB23D42265C0}"/>
  <tableColumns count="1">
    <tableColumn id="1" xr3:uid="{8387B595-C738-4693-8855-8D560B8B8BF5}" name="Calibrador"/>
  </tableColumns>
  <tableStyleInfo name="TableStyleMedium2" showFirstColumn="0" showLastColumn="0" showRowStripes="1" showColumnStripes="0"/>
</table>
</file>

<file path=xl/tables/table3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6DE36C62-B158-48B3-BE21-4F5B01BA55C5}" name="Tabla28" displayName="Tabla28" ref="AG48:AG51" totalsRowShown="0">
  <autoFilter ref="AG48:AG51" xr:uid="{9EF16892-84A3-4412-9559-E3ECBCBE8FAD}"/>
  <tableColumns count="1">
    <tableColumn id="1" xr3:uid="{80756DF8-C677-46D1-AB7D-12495643FF00}" name="Micrómetro"/>
  </tableColumns>
  <tableStyleInfo name="TableStyleMedium2" showFirstColumn="0" showLastColumn="0" showRowStripes="1" showColumnStripes="0"/>
</table>
</file>

<file path=xl/tables/table3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159E573C-DFD6-47FC-AE0D-CC2C7161BCC0}" name="Tabla29" displayName="Tabla29" ref="AH67:AH69" totalsRowShown="0" tableBorderDxfId="84">
  <autoFilter ref="AH67:AH69" xr:uid="{2312EFE8-ED6F-40CE-936E-92708A2A3E11}"/>
  <tableColumns count="1">
    <tableColumn id="1" xr3:uid="{8297C468-C424-4B09-A880-3DE34588CD98}" name="Alicates"/>
  </tableColumns>
  <tableStyleInfo name="TableStyleMedium2" showFirstColumn="0" showLastColumn="0" showRowStripes="1" showColumnStripes="0"/>
</table>
</file>

<file path=xl/tables/table3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200A96A0-771A-4D4E-AE48-25C221FBBE1A}" name="Tabla30" displayName="Tabla30" ref="AH50:AH59" totalsRowShown="0" dataDxfId="83" tableBorderDxfId="82">
  <autoFilter ref="AH50:AH59" xr:uid="{3B268A63-E4A5-4D1B-B445-E13631B6E887}"/>
  <tableColumns count="1">
    <tableColumn id="1" xr3:uid="{53BE00AB-798E-48FE-AE30-4D55D2EC1573}" name="Dados" dataDxfId="81"/>
  </tableColumns>
  <tableStyleInfo name="TableStyleMedium2" showFirstColumn="0" showLastColumn="0" showRowStripes="1" showColumnStripes="0"/>
</table>
</file>

<file path=xl/tables/table3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1EE6163E-2811-4DD5-A227-6BEE6D10C3E6}" name="Tabla32" displayName="Tabla32" ref="AH43:AH44" totalsRowShown="0" dataDxfId="80" tableBorderDxfId="79">
  <autoFilter ref="AH43:AH44" xr:uid="{005ABD67-F7E0-47FD-8970-322FEA5BBC4C}"/>
  <tableColumns count="1">
    <tableColumn id="1" xr3:uid="{010B905A-5FEE-4747-8141-CF5936CCAA6D}" name="Tijera" dataDxfId="78"/>
  </tableColumns>
  <tableStyleInfo name="TableStyleMedium2" showFirstColumn="0" showLastColumn="0" showRowStripes="1" showColumnStripes="0"/>
</table>
</file>

<file path=xl/tables/table3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77522C24-E5F1-42C6-9E5D-563A17EBB8FB}" name="Tabla33" displayName="Tabla33" ref="AG63:AG64" totalsRowShown="0" dataDxfId="77" tableBorderDxfId="76">
  <autoFilter ref="AG63:AG64" xr:uid="{7D457BB0-C389-4126-BC6E-CB6D91AFE2A6}"/>
  <tableColumns count="1">
    <tableColumn id="1" xr3:uid="{545AF14F-79EF-4B52-AC51-19C997A1B0EC}" name="Estetoscopio" dataDxfId="75"/>
  </tableColumns>
  <tableStyleInfo name="TableStyleMedium2" showFirstColumn="0" showLastColumn="0" showRowStripes="1" showColumnStripes="0"/>
</table>
</file>

<file path=xl/tables/table3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CB866E20-E602-4195-A6DA-50B29BF8C72A}" name="Tabla34" displayName="Tabla34" ref="AH47:AH48" totalsRowShown="0" dataDxfId="74" tableBorderDxfId="73">
  <autoFilter ref="AH47:AH48" xr:uid="{EC300733-E688-43CB-A693-F1E2F80F6495}"/>
  <tableColumns count="1">
    <tableColumn id="1" xr3:uid="{F79D3616-1EDE-4BA5-BAC9-CD2264162A69}" name="Alargador" dataDxfId="72"/>
  </tableColumns>
  <tableStyleInfo name="TableStyleMedium2" showFirstColumn="0" showLastColumn="0" showRowStripes="1" showColumnStripes="0"/>
</table>
</file>

<file path=xl/tables/table3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BA623BCE-B998-4814-9025-F9204BC93F99}" name="Tabla35" displayName="Tabla35" ref="AG60:AG61" totalsRowShown="0" dataDxfId="71" tableBorderDxfId="70">
  <autoFilter ref="AG60:AG61" xr:uid="{B42C8F8F-E6AD-4FF3-9580-F9F4B996FF6F}"/>
  <tableColumns count="1">
    <tableColumn id="1" xr3:uid="{5E3F56B8-59BC-4318-ACEF-3771248E0A6F}" name="Torquimetro" dataDxfId="69"/>
  </tableColumns>
  <tableStyleInfo name="TableStyleMedium2" showFirstColumn="0" showLastColumn="0" showRowStripes="1" showColumnStripes="0"/>
</table>
</file>

<file path=xl/tables/table3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54B854AD-C203-418D-BA5C-27C7CD80D06A}" name="Tabla37" displayName="Tabla37" ref="AI29:AI30" totalsRowShown="0" headerRowDxfId="68" dataDxfId="66" headerRowBorderDxfId="67" tableBorderDxfId="65" totalsRowBorderDxfId="64">
  <autoFilter ref="AI29:AI30" xr:uid="{2886962D-17B4-4D37-AB1E-9FE27B267D99}"/>
  <tableColumns count="1">
    <tableColumn id="1" xr3:uid="{CE2D782E-2B5C-47D9-B110-D4640EDA3B86}" name="Llave " dataDxfId="63"/>
  </tableColumns>
  <tableStyleInfo name="TableStyleMedium2" showFirstColumn="0" showLastColumn="0" showRowStripes="1" showColumnStripes="0"/>
</table>
</file>

<file path=xl/tables/table3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8D7EB9BE-465B-4564-B5B3-460C6F90CAFA}" name="Tabla38" displayName="Tabla38" ref="B1:S611" totalsRowShown="0" headerRowDxfId="62">
  <autoFilter ref="B1:S611" xr:uid="{58127080-A22D-466C-8BA0-CCF2E2227FD2}"/>
  <tableColumns count="18">
    <tableColumn id="1" xr3:uid="{1A0227B3-4C5B-4EE0-B4C7-9E41278C5519}" name="Item">
      <calculatedColumnFormula>ROW()-1</calculatedColumnFormula>
    </tableColumn>
    <tableColumn id="2" xr3:uid="{60C2D67B-D099-4B20-9682-759C937FAF8E}" name="Area" dataDxfId="61"/>
    <tableColumn id="3" xr3:uid="{B9899F01-3836-468F-A209-2F1F7693D4AB}" name="Cantidad"/>
    <tableColumn id="4" xr3:uid="{CBA7F054-BB18-4D14-85F9-03A8E0EF3F23}" name="Clasificacion" dataDxfId="60"/>
    <tableColumn id="5" xr3:uid="{C2E44F72-891D-4126-8337-2308F32E7801}" name="Descripción del equipo" dataDxfId="59">
      <calculatedColumnFormula>_xlfn.TEXTJOIN(", ",TRUE, Tabla38[[#This Row],[Tipo de escalera]],Tabla38[[#This Row],[Longitud]],Tabla38[[#This Row],[Carga Maxima]])</calculatedColumnFormula>
    </tableColumn>
    <tableColumn id="17" xr3:uid="{499F86BA-6A23-4AC7-B7B5-D0CA53C64B95}" name="Tipo de escalera"/>
    <tableColumn id="19" xr3:uid="{80E584D2-7D25-4E06-9176-19D678E4992C}" name="Longitud"/>
    <tableColumn id="18" xr3:uid="{13ED80D5-DB2A-4D75-92DD-BE0C79D28A1B}" name="Carga Maxima"/>
    <tableColumn id="6" xr3:uid="{40617F15-4EC0-4604-81CD-EE5CB29E7280}" name="Marca" dataDxfId="58"/>
    <tableColumn id="7" xr3:uid="{DB4454FB-D0F0-4F79-8488-7452A322E81B}" name="Modelo" dataDxfId="57"/>
    <tableColumn id="8" xr3:uid="{9F10D61F-2FC3-41E5-8F69-4E195364C0B7}" name="Cod. Antiguo"/>
    <tableColumn id="9" xr3:uid="{7A0270A4-ED81-4DF3-B407-21E55050FDD3}" name="Número de Serie"/>
    <tableColumn id="10" xr3:uid="{A6FC1A65-C76A-4C56-9421-8289B8DA42DB}" name="Cód. Nuevo Asig" dataDxfId="56">
      <calculatedColumnFormula>_xlfn.LET(
    _xlpm.itemBuscado, B2,
    _xlpm.areaBuscada, C2,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TEXT(COUNTIF($C$2:C2, _xlpm.areaBuscada), "0000"),
    _xlpm.codItem &amp; "-" &amp; _xlpm.codArea &amp; "-" &amp; _xlpm.secuencia
)</calculatedColumnFormula>
    </tableColumn>
    <tableColumn id="11" xr3:uid="{A6C68B5F-1B4A-4BC8-B6FA-FFD3E3AD471B}" name="Codigo de parte"/>
    <tableColumn id="12" xr3:uid="{8282A737-480A-43A6-A7F0-48990BAAA174}" name="Ubicación"/>
    <tableColumn id="13" xr3:uid="{B66C2F82-A090-4993-A875-C8D02574F574}" name="Frecuencia de uso"/>
    <tableColumn id="14" xr3:uid="{20A6D373-C3CD-4604-9C61-2C869C718D78}" name="Estado"/>
    <tableColumn id="15" xr3:uid="{EBFE5BD6-9443-4BE6-8B19-19610F53B6C6}" name="Observaciones"/>
  </tableColumns>
  <tableStyleInfo name="TableStyleMedium2" showFirstColumn="0" showLastColumn="0" showRowStripes="1" showColumnStripes="0"/>
</table>
</file>

<file path=xl/tables/table3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5D16DD49-EA14-438B-B7A3-7E2327AEB2B0}" name="Tabla39" displayName="Tabla39" ref="AH29:AH30" totalsRowShown="0">
  <autoFilter ref="AH29:AH30" xr:uid="{1C0F20AA-1469-4335-A289-55F2E420509F}"/>
  <tableColumns count="1">
    <tableColumn id="1" xr3:uid="{4335808F-348A-4357-B031-0E12891640A1}" name="Multiplicador"/>
  </tableColumns>
  <tableStyleInfo name="TableStyleMedium2" showFirstColumn="0" showLastColumn="0" showRowStripes="1" showColumnStripes="0"/>
</table>
</file>

<file path=xl/tables/table3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CD5FCCE5-638B-4B65-BB42-4F598BCEF4E7}" name="Tabla40" displayName="Tabla40" ref="AE29:AF31" totalsRowShown="0" tableBorderDxfId="55">
  <autoFilter ref="AE29:AF31" xr:uid="{2E7F26C8-B310-438B-BD08-8C0BC82B7627}"/>
  <tableColumns count="2">
    <tableColumn id="1" xr3:uid="{1CDE17C7-EEF1-456F-9E43-06E592FD6F25}" name="Soldadoras"/>
    <tableColumn id="2" xr3:uid="{F0FDCDB8-AB9B-4873-BD60-3904EDFAB630}" name="Martillo"/>
  </tableColumns>
  <tableStyleInfo name="TableStyleMedium2" showFirstColumn="0" showLastColumn="0" showRowStripes="1" showColumnStripes="0"/>
</table>
</file>

<file path=xl/tables/table3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2A09CA21-8F50-44E5-9B1A-4970D1A49F22}" name="Tabla42" displayName="Tabla42" ref="AE58:AE59" totalsRowShown="0">
  <autoFilter ref="AE58:AE59" xr:uid="{BDB2A400-1F11-4F53-807B-27202876BE6C}"/>
  <tableColumns count="1">
    <tableColumn id="1" xr3:uid="{13E8A362-BB46-489E-9F88-8CD6618B04AB}" name="Amoladora"/>
  </tableColumns>
  <tableStyleInfo name="TableStyleMedium2" showFirstColumn="0" showLastColumn="0" showRowStripes="1" showColumnStripes="0"/>
</table>
</file>

<file path=xl/tables/table3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2D9F270D-8823-4EA6-B259-4CE194D4C9D6}" name="Tabla43" displayName="Tabla43" ref="AE62:AE64" totalsRowShown="0" dataDxfId="54" tableBorderDxfId="53">
  <autoFilter ref="AE62:AE64" xr:uid="{931F2BE3-67FF-44D5-B415-148F761F93A6}"/>
  <tableColumns count="1">
    <tableColumn id="1" xr3:uid="{605F5B12-7B1D-4504-902F-4B0DAAD970CD}" name="Iluminación" dataDxfId="52"/>
  </tableColumns>
  <tableStyleInfo name="TableStyleMedium2" showFirstColumn="0" showLastColumn="0" showRowStripes="1" showColumnStripes="0"/>
</table>
</file>

<file path=xl/tables/table3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FAD44E2C-D49A-4B5E-8025-CC14C8CB2504}" name="Tabla44" displayName="Tabla44" ref="AK29:AK30" totalsRowShown="0">
  <autoFilter ref="AK29:AK30" xr:uid="{9781A61A-AC29-41AE-98F6-916225D99E1D}"/>
  <tableColumns count="1">
    <tableColumn id="1" xr3:uid="{0593FB8C-C3CA-4458-9E24-A22B81D3BBF8}" name="Tecle"/>
  </tableColumns>
  <tableStyleInfo name="TableStyleMedium2" showFirstColumn="0" showLastColumn="0" showRowStripes="1" showColumnStripes="0"/>
</table>
</file>

<file path=xl/tables/table3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B991D604-248C-4988-BD03-1DF6B49C0F98}" name="Tabla45" displayName="Tabla45" ref="AE66:AE68" totalsRowShown="0">
  <autoFilter ref="AE66:AE68" xr:uid="{883961C8-D276-4BAE-B81D-192750F3D2CC}"/>
  <tableColumns count="1">
    <tableColumn id="1" xr3:uid="{DC3C225E-2B0F-48C0-82F6-E9047E0C1750}" name="Lubricador"/>
  </tableColumns>
  <tableStyleInfo name="TableStyleMedium2" showFirstColumn="0" showLastColumn="0" showRowStripes="1" showColumnStripes="0"/>
</table>
</file>

<file path=xl/tables/table3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8E51C6BE-D900-4DFF-A075-A86CE62ED7A3}" name="Tabla46" displayName="Tabla46" ref="AH61:AH62" totalsRowShown="0">
  <autoFilter ref="AH61:AH62" xr:uid="{F9F816C6-2BEF-46FF-915F-BE5B9C6045E2}"/>
  <tableColumns count="1">
    <tableColumn id="1" xr3:uid="{8859444E-5019-4BB0-BC77-0366885CA88E}" name="Combos"/>
  </tableColumns>
  <tableStyleInfo name="TableStyleMedium2" showFirstColumn="0" showLastColumn="0" showRowStripes="1" showColumnStripes="0"/>
</table>
</file>

<file path=xl/tables/table3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B86DD5D1-604D-410A-A292-EFB17F6742DC}" name="Tabla47" displayName="Tabla47" ref="AH64:AH65" totalsRowShown="0">
  <autoFilter ref="AH64:AH65" xr:uid="{D0087047-FAAD-47F1-8107-9751D313CB07}"/>
  <tableColumns count="1">
    <tableColumn id="1" xr3:uid="{969CA5DD-4153-42EF-8C5D-A704BD45489F}" name="Mesa"/>
  </tableColumns>
  <tableStyleInfo name="TableStyleMedium2" showFirstColumn="0" showLastColumn="0" showRowStripes="1" showColumnStripes="0"/>
</table>
</file>

<file path=xl/tables/table3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A937E71-F21F-45DB-94B9-C8C8D877BD19}" name="Tabla48" displayName="Tabla48" ref="AN29:AN31" totalsRowShown="0" tableBorderDxfId="51">
  <autoFilter ref="AN29:AN31" xr:uid="{98D206C1-A450-4754-81B2-030642ED939D}"/>
  <tableColumns count="1">
    <tableColumn id="1" xr3:uid="{14812275-5C0F-4E11-BE19-705C5449EE29}" name="Pinza"/>
  </tableColumns>
  <tableStyleInfo name="TableStyleMedium2" showFirstColumn="0" showLastColumn="0" showRowStripes="1" showColumnStripes="0"/>
</table>
</file>

<file path=xl/tables/table3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2F897DC-C9D8-4843-A58A-91AFDB0B0E8D}" name="Tabla4956" displayName="Tabla4956" ref="AN1:AN20" totalsRowShown="0" tableBorderDxfId="50">
  <autoFilter ref="AN1:AN20" xr:uid="{682A1042-040F-4BDC-814E-19EDB04144BA}"/>
  <tableColumns count="1">
    <tableColumn id="1" xr3:uid="{56A51C6C-D47A-4861-9770-142A85CC572B}" name="Accesorios"/>
  </tableColumns>
  <tableStyleInfo name="TableStyleMedium2" showFirstColumn="0" showLastColumn="0" showRowStripes="1" showColumnStripes="0"/>
</table>
</file>

<file path=xl/tables/table3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5EFF3C5E-C80C-462B-BF2C-F6D434B6D9FD}" name="Tabla100" displayName="Tabla100" ref="V15:V19" totalsRowShown="0" headerRowDxfId="49" dataDxfId="48">
  <autoFilter ref="V15:V19" xr:uid="{5EFF3C5E-C80C-462B-BF2C-F6D434B6D9FD}"/>
  <tableColumns count="1">
    <tableColumn id="1" xr3:uid="{1CA32F87-5274-4467-85A0-1919E9017FCB}" name="Tipo de Escalera" dataDxfId="47"/>
  </tableColumns>
  <tableStyleInfo name="TableStyleMedium2" showFirstColumn="0" showLastColumn="0" showRowStripes="1" showColumnStripes="0"/>
</table>
</file>

<file path=xl/tables/table3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7BACAF-576A-47D0-8496-F0150F318119}" name="Herramientas_eléctricas" displayName="Herramientas_eléctricas" ref="K2:K21" totalsRowShown="0" headerRowDxfId="46" headerRowBorderDxfId="45" tableBorderDxfId="44">
  <autoFilter ref="K2:K21" xr:uid="{8A7BACAF-576A-47D0-8496-F0150F318119}"/>
  <tableColumns count="1">
    <tableColumn id="1" xr3:uid="{02BEFAEE-7797-4C72-A0B3-038B57A58D24}" name="Herramientas_eléctricas"/>
  </tableColumns>
  <tableStyleInfo name="TableStyleMedium2" showFirstColumn="0" showLastColumn="0" showRowStripes="1" showColumnStripes="0"/>
</table>
</file>

<file path=xl/tables/table3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E779BAE-DCA1-4B40-A251-B8666EA6ABAE}" name="Herramientas_neumáticas" displayName="Herramientas_neumáticas" ref="L2:L7" totalsRowShown="0" headerRowDxfId="43" headerRowBorderDxfId="42" tableBorderDxfId="41">
  <autoFilter ref="L2:L7" xr:uid="{2E779BAE-DCA1-4B40-A251-B8666EA6ABAE}"/>
  <tableColumns count="1">
    <tableColumn id="1" xr3:uid="{28AB2F13-5D1A-4F0B-92A3-0FD55BE17D61}" name="Herramientas_neumáticas"/>
  </tableColumns>
  <tableStyleInfo name="TableStyleMedium2" showFirstColumn="0" showLastColumn="0" showRowStripes="1" showColumnStripes="0"/>
</table>
</file>

<file path=xl/tables/table3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E91F486-BA6F-4BAF-ADCE-DC5F101EB6E0}" name="Herramientas_de_medición" displayName="Herramientas_de_medición" ref="M2:M17" totalsRowShown="0" headerRowDxfId="40" headerRowBorderDxfId="39" tableBorderDxfId="38">
  <autoFilter ref="M2:M17" xr:uid="{CE91F486-BA6F-4BAF-ADCE-DC5F101EB6E0}"/>
  <tableColumns count="1">
    <tableColumn id="1" xr3:uid="{50A2C439-43AE-44D9-82BD-C393AB4A5AB9}" name="Herramientas_de_medición" dataDxfId="37"/>
  </tableColumns>
  <tableStyleInfo name="TableStyleMedium2" showFirstColumn="0" showLastColumn="0" showRowStripes="1" showColumnStripes="0"/>
</table>
</file>

<file path=xl/tables/table3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B951F61-CD0B-4EF7-969D-061C15BF97E2}" name="Herrramientas_mecánicas" displayName="Herrramientas_mecánicas" ref="N2:N21" totalsRowShown="0" headerRowDxfId="36" headerRowBorderDxfId="35" tableBorderDxfId="34">
  <autoFilter ref="N2:N21" xr:uid="{EB951F61-CD0B-4EF7-969D-061C15BF97E2}"/>
  <tableColumns count="1">
    <tableColumn id="1" xr3:uid="{E23D1D80-863B-49DD-95DF-0A35826C3822}" name="Herramientas_mecánicas"/>
  </tableColumns>
  <tableStyleInfo name="TableStyleMedium2" showFirstColumn="0" showLastColumn="0" showRowStripes="1" showColumnStripes="0"/>
</table>
</file>

<file path=xl/tables/table3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02E7F09-95A9-4DE5-8911-ADBC6853579B}" name="Herramientas_hidráulicas" displayName="Herramientas_hidráulicas" ref="O2:O10" totalsRowShown="0" headerRowDxfId="33" dataDxfId="31" headerRowBorderDxfId="32" tableBorderDxfId="30">
  <autoFilter ref="O2:O10" xr:uid="{602E7F09-95A9-4DE5-8911-ADBC6853579B}"/>
  <tableColumns count="1">
    <tableColumn id="1" xr3:uid="{05D44E49-116E-4F1B-9102-774524321F27}" name="Herramientas_hidráulicas" dataDxfId="29"/>
  </tableColumns>
  <tableStyleInfo name="TableStyleMedium2" showFirstColumn="0" showLastColumn="0" showRowStripes="1" showColumnStripes="0"/>
</table>
</file>

<file path=xl/tables/table3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7616C67-91FD-4413-9B0B-661B52710D6D}" name="EPP" displayName="EPP" ref="P2:P9" totalsRowShown="0" headerRowDxfId="28" headerRowBorderDxfId="27" tableBorderDxfId="26">
  <autoFilter ref="P2:P9" xr:uid="{D7616C67-91FD-4413-9B0B-661B52710D6D}"/>
  <tableColumns count="1">
    <tableColumn id="1" xr3:uid="{89286F96-2D60-41E2-96A1-AABFA90F0D80}" name="SPCC"/>
  </tableColumns>
  <tableStyleInfo name="TableStyleMedium2" showFirstColumn="0" showLastColumn="0" showRowStripes="1" showColumnStripes="0"/>
</table>
</file>

<file path=xl/tables/table3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05A3266-13AF-4EBD-9F82-39FD6B04DB8D}" name="Herramientas_de_izaje" displayName="Herramientas_de_izaje" ref="Q2:Q7" totalsRowShown="0" headerRowDxfId="25" headerRowBorderDxfId="24" tableBorderDxfId="23">
  <autoFilter ref="Q2:Q7" xr:uid="{705A3266-13AF-4EBD-9F82-39FD6B04DB8D}"/>
  <tableColumns count="1">
    <tableColumn id="1" xr3:uid="{FB3FDBBF-B4BE-4650-AB8B-925CE362724A}" name="Herramientas_de_izaje"/>
  </tableColumns>
  <tableStyleInfo name="TableStyleMedium2" showFirstColumn="0" showLastColumn="0" showRowStripes="1" showColumnStripes="0"/>
</table>
</file>

<file path=xl/tables/table3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798BB96-9228-4DC0-B3E4-B4AA37CA1E3B}" name="Tabla15" displayName="Tabla15" ref="R2:R3" totalsRowShown="0" headerRowDxfId="22" dataDxfId="20" headerRowBorderDxfId="21" tableBorderDxfId="19">
  <autoFilter ref="R2:R3" xr:uid="{D798BB96-9228-4DC0-B3E4-B4AA37CA1E3B}"/>
  <tableColumns count="1">
    <tableColumn id="1" xr3:uid="{9047A70D-B56D-4DBF-853B-42FEAC2393F1}" name="Otros" dataDxfId="18"/>
  </tableColumns>
  <tableStyleInfo name="TableStyleMedium2" showFirstColumn="0" showLastColumn="0" showRowStripes="1" showColumnStripes="0"/>
</table>
</file>

<file path=xl/tables/table3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F187794-2E6D-42E1-84A4-943C095CA68C}" name="Tabla16" displayName="Tabla16" ref="S2:S7" totalsRowShown="0">
  <autoFilter ref="S2:S7" xr:uid="{DF187794-2E6D-42E1-84A4-943C095CA68C}"/>
  <tableColumns count="1">
    <tableColumn id="1" xr3:uid="{6D0CE159-4640-4B9C-A8D6-2A2B89E51B36}" name="Equipos"/>
  </tableColumns>
  <tableStyleInfo name="TableStyleMedium2" showFirstColumn="0" showLastColumn="0" showRowStripes="1" showColumnStripes="0"/>
</table>
</file>

<file path=xl/tables/table3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96CE042-FDE3-4CDD-987F-2E43574B46A6}" name="Tabla49" displayName="Tabla49" ref="T2:T21" totalsRowShown="0" tableBorderDxfId="17">
  <autoFilter ref="T2:T21" xr:uid="{A96CE042-FDE3-4CDD-987F-2E43574B46A6}"/>
  <tableColumns count="1">
    <tableColumn id="1" xr3:uid="{84506A6E-5536-4263-9821-2BDBD2CAC9B7}" name="Accesorios"/>
  </tableColumns>
  <tableStyleInfo name="TableStyleMedium2" showFirstColumn="0" showLastColumn="0" showRowStripes="1" showColumnStripes="0"/>
</table>
</file>

<file path=xl/tables/table3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EB19105-6ECD-4DFD-AFB0-469F6F9C5208}" name="Tabla11" displayName="Tabla11" ref="V2:W14" totalsRowShown="0" dataDxfId="16" tableBorderDxfId="15">
  <autoFilter ref="V2:W14" xr:uid="{5EB19105-6ECD-4DFD-AFB0-469F6F9C5208}"/>
  <tableColumns count="2">
    <tableColumn id="1" xr3:uid="{41698132-D3CF-4A2C-A1AA-E8604BB43123}" name="Areas" dataDxfId="14"/>
    <tableColumn id="2" xr3:uid="{B7CF44F3-F395-4F54-8199-97AB55CE78AB}" name="Codigo" dataDxfId="13"/>
  </tableColumns>
  <tableStyleInfo name="TableStyleMedium2" showFirstColumn="0" showLastColumn="0" showRowStripes="1" showColumnStripes="0"/>
</table>
</file>

<file path=xl/tables/table4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65CB7D9-D0F2-430E-AD63-46650D7C6DC3}" name="Tabla12" displayName="Tabla12" ref="B3:I24" totalsRowShown="0" headerRowDxfId="12" dataDxfId="11">
  <autoFilter ref="B3:I24" xr:uid="{565CB7D9-D0F2-430E-AD63-46650D7C6DC3}"/>
  <tableColumns count="8">
    <tableColumn id="1" xr3:uid="{14400A34-CE19-45E1-A394-2C7337D9FA74}" name="ZM ( MISC MECHANICALS ITEMS )" dataDxfId="10"/>
    <tableColumn id="5" xr3:uid="{9844EFF1-3309-4F67-8371-49AB22E531EC}" name="Columna1" dataDxfId="9"/>
    <tableColumn id="2" xr3:uid="{3CBEFC2C-D3D0-437C-9930-0849730F2FD9}" name="ZE (MISC ELECTRICAL ITEMS)" dataDxfId="8"/>
    <tableColumn id="6" xr3:uid="{77E1D763-9131-4F23-B78B-322D77B38FE6}" name="Columna2" dataDxfId="7"/>
    <tableColumn id="3" xr3:uid="{774FDD88-5DE0-413F-9D95-C844F6412CED}" name="ZI (MISC INSTRUMENTATIONS ITEMS)" dataDxfId="6"/>
    <tableColumn id="7" xr3:uid="{7819B846-0D66-42CD-8622-6DA076E211DE}" name="Columna3" dataDxfId="5"/>
    <tableColumn id="4" xr3:uid="{7073A6D4-6427-4AD9-B250-1728D3BD8D79}" name="ZZ (MISCELANEOUS ITEMS)" dataDxfId="4"/>
    <tableColumn id="8" xr3:uid="{25131E48-CE39-4CAC-891D-3311CE9E481B}" name="Columna4" dataDxfId="3"/>
  </tableColumns>
  <tableStyleInfo name="TableStyleMedium2" showFirstColumn="0" showLastColumn="0" showRowStripes="1" showColumnStripes="0"/>
</table>
</file>

<file path=xl/tables/table4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71DD72EC-20C9-41B5-8501-A6C97EB0C711}" name="Tabla56" displayName="Tabla56" ref="B2:B85" totalsRowShown="0" dataDxfId="2" tableBorderDxfId="1">
  <autoFilter ref="B2:B85" xr:uid="{71DD72EC-20C9-41B5-8501-A6C97EB0C711}"/>
  <tableColumns count="1">
    <tableColumn id="1" xr3:uid="{74956C98-9908-44D6-98AE-6ED9DFB9DFD9}" name="Dato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table" Target="../tables/table12.xml"/><Relationship Id="rId18" Type="http://schemas.openxmlformats.org/officeDocument/2006/relationships/table" Target="../tables/table17.xml"/><Relationship Id="rId26" Type="http://schemas.openxmlformats.org/officeDocument/2006/relationships/table" Target="../tables/table25.xml"/><Relationship Id="rId39" Type="http://schemas.openxmlformats.org/officeDocument/2006/relationships/table" Target="../tables/table38.xml"/><Relationship Id="rId21" Type="http://schemas.openxmlformats.org/officeDocument/2006/relationships/table" Target="../tables/table20.xml"/><Relationship Id="rId34" Type="http://schemas.openxmlformats.org/officeDocument/2006/relationships/table" Target="../tables/table33.xml"/><Relationship Id="rId42" Type="http://schemas.openxmlformats.org/officeDocument/2006/relationships/table" Target="../tables/table41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6" Type="http://schemas.openxmlformats.org/officeDocument/2006/relationships/table" Target="../tables/table15.xml"/><Relationship Id="rId29" Type="http://schemas.openxmlformats.org/officeDocument/2006/relationships/table" Target="../tables/table28.xml"/><Relationship Id="rId1" Type="http://schemas.openxmlformats.org/officeDocument/2006/relationships/vmlDrawing" Target="../drawings/vmlDrawing1.vml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24" Type="http://schemas.openxmlformats.org/officeDocument/2006/relationships/table" Target="../tables/table23.xml"/><Relationship Id="rId32" Type="http://schemas.openxmlformats.org/officeDocument/2006/relationships/table" Target="../tables/table31.xml"/><Relationship Id="rId37" Type="http://schemas.openxmlformats.org/officeDocument/2006/relationships/table" Target="../tables/table36.xml"/><Relationship Id="rId40" Type="http://schemas.openxmlformats.org/officeDocument/2006/relationships/table" Target="../tables/table39.xml"/><Relationship Id="rId45" Type="http://schemas.openxmlformats.org/officeDocument/2006/relationships/comments" Target="../comments1.xml"/><Relationship Id="rId5" Type="http://schemas.openxmlformats.org/officeDocument/2006/relationships/table" Target="../tables/table4.xml"/><Relationship Id="rId15" Type="http://schemas.openxmlformats.org/officeDocument/2006/relationships/table" Target="../tables/table14.xml"/><Relationship Id="rId23" Type="http://schemas.openxmlformats.org/officeDocument/2006/relationships/table" Target="../tables/table22.xml"/><Relationship Id="rId28" Type="http://schemas.openxmlformats.org/officeDocument/2006/relationships/table" Target="../tables/table27.xml"/><Relationship Id="rId36" Type="http://schemas.openxmlformats.org/officeDocument/2006/relationships/table" Target="../tables/table35.xml"/><Relationship Id="rId10" Type="http://schemas.openxmlformats.org/officeDocument/2006/relationships/table" Target="../tables/table9.xml"/><Relationship Id="rId19" Type="http://schemas.openxmlformats.org/officeDocument/2006/relationships/table" Target="../tables/table18.xml"/><Relationship Id="rId31" Type="http://schemas.openxmlformats.org/officeDocument/2006/relationships/table" Target="../tables/table30.xml"/><Relationship Id="rId44" Type="http://schemas.openxmlformats.org/officeDocument/2006/relationships/table" Target="../tables/table43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Relationship Id="rId22" Type="http://schemas.openxmlformats.org/officeDocument/2006/relationships/table" Target="../tables/table21.xml"/><Relationship Id="rId27" Type="http://schemas.openxmlformats.org/officeDocument/2006/relationships/table" Target="../tables/table26.xml"/><Relationship Id="rId30" Type="http://schemas.openxmlformats.org/officeDocument/2006/relationships/table" Target="../tables/table29.xml"/><Relationship Id="rId35" Type="http://schemas.openxmlformats.org/officeDocument/2006/relationships/table" Target="../tables/table34.xml"/><Relationship Id="rId43" Type="http://schemas.openxmlformats.org/officeDocument/2006/relationships/table" Target="../tables/table42.xml"/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12" Type="http://schemas.openxmlformats.org/officeDocument/2006/relationships/table" Target="../tables/table11.xml"/><Relationship Id="rId17" Type="http://schemas.openxmlformats.org/officeDocument/2006/relationships/table" Target="../tables/table16.xml"/><Relationship Id="rId25" Type="http://schemas.openxmlformats.org/officeDocument/2006/relationships/table" Target="../tables/table24.xml"/><Relationship Id="rId33" Type="http://schemas.openxmlformats.org/officeDocument/2006/relationships/table" Target="../tables/table32.xml"/><Relationship Id="rId38" Type="http://schemas.openxmlformats.org/officeDocument/2006/relationships/table" Target="../tables/table37.xml"/><Relationship Id="rId20" Type="http://schemas.openxmlformats.org/officeDocument/2006/relationships/table" Target="../tables/table19.xml"/><Relationship Id="rId41" Type="http://schemas.openxmlformats.org/officeDocument/2006/relationships/table" Target="../tables/table40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table" Target="../tables/table55.xml"/><Relationship Id="rId18" Type="http://schemas.openxmlformats.org/officeDocument/2006/relationships/table" Target="../tables/table60.xml"/><Relationship Id="rId26" Type="http://schemas.openxmlformats.org/officeDocument/2006/relationships/table" Target="../tables/table68.xml"/><Relationship Id="rId39" Type="http://schemas.openxmlformats.org/officeDocument/2006/relationships/table" Target="../tables/table81.xml"/><Relationship Id="rId21" Type="http://schemas.openxmlformats.org/officeDocument/2006/relationships/table" Target="../tables/table63.xml"/><Relationship Id="rId34" Type="http://schemas.openxmlformats.org/officeDocument/2006/relationships/table" Target="../tables/table76.xml"/><Relationship Id="rId42" Type="http://schemas.openxmlformats.org/officeDocument/2006/relationships/table" Target="../tables/table84.xml"/><Relationship Id="rId7" Type="http://schemas.openxmlformats.org/officeDocument/2006/relationships/table" Target="../tables/table49.xml"/><Relationship Id="rId2" Type="http://schemas.openxmlformats.org/officeDocument/2006/relationships/table" Target="../tables/table44.xml"/><Relationship Id="rId16" Type="http://schemas.openxmlformats.org/officeDocument/2006/relationships/table" Target="../tables/table58.xml"/><Relationship Id="rId29" Type="http://schemas.openxmlformats.org/officeDocument/2006/relationships/table" Target="../tables/table71.xml"/><Relationship Id="rId1" Type="http://schemas.openxmlformats.org/officeDocument/2006/relationships/vmlDrawing" Target="../drawings/vmlDrawing2.vml"/><Relationship Id="rId6" Type="http://schemas.openxmlformats.org/officeDocument/2006/relationships/table" Target="../tables/table48.xml"/><Relationship Id="rId11" Type="http://schemas.openxmlformats.org/officeDocument/2006/relationships/table" Target="../tables/table53.xml"/><Relationship Id="rId24" Type="http://schemas.openxmlformats.org/officeDocument/2006/relationships/table" Target="../tables/table66.xml"/><Relationship Id="rId32" Type="http://schemas.openxmlformats.org/officeDocument/2006/relationships/table" Target="../tables/table74.xml"/><Relationship Id="rId37" Type="http://schemas.openxmlformats.org/officeDocument/2006/relationships/table" Target="../tables/table79.xml"/><Relationship Id="rId40" Type="http://schemas.openxmlformats.org/officeDocument/2006/relationships/table" Target="../tables/table82.xml"/><Relationship Id="rId45" Type="http://schemas.openxmlformats.org/officeDocument/2006/relationships/comments" Target="../comments2.xml"/><Relationship Id="rId5" Type="http://schemas.openxmlformats.org/officeDocument/2006/relationships/table" Target="../tables/table47.xml"/><Relationship Id="rId15" Type="http://schemas.openxmlformats.org/officeDocument/2006/relationships/table" Target="../tables/table57.xml"/><Relationship Id="rId23" Type="http://schemas.openxmlformats.org/officeDocument/2006/relationships/table" Target="../tables/table65.xml"/><Relationship Id="rId28" Type="http://schemas.openxmlformats.org/officeDocument/2006/relationships/table" Target="../tables/table70.xml"/><Relationship Id="rId36" Type="http://schemas.openxmlformats.org/officeDocument/2006/relationships/table" Target="../tables/table78.xml"/><Relationship Id="rId10" Type="http://schemas.openxmlformats.org/officeDocument/2006/relationships/table" Target="../tables/table52.xml"/><Relationship Id="rId19" Type="http://schemas.openxmlformats.org/officeDocument/2006/relationships/table" Target="../tables/table61.xml"/><Relationship Id="rId31" Type="http://schemas.openxmlformats.org/officeDocument/2006/relationships/table" Target="../tables/table73.xml"/><Relationship Id="rId44" Type="http://schemas.openxmlformats.org/officeDocument/2006/relationships/table" Target="../tables/table86.xml"/><Relationship Id="rId4" Type="http://schemas.openxmlformats.org/officeDocument/2006/relationships/table" Target="../tables/table46.xml"/><Relationship Id="rId9" Type="http://schemas.openxmlformats.org/officeDocument/2006/relationships/table" Target="../tables/table51.xml"/><Relationship Id="rId14" Type="http://schemas.openxmlformats.org/officeDocument/2006/relationships/table" Target="../tables/table56.xml"/><Relationship Id="rId22" Type="http://schemas.openxmlformats.org/officeDocument/2006/relationships/table" Target="../tables/table64.xml"/><Relationship Id="rId27" Type="http://schemas.openxmlformats.org/officeDocument/2006/relationships/table" Target="../tables/table69.xml"/><Relationship Id="rId30" Type="http://schemas.openxmlformats.org/officeDocument/2006/relationships/table" Target="../tables/table72.xml"/><Relationship Id="rId35" Type="http://schemas.openxmlformats.org/officeDocument/2006/relationships/table" Target="../tables/table77.xml"/><Relationship Id="rId43" Type="http://schemas.openxmlformats.org/officeDocument/2006/relationships/table" Target="../tables/table85.xml"/><Relationship Id="rId8" Type="http://schemas.openxmlformats.org/officeDocument/2006/relationships/table" Target="../tables/table50.xml"/><Relationship Id="rId3" Type="http://schemas.openxmlformats.org/officeDocument/2006/relationships/table" Target="../tables/table45.xml"/><Relationship Id="rId12" Type="http://schemas.openxmlformats.org/officeDocument/2006/relationships/table" Target="../tables/table54.xml"/><Relationship Id="rId17" Type="http://schemas.openxmlformats.org/officeDocument/2006/relationships/table" Target="../tables/table59.xml"/><Relationship Id="rId25" Type="http://schemas.openxmlformats.org/officeDocument/2006/relationships/table" Target="../tables/table67.xml"/><Relationship Id="rId33" Type="http://schemas.openxmlformats.org/officeDocument/2006/relationships/table" Target="../tables/table75.xml"/><Relationship Id="rId38" Type="http://schemas.openxmlformats.org/officeDocument/2006/relationships/table" Target="../tables/table80.xml"/><Relationship Id="rId20" Type="http://schemas.openxmlformats.org/officeDocument/2006/relationships/table" Target="../tables/table62.xml"/><Relationship Id="rId41" Type="http://schemas.openxmlformats.org/officeDocument/2006/relationships/table" Target="../tables/table83.xm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table" Target="../tables/table98.xml"/><Relationship Id="rId18" Type="http://schemas.openxmlformats.org/officeDocument/2006/relationships/table" Target="../tables/table103.xml"/><Relationship Id="rId26" Type="http://schemas.openxmlformats.org/officeDocument/2006/relationships/table" Target="../tables/table111.xml"/><Relationship Id="rId39" Type="http://schemas.openxmlformats.org/officeDocument/2006/relationships/table" Target="../tables/table124.xml"/><Relationship Id="rId21" Type="http://schemas.openxmlformats.org/officeDocument/2006/relationships/table" Target="../tables/table106.xml"/><Relationship Id="rId34" Type="http://schemas.openxmlformats.org/officeDocument/2006/relationships/table" Target="../tables/table119.xml"/><Relationship Id="rId42" Type="http://schemas.openxmlformats.org/officeDocument/2006/relationships/table" Target="../tables/table127.xml"/><Relationship Id="rId7" Type="http://schemas.openxmlformats.org/officeDocument/2006/relationships/table" Target="../tables/table92.xml"/><Relationship Id="rId2" Type="http://schemas.openxmlformats.org/officeDocument/2006/relationships/table" Target="../tables/table87.xml"/><Relationship Id="rId16" Type="http://schemas.openxmlformats.org/officeDocument/2006/relationships/table" Target="../tables/table101.xml"/><Relationship Id="rId29" Type="http://schemas.openxmlformats.org/officeDocument/2006/relationships/table" Target="../tables/table114.xml"/><Relationship Id="rId1" Type="http://schemas.openxmlformats.org/officeDocument/2006/relationships/vmlDrawing" Target="../drawings/vmlDrawing3.vml"/><Relationship Id="rId6" Type="http://schemas.openxmlformats.org/officeDocument/2006/relationships/table" Target="../tables/table91.xml"/><Relationship Id="rId11" Type="http://schemas.openxmlformats.org/officeDocument/2006/relationships/table" Target="../tables/table96.xml"/><Relationship Id="rId24" Type="http://schemas.openxmlformats.org/officeDocument/2006/relationships/table" Target="../tables/table109.xml"/><Relationship Id="rId32" Type="http://schemas.openxmlformats.org/officeDocument/2006/relationships/table" Target="../tables/table117.xml"/><Relationship Id="rId37" Type="http://schemas.openxmlformats.org/officeDocument/2006/relationships/table" Target="../tables/table122.xml"/><Relationship Id="rId40" Type="http://schemas.openxmlformats.org/officeDocument/2006/relationships/table" Target="../tables/table125.xml"/><Relationship Id="rId45" Type="http://schemas.openxmlformats.org/officeDocument/2006/relationships/comments" Target="../comments3.xml"/><Relationship Id="rId5" Type="http://schemas.openxmlformats.org/officeDocument/2006/relationships/table" Target="../tables/table90.xml"/><Relationship Id="rId15" Type="http://schemas.openxmlformats.org/officeDocument/2006/relationships/table" Target="../tables/table100.xml"/><Relationship Id="rId23" Type="http://schemas.openxmlformats.org/officeDocument/2006/relationships/table" Target="../tables/table108.xml"/><Relationship Id="rId28" Type="http://schemas.openxmlformats.org/officeDocument/2006/relationships/table" Target="../tables/table113.xml"/><Relationship Id="rId36" Type="http://schemas.openxmlformats.org/officeDocument/2006/relationships/table" Target="../tables/table121.xml"/><Relationship Id="rId10" Type="http://schemas.openxmlformats.org/officeDocument/2006/relationships/table" Target="../tables/table95.xml"/><Relationship Id="rId19" Type="http://schemas.openxmlformats.org/officeDocument/2006/relationships/table" Target="../tables/table104.xml"/><Relationship Id="rId31" Type="http://schemas.openxmlformats.org/officeDocument/2006/relationships/table" Target="../tables/table116.xml"/><Relationship Id="rId44" Type="http://schemas.openxmlformats.org/officeDocument/2006/relationships/table" Target="../tables/table129.xml"/><Relationship Id="rId4" Type="http://schemas.openxmlformats.org/officeDocument/2006/relationships/table" Target="../tables/table89.xml"/><Relationship Id="rId9" Type="http://schemas.openxmlformats.org/officeDocument/2006/relationships/table" Target="../tables/table94.xml"/><Relationship Id="rId14" Type="http://schemas.openxmlformats.org/officeDocument/2006/relationships/table" Target="../tables/table99.xml"/><Relationship Id="rId22" Type="http://schemas.openxmlformats.org/officeDocument/2006/relationships/table" Target="../tables/table107.xml"/><Relationship Id="rId27" Type="http://schemas.openxmlformats.org/officeDocument/2006/relationships/table" Target="../tables/table112.xml"/><Relationship Id="rId30" Type="http://schemas.openxmlformats.org/officeDocument/2006/relationships/table" Target="../tables/table115.xml"/><Relationship Id="rId35" Type="http://schemas.openxmlformats.org/officeDocument/2006/relationships/table" Target="../tables/table120.xml"/><Relationship Id="rId43" Type="http://schemas.openxmlformats.org/officeDocument/2006/relationships/table" Target="../tables/table128.xml"/><Relationship Id="rId8" Type="http://schemas.openxmlformats.org/officeDocument/2006/relationships/table" Target="../tables/table93.xml"/><Relationship Id="rId3" Type="http://schemas.openxmlformats.org/officeDocument/2006/relationships/table" Target="../tables/table88.xml"/><Relationship Id="rId12" Type="http://schemas.openxmlformats.org/officeDocument/2006/relationships/table" Target="../tables/table97.xml"/><Relationship Id="rId17" Type="http://schemas.openxmlformats.org/officeDocument/2006/relationships/table" Target="../tables/table102.xml"/><Relationship Id="rId25" Type="http://schemas.openxmlformats.org/officeDocument/2006/relationships/table" Target="../tables/table110.xml"/><Relationship Id="rId33" Type="http://schemas.openxmlformats.org/officeDocument/2006/relationships/table" Target="../tables/table118.xml"/><Relationship Id="rId38" Type="http://schemas.openxmlformats.org/officeDocument/2006/relationships/table" Target="../tables/table123.xml"/><Relationship Id="rId20" Type="http://schemas.openxmlformats.org/officeDocument/2006/relationships/table" Target="../tables/table105.xml"/><Relationship Id="rId41" Type="http://schemas.openxmlformats.org/officeDocument/2006/relationships/table" Target="../tables/table126.xm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table" Target="../tables/table141.xml"/><Relationship Id="rId18" Type="http://schemas.openxmlformats.org/officeDocument/2006/relationships/table" Target="../tables/table146.xml"/><Relationship Id="rId26" Type="http://schemas.openxmlformats.org/officeDocument/2006/relationships/table" Target="../tables/table154.xml"/><Relationship Id="rId39" Type="http://schemas.openxmlformats.org/officeDocument/2006/relationships/table" Target="../tables/table167.xml"/><Relationship Id="rId21" Type="http://schemas.openxmlformats.org/officeDocument/2006/relationships/table" Target="../tables/table149.xml"/><Relationship Id="rId34" Type="http://schemas.openxmlformats.org/officeDocument/2006/relationships/table" Target="../tables/table162.xml"/><Relationship Id="rId42" Type="http://schemas.openxmlformats.org/officeDocument/2006/relationships/table" Target="../tables/table170.xml"/><Relationship Id="rId7" Type="http://schemas.openxmlformats.org/officeDocument/2006/relationships/table" Target="../tables/table135.xml"/><Relationship Id="rId2" Type="http://schemas.openxmlformats.org/officeDocument/2006/relationships/table" Target="../tables/table130.xml"/><Relationship Id="rId16" Type="http://schemas.openxmlformats.org/officeDocument/2006/relationships/table" Target="../tables/table144.xml"/><Relationship Id="rId29" Type="http://schemas.openxmlformats.org/officeDocument/2006/relationships/table" Target="../tables/table157.xml"/><Relationship Id="rId1" Type="http://schemas.openxmlformats.org/officeDocument/2006/relationships/vmlDrawing" Target="../drawings/vmlDrawing4.vml"/><Relationship Id="rId6" Type="http://schemas.openxmlformats.org/officeDocument/2006/relationships/table" Target="../tables/table134.xml"/><Relationship Id="rId11" Type="http://schemas.openxmlformats.org/officeDocument/2006/relationships/table" Target="../tables/table139.xml"/><Relationship Id="rId24" Type="http://schemas.openxmlformats.org/officeDocument/2006/relationships/table" Target="../tables/table152.xml"/><Relationship Id="rId32" Type="http://schemas.openxmlformats.org/officeDocument/2006/relationships/table" Target="../tables/table160.xml"/><Relationship Id="rId37" Type="http://schemas.openxmlformats.org/officeDocument/2006/relationships/table" Target="../tables/table165.xml"/><Relationship Id="rId40" Type="http://schemas.openxmlformats.org/officeDocument/2006/relationships/table" Target="../tables/table168.xml"/><Relationship Id="rId45" Type="http://schemas.openxmlformats.org/officeDocument/2006/relationships/comments" Target="../comments4.xml"/><Relationship Id="rId5" Type="http://schemas.openxmlformats.org/officeDocument/2006/relationships/table" Target="../tables/table133.xml"/><Relationship Id="rId15" Type="http://schemas.openxmlformats.org/officeDocument/2006/relationships/table" Target="../tables/table143.xml"/><Relationship Id="rId23" Type="http://schemas.openxmlformats.org/officeDocument/2006/relationships/table" Target="../tables/table151.xml"/><Relationship Id="rId28" Type="http://schemas.openxmlformats.org/officeDocument/2006/relationships/table" Target="../tables/table156.xml"/><Relationship Id="rId36" Type="http://schemas.openxmlformats.org/officeDocument/2006/relationships/table" Target="../tables/table164.xml"/><Relationship Id="rId10" Type="http://schemas.openxmlformats.org/officeDocument/2006/relationships/table" Target="../tables/table138.xml"/><Relationship Id="rId19" Type="http://schemas.openxmlformats.org/officeDocument/2006/relationships/table" Target="../tables/table147.xml"/><Relationship Id="rId31" Type="http://schemas.openxmlformats.org/officeDocument/2006/relationships/table" Target="../tables/table159.xml"/><Relationship Id="rId44" Type="http://schemas.openxmlformats.org/officeDocument/2006/relationships/table" Target="../tables/table172.xml"/><Relationship Id="rId4" Type="http://schemas.openxmlformats.org/officeDocument/2006/relationships/table" Target="../tables/table132.xml"/><Relationship Id="rId9" Type="http://schemas.openxmlformats.org/officeDocument/2006/relationships/table" Target="../tables/table137.xml"/><Relationship Id="rId14" Type="http://schemas.openxmlformats.org/officeDocument/2006/relationships/table" Target="../tables/table142.xml"/><Relationship Id="rId22" Type="http://schemas.openxmlformats.org/officeDocument/2006/relationships/table" Target="../tables/table150.xml"/><Relationship Id="rId27" Type="http://schemas.openxmlformats.org/officeDocument/2006/relationships/table" Target="../tables/table155.xml"/><Relationship Id="rId30" Type="http://schemas.openxmlformats.org/officeDocument/2006/relationships/table" Target="../tables/table158.xml"/><Relationship Id="rId35" Type="http://schemas.openxmlformats.org/officeDocument/2006/relationships/table" Target="../tables/table163.xml"/><Relationship Id="rId43" Type="http://schemas.openxmlformats.org/officeDocument/2006/relationships/table" Target="../tables/table171.xml"/><Relationship Id="rId8" Type="http://schemas.openxmlformats.org/officeDocument/2006/relationships/table" Target="../tables/table136.xml"/><Relationship Id="rId3" Type="http://schemas.openxmlformats.org/officeDocument/2006/relationships/table" Target="../tables/table131.xml"/><Relationship Id="rId12" Type="http://schemas.openxmlformats.org/officeDocument/2006/relationships/table" Target="../tables/table140.xml"/><Relationship Id="rId17" Type="http://schemas.openxmlformats.org/officeDocument/2006/relationships/table" Target="../tables/table145.xml"/><Relationship Id="rId25" Type="http://schemas.openxmlformats.org/officeDocument/2006/relationships/table" Target="../tables/table153.xml"/><Relationship Id="rId33" Type="http://schemas.openxmlformats.org/officeDocument/2006/relationships/table" Target="../tables/table161.xml"/><Relationship Id="rId38" Type="http://schemas.openxmlformats.org/officeDocument/2006/relationships/table" Target="../tables/table166.xml"/><Relationship Id="rId20" Type="http://schemas.openxmlformats.org/officeDocument/2006/relationships/table" Target="../tables/table148.xml"/><Relationship Id="rId41" Type="http://schemas.openxmlformats.org/officeDocument/2006/relationships/table" Target="../tables/table169.xm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table" Target="../tables/table184.xml"/><Relationship Id="rId18" Type="http://schemas.openxmlformats.org/officeDocument/2006/relationships/table" Target="../tables/table189.xml"/><Relationship Id="rId26" Type="http://schemas.openxmlformats.org/officeDocument/2006/relationships/table" Target="../tables/table197.xml"/><Relationship Id="rId39" Type="http://schemas.openxmlformats.org/officeDocument/2006/relationships/table" Target="../tables/table210.xml"/><Relationship Id="rId21" Type="http://schemas.openxmlformats.org/officeDocument/2006/relationships/table" Target="../tables/table192.xml"/><Relationship Id="rId34" Type="http://schemas.openxmlformats.org/officeDocument/2006/relationships/table" Target="../tables/table205.xml"/><Relationship Id="rId42" Type="http://schemas.openxmlformats.org/officeDocument/2006/relationships/table" Target="../tables/table213.xml"/><Relationship Id="rId7" Type="http://schemas.openxmlformats.org/officeDocument/2006/relationships/table" Target="../tables/table178.xml"/><Relationship Id="rId2" Type="http://schemas.openxmlformats.org/officeDocument/2006/relationships/table" Target="../tables/table173.xml"/><Relationship Id="rId16" Type="http://schemas.openxmlformats.org/officeDocument/2006/relationships/table" Target="../tables/table187.xml"/><Relationship Id="rId29" Type="http://schemas.openxmlformats.org/officeDocument/2006/relationships/table" Target="../tables/table200.xml"/><Relationship Id="rId1" Type="http://schemas.openxmlformats.org/officeDocument/2006/relationships/vmlDrawing" Target="../drawings/vmlDrawing5.vml"/><Relationship Id="rId6" Type="http://schemas.openxmlformats.org/officeDocument/2006/relationships/table" Target="../tables/table177.xml"/><Relationship Id="rId11" Type="http://schemas.openxmlformats.org/officeDocument/2006/relationships/table" Target="../tables/table182.xml"/><Relationship Id="rId24" Type="http://schemas.openxmlformats.org/officeDocument/2006/relationships/table" Target="../tables/table195.xml"/><Relationship Id="rId32" Type="http://schemas.openxmlformats.org/officeDocument/2006/relationships/table" Target="../tables/table203.xml"/><Relationship Id="rId37" Type="http://schemas.openxmlformats.org/officeDocument/2006/relationships/table" Target="../tables/table208.xml"/><Relationship Id="rId40" Type="http://schemas.openxmlformats.org/officeDocument/2006/relationships/table" Target="../tables/table211.xml"/><Relationship Id="rId45" Type="http://schemas.openxmlformats.org/officeDocument/2006/relationships/comments" Target="../comments5.xml"/><Relationship Id="rId5" Type="http://schemas.openxmlformats.org/officeDocument/2006/relationships/table" Target="../tables/table176.xml"/><Relationship Id="rId15" Type="http://schemas.openxmlformats.org/officeDocument/2006/relationships/table" Target="../tables/table186.xml"/><Relationship Id="rId23" Type="http://schemas.openxmlformats.org/officeDocument/2006/relationships/table" Target="../tables/table194.xml"/><Relationship Id="rId28" Type="http://schemas.openxmlformats.org/officeDocument/2006/relationships/table" Target="../tables/table199.xml"/><Relationship Id="rId36" Type="http://schemas.openxmlformats.org/officeDocument/2006/relationships/table" Target="../tables/table207.xml"/><Relationship Id="rId10" Type="http://schemas.openxmlformats.org/officeDocument/2006/relationships/table" Target="../tables/table181.xml"/><Relationship Id="rId19" Type="http://schemas.openxmlformats.org/officeDocument/2006/relationships/table" Target="../tables/table190.xml"/><Relationship Id="rId31" Type="http://schemas.openxmlformats.org/officeDocument/2006/relationships/table" Target="../tables/table202.xml"/><Relationship Id="rId44" Type="http://schemas.openxmlformats.org/officeDocument/2006/relationships/table" Target="../tables/table215.xml"/><Relationship Id="rId4" Type="http://schemas.openxmlformats.org/officeDocument/2006/relationships/table" Target="../tables/table175.xml"/><Relationship Id="rId9" Type="http://schemas.openxmlformats.org/officeDocument/2006/relationships/table" Target="../tables/table180.xml"/><Relationship Id="rId14" Type="http://schemas.openxmlformats.org/officeDocument/2006/relationships/table" Target="../tables/table185.xml"/><Relationship Id="rId22" Type="http://schemas.openxmlformats.org/officeDocument/2006/relationships/table" Target="../tables/table193.xml"/><Relationship Id="rId27" Type="http://schemas.openxmlformats.org/officeDocument/2006/relationships/table" Target="../tables/table198.xml"/><Relationship Id="rId30" Type="http://schemas.openxmlformats.org/officeDocument/2006/relationships/table" Target="../tables/table201.xml"/><Relationship Id="rId35" Type="http://schemas.openxmlformats.org/officeDocument/2006/relationships/table" Target="../tables/table206.xml"/><Relationship Id="rId43" Type="http://schemas.openxmlformats.org/officeDocument/2006/relationships/table" Target="../tables/table214.xml"/><Relationship Id="rId8" Type="http://schemas.openxmlformats.org/officeDocument/2006/relationships/table" Target="../tables/table179.xml"/><Relationship Id="rId3" Type="http://schemas.openxmlformats.org/officeDocument/2006/relationships/table" Target="../tables/table174.xml"/><Relationship Id="rId12" Type="http://schemas.openxmlformats.org/officeDocument/2006/relationships/table" Target="../tables/table183.xml"/><Relationship Id="rId17" Type="http://schemas.openxmlformats.org/officeDocument/2006/relationships/table" Target="../tables/table188.xml"/><Relationship Id="rId25" Type="http://schemas.openxmlformats.org/officeDocument/2006/relationships/table" Target="../tables/table196.xml"/><Relationship Id="rId33" Type="http://schemas.openxmlformats.org/officeDocument/2006/relationships/table" Target="../tables/table204.xml"/><Relationship Id="rId38" Type="http://schemas.openxmlformats.org/officeDocument/2006/relationships/table" Target="../tables/table209.xml"/><Relationship Id="rId20" Type="http://schemas.openxmlformats.org/officeDocument/2006/relationships/table" Target="../tables/table191.xml"/><Relationship Id="rId41" Type="http://schemas.openxmlformats.org/officeDocument/2006/relationships/table" Target="../tables/table212.xm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table" Target="../tables/table227.xml"/><Relationship Id="rId18" Type="http://schemas.openxmlformats.org/officeDocument/2006/relationships/table" Target="../tables/table232.xml"/><Relationship Id="rId26" Type="http://schemas.openxmlformats.org/officeDocument/2006/relationships/table" Target="../tables/table240.xml"/><Relationship Id="rId39" Type="http://schemas.openxmlformats.org/officeDocument/2006/relationships/table" Target="../tables/table253.xml"/><Relationship Id="rId21" Type="http://schemas.openxmlformats.org/officeDocument/2006/relationships/table" Target="../tables/table235.xml"/><Relationship Id="rId34" Type="http://schemas.openxmlformats.org/officeDocument/2006/relationships/table" Target="../tables/table248.xml"/><Relationship Id="rId42" Type="http://schemas.openxmlformats.org/officeDocument/2006/relationships/table" Target="../tables/table256.xml"/><Relationship Id="rId7" Type="http://schemas.openxmlformats.org/officeDocument/2006/relationships/table" Target="../tables/table221.xml"/><Relationship Id="rId2" Type="http://schemas.openxmlformats.org/officeDocument/2006/relationships/table" Target="../tables/table216.xml"/><Relationship Id="rId16" Type="http://schemas.openxmlformats.org/officeDocument/2006/relationships/table" Target="../tables/table230.xml"/><Relationship Id="rId29" Type="http://schemas.openxmlformats.org/officeDocument/2006/relationships/table" Target="../tables/table243.xml"/><Relationship Id="rId1" Type="http://schemas.openxmlformats.org/officeDocument/2006/relationships/vmlDrawing" Target="../drawings/vmlDrawing6.vml"/><Relationship Id="rId6" Type="http://schemas.openxmlformats.org/officeDocument/2006/relationships/table" Target="../tables/table220.xml"/><Relationship Id="rId11" Type="http://schemas.openxmlformats.org/officeDocument/2006/relationships/table" Target="../tables/table225.xml"/><Relationship Id="rId24" Type="http://schemas.openxmlformats.org/officeDocument/2006/relationships/table" Target="../tables/table238.xml"/><Relationship Id="rId32" Type="http://schemas.openxmlformats.org/officeDocument/2006/relationships/table" Target="../tables/table246.xml"/><Relationship Id="rId37" Type="http://schemas.openxmlformats.org/officeDocument/2006/relationships/table" Target="../tables/table251.xml"/><Relationship Id="rId40" Type="http://schemas.openxmlformats.org/officeDocument/2006/relationships/table" Target="../tables/table254.xml"/><Relationship Id="rId45" Type="http://schemas.openxmlformats.org/officeDocument/2006/relationships/comments" Target="../comments6.xml"/><Relationship Id="rId5" Type="http://schemas.openxmlformats.org/officeDocument/2006/relationships/table" Target="../tables/table219.xml"/><Relationship Id="rId15" Type="http://schemas.openxmlformats.org/officeDocument/2006/relationships/table" Target="../tables/table229.xml"/><Relationship Id="rId23" Type="http://schemas.openxmlformats.org/officeDocument/2006/relationships/table" Target="../tables/table237.xml"/><Relationship Id="rId28" Type="http://schemas.openxmlformats.org/officeDocument/2006/relationships/table" Target="../tables/table242.xml"/><Relationship Id="rId36" Type="http://schemas.openxmlformats.org/officeDocument/2006/relationships/table" Target="../tables/table250.xml"/><Relationship Id="rId10" Type="http://schemas.openxmlformats.org/officeDocument/2006/relationships/table" Target="../tables/table224.xml"/><Relationship Id="rId19" Type="http://schemas.openxmlformats.org/officeDocument/2006/relationships/table" Target="../tables/table233.xml"/><Relationship Id="rId31" Type="http://schemas.openxmlformats.org/officeDocument/2006/relationships/table" Target="../tables/table245.xml"/><Relationship Id="rId44" Type="http://schemas.openxmlformats.org/officeDocument/2006/relationships/table" Target="../tables/table258.xml"/><Relationship Id="rId4" Type="http://schemas.openxmlformats.org/officeDocument/2006/relationships/table" Target="../tables/table218.xml"/><Relationship Id="rId9" Type="http://schemas.openxmlformats.org/officeDocument/2006/relationships/table" Target="../tables/table223.xml"/><Relationship Id="rId14" Type="http://schemas.openxmlformats.org/officeDocument/2006/relationships/table" Target="../tables/table228.xml"/><Relationship Id="rId22" Type="http://schemas.openxmlformats.org/officeDocument/2006/relationships/table" Target="../tables/table236.xml"/><Relationship Id="rId27" Type="http://schemas.openxmlformats.org/officeDocument/2006/relationships/table" Target="../tables/table241.xml"/><Relationship Id="rId30" Type="http://schemas.openxmlformats.org/officeDocument/2006/relationships/table" Target="../tables/table244.xml"/><Relationship Id="rId35" Type="http://schemas.openxmlformats.org/officeDocument/2006/relationships/table" Target="../tables/table249.xml"/><Relationship Id="rId43" Type="http://schemas.openxmlformats.org/officeDocument/2006/relationships/table" Target="../tables/table257.xml"/><Relationship Id="rId8" Type="http://schemas.openxmlformats.org/officeDocument/2006/relationships/table" Target="../tables/table222.xml"/><Relationship Id="rId3" Type="http://schemas.openxmlformats.org/officeDocument/2006/relationships/table" Target="../tables/table217.xml"/><Relationship Id="rId12" Type="http://schemas.openxmlformats.org/officeDocument/2006/relationships/table" Target="../tables/table226.xml"/><Relationship Id="rId17" Type="http://schemas.openxmlformats.org/officeDocument/2006/relationships/table" Target="../tables/table231.xml"/><Relationship Id="rId25" Type="http://schemas.openxmlformats.org/officeDocument/2006/relationships/table" Target="../tables/table239.xml"/><Relationship Id="rId33" Type="http://schemas.openxmlformats.org/officeDocument/2006/relationships/table" Target="../tables/table247.xml"/><Relationship Id="rId38" Type="http://schemas.openxmlformats.org/officeDocument/2006/relationships/table" Target="../tables/table252.xml"/><Relationship Id="rId20" Type="http://schemas.openxmlformats.org/officeDocument/2006/relationships/table" Target="../tables/table234.xml"/><Relationship Id="rId41" Type="http://schemas.openxmlformats.org/officeDocument/2006/relationships/table" Target="../tables/table255.xm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table" Target="../tables/table270.xml"/><Relationship Id="rId18" Type="http://schemas.openxmlformats.org/officeDocument/2006/relationships/table" Target="../tables/table275.xml"/><Relationship Id="rId26" Type="http://schemas.openxmlformats.org/officeDocument/2006/relationships/table" Target="../tables/table283.xml"/><Relationship Id="rId39" Type="http://schemas.openxmlformats.org/officeDocument/2006/relationships/table" Target="../tables/table296.xml"/><Relationship Id="rId21" Type="http://schemas.openxmlformats.org/officeDocument/2006/relationships/table" Target="../tables/table278.xml"/><Relationship Id="rId34" Type="http://schemas.openxmlformats.org/officeDocument/2006/relationships/table" Target="../tables/table291.xml"/><Relationship Id="rId42" Type="http://schemas.openxmlformats.org/officeDocument/2006/relationships/table" Target="../tables/table299.xml"/><Relationship Id="rId7" Type="http://schemas.openxmlformats.org/officeDocument/2006/relationships/table" Target="../tables/table264.xml"/><Relationship Id="rId2" Type="http://schemas.openxmlformats.org/officeDocument/2006/relationships/table" Target="../tables/table259.xml"/><Relationship Id="rId16" Type="http://schemas.openxmlformats.org/officeDocument/2006/relationships/table" Target="../tables/table273.xml"/><Relationship Id="rId29" Type="http://schemas.openxmlformats.org/officeDocument/2006/relationships/table" Target="../tables/table286.xml"/><Relationship Id="rId1" Type="http://schemas.openxmlformats.org/officeDocument/2006/relationships/vmlDrawing" Target="../drawings/vmlDrawing7.vml"/><Relationship Id="rId6" Type="http://schemas.openxmlformats.org/officeDocument/2006/relationships/table" Target="../tables/table263.xml"/><Relationship Id="rId11" Type="http://schemas.openxmlformats.org/officeDocument/2006/relationships/table" Target="../tables/table268.xml"/><Relationship Id="rId24" Type="http://schemas.openxmlformats.org/officeDocument/2006/relationships/table" Target="../tables/table281.xml"/><Relationship Id="rId32" Type="http://schemas.openxmlformats.org/officeDocument/2006/relationships/table" Target="../tables/table289.xml"/><Relationship Id="rId37" Type="http://schemas.openxmlformats.org/officeDocument/2006/relationships/table" Target="../tables/table294.xml"/><Relationship Id="rId40" Type="http://schemas.openxmlformats.org/officeDocument/2006/relationships/table" Target="../tables/table297.xml"/><Relationship Id="rId45" Type="http://schemas.openxmlformats.org/officeDocument/2006/relationships/comments" Target="../comments7.xml"/><Relationship Id="rId5" Type="http://schemas.openxmlformats.org/officeDocument/2006/relationships/table" Target="../tables/table262.xml"/><Relationship Id="rId15" Type="http://schemas.openxmlformats.org/officeDocument/2006/relationships/table" Target="../tables/table272.xml"/><Relationship Id="rId23" Type="http://schemas.openxmlformats.org/officeDocument/2006/relationships/table" Target="../tables/table280.xml"/><Relationship Id="rId28" Type="http://schemas.openxmlformats.org/officeDocument/2006/relationships/table" Target="../tables/table285.xml"/><Relationship Id="rId36" Type="http://schemas.openxmlformats.org/officeDocument/2006/relationships/table" Target="../tables/table293.xml"/><Relationship Id="rId10" Type="http://schemas.openxmlformats.org/officeDocument/2006/relationships/table" Target="../tables/table267.xml"/><Relationship Id="rId19" Type="http://schemas.openxmlformats.org/officeDocument/2006/relationships/table" Target="../tables/table276.xml"/><Relationship Id="rId31" Type="http://schemas.openxmlformats.org/officeDocument/2006/relationships/table" Target="../tables/table288.xml"/><Relationship Id="rId44" Type="http://schemas.openxmlformats.org/officeDocument/2006/relationships/table" Target="../tables/table301.xml"/><Relationship Id="rId4" Type="http://schemas.openxmlformats.org/officeDocument/2006/relationships/table" Target="../tables/table261.xml"/><Relationship Id="rId9" Type="http://schemas.openxmlformats.org/officeDocument/2006/relationships/table" Target="../tables/table266.xml"/><Relationship Id="rId14" Type="http://schemas.openxmlformats.org/officeDocument/2006/relationships/table" Target="../tables/table271.xml"/><Relationship Id="rId22" Type="http://schemas.openxmlformats.org/officeDocument/2006/relationships/table" Target="../tables/table279.xml"/><Relationship Id="rId27" Type="http://schemas.openxmlformats.org/officeDocument/2006/relationships/table" Target="../tables/table284.xml"/><Relationship Id="rId30" Type="http://schemas.openxmlformats.org/officeDocument/2006/relationships/table" Target="../tables/table287.xml"/><Relationship Id="rId35" Type="http://schemas.openxmlformats.org/officeDocument/2006/relationships/table" Target="../tables/table292.xml"/><Relationship Id="rId43" Type="http://schemas.openxmlformats.org/officeDocument/2006/relationships/table" Target="../tables/table300.xml"/><Relationship Id="rId8" Type="http://schemas.openxmlformats.org/officeDocument/2006/relationships/table" Target="../tables/table265.xml"/><Relationship Id="rId3" Type="http://schemas.openxmlformats.org/officeDocument/2006/relationships/table" Target="../tables/table260.xml"/><Relationship Id="rId12" Type="http://schemas.openxmlformats.org/officeDocument/2006/relationships/table" Target="../tables/table269.xml"/><Relationship Id="rId17" Type="http://schemas.openxmlformats.org/officeDocument/2006/relationships/table" Target="../tables/table274.xml"/><Relationship Id="rId25" Type="http://schemas.openxmlformats.org/officeDocument/2006/relationships/table" Target="../tables/table282.xml"/><Relationship Id="rId33" Type="http://schemas.openxmlformats.org/officeDocument/2006/relationships/table" Target="../tables/table290.xml"/><Relationship Id="rId38" Type="http://schemas.openxmlformats.org/officeDocument/2006/relationships/table" Target="../tables/table295.xml"/><Relationship Id="rId20" Type="http://schemas.openxmlformats.org/officeDocument/2006/relationships/table" Target="../tables/table277.xml"/><Relationship Id="rId41" Type="http://schemas.openxmlformats.org/officeDocument/2006/relationships/table" Target="../tables/table298.xml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table" Target="../tables/table313.xml"/><Relationship Id="rId18" Type="http://schemas.openxmlformats.org/officeDocument/2006/relationships/table" Target="../tables/table318.xml"/><Relationship Id="rId26" Type="http://schemas.openxmlformats.org/officeDocument/2006/relationships/table" Target="../tables/table326.xml"/><Relationship Id="rId39" Type="http://schemas.openxmlformats.org/officeDocument/2006/relationships/table" Target="../tables/table339.xml"/><Relationship Id="rId21" Type="http://schemas.openxmlformats.org/officeDocument/2006/relationships/table" Target="../tables/table321.xml"/><Relationship Id="rId34" Type="http://schemas.openxmlformats.org/officeDocument/2006/relationships/table" Target="../tables/table334.xml"/><Relationship Id="rId42" Type="http://schemas.openxmlformats.org/officeDocument/2006/relationships/table" Target="../tables/table342.xml"/><Relationship Id="rId7" Type="http://schemas.openxmlformats.org/officeDocument/2006/relationships/table" Target="../tables/table307.xml"/><Relationship Id="rId2" Type="http://schemas.openxmlformats.org/officeDocument/2006/relationships/table" Target="../tables/table302.xml"/><Relationship Id="rId16" Type="http://schemas.openxmlformats.org/officeDocument/2006/relationships/table" Target="../tables/table316.xml"/><Relationship Id="rId29" Type="http://schemas.openxmlformats.org/officeDocument/2006/relationships/table" Target="../tables/table329.xml"/><Relationship Id="rId1" Type="http://schemas.openxmlformats.org/officeDocument/2006/relationships/vmlDrawing" Target="../drawings/vmlDrawing8.vml"/><Relationship Id="rId6" Type="http://schemas.openxmlformats.org/officeDocument/2006/relationships/table" Target="../tables/table306.xml"/><Relationship Id="rId11" Type="http://schemas.openxmlformats.org/officeDocument/2006/relationships/table" Target="../tables/table311.xml"/><Relationship Id="rId24" Type="http://schemas.openxmlformats.org/officeDocument/2006/relationships/table" Target="../tables/table324.xml"/><Relationship Id="rId32" Type="http://schemas.openxmlformats.org/officeDocument/2006/relationships/table" Target="../tables/table332.xml"/><Relationship Id="rId37" Type="http://schemas.openxmlformats.org/officeDocument/2006/relationships/table" Target="../tables/table337.xml"/><Relationship Id="rId40" Type="http://schemas.openxmlformats.org/officeDocument/2006/relationships/table" Target="../tables/table340.xml"/><Relationship Id="rId45" Type="http://schemas.openxmlformats.org/officeDocument/2006/relationships/comments" Target="../comments8.xml"/><Relationship Id="rId5" Type="http://schemas.openxmlformats.org/officeDocument/2006/relationships/table" Target="../tables/table305.xml"/><Relationship Id="rId15" Type="http://schemas.openxmlformats.org/officeDocument/2006/relationships/table" Target="../tables/table315.xml"/><Relationship Id="rId23" Type="http://schemas.openxmlformats.org/officeDocument/2006/relationships/table" Target="../tables/table323.xml"/><Relationship Id="rId28" Type="http://schemas.openxmlformats.org/officeDocument/2006/relationships/table" Target="../tables/table328.xml"/><Relationship Id="rId36" Type="http://schemas.openxmlformats.org/officeDocument/2006/relationships/table" Target="../tables/table336.xml"/><Relationship Id="rId10" Type="http://schemas.openxmlformats.org/officeDocument/2006/relationships/table" Target="../tables/table310.xml"/><Relationship Id="rId19" Type="http://schemas.openxmlformats.org/officeDocument/2006/relationships/table" Target="../tables/table319.xml"/><Relationship Id="rId31" Type="http://schemas.openxmlformats.org/officeDocument/2006/relationships/table" Target="../tables/table331.xml"/><Relationship Id="rId44" Type="http://schemas.openxmlformats.org/officeDocument/2006/relationships/table" Target="../tables/table344.xml"/><Relationship Id="rId4" Type="http://schemas.openxmlformats.org/officeDocument/2006/relationships/table" Target="../tables/table304.xml"/><Relationship Id="rId9" Type="http://schemas.openxmlformats.org/officeDocument/2006/relationships/table" Target="../tables/table309.xml"/><Relationship Id="rId14" Type="http://schemas.openxmlformats.org/officeDocument/2006/relationships/table" Target="../tables/table314.xml"/><Relationship Id="rId22" Type="http://schemas.openxmlformats.org/officeDocument/2006/relationships/table" Target="../tables/table322.xml"/><Relationship Id="rId27" Type="http://schemas.openxmlformats.org/officeDocument/2006/relationships/table" Target="../tables/table327.xml"/><Relationship Id="rId30" Type="http://schemas.openxmlformats.org/officeDocument/2006/relationships/table" Target="../tables/table330.xml"/><Relationship Id="rId35" Type="http://schemas.openxmlformats.org/officeDocument/2006/relationships/table" Target="../tables/table335.xml"/><Relationship Id="rId43" Type="http://schemas.openxmlformats.org/officeDocument/2006/relationships/table" Target="../tables/table343.xml"/><Relationship Id="rId8" Type="http://schemas.openxmlformats.org/officeDocument/2006/relationships/table" Target="../tables/table308.xml"/><Relationship Id="rId3" Type="http://schemas.openxmlformats.org/officeDocument/2006/relationships/table" Target="../tables/table303.xml"/><Relationship Id="rId12" Type="http://schemas.openxmlformats.org/officeDocument/2006/relationships/table" Target="../tables/table312.xml"/><Relationship Id="rId17" Type="http://schemas.openxmlformats.org/officeDocument/2006/relationships/table" Target="../tables/table317.xml"/><Relationship Id="rId25" Type="http://schemas.openxmlformats.org/officeDocument/2006/relationships/table" Target="../tables/table325.xml"/><Relationship Id="rId33" Type="http://schemas.openxmlformats.org/officeDocument/2006/relationships/table" Target="../tables/table333.xml"/><Relationship Id="rId38" Type="http://schemas.openxmlformats.org/officeDocument/2006/relationships/table" Target="../tables/table338.xml"/><Relationship Id="rId20" Type="http://schemas.openxmlformats.org/officeDocument/2006/relationships/table" Target="../tables/table320.xml"/><Relationship Id="rId41" Type="http://schemas.openxmlformats.org/officeDocument/2006/relationships/table" Target="../tables/table341.xml"/></Relationships>
</file>

<file path=xl/worksheets/_rels/sheet9.xml.rels><?xml version="1.0" encoding="UTF-8" standalone="yes"?>
<Relationships xmlns="http://schemas.openxmlformats.org/package/2006/relationships"><Relationship Id="rId13" Type="http://schemas.openxmlformats.org/officeDocument/2006/relationships/table" Target="../tables/table356.xml"/><Relationship Id="rId18" Type="http://schemas.openxmlformats.org/officeDocument/2006/relationships/table" Target="../tables/table361.xml"/><Relationship Id="rId26" Type="http://schemas.openxmlformats.org/officeDocument/2006/relationships/table" Target="../tables/table369.xml"/><Relationship Id="rId39" Type="http://schemas.openxmlformats.org/officeDocument/2006/relationships/table" Target="../tables/table382.xml"/><Relationship Id="rId21" Type="http://schemas.openxmlformats.org/officeDocument/2006/relationships/table" Target="../tables/table364.xml"/><Relationship Id="rId34" Type="http://schemas.openxmlformats.org/officeDocument/2006/relationships/table" Target="../tables/table377.xml"/><Relationship Id="rId42" Type="http://schemas.openxmlformats.org/officeDocument/2006/relationships/table" Target="../tables/table385.xml"/><Relationship Id="rId7" Type="http://schemas.openxmlformats.org/officeDocument/2006/relationships/table" Target="../tables/table350.xml"/><Relationship Id="rId2" Type="http://schemas.openxmlformats.org/officeDocument/2006/relationships/table" Target="../tables/table345.xml"/><Relationship Id="rId16" Type="http://schemas.openxmlformats.org/officeDocument/2006/relationships/table" Target="../tables/table359.xml"/><Relationship Id="rId29" Type="http://schemas.openxmlformats.org/officeDocument/2006/relationships/table" Target="../tables/table372.xml"/><Relationship Id="rId1" Type="http://schemas.openxmlformats.org/officeDocument/2006/relationships/vmlDrawing" Target="../drawings/vmlDrawing9.vml"/><Relationship Id="rId6" Type="http://schemas.openxmlformats.org/officeDocument/2006/relationships/table" Target="../tables/table349.xml"/><Relationship Id="rId11" Type="http://schemas.openxmlformats.org/officeDocument/2006/relationships/table" Target="../tables/table354.xml"/><Relationship Id="rId24" Type="http://schemas.openxmlformats.org/officeDocument/2006/relationships/table" Target="../tables/table367.xml"/><Relationship Id="rId32" Type="http://schemas.openxmlformats.org/officeDocument/2006/relationships/table" Target="../tables/table375.xml"/><Relationship Id="rId37" Type="http://schemas.openxmlformats.org/officeDocument/2006/relationships/table" Target="../tables/table380.xml"/><Relationship Id="rId40" Type="http://schemas.openxmlformats.org/officeDocument/2006/relationships/table" Target="../tables/table383.xml"/><Relationship Id="rId45" Type="http://schemas.openxmlformats.org/officeDocument/2006/relationships/table" Target="../tables/table388.xml"/><Relationship Id="rId5" Type="http://schemas.openxmlformats.org/officeDocument/2006/relationships/table" Target="../tables/table348.xml"/><Relationship Id="rId15" Type="http://schemas.openxmlformats.org/officeDocument/2006/relationships/table" Target="../tables/table358.xml"/><Relationship Id="rId23" Type="http://schemas.openxmlformats.org/officeDocument/2006/relationships/table" Target="../tables/table366.xml"/><Relationship Id="rId28" Type="http://schemas.openxmlformats.org/officeDocument/2006/relationships/table" Target="../tables/table371.xml"/><Relationship Id="rId36" Type="http://schemas.openxmlformats.org/officeDocument/2006/relationships/table" Target="../tables/table379.xml"/><Relationship Id="rId10" Type="http://schemas.openxmlformats.org/officeDocument/2006/relationships/table" Target="../tables/table353.xml"/><Relationship Id="rId19" Type="http://schemas.openxmlformats.org/officeDocument/2006/relationships/table" Target="../tables/table362.xml"/><Relationship Id="rId31" Type="http://schemas.openxmlformats.org/officeDocument/2006/relationships/table" Target="../tables/table374.xml"/><Relationship Id="rId44" Type="http://schemas.openxmlformats.org/officeDocument/2006/relationships/table" Target="../tables/table387.xml"/><Relationship Id="rId4" Type="http://schemas.openxmlformats.org/officeDocument/2006/relationships/table" Target="../tables/table347.xml"/><Relationship Id="rId9" Type="http://schemas.openxmlformats.org/officeDocument/2006/relationships/table" Target="../tables/table352.xml"/><Relationship Id="rId14" Type="http://schemas.openxmlformats.org/officeDocument/2006/relationships/table" Target="../tables/table357.xml"/><Relationship Id="rId22" Type="http://schemas.openxmlformats.org/officeDocument/2006/relationships/table" Target="../tables/table365.xml"/><Relationship Id="rId27" Type="http://schemas.openxmlformats.org/officeDocument/2006/relationships/table" Target="../tables/table370.xml"/><Relationship Id="rId30" Type="http://schemas.openxmlformats.org/officeDocument/2006/relationships/table" Target="../tables/table373.xml"/><Relationship Id="rId35" Type="http://schemas.openxmlformats.org/officeDocument/2006/relationships/table" Target="../tables/table378.xml"/><Relationship Id="rId43" Type="http://schemas.openxmlformats.org/officeDocument/2006/relationships/table" Target="../tables/table386.xml"/><Relationship Id="rId8" Type="http://schemas.openxmlformats.org/officeDocument/2006/relationships/table" Target="../tables/table351.xml"/><Relationship Id="rId3" Type="http://schemas.openxmlformats.org/officeDocument/2006/relationships/table" Target="../tables/table346.xml"/><Relationship Id="rId12" Type="http://schemas.openxmlformats.org/officeDocument/2006/relationships/table" Target="../tables/table355.xml"/><Relationship Id="rId17" Type="http://schemas.openxmlformats.org/officeDocument/2006/relationships/table" Target="../tables/table360.xml"/><Relationship Id="rId25" Type="http://schemas.openxmlformats.org/officeDocument/2006/relationships/table" Target="../tables/table368.xml"/><Relationship Id="rId33" Type="http://schemas.openxmlformats.org/officeDocument/2006/relationships/table" Target="../tables/table376.xml"/><Relationship Id="rId38" Type="http://schemas.openxmlformats.org/officeDocument/2006/relationships/table" Target="../tables/table381.xml"/><Relationship Id="rId46" Type="http://schemas.openxmlformats.org/officeDocument/2006/relationships/comments" Target="../comments9.xml"/><Relationship Id="rId20" Type="http://schemas.openxmlformats.org/officeDocument/2006/relationships/table" Target="../tables/table363.xml"/><Relationship Id="rId41" Type="http://schemas.openxmlformats.org/officeDocument/2006/relationships/table" Target="../tables/table384.x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95.xml"/><Relationship Id="rId13" Type="http://schemas.openxmlformats.org/officeDocument/2006/relationships/table" Target="../tables/table400.xml"/><Relationship Id="rId3" Type="http://schemas.openxmlformats.org/officeDocument/2006/relationships/table" Target="../tables/table390.xml"/><Relationship Id="rId7" Type="http://schemas.openxmlformats.org/officeDocument/2006/relationships/table" Target="../tables/table394.xml"/><Relationship Id="rId12" Type="http://schemas.openxmlformats.org/officeDocument/2006/relationships/table" Target="../tables/table399.xml"/><Relationship Id="rId2" Type="http://schemas.openxmlformats.org/officeDocument/2006/relationships/table" Target="../tables/table389.xml"/><Relationship Id="rId1" Type="http://schemas.openxmlformats.org/officeDocument/2006/relationships/vmlDrawing" Target="../drawings/vmlDrawing10.vml"/><Relationship Id="rId6" Type="http://schemas.openxmlformats.org/officeDocument/2006/relationships/table" Target="../tables/table393.xml"/><Relationship Id="rId11" Type="http://schemas.openxmlformats.org/officeDocument/2006/relationships/table" Target="../tables/table398.xml"/><Relationship Id="rId5" Type="http://schemas.openxmlformats.org/officeDocument/2006/relationships/table" Target="../tables/table392.xml"/><Relationship Id="rId10" Type="http://schemas.openxmlformats.org/officeDocument/2006/relationships/table" Target="../tables/table397.xml"/><Relationship Id="rId4" Type="http://schemas.openxmlformats.org/officeDocument/2006/relationships/table" Target="../tables/table391.xml"/><Relationship Id="rId9" Type="http://schemas.openxmlformats.org/officeDocument/2006/relationships/table" Target="../tables/table396.xml"/><Relationship Id="rId14" Type="http://schemas.openxmlformats.org/officeDocument/2006/relationships/comments" Target="../comments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table" Target="../tables/table401.xml"/><Relationship Id="rId1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74FEF-7725-4BE6-B6CA-E3C46E774E74}">
  <dimension ref="B1:BQ618"/>
  <sheetViews>
    <sheetView zoomScale="85" zoomScaleNormal="85" workbookViewId="0">
      <pane xSplit="3" topLeftCell="J1" activePane="topRight" state="frozen"/>
      <selection pane="topRight" activeCell="Q10" sqref="Q10"/>
    </sheetView>
  </sheetViews>
  <sheetFormatPr baseColWidth="10" defaultColWidth="8.88671875" defaultRowHeight="14.4" x14ac:dyDescent="0.3"/>
  <cols>
    <col min="2" max="2" width="10.5546875" customWidth="1"/>
    <col min="3" max="3" width="14.6640625" customWidth="1"/>
    <col min="4" max="4" width="17.33203125" customWidth="1"/>
    <col min="5" max="5" width="25.44140625" customWidth="1"/>
    <col min="6" max="10" width="36.33203125" customWidth="1"/>
    <col min="11" max="11" width="18.88671875" customWidth="1"/>
    <col min="12" max="12" width="13.88671875" customWidth="1"/>
    <col min="13" max="13" width="15.109375" customWidth="1"/>
    <col min="14" max="14" width="22.6640625" customWidth="1"/>
    <col min="15" max="15" width="21.33203125" customWidth="1"/>
    <col min="16" max="16" width="23.109375" customWidth="1"/>
    <col min="17" max="17" width="17.44140625" customWidth="1"/>
    <col min="18" max="18" width="24.109375" customWidth="1"/>
    <col min="19" max="19" width="18.6640625" customWidth="1"/>
    <col min="20" max="20" width="43.6640625" customWidth="1"/>
    <col min="21" max="21" width="15.6640625" customWidth="1"/>
    <col min="22" max="22" width="11.6640625" customWidth="1"/>
    <col min="23" max="23" width="18.6640625" customWidth="1"/>
    <col min="26" max="26" width="11.33203125" customWidth="1"/>
    <col min="28" max="28" width="19.5546875" customWidth="1"/>
    <col min="29" max="29" width="23.44140625" bestFit="1" customWidth="1"/>
    <col min="30" max="30" width="21.33203125" customWidth="1"/>
    <col min="31" max="31" width="22.33203125" customWidth="1"/>
    <col min="32" max="32" width="24" customWidth="1"/>
    <col min="33" max="33" width="24.44140625" customWidth="1"/>
    <col min="34" max="34" width="26.109375" customWidth="1"/>
    <col min="35" max="35" width="23.6640625" customWidth="1"/>
    <col min="36" max="36" width="24" customWidth="1"/>
    <col min="37" max="37" width="21.33203125" customWidth="1"/>
    <col min="38" max="38" width="21.109375" customWidth="1"/>
    <col min="39" max="39" width="19.44140625" bestFit="1" customWidth="1"/>
    <col min="40" max="40" width="22.5546875" customWidth="1"/>
    <col min="41" max="41" width="29.6640625" customWidth="1"/>
    <col min="42" max="42" width="25" customWidth="1"/>
    <col min="43" max="43" width="26.6640625" customWidth="1"/>
    <col min="44" max="44" width="28.33203125" customWidth="1"/>
    <col min="45" max="45" width="27.109375" customWidth="1"/>
    <col min="46" max="48" width="33.6640625" customWidth="1"/>
    <col min="49" max="49" width="22.5546875" customWidth="1"/>
    <col min="50" max="50" width="26.109375" customWidth="1"/>
    <col min="51" max="51" width="25.33203125" customWidth="1"/>
    <col min="52" max="52" width="21.109375" customWidth="1"/>
    <col min="53" max="53" width="19" customWidth="1"/>
    <col min="54" max="54" width="15.5546875" customWidth="1"/>
    <col min="55" max="55" width="18.33203125" customWidth="1"/>
    <col min="56" max="56" width="18.109375" customWidth="1"/>
  </cols>
  <sheetData>
    <row r="1" spans="2:69" ht="21.6" customHeight="1" x14ac:dyDescent="0.3">
      <c r="B1" s="36" t="s">
        <v>200</v>
      </c>
      <c r="C1" s="36" t="s">
        <v>201</v>
      </c>
      <c r="D1" s="36" t="s">
        <v>202</v>
      </c>
      <c r="E1" s="36" t="s">
        <v>203</v>
      </c>
      <c r="F1" s="37" t="s">
        <v>204</v>
      </c>
      <c r="G1" s="37" t="s">
        <v>566</v>
      </c>
      <c r="H1" s="37" t="s">
        <v>571</v>
      </c>
      <c r="I1" s="37" t="s">
        <v>390</v>
      </c>
      <c r="J1" s="37" t="s">
        <v>569</v>
      </c>
      <c r="K1" s="36" t="s">
        <v>205</v>
      </c>
      <c r="L1" s="36" t="s">
        <v>206</v>
      </c>
      <c r="M1" s="36" t="s">
        <v>342</v>
      </c>
      <c r="N1" s="37" t="s">
        <v>207</v>
      </c>
      <c r="O1" s="37" t="s">
        <v>343</v>
      </c>
      <c r="P1" s="37" t="s">
        <v>208</v>
      </c>
      <c r="Q1" s="37" t="s">
        <v>209</v>
      </c>
      <c r="R1" s="37" t="s">
        <v>210</v>
      </c>
      <c r="S1" s="38" t="s">
        <v>211</v>
      </c>
      <c r="T1" s="37" t="s">
        <v>212</v>
      </c>
      <c r="U1" s="39"/>
      <c r="V1" s="40" t="s">
        <v>213</v>
      </c>
      <c r="W1" s="41" t="s">
        <v>201</v>
      </c>
      <c r="Y1" s="42" t="s">
        <v>213</v>
      </c>
      <c r="Z1" s="43" t="s">
        <v>211</v>
      </c>
      <c r="AB1" s="44" t="s">
        <v>213</v>
      </c>
      <c r="AC1" s="45" t="s">
        <v>214</v>
      </c>
      <c r="AE1" s="46"/>
      <c r="AF1" s="1" t="s">
        <v>4</v>
      </c>
      <c r="AG1" s="2" t="s">
        <v>5</v>
      </c>
      <c r="AH1" s="3" t="s">
        <v>6</v>
      </c>
      <c r="AI1" s="2" t="s">
        <v>7</v>
      </c>
      <c r="AJ1" s="3" t="s">
        <v>8</v>
      </c>
      <c r="AK1" s="3" t="s">
        <v>160</v>
      </c>
      <c r="AL1" s="2" t="s">
        <v>9</v>
      </c>
      <c r="AM1" s="4" t="s">
        <v>10</v>
      </c>
      <c r="AN1" t="s">
        <v>11</v>
      </c>
      <c r="AO1" t="s">
        <v>12</v>
      </c>
      <c r="AR1" t="s">
        <v>215</v>
      </c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</row>
    <row r="2" spans="2:69" ht="26.4" customHeight="1" x14ac:dyDescent="0.3">
      <c r="B2" t="s">
        <v>60</v>
      </c>
      <c r="C2" s="11" t="s">
        <v>176</v>
      </c>
      <c r="D2">
        <v>1</v>
      </c>
      <c r="E2" s="11" t="str" cm="1">
        <f t="array" ref="E2">_xlfn.IFS(
    COUNTIF(Herramientas_eléctricas1862106149192278[Herramientas_eléctricas], B2) &gt; 0, Herramientas_eléctricas1862106149192278[[#Headers],[Herramientas_eléctricas]],
    COUNTIF(Herramientas_neumáticas1963107150193279[Herramientas_neumáticas], B2) &gt; 0, Herramientas_neumáticas1963107150193279[[#Headers],[Herramientas_neumáticas]],
    COUNTIF(Herramientas_de_medición2064108151194280[Herramientas_de_medición], B2) &gt; 0, Herramientas_de_medición2064108151194280[[#Headers],[Herramientas_de_medición]],
    COUNTIF(Herrramientas_mecánicas2165109152195281[Herramientas_mecánicas], B2) &gt; 0, Herrramientas_mecánicas2165109152195281[[#Headers],[Herramientas_mecánicas]],
    COUNTIF(AJ2:AJ8, B2) &gt; 0, Herramientas_hidráulicas2266110153196282[[#Headers],[Herramientas_hidráulicas]],
    COUNTIF(EPP_2367111154197283[SPCC], B2) &gt; 0, EPP_2367111154197283[[#Headers],[SPCC]],
   COUNTIF(Herramientas_de_izaje2468112155198284[Herramientas_de_izaje], B2) &gt; 0, Herramientas_de_izaje2468112155198284[[#Headers],[Herramientas_de_izaje]],
COUNTIF(Tabla162670114157200286[Equipos], B2) &gt; 0, Tabla162670114157200286[[#Headers],[Equipos]],
    TRUE, "Sin clasificación"
)</f>
        <v>Herramientas_eléctricas</v>
      </c>
      <c r="F2" s="15"/>
      <c r="G2" s="15" t="s">
        <v>682</v>
      </c>
      <c r="H2" s="15">
        <v>3.5</v>
      </c>
      <c r="I2" s="15">
        <v>3450</v>
      </c>
      <c r="J2" s="15" t="s">
        <v>680</v>
      </c>
      <c r="K2" s="15" t="s">
        <v>677</v>
      </c>
      <c r="L2" s="47" t="s">
        <v>678</v>
      </c>
      <c r="M2" t="s">
        <v>679</v>
      </c>
      <c r="N2" s="47">
        <v>180264</v>
      </c>
      <c r="O2" s="47" t="str">
        <f>_xlfn.LET(
    _xlpm.itemBuscado, B2,
    _xlpm.areaBuscada, C2,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TEXT(COUNTIF($C$2:C2, _xlpm.areaBuscada), "0000"),
    _xlpm.codItem &amp; "-" &amp; _xlpm.codArea &amp; "-" &amp; _xlpm.secuencia
)</f>
        <v>ZE-ES-ELT-0001</v>
      </c>
      <c r="Q2" s="15" t="s">
        <v>681</v>
      </c>
      <c r="S2" s="48"/>
      <c r="V2" s="49">
        <v>1</v>
      </c>
      <c r="W2" s="50" t="s">
        <v>171</v>
      </c>
      <c r="Y2" s="51">
        <v>1</v>
      </c>
      <c r="Z2" s="52" t="s">
        <v>216</v>
      </c>
      <c r="AB2" s="51">
        <v>1</v>
      </c>
      <c r="AC2" s="52" t="s">
        <v>4</v>
      </c>
      <c r="AF2" s="5" t="s">
        <v>13</v>
      </c>
      <c r="AG2" t="s">
        <v>14</v>
      </c>
      <c r="AH2" t="s">
        <v>15</v>
      </c>
      <c r="AI2" t="s">
        <v>16</v>
      </c>
      <c r="AJ2" s="6" t="s">
        <v>17</v>
      </c>
      <c r="AK2" t="s">
        <v>18</v>
      </c>
      <c r="AL2" t="s">
        <v>19</v>
      </c>
      <c r="AM2" s="6" t="s">
        <v>20</v>
      </c>
      <c r="AN2" t="s">
        <v>21</v>
      </c>
      <c r="AO2" s="7" t="s">
        <v>22</v>
      </c>
      <c r="AR2" s="25" t="s">
        <v>217</v>
      </c>
      <c r="AS2" t="s">
        <v>218</v>
      </c>
      <c r="AT2" t="s">
        <v>219</v>
      </c>
      <c r="AU2" s="25" t="s">
        <v>220</v>
      </c>
      <c r="AV2" t="s">
        <v>221</v>
      </c>
      <c r="BB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</row>
    <row r="3" spans="2:69" ht="29.25" customHeight="1" x14ac:dyDescent="0.3">
      <c r="B3" t="s">
        <v>60</v>
      </c>
      <c r="C3" s="11" t="s">
        <v>173</v>
      </c>
      <c r="D3">
        <v>1</v>
      </c>
      <c r="E3" s="11" t="str" cm="1">
        <f t="array" ref="E3">_xlfn.IFS(
    COUNTIF(Herramientas_eléctricas1862106149192278[Herramientas_eléctricas], B3) &gt; 0, Herramientas_eléctricas1862106149192278[[#Headers],[Herramientas_eléctricas]],
    COUNTIF(Herramientas_neumáticas1963107150193279[Herramientas_neumáticas], B3) &gt; 0, Herramientas_neumáticas1963107150193279[[#Headers],[Herramientas_neumáticas]],
    COUNTIF(Herramientas_de_medición2064108151194280[Herramientas_de_medición], B3) &gt; 0, Herramientas_de_medición2064108151194280[[#Headers],[Herramientas_de_medición]],
    COUNTIF(Herrramientas_mecánicas2165109152195281[Herramientas_mecánicas], B3) &gt; 0, Herrramientas_mecánicas2165109152195281[[#Headers],[Herramientas_mecánicas]],
    COUNTIF(AJ3:AJ9, B3) &gt; 0, Herramientas_hidráulicas2266110153196282[[#Headers],[Herramientas_hidráulicas]],
    COUNTIF(EPP_2367111154197283[SPCC], B3) &gt; 0, EPP_2367111154197283[[#Headers],[SPCC]],
   COUNTIF(Herramientas_de_izaje2468112155198284[Herramientas_de_izaje], B3) &gt; 0, Herramientas_de_izaje2468112155198284[[#Headers],[Herramientas_de_izaje]],
COUNTIF(Tabla162670114157200286[Equipos], B3) &gt; 0, Tabla162670114157200286[[#Headers],[Equipos]],
    TRUE, "Sin clasificación"
)</f>
        <v>Herramientas_eléctricas</v>
      </c>
      <c r="F3" s="15"/>
      <c r="G3" s="15">
        <v>220</v>
      </c>
      <c r="H3" s="15">
        <v>2</v>
      </c>
      <c r="I3" s="15">
        <v>2980</v>
      </c>
      <c r="J3" s="15"/>
      <c r="K3" s="15" t="s">
        <v>711</v>
      </c>
      <c r="L3" s="47"/>
      <c r="M3" t="s">
        <v>712</v>
      </c>
      <c r="N3" s="47"/>
      <c r="O3" s="47" t="str">
        <f>_xlfn.LET(
    _xlpm.itemBuscado, B3,
    _xlpm.areaBuscada, C3,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TEXT(COUNTIF($C$2:C3, _xlpm.areaBuscada), "0000"),
    _xlpm.codItem &amp; "-" &amp; _xlpm.codArea &amp; "-" &amp; _xlpm.secuencia
)</f>
        <v>ZE-ES-FL-0001</v>
      </c>
      <c r="Q3" s="15"/>
      <c r="S3" s="48"/>
      <c r="V3" s="49">
        <v>2</v>
      </c>
      <c r="W3" s="50" t="s">
        <v>172</v>
      </c>
      <c r="Y3" s="51">
        <v>2</v>
      </c>
      <c r="Z3" s="52" t="s">
        <v>222</v>
      </c>
      <c r="AB3" s="51">
        <v>2</v>
      </c>
      <c r="AC3" s="53" t="s">
        <v>5</v>
      </c>
      <c r="AF3" s="6" t="s">
        <v>23</v>
      </c>
      <c r="AG3" t="s">
        <v>24</v>
      </c>
      <c r="AH3" t="s">
        <v>25</v>
      </c>
      <c r="AI3" t="s">
        <v>26</v>
      </c>
      <c r="AJ3" s="6" t="s">
        <v>27</v>
      </c>
      <c r="AK3" t="s">
        <v>28</v>
      </c>
      <c r="AL3" t="s">
        <v>29</v>
      </c>
      <c r="AN3" s="8" t="s">
        <v>30</v>
      </c>
      <c r="AO3" s="9" t="s">
        <v>31</v>
      </c>
      <c r="AR3" s="25" t="s">
        <v>223</v>
      </c>
      <c r="AS3" t="s">
        <v>70</v>
      </c>
      <c r="BB3" s="11"/>
      <c r="BC3" s="11"/>
      <c r="BD3" s="11"/>
      <c r="BE3" s="11"/>
      <c r="BF3" s="11"/>
      <c r="BG3" s="11"/>
      <c r="BH3" s="11"/>
      <c r="BI3" s="11"/>
      <c r="BJ3" s="54"/>
      <c r="BK3" s="54"/>
      <c r="BL3" s="11"/>
      <c r="BM3" s="11"/>
      <c r="BN3" s="11"/>
      <c r="BO3" s="11"/>
      <c r="BP3" s="11"/>
      <c r="BQ3" s="11"/>
    </row>
    <row r="4" spans="2:69" ht="33" customHeight="1" x14ac:dyDescent="0.3">
      <c r="B4" t="s">
        <v>60</v>
      </c>
      <c r="C4" s="11" t="s">
        <v>171</v>
      </c>
      <c r="D4">
        <v>1</v>
      </c>
      <c r="E4" s="11" t="str" cm="1">
        <f t="array" ref="E4">_xlfn.IFS(
    COUNTIF(Herramientas_eléctricas1862106149192278[Herramientas_eléctricas], B4) &gt; 0, Herramientas_eléctricas1862106149192278[[#Headers],[Herramientas_eléctricas]],
    COUNTIF(Herramientas_neumáticas1963107150193279[Herramientas_neumáticas], B4) &gt; 0, Herramientas_neumáticas1963107150193279[[#Headers],[Herramientas_neumáticas]],
    COUNTIF(Herramientas_de_medición2064108151194280[Herramientas_de_medición], B4) &gt; 0, Herramientas_de_medición2064108151194280[[#Headers],[Herramientas_de_medición]],
    COUNTIF(Herrramientas_mecánicas2165109152195281[Herramientas_mecánicas], B4) &gt; 0, Herrramientas_mecánicas2165109152195281[[#Headers],[Herramientas_mecánicas]],
    COUNTIF(AJ4:AJ10, B4) &gt; 0, Herramientas_hidráulicas2266110153196282[[#Headers],[Herramientas_hidráulicas]],
    COUNTIF(EPP_2367111154197283[SPCC], B4) &gt; 0, EPP_2367111154197283[[#Headers],[SPCC]],
   COUNTIF(Herramientas_de_izaje2468112155198284[Herramientas_de_izaje], B4) &gt; 0, Herramientas_de_izaje2468112155198284[[#Headers],[Herramientas_de_izaje]],
COUNTIF(Tabla162670114157200286[Equipos], B4) &gt; 0, Tabla162670114157200286[[#Headers],[Equipos]],
    TRUE, "Sin clasificación"
)</f>
        <v>Herramientas_eléctricas</v>
      </c>
      <c r="F4" s="15"/>
      <c r="G4" s="15">
        <v>220</v>
      </c>
      <c r="H4" s="15">
        <v>50</v>
      </c>
      <c r="I4" s="15">
        <v>2950</v>
      </c>
      <c r="J4" s="15" t="s">
        <v>785</v>
      </c>
      <c r="K4" s="15" t="s">
        <v>782</v>
      </c>
      <c r="L4" s="47" t="s">
        <v>784</v>
      </c>
      <c r="M4" t="s">
        <v>783</v>
      </c>
      <c r="N4" s="47"/>
      <c r="O4" s="47" t="str">
        <f>_xlfn.LET(
    _xlpm.itemBuscado, B4,
    _xlpm.areaBuscada, C4,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TEXT(COUNTIF($C$2:C4, _xlpm.areaBuscada), "0000"),
    _xlpm.codItem &amp; "-" &amp; _xlpm.codArea &amp; "-" &amp; _xlpm.secuencia
)</f>
        <v>ZE-ES-CH-0001</v>
      </c>
      <c r="Q4" s="15"/>
      <c r="S4" s="48"/>
      <c r="V4" s="49">
        <v>3</v>
      </c>
      <c r="W4" s="50" t="s">
        <v>173</v>
      </c>
      <c r="Y4" s="55">
        <v>3</v>
      </c>
      <c r="Z4" s="56" t="s">
        <v>224</v>
      </c>
      <c r="AB4" s="51">
        <v>3</v>
      </c>
      <c r="AC4" s="53" t="s">
        <v>6</v>
      </c>
      <c r="AF4" s="10" t="s">
        <v>32</v>
      </c>
      <c r="AG4" t="s">
        <v>33</v>
      </c>
      <c r="AH4" t="s">
        <v>34</v>
      </c>
      <c r="AI4" t="s">
        <v>35</v>
      </c>
      <c r="AJ4" s="5" t="s">
        <v>36</v>
      </c>
      <c r="AK4" s="11" t="s">
        <v>37</v>
      </c>
      <c r="AL4" t="s">
        <v>38</v>
      </c>
      <c r="AN4" s="11" t="s">
        <v>39</v>
      </c>
      <c r="AO4" s="7" t="s">
        <v>40</v>
      </c>
      <c r="AR4" s="25" t="s">
        <v>225</v>
      </c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</row>
    <row r="5" spans="2:69" x14ac:dyDescent="0.3">
      <c r="B5" t="s">
        <v>60</v>
      </c>
      <c r="C5" s="11" t="s">
        <v>179</v>
      </c>
      <c r="D5">
        <v>1</v>
      </c>
      <c r="E5" s="11" t="str" cm="1">
        <f t="array" ref="E5">_xlfn.IFS(
    COUNTIF(Herramientas_eléctricas1862106149192278[Herramientas_eléctricas], B5) &gt; 0, Herramientas_eléctricas1862106149192278[[#Headers],[Herramientas_eléctricas]],
    COUNTIF(Herramientas_neumáticas1963107150193279[Herramientas_neumáticas], B5) &gt; 0, Herramientas_neumáticas1963107150193279[[#Headers],[Herramientas_neumáticas]],
    COUNTIF(Herramientas_de_medición2064108151194280[Herramientas_de_medición], B5) &gt; 0, Herramientas_de_medición2064108151194280[[#Headers],[Herramientas_de_medición]],
    COUNTIF(Herrramientas_mecánicas2165109152195281[Herramientas_mecánicas], B5) &gt; 0, Herrramientas_mecánicas2165109152195281[[#Headers],[Herramientas_mecánicas]],
    COUNTIF(AJ5:AJ11, B5) &gt; 0, Herramientas_hidráulicas2266110153196282[[#Headers],[Herramientas_hidráulicas]],
    COUNTIF(EPP_2367111154197283[SPCC], B5) &gt; 0, EPP_2367111154197283[[#Headers],[SPCC]],
   COUNTIF(Herramientas_de_izaje2468112155198284[Herramientas_de_izaje], B5) &gt; 0, Herramientas_de_izaje2468112155198284[[#Headers],[Herramientas_de_izaje]],
COUNTIF(Tabla162670114157200286[Equipos], B5) &gt; 0, Tabla162670114157200286[[#Headers],[Equipos]],
    TRUE, "Sin clasificación"
)</f>
        <v>Herramientas_eléctricas</v>
      </c>
      <c r="F5" s="15"/>
      <c r="G5" s="15">
        <v>380</v>
      </c>
      <c r="H5" s="15">
        <v>1.8</v>
      </c>
      <c r="I5" s="15">
        <v>2980</v>
      </c>
      <c r="J5" s="15"/>
      <c r="K5" s="15" t="s">
        <v>711</v>
      </c>
      <c r="L5" s="47"/>
      <c r="N5" s="47"/>
      <c r="O5" s="47" t="str">
        <f>_xlfn.LET(
    _xlpm.itemBuscado, B5,
    _xlpm.areaBuscada, C5,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TEXT(COUNTIF($C$2:C5, _xlpm.areaBuscada), "0000"),
    _xlpm.codItem &amp; "-" &amp; _xlpm.codArea &amp; "-" &amp; _xlpm.secuencia
)</f>
        <v>ZE-ES-GE-0001</v>
      </c>
      <c r="Q5" s="15"/>
      <c r="S5" s="48" t="s">
        <v>222</v>
      </c>
      <c r="V5" s="49">
        <v>4</v>
      </c>
      <c r="W5" s="50" t="s">
        <v>174</v>
      </c>
      <c r="AB5" s="51">
        <v>4</v>
      </c>
      <c r="AC5" s="53" t="s">
        <v>7</v>
      </c>
      <c r="AF5" t="s">
        <v>41</v>
      </c>
      <c r="AG5" t="s">
        <v>42</v>
      </c>
      <c r="AH5" t="s">
        <v>43</v>
      </c>
      <c r="AI5" t="s">
        <v>44</v>
      </c>
      <c r="AJ5" s="5" t="s">
        <v>45</v>
      </c>
      <c r="AL5" t="s">
        <v>46</v>
      </c>
      <c r="AN5" s="12" t="s">
        <v>47</v>
      </c>
      <c r="AO5" s="9" t="s">
        <v>48</v>
      </c>
      <c r="AR5" s="25" t="s">
        <v>226</v>
      </c>
      <c r="AS5" t="s">
        <v>80</v>
      </c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</row>
    <row r="6" spans="2:69" ht="30" customHeight="1" x14ac:dyDescent="0.3">
      <c r="B6" t="s">
        <v>60</v>
      </c>
      <c r="C6" s="11" t="s">
        <v>174</v>
      </c>
      <c r="D6">
        <v>1</v>
      </c>
      <c r="E6" s="11" t="str" cm="1">
        <f t="array" ref="E6">_xlfn.IFS(
    COUNTIF(Herramientas_eléctricas1862106149192278[Herramientas_eléctricas], B6) &gt; 0, Herramientas_eléctricas1862106149192278[[#Headers],[Herramientas_eléctricas]],
    COUNTIF(Herramientas_neumáticas1963107150193279[Herramientas_neumáticas], B6) &gt; 0, Herramientas_neumáticas1963107150193279[[#Headers],[Herramientas_neumáticas]],
    COUNTIF(Herramientas_de_medición2064108151194280[Herramientas_de_medición], B6) &gt; 0, Herramientas_de_medición2064108151194280[[#Headers],[Herramientas_de_medición]],
    COUNTIF(Herrramientas_mecánicas2165109152195281[Herramientas_mecánicas], B6) &gt; 0, Herrramientas_mecánicas2165109152195281[[#Headers],[Herramientas_mecánicas]],
    COUNTIF(AJ6:AJ12, B6) &gt; 0, Herramientas_hidráulicas2266110153196282[[#Headers],[Herramientas_hidráulicas]],
    COUNTIF(EPP_2367111154197283[SPCC], B6) &gt; 0, EPP_2367111154197283[[#Headers],[SPCC]],
   COUNTIF(Herramientas_de_izaje2468112155198284[Herramientas_de_izaje], B6) &gt; 0, Herramientas_de_izaje2468112155198284[[#Headers],[Herramientas_de_izaje]],
COUNTIF(Tabla162670114157200286[Equipos], B6) &gt; 0, Tabla162670114157200286[[#Headers],[Equipos]],
    TRUE, "Sin clasificación"
)</f>
        <v>Herramientas_eléctricas</v>
      </c>
      <c r="F6" s="15"/>
      <c r="G6" s="15" t="s">
        <v>605</v>
      </c>
      <c r="H6" s="15">
        <v>2.6</v>
      </c>
      <c r="I6" s="15">
        <v>2850</v>
      </c>
      <c r="J6" s="15" t="s">
        <v>872</v>
      </c>
      <c r="K6" s="15" t="s">
        <v>611</v>
      </c>
      <c r="L6" s="47" t="s">
        <v>871</v>
      </c>
      <c r="N6" s="47"/>
      <c r="O6" s="47" t="str">
        <f>_xlfn.LET(
    _xlpm.itemBuscado, B6,
    _xlpm.areaBuscada, C6,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TEXT(COUNTIF($C$2:C6, _xlpm.areaBuscada), "0000"),
    _xlpm.codItem &amp; "-" &amp; _xlpm.codArea &amp; "-" &amp; _xlpm.secuencia
)</f>
        <v>ZE-ES-FI-0001</v>
      </c>
      <c r="Q6" s="15"/>
      <c r="S6" s="48"/>
      <c r="V6" s="49">
        <v>5</v>
      </c>
      <c r="W6" s="50" t="s">
        <v>175</v>
      </c>
      <c r="AB6" s="51">
        <v>5</v>
      </c>
      <c r="AC6" s="53" t="s">
        <v>8</v>
      </c>
      <c r="AF6" t="s">
        <v>49</v>
      </c>
      <c r="AG6" t="s">
        <v>36</v>
      </c>
      <c r="AH6" t="s">
        <v>50</v>
      </c>
      <c r="AI6" t="s">
        <v>51</v>
      </c>
      <c r="AJ6" s="5" t="s">
        <v>52</v>
      </c>
      <c r="AN6" t="s">
        <v>53</v>
      </c>
      <c r="AO6" s="7" t="s">
        <v>54</v>
      </c>
      <c r="AR6" s="25" t="s">
        <v>227</v>
      </c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</row>
    <row r="7" spans="2:69" ht="30" customHeight="1" x14ac:dyDescent="0.3">
      <c r="B7" t="s">
        <v>60</v>
      </c>
      <c r="C7" s="11" t="s">
        <v>181</v>
      </c>
      <c r="D7">
        <v>1</v>
      </c>
      <c r="E7" s="11" t="str" cm="1">
        <f t="array" ref="E7">_xlfn.IFS(
    COUNTIF(Herramientas_eléctricas1862106149192278[Herramientas_eléctricas], B7) &gt; 0, Herramientas_eléctricas1862106149192278[[#Headers],[Herramientas_eléctricas]],
    COUNTIF(Herramientas_neumáticas1963107150193279[Herramientas_neumáticas], B7) &gt; 0, Herramientas_neumáticas1963107150193279[[#Headers],[Herramientas_neumáticas]],
    COUNTIF(Herramientas_de_medición2064108151194280[Herramientas_de_medición], B7) &gt; 0, Herramientas_de_medición2064108151194280[[#Headers],[Herramientas_de_medición]],
    COUNTIF(Herrramientas_mecánicas2165109152195281[Herramientas_mecánicas], B7) &gt; 0, Herrramientas_mecánicas2165109152195281[[#Headers],[Herramientas_mecánicas]],
    COUNTIF(AJ7:AJ13, B7) &gt; 0, Herramientas_hidráulicas2266110153196282[[#Headers],[Herramientas_hidráulicas]],
    COUNTIF(EPP_2367111154197283[SPCC], B7) &gt; 0, EPP_2367111154197283[[#Headers],[SPCC]],
   COUNTIF(Herramientas_de_izaje2468112155198284[Herramientas_de_izaje], B7) &gt; 0, Herramientas_de_izaje2468112155198284[[#Headers],[Herramientas_de_izaje]],
COUNTIF(Tabla162670114157200286[Equipos], B7) &gt; 0, Tabla162670114157200286[[#Headers],[Equipos]],
    TRUE, "Sin clasificación"
)</f>
        <v>Herramientas_eléctricas</v>
      </c>
      <c r="F7" s="15"/>
      <c r="G7" s="15">
        <v>220</v>
      </c>
      <c r="H7" s="15"/>
      <c r="I7" s="15">
        <v>2950</v>
      </c>
      <c r="J7" s="15"/>
      <c r="K7" s="15" t="s">
        <v>713</v>
      </c>
      <c r="L7" s="47" t="s">
        <v>880</v>
      </c>
      <c r="M7" t="s">
        <v>879</v>
      </c>
      <c r="N7" s="47"/>
      <c r="O7" s="47" t="str">
        <f>_xlfn.LET(
    _xlpm.itemBuscado, B7,
    _xlpm.areaBuscada, C7,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TEXT(COUNTIF($C$2:C7, _xlpm.areaBuscada), "0000"),
    _xlpm.codItem &amp; "-" &amp; _xlpm.codArea &amp; "-" &amp; _xlpm.secuencia
)</f>
        <v>ZE-ES-RH-0001</v>
      </c>
      <c r="Q7" s="15"/>
      <c r="S7" s="48"/>
      <c r="V7" s="49">
        <v>6</v>
      </c>
      <c r="W7" s="50" t="s">
        <v>176</v>
      </c>
      <c r="AB7" s="55">
        <v>6</v>
      </c>
      <c r="AC7" s="56" t="s">
        <v>10</v>
      </c>
      <c r="AF7" t="s">
        <v>55</v>
      </c>
      <c r="AH7" s="11" t="s">
        <v>56</v>
      </c>
      <c r="AI7" s="5" t="s">
        <v>57</v>
      </c>
      <c r="AJ7" t="s">
        <v>58</v>
      </c>
      <c r="AO7" s="13" t="s">
        <v>59</v>
      </c>
      <c r="AR7" s="15" t="s">
        <v>228</v>
      </c>
      <c r="AS7" s="15" t="s">
        <v>229</v>
      </c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</row>
    <row r="8" spans="2:69" ht="33.6" customHeight="1" x14ac:dyDescent="0.3">
      <c r="B8" t="s">
        <v>60</v>
      </c>
      <c r="C8" s="11" t="s">
        <v>178</v>
      </c>
      <c r="D8">
        <v>1</v>
      </c>
      <c r="E8" s="11" t="str" cm="1">
        <f t="array" ref="E8">_xlfn.IFS(
    COUNTIF(Herramientas_eléctricas1862106149192278[Herramientas_eléctricas], B8) &gt; 0, Herramientas_eléctricas1862106149192278[[#Headers],[Herramientas_eléctricas]],
    COUNTIF(Herramientas_neumáticas1963107150193279[Herramientas_neumáticas], B8) &gt; 0, Herramientas_neumáticas1963107150193279[[#Headers],[Herramientas_neumáticas]],
    COUNTIF(Herramientas_de_medición2064108151194280[Herramientas_de_medición], B8) &gt; 0, Herramientas_de_medición2064108151194280[[#Headers],[Herramientas_de_medición]],
    COUNTIF(Herrramientas_mecánicas2165109152195281[Herramientas_mecánicas], B8) &gt; 0, Herrramientas_mecánicas2165109152195281[[#Headers],[Herramientas_mecánicas]],
    COUNTIF(AJ8:AJ14, B8) &gt; 0, Herramientas_hidráulicas2266110153196282[[#Headers],[Herramientas_hidráulicas]],
    COUNTIF(EPP_2367111154197283[SPCC], B8) &gt; 0, EPP_2367111154197283[[#Headers],[SPCC]],
   COUNTIF(Herramientas_de_izaje2468112155198284[Herramientas_de_izaje], B8) &gt; 0, Herramientas_de_izaje2468112155198284[[#Headers],[Herramientas_de_izaje]],
COUNTIF(Tabla162670114157200286[Equipos], B8) &gt; 0, Tabla162670114157200286[[#Headers],[Equipos]],
    TRUE, "Sin clasificación"
)</f>
        <v>Herramientas_eléctricas</v>
      </c>
      <c r="F8" s="15"/>
      <c r="G8" s="15" t="s">
        <v>605</v>
      </c>
      <c r="H8" s="15">
        <v>2.6</v>
      </c>
      <c r="I8" s="15">
        <v>2850</v>
      </c>
      <c r="J8" s="15" t="s">
        <v>930</v>
      </c>
      <c r="K8" s="15" t="s">
        <v>611</v>
      </c>
      <c r="L8" s="47" t="s">
        <v>871</v>
      </c>
      <c r="M8" t="s">
        <v>929</v>
      </c>
      <c r="N8" s="47">
        <v>20111200433</v>
      </c>
      <c r="O8" s="47" t="str">
        <f>_xlfn.LET(
    _xlpm.itemBuscado, B8,
    _xlpm.areaBuscada, C8,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TEXT(COUNTIF($C$2:C8, _xlpm.areaBuscada), "0000"),
    _xlpm.codItem &amp; "-" &amp; _xlpm.codArea &amp; "-" &amp; _xlpm.secuencia
)</f>
        <v>ZE-ES-TG-0001</v>
      </c>
      <c r="Q8" s="15" t="s">
        <v>934</v>
      </c>
      <c r="S8" s="48"/>
      <c r="V8" s="49">
        <v>7</v>
      </c>
      <c r="W8" s="50" t="s">
        <v>177</v>
      </c>
      <c r="AF8" t="s">
        <v>60</v>
      </c>
      <c r="AH8" s="11" t="s">
        <v>61</v>
      </c>
      <c r="AI8" t="s">
        <v>62</v>
      </c>
      <c r="AJ8" t="s">
        <v>35</v>
      </c>
      <c r="AO8" s="14" t="s">
        <v>63</v>
      </c>
      <c r="AR8" s="25" t="s">
        <v>230</v>
      </c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</row>
    <row r="9" spans="2:69" ht="30" customHeight="1" x14ac:dyDescent="0.3">
      <c r="B9" t="s">
        <v>60</v>
      </c>
      <c r="C9" s="11" t="s">
        <v>178</v>
      </c>
      <c r="D9">
        <v>1</v>
      </c>
      <c r="E9" s="11" t="str" cm="1">
        <f t="array" ref="E9">_xlfn.IFS(
    COUNTIF(Herramientas_eléctricas1862106149192278[Herramientas_eléctricas], B9) &gt; 0, Herramientas_eléctricas1862106149192278[[#Headers],[Herramientas_eléctricas]],
    COUNTIF(Herramientas_neumáticas1963107150193279[Herramientas_neumáticas], B9) &gt; 0, Herramientas_neumáticas1963107150193279[[#Headers],[Herramientas_neumáticas]],
    COUNTIF(Herramientas_de_medición2064108151194280[Herramientas_de_medición], B9) &gt; 0, Herramientas_de_medición2064108151194280[[#Headers],[Herramientas_de_medición]],
    COUNTIF(Herrramientas_mecánicas2165109152195281[Herramientas_mecánicas], B9) &gt; 0, Herrramientas_mecánicas2165109152195281[[#Headers],[Herramientas_mecánicas]],
    COUNTIF(AJ9:AJ15, B9) &gt; 0, Herramientas_hidráulicas2266110153196282[[#Headers],[Herramientas_hidráulicas]],
    COUNTIF(EPP_2367111154197283[SPCC], B9) &gt; 0, EPP_2367111154197283[[#Headers],[SPCC]],
   COUNTIF(Herramientas_de_izaje2468112155198284[Herramientas_de_izaje], B9) &gt; 0, Herramientas_de_izaje2468112155198284[[#Headers],[Herramientas_de_izaje]],
COUNTIF(Tabla162670114157200286[Equipos], B9) &gt; 0, Tabla162670114157200286[[#Headers],[Equipos]],
    TRUE, "Sin clasificación"
)</f>
        <v>Herramientas_eléctricas</v>
      </c>
      <c r="F9" s="15"/>
      <c r="G9" s="15" t="s">
        <v>952</v>
      </c>
      <c r="H9" s="15">
        <v>2.6</v>
      </c>
      <c r="I9" s="15">
        <v>3450</v>
      </c>
      <c r="J9" s="15" t="s">
        <v>954</v>
      </c>
      <c r="K9" s="15" t="s">
        <v>611</v>
      </c>
      <c r="L9" s="47" t="s">
        <v>871</v>
      </c>
      <c r="M9" t="s">
        <v>951</v>
      </c>
      <c r="N9" s="47">
        <v>20111200181</v>
      </c>
      <c r="O9" s="47" t="str">
        <f>_xlfn.LET(
    _xlpm.itemBuscado, B9,
    _xlpm.areaBuscada, C9,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TEXT(COUNTIF($C$2:C9, _xlpm.areaBuscada), "0000"),
    _xlpm.codItem &amp; "-" &amp; _xlpm.codArea &amp; "-" &amp; _xlpm.secuencia
)</f>
        <v>ZE-ES-TG-0002</v>
      </c>
      <c r="Q9" s="15" t="s">
        <v>953</v>
      </c>
      <c r="S9" s="48"/>
      <c r="V9" s="49">
        <v>8</v>
      </c>
      <c r="W9" s="57" t="s">
        <v>178</v>
      </c>
      <c r="AB9" s="58" t="s">
        <v>210</v>
      </c>
      <c r="AF9" t="s">
        <v>64</v>
      </c>
      <c r="AH9" s="15" t="s">
        <v>65</v>
      </c>
      <c r="AI9" t="s">
        <v>66</v>
      </c>
      <c r="AJ9" s="16"/>
      <c r="AO9" s="9" t="s">
        <v>67</v>
      </c>
      <c r="AR9" s="25" t="s">
        <v>231</v>
      </c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</row>
    <row r="10" spans="2:69" ht="26.4" customHeight="1" x14ac:dyDescent="0.3">
      <c r="B10" t="s">
        <v>60</v>
      </c>
      <c r="C10" s="11" t="s">
        <v>178</v>
      </c>
      <c r="D10">
        <v>1</v>
      </c>
      <c r="E10" s="11" t="str" cm="1">
        <f t="array" ref="E10">_xlfn.IFS(
    COUNTIF(Herramientas_eléctricas1862106149192278[Herramientas_eléctricas], B10) &gt; 0, Herramientas_eléctricas1862106149192278[[#Headers],[Herramientas_eléctricas]],
    COUNTIF(Herramientas_neumáticas1963107150193279[Herramientas_neumáticas], B10) &gt; 0, Herramientas_neumáticas1963107150193279[[#Headers],[Herramientas_neumáticas]],
    COUNTIF(Herramientas_de_medición2064108151194280[Herramientas_de_medición], B10) &gt; 0, Herramientas_de_medición2064108151194280[[#Headers],[Herramientas_de_medición]],
    COUNTIF(Herrramientas_mecánicas2165109152195281[Herramientas_mecánicas], B10) &gt; 0, Herrramientas_mecánicas2165109152195281[[#Headers],[Herramientas_mecánicas]],
    COUNTIF(AJ10:AJ16, B10) &gt; 0, Herramientas_hidráulicas2266110153196282[[#Headers],[Herramientas_hidráulicas]],
    COUNTIF(EPP_2367111154197283[SPCC], B10) &gt; 0, EPP_2367111154197283[[#Headers],[SPCC]],
   COUNTIF(Herramientas_de_izaje2468112155198284[Herramientas_de_izaje], B10) &gt; 0, Herramientas_de_izaje2468112155198284[[#Headers],[Herramientas_de_izaje]],
COUNTIF(Tabla162670114157200286[Equipos], B10) &gt; 0, Tabla162670114157200286[[#Headers],[Equipos]],
    TRUE, "Sin clasificación"
)</f>
        <v>Herramientas_eléctricas</v>
      </c>
      <c r="F10" s="15"/>
      <c r="G10" s="15" t="s">
        <v>605</v>
      </c>
      <c r="H10" s="15">
        <v>2.6</v>
      </c>
      <c r="I10" s="15">
        <v>3450</v>
      </c>
      <c r="J10" s="15" t="s">
        <v>982</v>
      </c>
      <c r="K10" s="15" t="s">
        <v>611</v>
      </c>
      <c r="L10" s="47" t="s">
        <v>871</v>
      </c>
      <c r="M10" t="s">
        <v>981</v>
      </c>
      <c r="N10" s="47">
        <v>2011120048</v>
      </c>
      <c r="O10" s="47" t="str">
        <f>_xlfn.LET(
    _xlpm.itemBuscado, B10,
    _xlpm.areaBuscada, C10,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TEXT(COUNTIF($C$2:C10, _xlpm.areaBuscada), "0000"),
    _xlpm.codItem &amp; "-" &amp; _xlpm.codArea &amp; "-" &amp; _xlpm.secuencia
)</f>
        <v>ZE-ES-TG-0003</v>
      </c>
      <c r="Q10" s="15" t="s">
        <v>953</v>
      </c>
      <c r="S10" s="48"/>
      <c r="V10" s="49">
        <v>9</v>
      </c>
      <c r="W10" s="57" t="s">
        <v>179</v>
      </c>
      <c r="AB10" s="59" t="s">
        <v>232</v>
      </c>
      <c r="AF10" s="17" t="s">
        <v>68</v>
      </c>
      <c r="AH10" s="15" t="s">
        <v>69</v>
      </c>
      <c r="AI10" t="s">
        <v>70</v>
      </c>
      <c r="AO10" s="18" t="s">
        <v>71</v>
      </c>
      <c r="AR10" s="15" t="s">
        <v>95</v>
      </c>
    </row>
    <row r="11" spans="2:69" ht="33.6" customHeight="1" x14ac:dyDescent="0.3">
      <c r="C11" s="11"/>
      <c r="E11" s="11" t="str" cm="1">
        <f t="array" ref="E11">_xlfn.IFS(
    COUNTIF(Herramientas_eléctricas1862106149192278[Herramientas_eléctricas], B11) &gt; 0, Herramientas_eléctricas1862106149192278[[#Headers],[Herramientas_eléctricas]],
    COUNTIF(Herramientas_neumáticas1963107150193279[Herramientas_neumáticas], B11) &gt; 0, Herramientas_neumáticas1963107150193279[[#Headers],[Herramientas_neumáticas]],
    COUNTIF(Herramientas_de_medición2064108151194280[Herramientas_de_medición], B11) &gt; 0, Herramientas_de_medición2064108151194280[[#Headers],[Herramientas_de_medición]],
    COUNTIF(Herrramientas_mecánicas2165109152195281[Herramientas_mecánicas], B11) &gt; 0, Herrramientas_mecánicas2165109152195281[[#Headers],[Herramientas_mecánicas]],
    COUNTIF(AJ11:AJ17, B11) &gt; 0, Herramientas_hidráulicas2266110153196282[[#Headers],[Herramientas_hidráulicas]],
    COUNTIF(EPP_2367111154197283[SPCC], B11) &gt; 0, EPP_2367111154197283[[#Headers],[SPCC]],
   COUNTIF(Herramientas_de_izaje2468112155198284[Herramientas_de_izaje], B11) &gt; 0, Herramientas_de_izaje2468112155198284[[#Headers],[Herramientas_de_izaje]],
COUNTIF(Tabla162670114157200286[Equipos], B11) &gt; 0, Tabla162670114157200286[[#Headers],[Equipos]],
    TRUE, "Sin clasificación"
)</f>
        <v>Sin clasificación</v>
      </c>
      <c r="F11" s="15"/>
      <c r="G11" s="15"/>
      <c r="H11" s="15"/>
      <c r="I11" s="15"/>
      <c r="J11" s="15"/>
      <c r="K11" s="15"/>
      <c r="L11" s="85"/>
      <c r="N11" s="47"/>
      <c r="O11" s="47" t="str">
        <f>_xlfn.LET(
    _xlpm.itemBuscado, B11,
    _xlpm.areaBuscada, C11,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TEXT(COUNTIF($C$2:C11, _xlpm.areaBuscada), "0000"),
    _xlpm.codItem &amp; "-" &amp; _xlpm.codArea &amp; "-" &amp; _xlpm.secuencia
)</f>
        <v>-SinArea-0000</v>
      </c>
      <c r="Q11" s="15"/>
      <c r="S11" s="48"/>
      <c r="V11" s="60">
        <v>10</v>
      </c>
      <c r="W11" s="61" t="s">
        <v>180</v>
      </c>
      <c r="AB11" s="59" t="s">
        <v>233</v>
      </c>
      <c r="AF11" s="8" t="s">
        <v>72</v>
      </c>
      <c r="AH11" s="15" t="s">
        <v>73</v>
      </c>
      <c r="AI11" t="s">
        <v>74</v>
      </c>
      <c r="AO11" s="18" t="s">
        <v>75</v>
      </c>
      <c r="BC11" s="62"/>
    </row>
    <row r="12" spans="2:69" ht="28.8" x14ac:dyDescent="0.3">
      <c r="C12" s="11"/>
      <c r="E12" s="11" t="str" cm="1">
        <f t="array" ref="E12">_xlfn.IFS(
    COUNTIF(Herramientas_eléctricas1862106149192278[Herramientas_eléctricas], B12) &gt; 0, Herramientas_eléctricas1862106149192278[[#Headers],[Herramientas_eléctricas]],
    COUNTIF(Herramientas_neumáticas1963107150193279[Herramientas_neumáticas], B12) &gt; 0, Herramientas_neumáticas1963107150193279[[#Headers],[Herramientas_neumáticas]],
    COUNTIF(Herramientas_de_medición2064108151194280[Herramientas_de_medición], B12) &gt; 0, Herramientas_de_medición2064108151194280[[#Headers],[Herramientas_de_medición]],
    COUNTIF(Herrramientas_mecánicas2165109152195281[Herramientas_mecánicas], B12) &gt; 0, Herrramientas_mecánicas2165109152195281[[#Headers],[Herramientas_mecánicas]],
    COUNTIF(AJ12:AJ18, B12) &gt; 0, Herramientas_hidráulicas2266110153196282[[#Headers],[Herramientas_hidráulicas]],
    COUNTIF(EPP_2367111154197283[SPCC], B12) &gt; 0, EPP_2367111154197283[[#Headers],[SPCC]],
   COUNTIF(Herramientas_de_izaje2468112155198284[Herramientas_de_izaje], B12) &gt; 0, Herramientas_de_izaje2468112155198284[[#Headers],[Herramientas_de_izaje]],
COUNTIF(Tabla162670114157200286[Equipos], B12) &gt; 0, Tabla162670114157200286[[#Headers],[Equipos]],
    TRUE, "Sin clasificación"
)</f>
        <v>Sin clasificación</v>
      </c>
      <c r="F12" s="15"/>
      <c r="G12" s="15"/>
      <c r="H12" s="15"/>
      <c r="I12" s="15"/>
      <c r="J12" s="15"/>
      <c r="K12" s="15"/>
      <c r="L12" s="47"/>
      <c r="N12" s="47"/>
      <c r="O12" s="47" t="str">
        <f>_xlfn.LET(
    _xlpm.itemBuscado, B12,
    _xlpm.areaBuscada, C12,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TEXT(COUNTIF($C$2:C12, _xlpm.areaBuscada), "0000"),
    _xlpm.codItem &amp; "-" &amp; _xlpm.codArea &amp; "-" &amp; _xlpm.secuencia
)</f>
        <v>-SinArea-0000</v>
      </c>
      <c r="Q12" s="15"/>
      <c r="S12" s="48"/>
      <c r="V12" s="60">
        <v>11</v>
      </c>
      <c r="W12" s="61" t="s">
        <v>181</v>
      </c>
      <c r="AB12" s="33" t="s">
        <v>234</v>
      </c>
      <c r="AF12" t="s">
        <v>19</v>
      </c>
      <c r="AG12" t="s">
        <v>76</v>
      </c>
      <c r="AH12" s="15" t="s">
        <v>77</v>
      </c>
      <c r="AI12" t="s">
        <v>78</v>
      </c>
      <c r="AO12" s="19" t="s">
        <v>79</v>
      </c>
      <c r="AR12" s="11"/>
    </row>
    <row r="13" spans="2:69" x14ac:dyDescent="0.3">
      <c r="C13" s="11"/>
      <c r="E13" s="11" t="str" cm="1">
        <f t="array" ref="E13">_xlfn.IFS(
    COUNTIF(Herramientas_eléctricas1862106149192278[Herramientas_eléctricas], B13) &gt; 0, Herramientas_eléctricas1862106149192278[[#Headers],[Herramientas_eléctricas]],
    COUNTIF(Herramientas_neumáticas1963107150193279[Herramientas_neumáticas], B13) &gt; 0, Herramientas_neumáticas1963107150193279[[#Headers],[Herramientas_neumáticas]],
    COUNTIF(Herramientas_de_medición2064108151194280[Herramientas_de_medición], B13) &gt; 0, Herramientas_de_medición2064108151194280[[#Headers],[Herramientas_de_medición]],
    COUNTIF(Herrramientas_mecánicas2165109152195281[Herramientas_mecánicas], B13) &gt; 0, Herrramientas_mecánicas2165109152195281[[#Headers],[Herramientas_mecánicas]],
    COUNTIF(AJ13:AJ19, B13) &gt; 0, Herramientas_hidráulicas2266110153196282[[#Headers],[Herramientas_hidráulicas]],
    COUNTIF(EPP_2367111154197283[SPCC], B13) &gt; 0, EPP_2367111154197283[[#Headers],[SPCC]],
   COUNTIF(Herramientas_de_izaje2468112155198284[Herramientas_de_izaje], B13) &gt; 0, Herramientas_de_izaje2468112155198284[[#Headers],[Herramientas_de_izaje]],
COUNTIF(Tabla162670114157200286[Equipos], B13) &gt; 0, Tabla162670114157200286[[#Headers],[Equipos]],
    TRUE, "Sin clasificación"
)</f>
        <v>Sin clasificación</v>
      </c>
      <c r="F13" s="15"/>
      <c r="G13" s="15"/>
      <c r="H13" s="15"/>
      <c r="I13" s="15"/>
      <c r="J13" s="15"/>
      <c r="K13" s="15"/>
      <c r="L13" s="47"/>
      <c r="N13" s="47"/>
      <c r="O13" s="47" t="str">
        <f>_xlfn.LET(
    _xlpm.itemBuscado, B13,
    _xlpm.areaBuscada, C13,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TEXT(COUNTIF($C$2:C13, _xlpm.areaBuscada), "0000"),
    _xlpm.codItem &amp; "-" &amp; _xlpm.codArea &amp; "-" &amp; _xlpm.secuencia
)</f>
        <v>-SinArea-0000</v>
      </c>
      <c r="Q13" s="15"/>
      <c r="S13" s="48"/>
      <c r="AF13" t="s">
        <v>80</v>
      </c>
      <c r="AH13" s="15" t="s">
        <v>81</v>
      </c>
      <c r="AI13" t="s">
        <v>82</v>
      </c>
      <c r="AO13" s="20" t="s">
        <v>83</v>
      </c>
      <c r="AR13" s="11"/>
      <c r="AW13" s="11"/>
    </row>
    <row r="14" spans="2:69" x14ac:dyDescent="0.3">
      <c r="C14" s="11"/>
      <c r="E14" s="11" t="str" cm="1">
        <f t="array" ref="E14">_xlfn.IFS(
    COUNTIF(Herramientas_eléctricas1862106149192278[Herramientas_eléctricas], B14) &gt; 0, Herramientas_eléctricas1862106149192278[[#Headers],[Herramientas_eléctricas]],
    COUNTIF(Herramientas_neumáticas1963107150193279[Herramientas_neumáticas], B14) &gt; 0, Herramientas_neumáticas1963107150193279[[#Headers],[Herramientas_neumáticas]],
    COUNTIF(Herramientas_de_medición2064108151194280[Herramientas_de_medición], B14) &gt; 0, Herramientas_de_medición2064108151194280[[#Headers],[Herramientas_de_medición]],
    COUNTIF(Herrramientas_mecánicas2165109152195281[Herramientas_mecánicas], B14) &gt; 0, Herrramientas_mecánicas2165109152195281[[#Headers],[Herramientas_mecánicas]],
    COUNTIF(AJ14:AJ20, B14) &gt; 0, Herramientas_hidráulicas2266110153196282[[#Headers],[Herramientas_hidráulicas]],
    COUNTIF(EPP_2367111154197283[SPCC], B14) &gt; 0, EPP_2367111154197283[[#Headers],[SPCC]],
   COUNTIF(Herramientas_de_izaje2468112155198284[Herramientas_de_izaje], B14) &gt; 0, Herramientas_de_izaje2468112155198284[[#Headers],[Herramientas_de_izaje]],
COUNTIF(Tabla162670114157200286[Equipos], B14) &gt; 0, Tabla162670114157200286[[#Headers],[Equipos]],
    TRUE, "Sin clasificación"
)</f>
        <v>Sin clasificación</v>
      </c>
      <c r="F14" s="15"/>
      <c r="G14" s="15"/>
      <c r="H14" s="15"/>
      <c r="I14" s="15"/>
      <c r="J14" s="15"/>
      <c r="K14" s="15"/>
      <c r="L14" s="47"/>
      <c r="N14" s="47"/>
      <c r="O14" s="47" t="str">
        <f>_xlfn.LET(
    _xlpm.itemBuscado, B14,
    _xlpm.areaBuscada, C14,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TEXT(COUNTIF($C$2:C14, _xlpm.areaBuscada), "0000"),
    _xlpm.codItem &amp; "-" &amp; _xlpm.codArea &amp; "-" &amp; _xlpm.secuencia
)</f>
        <v>-SinArea-0000</v>
      </c>
      <c r="Q14" s="15"/>
      <c r="S14" s="48"/>
      <c r="AF14" t="s">
        <v>84</v>
      </c>
      <c r="AH14" s="15" t="s">
        <v>85</v>
      </c>
      <c r="AI14" t="s">
        <v>86</v>
      </c>
      <c r="AO14" s="18" t="s">
        <v>87</v>
      </c>
    </row>
    <row r="15" spans="2:69" ht="43.95" customHeight="1" x14ac:dyDescent="0.3">
      <c r="C15" s="11"/>
      <c r="E15" s="11" t="str" cm="1">
        <f t="array" ref="E15">_xlfn.IFS(
    COUNTIF(Herramientas_eléctricas1862106149192278[Herramientas_eléctricas], B15) &gt; 0, Herramientas_eléctricas1862106149192278[[#Headers],[Herramientas_eléctricas]],
    COUNTIF(Herramientas_neumáticas1963107150193279[Herramientas_neumáticas], B15) &gt; 0, Herramientas_neumáticas1963107150193279[[#Headers],[Herramientas_neumáticas]],
    COUNTIF(Herramientas_de_medición2064108151194280[Herramientas_de_medición], B15) &gt; 0, Herramientas_de_medición2064108151194280[[#Headers],[Herramientas_de_medición]],
    COUNTIF(Herrramientas_mecánicas2165109152195281[Herramientas_mecánicas], B15) &gt; 0, Herrramientas_mecánicas2165109152195281[[#Headers],[Herramientas_mecánicas]],
    COUNTIF(AJ15:AJ21, B15) &gt; 0, Herramientas_hidráulicas2266110153196282[[#Headers],[Herramientas_hidráulicas]],
    COUNTIF(EPP_2367111154197283[SPCC], B15) &gt; 0, EPP_2367111154197283[[#Headers],[SPCC]],
   COUNTIF(Herramientas_de_izaje2468112155198284[Herramientas_de_izaje], B15) &gt; 0, Herramientas_de_izaje2468112155198284[[#Headers],[Herramientas_de_izaje]],
COUNTIF(Tabla162670114157200286[Equipos], B15) &gt; 0, Tabla162670114157200286[[#Headers],[Equipos]],
    TRUE, "Sin clasificación"
)</f>
        <v>Sin clasificación</v>
      </c>
      <c r="F15" s="15"/>
      <c r="G15" s="15"/>
      <c r="H15" s="15"/>
      <c r="I15" s="15"/>
      <c r="J15" s="15"/>
      <c r="K15" s="15"/>
      <c r="L15" s="47"/>
      <c r="N15" s="47"/>
      <c r="O15" s="47" t="str">
        <f>_xlfn.LET(
    _xlpm.itemBuscado, B15,
    _xlpm.areaBuscada, C15,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TEXT(COUNTIF($C$2:C15, _xlpm.areaBuscada), "0000"),
    _xlpm.codItem &amp; "-" &amp; _xlpm.codArea &amp; "-" &amp; _xlpm.secuencia
)</f>
        <v>-SinArea-0000</v>
      </c>
      <c r="Q15" s="15"/>
      <c r="S15" s="48"/>
      <c r="AF15" t="s">
        <v>88</v>
      </c>
      <c r="AH15" t="s">
        <v>89</v>
      </c>
      <c r="AI15" t="s">
        <v>90</v>
      </c>
      <c r="AO15" s="21" t="s">
        <v>91</v>
      </c>
      <c r="AR15" s="11"/>
    </row>
    <row r="16" spans="2:69" x14ac:dyDescent="0.3">
      <c r="C16" s="11"/>
      <c r="E16" s="11" t="str" cm="1">
        <f t="array" ref="E16">_xlfn.IFS(
    COUNTIF(Herramientas_eléctricas1862106149192278[Herramientas_eléctricas], B16) &gt; 0, Herramientas_eléctricas1862106149192278[[#Headers],[Herramientas_eléctricas]],
    COUNTIF(Herramientas_neumáticas1963107150193279[Herramientas_neumáticas], B16) &gt; 0, Herramientas_neumáticas1963107150193279[[#Headers],[Herramientas_neumáticas]],
    COUNTIF(Herramientas_de_medición2064108151194280[Herramientas_de_medición], B16) &gt; 0, Herramientas_de_medición2064108151194280[[#Headers],[Herramientas_de_medición]],
    COUNTIF(Herrramientas_mecánicas2165109152195281[Herramientas_mecánicas], B16) &gt; 0, Herrramientas_mecánicas2165109152195281[[#Headers],[Herramientas_mecánicas]],
    COUNTIF(AJ16:AJ22, B16) &gt; 0, Herramientas_hidráulicas2266110153196282[[#Headers],[Herramientas_hidráulicas]],
    COUNTIF(EPP_2367111154197283[SPCC], B16) &gt; 0, EPP_2367111154197283[[#Headers],[SPCC]],
   COUNTIF(Herramientas_de_izaje2468112155198284[Herramientas_de_izaje], B16) &gt; 0, Herramientas_de_izaje2468112155198284[[#Headers],[Herramientas_de_izaje]],
COUNTIF(Tabla162670114157200286[Equipos], B16) &gt; 0, Tabla162670114157200286[[#Headers],[Equipos]],
    TRUE, "Sin clasificación"
)</f>
        <v>Sin clasificación</v>
      </c>
      <c r="F16" s="15"/>
      <c r="G16" s="15"/>
      <c r="H16" s="15"/>
      <c r="I16" s="15"/>
      <c r="J16" s="15"/>
      <c r="K16" s="15"/>
      <c r="L16" s="47"/>
      <c r="N16" s="47"/>
      <c r="O16" s="47" t="str">
        <f>_xlfn.LET(
    _xlpm.itemBuscado, B16,
    _xlpm.areaBuscada, C16,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TEXT(COUNTIF($C$2:C16, _xlpm.areaBuscada), "0000"),
    _xlpm.codItem &amp; "-" &amp; _xlpm.codArea &amp; "-" &amp; _xlpm.secuencia
)</f>
        <v>-SinArea-0000</v>
      </c>
      <c r="Q16" s="15"/>
      <c r="S16" s="48"/>
      <c r="AF16" t="s">
        <v>41</v>
      </c>
      <c r="AH16" t="s">
        <v>62</v>
      </c>
      <c r="AI16" s="11" t="s">
        <v>92</v>
      </c>
      <c r="AJ16" s="22"/>
      <c r="AO16" s="23" t="s">
        <v>93</v>
      </c>
    </row>
    <row r="17" spans="3:44" x14ac:dyDescent="0.3">
      <c r="C17" s="11"/>
      <c r="E17" s="11" t="str" cm="1">
        <f t="array" ref="E17">_xlfn.IFS(
    COUNTIF(Herramientas_eléctricas1862106149192278[Herramientas_eléctricas], B17) &gt; 0, Herramientas_eléctricas1862106149192278[[#Headers],[Herramientas_eléctricas]],
    COUNTIF(Herramientas_neumáticas1963107150193279[Herramientas_neumáticas], B17) &gt; 0, Herramientas_neumáticas1963107150193279[[#Headers],[Herramientas_neumáticas]],
    COUNTIF(Herramientas_de_medición2064108151194280[Herramientas_de_medición], B17) &gt; 0, Herramientas_de_medición2064108151194280[[#Headers],[Herramientas_de_medición]],
    COUNTIF(Herrramientas_mecánicas2165109152195281[Herramientas_mecánicas], B17) &gt; 0, Herrramientas_mecánicas2165109152195281[[#Headers],[Herramientas_mecánicas]],
    COUNTIF(AJ17:AJ23, B17) &gt; 0, Herramientas_hidráulicas2266110153196282[[#Headers],[Herramientas_hidráulicas]],
    COUNTIF(EPP_2367111154197283[SPCC], B17) &gt; 0, EPP_2367111154197283[[#Headers],[SPCC]],
   COUNTIF(Herramientas_de_izaje2468112155198284[Herramientas_de_izaje], B17) &gt; 0, Herramientas_de_izaje2468112155198284[[#Headers],[Herramientas_de_izaje]],
COUNTIF(Tabla162670114157200286[Equipos], B17) &gt; 0, Tabla162670114157200286[[#Headers],[Equipos]],
    TRUE, "Sin clasificación"
)</f>
        <v>Sin clasificación</v>
      </c>
      <c r="F17" s="15"/>
      <c r="G17" s="15"/>
      <c r="H17" s="15"/>
      <c r="I17" s="15"/>
      <c r="J17" s="15"/>
      <c r="K17" s="15"/>
      <c r="L17" s="47"/>
      <c r="N17" s="47"/>
      <c r="O17" s="47" t="str">
        <f>_xlfn.LET(
    _xlpm.itemBuscado, B17,
    _xlpm.areaBuscada, C17,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TEXT(COUNTIF($C$2:C17, _xlpm.areaBuscada), "0000"),
    _xlpm.codItem &amp; "-" &amp; _xlpm.codArea &amp; "-" &amp; _xlpm.secuencia
)</f>
        <v>-SinArea-0000</v>
      </c>
      <c r="Q17" s="15"/>
      <c r="S17" s="48"/>
      <c r="AF17" s="24" t="s">
        <v>94</v>
      </c>
      <c r="AI17" s="15" t="s">
        <v>95</v>
      </c>
      <c r="AJ17" s="14"/>
      <c r="AO17" s="25" t="s">
        <v>96</v>
      </c>
      <c r="AR17" s="11"/>
    </row>
    <row r="18" spans="3:44" x14ac:dyDescent="0.3">
      <c r="C18" s="11"/>
      <c r="E18" s="11" t="str" cm="1">
        <f t="array" ref="E18">_xlfn.IFS(
    COUNTIF(Herramientas_eléctricas1862106149192278[Herramientas_eléctricas], B18) &gt; 0, Herramientas_eléctricas1862106149192278[[#Headers],[Herramientas_eléctricas]],
    COUNTIF(Herramientas_neumáticas1963107150193279[Herramientas_neumáticas], B18) &gt; 0, Herramientas_neumáticas1963107150193279[[#Headers],[Herramientas_neumáticas]],
    COUNTIF(Herramientas_de_medición2064108151194280[Herramientas_de_medición], B18) &gt; 0, Herramientas_de_medición2064108151194280[[#Headers],[Herramientas_de_medición]],
    COUNTIF(Herrramientas_mecánicas2165109152195281[Herramientas_mecánicas], B18) &gt; 0, Herrramientas_mecánicas2165109152195281[[#Headers],[Herramientas_mecánicas]],
    COUNTIF(AJ18:AJ24, B18) &gt; 0, Herramientas_hidráulicas2266110153196282[[#Headers],[Herramientas_hidráulicas]],
    COUNTIF(EPP_2367111154197283[SPCC], B18) &gt; 0, EPP_2367111154197283[[#Headers],[SPCC]],
   COUNTIF(Herramientas_de_izaje2468112155198284[Herramientas_de_izaje], B18) &gt; 0, Herramientas_de_izaje2468112155198284[[#Headers],[Herramientas_de_izaje]],
COUNTIF(Tabla162670114157200286[Equipos], B18) &gt; 0, Tabla162670114157200286[[#Headers],[Equipos]],
    TRUE, "Sin clasificación"
)</f>
        <v>Sin clasificación</v>
      </c>
      <c r="F18" s="15"/>
      <c r="G18" s="15"/>
      <c r="H18" s="15"/>
      <c r="I18" s="15"/>
      <c r="J18" s="15"/>
      <c r="K18" s="15"/>
      <c r="L18" s="47"/>
      <c r="N18" s="47"/>
      <c r="O18" s="47" t="str">
        <f>_xlfn.LET(
    _xlpm.itemBuscado, B18,
    _xlpm.areaBuscada, C18,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TEXT(COUNTIF($C$2:C18, _xlpm.areaBuscada), "0000"),
    _xlpm.codItem &amp; "-" &amp; _xlpm.codArea &amp; "-" &amp; _xlpm.secuencia
)</f>
        <v>-SinArea-0000</v>
      </c>
      <c r="Q18" s="15"/>
      <c r="S18" s="48"/>
      <c r="AF18" t="s">
        <v>97</v>
      </c>
      <c r="AI18" t="s">
        <v>98</v>
      </c>
      <c r="AO18" s="25" t="s">
        <v>99</v>
      </c>
    </row>
    <row r="19" spans="3:44" x14ac:dyDescent="0.3">
      <c r="C19" s="11"/>
      <c r="E19" s="11" t="str" cm="1">
        <f t="array" ref="E19">_xlfn.IFS(
    COUNTIF(Herramientas_eléctricas1862106149192278[Herramientas_eléctricas], B19) &gt; 0, Herramientas_eléctricas1862106149192278[[#Headers],[Herramientas_eléctricas]],
    COUNTIF(Herramientas_neumáticas1963107150193279[Herramientas_neumáticas], B19) &gt; 0, Herramientas_neumáticas1963107150193279[[#Headers],[Herramientas_neumáticas]],
    COUNTIF(Herramientas_de_medición2064108151194280[Herramientas_de_medición], B19) &gt; 0, Herramientas_de_medición2064108151194280[[#Headers],[Herramientas_de_medición]],
    COUNTIF(Herrramientas_mecánicas2165109152195281[Herramientas_mecánicas], B19) &gt; 0, Herrramientas_mecánicas2165109152195281[[#Headers],[Herramientas_mecánicas]],
    COUNTIF(AJ19:AJ25, B19) &gt; 0, Herramientas_hidráulicas2266110153196282[[#Headers],[Herramientas_hidráulicas]],
    COUNTIF(EPP_2367111154197283[SPCC], B19) &gt; 0, EPP_2367111154197283[[#Headers],[SPCC]],
   COUNTIF(Herramientas_de_izaje2468112155198284[Herramientas_de_izaje], B19) &gt; 0, Herramientas_de_izaje2468112155198284[[#Headers],[Herramientas_de_izaje]],
COUNTIF(Tabla162670114157200286[Equipos], B19) &gt; 0, Tabla162670114157200286[[#Headers],[Equipos]],
    TRUE, "Sin clasificación"
)</f>
        <v>Sin clasificación</v>
      </c>
      <c r="F19" s="15"/>
      <c r="G19" s="15"/>
      <c r="H19" s="15"/>
      <c r="I19" s="15"/>
      <c r="J19" s="15"/>
      <c r="K19" s="15"/>
      <c r="L19" s="47"/>
      <c r="N19" s="47"/>
      <c r="O19" s="47" t="str">
        <f>_xlfn.LET(
    _xlpm.itemBuscado, B19,
    _xlpm.areaBuscada, C19,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TEXT(COUNTIF($C$2:C19, _xlpm.areaBuscada), "0000"),
    _xlpm.codItem &amp; "-" &amp; _xlpm.codArea &amp; "-" &amp; _xlpm.secuencia
)</f>
        <v>-SinArea-0000</v>
      </c>
      <c r="Q19" s="15"/>
      <c r="S19" s="48"/>
      <c r="AF19" t="s">
        <v>42</v>
      </c>
      <c r="AI19" s="11" t="s">
        <v>41</v>
      </c>
      <c r="AO19" t="s">
        <v>100</v>
      </c>
    </row>
    <row r="20" spans="3:44" x14ac:dyDescent="0.3">
      <c r="C20" s="11"/>
      <c r="E20" s="11" t="str" cm="1">
        <f t="array" ref="E20">_xlfn.IFS(
    COUNTIF(Herramientas_eléctricas1862106149192278[Herramientas_eléctricas], B20) &gt; 0, Herramientas_eléctricas1862106149192278[[#Headers],[Herramientas_eléctricas]],
    COUNTIF(Herramientas_neumáticas1963107150193279[Herramientas_neumáticas], B20) &gt; 0, Herramientas_neumáticas1963107150193279[[#Headers],[Herramientas_neumáticas]],
    COUNTIF(Herramientas_de_medición2064108151194280[Herramientas_de_medición], B20) &gt; 0, Herramientas_de_medición2064108151194280[[#Headers],[Herramientas_de_medición]],
    COUNTIF(Herrramientas_mecánicas2165109152195281[Herramientas_mecánicas], B20) &gt; 0, Herrramientas_mecánicas2165109152195281[[#Headers],[Herramientas_mecánicas]],
    COUNTIF(AJ20:AJ26, B20) &gt; 0, Herramientas_hidráulicas2266110153196282[[#Headers],[Herramientas_hidráulicas]],
    COUNTIF(EPP_2367111154197283[SPCC], B20) &gt; 0, EPP_2367111154197283[[#Headers],[SPCC]],
   COUNTIF(Herramientas_de_izaje2468112155198284[Herramientas_de_izaje], B20) &gt; 0, Herramientas_de_izaje2468112155198284[[#Headers],[Herramientas_de_izaje]],
COUNTIF(Tabla162670114157200286[Equipos], B20) &gt; 0, Tabla162670114157200286[[#Headers],[Equipos]],
    TRUE, "Sin clasificación"
)</f>
        <v>Sin clasificación</v>
      </c>
      <c r="F20" s="15"/>
      <c r="G20" s="15"/>
      <c r="H20" s="15"/>
      <c r="I20" s="15"/>
      <c r="J20" s="15"/>
      <c r="K20" s="15"/>
      <c r="L20" s="47"/>
      <c r="N20" s="47"/>
      <c r="O20" s="47" t="str">
        <f>_xlfn.LET(
    _xlpm.itemBuscado, B20,
    _xlpm.areaBuscada, C20,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TEXT(COUNTIF($C$2:C20, _xlpm.areaBuscada), "0000"),
    _xlpm.codItem &amp; "-" &amp; _xlpm.codArea &amp; "-" &amp; _xlpm.secuencia
)</f>
        <v>-SinArea-0000</v>
      </c>
      <c r="Q20" s="15"/>
      <c r="S20" s="48" t="s">
        <v>224</v>
      </c>
      <c r="AF20" t="s">
        <v>101</v>
      </c>
      <c r="AI20" t="s">
        <v>102</v>
      </c>
      <c r="AO20" s="26" t="s">
        <v>103</v>
      </c>
    </row>
    <row r="21" spans="3:44" x14ac:dyDescent="0.3">
      <c r="C21" s="11"/>
      <c r="E21" s="11" t="str" cm="1">
        <f t="array" ref="E21">_xlfn.IFS(
    COUNTIF(Herramientas_eléctricas1862106149192278[Herramientas_eléctricas], B21) &gt; 0, Herramientas_eléctricas1862106149192278[[#Headers],[Herramientas_eléctricas]],
    COUNTIF(Herramientas_neumáticas1963107150193279[Herramientas_neumáticas], B21) &gt; 0, Herramientas_neumáticas1963107150193279[[#Headers],[Herramientas_neumáticas]],
    COUNTIF(Herramientas_de_medición2064108151194280[Herramientas_de_medición], B21) &gt; 0, Herramientas_de_medición2064108151194280[[#Headers],[Herramientas_de_medición]],
    COUNTIF(Herrramientas_mecánicas2165109152195281[Herramientas_mecánicas], B21) &gt; 0, Herrramientas_mecánicas2165109152195281[[#Headers],[Herramientas_mecánicas]],
    COUNTIF(AJ21:AJ27, B21) &gt; 0, Herramientas_hidráulicas2266110153196282[[#Headers],[Herramientas_hidráulicas]],
    COUNTIF(EPP_2367111154197283[SPCC], B21) &gt; 0, EPP_2367111154197283[[#Headers],[SPCC]],
   COUNTIF(Herramientas_de_izaje2468112155198284[Herramientas_de_izaje], B21) &gt; 0, Herramientas_de_izaje2468112155198284[[#Headers],[Herramientas_de_izaje]],
COUNTIF(Tabla162670114157200286[Equipos], B21) &gt; 0, Tabla162670114157200286[[#Headers],[Equipos]],
    TRUE, "Sin clasificación"
)</f>
        <v>Sin clasificación</v>
      </c>
      <c r="F21" s="15"/>
      <c r="G21" s="15"/>
      <c r="H21" s="15"/>
      <c r="I21" s="15"/>
      <c r="J21" s="15"/>
      <c r="K21" s="15"/>
      <c r="L21" s="47"/>
      <c r="N21" s="47"/>
      <c r="O21" s="47" t="str">
        <f>_xlfn.LET(
    _xlpm.itemBuscado, B21,
    _xlpm.areaBuscada, C21,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TEXT(COUNTIF($C$2:C21, _xlpm.areaBuscada), "0000"),
    _xlpm.codItem &amp; "-" &amp; _xlpm.codArea &amp; "-" &amp; _xlpm.secuencia
)</f>
        <v>-SinArea-0000</v>
      </c>
      <c r="Q21" s="15"/>
      <c r="S21" s="48"/>
      <c r="AF21" s="6"/>
      <c r="AI21" s="6" t="s">
        <v>20</v>
      </c>
    </row>
    <row r="22" spans="3:44" x14ac:dyDescent="0.3">
      <c r="C22" s="11"/>
      <c r="E22" s="11" t="str" cm="1">
        <f t="array" ref="E22">_xlfn.IFS(
    COUNTIF(Herramientas_eléctricas1862106149192278[Herramientas_eléctricas], B22) &gt; 0, Herramientas_eléctricas1862106149192278[[#Headers],[Herramientas_eléctricas]],
    COUNTIF(Herramientas_neumáticas1963107150193279[Herramientas_neumáticas], B22) &gt; 0, Herramientas_neumáticas1963107150193279[[#Headers],[Herramientas_neumáticas]],
    COUNTIF(Herramientas_de_medición2064108151194280[Herramientas_de_medición], B22) &gt; 0, Herramientas_de_medición2064108151194280[[#Headers],[Herramientas_de_medición]],
    COUNTIF(Herrramientas_mecánicas2165109152195281[Herramientas_mecánicas], B22) &gt; 0, Herrramientas_mecánicas2165109152195281[[#Headers],[Herramientas_mecánicas]],
    COUNTIF(AJ22:AJ28, B22) &gt; 0, Herramientas_hidráulicas2266110153196282[[#Headers],[Herramientas_hidráulicas]],
    COUNTIF(EPP_2367111154197283[SPCC], B22) &gt; 0, EPP_2367111154197283[[#Headers],[SPCC]],
   COUNTIF(Herramientas_de_izaje2468112155198284[Herramientas_de_izaje], B22) &gt; 0, Herramientas_de_izaje2468112155198284[[#Headers],[Herramientas_de_izaje]],
COUNTIF(Tabla162670114157200286[Equipos], B22) &gt; 0, Tabla162670114157200286[[#Headers],[Equipos]],
    TRUE, "Sin clasificación"
)</f>
        <v>Sin clasificación</v>
      </c>
      <c r="F22" s="15"/>
      <c r="G22" s="15"/>
      <c r="H22" s="15"/>
      <c r="I22" s="15"/>
      <c r="J22" s="15"/>
      <c r="K22" s="15"/>
      <c r="L22" s="47"/>
      <c r="N22" s="47"/>
      <c r="O22" s="47" t="str">
        <f>_xlfn.LET(
    _xlpm.itemBuscado, B22,
    _xlpm.areaBuscada, C22,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TEXT(COUNTIF($C$2:C22, _xlpm.areaBuscada), "0000"),
    _xlpm.codItem &amp; "-" &amp; _xlpm.codArea &amp; "-" &amp; _xlpm.secuencia
)</f>
        <v>-SinArea-0000</v>
      </c>
      <c r="Q22" s="15"/>
      <c r="S22" s="48"/>
    </row>
    <row r="23" spans="3:44" x14ac:dyDescent="0.3">
      <c r="C23" s="11"/>
      <c r="E23" s="11" t="str" cm="1">
        <f t="array" ref="E23">_xlfn.IFS(
    COUNTIF(Herramientas_eléctricas1862106149192278[Herramientas_eléctricas], B23) &gt; 0, Herramientas_eléctricas1862106149192278[[#Headers],[Herramientas_eléctricas]],
    COUNTIF(Herramientas_neumáticas1963107150193279[Herramientas_neumáticas], B23) &gt; 0, Herramientas_neumáticas1963107150193279[[#Headers],[Herramientas_neumáticas]],
    COUNTIF(Herramientas_de_medición2064108151194280[Herramientas_de_medición], B23) &gt; 0, Herramientas_de_medición2064108151194280[[#Headers],[Herramientas_de_medición]],
    COUNTIF(Herrramientas_mecánicas2165109152195281[Herramientas_mecánicas], B23) &gt; 0, Herrramientas_mecánicas2165109152195281[[#Headers],[Herramientas_mecánicas]],
    COUNTIF(AJ23:AJ29, B23) &gt; 0, Herramientas_hidráulicas2266110153196282[[#Headers],[Herramientas_hidráulicas]],
    COUNTIF(EPP_2367111154197283[SPCC], B23) &gt; 0, EPP_2367111154197283[[#Headers],[SPCC]],
   COUNTIF(Herramientas_de_izaje2468112155198284[Herramientas_de_izaje], B23) &gt; 0, Herramientas_de_izaje2468112155198284[[#Headers],[Herramientas_de_izaje]],
COUNTIF(Tabla162670114157200286[Equipos], B23) &gt; 0, Tabla162670114157200286[[#Headers],[Equipos]],
    TRUE, "Sin clasificación"
)</f>
        <v>Sin clasificación</v>
      </c>
      <c r="F23" s="15"/>
      <c r="G23" s="15"/>
      <c r="H23" s="15"/>
      <c r="I23" s="15"/>
      <c r="J23" s="15"/>
      <c r="K23" s="15"/>
      <c r="L23" s="47"/>
      <c r="N23" s="47"/>
      <c r="O23" s="47" t="str">
        <f>_xlfn.LET(
    _xlpm.itemBuscado, B23,
    _xlpm.areaBuscada, C23,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TEXT(COUNTIF($C$2:C23, _xlpm.areaBuscada), "0000"),
    _xlpm.codItem &amp; "-" &amp; _xlpm.codArea &amp; "-" &amp; _xlpm.secuencia
)</f>
        <v>-SinArea-0000</v>
      </c>
      <c r="Q23" s="15"/>
      <c r="S23" s="48"/>
    </row>
    <row r="24" spans="3:44" x14ac:dyDescent="0.3">
      <c r="C24" s="11"/>
      <c r="E24" s="11" t="str" cm="1">
        <f t="array" ref="E24">_xlfn.IFS(
    COUNTIF(Herramientas_eléctricas1862106149192278[Herramientas_eléctricas], B24) &gt; 0, Herramientas_eléctricas1862106149192278[[#Headers],[Herramientas_eléctricas]],
    COUNTIF(Herramientas_neumáticas1963107150193279[Herramientas_neumáticas], B24) &gt; 0, Herramientas_neumáticas1963107150193279[[#Headers],[Herramientas_neumáticas]],
    COUNTIF(Herramientas_de_medición2064108151194280[Herramientas_de_medición], B24) &gt; 0, Herramientas_de_medición2064108151194280[[#Headers],[Herramientas_de_medición]],
    COUNTIF(Herrramientas_mecánicas2165109152195281[Herramientas_mecánicas], B24) &gt; 0, Herrramientas_mecánicas2165109152195281[[#Headers],[Herramientas_mecánicas]],
    COUNTIF(AJ24:AJ30, B24) &gt; 0, Herramientas_hidráulicas2266110153196282[[#Headers],[Herramientas_hidráulicas]],
    COUNTIF(EPP_2367111154197283[SPCC], B24) &gt; 0, EPP_2367111154197283[[#Headers],[SPCC]],
   COUNTIF(Herramientas_de_izaje2468112155198284[Herramientas_de_izaje], B24) &gt; 0, Herramientas_de_izaje2468112155198284[[#Headers],[Herramientas_de_izaje]],
COUNTIF(Tabla162670114157200286[Equipos], B24) &gt; 0, Tabla162670114157200286[[#Headers],[Equipos]],
    TRUE, "Sin clasificación"
)</f>
        <v>Sin clasificación</v>
      </c>
      <c r="F24" s="15"/>
      <c r="G24" s="15"/>
      <c r="H24" s="15"/>
      <c r="I24" s="15"/>
      <c r="J24" s="15"/>
      <c r="K24" s="15"/>
      <c r="L24" s="47"/>
      <c r="N24" s="47"/>
      <c r="O24" s="47" t="str">
        <f>_xlfn.LET(
    _xlpm.itemBuscado, B24,
    _xlpm.areaBuscada, C24,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TEXT(COUNTIF($C$2:C24, _xlpm.areaBuscada), "0000"),
    _xlpm.codItem &amp; "-" &amp; _xlpm.codArea &amp; "-" &amp; _xlpm.secuencia
)</f>
        <v>-SinArea-0000</v>
      </c>
      <c r="Q24" s="15"/>
      <c r="S24" s="48" t="s">
        <v>224</v>
      </c>
      <c r="AP24" s="18"/>
    </row>
    <row r="25" spans="3:44" x14ac:dyDescent="0.3">
      <c r="C25" s="11"/>
      <c r="E25" s="11" t="str" cm="1">
        <f t="array" ref="E25">_xlfn.IFS(
    COUNTIF(Herramientas_eléctricas1862106149192278[Herramientas_eléctricas], B25) &gt; 0, Herramientas_eléctricas1862106149192278[[#Headers],[Herramientas_eléctricas]],
    COUNTIF(Herramientas_neumáticas1963107150193279[Herramientas_neumáticas], B25) &gt; 0, Herramientas_neumáticas1963107150193279[[#Headers],[Herramientas_neumáticas]],
    COUNTIF(Herramientas_de_medición2064108151194280[Herramientas_de_medición], B25) &gt; 0, Herramientas_de_medición2064108151194280[[#Headers],[Herramientas_de_medición]],
    COUNTIF(Herrramientas_mecánicas2165109152195281[Herramientas_mecánicas], B25) &gt; 0, Herrramientas_mecánicas2165109152195281[[#Headers],[Herramientas_mecánicas]],
    COUNTIF(AJ25:AJ31, B25) &gt; 0, Herramientas_hidráulicas2266110153196282[[#Headers],[Herramientas_hidráulicas]],
    COUNTIF(EPP_2367111154197283[SPCC], B25) &gt; 0, EPP_2367111154197283[[#Headers],[SPCC]],
   COUNTIF(Herramientas_de_izaje2468112155198284[Herramientas_de_izaje], B25) &gt; 0, Herramientas_de_izaje2468112155198284[[#Headers],[Herramientas_de_izaje]],
COUNTIF(Tabla162670114157200286[Equipos], B25) &gt; 0, Tabla162670114157200286[[#Headers],[Equipos]],
    TRUE, "Sin clasificación"
)</f>
        <v>Sin clasificación</v>
      </c>
      <c r="F25" s="15"/>
      <c r="G25" s="15"/>
      <c r="H25" s="15"/>
      <c r="I25" s="15"/>
      <c r="J25" s="15"/>
      <c r="K25" s="15"/>
      <c r="L25" s="47"/>
      <c r="N25" s="47"/>
      <c r="O25" s="47" t="str">
        <f>_xlfn.LET(
    _xlpm.itemBuscado, B25,
    _xlpm.areaBuscada, C25,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TEXT(COUNTIF($C$2:C25, _xlpm.areaBuscada), "0000"),
    _xlpm.codItem &amp; "-" &amp; _xlpm.codArea &amp; "-" &amp; _xlpm.secuencia
)</f>
        <v>-SinArea-0000</v>
      </c>
      <c r="Q25" s="15"/>
      <c r="S25" s="48"/>
      <c r="AP25" s="22"/>
    </row>
    <row r="26" spans="3:44" x14ac:dyDescent="0.3">
      <c r="C26" s="11"/>
      <c r="E26" s="11" t="str" cm="1">
        <f t="array" ref="E26">_xlfn.IFS(
    COUNTIF(Herramientas_eléctricas1862106149192278[Herramientas_eléctricas], B26) &gt; 0, Herramientas_eléctricas1862106149192278[[#Headers],[Herramientas_eléctricas]],
    COUNTIF(Herramientas_neumáticas1963107150193279[Herramientas_neumáticas], B26) &gt; 0, Herramientas_neumáticas1963107150193279[[#Headers],[Herramientas_neumáticas]],
    COUNTIF(Herramientas_de_medición2064108151194280[Herramientas_de_medición], B26) &gt; 0, Herramientas_de_medición2064108151194280[[#Headers],[Herramientas_de_medición]],
    COUNTIF(Herrramientas_mecánicas2165109152195281[Herramientas_mecánicas], B26) &gt; 0, Herrramientas_mecánicas2165109152195281[[#Headers],[Herramientas_mecánicas]],
    COUNTIF(AJ26:AJ32, B26) &gt; 0, Herramientas_hidráulicas2266110153196282[[#Headers],[Herramientas_hidráulicas]],
    COUNTIF(EPP_2367111154197283[SPCC], B26) &gt; 0, EPP_2367111154197283[[#Headers],[SPCC]],
   COUNTIF(Herramientas_de_izaje2468112155198284[Herramientas_de_izaje], B26) &gt; 0, Herramientas_de_izaje2468112155198284[[#Headers],[Herramientas_de_izaje]],
COUNTIF(Tabla162670114157200286[Equipos], B26) &gt; 0, Tabla162670114157200286[[#Headers],[Equipos]],
    TRUE, "Sin clasificación"
)</f>
        <v>Sin clasificación</v>
      </c>
      <c r="F26" s="15"/>
      <c r="G26" s="15"/>
      <c r="H26" s="15"/>
      <c r="I26" s="15"/>
      <c r="J26" s="15"/>
      <c r="K26" s="15"/>
      <c r="L26" s="47"/>
      <c r="N26" s="47"/>
      <c r="O26" s="47" t="str">
        <f>_xlfn.LET(
    _xlpm.itemBuscado, B26,
    _xlpm.areaBuscada, C26,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TEXT(COUNTIF($C$2:C26, _xlpm.areaBuscada), "0000"),
    _xlpm.codItem &amp; "-" &amp; _xlpm.codArea &amp; "-" &amp; _xlpm.secuencia
)</f>
        <v>-SinArea-0000</v>
      </c>
      <c r="Q26" s="15"/>
      <c r="S26" s="48" t="s">
        <v>224</v>
      </c>
      <c r="AG26" s="18"/>
      <c r="AQ26" t="s">
        <v>235</v>
      </c>
    </row>
    <row r="27" spans="3:44" ht="28.8" x14ac:dyDescent="0.3">
      <c r="C27" s="11"/>
      <c r="E27" s="11" t="str" cm="1">
        <f t="array" ref="E27">_xlfn.IFS(
    COUNTIF(Herramientas_eléctricas1862106149192278[Herramientas_eléctricas], B27) &gt; 0, Herramientas_eléctricas1862106149192278[[#Headers],[Herramientas_eléctricas]],
    COUNTIF(Herramientas_neumáticas1963107150193279[Herramientas_neumáticas], B27) &gt; 0, Herramientas_neumáticas1963107150193279[[#Headers],[Herramientas_neumáticas]],
    COUNTIF(Herramientas_de_medición2064108151194280[Herramientas_de_medición], B27) &gt; 0, Herramientas_de_medición2064108151194280[[#Headers],[Herramientas_de_medición]],
    COUNTIF(Herrramientas_mecánicas2165109152195281[Herramientas_mecánicas], B27) &gt; 0, Herrramientas_mecánicas2165109152195281[[#Headers],[Herramientas_mecánicas]],
    COUNTIF(AJ27:AJ33, B27) &gt; 0, Herramientas_hidráulicas2266110153196282[[#Headers],[Herramientas_hidráulicas]],
    COUNTIF(EPP_2367111154197283[SPCC], B27) &gt; 0, EPP_2367111154197283[[#Headers],[SPCC]],
   COUNTIF(Herramientas_de_izaje2468112155198284[Herramientas_de_izaje], B27) &gt; 0, Herramientas_de_izaje2468112155198284[[#Headers],[Herramientas_de_izaje]],
COUNTIF(Tabla162670114157200286[Equipos], B27) &gt; 0, Tabla162670114157200286[[#Headers],[Equipos]],
    TRUE, "Sin clasificación"
)</f>
        <v>Sin clasificación</v>
      </c>
      <c r="F27" s="15"/>
      <c r="G27" s="15"/>
      <c r="H27" s="15"/>
      <c r="I27" s="15"/>
      <c r="J27" s="15"/>
      <c r="K27" s="15"/>
      <c r="L27" s="47"/>
      <c r="N27" s="47"/>
      <c r="O27" s="47" t="str">
        <f>_xlfn.LET(
    _xlpm.itemBuscado, B27,
    _xlpm.areaBuscada, C27,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TEXT(COUNTIF($C$2:C27, _xlpm.areaBuscada), "0000"),
    _xlpm.codItem &amp; "-" &amp; _xlpm.codArea &amp; "-" &amp; _xlpm.secuencia
)</f>
        <v>-SinArea-0000</v>
      </c>
      <c r="Q27" s="15"/>
      <c r="S27" s="48"/>
      <c r="AF27" s="11" t="s">
        <v>236</v>
      </c>
      <c r="AG27" s="11" t="s">
        <v>237</v>
      </c>
      <c r="AH27" s="11" t="s">
        <v>238</v>
      </c>
      <c r="AI27" s="11" t="s">
        <v>239</v>
      </c>
      <c r="AJ27" s="11" t="s">
        <v>240</v>
      </c>
      <c r="AK27" s="11" t="s">
        <v>241</v>
      </c>
      <c r="AL27" s="11" t="s">
        <v>242</v>
      </c>
      <c r="AM27" s="11" t="s">
        <v>243</v>
      </c>
      <c r="AN27" s="11" t="s">
        <v>244</v>
      </c>
      <c r="AO27" s="11" t="s">
        <v>245</v>
      </c>
    </row>
    <row r="28" spans="3:44" x14ac:dyDescent="0.3">
      <c r="C28" s="11"/>
      <c r="E28" s="11" t="str" cm="1">
        <f t="array" ref="E28">_xlfn.IFS(
    COUNTIF(Herramientas_eléctricas1862106149192278[Herramientas_eléctricas], B28) &gt; 0, Herramientas_eléctricas1862106149192278[[#Headers],[Herramientas_eléctricas]],
    COUNTIF(Herramientas_neumáticas1963107150193279[Herramientas_neumáticas], B28) &gt; 0, Herramientas_neumáticas1963107150193279[[#Headers],[Herramientas_neumáticas]],
    COUNTIF(Herramientas_de_medición2064108151194280[Herramientas_de_medición], B28) &gt; 0, Herramientas_de_medición2064108151194280[[#Headers],[Herramientas_de_medición]],
    COUNTIF(Herrramientas_mecánicas2165109152195281[Herramientas_mecánicas], B28) &gt; 0, Herrramientas_mecánicas2165109152195281[[#Headers],[Herramientas_mecánicas]],
    COUNTIF(AJ28:AJ34, B28) &gt; 0, Herramientas_hidráulicas2266110153196282[[#Headers],[Herramientas_hidráulicas]],
    COUNTIF(EPP_2367111154197283[SPCC], B28) &gt; 0, EPP_2367111154197283[[#Headers],[SPCC]],
   COUNTIF(Herramientas_de_izaje2468112155198284[Herramientas_de_izaje], B28) &gt; 0, Herramientas_de_izaje2468112155198284[[#Headers],[Herramientas_de_izaje]],
COUNTIF(Tabla162670114157200286[Equipos], B28) &gt; 0, Tabla162670114157200286[[#Headers],[Equipos]],
    TRUE, "Sin clasificación"
)</f>
        <v>Sin clasificación</v>
      </c>
      <c r="F28" s="15"/>
      <c r="G28" s="15"/>
      <c r="H28" s="15"/>
      <c r="I28" s="15"/>
      <c r="J28" s="15"/>
      <c r="K28" s="15"/>
      <c r="L28" s="47"/>
      <c r="N28" s="47"/>
      <c r="O28" s="47" t="str">
        <f>_xlfn.LET(
    _xlpm.itemBuscado, B28,
    _xlpm.areaBuscada, C28,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TEXT(COUNTIF($C$2:C28, _xlpm.areaBuscada), "0000"),
    _xlpm.codItem &amp; "-" &amp; _xlpm.codArea &amp; "-" &amp; _xlpm.secuencia
)</f>
        <v>-SinArea-0000</v>
      </c>
      <c r="Q28" s="15"/>
      <c r="S28" s="48"/>
    </row>
    <row r="29" spans="3:44" x14ac:dyDescent="0.3">
      <c r="C29" s="11"/>
      <c r="E29" s="11" t="str" cm="1">
        <f t="array" ref="E29">_xlfn.IFS(
    COUNTIF(Herramientas_eléctricas1862106149192278[Herramientas_eléctricas], B29) &gt; 0, Herramientas_eléctricas1862106149192278[[#Headers],[Herramientas_eléctricas]],
    COUNTIF(Herramientas_neumáticas1963107150193279[Herramientas_neumáticas], B29) &gt; 0, Herramientas_neumáticas1963107150193279[[#Headers],[Herramientas_neumáticas]],
    COUNTIF(Herramientas_de_medición2064108151194280[Herramientas_de_medición], B29) &gt; 0, Herramientas_de_medición2064108151194280[[#Headers],[Herramientas_de_medición]],
    COUNTIF(Herrramientas_mecánicas2165109152195281[Herramientas_mecánicas], B29) &gt; 0, Herrramientas_mecánicas2165109152195281[[#Headers],[Herramientas_mecánicas]],
    COUNTIF(AJ29:AJ35, B29) &gt; 0, Herramientas_hidráulicas2266110153196282[[#Headers],[Herramientas_hidráulicas]],
    COUNTIF(EPP_2367111154197283[SPCC], B29) &gt; 0, EPP_2367111154197283[[#Headers],[SPCC]],
   COUNTIF(Herramientas_de_izaje2468112155198284[Herramientas_de_izaje], B29) &gt; 0, Herramientas_de_izaje2468112155198284[[#Headers],[Herramientas_de_izaje]],
COUNTIF(Tabla162670114157200286[Equipos], B29) &gt; 0, Tabla162670114157200286[[#Headers],[Equipos]],
    TRUE, "Sin clasificación"
)</f>
        <v>Sin clasificación</v>
      </c>
      <c r="F29" s="15"/>
      <c r="G29" s="15"/>
      <c r="H29" s="15"/>
      <c r="I29" s="15"/>
      <c r="J29" s="15"/>
      <c r="K29" s="15"/>
      <c r="L29" s="47"/>
      <c r="N29" s="47"/>
      <c r="O29" s="47" t="str">
        <f>_xlfn.LET(
    _xlpm.itemBuscado, B29,
    _xlpm.areaBuscada, C29,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TEXT(COUNTIF($C$2:C29, _xlpm.areaBuscada), "0000"),
    _xlpm.codItem &amp; "-" &amp; _xlpm.codArea &amp; "-" &amp; _xlpm.secuencia
)</f>
        <v>-SinArea-0000</v>
      </c>
      <c r="Q29" s="15"/>
      <c r="S29" s="48"/>
      <c r="AF29" t="s">
        <v>246</v>
      </c>
      <c r="AG29" t="s">
        <v>97</v>
      </c>
      <c r="AH29" t="s">
        <v>34</v>
      </c>
      <c r="AI29" t="s">
        <v>66</v>
      </c>
      <c r="AJ29" s="63" t="s">
        <v>247</v>
      </c>
      <c r="AL29" t="s">
        <v>19</v>
      </c>
      <c r="AO29" t="s">
        <v>75</v>
      </c>
    </row>
    <row r="30" spans="3:44" ht="28.8" x14ac:dyDescent="0.3">
      <c r="C30" s="11"/>
      <c r="E30" s="11" t="str" cm="1">
        <f t="array" ref="E30">_xlfn.IFS(
    COUNTIF(Herramientas_eléctricas1862106149192278[Herramientas_eléctricas], B30) &gt; 0, Herramientas_eléctricas1862106149192278[[#Headers],[Herramientas_eléctricas]],
    COUNTIF(Herramientas_neumáticas1963107150193279[Herramientas_neumáticas], B30) &gt; 0, Herramientas_neumáticas1963107150193279[[#Headers],[Herramientas_neumáticas]],
    COUNTIF(Herramientas_de_medición2064108151194280[Herramientas_de_medición], B30) &gt; 0, Herramientas_de_medición2064108151194280[[#Headers],[Herramientas_de_medición]],
    COUNTIF(Herrramientas_mecánicas2165109152195281[Herramientas_mecánicas], B30) &gt; 0, Herrramientas_mecánicas2165109152195281[[#Headers],[Herramientas_mecánicas]],
    COUNTIF(AJ30:AJ36, B30) &gt; 0, Herramientas_hidráulicas2266110153196282[[#Headers],[Herramientas_hidráulicas]],
    COUNTIF(EPP_2367111154197283[SPCC], B30) &gt; 0, EPP_2367111154197283[[#Headers],[SPCC]],
   COUNTIF(Herramientas_de_izaje2468112155198284[Herramientas_de_izaje], B30) &gt; 0, Herramientas_de_izaje2468112155198284[[#Headers],[Herramientas_de_izaje]],
COUNTIF(Tabla162670114157200286[Equipos], B30) &gt; 0, Tabla162670114157200286[[#Headers],[Equipos]],
    TRUE, "Sin clasificación"
)</f>
        <v>Sin clasificación</v>
      </c>
      <c r="F30" s="15"/>
      <c r="G30" s="15"/>
      <c r="H30" s="15"/>
      <c r="I30" s="15"/>
      <c r="J30" s="15"/>
      <c r="K30" s="15"/>
      <c r="L30" s="47"/>
      <c r="N30" s="47"/>
      <c r="O30" s="47" t="str">
        <f>_xlfn.LET(
    _xlpm.itemBuscado, B30,
    _xlpm.areaBuscada, C30,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TEXT(COUNTIF($C$2:C30, _xlpm.areaBuscada), "0000"),
    _xlpm.codItem &amp; "-" &amp; _xlpm.codArea &amp; "-" &amp; _xlpm.secuencia
)</f>
        <v>-SinArea-0000</v>
      </c>
      <c r="Q30" s="15"/>
      <c r="S30" s="48" t="s">
        <v>224</v>
      </c>
      <c r="AF30" s="22" t="s">
        <v>248</v>
      </c>
      <c r="AG30" t="s">
        <v>17</v>
      </c>
      <c r="AH30" s="18" t="s">
        <v>249</v>
      </c>
      <c r="AI30" t="s">
        <v>250</v>
      </c>
      <c r="AJ30" s="64" t="s">
        <v>251</v>
      </c>
      <c r="AL30" t="s">
        <v>252</v>
      </c>
      <c r="AO30" s="18" t="s">
        <v>253</v>
      </c>
    </row>
    <row r="31" spans="3:44" x14ac:dyDescent="0.3">
      <c r="C31" s="11"/>
      <c r="E31" s="11" t="str" cm="1">
        <f t="array" ref="E31">_xlfn.IFS(
    COUNTIF(Herramientas_eléctricas1862106149192278[Herramientas_eléctricas], B31) &gt; 0, Herramientas_eléctricas1862106149192278[[#Headers],[Herramientas_eléctricas]],
    COUNTIF(Herramientas_neumáticas1963107150193279[Herramientas_neumáticas], B31) &gt; 0, Herramientas_neumáticas1963107150193279[[#Headers],[Herramientas_neumáticas]],
    COUNTIF(Herramientas_de_medición2064108151194280[Herramientas_de_medición], B31) &gt; 0, Herramientas_de_medición2064108151194280[[#Headers],[Herramientas_de_medición]],
    COUNTIF(Herrramientas_mecánicas2165109152195281[Herramientas_mecánicas], B31) &gt; 0, Herrramientas_mecánicas2165109152195281[[#Headers],[Herramientas_mecánicas]],
    COUNTIF(AJ31:AJ37, B31) &gt; 0, Herramientas_hidráulicas2266110153196282[[#Headers],[Herramientas_hidráulicas]],
    COUNTIF(EPP_2367111154197283[SPCC], B31) &gt; 0, EPP_2367111154197283[[#Headers],[SPCC]],
   COUNTIF(Herramientas_de_izaje2468112155198284[Herramientas_de_izaje], B31) &gt; 0, Herramientas_de_izaje2468112155198284[[#Headers],[Herramientas_de_izaje]],
COUNTIF(Tabla162670114157200286[Equipos], B31) &gt; 0, Tabla162670114157200286[[#Headers],[Equipos]],
    TRUE, "Sin clasificación"
)</f>
        <v>Sin clasificación</v>
      </c>
      <c r="F31" s="15"/>
      <c r="G31" s="15"/>
      <c r="H31" s="15"/>
      <c r="I31" s="15"/>
      <c r="J31" s="15"/>
      <c r="K31" s="15"/>
      <c r="L31" s="47"/>
      <c r="N31" s="47"/>
      <c r="O31" s="47" t="str">
        <f>_xlfn.LET(
    _xlpm.itemBuscado, B31,
    _xlpm.areaBuscada, C31,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TEXT(COUNTIF($C$2:C31, _xlpm.areaBuscada), "0000"),
    _xlpm.codItem &amp; "-" &amp; _xlpm.codArea &amp; "-" &amp; _xlpm.secuencia
)</f>
        <v>-SinArea-0000</v>
      </c>
      <c r="Q31" s="15"/>
      <c r="S31" s="48"/>
      <c r="AF31" s="65" t="s">
        <v>254</v>
      </c>
      <c r="AH31" t="s">
        <v>255</v>
      </c>
      <c r="AO31" s="26" t="s">
        <v>256</v>
      </c>
    </row>
    <row r="32" spans="3:44" ht="28.5" customHeight="1" x14ac:dyDescent="0.3">
      <c r="C32" s="11"/>
      <c r="E32" s="11" t="str" cm="1">
        <f t="array" ref="E32">_xlfn.IFS(
    COUNTIF(Herramientas_eléctricas1862106149192278[Herramientas_eléctricas], B32) &gt; 0, Herramientas_eléctricas1862106149192278[[#Headers],[Herramientas_eléctricas]],
    COUNTIF(Herramientas_neumáticas1963107150193279[Herramientas_neumáticas], B32) &gt; 0, Herramientas_neumáticas1963107150193279[[#Headers],[Herramientas_neumáticas]],
    COUNTIF(Herramientas_de_medición2064108151194280[Herramientas_de_medición], B32) &gt; 0, Herramientas_de_medición2064108151194280[[#Headers],[Herramientas_de_medición]],
    COUNTIF(Herrramientas_mecánicas2165109152195281[Herramientas_mecánicas], B32) &gt; 0, Herrramientas_mecánicas2165109152195281[[#Headers],[Herramientas_mecánicas]],
    COUNTIF(AJ32:AJ38, B32) &gt; 0, Herramientas_hidráulicas2266110153196282[[#Headers],[Herramientas_hidráulicas]],
    COUNTIF(EPP_2367111154197283[SPCC], B32) &gt; 0, EPP_2367111154197283[[#Headers],[SPCC]],
   COUNTIF(Herramientas_de_izaje2468112155198284[Herramientas_de_izaje], B32) &gt; 0, Herramientas_de_izaje2468112155198284[[#Headers],[Herramientas_de_izaje]],
COUNTIF(Tabla162670114157200286[Equipos], B32) &gt; 0, Tabla162670114157200286[[#Headers],[Equipos]],
    TRUE, "Sin clasificación"
)</f>
        <v>Sin clasificación</v>
      </c>
      <c r="F32" s="15"/>
      <c r="G32" s="15"/>
      <c r="H32" s="15"/>
      <c r="I32" s="15"/>
      <c r="J32" s="15"/>
      <c r="K32" s="15"/>
      <c r="L32" s="47"/>
      <c r="N32" s="47"/>
      <c r="O32" s="47" t="str">
        <f>_xlfn.LET(
    _xlpm.itemBuscado, B32,
    _xlpm.areaBuscada, C32,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TEXT(COUNTIF($C$2:C32, _xlpm.areaBuscada), "0000"),
    _xlpm.codItem &amp; "-" &amp; _xlpm.codArea &amp; "-" &amp; _xlpm.secuencia
)</f>
        <v>-SinArea-0000</v>
      </c>
      <c r="Q32" s="15"/>
      <c r="S32" s="48"/>
    </row>
    <row r="33" spans="3:44" x14ac:dyDescent="0.3">
      <c r="C33" s="11"/>
      <c r="E33" s="11" t="str" cm="1">
        <f t="array" ref="E33">_xlfn.IFS(
    COUNTIF(Herramientas_eléctricas1862106149192278[Herramientas_eléctricas], B33) &gt; 0, Herramientas_eléctricas1862106149192278[[#Headers],[Herramientas_eléctricas]],
    COUNTIF(Herramientas_neumáticas1963107150193279[Herramientas_neumáticas], B33) &gt; 0, Herramientas_neumáticas1963107150193279[[#Headers],[Herramientas_neumáticas]],
    COUNTIF(Herramientas_de_medición2064108151194280[Herramientas_de_medición], B33) &gt; 0, Herramientas_de_medición2064108151194280[[#Headers],[Herramientas_de_medición]],
    COUNTIF(Herrramientas_mecánicas2165109152195281[Herramientas_mecánicas], B33) &gt; 0, Herrramientas_mecánicas2165109152195281[[#Headers],[Herramientas_mecánicas]],
    COUNTIF(AJ33:AJ39, B33) &gt; 0, Herramientas_hidráulicas2266110153196282[[#Headers],[Herramientas_hidráulicas]],
    COUNTIF(EPP_2367111154197283[SPCC], B33) &gt; 0, EPP_2367111154197283[[#Headers],[SPCC]],
   COUNTIF(Herramientas_de_izaje2468112155198284[Herramientas_de_izaje], B33) &gt; 0, Herramientas_de_izaje2468112155198284[[#Headers],[Herramientas_de_izaje]],
COUNTIF(Tabla162670114157200286[Equipos], B33) &gt; 0, Tabla162670114157200286[[#Headers],[Equipos]],
    TRUE, "Sin clasificación"
)</f>
        <v>Sin clasificación</v>
      </c>
      <c r="F33" s="15"/>
      <c r="G33" s="15"/>
      <c r="H33" s="15"/>
      <c r="I33" s="15"/>
      <c r="J33" s="15"/>
      <c r="K33" s="15"/>
      <c r="L33" s="47"/>
      <c r="N33" s="47"/>
      <c r="O33" s="47" t="str">
        <f>_xlfn.LET(
    _xlpm.itemBuscado, B33,
    _xlpm.areaBuscada, C33,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TEXT(COUNTIF($C$2:C33, _xlpm.areaBuscada), "0000"),
    _xlpm.codItem &amp; "-" &amp; _xlpm.codArea &amp; "-" &amp; _xlpm.secuencia
)</f>
        <v>-SinArea-0000</v>
      </c>
      <c r="Q33" s="15"/>
      <c r="S33" s="48"/>
      <c r="AF33" t="s">
        <v>68</v>
      </c>
      <c r="AG33" t="s">
        <v>36</v>
      </c>
      <c r="AH33" t="s">
        <v>257</v>
      </c>
      <c r="AI33" t="s">
        <v>258</v>
      </c>
    </row>
    <row r="34" spans="3:44" x14ac:dyDescent="0.3">
      <c r="C34" s="11"/>
      <c r="E34" s="11" t="str" cm="1">
        <f t="array" ref="E34">_xlfn.IFS(
    COUNTIF(Herramientas_eléctricas1862106149192278[Herramientas_eléctricas], B34) &gt; 0, Herramientas_eléctricas1862106149192278[[#Headers],[Herramientas_eléctricas]],
    COUNTIF(Herramientas_neumáticas1963107150193279[Herramientas_neumáticas], B34) &gt; 0, Herramientas_neumáticas1963107150193279[[#Headers],[Herramientas_neumáticas]],
    COUNTIF(Herramientas_de_medición2064108151194280[Herramientas_de_medición], B34) &gt; 0, Herramientas_de_medición2064108151194280[[#Headers],[Herramientas_de_medición]],
    COUNTIF(Herrramientas_mecánicas2165109152195281[Herramientas_mecánicas], B34) &gt; 0, Herrramientas_mecánicas2165109152195281[[#Headers],[Herramientas_mecánicas]],
    COUNTIF(AJ34:AJ40, B34) &gt; 0, Herramientas_hidráulicas2266110153196282[[#Headers],[Herramientas_hidráulicas]],
    COUNTIF(EPP_2367111154197283[SPCC], B34) &gt; 0, EPP_2367111154197283[[#Headers],[SPCC]],
   COUNTIF(Herramientas_de_izaje2468112155198284[Herramientas_de_izaje], B34) &gt; 0, Herramientas_de_izaje2468112155198284[[#Headers],[Herramientas_de_izaje]],
COUNTIF(Tabla162670114157200286[Equipos], B34) &gt; 0, Tabla162670114157200286[[#Headers],[Equipos]],
    TRUE, "Sin clasificación"
)</f>
        <v>Sin clasificación</v>
      </c>
      <c r="F34" s="15"/>
      <c r="G34" s="15"/>
      <c r="H34" s="15"/>
      <c r="I34" s="15"/>
      <c r="J34" s="15"/>
      <c r="K34" s="15"/>
      <c r="L34" s="47"/>
      <c r="N34" s="47"/>
      <c r="O34" s="47" t="str">
        <f>_xlfn.LET(
    _xlpm.itemBuscado, B34,
    _xlpm.areaBuscada, C34,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TEXT(COUNTIF($C$2:C34, _xlpm.areaBuscada), "0000"),
    _xlpm.codItem &amp; "-" &amp; _xlpm.codArea &amp; "-" &amp; _xlpm.secuencia
)</f>
        <v>-SinArea-0000</v>
      </c>
      <c r="Q34" s="15"/>
      <c r="S34" s="48"/>
      <c r="AF34" s="20" t="s">
        <v>259</v>
      </c>
      <c r="AG34" t="s">
        <v>260</v>
      </c>
      <c r="AH34" s="19" t="s">
        <v>261</v>
      </c>
      <c r="AI34" s="22" t="s">
        <v>262</v>
      </c>
    </row>
    <row r="35" spans="3:44" ht="28.8" x14ac:dyDescent="0.3">
      <c r="C35" s="11"/>
      <c r="E35" s="11" t="str" cm="1">
        <f t="array" ref="E35">_xlfn.IFS(
    COUNTIF(Herramientas_eléctricas1862106149192278[Herramientas_eléctricas], B35) &gt; 0, Herramientas_eléctricas1862106149192278[[#Headers],[Herramientas_eléctricas]],
    COUNTIF(Herramientas_neumáticas1963107150193279[Herramientas_neumáticas], B35) &gt; 0, Herramientas_neumáticas1963107150193279[[#Headers],[Herramientas_neumáticas]],
    COUNTIF(Herramientas_de_medición2064108151194280[Herramientas_de_medición], B35) &gt; 0, Herramientas_de_medición2064108151194280[[#Headers],[Herramientas_de_medición]],
    COUNTIF(Herrramientas_mecánicas2165109152195281[Herramientas_mecánicas], B35) &gt; 0, Herrramientas_mecánicas2165109152195281[[#Headers],[Herramientas_mecánicas]],
    COUNTIF(AJ35:AJ41, B35) &gt; 0, Herramientas_hidráulicas2266110153196282[[#Headers],[Herramientas_hidráulicas]],
    COUNTIF(EPP_2367111154197283[SPCC], B35) &gt; 0, EPP_2367111154197283[[#Headers],[SPCC]],
   COUNTIF(Herramientas_de_izaje2468112155198284[Herramientas_de_izaje], B35) &gt; 0, Herramientas_de_izaje2468112155198284[[#Headers],[Herramientas_de_izaje]],
COUNTIF(Tabla162670114157200286[Equipos], B35) &gt; 0, Tabla162670114157200286[[#Headers],[Equipos]],
    TRUE, "Sin clasificación"
)</f>
        <v>Sin clasificación</v>
      </c>
      <c r="F35" s="15"/>
      <c r="G35" s="15"/>
      <c r="H35" s="15"/>
      <c r="I35" s="15"/>
      <c r="J35" s="15"/>
      <c r="K35" s="15"/>
      <c r="L35" s="47"/>
      <c r="N35" s="47"/>
      <c r="O35" s="47" t="str">
        <f>_xlfn.LET(
    _xlpm.itemBuscado, B35,
    _xlpm.areaBuscada, C35,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TEXT(COUNTIF($C$2:C35, _xlpm.areaBuscada), "0000"),
    _xlpm.codItem &amp; "-" &amp; _xlpm.codArea &amp; "-" &amp; _xlpm.secuencia
)</f>
        <v>-SinArea-0000</v>
      </c>
      <c r="Q35" s="15"/>
      <c r="S35" s="48"/>
      <c r="AF35" s="66" t="s">
        <v>263</v>
      </c>
      <c r="AH35" s="13" t="s">
        <v>264</v>
      </c>
      <c r="AI35" s="67" t="s">
        <v>265</v>
      </c>
    </row>
    <row r="36" spans="3:44" x14ac:dyDescent="0.3">
      <c r="C36" s="11"/>
      <c r="E36" s="11"/>
      <c r="F36" s="15"/>
      <c r="G36" s="15"/>
      <c r="H36" s="15"/>
      <c r="I36" s="15"/>
      <c r="J36" s="15"/>
      <c r="K36" s="15"/>
      <c r="L36" s="47"/>
      <c r="N36" s="47"/>
      <c r="O36" s="47" t="str">
        <f>_xlfn.LET(
    _xlpm.itemBuscado, B36,
    _xlpm.areaBuscada, C36,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TEXT(COUNTIF($C$2:C36, _xlpm.areaBuscada), "0000"),
    _xlpm.codItem &amp; "-" &amp; _xlpm.codArea &amp; "-" &amp; _xlpm.secuencia
)</f>
        <v>-SinArea-0000</v>
      </c>
      <c r="Q36" s="15"/>
      <c r="S36" s="48"/>
      <c r="AH36" s="68" t="s">
        <v>266</v>
      </c>
      <c r="AI36" s="22" t="s">
        <v>267</v>
      </c>
    </row>
    <row r="37" spans="3:44" x14ac:dyDescent="0.3">
      <c r="C37" s="11"/>
      <c r="E37" s="11"/>
      <c r="F37" s="15"/>
      <c r="G37" s="15"/>
      <c r="H37" s="15"/>
      <c r="I37" s="15"/>
      <c r="J37" s="15"/>
      <c r="K37" s="15"/>
      <c r="L37" s="47"/>
      <c r="N37" s="47"/>
      <c r="O37" s="47" t="str">
        <f>_xlfn.LET(
    _xlpm.itemBuscado, B37,
    _xlpm.areaBuscada, C37,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TEXT(COUNTIF($C$2:C37, _xlpm.areaBuscada), "0000"),
    _xlpm.codItem &amp; "-" &amp; _xlpm.codArea &amp; "-" &amp; _xlpm.secuencia
)</f>
        <v>-SinArea-0000</v>
      </c>
      <c r="Q37" s="15"/>
      <c r="S37" s="48"/>
      <c r="AI37" s="18" t="s">
        <v>268</v>
      </c>
    </row>
    <row r="38" spans="3:44" x14ac:dyDescent="0.3">
      <c r="C38" s="11"/>
      <c r="E38" s="11"/>
      <c r="F38" s="15"/>
      <c r="G38" s="15"/>
      <c r="H38" s="15"/>
      <c r="I38" s="15"/>
      <c r="J38" s="15"/>
      <c r="K38" s="15"/>
      <c r="L38" s="47"/>
      <c r="N38" s="47"/>
      <c r="O38" s="47" t="str">
        <f>_xlfn.LET(
    _xlpm.itemBuscado, B38,
    _xlpm.areaBuscada, C38,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TEXT(COUNTIF($C$2:C38, _xlpm.areaBuscada), "0000"),
    _xlpm.codItem &amp; "-" &amp; _xlpm.codArea &amp; "-" &amp; _xlpm.secuencia
)</f>
        <v>-SinArea-0000</v>
      </c>
      <c r="Q38" s="15"/>
      <c r="S38" s="48"/>
      <c r="AF38" s="69" t="s">
        <v>24</v>
      </c>
      <c r="AH38" t="s">
        <v>269</v>
      </c>
      <c r="AI38" s="18" t="s">
        <v>270</v>
      </c>
    </row>
    <row r="39" spans="3:44" ht="22.8" x14ac:dyDescent="0.3">
      <c r="C39" s="11"/>
      <c r="E39" s="11"/>
      <c r="F39" s="15"/>
      <c r="G39" s="15"/>
      <c r="H39" s="15"/>
      <c r="I39" s="15"/>
      <c r="J39" s="15"/>
      <c r="K39" s="15"/>
      <c r="L39" s="47"/>
      <c r="N39" s="47"/>
      <c r="O39" s="47" t="str">
        <f>_xlfn.LET(
    _xlpm.itemBuscado, B39,
    _xlpm.areaBuscada, C39,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TEXT(COUNTIF($C$2:C39, _xlpm.areaBuscada), "0000"),
    _xlpm.codItem &amp; "-" &amp; _xlpm.codArea &amp; "-" &amp; _xlpm.secuencia
)</f>
        <v>-SinArea-0000</v>
      </c>
      <c r="Q39" s="15"/>
      <c r="S39" s="48"/>
      <c r="AF39" s="62" t="s">
        <v>271</v>
      </c>
      <c r="AH39" s="68" t="s">
        <v>272</v>
      </c>
      <c r="AI39" s="22" t="s">
        <v>273</v>
      </c>
    </row>
    <row r="40" spans="3:44" x14ac:dyDescent="0.3">
      <c r="C40" s="11"/>
      <c r="E40" s="11"/>
      <c r="F40" s="15"/>
      <c r="G40" s="15"/>
      <c r="H40" s="15"/>
      <c r="I40" s="15"/>
      <c r="J40" s="15"/>
      <c r="K40" s="15"/>
      <c r="L40" s="47"/>
      <c r="N40" s="47"/>
      <c r="O40" s="47" t="str">
        <f>_xlfn.LET(
    _xlpm.itemBuscado, B40,
    _xlpm.areaBuscada, C40,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TEXT(COUNTIF($C$2:C40, _xlpm.areaBuscada), "0000"),
    _xlpm.codItem &amp; "-" &amp; _xlpm.codArea &amp; "-" &amp; _xlpm.secuencia
)</f>
        <v>-SinArea-0000</v>
      </c>
      <c r="Q40" s="15"/>
      <c r="S40" s="48"/>
      <c r="AF40" s="70" t="s">
        <v>17</v>
      </c>
      <c r="AI40" t="s">
        <v>274</v>
      </c>
    </row>
    <row r="41" spans="3:44" x14ac:dyDescent="0.3">
      <c r="C41" s="11"/>
      <c r="E41" s="11"/>
      <c r="F41" s="15"/>
      <c r="G41" s="15"/>
      <c r="H41" s="15"/>
      <c r="I41" s="15"/>
      <c r="J41" s="15"/>
      <c r="K41" s="15"/>
      <c r="L41" s="47"/>
      <c r="N41" s="47"/>
      <c r="O41" s="47" t="str">
        <f>_xlfn.LET(
    _xlpm.itemBuscado, B41,
    _xlpm.areaBuscada, C41,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TEXT(COUNTIF($C$2:C41, _xlpm.areaBuscada), "0000"),
    _xlpm.codItem &amp; "-" &amp; _xlpm.codArea &amp; "-" &amp; _xlpm.secuencia
)</f>
        <v>-SinArea-0000</v>
      </c>
      <c r="Q41" s="15"/>
      <c r="S41" s="48"/>
      <c r="AH41" t="s">
        <v>61</v>
      </c>
    </row>
    <row r="42" spans="3:44" x14ac:dyDescent="0.3">
      <c r="C42" s="11"/>
      <c r="E42" s="11"/>
      <c r="F42" s="15"/>
      <c r="G42" s="15"/>
      <c r="H42" s="15"/>
      <c r="I42" s="15"/>
      <c r="J42" s="15"/>
      <c r="K42" s="15"/>
      <c r="L42" s="47"/>
      <c r="N42" s="47"/>
      <c r="O42" s="47" t="str">
        <f>_xlfn.LET(
    _xlpm.itemBuscado, B42,
    _xlpm.areaBuscada, C42,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TEXT(COUNTIF($C$2:C42, _xlpm.areaBuscada), "0000"),
    _xlpm.codItem &amp; "-" &amp; _xlpm.codArea &amp; "-" &amp; _xlpm.secuencia
)</f>
        <v>-SinArea-0000</v>
      </c>
      <c r="Q42" s="15"/>
      <c r="S42" s="48"/>
      <c r="AF42" s="71" t="s">
        <v>94</v>
      </c>
      <c r="AH42" t="s">
        <v>275</v>
      </c>
    </row>
    <row r="43" spans="3:44" ht="28.8" x14ac:dyDescent="0.3">
      <c r="C43" s="11"/>
      <c r="E43" s="11"/>
      <c r="F43" s="15"/>
      <c r="G43" s="15"/>
      <c r="H43" s="15"/>
      <c r="I43" s="15"/>
      <c r="J43" s="15"/>
      <c r="K43" s="15"/>
      <c r="L43" s="47"/>
      <c r="N43" s="47"/>
      <c r="O43" s="47" t="str">
        <f>_xlfn.LET(
    _xlpm.itemBuscado, B43,
    _xlpm.areaBuscada, C43,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TEXT(COUNTIF($C$2:C43, _xlpm.areaBuscada), "0000"),
    _xlpm.codItem &amp; "-" &amp; _xlpm.codArea &amp; "-" &amp; _xlpm.secuencia
)</f>
        <v>-SinArea-0000</v>
      </c>
      <c r="Q43" s="15"/>
      <c r="S43" s="48"/>
      <c r="AF43" s="72" t="s">
        <v>276</v>
      </c>
      <c r="AH43" s="20" t="s">
        <v>277</v>
      </c>
      <c r="AI43" t="s">
        <v>98</v>
      </c>
    </row>
    <row r="44" spans="3:44" x14ac:dyDescent="0.3">
      <c r="C44" s="11"/>
      <c r="E44" s="11"/>
      <c r="F44" s="15"/>
      <c r="G44" s="15"/>
      <c r="H44" s="15"/>
      <c r="I44" s="15"/>
      <c r="J44" s="15"/>
      <c r="K44" s="15"/>
      <c r="L44" s="47"/>
      <c r="N44" s="47"/>
      <c r="O44" s="47" t="str">
        <f>_xlfn.LET(
    _xlpm.itemBuscado, B44,
    _xlpm.areaBuscada, C44,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TEXT(COUNTIF($C$2:C44, _xlpm.areaBuscada), "0000"),
    _xlpm.codItem &amp; "-" &amp; _xlpm.codArea &amp; "-" &amp; _xlpm.secuencia
)</f>
        <v>-SinArea-0000</v>
      </c>
      <c r="Q44" s="15"/>
      <c r="S44" s="48"/>
      <c r="AF44" s="73" t="s">
        <v>278</v>
      </c>
      <c r="AH44" s="18" t="s">
        <v>279</v>
      </c>
      <c r="AI44" s="26" t="s">
        <v>280</v>
      </c>
    </row>
    <row r="45" spans="3:44" x14ac:dyDescent="0.3">
      <c r="C45" s="11"/>
      <c r="E45" s="11"/>
      <c r="F45" s="15"/>
      <c r="G45" s="15"/>
      <c r="H45" s="15"/>
      <c r="I45" s="15"/>
      <c r="J45" s="15"/>
      <c r="K45" s="15"/>
      <c r="L45" s="47"/>
      <c r="N45" s="47"/>
      <c r="O45" s="47" t="str">
        <f>_xlfn.LET(
    _xlpm.itemBuscado, B45,
    _xlpm.areaBuscada, C45,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TEXT(COUNTIF($C$2:C45, _xlpm.areaBuscada), "0000"),
    _xlpm.codItem &amp; "-" &amp; _xlpm.codArea &amp; "-" &amp; _xlpm.secuencia
)</f>
        <v>-SinArea-0000</v>
      </c>
      <c r="Q45" s="15"/>
      <c r="S45" s="48"/>
      <c r="AF45" t="s">
        <v>42</v>
      </c>
      <c r="AH45" s="26" t="s">
        <v>281</v>
      </c>
    </row>
    <row r="46" spans="3:44" x14ac:dyDescent="0.3">
      <c r="C46" s="11"/>
      <c r="E46" s="11"/>
      <c r="F46" s="15"/>
      <c r="G46" s="15"/>
      <c r="H46" s="15"/>
      <c r="I46" s="15"/>
      <c r="J46" s="15"/>
      <c r="K46" s="15"/>
      <c r="L46" s="47"/>
      <c r="N46" s="47"/>
      <c r="O46" s="47" t="str">
        <f>_xlfn.LET(
    _xlpm.itemBuscado, B46,
    _xlpm.areaBuscada, C46,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TEXT(COUNTIF($C$2:C46, _xlpm.areaBuscada), "0000"),
    _xlpm.codItem &amp; "-" &amp; _xlpm.codArea &amp; "-" &amp; _xlpm.secuencia
)</f>
        <v>-SinArea-0000</v>
      </c>
      <c r="Q46" s="15"/>
      <c r="S46" s="48"/>
    </row>
    <row r="47" spans="3:44" x14ac:dyDescent="0.3">
      <c r="C47" s="11"/>
      <c r="E47" s="11"/>
      <c r="F47" s="15"/>
      <c r="G47" s="15"/>
      <c r="H47" s="15"/>
      <c r="I47" s="15"/>
      <c r="J47" s="15"/>
      <c r="K47" s="15"/>
      <c r="L47" s="47"/>
      <c r="N47" s="47"/>
      <c r="O47" s="47" t="str">
        <f>_xlfn.LET(
    _xlpm.itemBuscado, B47,
    _xlpm.areaBuscada, C47,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TEXT(COUNTIF($C$2:C47, _xlpm.areaBuscada), "0000"),
    _xlpm.codItem &amp; "-" &amp; _xlpm.codArea &amp; "-" &amp; _xlpm.secuencia
)</f>
        <v>-SinArea-0000</v>
      </c>
      <c r="Q47" s="15"/>
      <c r="S47" s="48"/>
      <c r="AF47" t="s">
        <v>41</v>
      </c>
      <c r="AI47" t="s">
        <v>282</v>
      </c>
    </row>
    <row r="48" spans="3:44" ht="28.8" x14ac:dyDescent="0.3">
      <c r="C48" s="11"/>
      <c r="E48" s="11"/>
      <c r="F48" s="15"/>
      <c r="G48" s="15"/>
      <c r="H48" s="15"/>
      <c r="I48" s="15"/>
      <c r="J48" s="15"/>
      <c r="K48" s="15"/>
      <c r="L48" s="47"/>
      <c r="N48" s="47"/>
      <c r="O48" s="47" t="str">
        <f>_xlfn.LET(
    _xlpm.itemBuscado, B48,
    _xlpm.areaBuscada, C48,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TEXT(COUNTIF($C$2:C48, _xlpm.areaBuscada), "0000"),
    _xlpm.codItem &amp; "-" &amp; _xlpm.codArea &amp; "-" &amp; _xlpm.secuencia
)</f>
        <v>-SinArea-0000</v>
      </c>
      <c r="Q48" s="15"/>
      <c r="S48" s="48"/>
      <c r="AF48" t="s">
        <v>41</v>
      </c>
      <c r="AH48" t="s">
        <v>283</v>
      </c>
      <c r="AI48" s="74" t="s">
        <v>284</v>
      </c>
      <c r="AR48" t="s">
        <v>74</v>
      </c>
    </row>
    <row r="49" spans="3:44" x14ac:dyDescent="0.3">
      <c r="C49" s="11"/>
      <c r="E49" s="11"/>
      <c r="F49" s="15"/>
      <c r="G49" s="15"/>
      <c r="H49" s="15"/>
      <c r="I49" s="15"/>
      <c r="J49" s="15"/>
      <c r="K49" s="15"/>
      <c r="L49" s="47"/>
      <c r="N49" s="47"/>
      <c r="O49" s="47" t="str">
        <f>_xlfn.LET(
    _xlpm.itemBuscado, B49,
    _xlpm.areaBuscada, C49,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TEXT(COUNTIF($C$2:C49, _xlpm.areaBuscada), "0000"),
    _xlpm.codItem &amp; "-" &amp; _xlpm.codArea &amp; "-" &amp; _xlpm.secuencia
)</f>
        <v>-SinArea-0000</v>
      </c>
      <c r="Q49" s="15"/>
      <c r="S49" s="48"/>
      <c r="AF49" t="s">
        <v>285</v>
      </c>
      <c r="AH49" t="s">
        <v>286</v>
      </c>
      <c r="AR49" s="22" t="s">
        <v>74</v>
      </c>
    </row>
    <row r="50" spans="3:44" x14ac:dyDescent="0.3">
      <c r="C50" s="11"/>
      <c r="E50" s="11"/>
      <c r="F50" s="15"/>
      <c r="G50" s="15"/>
      <c r="H50" s="15"/>
      <c r="I50" s="15"/>
      <c r="J50" s="15"/>
      <c r="K50" s="15"/>
      <c r="L50" s="47"/>
      <c r="N50" s="47"/>
      <c r="O50" s="47" t="str">
        <f>_xlfn.LET(
    _xlpm.itemBuscado, B50,
    _xlpm.areaBuscada, C50,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TEXT(COUNTIF($C$2:C50, _xlpm.areaBuscada), "0000"),
    _xlpm.codItem &amp; "-" &amp; _xlpm.codArea &amp; "-" &amp; _xlpm.secuencia
)</f>
        <v>-SinArea-0000</v>
      </c>
      <c r="Q50" s="15"/>
      <c r="S50" s="48"/>
      <c r="AF50" t="s">
        <v>287</v>
      </c>
      <c r="AH50" t="s">
        <v>288</v>
      </c>
      <c r="AI50" t="s">
        <v>289</v>
      </c>
      <c r="AR50" s="18" t="s">
        <v>290</v>
      </c>
    </row>
    <row r="51" spans="3:44" x14ac:dyDescent="0.3">
      <c r="C51" s="11"/>
      <c r="E51" s="11"/>
      <c r="F51" s="15"/>
      <c r="G51" s="15"/>
      <c r="H51" s="15"/>
      <c r="I51" s="15"/>
      <c r="J51" s="15"/>
      <c r="K51" s="15"/>
      <c r="L51" s="47"/>
      <c r="N51" s="47"/>
      <c r="O51" s="47" t="str">
        <f>_xlfn.LET(
    _xlpm.itemBuscado, B51,
    _xlpm.areaBuscada, C51,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TEXT(COUNTIF($C$2:C51, _xlpm.areaBuscada), "0000"),
    _xlpm.codItem &amp; "-" &amp; _xlpm.codArea &amp; "-" &amp; _xlpm.secuencia
)</f>
        <v>-SinArea-0000</v>
      </c>
      <c r="Q51" s="15"/>
      <c r="S51" s="48"/>
      <c r="AI51" s="22" t="s">
        <v>291</v>
      </c>
    </row>
    <row r="52" spans="3:44" x14ac:dyDescent="0.3">
      <c r="C52" s="11"/>
      <c r="E52" s="11"/>
      <c r="F52" s="15"/>
      <c r="G52" s="15"/>
      <c r="H52" s="15"/>
      <c r="I52" s="15"/>
      <c r="J52" s="15"/>
      <c r="K52" s="15"/>
      <c r="L52" s="47"/>
      <c r="N52" s="47"/>
      <c r="O52" s="47" t="str">
        <f>_xlfn.LET(
    _xlpm.itemBuscado, B52,
    _xlpm.areaBuscada, C52,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TEXT(COUNTIF($C$2:C52, _xlpm.areaBuscada), "0000"),
    _xlpm.codItem &amp; "-" &amp; _xlpm.codArea &amp; "-" &amp; _xlpm.secuencia
)</f>
        <v>-SinArea-0000</v>
      </c>
      <c r="Q52" s="15"/>
      <c r="S52" s="48"/>
      <c r="AF52" t="s">
        <v>60</v>
      </c>
      <c r="AI52" s="67" t="s">
        <v>292</v>
      </c>
    </row>
    <row r="53" spans="3:44" x14ac:dyDescent="0.3">
      <c r="C53" s="11"/>
      <c r="E53" s="11"/>
      <c r="F53" s="15"/>
      <c r="G53" s="15"/>
      <c r="H53" s="15"/>
      <c r="I53" s="15"/>
      <c r="J53" s="15"/>
      <c r="K53" s="15"/>
      <c r="L53" s="47"/>
      <c r="N53" s="47"/>
      <c r="O53" s="47" t="str">
        <f>_xlfn.LET(
    _xlpm.itemBuscado, B53,
    _xlpm.areaBuscada, C53,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TEXT(COUNTIF($C$2:C53, _xlpm.areaBuscada), "0000"),
    _xlpm.codItem &amp; "-" &amp; _xlpm.codArea &amp; "-" &amp; _xlpm.secuencia
)</f>
        <v>-SinArea-0000</v>
      </c>
      <c r="Q53" s="15"/>
      <c r="S53" s="48"/>
      <c r="AF53" s="70" t="s">
        <v>293</v>
      </c>
      <c r="AI53" s="22" t="s">
        <v>294</v>
      </c>
    </row>
    <row r="54" spans="3:44" x14ac:dyDescent="0.3">
      <c r="C54" s="11"/>
      <c r="E54" s="11"/>
      <c r="F54" s="15"/>
      <c r="G54" s="15"/>
      <c r="H54" s="15"/>
      <c r="I54" s="15"/>
      <c r="J54" s="15"/>
      <c r="K54" s="15"/>
      <c r="L54" s="47"/>
      <c r="N54" s="47"/>
      <c r="O54" s="47" t="str">
        <f>_xlfn.LET(
    _xlpm.itemBuscado, B54,
    _xlpm.areaBuscada, C54,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TEXT(COUNTIF($C$2:C54, _xlpm.areaBuscada), "0000"),
    _xlpm.codItem &amp; "-" &amp; _xlpm.codArea &amp; "-" &amp; _xlpm.secuencia
)</f>
        <v>-SinArea-0000</v>
      </c>
      <c r="Q54" s="15"/>
      <c r="S54" s="48"/>
      <c r="AI54" s="22" t="s">
        <v>295</v>
      </c>
    </row>
    <row r="55" spans="3:44" x14ac:dyDescent="0.3">
      <c r="C55" s="11"/>
      <c r="E55" s="11"/>
      <c r="F55" s="15"/>
      <c r="G55" s="15"/>
      <c r="H55" s="15"/>
      <c r="I55" s="15"/>
      <c r="J55" s="15"/>
      <c r="K55" s="15"/>
      <c r="L55" s="47"/>
      <c r="N55" s="47"/>
      <c r="O55" s="47" t="str">
        <f>_xlfn.LET(
    _xlpm.itemBuscado, B55,
    _xlpm.areaBuscada, C55,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TEXT(COUNTIF($C$2:C55, _xlpm.areaBuscada), "0000"),
    _xlpm.codItem &amp; "-" &amp; _xlpm.codArea &amp; "-" &amp; _xlpm.secuencia
)</f>
        <v>-SinArea-0000</v>
      </c>
      <c r="Q55" s="15"/>
      <c r="S55" s="48"/>
      <c r="AI55" s="22" t="s">
        <v>296</v>
      </c>
    </row>
    <row r="56" spans="3:44" x14ac:dyDescent="0.3">
      <c r="C56" s="11"/>
      <c r="E56" s="11"/>
      <c r="F56" s="15"/>
      <c r="G56" s="15"/>
      <c r="H56" s="15"/>
      <c r="I56" s="15"/>
      <c r="J56" s="15"/>
      <c r="K56" s="15"/>
      <c r="L56" s="47"/>
      <c r="N56" s="47"/>
      <c r="O56" s="47" t="str">
        <f>_xlfn.LET(
    _xlpm.itemBuscado, B56,
    _xlpm.areaBuscada, C56,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TEXT(COUNTIF($C$2:C56, _xlpm.areaBuscada), "0000"),
    _xlpm.codItem &amp; "-" &amp; _xlpm.codArea &amp; "-" &amp; _xlpm.secuencia
)</f>
        <v>-SinArea-0000</v>
      </c>
      <c r="Q56" s="15"/>
      <c r="S56" s="48"/>
      <c r="AH56" t="s">
        <v>297</v>
      </c>
      <c r="AI56" s="18" t="s">
        <v>298</v>
      </c>
    </row>
    <row r="57" spans="3:44" x14ac:dyDescent="0.3">
      <c r="C57" s="11"/>
      <c r="E57" s="11"/>
      <c r="F57" s="15"/>
      <c r="G57" s="15"/>
      <c r="H57" s="15"/>
      <c r="I57" s="15"/>
      <c r="J57" s="15"/>
      <c r="K57" s="15"/>
      <c r="L57" s="47"/>
      <c r="N57" s="47"/>
      <c r="O57" s="47" t="str">
        <f>_xlfn.LET(
    _xlpm.itemBuscado, B57,
    _xlpm.areaBuscada, C57,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TEXT(COUNTIF($C$2:C57, _xlpm.areaBuscada), "0000"),
    _xlpm.codItem &amp; "-" &amp; _xlpm.codArea &amp; "-" &amp; _xlpm.secuencia
)</f>
        <v>-SinArea-0000</v>
      </c>
      <c r="Q57" s="15"/>
      <c r="S57" s="48"/>
      <c r="AH57" t="s">
        <v>299</v>
      </c>
      <c r="AI57" s="22" t="s">
        <v>300</v>
      </c>
    </row>
    <row r="58" spans="3:44" x14ac:dyDescent="0.3">
      <c r="C58" s="11"/>
      <c r="E58" s="11"/>
      <c r="F58" s="15"/>
      <c r="G58" s="15"/>
      <c r="H58" s="15"/>
      <c r="I58" s="15"/>
      <c r="J58" s="15"/>
      <c r="K58" s="15"/>
      <c r="L58" s="47"/>
      <c r="N58" s="47"/>
      <c r="O58" s="47" t="str">
        <f>_xlfn.LET(
    _xlpm.itemBuscado, B58,
    _xlpm.areaBuscada, C58,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TEXT(COUNTIF($C$2:C58, _xlpm.areaBuscada), "0000"),
    _xlpm.codItem &amp; "-" &amp; _xlpm.codArea &amp; "-" &amp; _xlpm.secuencia
)</f>
        <v>-SinArea-0000</v>
      </c>
      <c r="Q58" s="15"/>
      <c r="S58" s="48"/>
      <c r="AF58" t="s">
        <v>23</v>
      </c>
      <c r="AI58" s="18" t="s">
        <v>301</v>
      </c>
    </row>
    <row r="59" spans="3:44" x14ac:dyDescent="0.3">
      <c r="C59" s="11"/>
      <c r="E59" s="11"/>
      <c r="F59" s="15"/>
      <c r="G59" s="15"/>
      <c r="H59" s="15"/>
      <c r="I59" s="15"/>
      <c r="J59" s="15"/>
      <c r="K59" s="15"/>
      <c r="L59" s="47"/>
      <c r="N59" s="47"/>
      <c r="O59" s="47" t="str">
        <f>_xlfn.LET(
    _xlpm.itemBuscado, B59,
    _xlpm.areaBuscada, C59,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TEXT(COUNTIF($C$2:C59, _xlpm.areaBuscada), "0000"),
    _xlpm.codItem &amp; "-" &amp; _xlpm.codArea &amp; "-" &amp; _xlpm.secuencia
)</f>
        <v>-SinArea-0000</v>
      </c>
      <c r="Q59" s="15"/>
      <c r="S59" s="48"/>
      <c r="AF59" t="s">
        <v>302</v>
      </c>
      <c r="AI59" s="70" t="s">
        <v>303</v>
      </c>
    </row>
    <row r="60" spans="3:44" x14ac:dyDescent="0.3">
      <c r="C60" s="11"/>
      <c r="E60" s="11"/>
      <c r="F60" s="15"/>
      <c r="G60" s="15"/>
      <c r="H60" s="15"/>
      <c r="I60" s="15"/>
      <c r="J60" s="15"/>
      <c r="K60" s="15"/>
      <c r="L60" s="47"/>
      <c r="N60" s="47"/>
      <c r="O60" s="47" t="str">
        <f>_xlfn.LET(
    _xlpm.itemBuscado, B60,
    _xlpm.areaBuscada, C60,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TEXT(COUNTIF($C$2:C60, _xlpm.areaBuscada), "0000"),
    _xlpm.codItem &amp; "-" &amp; _xlpm.codArea &amp; "-" &amp; _xlpm.secuencia
)</f>
        <v>-SinArea-0000</v>
      </c>
      <c r="Q60" s="15"/>
      <c r="S60" s="48"/>
      <c r="AH60" t="s">
        <v>62</v>
      </c>
    </row>
    <row r="61" spans="3:44" x14ac:dyDescent="0.3">
      <c r="C61" s="11"/>
      <c r="E61" s="11"/>
      <c r="F61" s="15"/>
      <c r="G61" s="15"/>
      <c r="H61" s="15"/>
      <c r="I61" s="15"/>
      <c r="J61" s="15"/>
      <c r="K61" s="15"/>
      <c r="L61" s="47"/>
      <c r="N61" s="47"/>
      <c r="O61" s="47" t="str">
        <f>_xlfn.LET(
    _xlpm.itemBuscado, B61,
    _xlpm.areaBuscada, C61,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TEXT(COUNTIF($C$2:C61, _xlpm.areaBuscada), "0000"),
    _xlpm.codItem &amp; "-" &amp; _xlpm.codArea &amp; "-" &amp; _xlpm.secuencia
)</f>
        <v>-SinArea-0000</v>
      </c>
      <c r="Q61" s="15"/>
      <c r="S61" s="48"/>
      <c r="AH61" s="70" t="s">
        <v>304</v>
      </c>
      <c r="AI61" t="s">
        <v>305</v>
      </c>
    </row>
    <row r="62" spans="3:44" x14ac:dyDescent="0.3">
      <c r="C62" s="11"/>
      <c r="E62" s="11"/>
      <c r="F62" s="15"/>
      <c r="G62" s="15"/>
      <c r="H62" s="15"/>
      <c r="I62" s="15"/>
      <c r="J62" s="15"/>
      <c r="K62" s="15"/>
      <c r="L62" s="47"/>
      <c r="N62" s="47"/>
      <c r="O62" s="47" t="str">
        <f>_xlfn.LET(
    _xlpm.itemBuscado, B62,
    _xlpm.areaBuscada, C62,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TEXT(COUNTIF($C$2:C62, _xlpm.areaBuscada), "0000"),
    _xlpm.codItem &amp; "-" &amp; _xlpm.codArea &amp; "-" &amp; _xlpm.secuencia
)</f>
        <v>-SinArea-0000</v>
      </c>
      <c r="Q62" s="15"/>
      <c r="S62" s="48"/>
      <c r="AF62" t="s">
        <v>64</v>
      </c>
      <c r="AI62" t="s">
        <v>306</v>
      </c>
    </row>
    <row r="63" spans="3:44" x14ac:dyDescent="0.3">
      <c r="C63" s="11"/>
      <c r="E63" s="11"/>
      <c r="F63" s="15"/>
      <c r="G63" s="15"/>
      <c r="H63" s="15"/>
      <c r="I63" s="15"/>
      <c r="J63" s="15"/>
      <c r="K63" s="15"/>
      <c r="L63" s="47"/>
      <c r="N63" s="47"/>
      <c r="O63" s="47" t="str">
        <f>_xlfn.LET(
    _xlpm.itemBuscado, B63,
    _xlpm.areaBuscada, C63,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TEXT(COUNTIF($C$2:C63, _xlpm.areaBuscada), "0000"),
    _xlpm.codItem &amp; "-" &amp; _xlpm.codArea &amp; "-" &amp; _xlpm.secuencia
)</f>
        <v>-SinArea-0000</v>
      </c>
      <c r="Q63" s="15"/>
      <c r="S63" s="48"/>
      <c r="AF63" s="75" t="s">
        <v>307</v>
      </c>
      <c r="AH63" t="s">
        <v>89</v>
      </c>
    </row>
    <row r="64" spans="3:44" ht="28.8" x14ac:dyDescent="0.3">
      <c r="C64" s="11"/>
      <c r="E64" s="11"/>
      <c r="F64" s="15"/>
      <c r="G64" s="15"/>
      <c r="H64" s="15"/>
      <c r="I64" s="15"/>
      <c r="J64" s="15"/>
      <c r="K64" s="15"/>
      <c r="L64" s="47"/>
      <c r="N64" s="47"/>
      <c r="O64" s="47" t="str">
        <f>_xlfn.LET(
    _xlpm.itemBuscado, B64,
    _xlpm.areaBuscada, C64,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TEXT(COUNTIF($C$2:C64, _xlpm.areaBuscada), "0000"),
    _xlpm.codItem &amp; "-" &amp; _xlpm.codArea &amp; "-" &amp; _xlpm.secuencia
)</f>
        <v>-SinArea-0000</v>
      </c>
      <c r="Q64" s="15"/>
      <c r="S64" s="48"/>
      <c r="AF64" s="70" t="s">
        <v>308</v>
      </c>
      <c r="AH64" s="12" t="s">
        <v>309</v>
      </c>
      <c r="AI64" t="s">
        <v>102</v>
      </c>
    </row>
    <row r="65" spans="3:35" x14ac:dyDescent="0.3">
      <c r="C65" s="11"/>
      <c r="E65" s="11"/>
      <c r="F65" s="15"/>
      <c r="G65" s="15"/>
      <c r="H65" s="15"/>
      <c r="I65" s="15"/>
      <c r="J65" s="15"/>
      <c r="K65" s="15"/>
      <c r="L65" s="47"/>
      <c r="N65" s="47"/>
      <c r="O65" s="47" t="str">
        <f>_xlfn.LET(
    _xlpm.itemBuscado, B65,
    _xlpm.areaBuscada, C65,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TEXT(COUNTIF($C$2:C65, _xlpm.areaBuscada), "0000"),
    _xlpm.codItem &amp; "-" &amp; _xlpm.codArea &amp; "-" &amp; _xlpm.secuencia
)</f>
        <v>-SinArea-0000</v>
      </c>
      <c r="Q65" s="15"/>
      <c r="S65" s="48"/>
      <c r="AI65" t="s">
        <v>310</v>
      </c>
    </row>
    <row r="66" spans="3:35" x14ac:dyDescent="0.3">
      <c r="C66" s="11"/>
      <c r="E66" s="11"/>
      <c r="F66" s="15"/>
      <c r="G66" s="15"/>
      <c r="H66" s="15"/>
      <c r="I66" s="15"/>
      <c r="J66" s="15"/>
      <c r="K66" s="15"/>
      <c r="L66" s="47"/>
      <c r="N66" s="47"/>
      <c r="O66" s="47" t="str">
        <f>_xlfn.LET(
    _xlpm.itemBuscado, B66,
    _xlpm.areaBuscada, C66,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TEXT(COUNTIF($C$2:C66, _xlpm.areaBuscada), "0000"),
    _xlpm.codItem &amp; "-" &amp; _xlpm.codArea &amp; "-" &amp; _xlpm.secuencia
)</f>
        <v>-SinArea-0000</v>
      </c>
      <c r="Q66" s="15"/>
      <c r="S66" s="48"/>
      <c r="AF66" t="s">
        <v>101</v>
      </c>
      <c r="AH66" s="34" t="s">
        <v>73</v>
      </c>
    </row>
    <row r="67" spans="3:35" x14ac:dyDescent="0.3">
      <c r="C67" s="11"/>
      <c r="E67" s="11"/>
      <c r="F67" s="15"/>
      <c r="G67" s="15"/>
      <c r="H67" s="15"/>
      <c r="I67" s="15"/>
      <c r="J67" s="15"/>
      <c r="K67" s="15"/>
      <c r="L67" s="47"/>
      <c r="N67" s="47"/>
      <c r="O67" s="47" t="str">
        <f>_xlfn.LET(
    _xlpm.itemBuscado, B67,
    _xlpm.areaBuscada, C67,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TEXT(COUNTIF($C$2:C67, _xlpm.areaBuscada), "0000"),
    _xlpm.codItem &amp; "-" &amp; _xlpm.codArea &amp; "-" &amp; _xlpm.secuencia
)</f>
        <v>-SinArea-0000</v>
      </c>
      <c r="Q67" s="15"/>
      <c r="S67" s="48"/>
      <c r="AF67" t="s">
        <v>311</v>
      </c>
      <c r="AH67" s="22" t="s">
        <v>312</v>
      </c>
      <c r="AI67" t="s">
        <v>313</v>
      </c>
    </row>
    <row r="68" spans="3:35" x14ac:dyDescent="0.3">
      <c r="C68" s="11"/>
      <c r="E68" s="11"/>
      <c r="F68" s="15"/>
      <c r="G68" s="15"/>
      <c r="H68" s="15"/>
      <c r="I68" s="15"/>
      <c r="J68" s="15"/>
      <c r="K68" s="15"/>
      <c r="L68" s="47"/>
      <c r="N68" s="47"/>
      <c r="O68" s="47" t="str">
        <f>_xlfn.LET(
    _xlpm.itemBuscado, B68,
    _xlpm.areaBuscada, C68,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TEXT(COUNTIF($C$2:C68, _xlpm.areaBuscada), "0000"),
    _xlpm.codItem &amp; "-" &amp; _xlpm.codArea &amp; "-" &amp; _xlpm.secuencia
)</f>
        <v>-SinArea-0000</v>
      </c>
      <c r="Q68" s="15"/>
      <c r="S68" s="48"/>
      <c r="AI68" s="21" t="s">
        <v>314</v>
      </c>
    </row>
    <row r="69" spans="3:35" x14ac:dyDescent="0.3">
      <c r="C69" s="11"/>
      <c r="E69" s="11"/>
      <c r="F69" s="15"/>
      <c r="G69" s="15"/>
      <c r="H69" s="15"/>
      <c r="I69" s="15"/>
      <c r="J69" s="15"/>
      <c r="K69" s="15"/>
      <c r="L69" s="47"/>
      <c r="N69" s="47"/>
      <c r="O69" s="47" t="str">
        <f>_xlfn.LET(
    _xlpm.itemBuscado, B69,
    _xlpm.areaBuscada, C69,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TEXT(COUNTIF($C$2:C69, _xlpm.areaBuscada), "0000"),
    _xlpm.codItem &amp; "-" &amp; _xlpm.codArea &amp; "-" &amp; _xlpm.secuencia
)</f>
        <v>-SinArea-0000</v>
      </c>
      <c r="Q69" s="15"/>
      <c r="S69" s="48"/>
      <c r="AI69" s="70" t="s">
        <v>315</v>
      </c>
    </row>
    <row r="70" spans="3:35" x14ac:dyDescent="0.3">
      <c r="C70" s="11"/>
      <c r="E70" s="11"/>
      <c r="F70" s="15"/>
      <c r="G70" s="15"/>
      <c r="H70" s="15"/>
      <c r="I70" s="15"/>
      <c r="J70" s="15"/>
      <c r="K70" s="15"/>
      <c r="L70" s="47"/>
      <c r="N70" s="47"/>
      <c r="O70" s="47" t="str">
        <f>_xlfn.LET(
    _xlpm.itemBuscado, B70,
    _xlpm.areaBuscada, C70,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TEXT(COUNTIF($C$2:C70, _xlpm.areaBuscada), "0000"),
    _xlpm.codItem &amp; "-" &amp; _xlpm.codArea &amp; "-" &amp; _xlpm.secuencia
)</f>
        <v>-SinArea-0000</v>
      </c>
      <c r="Q70" s="15"/>
      <c r="S70" s="48"/>
    </row>
    <row r="71" spans="3:35" x14ac:dyDescent="0.3">
      <c r="C71" s="11"/>
      <c r="E71" s="11"/>
      <c r="F71" s="15"/>
      <c r="G71" s="15"/>
      <c r="H71" s="15"/>
      <c r="I71" s="15"/>
      <c r="J71" s="15"/>
      <c r="K71" s="15"/>
      <c r="L71" s="47"/>
      <c r="N71" s="47"/>
      <c r="O71" s="47" t="str">
        <f>_xlfn.LET(
    _xlpm.itemBuscado, B71,
    _xlpm.areaBuscada, C71,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TEXT(COUNTIF($C$2:C71, _xlpm.areaBuscada), "0000"),
    _xlpm.codItem &amp; "-" &amp; _xlpm.codArea &amp; "-" &amp; _xlpm.secuencia
)</f>
        <v>-SinArea-0000</v>
      </c>
      <c r="Q71" s="15"/>
      <c r="S71" s="48"/>
    </row>
    <row r="72" spans="3:35" x14ac:dyDescent="0.3">
      <c r="C72" s="11"/>
      <c r="E72" s="11"/>
      <c r="F72" s="15"/>
      <c r="G72" s="15"/>
      <c r="H72" s="15"/>
      <c r="I72" s="15"/>
      <c r="J72" s="15"/>
      <c r="K72" s="15"/>
      <c r="L72" s="47"/>
      <c r="N72" s="47"/>
      <c r="O72" s="47" t="str">
        <f>_xlfn.LET(
    _xlpm.itemBuscado, B72,
    _xlpm.areaBuscada, C72,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TEXT(COUNTIF($C$2:C72, _xlpm.areaBuscada), "0000"),
    _xlpm.codItem &amp; "-" &amp; _xlpm.codArea &amp; "-" &amp; _xlpm.secuencia
)</f>
        <v>-SinArea-0000</v>
      </c>
      <c r="Q72" s="15"/>
      <c r="S72" s="48"/>
    </row>
    <row r="73" spans="3:35" x14ac:dyDescent="0.3">
      <c r="C73" s="11"/>
      <c r="E73" s="11"/>
      <c r="F73" s="15"/>
      <c r="G73" s="15"/>
      <c r="H73" s="15"/>
      <c r="I73" s="15"/>
      <c r="J73" s="15"/>
      <c r="K73" s="15"/>
      <c r="L73" s="47"/>
      <c r="N73" s="47"/>
      <c r="O73" s="47" t="str">
        <f>_xlfn.LET(
    _xlpm.itemBuscado, B73,
    _xlpm.areaBuscada, C73,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TEXT(COUNTIF($C$2:C73, _xlpm.areaBuscada), "0000"),
    _xlpm.codItem &amp; "-" &amp; _xlpm.codArea &amp; "-" &amp; _xlpm.secuencia
)</f>
        <v>-SinArea-0000</v>
      </c>
      <c r="Q73" s="15"/>
      <c r="S73" s="48"/>
    </row>
    <row r="74" spans="3:35" x14ac:dyDescent="0.3">
      <c r="C74" s="11"/>
      <c r="E74" s="11"/>
      <c r="F74" s="15"/>
      <c r="G74" s="15"/>
      <c r="H74" s="15"/>
      <c r="I74" s="15"/>
      <c r="J74" s="15"/>
      <c r="K74" s="15"/>
      <c r="L74" s="47"/>
      <c r="N74" s="47"/>
      <c r="O74" s="47" t="str">
        <f>_xlfn.LET(
    _xlpm.itemBuscado, B74,
    _xlpm.areaBuscada, C74,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TEXT(COUNTIF($C$2:C74, _xlpm.areaBuscada), "0000"),
    _xlpm.codItem &amp; "-" &amp; _xlpm.codArea &amp; "-" &amp; _xlpm.secuencia
)</f>
        <v>-SinArea-0000</v>
      </c>
      <c r="Q74" s="15"/>
      <c r="S74" s="48"/>
    </row>
    <row r="75" spans="3:35" ht="57.6" x14ac:dyDescent="0.3">
      <c r="C75" s="11"/>
      <c r="E75" s="11"/>
      <c r="F75" s="15"/>
      <c r="G75" s="15"/>
      <c r="H75" s="15"/>
      <c r="I75" s="15"/>
      <c r="J75" s="15"/>
      <c r="K75" s="15"/>
      <c r="L75" s="47"/>
      <c r="N75" s="47"/>
      <c r="O75" s="47" t="str">
        <f>_xlfn.LET(
    _xlpm.itemBuscado, B75,
    _xlpm.areaBuscada, C75,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TEXT(COUNTIF($C$2:C75, _xlpm.areaBuscada), "0000"),
    _xlpm.codItem &amp; "-" &amp; _xlpm.codArea &amp; "-" &amp; _xlpm.secuencia
)</f>
        <v>-SinArea-0000</v>
      </c>
      <c r="Q75" s="15"/>
      <c r="S75" s="48"/>
      <c r="AF75" s="11" t="s">
        <v>316</v>
      </c>
    </row>
    <row r="76" spans="3:35" x14ac:dyDescent="0.3">
      <c r="C76" s="11"/>
      <c r="E76" s="11"/>
      <c r="F76" s="15"/>
      <c r="G76" s="15"/>
      <c r="H76" s="15"/>
      <c r="I76" s="15"/>
      <c r="J76" s="15"/>
      <c r="K76" s="15"/>
      <c r="L76" s="47"/>
      <c r="N76" s="47"/>
      <c r="O76" s="47" t="str">
        <f>_xlfn.LET(
    _xlpm.itemBuscado, B76,
    _xlpm.areaBuscada, C76,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TEXT(COUNTIF($C$2:C76, _xlpm.areaBuscada), "0000"),
    _xlpm.codItem &amp; "-" &amp; _xlpm.codArea &amp; "-" &amp; _xlpm.secuencia
)</f>
        <v>-SinArea-0000</v>
      </c>
      <c r="Q76" s="15"/>
      <c r="S76" s="48"/>
    </row>
    <row r="77" spans="3:35" x14ac:dyDescent="0.3">
      <c r="C77" s="11"/>
      <c r="E77" s="11"/>
      <c r="F77" s="15"/>
      <c r="G77" s="15"/>
      <c r="H77" s="15"/>
      <c r="I77" s="15"/>
      <c r="J77" s="15"/>
      <c r="K77" s="15"/>
      <c r="L77" s="47"/>
      <c r="N77" s="47"/>
      <c r="O77" s="47" t="str">
        <f>_xlfn.LET(
    _xlpm.itemBuscado, B77,
    _xlpm.areaBuscada, C77,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TEXT(COUNTIF($C$2:C77, _xlpm.areaBuscada), "0000"),
    _xlpm.codItem &amp; "-" &amp; _xlpm.codArea &amp; "-" &amp; _xlpm.secuencia
)</f>
        <v>-SinArea-0000</v>
      </c>
      <c r="Q77" s="15"/>
      <c r="S77" s="48"/>
    </row>
    <row r="78" spans="3:35" x14ac:dyDescent="0.3">
      <c r="C78" s="11"/>
      <c r="E78" s="11"/>
      <c r="F78" s="15"/>
      <c r="G78" s="15"/>
      <c r="H78" s="15"/>
      <c r="I78" s="15"/>
      <c r="J78" s="15"/>
      <c r="K78" s="15"/>
      <c r="L78" s="47"/>
      <c r="N78" s="47"/>
      <c r="O78" s="47" t="str">
        <f>_xlfn.LET(
    _xlpm.itemBuscado, B78,
    _xlpm.areaBuscada, C78,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TEXT(COUNTIF($C$2:C78, _xlpm.areaBuscada), "0000"),
    _xlpm.codItem &amp; "-" &amp; _xlpm.codArea &amp; "-" &amp; _xlpm.secuencia
)</f>
        <v>-SinArea-0000</v>
      </c>
      <c r="Q78" s="15"/>
      <c r="S78" s="48"/>
    </row>
    <row r="79" spans="3:35" x14ac:dyDescent="0.3">
      <c r="C79" s="11"/>
      <c r="E79" s="11"/>
      <c r="F79" s="15"/>
      <c r="G79" s="15"/>
      <c r="H79" s="15"/>
      <c r="I79" s="15"/>
      <c r="J79" s="15"/>
      <c r="K79" s="15"/>
      <c r="L79" s="47"/>
      <c r="N79" s="47"/>
      <c r="O79" s="47" t="str">
        <f>_xlfn.LET(
    _xlpm.itemBuscado, B79,
    _xlpm.areaBuscada, C79,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TEXT(COUNTIF($C$2:C79, _xlpm.areaBuscada), "0000"),
    _xlpm.codItem &amp; "-" &amp; _xlpm.codArea &amp; "-" &amp; _xlpm.secuencia
)</f>
        <v>-SinArea-0000</v>
      </c>
      <c r="Q79" s="15"/>
      <c r="S79" s="48"/>
    </row>
    <row r="80" spans="3:35" x14ac:dyDescent="0.3">
      <c r="C80" s="11"/>
      <c r="E80" s="11"/>
      <c r="F80" s="15"/>
      <c r="G80" s="15"/>
      <c r="H80" s="15"/>
      <c r="I80" s="15"/>
      <c r="J80" s="15"/>
      <c r="K80" s="15"/>
      <c r="L80" s="47"/>
      <c r="N80" s="47"/>
      <c r="O80" s="47" t="str">
        <f>_xlfn.LET(
    _xlpm.itemBuscado, B80,
    _xlpm.areaBuscada, C80,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TEXT(COUNTIF($C$2:C80, _xlpm.areaBuscada), "0000"),
    _xlpm.codItem &amp; "-" &amp; _xlpm.codArea &amp; "-" &amp; _xlpm.secuencia
)</f>
        <v>-SinArea-0000</v>
      </c>
      <c r="Q80" s="15"/>
      <c r="S80" s="48"/>
    </row>
    <row r="81" spans="3:19" x14ac:dyDescent="0.3">
      <c r="C81" s="11"/>
      <c r="E81" s="11"/>
      <c r="F81" s="15"/>
      <c r="G81" s="15"/>
      <c r="H81" s="15"/>
      <c r="I81" s="15"/>
      <c r="J81" s="15"/>
      <c r="K81" s="15"/>
      <c r="L81" s="47"/>
      <c r="N81" s="47"/>
      <c r="O81" s="47" t="str">
        <f>_xlfn.LET(
    _xlpm.itemBuscado, B81,
    _xlpm.areaBuscada, C81,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TEXT(COUNTIF($C$2:C81, _xlpm.areaBuscada), "0000"),
    _xlpm.codItem &amp; "-" &amp; _xlpm.codArea &amp; "-" &amp; _xlpm.secuencia
)</f>
        <v>-SinArea-0000</v>
      </c>
      <c r="Q81" s="15"/>
      <c r="S81" s="48"/>
    </row>
    <row r="82" spans="3:19" x14ac:dyDescent="0.3">
      <c r="C82" s="11"/>
      <c r="E82" s="11"/>
      <c r="F82" s="15"/>
      <c r="G82" s="15"/>
      <c r="H82" s="15"/>
      <c r="I82" s="15"/>
      <c r="J82" s="15"/>
      <c r="K82" s="15"/>
      <c r="L82" s="47"/>
      <c r="N82" s="47"/>
      <c r="O82" s="47" t="str">
        <f>_xlfn.LET(
    _xlpm.itemBuscado, B82,
    _xlpm.areaBuscada, C82,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TEXT(COUNTIF($C$2:C82, _xlpm.areaBuscada), "0000"),
    _xlpm.codItem &amp; "-" &amp; _xlpm.codArea &amp; "-" &amp; _xlpm.secuencia
)</f>
        <v>-SinArea-0000</v>
      </c>
      <c r="Q82" s="15"/>
      <c r="S82" s="48"/>
    </row>
    <row r="83" spans="3:19" x14ac:dyDescent="0.3">
      <c r="C83" s="11"/>
      <c r="E83" s="11"/>
      <c r="F83" s="15"/>
      <c r="G83" s="15"/>
      <c r="H83" s="15"/>
      <c r="I83" s="15"/>
      <c r="J83" s="15"/>
      <c r="K83" s="15"/>
      <c r="L83" s="47"/>
      <c r="N83" s="47"/>
      <c r="O83" s="47" t="str">
        <f>_xlfn.LET(
    _xlpm.itemBuscado, B83,
    _xlpm.areaBuscada, C83,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TEXT(COUNTIF($C$2:C83, _xlpm.areaBuscada), "0000"),
    _xlpm.codItem &amp; "-" &amp; _xlpm.codArea &amp; "-" &amp; _xlpm.secuencia
)</f>
        <v>-SinArea-0000</v>
      </c>
      <c r="Q83" s="15"/>
      <c r="S83" s="48"/>
    </row>
    <row r="84" spans="3:19" x14ac:dyDescent="0.3">
      <c r="C84" s="11"/>
      <c r="E84" s="11"/>
      <c r="F84" s="15"/>
      <c r="G84" s="15"/>
      <c r="H84" s="15"/>
      <c r="I84" s="15"/>
      <c r="J84" s="15"/>
      <c r="K84" s="15"/>
      <c r="L84" s="47"/>
      <c r="N84" s="47"/>
      <c r="O84" s="47" t="str">
        <f>_xlfn.LET(
    _xlpm.itemBuscado, B84,
    _xlpm.areaBuscada, C84,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TEXT(COUNTIF($C$2:C84, _xlpm.areaBuscada), "0000"),
    _xlpm.codItem &amp; "-" &amp; _xlpm.codArea &amp; "-" &amp; _xlpm.secuencia
)</f>
        <v>-SinArea-0000</v>
      </c>
      <c r="Q84" s="15"/>
      <c r="S84" s="48"/>
    </row>
    <row r="85" spans="3:19" x14ac:dyDescent="0.3">
      <c r="C85" s="11"/>
      <c r="E85" s="11"/>
      <c r="F85" s="15"/>
      <c r="G85" s="15"/>
      <c r="H85" s="15"/>
      <c r="I85" s="15"/>
      <c r="J85" s="15"/>
      <c r="K85" s="15"/>
      <c r="L85" s="47"/>
      <c r="N85" s="47"/>
      <c r="O85" s="47" t="str">
        <f>_xlfn.LET(
    _xlpm.itemBuscado, B85,
    _xlpm.areaBuscada, C85,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TEXT(COUNTIF($C$2:C85, _xlpm.areaBuscada), "0000"),
    _xlpm.codItem &amp; "-" &amp; _xlpm.codArea &amp; "-" &amp; _xlpm.secuencia
)</f>
        <v>-SinArea-0000</v>
      </c>
      <c r="Q85" s="15"/>
      <c r="S85" s="48"/>
    </row>
    <row r="86" spans="3:19" x14ac:dyDescent="0.3">
      <c r="C86" s="11"/>
      <c r="E86" s="11"/>
      <c r="F86" s="15"/>
      <c r="G86" s="15"/>
      <c r="H86" s="15"/>
      <c r="I86" s="15"/>
      <c r="J86" s="15"/>
      <c r="K86" s="15"/>
      <c r="L86" s="47"/>
      <c r="N86" s="47"/>
      <c r="O86" s="47" t="str">
        <f>_xlfn.LET(
    _xlpm.itemBuscado, B86,
    _xlpm.areaBuscada, C86,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TEXT(COUNTIF($C$2:C86, _xlpm.areaBuscada), "0000"),
    _xlpm.codItem &amp; "-" &amp; _xlpm.codArea &amp; "-" &amp; _xlpm.secuencia
)</f>
        <v>-SinArea-0000</v>
      </c>
      <c r="Q86" s="15"/>
      <c r="S86" s="48"/>
    </row>
    <row r="87" spans="3:19" x14ac:dyDescent="0.3">
      <c r="C87" s="11"/>
      <c r="E87" s="11"/>
      <c r="F87" s="15"/>
      <c r="G87" s="15"/>
      <c r="H87" s="15"/>
      <c r="I87" s="15"/>
      <c r="J87" s="15"/>
      <c r="K87" s="15"/>
      <c r="L87" s="47"/>
      <c r="N87" s="47"/>
      <c r="O87" s="47" t="str">
        <f>_xlfn.LET(
    _xlpm.itemBuscado, B87,
    _xlpm.areaBuscada, C87,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TEXT(COUNTIF($C$2:C87, _xlpm.areaBuscada), "0000"),
    _xlpm.codItem &amp; "-" &amp; _xlpm.codArea &amp; "-" &amp; _xlpm.secuencia
)</f>
        <v>-SinArea-0000</v>
      </c>
      <c r="Q87" s="15"/>
      <c r="S87" s="48"/>
    </row>
    <row r="88" spans="3:19" x14ac:dyDescent="0.3">
      <c r="C88" s="11"/>
      <c r="E88" s="11"/>
      <c r="F88" s="15"/>
      <c r="G88" s="15"/>
      <c r="H88" s="15"/>
      <c r="I88" s="15"/>
      <c r="J88" s="15"/>
      <c r="K88" s="15"/>
      <c r="L88" s="47"/>
      <c r="N88" s="47"/>
      <c r="O88" s="47" t="str">
        <f>_xlfn.LET(
    _xlpm.itemBuscado, B88,
    _xlpm.areaBuscada, C88,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TEXT(COUNTIF($C$2:C88, _xlpm.areaBuscada), "0000"),
    _xlpm.codItem &amp; "-" &amp; _xlpm.codArea &amp; "-" &amp; _xlpm.secuencia
)</f>
        <v>-SinArea-0000</v>
      </c>
      <c r="Q88" s="15"/>
      <c r="S88" s="48"/>
    </row>
    <row r="89" spans="3:19" x14ac:dyDescent="0.3">
      <c r="C89" s="11"/>
      <c r="E89" s="11"/>
      <c r="F89" s="15"/>
      <c r="G89" s="15"/>
      <c r="H89" s="15"/>
      <c r="I89" s="15"/>
      <c r="J89" s="15"/>
      <c r="K89" s="15"/>
      <c r="L89" s="47"/>
      <c r="N89" s="47"/>
      <c r="O89" s="47" t="str">
        <f>_xlfn.LET(
    _xlpm.itemBuscado, B89,
    _xlpm.areaBuscada, C89,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TEXT(COUNTIF($C$2:C89, _xlpm.areaBuscada), "0000"),
    _xlpm.codItem &amp; "-" &amp; _xlpm.codArea &amp; "-" &amp; _xlpm.secuencia
)</f>
        <v>-SinArea-0000</v>
      </c>
      <c r="Q89" s="15"/>
      <c r="S89" s="48"/>
    </row>
    <row r="90" spans="3:19" x14ac:dyDescent="0.3">
      <c r="C90" s="11"/>
      <c r="E90" s="11"/>
      <c r="F90" s="15"/>
      <c r="G90" s="15"/>
      <c r="H90" s="15"/>
      <c r="I90" s="15"/>
      <c r="J90" s="15"/>
      <c r="K90" s="15"/>
      <c r="L90" s="47"/>
      <c r="N90" s="47"/>
      <c r="O90" s="47" t="str">
        <f>_xlfn.LET(
    _xlpm.itemBuscado, B90,
    _xlpm.areaBuscada, C90,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TEXT(COUNTIF($C$2:C90, _xlpm.areaBuscada), "0000"),
    _xlpm.codItem &amp; "-" &amp; _xlpm.codArea &amp; "-" &amp; _xlpm.secuencia
)</f>
        <v>-SinArea-0000</v>
      </c>
      <c r="Q90" s="15"/>
      <c r="S90" s="48"/>
    </row>
    <row r="91" spans="3:19" x14ac:dyDescent="0.3">
      <c r="C91" s="11"/>
      <c r="E91" s="11"/>
      <c r="F91" s="15"/>
      <c r="G91" s="15"/>
      <c r="H91" s="15"/>
      <c r="I91" s="15"/>
      <c r="J91" s="15"/>
      <c r="K91" s="15"/>
      <c r="L91" s="47"/>
      <c r="N91" s="47"/>
      <c r="O91" s="47" t="str">
        <f>_xlfn.LET(
    _xlpm.itemBuscado, B91,
    _xlpm.areaBuscada, C91,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TEXT(COUNTIF($C$2:C91, _xlpm.areaBuscada), "0000"),
    _xlpm.codItem &amp; "-" &amp; _xlpm.codArea &amp; "-" &amp; _xlpm.secuencia
)</f>
        <v>-SinArea-0000</v>
      </c>
      <c r="Q91" s="15"/>
      <c r="S91" s="48"/>
    </row>
    <row r="92" spans="3:19" x14ac:dyDescent="0.3">
      <c r="C92" s="11"/>
      <c r="E92" s="11"/>
      <c r="F92" s="15"/>
      <c r="G92" s="15"/>
      <c r="H92" s="15"/>
      <c r="I92" s="15"/>
      <c r="J92" s="15"/>
      <c r="K92" s="15"/>
      <c r="L92" s="47"/>
      <c r="N92" s="47"/>
      <c r="O92" s="47" t="str">
        <f>_xlfn.LET(
    _xlpm.itemBuscado, B92,
    _xlpm.areaBuscada, C92,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TEXT(COUNTIF($C$2:C92, _xlpm.areaBuscada), "0000"),
    _xlpm.codItem &amp; "-" &amp; _xlpm.codArea &amp; "-" &amp; _xlpm.secuencia
)</f>
        <v>-SinArea-0000</v>
      </c>
      <c r="Q92" s="15"/>
      <c r="S92" s="48"/>
    </row>
    <row r="93" spans="3:19" x14ac:dyDescent="0.3">
      <c r="C93" s="11"/>
      <c r="E93" s="11"/>
      <c r="F93" s="15"/>
      <c r="G93" s="15"/>
      <c r="H93" s="15"/>
      <c r="I93" s="15"/>
      <c r="J93" s="15"/>
      <c r="K93" s="15"/>
      <c r="L93" s="47"/>
      <c r="N93" s="47"/>
      <c r="O93" s="47" t="str">
        <f>_xlfn.LET(
    _xlpm.itemBuscado, B93,
    _xlpm.areaBuscada, C93,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TEXT(COUNTIF($C$2:C93, _xlpm.areaBuscada), "0000"),
    _xlpm.codItem &amp; "-" &amp; _xlpm.codArea &amp; "-" &amp; _xlpm.secuencia
)</f>
        <v>-SinArea-0000</v>
      </c>
      <c r="Q93" s="15"/>
      <c r="S93" s="48"/>
    </row>
    <row r="94" spans="3:19" x14ac:dyDescent="0.3">
      <c r="C94" s="11"/>
      <c r="E94" s="11"/>
      <c r="F94" s="15"/>
      <c r="G94" s="15"/>
      <c r="H94" s="15"/>
      <c r="I94" s="15"/>
      <c r="J94" s="15"/>
      <c r="K94" s="15"/>
      <c r="L94" s="47"/>
      <c r="N94" s="47"/>
      <c r="O94" s="47" t="str">
        <f>_xlfn.LET(
    _xlpm.itemBuscado, B94,
    _xlpm.areaBuscada, C94,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TEXT(COUNTIF($C$2:C94, _xlpm.areaBuscada), "0000"),
    _xlpm.codItem &amp; "-" &amp; _xlpm.codArea &amp; "-" &amp; _xlpm.secuencia
)</f>
        <v>-SinArea-0000</v>
      </c>
      <c r="Q94" s="15"/>
      <c r="S94" s="48"/>
    </row>
    <row r="95" spans="3:19" x14ac:dyDescent="0.3">
      <c r="C95" s="11"/>
      <c r="E95" s="11"/>
      <c r="F95" s="15"/>
      <c r="G95" s="15"/>
      <c r="H95" s="15"/>
      <c r="I95" s="15"/>
      <c r="J95" s="15"/>
      <c r="K95" s="15"/>
      <c r="L95" s="47"/>
      <c r="N95" s="47"/>
      <c r="O95" s="47" t="str">
        <f>_xlfn.LET(
    _xlpm.itemBuscado, B95,
    _xlpm.areaBuscada, C95,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TEXT(COUNTIF($C$2:C95, _xlpm.areaBuscada), "0000"),
    _xlpm.codItem &amp; "-" &amp; _xlpm.codArea &amp; "-" &amp; _xlpm.secuencia
)</f>
        <v>-SinArea-0000</v>
      </c>
      <c r="Q95" s="15"/>
      <c r="S95" s="48"/>
    </row>
    <row r="96" spans="3:19" x14ac:dyDescent="0.3">
      <c r="C96" s="11"/>
      <c r="E96" s="11"/>
      <c r="F96" s="15"/>
      <c r="G96" s="15"/>
      <c r="H96" s="15"/>
      <c r="I96" s="15"/>
      <c r="J96" s="15"/>
      <c r="K96" s="15"/>
      <c r="L96" s="47"/>
      <c r="N96" s="47"/>
      <c r="O96" s="47" t="str">
        <f>_xlfn.LET(
    _xlpm.itemBuscado, B96,
    _xlpm.areaBuscada, C96,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TEXT(COUNTIF($C$2:C96, _xlpm.areaBuscada), "0000"),
    _xlpm.codItem &amp; "-" &amp; _xlpm.codArea &amp; "-" &amp; _xlpm.secuencia
)</f>
        <v>-SinArea-0000</v>
      </c>
      <c r="Q96" s="15"/>
      <c r="S96" s="48"/>
    </row>
    <row r="97" spans="3:19" x14ac:dyDescent="0.3">
      <c r="C97" s="11"/>
      <c r="E97" s="11"/>
      <c r="F97" s="15"/>
      <c r="G97" s="15"/>
      <c r="H97" s="15"/>
      <c r="I97" s="15"/>
      <c r="J97" s="15"/>
      <c r="K97" s="15"/>
      <c r="L97" s="47"/>
      <c r="N97" s="47"/>
      <c r="O97" s="47" t="str">
        <f>_xlfn.LET(
    _xlpm.itemBuscado, B97,
    _xlpm.areaBuscada, C97,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TEXT(COUNTIF($C$2:C97, _xlpm.areaBuscada), "0000"),
    _xlpm.codItem &amp; "-" &amp; _xlpm.codArea &amp; "-" &amp; _xlpm.secuencia
)</f>
        <v>-SinArea-0000</v>
      </c>
      <c r="Q97" s="15"/>
      <c r="S97" s="48"/>
    </row>
    <row r="98" spans="3:19" x14ac:dyDescent="0.3">
      <c r="C98" s="11"/>
      <c r="E98" s="11"/>
      <c r="F98" s="15"/>
      <c r="G98" s="15"/>
      <c r="H98" s="15"/>
      <c r="I98" s="15"/>
      <c r="J98" s="15"/>
      <c r="K98" s="15"/>
      <c r="L98" s="47"/>
      <c r="N98" s="47"/>
      <c r="O98" s="47" t="str">
        <f>_xlfn.LET(
    _xlpm.itemBuscado, B98,
    _xlpm.areaBuscada, C98,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TEXT(COUNTIF($C$2:C98, _xlpm.areaBuscada), "0000"),
    _xlpm.codItem &amp; "-" &amp; _xlpm.codArea &amp; "-" &amp; _xlpm.secuencia
)</f>
        <v>-SinArea-0000</v>
      </c>
      <c r="Q98" s="15"/>
      <c r="S98" s="48"/>
    </row>
    <row r="99" spans="3:19" x14ac:dyDescent="0.3">
      <c r="C99" s="11"/>
      <c r="E99" s="11"/>
      <c r="F99" s="15"/>
      <c r="G99" s="15"/>
      <c r="H99" s="15"/>
      <c r="I99" s="15"/>
      <c r="J99" s="15"/>
      <c r="K99" s="15"/>
      <c r="L99" s="47"/>
      <c r="N99" s="47"/>
      <c r="O99" s="47" t="str">
        <f>_xlfn.LET(
    _xlpm.itemBuscado, B99,
    _xlpm.areaBuscada, C99,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TEXT(COUNTIF($C$2:C99, _xlpm.areaBuscada), "0000"),
    _xlpm.codItem &amp; "-" &amp; _xlpm.codArea &amp; "-" &amp; _xlpm.secuencia
)</f>
        <v>-SinArea-0000</v>
      </c>
      <c r="Q99" s="15"/>
      <c r="S99" s="48"/>
    </row>
    <row r="100" spans="3:19" x14ac:dyDescent="0.3">
      <c r="C100" s="11"/>
      <c r="E100" s="11"/>
      <c r="F100" s="15"/>
      <c r="G100" s="15"/>
      <c r="H100" s="15"/>
      <c r="I100" s="15"/>
      <c r="J100" s="15"/>
      <c r="K100" s="15"/>
      <c r="L100" s="47"/>
      <c r="N100" s="47"/>
      <c r="O100" s="47" t="str">
        <f>_xlfn.LET(
    _xlpm.itemBuscado, B100,
    _xlpm.areaBuscada, C100,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TEXT(COUNTIF($C$2:C100, _xlpm.areaBuscada), "0000"),
    _xlpm.codItem &amp; "-" &amp; _xlpm.codArea &amp; "-" &amp; _xlpm.secuencia
)</f>
        <v>-SinArea-0000</v>
      </c>
      <c r="Q100" s="15"/>
      <c r="S100" s="48"/>
    </row>
    <row r="101" spans="3:19" x14ac:dyDescent="0.3">
      <c r="C101" s="11"/>
      <c r="E101" s="11"/>
      <c r="F101" s="15"/>
      <c r="G101" s="15"/>
      <c r="H101" s="15"/>
      <c r="I101" s="15"/>
      <c r="J101" s="15"/>
      <c r="K101" s="15"/>
      <c r="L101" s="47"/>
      <c r="N101" s="47"/>
      <c r="O101" s="47" t="str">
        <f>_xlfn.LET(
    _xlpm.itemBuscado, B101,
    _xlpm.areaBuscada, C101,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TEXT(COUNTIF($C$2:C101, _xlpm.areaBuscada), "0000"),
    _xlpm.codItem &amp; "-" &amp; _xlpm.codArea &amp; "-" &amp; _xlpm.secuencia
)</f>
        <v>-SinArea-0000</v>
      </c>
      <c r="Q101" s="15"/>
      <c r="S101" s="48"/>
    </row>
    <row r="102" spans="3:19" x14ac:dyDescent="0.3">
      <c r="C102" s="11"/>
      <c r="E102" s="11"/>
      <c r="F102" s="15"/>
      <c r="G102" s="15"/>
      <c r="H102" s="15"/>
      <c r="I102" s="15"/>
      <c r="J102" s="15"/>
      <c r="K102" s="15"/>
      <c r="L102" s="47"/>
      <c r="N102" s="47"/>
      <c r="O102" s="47" t="str">
        <f>_xlfn.LET(
    _xlpm.itemBuscado, B102,
    _xlpm.areaBuscada, C102,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TEXT(COUNTIF($C$2:C102, _xlpm.areaBuscada), "0000"),
    _xlpm.codItem &amp; "-" &amp; _xlpm.codArea &amp; "-" &amp; _xlpm.secuencia
)</f>
        <v>-SinArea-0000</v>
      </c>
      <c r="Q102" s="15"/>
      <c r="S102" s="48"/>
    </row>
    <row r="103" spans="3:19" x14ac:dyDescent="0.3">
      <c r="C103" s="11"/>
      <c r="E103" s="11"/>
      <c r="F103" s="15"/>
      <c r="G103" s="15"/>
      <c r="H103" s="15"/>
      <c r="I103" s="15"/>
      <c r="J103" s="15"/>
      <c r="K103" s="15"/>
      <c r="L103" s="47"/>
      <c r="N103" s="47"/>
      <c r="O103" s="47" t="str">
        <f>_xlfn.LET(
    _xlpm.itemBuscado, B103,
    _xlpm.areaBuscada, C103,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TEXT(COUNTIF($C$2:C103, _xlpm.areaBuscada), "0000"),
    _xlpm.codItem &amp; "-" &amp; _xlpm.codArea &amp; "-" &amp; _xlpm.secuencia
)</f>
        <v>-SinArea-0000</v>
      </c>
      <c r="Q103" s="15"/>
      <c r="S103" s="48"/>
    </row>
    <row r="104" spans="3:19" x14ac:dyDescent="0.3">
      <c r="C104" s="11"/>
      <c r="E104" s="11"/>
      <c r="F104" s="15"/>
      <c r="G104" s="15"/>
      <c r="H104" s="15"/>
      <c r="I104" s="15"/>
      <c r="J104" s="15"/>
      <c r="K104" s="15"/>
      <c r="L104" s="47"/>
      <c r="N104" s="47"/>
      <c r="O104" s="47" t="str">
        <f>_xlfn.LET(
    _xlpm.itemBuscado, B104,
    _xlpm.areaBuscada, C104,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TEXT(COUNTIF($C$2:C104, _xlpm.areaBuscada), "0000"),
    _xlpm.codItem &amp; "-" &amp; _xlpm.codArea &amp; "-" &amp; _xlpm.secuencia
)</f>
        <v>-SinArea-0000</v>
      </c>
      <c r="Q104" s="15"/>
      <c r="S104" s="48"/>
    </row>
    <row r="105" spans="3:19" x14ac:dyDescent="0.3">
      <c r="C105" s="11"/>
      <c r="E105" s="11"/>
      <c r="F105" s="15"/>
      <c r="G105" s="15"/>
      <c r="H105" s="15"/>
      <c r="I105" s="15"/>
      <c r="J105" s="15"/>
      <c r="K105" s="15"/>
      <c r="L105" s="47"/>
      <c r="N105" s="47"/>
      <c r="O105" s="47" t="str">
        <f>_xlfn.LET(
    _xlpm.itemBuscado, B105,
    _xlpm.areaBuscada, C105,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TEXT(COUNTIF($C$2:C105, _xlpm.areaBuscada), "0000"),
    _xlpm.codItem &amp; "-" &amp; _xlpm.codArea &amp; "-" &amp; _xlpm.secuencia
)</f>
        <v>-SinArea-0000</v>
      </c>
      <c r="Q105" s="15"/>
      <c r="S105" s="48"/>
    </row>
    <row r="106" spans="3:19" x14ac:dyDescent="0.3">
      <c r="C106" s="11"/>
      <c r="E106" s="11"/>
      <c r="F106" s="15"/>
      <c r="G106" s="15"/>
      <c r="H106" s="15"/>
      <c r="I106" s="15"/>
      <c r="J106" s="15"/>
      <c r="K106" s="15"/>
      <c r="L106" s="47"/>
      <c r="N106" s="47"/>
      <c r="O106" s="47" t="str">
        <f>_xlfn.LET(
    _xlpm.itemBuscado, B106,
    _xlpm.areaBuscada, C106,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TEXT(COUNTIF($C$2:C106, _xlpm.areaBuscada), "0000"),
    _xlpm.codItem &amp; "-" &amp; _xlpm.codArea &amp; "-" &amp; _xlpm.secuencia
)</f>
        <v>-SinArea-0000</v>
      </c>
      <c r="Q106" s="15"/>
      <c r="S106" s="48"/>
    </row>
    <row r="107" spans="3:19" x14ac:dyDescent="0.3">
      <c r="C107" s="11"/>
      <c r="E107" s="11"/>
      <c r="F107" s="15"/>
      <c r="G107" s="15"/>
      <c r="H107" s="15"/>
      <c r="I107" s="15"/>
      <c r="J107" s="15"/>
      <c r="K107" s="15"/>
      <c r="L107" s="47"/>
      <c r="N107" s="47"/>
      <c r="O107" s="47" t="str">
        <f>_xlfn.LET(
    _xlpm.itemBuscado, B107,
    _xlpm.areaBuscada, C107,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TEXT(COUNTIF($C$2:C107, _xlpm.areaBuscada), "0000"),
    _xlpm.codItem &amp; "-" &amp; _xlpm.codArea &amp; "-" &amp; _xlpm.secuencia
)</f>
        <v>-SinArea-0000</v>
      </c>
      <c r="Q107" s="15"/>
      <c r="S107" s="48"/>
    </row>
    <row r="108" spans="3:19" x14ac:dyDescent="0.3">
      <c r="C108" s="11"/>
      <c r="E108" s="11"/>
      <c r="F108" s="15"/>
      <c r="G108" s="15"/>
      <c r="H108" s="15"/>
      <c r="I108" s="15"/>
      <c r="J108" s="15"/>
      <c r="K108" s="15"/>
      <c r="L108" s="47"/>
      <c r="N108" s="47"/>
      <c r="O108" s="47" t="str">
        <f>_xlfn.LET(
    _xlpm.itemBuscado, B108,
    _xlpm.areaBuscada, C108,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TEXT(COUNTIF($C$2:C108, _xlpm.areaBuscada), "0000"),
    _xlpm.codItem &amp; "-" &amp; _xlpm.codArea &amp; "-" &amp; _xlpm.secuencia
)</f>
        <v>-SinArea-0000</v>
      </c>
      <c r="Q108" s="15"/>
      <c r="S108" s="48"/>
    </row>
    <row r="109" spans="3:19" x14ac:dyDescent="0.3">
      <c r="C109" s="11"/>
      <c r="E109" s="11"/>
      <c r="F109" s="15"/>
      <c r="G109" s="15"/>
      <c r="H109" s="15"/>
      <c r="I109" s="15"/>
      <c r="J109" s="15"/>
      <c r="K109" s="15"/>
      <c r="L109" s="47"/>
      <c r="N109" s="47"/>
      <c r="O109" s="47" t="str">
        <f>_xlfn.LET(
    _xlpm.itemBuscado, B109,
    _xlpm.areaBuscada, C109,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TEXT(COUNTIF($C$2:C109, _xlpm.areaBuscada), "0000"),
    _xlpm.codItem &amp; "-" &amp; _xlpm.codArea &amp; "-" &amp; _xlpm.secuencia
)</f>
        <v>-SinArea-0000</v>
      </c>
      <c r="Q109" s="15"/>
      <c r="S109" s="48"/>
    </row>
    <row r="110" spans="3:19" x14ac:dyDescent="0.3">
      <c r="C110" s="11"/>
      <c r="E110" s="11"/>
      <c r="F110" s="15"/>
      <c r="G110" s="15"/>
      <c r="H110" s="15"/>
      <c r="I110" s="15"/>
      <c r="J110" s="15"/>
      <c r="K110" s="15"/>
      <c r="L110" s="47"/>
      <c r="N110" s="47"/>
      <c r="O110" s="47" t="str">
        <f>_xlfn.LET(
    _xlpm.itemBuscado, B110,
    _xlpm.areaBuscada, C110,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TEXT(COUNTIF($C$2:C110, _xlpm.areaBuscada), "0000"),
    _xlpm.codItem &amp; "-" &amp; _xlpm.codArea &amp; "-" &amp; _xlpm.secuencia
)</f>
        <v>-SinArea-0000</v>
      </c>
      <c r="Q110" s="15"/>
      <c r="S110" s="48"/>
    </row>
    <row r="111" spans="3:19" x14ac:dyDescent="0.3">
      <c r="C111" s="11"/>
      <c r="E111" s="11"/>
      <c r="F111" s="15"/>
      <c r="G111" s="15"/>
      <c r="H111" s="15"/>
      <c r="I111" s="15"/>
      <c r="J111" s="15"/>
      <c r="K111" s="15"/>
      <c r="L111" s="47"/>
      <c r="N111" s="47"/>
      <c r="O111" s="47" t="str">
        <f>_xlfn.LET(
    _xlpm.itemBuscado, B111,
    _xlpm.areaBuscada, C111,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TEXT(COUNTIF($C$2:C111, _xlpm.areaBuscada), "0000"),
    _xlpm.codItem &amp; "-" &amp; _xlpm.codArea &amp; "-" &amp; _xlpm.secuencia
)</f>
        <v>-SinArea-0000</v>
      </c>
      <c r="Q111" s="15"/>
      <c r="S111" s="48"/>
    </row>
    <row r="112" spans="3:19" x14ac:dyDescent="0.3">
      <c r="C112" s="11"/>
      <c r="E112" s="11"/>
      <c r="F112" s="15"/>
      <c r="G112" s="15"/>
      <c r="H112" s="15"/>
      <c r="I112" s="15"/>
      <c r="J112" s="15"/>
      <c r="K112" s="15"/>
      <c r="L112" s="47"/>
      <c r="N112" s="47"/>
      <c r="O112" s="47" t="str">
        <f>_xlfn.LET(
    _xlpm.itemBuscado, B112,
    _xlpm.areaBuscada, C112,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TEXT(COUNTIF($C$2:C112, _xlpm.areaBuscada), "0000"),
    _xlpm.codItem &amp; "-" &amp; _xlpm.codArea &amp; "-" &amp; _xlpm.secuencia
)</f>
        <v>-SinArea-0000</v>
      </c>
      <c r="Q112" s="15"/>
      <c r="S112" s="48"/>
    </row>
    <row r="113" spans="3:19" x14ac:dyDescent="0.3">
      <c r="C113" s="11"/>
      <c r="E113" s="11"/>
      <c r="F113" s="15"/>
      <c r="G113" s="15"/>
      <c r="H113" s="15"/>
      <c r="I113" s="15"/>
      <c r="J113" s="15"/>
      <c r="K113" s="15"/>
      <c r="L113" s="47"/>
      <c r="N113" s="47"/>
      <c r="O113" s="47" t="str">
        <f>_xlfn.LET(
    _xlpm.itemBuscado, B113,
    _xlpm.areaBuscada, C113,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TEXT(COUNTIF($C$2:C113, _xlpm.areaBuscada), "0000"),
    _xlpm.codItem &amp; "-" &amp; _xlpm.codArea &amp; "-" &amp; _xlpm.secuencia
)</f>
        <v>-SinArea-0000</v>
      </c>
      <c r="Q113" s="15"/>
      <c r="S113" s="48"/>
    </row>
    <row r="114" spans="3:19" x14ac:dyDescent="0.3">
      <c r="C114" s="11"/>
      <c r="E114" s="11"/>
      <c r="F114" s="15"/>
      <c r="G114" s="15"/>
      <c r="H114" s="15"/>
      <c r="I114" s="15"/>
      <c r="J114" s="15"/>
      <c r="K114" s="15"/>
      <c r="L114" s="47"/>
      <c r="N114" s="47"/>
      <c r="O114" s="47" t="str">
        <f>_xlfn.LET(
    _xlpm.itemBuscado, B114,
    _xlpm.areaBuscada, C114,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TEXT(COUNTIF($C$2:C114, _xlpm.areaBuscada), "0000"),
    _xlpm.codItem &amp; "-" &amp; _xlpm.codArea &amp; "-" &amp; _xlpm.secuencia
)</f>
        <v>-SinArea-0000</v>
      </c>
      <c r="Q114" s="15"/>
      <c r="S114" s="48"/>
    </row>
    <row r="115" spans="3:19" x14ac:dyDescent="0.3">
      <c r="C115" s="11"/>
      <c r="E115" s="11"/>
      <c r="F115" s="15"/>
      <c r="G115" s="15"/>
      <c r="H115" s="15"/>
      <c r="I115" s="15"/>
      <c r="J115" s="15"/>
      <c r="K115" s="15"/>
      <c r="L115" s="47"/>
      <c r="N115" s="47"/>
      <c r="O115" s="47" t="str">
        <f>_xlfn.LET(
    _xlpm.itemBuscado, B115,
    _xlpm.areaBuscada, C115,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TEXT(COUNTIF($C$2:C115, _xlpm.areaBuscada), "0000"),
    _xlpm.codItem &amp; "-" &amp; _xlpm.codArea &amp; "-" &amp; _xlpm.secuencia
)</f>
        <v>-SinArea-0000</v>
      </c>
      <c r="Q115" s="15"/>
      <c r="S115" s="48"/>
    </row>
    <row r="116" spans="3:19" x14ac:dyDescent="0.3">
      <c r="C116" s="11"/>
      <c r="E116" s="11"/>
      <c r="F116" s="15"/>
      <c r="G116" s="15"/>
      <c r="H116" s="15"/>
      <c r="I116" s="15"/>
      <c r="J116" s="15"/>
      <c r="K116" s="15"/>
      <c r="L116" s="47"/>
      <c r="N116" s="47"/>
      <c r="O116" s="47" t="str">
        <f>_xlfn.LET(
    _xlpm.itemBuscado, B116,
    _xlpm.areaBuscada, C116,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TEXT(COUNTIF($C$2:C116, _xlpm.areaBuscada), "0000"),
    _xlpm.codItem &amp; "-" &amp; _xlpm.codArea &amp; "-" &amp; _xlpm.secuencia
)</f>
        <v>-SinArea-0000</v>
      </c>
      <c r="Q116" s="15"/>
      <c r="S116" s="48"/>
    </row>
    <row r="117" spans="3:19" x14ac:dyDescent="0.3">
      <c r="C117" s="11"/>
      <c r="E117" s="11"/>
      <c r="F117" s="15"/>
      <c r="G117" s="15"/>
      <c r="H117" s="15"/>
      <c r="I117" s="15"/>
      <c r="J117" s="15"/>
      <c r="K117" s="15"/>
      <c r="L117" s="47"/>
      <c r="N117" s="47"/>
      <c r="O117" s="47" t="str">
        <f>_xlfn.LET(
    _xlpm.itemBuscado, B117,
    _xlpm.areaBuscada, C117,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TEXT(COUNTIF($C$2:C117, _xlpm.areaBuscada), "0000"),
    _xlpm.codItem &amp; "-" &amp; _xlpm.codArea &amp; "-" &amp; _xlpm.secuencia
)</f>
        <v>-SinArea-0000</v>
      </c>
      <c r="Q117" s="15"/>
      <c r="S117" s="48"/>
    </row>
    <row r="118" spans="3:19" x14ac:dyDescent="0.3">
      <c r="C118" s="11"/>
      <c r="E118" s="11"/>
      <c r="F118" s="15"/>
      <c r="G118" s="15"/>
      <c r="H118" s="15"/>
      <c r="I118" s="15"/>
      <c r="J118" s="15"/>
      <c r="K118" s="15"/>
      <c r="L118" s="47"/>
      <c r="N118" s="47"/>
      <c r="O118" s="47" t="str">
        <f>_xlfn.LET(
    _xlpm.itemBuscado, B118,
    _xlpm.areaBuscada, C118,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TEXT(COUNTIF($C$2:C118, _xlpm.areaBuscada), "0000"),
    _xlpm.codItem &amp; "-" &amp; _xlpm.codArea &amp; "-" &amp; _xlpm.secuencia
)</f>
        <v>-SinArea-0000</v>
      </c>
      <c r="Q118" s="15"/>
      <c r="S118" s="48"/>
    </row>
    <row r="119" spans="3:19" x14ac:dyDescent="0.3">
      <c r="C119" s="11"/>
      <c r="E119" s="11"/>
      <c r="F119" s="15"/>
      <c r="G119" s="15"/>
      <c r="H119" s="15"/>
      <c r="I119" s="15"/>
      <c r="J119" s="15"/>
      <c r="K119" s="15"/>
      <c r="L119" s="47"/>
      <c r="N119" s="47"/>
      <c r="O119" s="47" t="str">
        <f>_xlfn.LET(
    _xlpm.itemBuscado, B119,
    _xlpm.areaBuscada, C119,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TEXT(COUNTIF($C$2:C119, _xlpm.areaBuscada), "0000"),
    _xlpm.codItem &amp; "-" &amp; _xlpm.codArea &amp; "-" &amp; _xlpm.secuencia
)</f>
        <v>-SinArea-0000</v>
      </c>
      <c r="Q119" s="15"/>
      <c r="S119" s="48"/>
    </row>
    <row r="120" spans="3:19" x14ac:dyDescent="0.3">
      <c r="C120" s="11"/>
      <c r="E120" s="11"/>
      <c r="F120" s="15"/>
      <c r="G120" s="15"/>
      <c r="H120" s="15"/>
      <c r="I120" s="15"/>
      <c r="J120" s="15"/>
      <c r="K120" s="15"/>
      <c r="L120" s="47"/>
      <c r="N120" s="47"/>
      <c r="O120" s="47" t="str">
        <f>_xlfn.LET(
    _xlpm.itemBuscado, B120,
    _xlpm.areaBuscada, C120,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TEXT(COUNTIF($C$2:C120, _xlpm.areaBuscada), "0000"),
    _xlpm.codItem &amp; "-" &amp; _xlpm.codArea &amp; "-" &amp; _xlpm.secuencia
)</f>
        <v>-SinArea-0000</v>
      </c>
      <c r="Q120" s="15"/>
      <c r="S120" s="48"/>
    </row>
    <row r="121" spans="3:19" x14ac:dyDescent="0.3">
      <c r="C121" s="11"/>
      <c r="E121" s="11"/>
      <c r="F121" s="15"/>
      <c r="G121" s="15"/>
      <c r="H121" s="15"/>
      <c r="I121" s="15"/>
      <c r="J121" s="15"/>
      <c r="K121" s="15"/>
      <c r="L121" s="47"/>
      <c r="N121" s="47"/>
      <c r="O121" s="47" t="str">
        <f>_xlfn.LET(
    _xlpm.itemBuscado, B121,
    _xlpm.areaBuscada, C121,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TEXT(COUNTIF($C$2:C121, _xlpm.areaBuscada), "0000"),
    _xlpm.codItem &amp; "-" &amp; _xlpm.codArea &amp; "-" &amp; _xlpm.secuencia
)</f>
        <v>-SinArea-0000</v>
      </c>
      <c r="Q121" s="15"/>
      <c r="S121" s="48"/>
    </row>
    <row r="122" spans="3:19" x14ac:dyDescent="0.3">
      <c r="C122" s="11"/>
      <c r="E122" s="11"/>
      <c r="F122" s="15"/>
      <c r="G122" s="15"/>
      <c r="H122" s="15"/>
      <c r="I122" s="15"/>
      <c r="J122" s="15"/>
      <c r="K122" s="15"/>
      <c r="L122" s="47"/>
      <c r="N122" s="47"/>
      <c r="O122" s="47" t="str">
        <f>_xlfn.LET(
    _xlpm.itemBuscado, B122,
    _xlpm.areaBuscada, C122,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TEXT(COUNTIF($C$2:C122, _xlpm.areaBuscada), "0000"),
    _xlpm.codItem &amp; "-" &amp; _xlpm.codArea &amp; "-" &amp; _xlpm.secuencia
)</f>
        <v>-SinArea-0000</v>
      </c>
      <c r="Q122" s="15"/>
      <c r="S122" s="48"/>
    </row>
    <row r="123" spans="3:19" x14ac:dyDescent="0.3">
      <c r="C123" s="11"/>
      <c r="E123" s="11"/>
      <c r="F123" s="15"/>
      <c r="G123" s="15"/>
      <c r="H123" s="15"/>
      <c r="I123" s="15"/>
      <c r="J123" s="15"/>
      <c r="K123" s="15"/>
      <c r="L123" s="47"/>
      <c r="N123" s="47"/>
      <c r="O123" s="47" t="str">
        <f>_xlfn.LET(
    _xlpm.itemBuscado, B123,
    _xlpm.areaBuscada, C123,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TEXT(COUNTIF($C$2:C123, _xlpm.areaBuscada), "0000"),
    _xlpm.codItem &amp; "-" &amp; _xlpm.codArea &amp; "-" &amp; _xlpm.secuencia
)</f>
        <v>-SinArea-0000</v>
      </c>
      <c r="Q123" s="15"/>
      <c r="S123" s="48"/>
    </row>
    <row r="124" spans="3:19" x14ac:dyDescent="0.3">
      <c r="C124" s="11"/>
      <c r="E124" s="11"/>
      <c r="F124" s="15"/>
      <c r="G124" s="15"/>
      <c r="H124" s="15"/>
      <c r="I124" s="15"/>
      <c r="J124" s="15"/>
      <c r="K124" s="15"/>
      <c r="L124" s="47"/>
      <c r="N124" s="47"/>
      <c r="O124" s="47" t="str">
        <f>_xlfn.LET(
    _xlpm.itemBuscado, B124,
    _xlpm.areaBuscada, C124,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TEXT(COUNTIF($C$2:C124, _xlpm.areaBuscada), "0000"),
    _xlpm.codItem &amp; "-" &amp; _xlpm.codArea &amp; "-" &amp; _xlpm.secuencia
)</f>
        <v>-SinArea-0000</v>
      </c>
      <c r="Q124" s="15"/>
      <c r="S124" s="48"/>
    </row>
    <row r="125" spans="3:19" x14ac:dyDescent="0.3">
      <c r="C125" s="11"/>
      <c r="E125" s="11"/>
      <c r="F125" s="15"/>
      <c r="G125" s="15"/>
      <c r="H125" s="15"/>
      <c r="I125" s="15"/>
      <c r="J125" s="15"/>
      <c r="K125" s="15"/>
      <c r="L125" s="47"/>
      <c r="N125" s="47"/>
      <c r="O125" s="47" t="str">
        <f>_xlfn.LET(
    _xlpm.itemBuscado, B125,
    _xlpm.areaBuscada, C125,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TEXT(COUNTIF($C$2:C125, _xlpm.areaBuscada), "0000"),
    _xlpm.codItem &amp; "-" &amp; _xlpm.codArea &amp; "-" &amp; _xlpm.secuencia
)</f>
        <v>-SinArea-0000</v>
      </c>
      <c r="Q125" s="15"/>
      <c r="S125" s="48"/>
    </row>
    <row r="126" spans="3:19" x14ac:dyDescent="0.3">
      <c r="C126" s="11"/>
      <c r="E126" s="11"/>
      <c r="F126" s="15"/>
      <c r="G126" s="15"/>
      <c r="H126" s="15"/>
      <c r="I126" s="15"/>
      <c r="J126" s="15"/>
      <c r="K126" s="15"/>
      <c r="L126" s="47"/>
      <c r="N126" s="47"/>
      <c r="O126" s="47" t="str">
        <f>_xlfn.LET(
    _xlpm.itemBuscado, B126,
    _xlpm.areaBuscada, C126,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TEXT(COUNTIF($C$2:C126, _xlpm.areaBuscada), "0000"),
    _xlpm.codItem &amp; "-" &amp; _xlpm.codArea &amp; "-" &amp; _xlpm.secuencia
)</f>
        <v>-SinArea-0000</v>
      </c>
      <c r="Q126" s="15"/>
      <c r="S126" s="48"/>
    </row>
    <row r="127" spans="3:19" x14ac:dyDescent="0.3">
      <c r="C127" s="11"/>
      <c r="E127" s="11"/>
      <c r="F127" s="15"/>
      <c r="G127" s="15"/>
      <c r="H127" s="15"/>
      <c r="I127" s="15"/>
      <c r="J127" s="15"/>
      <c r="K127" s="15"/>
      <c r="L127" s="47"/>
      <c r="N127" s="47"/>
      <c r="O127" s="47" t="str">
        <f>_xlfn.LET(
    _xlpm.itemBuscado, B127,
    _xlpm.areaBuscada, C127,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TEXT(COUNTIF($C$2:C127, _xlpm.areaBuscada), "0000"),
    _xlpm.codItem &amp; "-" &amp; _xlpm.codArea &amp; "-" &amp; _xlpm.secuencia
)</f>
        <v>-SinArea-0000</v>
      </c>
      <c r="Q127" s="15"/>
      <c r="S127" s="48"/>
    </row>
    <row r="128" spans="3:19" x14ac:dyDescent="0.3">
      <c r="C128" s="11"/>
      <c r="E128" s="11"/>
      <c r="F128" s="15"/>
      <c r="G128" s="15"/>
      <c r="H128" s="15"/>
      <c r="I128" s="15"/>
      <c r="J128" s="15"/>
      <c r="K128" s="15"/>
      <c r="L128" s="47"/>
      <c r="N128" s="47"/>
      <c r="O128" s="47" t="str">
        <f>_xlfn.LET(
    _xlpm.itemBuscado, B128,
    _xlpm.areaBuscada, C128,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TEXT(COUNTIF($C$2:C128, _xlpm.areaBuscada), "0000"),
    _xlpm.codItem &amp; "-" &amp; _xlpm.codArea &amp; "-" &amp; _xlpm.secuencia
)</f>
        <v>-SinArea-0000</v>
      </c>
      <c r="Q128" s="15"/>
      <c r="S128" s="48"/>
    </row>
    <row r="129" spans="3:20" x14ac:dyDescent="0.3">
      <c r="C129" s="11"/>
      <c r="E129" s="11"/>
      <c r="F129" s="15"/>
      <c r="G129" s="15"/>
      <c r="H129" s="15"/>
      <c r="I129" s="15"/>
      <c r="J129" s="15"/>
      <c r="K129" s="15"/>
      <c r="L129" s="47"/>
      <c r="N129" s="47"/>
      <c r="O129" s="47" t="str">
        <f>_xlfn.LET(
    _xlpm.itemBuscado, B129,
    _xlpm.areaBuscada, C129,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TEXT(COUNTIF($C$2:C129, _xlpm.areaBuscada), "0000"),
    _xlpm.codItem &amp; "-" &amp; _xlpm.codArea &amp; "-" &amp; _xlpm.secuencia
)</f>
        <v>-SinArea-0000</v>
      </c>
      <c r="Q129" s="15"/>
      <c r="S129" s="48"/>
    </row>
    <row r="130" spans="3:20" x14ac:dyDescent="0.3">
      <c r="C130" s="11"/>
      <c r="E130" s="11"/>
      <c r="F130" s="15"/>
      <c r="G130" s="15"/>
      <c r="H130" s="15"/>
      <c r="I130" s="15"/>
      <c r="J130" s="15"/>
      <c r="K130" s="15"/>
      <c r="L130" s="47"/>
      <c r="N130" s="47"/>
      <c r="O130" s="47" t="str">
        <f>_xlfn.LET(
    _xlpm.itemBuscado, B130,
    _xlpm.areaBuscada, C130,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TEXT(COUNTIF($C$2:C130, _xlpm.areaBuscada), "0000"),
    _xlpm.codItem &amp; "-" &amp; _xlpm.codArea &amp; "-" &amp; _xlpm.secuencia
)</f>
        <v>-SinArea-0000</v>
      </c>
      <c r="Q130" s="15"/>
      <c r="S130" s="48"/>
    </row>
    <row r="131" spans="3:20" x14ac:dyDescent="0.3">
      <c r="C131" s="11"/>
      <c r="E131" s="11"/>
      <c r="F131" s="15"/>
      <c r="G131" s="15"/>
      <c r="H131" s="15"/>
      <c r="I131" s="15"/>
      <c r="J131" s="15"/>
      <c r="K131" s="15"/>
      <c r="L131" s="47"/>
      <c r="N131" s="47"/>
      <c r="O131" s="47" t="str">
        <f>_xlfn.LET(
    _xlpm.itemBuscado, B131,
    _xlpm.areaBuscada, C131,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TEXT(COUNTIF($C$2:C131, _xlpm.areaBuscada), "0000"),
    _xlpm.codItem &amp; "-" &amp; _xlpm.codArea &amp; "-" &amp; _xlpm.secuencia
)</f>
        <v>-SinArea-0000</v>
      </c>
      <c r="Q131" s="15"/>
      <c r="S131" s="48"/>
    </row>
    <row r="132" spans="3:20" x14ac:dyDescent="0.3">
      <c r="C132" s="11"/>
      <c r="E132" s="11"/>
      <c r="F132" s="15"/>
      <c r="G132" s="15"/>
      <c r="H132" s="15"/>
      <c r="I132" s="15"/>
      <c r="J132" s="15"/>
      <c r="K132" s="15"/>
      <c r="L132" s="47"/>
      <c r="N132" s="47"/>
      <c r="O132" s="47" t="str">
        <f>_xlfn.LET(
    _xlpm.itemBuscado, B132,
    _xlpm.areaBuscada, C132,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TEXT(COUNTIF($C$2:C132, _xlpm.areaBuscada), "0000"),
    _xlpm.codItem &amp; "-" &amp; _xlpm.codArea &amp; "-" &amp; _xlpm.secuencia
)</f>
        <v>-SinArea-0000</v>
      </c>
      <c r="Q132" s="15"/>
      <c r="S132" s="48"/>
    </row>
    <row r="133" spans="3:20" x14ac:dyDescent="0.3">
      <c r="C133" s="11"/>
      <c r="E133" s="11"/>
      <c r="F133" s="15"/>
      <c r="G133" s="15"/>
      <c r="H133" s="15"/>
      <c r="I133" s="15"/>
      <c r="J133" s="15"/>
      <c r="K133" s="15"/>
      <c r="L133" s="47"/>
      <c r="N133" s="47"/>
      <c r="O133" s="47" t="str">
        <f>_xlfn.LET(
    _xlpm.itemBuscado, B133,
    _xlpm.areaBuscada, C133,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TEXT(COUNTIF($C$2:C133, _xlpm.areaBuscada), "0000"),
    _xlpm.codItem &amp; "-" &amp; _xlpm.codArea &amp; "-" &amp; _xlpm.secuencia
)</f>
        <v>-SinArea-0000</v>
      </c>
      <c r="Q133" s="15"/>
      <c r="S133" s="48"/>
    </row>
    <row r="134" spans="3:20" x14ac:dyDescent="0.3">
      <c r="C134" s="11"/>
      <c r="E134" s="11"/>
      <c r="F134" s="15"/>
      <c r="G134" s="15"/>
      <c r="H134" s="15"/>
      <c r="I134" s="15"/>
      <c r="J134" s="15"/>
      <c r="K134" s="15"/>
      <c r="L134" s="47"/>
      <c r="N134" s="47"/>
      <c r="O134" s="47" t="str">
        <f>_xlfn.LET(
    _xlpm.itemBuscado, B134,
    _xlpm.areaBuscada, C134,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TEXT(COUNTIF($C$2:C134, _xlpm.areaBuscada), "0000"),
    _xlpm.codItem &amp; "-" &amp; _xlpm.codArea &amp; "-" &amp; _xlpm.secuencia
)</f>
        <v>-SinArea-0000</v>
      </c>
      <c r="Q134" s="15"/>
      <c r="S134" s="48"/>
    </row>
    <row r="135" spans="3:20" x14ac:dyDescent="0.3">
      <c r="C135" s="11"/>
      <c r="E135" s="11"/>
      <c r="F135" s="15"/>
      <c r="G135" s="15"/>
      <c r="H135" s="15"/>
      <c r="I135" s="15"/>
      <c r="J135" s="15"/>
      <c r="K135" s="15"/>
      <c r="L135" s="47"/>
      <c r="N135" s="47"/>
      <c r="O135" s="47" t="str">
        <f>_xlfn.LET(
    _xlpm.itemBuscado, B135,
    _xlpm.areaBuscada, C135,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TEXT(COUNTIF($C$2:C135, _xlpm.areaBuscada), "0000"),
    _xlpm.codItem &amp; "-" &amp; _xlpm.codArea &amp; "-" &amp; _xlpm.secuencia
)</f>
        <v>-SinArea-0000</v>
      </c>
      <c r="Q135" s="15"/>
      <c r="S135" s="48"/>
    </row>
    <row r="136" spans="3:20" x14ac:dyDescent="0.3">
      <c r="C136" s="11"/>
      <c r="E136" s="11"/>
      <c r="F136" s="15"/>
      <c r="G136" s="15"/>
      <c r="H136" s="15"/>
      <c r="I136" s="15"/>
      <c r="J136" s="15"/>
      <c r="K136" s="15"/>
      <c r="L136" s="47"/>
      <c r="N136" s="47"/>
      <c r="O136" s="47" t="str">
        <f>_xlfn.LET(
    _xlpm.itemBuscado, B136,
    _xlpm.areaBuscada, C136,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TEXT(COUNTIF($C$2:C136, _xlpm.areaBuscada), "0000"),
    _xlpm.codItem &amp; "-" &amp; _xlpm.codArea &amp; "-" &amp; _xlpm.secuencia
)</f>
        <v>-SinArea-0000</v>
      </c>
      <c r="Q136" s="15"/>
      <c r="S136" s="48"/>
    </row>
    <row r="137" spans="3:20" x14ac:dyDescent="0.3">
      <c r="C137" s="11"/>
      <c r="E137" s="11"/>
      <c r="F137" s="15"/>
      <c r="G137" s="15"/>
      <c r="H137" s="15"/>
      <c r="I137" s="15"/>
      <c r="J137" s="15"/>
      <c r="K137" s="15"/>
      <c r="L137" s="47"/>
      <c r="N137" s="47"/>
      <c r="O137" s="47" t="str">
        <f>_xlfn.LET(
    _xlpm.itemBuscado, B137,
    _xlpm.areaBuscada, C137,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TEXT(COUNTIF($C$2:C137, _xlpm.areaBuscada), "0000"),
    _xlpm.codItem &amp; "-" &amp; _xlpm.codArea &amp; "-" &amp; _xlpm.secuencia
)</f>
        <v>-SinArea-0000</v>
      </c>
      <c r="Q137" s="15"/>
      <c r="S137" s="48"/>
    </row>
    <row r="138" spans="3:20" x14ac:dyDescent="0.3">
      <c r="C138" s="11"/>
      <c r="E138" s="11"/>
      <c r="F138" s="15"/>
      <c r="G138" s="15"/>
      <c r="H138" s="15"/>
      <c r="I138" s="15"/>
      <c r="J138" s="15"/>
      <c r="K138" s="15"/>
      <c r="L138" s="47"/>
      <c r="N138" s="47"/>
      <c r="O138" s="47" t="str">
        <f>_xlfn.LET(
    _xlpm.itemBuscado, B138,
    _xlpm.areaBuscada, C138,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TEXT(COUNTIF($C$2:C138, _xlpm.areaBuscada), "0000"),
    _xlpm.codItem &amp; "-" &amp; _xlpm.codArea &amp; "-" &amp; _xlpm.secuencia
)</f>
        <v>-SinArea-0000</v>
      </c>
      <c r="Q138" s="15"/>
      <c r="S138" s="48"/>
    </row>
    <row r="139" spans="3:20" x14ac:dyDescent="0.3">
      <c r="C139" s="11"/>
      <c r="E139" s="11"/>
      <c r="F139" s="15"/>
      <c r="G139" s="15"/>
      <c r="H139" s="15"/>
      <c r="I139" s="15"/>
      <c r="J139" s="15"/>
      <c r="K139" s="15"/>
      <c r="L139" s="47"/>
      <c r="N139" s="47"/>
      <c r="O139" s="47" t="str">
        <f>_xlfn.LET(
    _xlpm.itemBuscado, B139,
    _xlpm.areaBuscada, C139,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TEXT(COUNTIF($C$2:C139, _xlpm.areaBuscada), "0000"),
    _xlpm.codItem &amp; "-" &amp; _xlpm.codArea &amp; "-" &amp; _xlpm.secuencia
)</f>
        <v>-SinArea-0000</v>
      </c>
      <c r="Q139" s="15"/>
      <c r="S139" s="48"/>
    </row>
    <row r="140" spans="3:20" x14ac:dyDescent="0.3">
      <c r="C140" s="11"/>
      <c r="D140" s="32"/>
      <c r="E140" s="11"/>
      <c r="F140" s="15"/>
      <c r="G140" s="15"/>
      <c r="H140" s="15"/>
      <c r="I140" s="15"/>
      <c r="J140" s="15"/>
      <c r="K140" s="15"/>
      <c r="L140" s="47"/>
      <c r="M140" s="76"/>
      <c r="N140" s="47"/>
      <c r="O140" s="47" t="str">
        <f>_xlfn.LET(
    _xlpm.itemBuscado, B140,
    _xlpm.areaBuscada, C140,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TEXT(COUNTIF($C$2:C140, _xlpm.areaBuscada), "0000"),
    _xlpm.codItem &amp; "-" &amp; _xlpm.codArea &amp; "-" &amp; _xlpm.secuencia
)</f>
        <v>-SinArea-0000</v>
      </c>
      <c r="P140" s="77"/>
      <c r="Q140" s="15"/>
      <c r="R140" s="32"/>
      <c r="S140" s="48"/>
    </row>
    <row r="141" spans="3:20" x14ac:dyDescent="0.3">
      <c r="C141" s="11"/>
      <c r="D141" s="32"/>
      <c r="E141" s="11"/>
      <c r="K141" s="15"/>
      <c r="L141" s="47"/>
      <c r="M141" s="76"/>
      <c r="N141" s="76"/>
      <c r="O141" s="78" t="str">
        <f>_xlfn.LET(
    _xlpm.itemBuscado, B141,
    _xlpm.areaBuscada, C141,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TEXT(COUNTIF($C$2:C141, _xlpm.areaBuscada), "0000"),
    _xlpm.codItem &amp; "-" &amp; _xlpm.codArea &amp; "-" &amp; _xlpm.secuencia
)</f>
        <v>-SinArea-0000</v>
      </c>
      <c r="P141" s="77"/>
      <c r="Q141" s="32"/>
      <c r="R141" s="32"/>
      <c r="S141" s="32"/>
      <c r="T141" s="32"/>
    </row>
    <row r="142" spans="3:20" x14ac:dyDescent="0.3">
      <c r="C142" s="11"/>
      <c r="D142" s="32"/>
      <c r="E142" s="11"/>
      <c r="K142" s="15"/>
      <c r="L142" s="47"/>
      <c r="M142" s="76"/>
      <c r="N142" s="76"/>
      <c r="O142" s="78" t="str">
        <f>_xlfn.LET(
    _xlpm.itemBuscado, B142,
    _xlpm.areaBuscada, C142,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TEXT(COUNTIF($C$2:C142, _xlpm.areaBuscada), "0000"),
    _xlpm.codItem &amp; "-" &amp; _xlpm.codArea &amp; "-" &amp; _xlpm.secuencia
)</f>
        <v>-SinArea-0000</v>
      </c>
      <c r="P142" s="77"/>
      <c r="Q142" s="32"/>
      <c r="R142" s="32"/>
      <c r="S142" s="32"/>
      <c r="T142" s="32"/>
    </row>
    <row r="143" spans="3:20" x14ac:dyDescent="0.3">
      <c r="C143" s="11"/>
      <c r="D143" s="32"/>
      <c r="E143" s="11"/>
      <c r="K143" s="15"/>
      <c r="L143" s="47"/>
      <c r="M143" s="76"/>
      <c r="N143" s="76"/>
      <c r="O143" s="78" t="str">
        <f>_xlfn.LET(
    _xlpm.itemBuscado, B143,
    _xlpm.areaBuscada, C143,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TEXT(COUNTIF($C$2:C143, _xlpm.areaBuscada), "0000"),
    _xlpm.codItem &amp; "-" &amp; _xlpm.codArea &amp; "-" &amp; _xlpm.secuencia
)</f>
        <v>-SinArea-0000</v>
      </c>
      <c r="P143" s="77"/>
      <c r="Q143" s="32"/>
      <c r="R143" s="32"/>
      <c r="S143" s="32"/>
      <c r="T143" s="32"/>
    </row>
    <row r="144" spans="3:20" x14ac:dyDescent="0.3">
      <c r="C144" s="11"/>
      <c r="D144" s="32"/>
      <c r="E144" s="11"/>
      <c r="K144" s="15"/>
      <c r="L144" s="47"/>
      <c r="M144" s="76"/>
      <c r="N144" s="76"/>
      <c r="O144" s="78" t="str">
        <f>_xlfn.LET(
    _xlpm.itemBuscado, B144,
    _xlpm.areaBuscada, C144,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TEXT(COUNTIF($C$2:C144, _xlpm.areaBuscada), "0000"),
    _xlpm.codItem &amp; "-" &amp; _xlpm.codArea &amp; "-" &amp; _xlpm.secuencia
)</f>
        <v>-SinArea-0000</v>
      </c>
      <c r="P144" s="77"/>
      <c r="Q144" s="32"/>
      <c r="R144" s="32"/>
      <c r="S144" s="32"/>
      <c r="T144" s="32"/>
    </row>
    <row r="145" spans="3:20" x14ac:dyDescent="0.3">
      <c r="C145" s="11"/>
      <c r="D145" s="32"/>
      <c r="E145" s="11"/>
      <c r="K145" s="15"/>
      <c r="L145" s="47"/>
      <c r="M145" s="76"/>
      <c r="N145" s="76"/>
      <c r="O145" s="78" t="str">
        <f>_xlfn.LET(
    _xlpm.itemBuscado, B145,
    _xlpm.areaBuscada, C145,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TEXT(COUNTIF($C$2:C145, _xlpm.areaBuscada), "0000"),
    _xlpm.codItem &amp; "-" &amp; _xlpm.codArea &amp; "-" &amp; _xlpm.secuencia
)</f>
        <v>-SinArea-0000</v>
      </c>
      <c r="P145" s="77"/>
      <c r="Q145" s="32"/>
      <c r="R145" s="32"/>
      <c r="S145" s="32"/>
      <c r="T145" s="32"/>
    </row>
    <row r="146" spans="3:20" x14ac:dyDescent="0.3">
      <c r="C146" s="11"/>
      <c r="D146" s="32"/>
      <c r="E146" s="11"/>
      <c r="K146" s="15"/>
      <c r="L146" s="47"/>
      <c r="M146" s="76"/>
      <c r="N146" s="76"/>
      <c r="O146" s="78" t="str">
        <f>_xlfn.LET(
    _xlpm.itemBuscado, B146,
    _xlpm.areaBuscada, C146,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TEXT(COUNTIF($C$2:C146, _xlpm.areaBuscada), "0000"),
    _xlpm.codItem &amp; "-" &amp; _xlpm.codArea &amp; "-" &amp; _xlpm.secuencia
)</f>
        <v>-SinArea-0000</v>
      </c>
      <c r="P146" s="77"/>
      <c r="Q146" s="32"/>
      <c r="R146" s="32"/>
      <c r="S146" s="32"/>
      <c r="T146" s="32"/>
    </row>
    <row r="147" spans="3:20" x14ac:dyDescent="0.3">
      <c r="C147" s="11"/>
      <c r="D147" s="32"/>
      <c r="E147" s="11"/>
      <c r="K147" s="15"/>
      <c r="L147" s="47"/>
      <c r="M147" s="76"/>
      <c r="N147" s="76"/>
      <c r="O147" s="78" t="str">
        <f>_xlfn.LET(
    _xlpm.itemBuscado, B147,
    _xlpm.areaBuscada, C147,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TEXT(COUNTIF($C$2:C147, _xlpm.areaBuscada), "0000"),
    _xlpm.codItem &amp; "-" &amp; _xlpm.codArea &amp; "-" &amp; _xlpm.secuencia
)</f>
        <v>-SinArea-0000</v>
      </c>
      <c r="P147" s="77"/>
      <c r="Q147" s="32"/>
      <c r="R147" s="32"/>
      <c r="S147" s="32"/>
      <c r="T147" s="32"/>
    </row>
    <row r="148" spans="3:20" x14ac:dyDescent="0.3">
      <c r="C148" s="11"/>
      <c r="D148" s="32"/>
      <c r="E148" s="11"/>
      <c r="K148" s="15"/>
      <c r="L148" s="47"/>
      <c r="M148" s="76"/>
      <c r="N148" s="76"/>
      <c r="O148" s="78" t="str">
        <f>_xlfn.LET(
    _xlpm.itemBuscado, B148,
    _xlpm.areaBuscada, C148,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TEXT(COUNTIF($C$2:C148, _xlpm.areaBuscada), "0000"),
    _xlpm.codItem &amp; "-" &amp; _xlpm.codArea &amp; "-" &amp; _xlpm.secuencia
)</f>
        <v>-SinArea-0000</v>
      </c>
      <c r="P148" s="77"/>
      <c r="Q148" s="32"/>
      <c r="R148" s="32"/>
      <c r="S148" s="32"/>
      <c r="T148" s="32"/>
    </row>
    <row r="149" spans="3:20" x14ac:dyDescent="0.3">
      <c r="C149" s="11"/>
      <c r="D149" s="32"/>
      <c r="E149" s="11"/>
      <c r="K149" s="15"/>
      <c r="L149" s="47"/>
      <c r="M149" s="76"/>
      <c r="N149" s="76"/>
      <c r="O149" s="78" t="str">
        <f>_xlfn.LET(
    _xlpm.itemBuscado, B149,
    _xlpm.areaBuscada, C149,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TEXT(COUNTIF($C$2:C149, _xlpm.areaBuscada), "0000"),
    _xlpm.codItem &amp; "-" &amp; _xlpm.codArea &amp; "-" &amp; _xlpm.secuencia
)</f>
        <v>-SinArea-0000</v>
      </c>
      <c r="P149" s="77"/>
      <c r="Q149" s="32"/>
      <c r="R149" s="32"/>
      <c r="S149" s="32"/>
      <c r="T149" s="32"/>
    </row>
    <row r="150" spans="3:20" x14ac:dyDescent="0.3">
      <c r="C150" s="11"/>
      <c r="D150" s="32"/>
      <c r="E150" s="11"/>
      <c r="K150" s="15"/>
      <c r="L150" s="47"/>
      <c r="M150" s="76"/>
      <c r="N150" s="76"/>
      <c r="O150" s="78" t="str">
        <f>_xlfn.LET(
    _xlpm.itemBuscado, B150,
    _xlpm.areaBuscada, C150,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TEXT(COUNTIF($C$2:C150, _xlpm.areaBuscada), "0000"),
    _xlpm.codItem &amp; "-" &amp; _xlpm.codArea &amp; "-" &amp; _xlpm.secuencia
)</f>
        <v>-SinArea-0000</v>
      </c>
      <c r="P150" s="77"/>
      <c r="Q150" s="32"/>
      <c r="R150" s="32"/>
      <c r="S150" s="32"/>
      <c r="T150" s="32"/>
    </row>
    <row r="151" spans="3:20" x14ac:dyDescent="0.3">
      <c r="C151" s="11"/>
      <c r="D151" s="32"/>
      <c r="E151" s="11"/>
      <c r="K151" s="15"/>
      <c r="L151" s="47"/>
      <c r="M151" s="76"/>
      <c r="N151" s="76"/>
      <c r="O151" s="78" t="str">
        <f>_xlfn.LET(
    _xlpm.itemBuscado, B151,
    _xlpm.areaBuscada, C151,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TEXT(COUNTIF($C$2:C151, _xlpm.areaBuscada), "0000"),
    _xlpm.codItem &amp; "-" &amp; _xlpm.codArea &amp; "-" &amp; _xlpm.secuencia
)</f>
        <v>-SinArea-0000</v>
      </c>
      <c r="P151" s="77"/>
      <c r="Q151" s="32"/>
      <c r="R151" s="32"/>
      <c r="S151" s="32"/>
      <c r="T151" s="32"/>
    </row>
    <row r="152" spans="3:20" x14ac:dyDescent="0.3">
      <c r="C152" s="11"/>
      <c r="D152" s="32"/>
      <c r="E152" s="11"/>
      <c r="K152" s="15"/>
      <c r="L152" s="47"/>
      <c r="M152" s="76"/>
      <c r="N152" s="76"/>
      <c r="O152" s="78" t="str">
        <f>_xlfn.LET(
    _xlpm.itemBuscado, B152,
    _xlpm.areaBuscada, C152,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TEXT(COUNTIF($C$2:C152, _xlpm.areaBuscada), "0000"),
    _xlpm.codItem &amp; "-" &amp; _xlpm.codArea &amp; "-" &amp; _xlpm.secuencia
)</f>
        <v>-SinArea-0000</v>
      </c>
      <c r="P152" s="77"/>
      <c r="Q152" s="32"/>
      <c r="R152" s="32"/>
      <c r="S152" s="32"/>
      <c r="T152" s="32"/>
    </row>
    <row r="153" spans="3:20" x14ac:dyDescent="0.3">
      <c r="C153" s="11"/>
      <c r="D153" s="32"/>
      <c r="E153" s="11"/>
      <c r="K153" s="15"/>
      <c r="L153" s="47"/>
      <c r="M153" s="76"/>
      <c r="N153" s="76"/>
      <c r="O153" s="78" t="str">
        <f>_xlfn.LET(
    _xlpm.itemBuscado, B153,
    _xlpm.areaBuscada, C153,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TEXT(COUNTIF($C$2:C153, _xlpm.areaBuscada), "0000"),
    _xlpm.codItem &amp; "-" &amp; _xlpm.codArea &amp; "-" &amp; _xlpm.secuencia
)</f>
        <v>-SinArea-0000</v>
      </c>
      <c r="P153" s="77"/>
      <c r="Q153" s="32"/>
      <c r="R153" s="32"/>
      <c r="S153" s="32"/>
      <c r="T153" s="32"/>
    </row>
    <row r="154" spans="3:20" x14ac:dyDescent="0.3">
      <c r="C154" s="11"/>
      <c r="D154" s="32"/>
      <c r="E154" s="11"/>
      <c r="K154" s="15"/>
      <c r="L154" s="47"/>
      <c r="M154" s="76"/>
      <c r="N154" s="76"/>
      <c r="O154" s="78" t="str">
        <f>_xlfn.LET(
    _xlpm.itemBuscado, B154,
    _xlpm.areaBuscada, C154,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TEXT(COUNTIF($C$2:C154, _xlpm.areaBuscada), "0000"),
    _xlpm.codItem &amp; "-" &amp; _xlpm.codArea &amp; "-" &amp; _xlpm.secuencia
)</f>
        <v>-SinArea-0000</v>
      </c>
      <c r="P154" s="77"/>
      <c r="Q154" s="32"/>
      <c r="R154" s="32"/>
      <c r="S154" s="32"/>
      <c r="T154" s="32"/>
    </row>
    <row r="155" spans="3:20" x14ac:dyDescent="0.3">
      <c r="C155" s="11"/>
      <c r="D155" s="32"/>
      <c r="E155" s="11"/>
      <c r="K155" s="15"/>
      <c r="L155" s="47"/>
      <c r="M155" s="76"/>
      <c r="N155" s="76"/>
      <c r="O155" s="78" t="str">
        <f>_xlfn.LET(
    _xlpm.itemBuscado, B155,
    _xlpm.areaBuscada, C155,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TEXT(COUNTIF($C$2:C155, _xlpm.areaBuscada), "0000"),
    _xlpm.codItem &amp; "-" &amp; _xlpm.codArea &amp; "-" &amp; _xlpm.secuencia
)</f>
        <v>-SinArea-0000</v>
      </c>
      <c r="P155" s="77"/>
      <c r="Q155" s="32"/>
      <c r="R155" s="32"/>
      <c r="S155" s="32"/>
      <c r="T155" s="32"/>
    </row>
    <row r="156" spans="3:20" x14ac:dyDescent="0.3">
      <c r="C156" s="11"/>
      <c r="D156" s="32"/>
      <c r="E156" s="11"/>
      <c r="K156" s="15"/>
      <c r="L156" s="47"/>
      <c r="M156" s="76"/>
      <c r="N156" s="76"/>
      <c r="O156" s="78" t="str">
        <f>_xlfn.LET(
    _xlpm.itemBuscado, B156,
    _xlpm.areaBuscada, C156,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TEXT(COUNTIF($C$2:C156, _xlpm.areaBuscada), "0000"),
    _xlpm.codItem &amp; "-" &amp; _xlpm.codArea &amp; "-" &amp; _xlpm.secuencia
)</f>
        <v>-SinArea-0000</v>
      </c>
      <c r="P156" s="77"/>
      <c r="Q156" s="32"/>
      <c r="R156" s="32"/>
      <c r="S156" s="32"/>
      <c r="T156" s="32"/>
    </row>
    <row r="157" spans="3:20" x14ac:dyDescent="0.3">
      <c r="C157" s="11"/>
      <c r="D157" s="32"/>
      <c r="E157" s="11"/>
      <c r="K157" s="15"/>
      <c r="L157" s="47"/>
      <c r="M157" s="76"/>
      <c r="N157" s="76"/>
      <c r="O157" s="78" t="str">
        <f>_xlfn.LET(
    _xlpm.itemBuscado, B157,
    _xlpm.areaBuscada, C157,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TEXT(COUNTIF($C$2:C157, _xlpm.areaBuscada), "0000"),
    _xlpm.codItem &amp; "-" &amp; _xlpm.codArea &amp; "-" &amp; _xlpm.secuencia
)</f>
        <v>-SinArea-0000</v>
      </c>
      <c r="P157" s="77"/>
      <c r="Q157" s="32"/>
      <c r="R157" s="32"/>
      <c r="S157" s="32"/>
      <c r="T157" s="32"/>
    </row>
    <row r="158" spans="3:20" x14ac:dyDescent="0.3">
      <c r="C158" s="11"/>
      <c r="D158" s="32"/>
      <c r="E158" s="11"/>
      <c r="K158" s="15"/>
      <c r="L158" s="47"/>
      <c r="M158" s="76"/>
      <c r="N158" s="76"/>
      <c r="O158" s="78" t="str">
        <f>_xlfn.LET(
    _xlpm.itemBuscado, B158,
    _xlpm.areaBuscada, C158,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TEXT(COUNTIF($C$2:C158, _xlpm.areaBuscada), "0000"),
    _xlpm.codItem &amp; "-" &amp; _xlpm.codArea &amp; "-" &amp; _xlpm.secuencia
)</f>
        <v>-SinArea-0000</v>
      </c>
      <c r="P158" s="77"/>
      <c r="Q158" s="32"/>
      <c r="R158" s="32"/>
      <c r="S158" s="32"/>
      <c r="T158" s="32"/>
    </row>
    <row r="159" spans="3:20" x14ac:dyDescent="0.3">
      <c r="C159" s="11"/>
      <c r="D159" s="32"/>
      <c r="E159" s="11"/>
      <c r="K159" s="15"/>
      <c r="L159" s="47"/>
      <c r="M159" s="76"/>
      <c r="N159" s="76"/>
      <c r="O159" s="78" t="str">
        <f>_xlfn.LET(
    _xlpm.itemBuscado, B159,
    _xlpm.areaBuscada, C159,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TEXT(COUNTIF($C$2:C159, _xlpm.areaBuscada), "0000"),
    _xlpm.codItem &amp; "-" &amp; _xlpm.codArea &amp; "-" &amp; _xlpm.secuencia
)</f>
        <v>-SinArea-0000</v>
      </c>
      <c r="P159" s="77"/>
      <c r="Q159" s="32"/>
      <c r="R159" s="32"/>
      <c r="S159" s="32"/>
      <c r="T159" s="32"/>
    </row>
    <row r="160" spans="3:20" x14ac:dyDescent="0.3">
      <c r="C160" s="11"/>
      <c r="D160" s="32"/>
      <c r="E160" s="11"/>
      <c r="K160" s="15"/>
      <c r="L160" s="47"/>
      <c r="M160" s="76"/>
      <c r="N160" s="76"/>
      <c r="O160" s="78" t="str">
        <f>_xlfn.LET(
    _xlpm.itemBuscado, B160,
    _xlpm.areaBuscada, C160,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TEXT(COUNTIF($C$2:C160, _xlpm.areaBuscada), "0000"),
    _xlpm.codItem &amp; "-" &amp; _xlpm.codArea &amp; "-" &amp; _xlpm.secuencia
)</f>
        <v>-SinArea-0000</v>
      </c>
      <c r="P160" s="77"/>
      <c r="Q160" s="32"/>
      <c r="R160" s="32"/>
      <c r="S160" s="32"/>
      <c r="T160" s="32"/>
    </row>
    <row r="161" spans="3:20" x14ac:dyDescent="0.3">
      <c r="C161" s="11"/>
      <c r="D161" s="32"/>
      <c r="E161" s="11"/>
      <c r="K161" s="15"/>
      <c r="L161" s="47"/>
      <c r="M161" s="76"/>
      <c r="N161" s="76"/>
      <c r="O161" s="78" t="str">
        <f>_xlfn.LET(
    _xlpm.itemBuscado, B161,
    _xlpm.areaBuscada, C161,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TEXT(COUNTIF($C$2:C161, _xlpm.areaBuscada), "0000"),
    _xlpm.codItem &amp; "-" &amp; _xlpm.codArea &amp; "-" &amp; _xlpm.secuencia
)</f>
        <v>-SinArea-0000</v>
      </c>
      <c r="P161" s="77"/>
      <c r="Q161" s="32"/>
      <c r="R161" s="32"/>
      <c r="S161" s="32"/>
      <c r="T161" s="32"/>
    </row>
    <row r="162" spans="3:20" x14ac:dyDescent="0.3">
      <c r="C162" s="11"/>
      <c r="D162" s="32"/>
      <c r="E162" s="11"/>
      <c r="K162" s="15"/>
      <c r="L162" s="47"/>
      <c r="M162" s="76"/>
      <c r="N162" s="76"/>
      <c r="O162" s="78" t="str">
        <f>_xlfn.LET(
    _xlpm.itemBuscado, B162,
    _xlpm.areaBuscada, C162,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TEXT(COUNTIF($C$2:C162, _xlpm.areaBuscada), "0000"),
    _xlpm.codItem &amp; "-" &amp; _xlpm.codArea &amp; "-" &amp; _xlpm.secuencia
)</f>
        <v>-SinArea-0000</v>
      </c>
      <c r="P162" s="77"/>
      <c r="Q162" s="32"/>
      <c r="R162" s="32"/>
      <c r="S162" s="32"/>
      <c r="T162" s="32"/>
    </row>
    <row r="163" spans="3:20" x14ac:dyDescent="0.3">
      <c r="C163" s="11"/>
      <c r="D163" s="32"/>
      <c r="E163" s="11"/>
      <c r="K163" s="15"/>
      <c r="L163" s="47"/>
      <c r="M163" s="76"/>
      <c r="N163" s="76"/>
      <c r="O163" s="78" t="str">
        <f>_xlfn.LET(
    _xlpm.itemBuscado, B163,
    _xlpm.areaBuscada, C163,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TEXT(COUNTIF($C$2:C163, _xlpm.areaBuscada), "0000"),
    _xlpm.codItem &amp; "-" &amp; _xlpm.codArea &amp; "-" &amp; _xlpm.secuencia
)</f>
        <v>-SinArea-0000</v>
      </c>
      <c r="P163" s="77"/>
      <c r="Q163" s="32"/>
      <c r="R163" s="32"/>
      <c r="S163" s="32"/>
      <c r="T163" s="32"/>
    </row>
    <row r="164" spans="3:20" x14ac:dyDescent="0.3">
      <c r="C164" s="11"/>
      <c r="D164" s="32"/>
      <c r="E164" s="11"/>
      <c r="K164" s="15"/>
      <c r="L164" s="47"/>
      <c r="M164" s="76"/>
      <c r="N164" s="76"/>
      <c r="O164" s="78" t="str">
        <f>_xlfn.LET(
    _xlpm.itemBuscado, B164,
    _xlpm.areaBuscada, C164,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TEXT(COUNTIF($C$2:C164, _xlpm.areaBuscada), "0000"),
    _xlpm.codItem &amp; "-" &amp; _xlpm.codArea &amp; "-" &amp; _xlpm.secuencia
)</f>
        <v>-SinArea-0000</v>
      </c>
      <c r="P164" s="77"/>
      <c r="Q164" s="32"/>
      <c r="R164" s="32"/>
      <c r="S164" s="32"/>
      <c r="T164" s="32"/>
    </row>
    <row r="165" spans="3:20" x14ac:dyDescent="0.3">
      <c r="C165" s="11"/>
      <c r="D165" s="32"/>
      <c r="E165" s="11"/>
      <c r="K165" s="15"/>
      <c r="L165" s="47"/>
      <c r="M165" s="76"/>
      <c r="N165" s="76"/>
      <c r="O165" s="78" t="str">
        <f>_xlfn.LET(
    _xlpm.itemBuscado, B165,
    _xlpm.areaBuscada, C165,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TEXT(COUNTIF($C$2:C165, _xlpm.areaBuscada), "0000"),
    _xlpm.codItem &amp; "-" &amp; _xlpm.codArea &amp; "-" &amp; _xlpm.secuencia
)</f>
        <v>-SinArea-0000</v>
      </c>
      <c r="P165" s="77"/>
      <c r="Q165" s="32"/>
      <c r="R165" s="32"/>
      <c r="S165" s="32"/>
      <c r="T165" s="32"/>
    </row>
    <row r="166" spans="3:20" x14ac:dyDescent="0.3">
      <c r="C166" s="11"/>
      <c r="D166" s="32"/>
      <c r="E166" s="11"/>
      <c r="K166" s="15"/>
      <c r="L166" s="47"/>
      <c r="M166" s="76"/>
      <c r="N166" s="76"/>
      <c r="O166" s="78" t="str">
        <f>_xlfn.LET(
    _xlpm.itemBuscado, B166,
    _xlpm.areaBuscada, C166,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TEXT(COUNTIF($C$2:C166, _xlpm.areaBuscada), "0000"),
    _xlpm.codItem &amp; "-" &amp; _xlpm.codArea &amp; "-" &amp; _xlpm.secuencia
)</f>
        <v>-SinArea-0000</v>
      </c>
      <c r="P166" s="77"/>
      <c r="Q166" s="32"/>
      <c r="R166" s="32"/>
      <c r="S166" s="32"/>
      <c r="T166" s="32"/>
    </row>
    <row r="167" spans="3:20" x14ac:dyDescent="0.3">
      <c r="C167" s="11"/>
      <c r="D167" s="32"/>
      <c r="E167" s="11"/>
      <c r="K167" s="15"/>
      <c r="L167" s="47"/>
      <c r="M167" s="76"/>
      <c r="N167" s="76"/>
      <c r="O167" s="78" t="str">
        <f>_xlfn.LET(
    _xlpm.itemBuscado, B167,
    _xlpm.areaBuscada, C167,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TEXT(COUNTIF($C$2:C167, _xlpm.areaBuscada), "0000"),
    _xlpm.codItem &amp; "-" &amp; _xlpm.codArea &amp; "-" &amp; _xlpm.secuencia
)</f>
        <v>-SinArea-0000</v>
      </c>
      <c r="P167" s="77"/>
      <c r="Q167" s="32"/>
      <c r="R167" s="32"/>
      <c r="S167" s="32"/>
      <c r="T167" s="32"/>
    </row>
    <row r="168" spans="3:20" x14ac:dyDescent="0.3">
      <c r="C168" s="11"/>
      <c r="D168" s="32"/>
      <c r="E168" s="11"/>
      <c r="K168" s="15"/>
      <c r="L168" s="47"/>
      <c r="M168" s="76"/>
      <c r="N168" s="76"/>
      <c r="O168" s="78" t="str">
        <f>_xlfn.LET(
    _xlpm.itemBuscado, B168,
    _xlpm.areaBuscada, C168,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TEXT(COUNTIF($C$2:C168, _xlpm.areaBuscada), "0000"),
    _xlpm.codItem &amp; "-" &amp; _xlpm.codArea &amp; "-" &amp; _xlpm.secuencia
)</f>
        <v>-SinArea-0000</v>
      </c>
      <c r="P168" s="77"/>
      <c r="Q168" s="32"/>
      <c r="R168" s="32"/>
      <c r="S168" s="32"/>
      <c r="T168" s="32"/>
    </row>
    <row r="169" spans="3:20" x14ac:dyDescent="0.3">
      <c r="C169" s="11"/>
      <c r="D169" s="32"/>
      <c r="E169" s="11"/>
      <c r="K169" s="15"/>
      <c r="L169" s="47"/>
      <c r="M169" s="76"/>
      <c r="N169" s="76"/>
      <c r="O169" s="78" t="str">
        <f>_xlfn.LET(
    _xlpm.itemBuscado, B169,
    _xlpm.areaBuscada, C169,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TEXT(COUNTIF($C$2:C169, _xlpm.areaBuscada), "0000"),
    _xlpm.codItem &amp; "-" &amp; _xlpm.codArea &amp; "-" &amp; _xlpm.secuencia
)</f>
        <v>-SinArea-0000</v>
      </c>
      <c r="P169" s="77"/>
      <c r="Q169" s="32"/>
      <c r="R169" s="32"/>
      <c r="S169" s="32"/>
      <c r="T169" s="32"/>
    </row>
    <row r="170" spans="3:20" x14ac:dyDescent="0.3">
      <c r="C170" s="11"/>
      <c r="D170" s="32"/>
      <c r="E170" s="11"/>
      <c r="K170" s="15"/>
      <c r="L170" s="47"/>
      <c r="M170" s="76"/>
      <c r="N170" s="76"/>
      <c r="O170" s="78" t="str">
        <f>_xlfn.LET(
    _xlpm.itemBuscado, B170,
    _xlpm.areaBuscada, C170,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TEXT(COUNTIF($C$2:C170, _xlpm.areaBuscada), "0000"),
    _xlpm.codItem &amp; "-" &amp; _xlpm.codArea &amp; "-" &amp; _xlpm.secuencia
)</f>
        <v>-SinArea-0000</v>
      </c>
      <c r="P170" s="77"/>
      <c r="Q170" s="32"/>
      <c r="R170" s="32"/>
      <c r="S170" s="32"/>
      <c r="T170" s="32"/>
    </row>
    <row r="171" spans="3:20" x14ac:dyDescent="0.3">
      <c r="C171" s="11"/>
      <c r="D171" s="32"/>
      <c r="E171" s="11"/>
      <c r="K171" s="15"/>
      <c r="L171" s="47"/>
      <c r="M171" s="76"/>
      <c r="N171" s="76"/>
      <c r="O171" s="78" t="str">
        <f>_xlfn.LET(
    _xlpm.itemBuscado, B171,
    _xlpm.areaBuscada, C171,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TEXT(COUNTIF($C$2:C171, _xlpm.areaBuscada), "0000"),
    _xlpm.codItem &amp; "-" &amp; _xlpm.codArea &amp; "-" &amp; _xlpm.secuencia
)</f>
        <v>-SinArea-0000</v>
      </c>
      <c r="P171" s="77"/>
      <c r="Q171" s="32"/>
      <c r="R171" s="32"/>
      <c r="S171" s="32"/>
      <c r="T171" s="32"/>
    </row>
    <row r="172" spans="3:20" x14ac:dyDescent="0.3">
      <c r="C172" s="11"/>
      <c r="D172" s="32"/>
      <c r="E172" s="11"/>
      <c r="K172" s="15"/>
      <c r="L172" s="47"/>
      <c r="M172" s="76"/>
      <c r="N172" s="76"/>
      <c r="O172" s="78" t="str">
        <f>_xlfn.LET(
    _xlpm.itemBuscado, B172,
    _xlpm.areaBuscada, C172,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TEXT(COUNTIF($C$2:C172, _xlpm.areaBuscada), "0000"),
    _xlpm.codItem &amp; "-" &amp; _xlpm.codArea &amp; "-" &amp; _xlpm.secuencia
)</f>
        <v>-SinArea-0000</v>
      </c>
      <c r="P172" s="77"/>
      <c r="Q172" s="32"/>
      <c r="R172" s="32"/>
      <c r="S172" s="32"/>
      <c r="T172" s="32"/>
    </row>
    <row r="173" spans="3:20" x14ac:dyDescent="0.3">
      <c r="C173" s="11"/>
      <c r="D173" s="32"/>
      <c r="E173" s="11"/>
      <c r="K173" s="15"/>
      <c r="L173" s="47"/>
      <c r="M173" s="76"/>
      <c r="N173" s="76"/>
      <c r="O173" s="78" t="str">
        <f>_xlfn.LET(
    _xlpm.itemBuscado, B173,
    _xlpm.areaBuscada, C173,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TEXT(COUNTIF($C$2:C173, _xlpm.areaBuscada), "0000"),
    _xlpm.codItem &amp; "-" &amp; _xlpm.codArea &amp; "-" &amp; _xlpm.secuencia
)</f>
        <v>-SinArea-0000</v>
      </c>
      <c r="P173" s="77"/>
      <c r="Q173" s="32"/>
      <c r="R173" s="32"/>
      <c r="S173" s="32"/>
      <c r="T173" s="32"/>
    </row>
    <row r="174" spans="3:20" x14ac:dyDescent="0.3">
      <c r="C174" s="11"/>
      <c r="D174" s="32"/>
      <c r="E174" s="11"/>
      <c r="K174" s="15"/>
      <c r="L174" s="47"/>
      <c r="M174" s="76"/>
      <c r="N174" s="76"/>
      <c r="O174" s="78" t="str">
        <f>_xlfn.LET(
    _xlpm.itemBuscado, B174,
    _xlpm.areaBuscada, C174,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TEXT(COUNTIF($C$2:C174, _xlpm.areaBuscada), "0000"),
    _xlpm.codItem &amp; "-" &amp; _xlpm.codArea &amp; "-" &amp; _xlpm.secuencia
)</f>
        <v>-SinArea-0000</v>
      </c>
      <c r="P174" s="77"/>
      <c r="Q174" s="32"/>
      <c r="R174" s="32"/>
      <c r="S174" s="32"/>
      <c r="T174" s="32"/>
    </row>
    <row r="175" spans="3:20" x14ac:dyDescent="0.3">
      <c r="C175" s="11"/>
      <c r="D175" s="32"/>
      <c r="E175" s="11"/>
      <c r="K175" s="15"/>
      <c r="L175" s="47"/>
      <c r="M175" s="76"/>
      <c r="N175" s="76"/>
      <c r="O175" s="78" t="str">
        <f>_xlfn.LET(
    _xlpm.itemBuscado, B175,
    _xlpm.areaBuscada, C175,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TEXT(COUNTIF($C$2:C175, _xlpm.areaBuscada), "0000"),
    _xlpm.codItem &amp; "-" &amp; _xlpm.codArea &amp; "-" &amp; _xlpm.secuencia
)</f>
        <v>-SinArea-0000</v>
      </c>
      <c r="P175" s="77"/>
      <c r="Q175" s="32"/>
      <c r="R175" s="32"/>
      <c r="S175" s="32"/>
      <c r="T175" s="32"/>
    </row>
    <row r="176" spans="3:20" x14ac:dyDescent="0.3">
      <c r="C176" s="11"/>
      <c r="D176" s="32"/>
      <c r="E176" s="11"/>
      <c r="K176" s="15"/>
      <c r="L176" s="47"/>
      <c r="M176" s="76"/>
      <c r="N176" s="76"/>
      <c r="O176" s="78" t="str">
        <f>_xlfn.LET(
    _xlpm.itemBuscado, B176,
    _xlpm.areaBuscada, C176,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TEXT(COUNTIF($C$2:C176, _xlpm.areaBuscada), "0000"),
    _xlpm.codItem &amp; "-" &amp; _xlpm.codArea &amp; "-" &amp; _xlpm.secuencia
)</f>
        <v>-SinArea-0000</v>
      </c>
      <c r="P176" s="77"/>
      <c r="Q176" s="32"/>
      <c r="R176" s="32"/>
      <c r="S176" s="32"/>
      <c r="T176" s="32"/>
    </row>
    <row r="177" spans="3:20" x14ac:dyDescent="0.3">
      <c r="C177" s="11"/>
      <c r="D177" s="32"/>
      <c r="E177" s="11"/>
      <c r="K177" s="15"/>
      <c r="L177" s="47"/>
      <c r="M177" s="76"/>
      <c r="N177" s="76"/>
      <c r="O177" s="78" t="str">
        <f>_xlfn.LET(
    _xlpm.itemBuscado, B177,
    _xlpm.areaBuscada, C177,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TEXT(COUNTIF($C$2:C177, _xlpm.areaBuscada), "0000"),
    _xlpm.codItem &amp; "-" &amp; _xlpm.codArea &amp; "-" &amp; _xlpm.secuencia
)</f>
        <v>-SinArea-0000</v>
      </c>
      <c r="P177" s="77"/>
      <c r="Q177" s="32"/>
      <c r="R177" s="32"/>
      <c r="S177" s="32"/>
      <c r="T177" s="32"/>
    </row>
    <row r="178" spans="3:20" x14ac:dyDescent="0.3">
      <c r="C178" s="11"/>
      <c r="D178" s="32"/>
      <c r="E178" s="11"/>
      <c r="K178" s="15"/>
      <c r="L178" s="47"/>
      <c r="M178" s="76"/>
      <c r="N178" s="76"/>
      <c r="O178" s="78" t="str">
        <f>_xlfn.LET(
    _xlpm.itemBuscado, B178,
    _xlpm.areaBuscada, C178,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TEXT(COUNTIF($C$2:C178, _xlpm.areaBuscada), "0000"),
    _xlpm.codItem &amp; "-" &amp; _xlpm.codArea &amp; "-" &amp; _xlpm.secuencia
)</f>
        <v>-SinArea-0000</v>
      </c>
      <c r="P178" s="77"/>
      <c r="Q178" s="32"/>
      <c r="R178" s="32"/>
      <c r="S178" s="32"/>
      <c r="T178" s="32"/>
    </row>
    <row r="179" spans="3:20" x14ac:dyDescent="0.3">
      <c r="C179" s="11"/>
      <c r="D179" s="32"/>
      <c r="E179" s="11"/>
      <c r="K179" s="15"/>
      <c r="L179" s="47"/>
      <c r="M179" s="76"/>
      <c r="N179" s="76"/>
      <c r="O179" s="78" t="str">
        <f>_xlfn.LET(
    _xlpm.itemBuscado, B179,
    _xlpm.areaBuscada, C179,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TEXT(COUNTIF($C$2:C179, _xlpm.areaBuscada), "0000"),
    _xlpm.codItem &amp; "-" &amp; _xlpm.codArea &amp; "-" &amp; _xlpm.secuencia
)</f>
        <v>-SinArea-0000</v>
      </c>
      <c r="P179" s="77"/>
      <c r="Q179" s="32"/>
      <c r="R179" s="32"/>
      <c r="S179" s="32"/>
      <c r="T179" s="32"/>
    </row>
    <row r="180" spans="3:20" x14ac:dyDescent="0.3">
      <c r="C180" s="11"/>
      <c r="D180" s="32"/>
      <c r="E180" s="11"/>
      <c r="K180" s="15"/>
      <c r="L180" s="47"/>
      <c r="M180" s="76"/>
      <c r="N180" s="76"/>
      <c r="O180" s="78" t="str">
        <f>_xlfn.LET(
    _xlpm.itemBuscado, B180,
    _xlpm.areaBuscada, C180,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TEXT(COUNTIF($C$2:C180, _xlpm.areaBuscada), "0000"),
    _xlpm.codItem &amp; "-" &amp; _xlpm.codArea &amp; "-" &amp; _xlpm.secuencia
)</f>
        <v>-SinArea-0000</v>
      </c>
      <c r="P180" s="77"/>
      <c r="Q180" s="32"/>
      <c r="R180" s="32"/>
      <c r="S180" s="32"/>
      <c r="T180" s="32"/>
    </row>
    <row r="181" spans="3:20" x14ac:dyDescent="0.3">
      <c r="C181" s="11"/>
      <c r="D181" s="32"/>
      <c r="E181" s="11"/>
      <c r="K181" s="15"/>
      <c r="L181" s="47"/>
      <c r="M181" s="76"/>
      <c r="N181" s="76"/>
      <c r="O181" s="78" t="str">
        <f>_xlfn.LET(
    _xlpm.itemBuscado, B181,
    _xlpm.areaBuscada, C181,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TEXT(COUNTIF($C$2:C181, _xlpm.areaBuscada), "0000"),
    _xlpm.codItem &amp; "-" &amp; _xlpm.codArea &amp; "-" &amp; _xlpm.secuencia
)</f>
        <v>-SinArea-0000</v>
      </c>
      <c r="P181" s="77"/>
      <c r="Q181" s="32"/>
      <c r="R181" s="32"/>
      <c r="S181" s="32"/>
      <c r="T181" s="32"/>
    </row>
    <row r="182" spans="3:20" x14ac:dyDescent="0.3">
      <c r="C182" s="11"/>
      <c r="D182" s="32"/>
      <c r="E182" s="11"/>
      <c r="K182" s="15"/>
      <c r="L182" s="47"/>
      <c r="M182" s="76"/>
      <c r="N182" s="76"/>
      <c r="O182" s="78" t="str">
        <f>_xlfn.LET(
    _xlpm.itemBuscado, B182,
    _xlpm.areaBuscada, C182,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TEXT(COUNTIF($C$2:C182, _xlpm.areaBuscada), "0000"),
    _xlpm.codItem &amp; "-" &amp; _xlpm.codArea &amp; "-" &amp; _xlpm.secuencia
)</f>
        <v>-SinArea-0000</v>
      </c>
      <c r="P182" s="77"/>
      <c r="Q182" s="32"/>
      <c r="R182" s="32"/>
      <c r="S182" s="32"/>
      <c r="T182" s="32"/>
    </row>
    <row r="183" spans="3:20" x14ac:dyDescent="0.3">
      <c r="C183" s="11"/>
      <c r="D183" s="32"/>
      <c r="E183" s="11"/>
      <c r="K183" s="15"/>
      <c r="L183" s="47"/>
      <c r="M183" s="76"/>
      <c r="N183" s="76"/>
      <c r="O183" s="78" t="str">
        <f>_xlfn.LET(
    _xlpm.itemBuscado, B183,
    _xlpm.areaBuscada, C183,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TEXT(COUNTIF($C$2:C183, _xlpm.areaBuscada), "0000"),
    _xlpm.codItem &amp; "-" &amp; _xlpm.codArea &amp; "-" &amp; _xlpm.secuencia
)</f>
        <v>-SinArea-0000</v>
      </c>
      <c r="P183" s="77"/>
      <c r="Q183" s="32"/>
      <c r="R183" s="32"/>
      <c r="S183" s="32"/>
      <c r="T183" s="32"/>
    </row>
    <row r="184" spans="3:20" x14ac:dyDescent="0.3">
      <c r="C184" s="11"/>
      <c r="D184" s="32"/>
      <c r="E184" s="11"/>
      <c r="K184" s="15"/>
      <c r="L184" s="47"/>
      <c r="M184" s="76"/>
      <c r="N184" s="76"/>
      <c r="O184" s="78" t="str">
        <f>_xlfn.LET(
    _xlpm.itemBuscado, B184,
    _xlpm.areaBuscada, C184,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TEXT(COUNTIF($C$2:C184, _xlpm.areaBuscada), "0000"),
    _xlpm.codItem &amp; "-" &amp; _xlpm.codArea &amp; "-" &amp; _xlpm.secuencia
)</f>
        <v>-SinArea-0000</v>
      </c>
      <c r="P184" s="77"/>
      <c r="Q184" s="32"/>
      <c r="R184" s="32"/>
      <c r="S184" s="32"/>
      <c r="T184" s="32"/>
    </row>
    <row r="185" spans="3:20" x14ac:dyDescent="0.3">
      <c r="C185" s="11"/>
      <c r="D185" s="32"/>
      <c r="E185" s="11"/>
      <c r="K185" s="15"/>
      <c r="L185" s="47"/>
      <c r="M185" s="76"/>
      <c r="N185" s="76"/>
      <c r="O185" s="78" t="str">
        <f>_xlfn.LET(
    _xlpm.itemBuscado, B185,
    _xlpm.areaBuscada, C185,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TEXT(COUNTIF($C$2:C185, _xlpm.areaBuscada), "0000"),
    _xlpm.codItem &amp; "-" &amp; _xlpm.codArea &amp; "-" &amp; _xlpm.secuencia
)</f>
        <v>-SinArea-0000</v>
      </c>
      <c r="P185" s="77"/>
      <c r="Q185" s="32"/>
      <c r="R185" s="32"/>
      <c r="S185" s="32"/>
      <c r="T185" s="32"/>
    </row>
    <row r="186" spans="3:20" x14ac:dyDescent="0.3">
      <c r="C186" s="11"/>
      <c r="D186" s="32"/>
      <c r="E186" s="11"/>
      <c r="K186" s="15"/>
      <c r="L186" s="47"/>
      <c r="M186" s="76"/>
      <c r="N186" s="76"/>
      <c r="O186" s="78" t="str">
        <f>_xlfn.LET(
    _xlpm.itemBuscado, B186,
    _xlpm.areaBuscada, C186,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TEXT(COUNTIF($C$2:C186, _xlpm.areaBuscada), "0000"),
    _xlpm.codItem &amp; "-" &amp; _xlpm.codArea &amp; "-" &amp; _xlpm.secuencia
)</f>
        <v>-SinArea-0000</v>
      </c>
      <c r="P186" s="77"/>
      <c r="Q186" s="32"/>
      <c r="R186" s="32"/>
      <c r="S186" s="32"/>
      <c r="T186" s="32"/>
    </row>
    <row r="187" spans="3:20" x14ac:dyDescent="0.3">
      <c r="C187" s="11"/>
      <c r="D187" s="32"/>
      <c r="E187" s="11"/>
      <c r="K187" s="15"/>
      <c r="L187" s="47"/>
      <c r="M187" s="76"/>
      <c r="N187" s="76"/>
      <c r="O187" s="78" t="str">
        <f>_xlfn.LET(
    _xlpm.itemBuscado, B187,
    _xlpm.areaBuscada, C187,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TEXT(COUNTIF($C$2:C187, _xlpm.areaBuscada), "0000"),
    _xlpm.codItem &amp; "-" &amp; _xlpm.codArea &amp; "-" &amp; _xlpm.secuencia
)</f>
        <v>-SinArea-0000</v>
      </c>
      <c r="P187" s="77"/>
      <c r="Q187" s="32"/>
      <c r="R187" s="32"/>
      <c r="S187" s="32"/>
      <c r="T187" s="32"/>
    </row>
    <row r="188" spans="3:20" x14ac:dyDescent="0.3">
      <c r="C188" s="11"/>
      <c r="D188" s="32"/>
      <c r="E188" s="11"/>
      <c r="K188" s="15"/>
      <c r="L188" s="47"/>
      <c r="M188" s="76"/>
      <c r="N188" s="76"/>
      <c r="O188" s="78" t="str">
        <f>_xlfn.LET(
    _xlpm.itemBuscado, B188,
    _xlpm.areaBuscada, C188,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TEXT(COUNTIF($C$2:C188, _xlpm.areaBuscada), "0000"),
    _xlpm.codItem &amp; "-" &amp; _xlpm.codArea &amp; "-" &amp; _xlpm.secuencia
)</f>
        <v>-SinArea-0000</v>
      </c>
      <c r="P188" s="77"/>
      <c r="Q188" s="32"/>
      <c r="R188" s="32"/>
      <c r="S188" s="32"/>
      <c r="T188" s="32"/>
    </row>
    <row r="189" spans="3:20" x14ac:dyDescent="0.3">
      <c r="C189" s="11"/>
      <c r="D189" s="32"/>
      <c r="E189" s="11"/>
      <c r="K189" s="15"/>
      <c r="L189" s="47"/>
      <c r="M189" s="76"/>
      <c r="N189" s="76"/>
      <c r="O189" s="78" t="str">
        <f>_xlfn.LET(
    _xlpm.itemBuscado, B189,
    _xlpm.areaBuscada, C189,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TEXT(COUNTIF($C$2:C189, _xlpm.areaBuscada), "0000"),
    _xlpm.codItem &amp; "-" &amp; _xlpm.codArea &amp; "-" &amp; _xlpm.secuencia
)</f>
        <v>-SinArea-0000</v>
      </c>
      <c r="P189" s="77"/>
      <c r="Q189" s="32"/>
      <c r="R189" s="32"/>
      <c r="S189" s="32"/>
      <c r="T189" s="32"/>
    </row>
    <row r="190" spans="3:20" x14ac:dyDescent="0.3">
      <c r="C190" s="11"/>
      <c r="D190" s="32"/>
      <c r="E190" s="11"/>
      <c r="K190" s="15"/>
      <c r="L190" s="47"/>
      <c r="M190" s="76"/>
      <c r="N190" s="76"/>
      <c r="O190" s="78" t="str">
        <f>_xlfn.LET(
    _xlpm.itemBuscado, B190,
    _xlpm.areaBuscada, C190,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TEXT(COUNTIF($C$2:C190, _xlpm.areaBuscada), "0000"),
    _xlpm.codItem &amp; "-" &amp; _xlpm.codArea &amp; "-" &amp; _xlpm.secuencia
)</f>
        <v>-SinArea-0000</v>
      </c>
      <c r="P190" s="77"/>
      <c r="Q190" s="32"/>
      <c r="R190" s="32"/>
      <c r="S190" s="32"/>
      <c r="T190" s="32"/>
    </row>
    <row r="191" spans="3:20" x14ac:dyDescent="0.3">
      <c r="C191" s="11"/>
      <c r="D191" s="32"/>
      <c r="E191" s="11"/>
      <c r="K191" s="15"/>
      <c r="L191" s="47"/>
      <c r="M191" s="76"/>
      <c r="N191" s="76"/>
      <c r="O191" s="78" t="str">
        <f>_xlfn.LET(
    _xlpm.itemBuscado, B191,
    _xlpm.areaBuscada, C191,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TEXT(COUNTIF($C$2:C191, _xlpm.areaBuscada), "0000"),
    _xlpm.codItem &amp; "-" &amp; _xlpm.codArea &amp; "-" &amp; _xlpm.secuencia
)</f>
        <v>-SinArea-0000</v>
      </c>
      <c r="P191" s="77"/>
      <c r="Q191" s="32"/>
      <c r="R191" s="32"/>
      <c r="S191" s="32"/>
      <c r="T191" s="32"/>
    </row>
    <row r="192" spans="3:20" x14ac:dyDescent="0.3">
      <c r="C192" s="11"/>
      <c r="D192" s="32"/>
      <c r="E192" s="11"/>
      <c r="K192" s="15"/>
      <c r="L192" s="47"/>
      <c r="M192" s="76"/>
      <c r="N192" s="76"/>
      <c r="O192" s="78" t="str">
        <f>_xlfn.LET(
    _xlpm.itemBuscado, B192,
    _xlpm.areaBuscada, C192,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TEXT(COUNTIF($C$2:C192, _xlpm.areaBuscada), "0000"),
    _xlpm.codItem &amp; "-" &amp; _xlpm.codArea &amp; "-" &amp; _xlpm.secuencia
)</f>
        <v>-SinArea-0000</v>
      </c>
      <c r="P192" s="77"/>
      <c r="Q192" s="32"/>
      <c r="R192" s="32"/>
      <c r="S192" s="32"/>
      <c r="T192" s="32"/>
    </row>
    <row r="193" spans="3:20" x14ac:dyDescent="0.3">
      <c r="C193" s="11"/>
      <c r="D193" s="32"/>
      <c r="E193" s="11"/>
      <c r="K193" s="15"/>
      <c r="L193" s="47"/>
      <c r="M193" s="76"/>
      <c r="N193" s="76"/>
      <c r="O193" s="78" t="str">
        <f>_xlfn.LET(
    _xlpm.itemBuscado, B193,
    _xlpm.areaBuscada, C193,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TEXT(COUNTIF($C$2:C193, _xlpm.areaBuscada), "0000"),
    _xlpm.codItem &amp; "-" &amp; _xlpm.codArea &amp; "-" &amp; _xlpm.secuencia
)</f>
        <v>-SinArea-0000</v>
      </c>
      <c r="P193" s="77"/>
      <c r="Q193" s="32"/>
      <c r="R193" s="32"/>
      <c r="S193" s="32"/>
      <c r="T193" s="32"/>
    </row>
    <row r="194" spans="3:20" x14ac:dyDescent="0.3">
      <c r="C194" s="11"/>
      <c r="D194" s="32"/>
      <c r="E194" s="11"/>
      <c r="K194" s="15"/>
      <c r="L194" s="47"/>
      <c r="M194" s="76"/>
      <c r="N194" s="76"/>
      <c r="O194" s="78" t="str">
        <f>_xlfn.LET(
    _xlpm.itemBuscado, B194,
    _xlpm.areaBuscada, C194,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TEXT(COUNTIF($C$2:C194, _xlpm.areaBuscada), "0000"),
    _xlpm.codItem &amp; "-" &amp; _xlpm.codArea &amp; "-" &amp; _xlpm.secuencia
)</f>
        <v>-SinArea-0000</v>
      </c>
      <c r="P194" s="77"/>
      <c r="Q194" s="32"/>
      <c r="R194" s="32"/>
      <c r="S194" s="32"/>
      <c r="T194" s="32"/>
    </row>
    <row r="195" spans="3:20" x14ac:dyDescent="0.3">
      <c r="C195" s="11"/>
      <c r="D195" s="32"/>
      <c r="E195" s="11"/>
      <c r="K195" s="15"/>
      <c r="L195" s="47"/>
      <c r="M195" s="76"/>
      <c r="N195" s="76"/>
      <c r="O195" s="78" t="str">
        <f>_xlfn.LET(
    _xlpm.itemBuscado, B195,
    _xlpm.areaBuscada, C195,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TEXT(COUNTIF($C$2:C195, _xlpm.areaBuscada), "0000"),
    _xlpm.codItem &amp; "-" &amp; _xlpm.codArea &amp; "-" &amp; _xlpm.secuencia
)</f>
        <v>-SinArea-0000</v>
      </c>
      <c r="P195" s="77"/>
      <c r="Q195" s="32"/>
      <c r="R195" s="32"/>
      <c r="S195" s="32"/>
      <c r="T195" s="32"/>
    </row>
    <row r="196" spans="3:20" x14ac:dyDescent="0.3">
      <c r="C196" s="11"/>
      <c r="D196" s="32"/>
      <c r="E196" s="11"/>
      <c r="K196" s="15"/>
      <c r="L196" s="47"/>
      <c r="M196" s="76"/>
      <c r="N196" s="76"/>
      <c r="O196" s="78" t="str">
        <f>_xlfn.LET(
    _xlpm.itemBuscado, B196,
    _xlpm.areaBuscada, C196,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TEXT(COUNTIF($C$2:C196, _xlpm.areaBuscada), "0000"),
    _xlpm.codItem &amp; "-" &amp; _xlpm.codArea &amp; "-" &amp; _xlpm.secuencia
)</f>
        <v>-SinArea-0000</v>
      </c>
      <c r="P196" s="77"/>
      <c r="Q196" s="32"/>
      <c r="R196" s="32"/>
      <c r="S196" s="32"/>
      <c r="T196" s="32"/>
    </row>
    <row r="197" spans="3:20" x14ac:dyDescent="0.3">
      <c r="C197" s="11"/>
      <c r="D197" s="32"/>
      <c r="E197" s="11"/>
      <c r="K197" s="15"/>
      <c r="L197" s="47"/>
      <c r="M197" s="76"/>
      <c r="N197" s="76"/>
      <c r="O197" s="78" t="str">
        <f>_xlfn.LET(
    _xlpm.itemBuscado, B197,
    _xlpm.areaBuscada, C197,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TEXT(COUNTIF($C$2:C197, _xlpm.areaBuscada), "0000"),
    _xlpm.codItem &amp; "-" &amp; _xlpm.codArea &amp; "-" &amp; _xlpm.secuencia
)</f>
        <v>-SinArea-0000</v>
      </c>
      <c r="P197" s="77"/>
      <c r="Q197" s="32"/>
      <c r="R197" s="32"/>
      <c r="S197" s="32"/>
      <c r="T197" s="32"/>
    </row>
    <row r="198" spans="3:20" x14ac:dyDescent="0.3">
      <c r="C198" s="11"/>
      <c r="D198" s="32"/>
      <c r="E198" s="11"/>
      <c r="K198" s="15"/>
      <c r="L198" s="47"/>
      <c r="M198" s="76"/>
      <c r="N198" s="76"/>
      <c r="O198" s="78" t="str">
        <f>_xlfn.LET(
    _xlpm.itemBuscado, B198,
    _xlpm.areaBuscada, C198,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TEXT(COUNTIF($C$2:C198, _xlpm.areaBuscada), "0000"),
    _xlpm.codItem &amp; "-" &amp; _xlpm.codArea &amp; "-" &amp; _xlpm.secuencia
)</f>
        <v>-SinArea-0000</v>
      </c>
      <c r="P198" s="77"/>
      <c r="Q198" s="32"/>
      <c r="R198" s="32"/>
      <c r="S198" s="32"/>
      <c r="T198" s="32"/>
    </row>
    <row r="199" spans="3:20" x14ac:dyDescent="0.3">
      <c r="C199" s="11"/>
      <c r="D199" s="32"/>
      <c r="E199" s="11"/>
      <c r="K199" s="15"/>
      <c r="L199" s="47"/>
      <c r="M199" s="76"/>
      <c r="N199" s="76"/>
      <c r="O199" s="78" t="str">
        <f>_xlfn.LET(
    _xlpm.itemBuscado, B199,
    _xlpm.areaBuscada, C199,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TEXT(COUNTIF($C$2:C199, _xlpm.areaBuscada), "0000"),
    _xlpm.codItem &amp; "-" &amp; _xlpm.codArea &amp; "-" &amp; _xlpm.secuencia
)</f>
        <v>-SinArea-0000</v>
      </c>
      <c r="P199" s="77"/>
      <c r="Q199" s="32"/>
      <c r="R199" s="32"/>
      <c r="S199" s="32"/>
      <c r="T199" s="32"/>
    </row>
    <row r="200" spans="3:20" x14ac:dyDescent="0.3">
      <c r="C200" s="11"/>
      <c r="D200" s="32"/>
      <c r="E200" s="11"/>
      <c r="K200" s="15"/>
      <c r="L200" s="47"/>
      <c r="M200" s="76"/>
      <c r="N200" s="76"/>
      <c r="O200" s="78" t="str">
        <f>_xlfn.LET(
    _xlpm.itemBuscado, B200,
    _xlpm.areaBuscada, C200,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TEXT(COUNTIF($C$2:C200, _xlpm.areaBuscada), "0000"),
    _xlpm.codItem &amp; "-" &amp; _xlpm.codArea &amp; "-" &amp; _xlpm.secuencia
)</f>
        <v>-SinArea-0000</v>
      </c>
      <c r="P200" s="77"/>
      <c r="Q200" s="32"/>
      <c r="R200" s="32"/>
      <c r="S200" s="32"/>
      <c r="T200" s="32"/>
    </row>
    <row r="201" spans="3:20" x14ac:dyDescent="0.3">
      <c r="C201" s="11"/>
      <c r="D201" s="32"/>
      <c r="E201" s="11"/>
      <c r="K201" s="15"/>
      <c r="L201" s="47"/>
      <c r="M201" s="76"/>
      <c r="N201" s="76"/>
      <c r="O201" s="78" t="str">
        <f>_xlfn.LET(
    _xlpm.itemBuscado, B201,
    _xlpm.areaBuscada, C201,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TEXT(COUNTIF($C$2:C201, _xlpm.areaBuscada), "0000"),
    _xlpm.codItem &amp; "-" &amp; _xlpm.codArea &amp; "-" &amp; _xlpm.secuencia
)</f>
        <v>-SinArea-0000</v>
      </c>
      <c r="P201" s="77"/>
      <c r="Q201" s="32"/>
      <c r="R201" s="32"/>
      <c r="S201" s="32"/>
      <c r="T201" s="32"/>
    </row>
    <row r="202" spans="3:20" x14ac:dyDescent="0.3">
      <c r="C202" s="11"/>
      <c r="D202" s="32"/>
      <c r="E202" s="11"/>
      <c r="K202" s="15"/>
      <c r="L202" s="47"/>
      <c r="M202" s="76"/>
      <c r="N202" s="76"/>
      <c r="O202" s="78" t="str">
        <f>_xlfn.LET(
    _xlpm.itemBuscado, B202,
    _xlpm.areaBuscada, C202,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TEXT(COUNTIF($C$2:C202, _xlpm.areaBuscada), "0000"),
    _xlpm.codItem &amp; "-" &amp; _xlpm.codArea &amp; "-" &amp; _xlpm.secuencia
)</f>
        <v>-SinArea-0000</v>
      </c>
      <c r="P202" s="77"/>
      <c r="Q202" s="32"/>
      <c r="R202" s="32"/>
      <c r="S202" s="32"/>
      <c r="T202" s="32"/>
    </row>
    <row r="203" spans="3:20" x14ac:dyDescent="0.3">
      <c r="C203" s="11"/>
      <c r="D203" s="32"/>
      <c r="E203" s="11"/>
      <c r="K203" s="15"/>
      <c r="L203" s="47"/>
      <c r="M203" s="76"/>
      <c r="N203" s="76"/>
      <c r="O203" s="78" t="str">
        <f>_xlfn.LET(
    _xlpm.itemBuscado, B203,
    _xlpm.areaBuscada, C203,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TEXT(COUNTIF($C$2:C203, _xlpm.areaBuscada), "0000"),
    _xlpm.codItem &amp; "-" &amp; _xlpm.codArea &amp; "-" &amp; _xlpm.secuencia
)</f>
        <v>-SinArea-0000</v>
      </c>
      <c r="P203" s="77"/>
      <c r="Q203" s="32"/>
      <c r="R203" s="32"/>
      <c r="S203" s="32"/>
      <c r="T203" s="32"/>
    </row>
    <row r="204" spans="3:20" x14ac:dyDescent="0.3">
      <c r="C204" s="11"/>
      <c r="D204" s="32"/>
      <c r="E204" s="11"/>
      <c r="K204" s="15"/>
      <c r="L204" s="47"/>
      <c r="M204" s="76"/>
      <c r="N204" s="76"/>
      <c r="O204" s="78" t="str">
        <f>_xlfn.LET(
    _xlpm.itemBuscado, B204,
    _xlpm.areaBuscada, C204,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TEXT(COUNTIF($C$2:C204, _xlpm.areaBuscada), "0000"),
    _xlpm.codItem &amp; "-" &amp; _xlpm.codArea &amp; "-" &amp; _xlpm.secuencia
)</f>
        <v>-SinArea-0000</v>
      </c>
      <c r="P204" s="77"/>
      <c r="Q204" s="32"/>
      <c r="R204" s="32"/>
      <c r="S204" s="32"/>
      <c r="T204" s="32"/>
    </row>
    <row r="205" spans="3:20" x14ac:dyDescent="0.3">
      <c r="C205" s="11"/>
      <c r="D205" s="32"/>
      <c r="E205" s="11"/>
      <c r="K205" s="15"/>
      <c r="L205" s="47"/>
      <c r="M205" s="76"/>
      <c r="N205" s="76"/>
      <c r="O205" s="78" t="str">
        <f>_xlfn.LET(
    _xlpm.itemBuscado, B205,
    _xlpm.areaBuscada, C205,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TEXT(COUNTIF($C$2:C205, _xlpm.areaBuscada), "0000"),
    _xlpm.codItem &amp; "-" &amp; _xlpm.codArea &amp; "-" &amp; _xlpm.secuencia
)</f>
        <v>-SinArea-0000</v>
      </c>
      <c r="P205" s="77"/>
      <c r="Q205" s="32"/>
      <c r="R205" s="32"/>
      <c r="S205" s="32"/>
      <c r="T205" s="32"/>
    </row>
    <row r="206" spans="3:20" x14ac:dyDescent="0.3">
      <c r="C206" s="11"/>
      <c r="D206" s="32"/>
      <c r="E206" s="11"/>
      <c r="K206" s="15"/>
      <c r="L206" s="47"/>
      <c r="M206" s="76"/>
      <c r="N206" s="76"/>
      <c r="O206" s="78" t="str">
        <f>_xlfn.LET(
    _xlpm.itemBuscado, B206,
    _xlpm.areaBuscada, C206,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TEXT(COUNTIF($C$2:C206, _xlpm.areaBuscada), "0000"),
    _xlpm.codItem &amp; "-" &amp; _xlpm.codArea &amp; "-" &amp; _xlpm.secuencia
)</f>
        <v>-SinArea-0000</v>
      </c>
      <c r="P206" s="77"/>
      <c r="Q206" s="32"/>
      <c r="R206" s="32"/>
      <c r="S206" s="32"/>
      <c r="T206" s="32"/>
    </row>
    <row r="207" spans="3:20" x14ac:dyDescent="0.3">
      <c r="C207" s="11"/>
      <c r="D207" s="32"/>
      <c r="E207" s="11"/>
      <c r="K207" s="15"/>
      <c r="L207" s="47"/>
      <c r="M207" s="76"/>
      <c r="N207" s="76"/>
      <c r="O207" s="78" t="str">
        <f>_xlfn.LET(
    _xlpm.itemBuscado, B207,
    _xlpm.areaBuscada, C207,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TEXT(COUNTIF($C$2:C207, _xlpm.areaBuscada), "0000"),
    _xlpm.codItem &amp; "-" &amp; _xlpm.codArea &amp; "-" &amp; _xlpm.secuencia
)</f>
        <v>-SinArea-0000</v>
      </c>
      <c r="P207" s="77"/>
      <c r="Q207" s="32"/>
      <c r="R207" s="32"/>
      <c r="S207" s="32"/>
      <c r="T207" s="32"/>
    </row>
    <row r="208" spans="3:20" x14ac:dyDescent="0.3">
      <c r="C208" s="11"/>
      <c r="D208" s="32"/>
      <c r="E208" s="11"/>
      <c r="K208" s="15"/>
      <c r="L208" s="47"/>
      <c r="M208" s="76"/>
      <c r="N208" s="76"/>
      <c r="O208" s="78" t="str">
        <f>_xlfn.LET(
    _xlpm.itemBuscado, B208,
    _xlpm.areaBuscada, C208,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TEXT(COUNTIF($C$2:C208, _xlpm.areaBuscada), "0000"),
    _xlpm.codItem &amp; "-" &amp; _xlpm.codArea &amp; "-" &amp; _xlpm.secuencia
)</f>
        <v>-SinArea-0000</v>
      </c>
      <c r="P208" s="77"/>
      <c r="Q208" s="32"/>
      <c r="R208" s="32"/>
      <c r="S208" s="32"/>
      <c r="T208" s="32"/>
    </row>
    <row r="209" spans="3:20" x14ac:dyDescent="0.3">
      <c r="C209" s="11"/>
      <c r="D209" s="32"/>
      <c r="E209" s="11"/>
      <c r="K209" s="15"/>
      <c r="L209" s="47"/>
      <c r="M209" s="76"/>
      <c r="N209" s="76"/>
      <c r="O209" s="78" t="str">
        <f>_xlfn.LET(
    _xlpm.itemBuscado, B209,
    _xlpm.areaBuscada, C209,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TEXT(COUNTIF($C$2:C209, _xlpm.areaBuscada), "0000"),
    _xlpm.codItem &amp; "-" &amp; _xlpm.codArea &amp; "-" &amp; _xlpm.secuencia
)</f>
        <v>-SinArea-0000</v>
      </c>
      <c r="P209" s="77"/>
      <c r="Q209" s="32"/>
      <c r="R209" s="32"/>
      <c r="S209" s="32"/>
      <c r="T209" s="32"/>
    </row>
    <row r="210" spans="3:20" x14ac:dyDescent="0.3">
      <c r="C210" s="11"/>
      <c r="D210" s="32"/>
      <c r="E210" s="11"/>
      <c r="K210" s="15"/>
      <c r="L210" s="47"/>
      <c r="M210" s="76"/>
      <c r="N210" s="76"/>
      <c r="O210" s="78" t="str">
        <f>_xlfn.LET(
    _xlpm.itemBuscado, B210,
    _xlpm.areaBuscada, C210,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TEXT(COUNTIF($C$2:C210, _xlpm.areaBuscada), "0000"),
    _xlpm.codItem &amp; "-" &amp; _xlpm.codArea &amp; "-" &amp; _xlpm.secuencia
)</f>
        <v>-SinArea-0000</v>
      </c>
      <c r="P210" s="77"/>
      <c r="Q210" s="32"/>
      <c r="R210" s="32"/>
      <c r="S210" s="32"/>
      <c r="T210" s="32"/>
    </row>
    <row r="211" spans="3:20" x14ac:dyDescent="0.3">
      <c r="C211" s="11"/>
      <c r="D211" s="32"/>
      <c r="E211" s="11"/>
      <c r="K211" s="15"/>
      <c r="L211" s="47"/>
      <c r="M211" s="76"/>
      <c r="N211" s="76"/>
      <c r="O211" s="78" t="str">
        <f>_xlfn.LET(
    _xlpm.itemBuscado, B211,
    _xlpm.areaBuscada, C211,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TEXT(COUNTIF($C$2:C211, _xlpm.areaBuscada), "0000"),
    _xlpm.codItem &amp; "-" &amp; _xlpm.codArea &amp; "-" &amp; _xlpm.secuencia
)</f>
        <v>-SinArea-0000</v>
      </c>
      <c r="P211" s="77"/>
      <c r="Q211" s="32"/>
      <c r="R211" s="32"/>
      <c r="S211" s="32"/>
      <c r="T211" s="32"/>
    </row>
    <row r="212" spans="3:20" x14ac:dyDescent="0.3">
      <c r="C212" s="11"/>
      <c r="D212" s="32"/>
      <c r="E212" s="11"/>
      <c r="K212" s="15"/>
      <c r="L212" s="47"/>
      <c r="M212" s="76"/>
      <c r="N212" s="76"/>
      <c r="O212" s="78" t="str">
        <f>_xlfn.LET(
    _xlpm.itemBuscado, B212,
    _xlpm.areaBuscada, C212,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TEXT(COUNTIF($C$2:C212, _xlpm.areaBuscada), "0000"),
    _xlpm.codItem &amp; "-" &amp; _xlpm.codArea &amp; "-" &amp; _xlpm.secuencia
)</f>
        <v>-SinArea-0000</v>
      </c>
      <c r="P212" s="77"/>
      <c r="Q212" s="32"/>
      <c r="R212" s="32"/>
      <c r="S212" s="32"/>
      <c r="T212" s="32"/>
    </row>
    <row r="213" spans="3:20" x14ac:dyDescent="0.3">
      <c r="C213" s="11"/>
      <c r="D213" s="32"/>
      <c r="E213" s="11"/>
      <c r="K213" s="15"/>
      <c r="L213" s="47"/>
      <c r="M213" s="76"/>
      <c r="N213" s="76"/>
      <c r="O213" s="78" t="str">
        <f>_xlfn.LET(
    _xlpm.itemBuscado, B213,
    _xlpm.areaBuscada, C213,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TEXT(COUNTIF($C$2:C213, _xlpm.areaBuscada), "0000"),
    _xlpm.codItem &amp; "-" &amp; _xlpm.codArea &amp; "-" &amp; _xlpm.secuencia
)</f>
        <v>-SinArea-0000</v>
      </c>
      <c r="P213" s="77"/>
      <c r="Q213" s="32"/>
      <c r="R213" s="32"/>
      <c r="S213" s="32"/>
      <c r="T213" s="32"/>
    </row>
    <row r="214" spans="3:20" x14ac:dyDescent="0.3">
      <c r="C214" s="11"/>
      <c r="D214" s="32"/>
      <c r="E214" s="11"/>
      <c r="K214" s="15"/>
      <c r="L214" s="47"/>
      <c r="M214" s="76"/>
      <c r="N214" s="76"/>
      <c r="O214" s="78" t="str">
        <f>_xlfn.LET(
    _xlpm.itemBuscado, B214,
    _xlpm.areaBuscada, C214,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TEXT(COUNTIF($C$2:C214, _xlpm.areaBuscada), "0000"),
    _xlpm.codItem &amp; "-" &amp; _xlpm.codArea &amp; "-" &amp; _xlpm.secuencia
)</f>
        <v>-SinArea-0000</v>
      </c>
      <c r="P214" s="77"/>
      <c r="Q214" s="32"/>
      <c r="R214" s="32"/>
      <c r="S214" s="32"/>
      <c r="T214" s="32"/>
    </row>
    <row r="215" spans="3:20" x14ac:dyDescent="0.3">
      <c r="C215" s="11"/>
      <c r="D215" s="32"/>
      <c r="E215" s="11"/>
      <c r="K215" s="15"/>
      <c r="L215" s="47"/>
      <c r="M215" s="76"/>
      <c r="N215" s="76"/>
      <c r="O215" s="78" t="str">
        <f>_xlfn.LET(
    _xlpm.itemBuscado, B215,
    _xlpm.areaBuscada, C215,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TEXT(COUNTIF($C$2:C215, _xlpm.areaBuscada), "0000"),
    _xlpm.codItem &amp; "-" &amp; _xlpm.codArea &amp; "-" &amp; _xlpm.secuencia
)</f>
        <v>-SinArea-0000</v>
      </c>
      <c r="P215" s="77"/>
      <c r="Q215" s="32"/>
      <c r="R215" s="32"/>
      <c r="S215" s="32"/>
      <c r="T215" s="32"/>
    </row>
    <row r="216" spans="3:20" x14ac:dyDescent="0.3">
      <c r="C216" s="11"/>
      <c r="D216" s="32"/>
      <c r="E216" s="11"/>
      <c r="K216" s="15"/>
      <c r="L216" s="47"/>
      <c r="M216" s="76"/>
      <c r="N216" s="76"/>
      <c r="O216" s="78" t="str">
        <f>_xlfn.LET(
    _xlpm.itemBuscado, B216,
    _xlpm.areaBuscada, C216,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TEXT(COUNTIF($C$2:C216, _xlpm.areaBuscada), "0000"),
    _xlpm.codItem &amp; "-" &amp; _xlpm.codArea &amp; "-" &amp; _xlpm.secuencia
)</f>
        <v>-SinArea-0000</v>
      </c>
      <c r="P216" s="77"/>
      <c r="Q216" s="32"/>
      <c r="R216" s="32"/>
      <c r="S216" s="32"/>
      <c r="T216" s="32"/>
    </row>
    <row r="217" spans="3:20" x14ac:dyDescent="0.3">
      <c r="C217" s="11"/>
      <c r="D217" s="32"/>
      <c r="E217" s="11"/>
      <c r="K217" s="15"/>
      <c r="L217" s="47"/>
      <c r="M217" s="76"/>
      <c r="N217" s="76"/>
      <c r="O217" s="78" t="str">
        <f>_xlfn.LET(
    _xlpm.itemBuscado, B217,
    _xlpm.areaBuscada, C217,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TEXT(COUNTIF($C$2:C217, _xlpm.areaBuscada), "0000"),
    _xlpm.codItem &amp; "-" &amp; _xlpm.codArea &amp; "-" &amp; _xlpm.secuencia
)</f>
        <v>-SinArea-0000</v>
      </c>
      <c r="P217" s="77"/>
      <c r="Q217" s="32"/>
      <c r="R217" s="32"/>
      <c r="S217" s="32"/>
      <c r="T217" s="32"/>
    </row>
    <row r="218" spans="3:20" x14ac:dyDescent="0.3">
      <c r="C218" s="11"/>
      <c r="D218" s="32"/>
      <c r="E218" s="11"/>
      <c r="K218" s="15"/>
      <c r="L218" s="47"/>
      <c r="M218" s="76"/>
      <c r="N218" s="76"/>
      <c r="O218" s="78" t="str">
        <f>_xlfn.LET(
    _xlpm.itemBuscado, B218,
    _xlpm.areaBuscada, C218,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TEXT(COUNTIF($C$2:C218, _xlpm.areaBuscada), "0000"),
    _xlpm.codItem &amp; "-" &amp; _xlpm.codArea &amp; "-" &amp; _xlpm.secuencia
)</f>
        <v>-SinArea-0000</v>
      </c>
      <c r="P218" s="77"/>
      <c r="Q218" s="32"/>
      <c r="R218" s="32"/>
      <c r="S218" s="32"/>
      <c r="T218" s="32"/>
    </row>
    <row r="219" spans="3:20" x14ac:dyDescent="0.3">
      <c r="C219" s="11"/>
      <c r="D219" s="32"/>
      <c r="E219" s="11"/>
      <c r="K219" s="15"/>
      <c r="L219" s="47"/>
      <c r="M219" s="76"/>
      <c r="N219" s="76"/>
      <c r="O219" s="78" t="str">
        <f>_xlfn.LET(
    _xlpm.itemBuscado, B219,
    _xlpm.areaBuscada, C219,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TEXT(COUNTIF($C$2:C219, _xlpm.areaBuscada), "0000"),
    _xlpm.codItem &amp; "-" &amp; _xlpm.codArea &amp; "-" &amp; _xlpm.secuencia
)</f>
        <v>-SinArea-0000</v>
      </c>
      <c r="P219" s="77"/>
      <c r="Q219" s="32"/>
      <c r="R219" s="32"/>
      <c r="S219" s="32"/>
      <c r="T219" s="32"/>
    </row>
    <row r="220" spans="3:20" x14ac:dyDescent="0.3">
      <c r="C220" s="11"/>
      <c r="D220" s="32"/>
      <c r="E220" s="11"/>
      <c r="K220" s="15"/>
      <c r="L220" s="47"/>
      <c r="M220" s="76"/>
      <c r="N220" s="76"/>
      <c r="O220" s="78" t="str">
        <f>_xlfn.LET(
    _xlpm.itemBuscado, B220,
    _xlpm.areaBuscada, C220,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TEXT(COUNTIF($C$2:C220, _xlpm.areaBuscada), "0000"),
    _xlpm.codItem &amp; "-" &amp; _xlpm.codArea &amp; "-" &amp; _xlpm.secuencia
)</f>
        <v>-SinArea-0000</v>
      </c>
      <c r="P220" s="77"/>
      <c r="Q220" s="32"/>
      <c r="R220" s="32"/>
      <c r="S220" s="32"/>
      <c r="T220" s="32"/>
    </row>
    <row r="221" spans="3:20" x14ac:dyDescent="0.3">
      <c r="C221" s="11"/>
      <c r="D221" s="32"/>
      <c r="E221" s="11"/>
      <c r="K221" s="15"/>
      <c r="L221" s="47"/>
      <c r="M221" s="76"/>
      <c r="N221" s="76"/>
      <c r="O221" s="78" t="str">
        <f>_xlfn.LET(
    _xlpm.itemBuscado, B221,
    _xlpm.areaBuscada, C221,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TEXT(COUNTIF($C$2:C221, _xlpm.areaBuscada), "0000"),
    _xlpm.codItem &amp; "-" &amp; _xlpm.codArea &amp; "-" &amp; _xlpm.secuencia
)</f>
        <v>-SinArea-0000</v>
      </c>
      <c r="P221" s="77"/>
      <c r="Q221" s="32"/>
      <c r="R221" s="32"/>
      <c r="S221" s="32"/>
      <c r="T221" s="32"/>
    </row>
    <row r="222" spans="3:20" x14ac:dyDescent="0.3">
      <c r="C222" s="11"/>
      <c r="D222" s="32"/>
      <c r="E222" s="11"/>
      <c r="K222" s="15"/>
      <c r="L222" s="47"/>
      <c r="M222" s="76"/>
      <c r="N222" s="76"/>
      <c r="O222" s="78" t="str">
        <f>_xlfn.LET(
    _xlpm.itemBuscado, B222,
    _xlpm.areaBuscada, C222,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TEXT(COUNTIF($C$2:C222, _xlpm.areaBuscada), "0000"),
    _xlpm.codItem &amp; "-" &amp; _xlpm.codArea &amp; "-" &amp; _xlpm.secuencia
)</f>
        <v>-SinArea-0000</v>
      </c>
      <c r="P222" s="77"/>
      <c r="Q222" s="32"/>
      <c r="R222" s="32"/>
      <c r="S222" s="32"/>
      <c r="T222" s="32"/>
    </row>
    <row r="223" spans="3:20" x14ac:dyDescent="0.3">
      <c r="C223" s="11"/>
      <c r="D223" s="32"/>
      <c r="E223" s="11"/>
      <c r="K223" s="15"/>
      <c r="L223" s="47"/>
      <c r="M223" s="76"/>
      <c r="N223" s="76"/>
      <c r="O223" s="78" t="str">
        <f>_xlfn.LET(
    _xlpm.itemBuscado, B223,
    _xlpm.areaBuscada, C223,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TEXT(COUNTIF($C$2:C223, _xlpm.areaBuscada), "0000"),
    _xlpm.codItem &amp; "-" &amp; _xlpm.codArea &amp; "-" &amp; _xlpm.secuencia
)</f>
        <v>-SinArea-0000</v>
      </c>
      <c r="P223" s="77"/>
      <c r="Q223" s="32"/>
      <c r="R223" s="32"/>
      <c r="S223" s="32"/>
      <c r="T223" s="32"/>
    </row>
    <row r="224" spans="3:20" x14ac:dyDescent="0.3">
      <c r="C224" s="11"/>
      <c r="D224" s="32"/>
      <c r="E224" s="11"/>
      <c r="K224" s="15"/>
      <c r="L224" s="47"/>
      <c r="M224" s="76"/>
      <c r="N224" s="76"/>
      <c r="O224" s="78" t="str">
        <f>_xlfn.LET(
    _xlpm.itemBuscado, B224,
    _xlpm.areaBuscada, C224,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TEXT(COUNTIF($C$2:C224, _xlpm.areaBuscada), "0000"),
    _xlpm.codItem &amp; "-" &amp; _xlpm.codArea &amp; "-" &amp; _xlpm.secuencia
)</f>
        <v>-SinArea-0000</v>
      </c>
      <c r="P224" s="77"/>
      <c r="Q224" s="32"/>
      <c r="R224" s="32"/>
      <c r="S224" s="32"/>
      <c r="T224" s="32"/>
    </row>
    <row r="225" spans="3:20" x14ac:dyDescent="0.3">
      <c r="C225" s="11"/>
      <c r="D225" s="32"/>
      <c r="E225" s="11"/>
      <c r="K225" s="15"/>
      <c r="L225" s="47"/>
      <c r="M225" s="76"/>
      <c r="N225" s="76"/>
      <c r="O225" s="78" t="str">
        <f>_xlfn.LET(
    _xlpm.itemBuscado, B225,
    _xlpm.areaBuscada, C225,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TEXT(COUNTIF($C$2:C225, _xlpm.areaBuscada), "0000"),
    _xlpm.codItem &amp; "-" &amp; _xlpm.codArea &amp; "-" &amp; _xlpm.secuencia
)</f>
        <v>-SinArea-0000</v>
      </c>
      <c r="P225" s="77"/>
      <c r="Q225" s="32"/>
      <c r="R225" s="32"/>
      <c r="S225" s="32"/>
      <c r="T225" s="32"/>
    </row>
    <row r="226" spans="3:20" x14ac:dyDescent="0.3">
      <c r="C226" s="11"/>
      <c r="D226" s="32"/>
      <c r="E226" s="11"/>
      <c r="K226" s="15"/>
      <c r="L226" s="47"/>
      <c r="M226" s="76"/>
      <c r="N226" s="76"/>
      <c r="O226" s="78" t="str">
        <f>_xlfn.LET(
    _xlpm.itemBuscado, B226,
    _xlpm.areaBuscada, C226,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TEXT(COUNTIF($C$2:C226, _xlpm.areaBuscada), "0000"),
    _xlpm.codItem &amp; "-" &amp; _xlpm.codArea &amp; "-" &amp; _xlpm.secuencia
)</f>
        <v>-SinArea-0000</v>
      </c>
      <c r="P226" s="77"/>
      <c r="Q226" s="32"/>
      <c r="R226" s="32"/>
      <c r="S226" s="32"/>
      <c r="T226" s="32"/>
    </row>
    <row r="227" spans="3:20" x14ac:dyDescent="0.3">
      <c r="C227" s="11"/>
      <c r="D227" s="32"/>
      <c r="E227" s="11"/>
      <c r="K227" s="15"/>
      <c r="L227" s="47"/>
      <c r="M227" s="76"/>
      <c r="N227" s="76"/>
      <c r="O227" s="78" t="str">
        <f>_xlfn.LET(
    _xlpm.itemBuscado, B227,
    _xlpm.areaBuscada, C227,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TEXT(COUNTIF($C$2:C227, _xlpm.areaBuscada), "0000"),
    _xlpm.codItem &amp; "-" &amp; _xlpm.codArea &amp; "-" &amp; _xlpm.secuencia
)</f>
        <v>-SinArea-0000</v>
      </c>
      <c r="P227" s="77"/>
      <c r="Q227" s="32"/>
      <c r="R227" s="32"/>
      <c r="S227" s="32"/>
      <c r="T227" s="32"/>
    </row>
    <row r="228" spans="3:20" x14ac:dyDescent="0.3">
      <c r="C228" s="11"/>
      <c r="D228" s="32"/>
      <c r="E228" s="11"/>
      <c r="K228" s="15"/>
      <c r="L228" s="47"/>
      <c r="M228" s="76"/>
      <c r="N228" s="76"/>
      <c r="O228" s="78" t="str">
        <f>_xlfn.LET(
    _xlpm.itemBuscado, B228,
    _xlpm.areaBuscada, C228,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TEXT(COUNTIF($C$2:C228, _xlpm.areaBuscada), "0000"),
    _xlpm.codItem &amp; "-" &amp; _xlpm.codArea &amp; "-" &amp; _xlpm.secuencia
)</f>
        <v>-SinArea-0000</v>
      </c>
      <c r="P228" s="77"/>
      <c r="Q228" s="32"/>
      <c r="R228" s="32"/>
      <c r="S228" s="32"/>
      <c r="T228" s="32"/>
    </row>
    <row r="229" spans="3:20" x14ac:dyDescent="0.3">
      <c r="C229" s="11"/>
      <c r="D229" s="32"/>
      <c r="E229" s="11"/>
      <c r="K229" s="15"/>
      <c r="L229" s="47"/>
      <c r="M229" s="76"/>
      <c r="N229" s="76"/>
      <c r="O229" s="78" t="str">
        <f>_xlfn.LET(
    _xlpm.itemBuscado, B229,
    _xlpm.areaBuscada, C229,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TEXT(COUNTIF($C$2:C229, _xlpm.areaBuscada), "0000"),
    _xlpm.codItem &amp; "-" &amp; _xlpm.codArea &amp; "-" &amp; _xlpm.secuencia
)</f>
        <v>-SinArea-0000</v>
      </c>
      <c r="P229" s="77"/>
      <c r="Q229" s="32"/>
      <c r="R229" s="32"/>
      <c r="S229" s="32"/>
      <c r="T229" s="32"/>
    </row>
    <row r="230" spans="3:20" x14ac:dyDescent="0.3">
      <c r="C230" s="11"/>
      <c r="D230" s="32"/>
      <c r="E230" s="11"/>
      <c r="K230" s="15"/>
      <c r="L230" s="47"/>
      <c r="M230" s="76"/>
      <c r="N230" s="76"/>
      <c r="O230" s="78" t="str">
        <f>_xlfn.LET(
    _xlpm.itemBuscado, B230,
    _xlpm.areaBuscada, C230,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TEXT(COUNTIF($C$2:C230, _xlpm.areaBuscada), "0000"),
    _xlpm.codItem &amp; "-" &amp; _xlpm.codArea &amp; "-" &amp; _xlpm.secuencia
)</f>
        <v>-SinArea-0000</v>
      </c>
      <c r="P230" s="77"/>
      <c r="Q230" s="32"/>
      <c r="R230" s="32"/>
      <c r="S230" s="32"/>
      <c r="T230" s="32"/>
    </row>
    <row r="231" spans="3:20" x14ac:dyDescent="0.3">
      <c r="C231" s="11"/>
      <c r="D231" s="32"/>
      <c r="E231" s="11"/>
      <c r="K231" s="15"/>
      <c r="L231" s="47"/>
      <c r="M231" s="76"/>
      <c r="N231" s="76"/>
      <c r="O231" s="78" t="str">
        <f>_xlfn.LET(
    _xlpm.itemBuscado, B231,
    _xlpm.areaBuscada, C231,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TEXT(COUNTIF($C$2:C231, _xlpm.areaBuscada), "0000"),
    _xlpm.codItem &amp; "-" &amp; _xlpm.codArea &amp; "-" &amp; _xlpm.secuencia
)</f>
        <v>-SinArea-0000</v>
      </c>
      <c r="P231" s="77"/>
      <c r="Q231" s="32"/>
      <c r="R231" s="32"/>
      <c r="S231" s="32"/>
      <c r="T231" s="32"/>
    </row>
    <row r="232" spans="3:20" x14ac:dyDescent="0.3">
      <c r="C232" s="11"/>
      <c r="D232" s="32"/>
      <c r="E232" s="11"/>
      <c r="K232" s="15"/>
      <c r="L232" s="47"/>
      <c r="M232" s="76"/>
      <c r="N232" s="76"/>
      <c r="O232" s="78" t="str">
        <f>_xlfn.LET(
    _xlpm.itemBuscado, B232,
    _xlpm.areaBuscada, C232,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TEXT(COUNTIF($C$2:C232, _xlpm.areaBuscada), "0000"),
    _xlpm.codItem &amp; "-" &amp; _xlpm.codArea &amp; "-" &amp; _xlpm.secuencia
)</f>
        <v>-SinArea-0000</v>
      </c>
      <c r="P232" s="77"/>
      <c r="Q232" s="32"/>
      <c r="R232" s="32"/>
      <c r="S232" s="32"/>
      <c r="T232" s="32"/>
    </row>
    <row r="233" spans="3:20" x14ac:dyDescent="0.3">
      <c r="C233" s="11"/>
      <c r="D233" s="32"/>
      <c r="E233" s="11"/>
      <c r="K233" s="15"/>
      <c r="L233" s="47"/>
      <c r="M233" s="76"/>
      <c r="N233" s="76"/>
      <c r="O233" s="78" t="str">
        <f>_xlfn.LET(
    _xlpm.itemBuscado, B233,
    _xlpm.areaBuscada, C233,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TEXT(COUNTIF($C$2:C233, _xlpm.areaBuscada), "0000"),
    _xlpm.codItem &amp; "-" &amp; _xlpm.codArea &amp; "-" &amp; _xlpm.secuencia
)</f>
        <v>-SinArea-0000</v>
      </c>
      <c r="P233" s="77"/>
      <c r="Q233" s="32"/>
      <c r="R233" s="32"/>
      <c r="S233" s="32"/>
      <c r="T233" s="32"/>
    </row>
    <row r="234" spans="3:20" x14ac:dyDescent="0.3">
      <c r="C234" s="11"/>
      <c r="D234" s="32"/>
      <c r="E234" s="11"/>
      <c r="K234" s="15"/>
      <c r="L234" s="47"/>
      <c r="M234" s="76"/>
      <c r="N234" s="76"/>
      <c r="O234" s="78" t="str">
        <f>_xlfn.LET(
    _xlpm.itemBuscado, B234,
    _xlpm.areaBuscada, C234,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TEXT(COUNTIF($C$2:C234, _xlpm.areaBuscada), "0000"),
    _xlpm.codItem &amp; "-" &amp; _xlpm.codArea &amp; "-" &amp; _xlpm.secuencia
)</f>
        <v>-SinArea-0000</v>
      </c>
      <c r="P234" s="77"/>
      <c r="Q234" s="32"/>
      <c r="R234" s="32"/>
      <c r="S234" s="32"/>
      <c r="T234" s="32"/>
    </row>
    <row r="235" spans="3:20" x14ac:dyDescent="0.3">
      <c r="C235" s="11"/>
      <c r="D235" s="32"/>
      <c r="E235" s="11"/>
      <c r="K235" s="15"/>
      <c r="L235" s="47"/>
      <c r="M235" s="76"/>
      <c r="N235" s="76"/>
      <c r="O235" s="78" t="str">
        <f>_xlfn.LET(
    _xlpm.itemBuscado, B235,
    _xlpm.areaBuscada, C235,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TEXT(COUNTIF($C$2:C235, _xlpm.areaBuscada), "0000"),
    _xlpm.codItem &amp; "-" &amp; _xlpm.codArea &amp; "-" &amp; _xlpm.secuencia
)</f>
        <v>-SinArea-0000</v>
      </c>
      <c r="P235" s="77"/>
      <c r="Q235" s="32"/>
      <c r="R235" s="32"/>
      <c r="S235" s="32"/>
      <c r="T235" s="32"/>
    </row>
    <row r="236" spans="3:20" x14ac:dyDescent="0.3">
      <c r="C236" s="11"/>
      <c r="D236" s="32"/>
      <c r="E236" s="11"/>
      <c r="K236" s="15"/>
      <c r="L236" s="47"/>
      <c r="M236" s="76"/>
      <c r="N236" s="76"/>
      <c r="O236" s="78" t="str">
        <f>_xlfn.LET(
    _xlpm.itemBuscado, B236,
    _xlpm.areaBuscada, C236,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TEXT(COUNTIF($C$2:C236, _xlpm.areaBuscada), "0000"),
    _xlpm.codItem &amp; "-" &amp; _xlpm.codArea &amp; "-" &amp; _xlpm.secuencia
)</f>
        <v>-SinArea-0000</v>
      </c>
      <c r="P236" s="77"/>
      <c r="Q236" s="32"/>
      <c r="R236" s="32"/>
      <c r="S236" s="32"/>
      <c r="T236" s="32"/>
    </row>
    <row r="237" spans="3:20" x14ac:dyDescent="0.3">
      <c r="C237" s="11"/>
      <c r="D237" s="32"/>
      <c r="E237" s="11"/>
      <c r="K237" s="15"/>
      <c r="L237" s="47"/>
      <c r="M237" s="76"/>
      <c r="N237" s="76"/>
      <c r="O237" s="78" t="str">
        <f>_xlfn.LET(
    _xlpm.itemBuscado, B237,
    _xlpm.areaBuscada, C237,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TEXT(COUNTIF($C$2:C237, _xlpm.areaBuscada), "0000"),
    _xlpm.codItem &amp; "-" &amp; _xlpm.codArea &amp; "-" &amp; _xlpm.secuencia
)</f>
        <v>-SinArea-0000</v>
      </c>
      <c r="P237" s="77"/>
      <c r="Q237" s="32"/>
      <c r="R237" s="32"/>
      <c r="S237" s="32"/>
      <c r="T237" s="32"/>
    </row>
    <row r="238" spans="3:20" x14ac:dyDescent="0.3">
      <c r="C238" s="11"/>
      <c r="D238" s="32"/>
      <c r="E238" s="11"/>
      <c r="K238" s="15"/>
      <c r="L238" s="47"/>
      <c r="M238" s="76"/>
      <c r="N238" s="76"/>
      <c r="O238" s="78" t="str">
        <f>_xlfn.LET(
    _xlpm.itemBuscado, B238,
    _xlpm.areaBuscada, C238,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TEXT(COUNTIF($C$2:C238, _xlpm.areaBuscada), "0000"),
    _xlpm.codItem &amp; "-" &amp; _xlpm.codArea &amp; "-" &amp; _xlpm.secuencia
)</f>
        <v>-SinArea-0000</v>
      </c>
      <c r="P238" s="77"/>
      <c r="Q238" s="32"/>
      <c r="R238" s="32"/>
      <c r="S238" s="32"/>
      <c r="T238" s="32"/>
    </row>
    <row r="239" spans="3:20" x14ac:dyDescent="0.3">
      <c r="C239" s="11"/>
      <c r="D239" s="32"/>
      <c r="E239" s="11"/>
      <c r="K239" s="15"/>
      <c r="L239" s="47"/>
      <c r="M239" s="76"/>
      <c r="N239" s="76"/>
      <c r="O239" s="78" t="str">
        <f>_xlfn.LET(
    _xlpm.itemBuscado, B239,
    _xlpm.areaBuscada, C239,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TEXT(COUNTIF($C$2:C239, _xlpm.areaBuscada), "0000"),
    _xlpm.codItem &amp; "-" &amp; _xlpm.codArea &amp; "-" &amp; _xlpm.secuencia
)</f>
        <v>-SinArea-0000</v>
      </c>
      <c r="P239" s="77"/>
      <c r="Q239" s="32"/>
      <c r="R239" s="32"/>
      <c r="S239" s="32"/>
      <c r="T239" s="32"/>
    </row>
    <row r="240" spans="3:20" x14ac:dyDescent="0.3">
      <c r="C240" s="11"/>
      <c r="D240" s="32"/>
      <c r="E240" s="11"/>
      <c r="K240" s="15"/>
      <c r="L240" s="47"/>
      <c r="M240" s="76"/>
      <c r="N240" s="76"/>
      <c r="O240" s="78" t="str">
        <f>_xlfn.LET(
    _xlpm.itemBuscado, B240,
    _xlpm.areaBuscada, C240,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TEXT(COUNTIF($C$2:C240, _xlpm.areaBuscada), "0000"),
    _xlpm.codItem &amp; "-" &amp; _xlpm.codArea &amp; "-" &amp; _xlpm.secuencia
)</f>
        <v>-SinArea-0000</v>
      </c>
      <c r="P240" s="77"/>
      <c r="Q240" s="32"/>
      <c r="R240" s="32"/>
      <c r="S240" s="32"/>
      <c r="T240" s="32"/>
    </row>
    <row r="241" spans="3:20" x14ac:dyDescent="0.3">
      <c r="C241" s="11"/>
      <c r="D241" s="32"/>
      <c r="E241" s="11"/>
      <c r="K241" s="15"/>
      <c r="L241" s="47"/>
      <c r="M241" s="76"/>
      <c r="N241" s="76"/>
      <c r="O241" s="78" t="str">
        <f>_xlfn.LET(
    _xlpm.itemBuscado, B241,
    _xlpm.areaBuscada, C241,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TEXT(COUNTIF($C$2:C241, _xlpm.areaBuscada), "0000"),
    _xlpm.codItem &amp; "-" &amp; _xlpm.codArea &amp; "-" &amp; _xlpm.secuencia
)</f>
        <v>-SinArea-0000</v>
      </c>
      <c r="P241" s="77"/>
      <c r="Q241" s="32"/>
      <c r="R241" s="32"/>
      <c r="S241" s="32"/>
      <c r="T241" s="32"/>
    </row>
    <row r="242" spans="3:20" x14ac:dyDescent="0.3">
      <c r="C242" s="11"/>
      <c r="D242" s="32"/>
      <c r="E242" s="11"/>
      <c r="K242" s="15"/>
      <c r="L242" s="47"/>
      <c r="M242" s="76"/>
      <c r="N242" s="76"/>
      <c r="O242" s="78" t="str">
        <f>_xlfn.LET(
    _xlpm.itemBuscado, B242,
    _xlpm.areaBuscada, C242,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TEXT(COUNTIF($C$2:C242, _xlpm.areaBuscada), "0000"),
    _xlpm.codItem &amp; "-" &amp; _xlpm.codArea &amp; "-" &amp; _xlpm.secuencia
)</f>
        <v>-SinArea-0000</v>
      </c>
      <c r="P242" s="77"/>
      <c r="Q242" s="32"/>
      <c r="R242" s="32"/>
      <c r="S242" s="32"/>
      <c r="T242" s="32"/>
    </row>
    <row r="243" spans="3:20" x14ac:dyDescent="0.3">
      <c r="C243" s="11"/>
      <c r="D243" s="32"/>
      <c r="E243" s="11"/>
      <c r="K243" s="15"/>
      <c r="L243" s="47"/>
      <c r="M243" s="76"/>
      <c r="N243" s="76"/>
      <c r="O243" s="78" t="str">
        <f>_xlfn.LET(
    _xlpm.itemBuscado, B243,
    _xlpm.areaBuscada, C243,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TEXT(COUNTIF($C$2:C243, _xlpm.areaBuscada), "0000"),
    _xlpm.codItem &amp; "-" &amp; _xlpm.codArea &amp; "-" &amp; _xlpm.secuencia
)</f>
        <v>-SinArea-0000</v>
      </c>
      <c r="P243" s="77"/>
      <c r="Q243" s="32"/>
      <c r="R243" s="32"/>
      <c r="S243" s="32"/>
      <c r="T243" s="32"/>
    </row>
    <row r="244" spans="3:20" x14ac:dyDescent="0.3">
      <c r="C244" s="11"/>
      <c r="D244" s="32"/>
      <c r="E244" s="11"/>
      <c r="K244" s="15"/>
      <c r="L244" s="47"/>
      <c r="M244" s="76"/>
      <c r="N244" s="76"/>
      <c r="O244" s="78" t="str">
        <f>_xlfn.LET(
    _xlpm.itemBuscado, B244,
    _xlpm.areaBuscada, C244,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TEXT(COUNTIF($C$2:C244, _xlpm.areaBuscada), "0000"),
    _xlpm.codItem &amp; "-" &amp; _xlpm.codArea &amp; "-" &amp; _xlpm.secuencia
)</f>
        <v>-SinArea-0000</v>
      </c>
      <c r="P244" s="77"/>
      <c r="Q244" s="32"/>
      <c r="R244" s="32"/>
      <c r="S244" s="32"/>
      <c r="T244" s="32"/>
    </row>
    <row r="245" spans="3:20" x14ac:dyDescent="0.3">
      <c r="C245" s="11"/>
      <c r="D245" s="32"/>
      <c r="E245" s="11"/>
      <c r="K245" s="15"/>
      <c r="L245" s="47"/>
      <c r="M245" s="76"/>
      <c r="N245" s="76"/>
      <c r="O245" s="78" t="str">
        <f>_xlfn.LET(
    _xlpm.itemBuscado, B245,
    _xlpm.areaBuscada, C245,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TEXT(COUNTIF($C$2:C245, _xlpm.areaBuscada), "0000"),
    _xlpm.codItem &amp; "-" &amp; _xlpm.codArea &amp; "-" &amp; _xlpm.secuencia
)</f>
        <v>-SinArea-0000</v>
      </c>
      <c r="P245" s="77"/>
      <c r="Q245" s="32"/>
      <c r="R245" s="32"/>
      <c r="S245" s="32"/>
      <c r="T245" s="32"/>
    </row>
    <row r="246" spans="3:20" x14ac:dyDescent="0.3">
      <c r="C246" s="11"/>
      <c r="D246" s="32"/>
      <c r="E246" s="11"/>
      <c r="K246" s="15"/>
      <c r="L246" s="47"/>
      <c r="M246" s="76"/>
      <c r="N246" s="76"/>
      <c r="O246" s="78" t="str">
        <f>_xlfn.LET(
    _xlpm.itemBuscado, B246,
    _xlpm.areaBuscada, C246,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TEXT(COUNTIF($C$2:C246, _xlpm.areaBuscada), "0000"),
    _xlpm.codItem &amp; "-" &amp; _xlpm.codArea &amp; "-" &amp; _xlpm.secuencia
)</f>
        <v>-SinArea-0000</v>
      </c>
      <c r="P246" s="77"/>
      <c r="Q246" s="32"/>
      <c r="R246" s="32"/>
      <c r="S246" s="32"/>
      <c r="T246" s="32"/>
    </row>
    <row r="247" spans="3:20" x14ac:dyDescent="0.3">
      <c r="C247" s="11"/>
      <c r="D247" s="32"/>
      <c r="E247" s="11"/>
      <c r="K247" s="15"/>
      <c r="L247" s="47"/>
      <c r="M247" s="76"/>
      <c r="N247" s="76"/>
      <c r="O247" s="78" t="str">
        <f>_xlfn.LET(
    _xlpm.itemBuscado, B247,
    _xlpm.areaBuscada, C247,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TEXT(COUNTIF($C$2:C247, _xlpm.areaBuscada), "0000"),
    _xlpm.codItem &amp; "-" &amp; _xlpm.codArea &amp; "-" &amp; _xlpm.secuencia
)</f>
        <v>-SinArea-0000</v>
      </c>
      <c r="P247" s="77"/>
      <c r="Q247" s="32"/>
      <c r="R247" s="32"/>
      <c r="S247" s="32"/>
      <c r="T247" s="32"/>
    </row>
    <row r="248" spans="3:20" x14ac:dyDescent="0.3">
      <c r="C248" s="11"/>
      <c r="D248" s="32"/>
      <c r="E248" s="11"/>
      <c r="K248" s="15"/>
      <c r="L248" s="47"/>
      <c r="M248" s="76"/>
      <c r="N248" s="76"/>
      <c r="O248" s="78" t="str">
        <f>_xlfn.LET(
    _xlpm.itemBuscado, B248,
    _xlpm.areaBuscada, C248,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TEXT(COUNTIF($C$2:C248, _xlpm.areaBuscada), "0000"),
    _xlpm.codItem &amp; "-" &amp; _xlpm.codArea &amp; "-" &amp; _xlpm.secuencia
)</f>
        <v>-SinArea-0000</v>
      </c>
      <c r="P248" s="77"/>
      <c r="Q248" s="32"/>
      <c r="R248" s="32"/>
      <c r="S248" s="32"/>
      <c r="T248" s="32"/>
    </row>
    <row r="249" spans="3:20" x14ac:dyDescent="0.3">
      <c r="C249" s="11"/>
      <c r="D249" s="32"/>
      <c r="E249" s="11"/>
      <c r="K249" s="15"/>
      <c r="L249" s="47"/>
      <c r="M249" s="76"/>
      <c r="N249" s="76"/>
      <c r="O249" s="78" t="str">
        <f>_xlfn.LET(
    _xlpm.itemBuscado, B249,
    _xlpm.areaBuscada, C249,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TEXT(COUNTIF($C$2:C249, _xlpm.areaBuscada), "0000"),
    _xlpm.codItem &amp; "-" &amp; _xlpm.codArea &amp; "-" &amp; _xlpm.secuencia
)</f>
        <v>-SinArea-0000</v>
      </c>
      <c r="P249" s="77"/>
      <c r="Q249" s="32"/>
      <c r="R249" s="32"/>
      <c r="S249" s="32"/>
      <c r="T249" s="32"/>
    </row>
    <row r="250" spans="3:20" x14ac:dyDescent="0.3">
      <c r="C250" s="11"/>
      <c r="D250" s="32"/>
      <c r="E250" s="11"/>
      <c r="K250" s="15"/>
      <c r="L250" s="47"/>
      <c r="M250" s="76"/>
      <c r="N250" s="76"/>
      <c r="O250" s="78" t="str">
        <f>_xlfn.LET(
    _xlpm.itemBuscado, B250,
    _xlpm.areaBuscada, C250,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TEXT(COUNTIF($C$2:C250, _xlpm.areaBuscada), "0000"),
    _xlpm.codItem &amp; "-" &amp; _xlpm.codArea &amp; "-" &amp; _xlpm.secuencia
)</f>
        <v>-SinArea-0000</v>
      </c>
      <c r="P250" s="77"/>
      <c r="Q250" s="32"/>
      <c r="R250" s="32"/>
      <c r="S250" s="32"/>
      <c r="T250" s="32"/>
    </row>
    <row r="251" spans="3:20" x14ac:dyDescent="0.3">
      <c r="C251" s="11"/>
      <c r="D251" s="32"/>
      <c r="E251" s="11"/>
      <c r="K251" s="15"/>
      <c r="L251" s="47"/>
      <c r="M251" s="76"/>
      <c r="N251" s="76"/>
      <c r="O251" s="78" t="str">
        <f>_xlfn.LET(
    _xlpm.itemBuscado, B251,
    _xlpm.areaBuscada, C251,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TEXT(COUNTIF($C$2:C251, _xlpm.areaBuscada), "0000"),
    _xlpm.codItem &amp; "-" &amp; _xlpm.codArea &amp; "-" &amp; _xlpm.secuencia
)</f>
        <v>-SinArea-0000</v>
      </c>
      <c r="P251" s="77"/>
      <c r="Q251" s="32"/>
      <c r="R251" s="32"/>
      <c r="S251" s="32"/>
      <c r="T251" s="32"/>
    </row>
    <row r="252" spans="3:20" x14ac:dyDescent="0.3">
      <c r="C252" s="11"/>
      <c r="D252" s="32"/>
      <c r="E252" s="11"/>
      <c r="K252" s="15"/>
      <c r="L252" s="47"/>
      <c r="M252" s="76"/>
      <c r="N252" s="76"/>
      <c r="O252" s="78" t="str">
        <f>_xlfn.LET(
    _xlpm.itemBuscado, B252,
    _xlpm.areaBuscada, C252,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TEXT(COUNTIF($C$2:C252, _xlpm.areaBuscada), "0000"),
    _xlpm.codItem &amp; "-" &amp; _xlpm.codArea &amp; "-" &amp; _xlpm.secuencia
)</f>
        <v>-SinArea-0000</v>
      </c>
      <c r="P252" s="77"/>
      <c r="Q252" s="32"/>
      <c r="R252" s="32"/>
      <c r="S252" s="32"/>
      <c r="T252" s="32"/>
    </row>
    <row r="253" spans="3:20" x14ac:dyDescent="0.3">
      <c r="C253" s="11"/>
      <c r="D253" s="32"/>
      <c r="E253" s="11"/>
      <c r="K253" s="15"/>
      <c r="L253" s="47"/>
      <c r="M253" s="76"/>
      <c r="N253" s="76"/>
      <c r="O253" s="78" t="str">
        <f>_xlfn.LET(
    _xlpm.itemBuscado, B253,
    _xlpm.areaBuscada, C253,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TEXT(COUNTIF($C$2:C253, _xlpm.areaBuscada), "0000"),
    _xlpm.codItem &amp; "-" &amp; _xlpm.codArea &amp; "-" &amp; _xlpm.secuencia
)</f>
        <v>-SinArea-0000</v>
      </c>
      <c r="P253" s="77"/>
      <c r="Q253" s="32"/>
      <c r="R253" s="32"/>
      <c r="S253" s="32"/>
      <c r="T253" s="32"/>
    </row>
    <row r="254" spans="3:20" x14ac:dyDescent="0.3">
      <c r="C254" s="11"/>
      <c r="D254" s="32"/>
      <c r="E254" s="11"/>
      <c r="K254" s="15"/>
      <c r="L254" s="47"/>
      <c r="M254" s="76"/>
      <c r="N254" s="76"/>
      <c r="O254" s="78" t="str">
        <f>_xlfn.LET(
    _xlpm.itemBuscado, B254,
    _xlpm.areaBuscada, C254,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TEXT(COUNTIF($C$2:C254, _xlpm.areaBuscada), "0000"),
    _xlpm.codItem &amp; "-" &amp; _xlpm.codArea &amp; "-" &amp; _xlpm.secuencia
)</f>
        <v>-SinArea-0000</v>
      </c>
      <c r="P254" s="77"/>
      <c r="Q254" s="32"/>
      <c r="R254" s="32"/>
      <c r="S254" s="32"/>
      <c r="T254" s="32"/>
    </row>
    <row r="255" spans="3:20" x14ac:dyDescent="0.3">
      <c r="C255" s="11"/>
      <c r="D255" s="32"/>
      <c r="E255" s="11"/>
      <c r="K255" s="15"/>
      <c r="L255" s="47"/>
      <c r="M255" s="76"/>
      <c r="N255" s="76"/>
      <c r="O255" s="78" t="str">
        <f>_xlfn.LET(
    _xlpm.itemBuscado, B255,
    _xlpm.areaBuscada, C255,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TEXT(COUNTIF($C$2:C255, _xlpm.areaBuscada), "0000"),
    _xlpm.codItem &amp; "-" &amp; _xlpm.codArea &amp; "-" &amp; _xlpm.secuencia
)</f>
        <v>-SinArea-0000</v>
      </c>
      <c r="P255" s="77"/>
      <c r="Q255" s="32"/>
      <c r="R255" s="32"/>
      <c r="S255" s="32"/>
      <c r="T255" s="32"/>
    </row>
    <row r="256" spans="3:20" x14ac:dyDescent="0.3">
      <c r="C256" s="11"/>
      <c r="D256" s="32"/>
      <c r="E256" s="11"/>
      <c r="K256" s="15"/>
      <c r="L256" s="47"/>
      <c r="M256" s="76"/>
      <c r="N256" s="76"/>
      <c r="O256" s="78" t="str">
        <f>_xlfn.LET(
    _xlpm.itemBuscado, B256,
    _xlpm.areaBuscada, C256,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TEXT(COUNTIF($C$2:C256, _xlpm.areaBuscada), "0000"),
    _xlpm.codItem &amp; "-" &amp; _xlpm.codArea &amp; "-" &amp; _xlpm.secuencia
)</f>
        <v>-SinArea-0000</v>
      </c>
      <c r="P256" s="77"/>
      <c r="Q256" s="32"/>
      <c r="R256" s="32"/>
      <c r="S256" s="32"/>
      <c r="T256" s="32"/>
    </row>
    <row r="257" spans="3:20" x14ac:dyDescent="0.3">
      <c r="C257" s="11"/>
      <c r="D257" s="32"/>
      <c r="E257" s="11"/>
      <c r="K257" s="15"/>
      <c r="L257" s="47"/>
      <c r="M257" s="76"/>
      <c r="N257" s="76"/>
      <c r="O257" s="78" t="str">
        <f>_xlfn.LET(
    _xlpm.itemBuscado, B257,
    _xlpm.areaBuscada, C257,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TEXT(COUNTIF($C$2:C257, _xlpm.areaBuscada), "0000"),
    _xlpm.codItem &amp; "-" &amp; _xlpm.codArea &amp; "-" &amp; _xlpm.secuencia
)</f>
        <v>-SinArea-0000</v>
      </c>
      <c r="P257" s="77"/>
      <c r="Q257" s="32"/>
      <c r="R257" s="32"/>
      <c r="S257" s="32"/>
      <c r="T257" s="32"/>
    </row>
    <row r="258" spans="3:20" x14ac:dyDescent="0.3">
      <c r="C258" s="11"/>
      <c r="D258" s="32"/>
      <c r="E258" s="11"/>
      <c r="K258" s="15"/>
      <c r="L258" s="47"/>
      <c r="M258" s="76"/>
      <c r="N258" s="76"/>
      <c r="O258" s="78" t="str">
        <f>_xlfn.LET(
    _xlpm.itemBuscado, B258,
    _xlpm.areaBuscada, C258,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TEXT(COUNTIF($C$2:C258, _xlpm.areaBuscada), "0000"),
    _xlpm.codItem &amp; "-" &amp; _xlpm.codArea &amp; "-" &amp; _xlpm.secuencia
)</f>
        <v>-SinArea-0000</v>
      </c>
      <c r="P258" s="77"/>
      <c r="Q258" s="32"/>
      <c r="R258" s="32"/>
      <c r="S258" s="32"/>
      <c r="T258" s="32"/>
    </row>
    <row r="259" spans="3:20" x14ac:dyDescent="0.3">
      <c r="C259" s="11"/>
      <c r="D259" s="32"/>
      <c r="E259" s="11"/>
      <c r="K259" s="15"/>
      <c r="L259" s="47"/>
      <c r="M259" s="76"/>
      <c r="N259" s="76"/>
      <c r="O259" s="78" t="str">
        <f>_xlfn.LET(
    _xlpm.itemBuscado, B259,
    _xlpm.areaBuscada, C259,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TEXT(COUNTIF($C$2:C259, _xlpm.areaBuscada), "0000"),
    _xlpm.codItem &amp; "-" &amp; _xlpm.codArea &amp; "-" &amp; _xlpm.secuencia
)</f>
        <v>-SinArea-0000</v>
      </c>
      <c r="P259" s="77"/>
      <c r="Q259" s="32"/>
      <c r="R259" s="32"/>
      <c r="S259" s="32"/>
      <c r="T259" s="32"/>
    </row>
    <row r="260" spans="3:20" x14ac:dyDescent="0.3">
      <c r="C260" s="11"/>
      <c r="D260" s="32"/>
      <c r="E260" s="11"/>
      <c r="K260" s="15"/>
      <c r="L260" s="47"/>
      <c r="M260" s="76"/>
      <c r="N260" s="76"/>
      <c r="O260" s="78" t="str">
        <f>_xlfn.LET(
    _xlpm.itemBuscado, B260,
    _xlpm.areaBuscada, C260,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TEXT(COUNTIF($C$2:C260, _xlpm.areaBuscada), "0000"),
    _xlpm.codItem &amp; "-" &amp; _xlpm.codArea &amp; "-" &amp; _xlpm.secuencia
)</f>
        <v>-SinArea-0000</v>
      </c>
      <c r="P260" s="77"/>
      <c r="Q260" s="32"/>
      <c r="R260" s="32"/>
      <c r="S260" s="32"/>
      <c r="T260" s="32"/>
    </row>
    <row r="261" spans="3:20" x14ac:dyDescent="0.3">
      <c r="C261" s="11"/>
      <c r="D261" s="32"/>
      <c r="E261" s="11"/>
      <c r="K261" s="15"/>
      <c r="L261" s="47"/>
      <c r="M261" s="76"/>
      <c r="N261" s="76"/>
      <c r="O261" s="78" t="str">
        <f>_xlfn.LET(
    _xlpm.itemBuscado, B261,
    _xlpm.areaBuscada, C261,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TEXT(COUNTIF($C$2:C261, _xlpm.areaBuscada), "0000"),
    _xlpm.codItem &amp; "-" &amp; _xlpm.codArea &amp; "-" &amp; _xlpm.secuencia
)</f>
        <v>-SinArea-0000</v>
      </c>
      <c r="P261" s="77"/>
      <c r="Q261" s="32"/>
      <c r="R261" s="32"/>
      <c r="S261" s="32"/>
      <c r="T261" s="32"/>
    </row>
    <row r="262" spans="3:20" x14ac:dyDescent="0.3">
      <c r="C262" s="11"/>
      <c r="D262" s="32"/>
      <c r="E262" s="11"/>
      <c r="K262" s="15"/>
      <c r="L262" s="47"/>
      <c r="M262" s="76"/>
      <c r="N262" s="76"/>
      <c r="O262" s="78" t="str">
        <f>_xlfn.LET(
    _xlpm.itemBuscado, B262,
    _xlpm.areaBuscada, C262,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TEXT(COUNTIF($C$2:C262, _xlpm.areaBuscada), "0000"),
    _xlpm.codItem &amp; "-" &amp; _xlpm.codArea &amp; "-" &amp; _xlpm.secuencia
)</f>
        <v>-SinArea-0000</v>
      </c>
      <c r="P262" s="77"/>
      <c r="Q262" s="32"/>
      <c r="R262" s="32"/>
      <c r="S262" s="32"/>
      <c r="T262" s="32"/>
    </row>
    <row r="263" spans="3:20" x14ac:dyDescent="0.3">
      <c r="C263" s="11"/>
      <c r="D263" s="32"/>
      <c r="E263" s="11"/>
      <c r="K263" s="15"/>
      <c r="L263" s="47"/>
      <c r="M263" s="76"/>
      <c r="N263" s="76"/>
      <c r="O263" s="78" t="str">
        <f>_xlfn.LET(
    _xlpm.itemBuscado, B263,
    _xlpm.areaBuscada, C263,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TEXT(COUNTIF($C$2:C263, _xlpm.areaBuscada), "0000"),
    _xlpm.codItem &amp; "-" &amp; _xlpm.codArea &amp; "-" &amp; _xlpm.secuencia
)</f>
        <v>-SinArea-0000</v>
      </c>
      <c r="P263" s="77"/>
      <c r="Q263" s="32"/>
      <c r="R263" s="32"/>
      <c r="S263" s="32"/>
      <c r="T263" s="32"/>
    </row>
    <row r="264" spans="3:20" x14ac:dyDescent="0.3">
      <c r="C264" s="11"/>
      <c r="D264" s="32"/>
      <c r="E264" s="11"/>
      <c r="K264" s="15"/>
      <c r="L264" s="47"/>
      <c r="M264" s="76"/>
      <c r="N264" s="76"/>
      <c r="O264" s="78" t="str">
        <f>_xlfn.LET(
    _xlpm.itemBuscado, B264,
    _xlpm.areaBuscada, C264,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TEXT(COUNTIF($C$2:C264, _xlpm.areaBuscada), "0000"),
    _xlpm.codItem &amp; "-" &amp; _xlpm.codArea &amp; "-" &amp; _xlpm.secuencia
)</f>
        <v>-SinArea-0000</v>
      </c>
      <c r="P264" s="77"/>
      <c r="Q264" s="32"/>
      <c r="R264" s="32"/>
      <c r="S264" s="32"/>
      <c r="T264" s="32"/>
    </row>
    <row r="265" spans="3:20" x14ac:dyDescent="0.3">
      <c r="C265" s="11"/>
      <c r="D265" s="32"/>
      <c r="E265" s="11"/>
      <c r="K265" s="15"/>
      <c r="L265" s="47"/>
      <c r="M265" s="76"/>
      <c r="N265" s="76"/>
      <c r="O265" s="78" t="str">
        <f>_xlfn.LET(
    _xlpm.itemBuscado, B265,
    _xlpm.areaBuscada, C265,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TEXT(COUNTIF($C$2:C265, _xlpm.areaBuscada), "0000"),
    _xlpm.codItem &amp; "-" &amp; _xlpm.codArea &amp; "-" &amp; _xlpm.secuencia
)</f>
        <v>-SinArea-0000</v>
      </c>
      <c r="P265" s="77"/>
      <c r="Q265" s="32"/>
      <c r="R265" s="32"/>
      <c r="S265" s="32"/>
      <c r="T265" s="32"/>
    </row>
    <row r="266" spans="3:20" x14ac:dyDescent="0.3">
      <c r="C266" s="11"/>
      <c r="D266" s="32"/>
      <c r="E266" s="11"/>
      <c r="K266" s="15"/>
      <c r="L266" s="47"/>
      <c r="M266" s="76"/>
      <c r="N266" s="76"/>
      <c r="O266" s="78" t="str">
        <f>_xlfn.LET(
    _xlpm.itemBuscado, B266,
    _xlpm.areaBuscada, C266,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TEXT(COUNTIF($C$2:C266, _xlpm.areaBuscada), "0000"),
    _xlpm.codItem &amp; "-" &amp; _xlpm.codArea &amp; "-" &amp; _xlpm.secuencia
)</f>
        <v>-SinArea-0000</v>
      </c>
      <c r="P266" s="77"/>
      <c r="Q266" s="32"/>
      <c r="R266" s="32"/>
      <c r="S266" s="32"/>
      <c r="T266" s="32"/>
    </row>
    <row r="267" spans="3:20" x14ac:dyDescent="0.3">
      <c r="C267" s="11"/>
      <c r="D267" s="32"/>
      <c r="E267" s="11"/>
      <c r="K267" s="15"/>
      <c r="L267" s="47"/>
      <c r="M267" s="76"/>
      <c r="N267" s="76"/>
      <c r="O267" s="78" t="str">
        <f>_xlfn.LET(
    _xlpm.itemBuscado, B267,
    _xlpm.areaBuscada, C267,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TEXT(COUNTIF($C$2:C267, _xlpm.areaBuscada), "0000"),
    _xlpm.codItem &amp; "-" &amp; _xlpm.codArea &amp; "-" &amp; _xlpm.secuencia
)</f>
        <v>-SinArea-0000</v>
      </c>
      <c r="P267" s="77"/>
      <c r="Q267" s="32"/>
      <c r="R267" s="32"/>
      <c r="S267" s="32"/>
      <c r="T267" s="32"/>
    </row>
    <row r="268" spans="3:20" x14ac:dyDescent="0.3">
      <c r="C268" s="11"/>
      <c r="D268" s="32"/>
      <c r="E268" s="11"/>
      <c r="K268" s="15"/>
      <c r="L268" s="47"/>
      <c r="M268" s="76"/>
      <c r="N268" s="76"/>
      <c r="O268" s="78" t="str">
        <f>_xlfn.LET(
    _xlpm.itemBuscado, B268,
    _xlpm.areaBuscada, C268,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TEXT(COUNTIF($C$2:C268, _xlpm.areaBuscada), "0000"),
    _xlpm.codItem &amp; "-" &amp; _xlpm.codArea &amp; "-" &amp; _xlpm.secuencia
)</f>
        <v>-SinArea-0000</v>
      </c>
      <c r="P268" s="77"/>
      <c r="Q268" s="32"/>
      <c r="R268" s="32"/>
      <c r="S268" s="32"/>
      <c r="T268" s="32"/>
    </row>
    <row r="269" spans="3:20" x14ac:dyDescent="0.3">
      <c r="C269" s="11"/>
      <c r="D269" s="32"/>
      <c r="E269" s="11"/>
      <c r="K269" s="15"/>
      <c r="L269" s="47"/>
      <c r="M269" s="76"/>
      <c r="N269" s="76"/>
      <c r="O269" s="78" t="str">
        <f>_xlfn.LET(
    _xlpm.itemBuscado, B269,
    _xlpm.areaBuscada, C269,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TEXT(COUNTIF($C$2:C269, _xlpm.areaBuscada), "0000"),
    _xlpm.codItem &amp; "-" &amp; _xlpm.codArea &amp; "-" &amp; _xlpm.secuencia
)</f>
        <v>-SinArea-0000</v>
      </c>
      <c r="P269" s="77"/>
      <c r="Q269" s="32"/>
      <c r="R269" s="32"/>
      <c r="S269" s="32"/>
      <c r="T269" s="32"/>
    </row>
    <row r="270" spans="3:20" x14ac:dyDescent="0.3">
      <c r="C270" s="11"/>
      <c r="D270" s="32"/>
      <c r="E270" s="11"/>
      <c r="K270" s="15"/>
      <c r="L270" s="47"/>
      <c r="M270" s="76"/>
      <c r="N270" s="76"/>
      <c r="O270" s="78" t="str">
        <f>_xlfn.LET(
    _xlpm.itemBuscado, B270,
    _xlpm.areaBuscada, C270,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TEXT(COUNTIF($C$2:C270, _xlpm.areaBuscada), "0000"),
    _xlpm.codItem &amp; "-" &amp; _xlpm.codArea &amp; "-" &amp; _xlpm.secuencia
)</f>
        <v>-SinArea-0000</v>
      </c>
      <c r="P270" s="77"/>
      <c r="Q270" s="32"/>
      <c r="R270" s="32"/>
      <c r="S270" s="32"/>
      <c r="T270" s="32"/>
    </row>
    <row r="271" spans="3:20" x14ac:dyDescent="0.3">
      <c r="C271" s="11"/>
      <c r="D271" s="32"/>
      <c r="E271" s="11"/>
      <c r="K271" s="15"/>
      <c r="L271" s="47"/>
      <c r="M271" s="76"/>
      <c r="N271" s="76"/>
      <c r="O271" s="78" t="str">
        <f>_xlfn.LET(
    _xlpm.itemBuscado, B271,
    _xlpm.areaBuscada, C271,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TEXT(COUNTIF($C$2:C271, _xlpm.areaBuscada), "0000"),
    _xlpm.codItem &amp; "-" &amp; _xlpm.codArea &amp; "-" &amp; _xlpm.secuencia
)</f>
        <v>-SinArea-0000</v>
      </c>
      <c r="P271" s="77"/>
      <c r="Q271" s="32"/>
      <c r="R271" s="32"/>
      <c r="S271" s="32"/>
      <c r="T271" s="32"/>
    </row>
    <row r="272" spans="3:20" x14ac:dyDescent="0.3">
      <c r="C272" s="11"/>
      <c r="D272" s="32"/>
      <c r="E272" s="11"/>
      <c r="K272" s="15"/>
      <c r="L272" s="47"/>
      <c r="M272" s="76"/>
      <c r="N272" s="76"/>
      <c r="O272" s="78" t="str">
        <f>_xlfn.LET(
    _xlpm.itemBuscado, B272,
    _xlpm.areaBuscada, C272,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TEXT(COUNTIF($C$2:C272, _xlpm.areaBuscada), "0000"),
    _xlpm.codItem &amp; "-" &amp; _xlpm.codArea &amp; "-" &amp; _xlpm.secuencia
)</f>
        <v>-SinArea-0000</v>
      </c>
      <c r="P272" s="77"/>
      <c r="Q272" s="32"/>
      <c r="R272" s="32"/>
      <c r="S272" s="32"/>
      <c r="T272" s="32"/>
    </row>
    <row r="273" spans="3:20" x14ac:dyDescent="0.3">
      <c r="C273" s="11"/>
      <c r="D273" s="32"/>
      <c r="E273" s="11"/>
      <c r="K273" s="15"/>
      <c r="L273" s="47"/>
      <c r="M273" s="76"/>
      <c r="N273" s="76"/>
      <c r="O273" s="78" t="str">
        <f>_xlfn.LET(
    _xlpm.itemBuscado, B273,
    _xlpm.areaBuscada, C273,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TEXT(COUNTIF($C$2:C273, _xlpm.areaBuscada), "0000"),
    _xlpm.codItem &amp; "-" &amp; _xlpm.codArea &amp; "-" &amp; _xlpm.secuencia
)</f>
        <v>-SinArea-0000</v>
      </c>
      <c r="P273" s="77"/>
      <c r="Q273" s="32"/>
      <c r="R273" s="32"/>
      <c r="S273" s="32"/>
      <c r="T273" s="32"/>
    </row>
    <row r="274" spans="3:20" x14ac:dyDescent="0.3">
      <c r="C274" s="11"/>
      <c r="D274" s="32"/>
      <c r="E274" s="11"/>
      <c r="K274" s="15"/>
      <c r="L274" s="47"/>
      <c r="M274" s="76"/>
      <c r="N274" s="76"/>
      <c r="O274" s="78" t="str">
        <f>_xlfn.LET(
    _xlpm.itemBuscado, B274,
    _xlpm.areaBuscada, C274,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TEXT(COUNTIF($C$2:C274, _xlpm.areaBuscada), "0000"),
    _xlpm.codItem &amp; "-" &amp; _xlpm.codArea &amp; "-" &amp; _xlpm.secuencia
)</f>
        <v>-SinArea-0000</v>
      </c>
      <c r="P274" s="77"/>
      <c r="Q274" s="32"/>
      <c r="R274" s="32"/>
      <c r="S274" s="32"/>
      <c r="T274" s="32"/>
    </row>
    <row r="275" spans="3:20" x14ac:dyDescent="0.3">
      <c r="C275" s="11"/>
      <c r="D275" s="32"/>
      <c r="E275" s="11"/>
      <c r="K275" s="15"/>
      <c r="L275" s="47"/>
      <c r="M275" s="76"/>
      <c r="N275" s="76"/>
      <c r="O275" s="78" t="str">
        <f>_xlfn.LET(
    _xlpm.itemBuscado, B275,
    _xlpm.areaBuscada, C275,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TEXT(COUNTIF($C$2:C275, _xlpm.areaBuscada), "0000"),
    _xlpm.codItem &amp; "-" &amp; _xlpm.codArea &amp; "-" &amp; _xlpm.secuencia
)</f>
        <v>-SinArea-0000</v>
      </c>
      <c r="P275" s="77"/>
      <c r="Q275" s="32"/>
      <c r="R275" s="32"/>
      <c r="S275" s="32"/>
      <c r="T275" s="32"/>
    </row>
    <row r="276" spans="3:20" x14ac:dyDescent="0.3">
      <c r="C276" s="11"/>
      <c r="D276" s="32"/>
      <c r="E276" s="11"/>
      <c r="K276" s="15"/>
      <c r="L276" s="47"/>
      <c r="M276" s="76"/>
      <c r="N276" s="76"/>
      <c r="O276" s="78" t="str">
        <f>_xlfn.LET(
    _xlpm.itemBuscado, B276,
    _xlpm.areaBuscada, C276,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TEXT(COUNTIF($C$2:C276, _xlpm.areaBuscada), "0000"),
    _xlpm.codItem &amp; "-" &amp; _xlpm.codArea &amp; "-" &amp; _xlpm.secuencia
)</f>
        <v>-SinArea-0000</v>
      </c>
      <c r="P276" s="77"/>
      <c r="Q276" s="32"/>
      <c r="R276" s="32"/>
      <c r="S276" s="32"/>
      <c r="T276" s="32"/>
    </row>
    <row r="277" spans="3:20" x14ac:dyDescent="0.3">
      <c r="C277" s="11"/>
      <c r="D277" s="32"/>
      <c r="E277" s="11"/>
      <c r="K277" s="15"/>
      <c r="L277" s="47"/>
      <c r="M277" s="76"/>
      <c r="N277" s="76"/>
      <c r="O277" s="78" t="str">
        <f>_xlfn.LET(
    _xlpm.itemBuscado, B277,
    _xlpm.areaBuscada, C277,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TEXT(COUNTIF($C$2:C277, _xlpm.areaBuscada), "0000"),
    _xlpm.codItem &amp; "-" &amp; _xlpm.codArea &amp; "-" &amp; _xlpm.secuencia
)</f>
        <v>-SinArea-0000</v>
      </c>
      <c r="P277" s="77"/>
      <c r="Q277" s="32"/>
      <c r="R277" s="32"/>
      <c r="S277" s="32"/>
      <c r="T277" s="32"/>
    </row>
    <row r="278" spans="3:20" x14ac:dyDescent="0.3">
      <c r="C278" s="11"/>
      <c r="D278" s="32"/>
      <c r="E278" s="11"/>
      <c r="K278" s="15"/>
      <c r="L278" s="47"/>
      <c r="M278" s="76"/>
      <c r="N278" s="76"/>
      <c r="O278" s="78" t="str">
        <f>_xlfn.LET(
    _xlpm.itemBuscado, B278,
    _xlpm.areaBuscada, C278,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TEXT(COUNTIF($C$2:C278, _xlpm.areaBuscada), "0000"),
    _xlpm.codItem &amp; "-" &amp; _xlpm.codArea &amp; "-" &amp; _xlpm.secuencia
)</f>
        <v>-SinArea-0000</v>
      </c>
      <c r="P278" s="77"/>
      <c r="Q278" s="32"/>
      <c r="R278" s="32"/>
      <c r="S278" s="32"/>
      <c r="T278" s="32"/>
    </row>
    <row r="279" spans="3:20" x14ac:dyDescent="0.3">
      <c r="C279" s="11"/>
      <c r="D279" s="32"/>
      <c r="E279" s="11"/>
      <c r="K279" s="15"/>
      <c r="L279" s="47"/>
      <c r="M279" s="76"/>
      <c r="N279" s="76"/>
      <c r="O279" s="78" t="str">
        <f>_xlfn.LET(
    _xlpm.itemBuscado, B279,
    _xlpm.areaBuscada, C279,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TEXT(COUNTIF($C$2:C279, _xlpm.areaBuscada), "0000"),
    _xlpm.codItem &amp; "-" &amp; _xlpm.codArea &amp; "-" &amp; _xlpm.secuencia
)</f>
        <v>-SinArea-0000</v>
      </c>
      <c r="P279" s="77"/>
      <c r="Q279" s="32"/>
      <c r="R279" s="32"/>
      <c r="S279" s="32"/>
      <c r="T279" s="32"/>
    </row>
    <row r="280" spans="3:20" x14ac:dyDescent="0.3">
      <c r="C280" s="11"/>
      <c r="D280" s="32"/>
      <c r="E280" s="11"/>
      <c r="K280" s="15"/>
      <c r="L280" s="47"/>
      <c r="M280" s="76"/>
      <c r="N280" s="76"/>
      <c r="O280" s="78" t="str">
        <f>_xlfn.LET(
    _xlpm.itemBuscado, B280,
    _xlpm.areaBuscada, C280,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TEXT(COUNTIF($C$2:C280, _xlpm.areaBuscada), "0000"),
    _xlpm.codItem &amp; "-" &amp; _xlpm.codArea &amp; "-" &amp; _xlpm.secuencia
)</f>
        <v>-SinArea-0000</v>
      </c>
      <c r="P280" s="77"/>
      <c r="Q280" s="32"/>
      <c r="R280" s="32"/>
      <c r="S280" s="32"/>
      <c r="T280" s="32"/>
    </row>
    <row r="281" spans="3:20" x14ac:dyDescent="0.3">
      <c r="C281" s="11"/>
      <c r="D281" s="32"/>
      <c r="E281" s="11"/>
      <c r="K281" s="15"/>
      <c r="L281" s="47"/>
      <c r="M281" s="76"/>
      <c r="N281" s="76"/>
      <c r="O281" s="78" t="str">
        <f>_xlfn.LET(
    _xlpm.itemBuscado, B281,
    _xlpm.areaBuscada, C281,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TEXT(COUNTIF($C$2:C281, _xlpm.areaBuscada), "0000"),
    _xlpm.codItem &amp; "-" &amp; _xlpm.codArea &amp; "-" &amp; _xlpm.secuencia
)</f>
        <v>-SinArea-0000</v>
      </c>
      <c r="P281" s="77"/>
      <c r="Q281" s="32"/>
      <c r="R281" s="32"/>
      <c r="S281" s="32"/>
      <c r="T281" s="32"/>
    </row>
    <row r="282" spans="3:20" x14ac:dyDescent="0.3">
      <c r="C282" s="11"/>
      <c r="D282" s="32"/>
      <c r="E282" s="11"/>
      <c r="K282" s="15"/>
      <c r="L282" s="47"/>
      <c r="M282" s="76"/>
      <c r="N282" s="76"/>
      <c r="O282" s="78" t="str">
        <f>_xlfn.LET(
    _xlpm.itemBuscado, B282,
    _xlpm.areaBuscada, C282,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TEXT(COUNTIF($C$2:C282, _xlpm.areaBuscada), "0000"),
    _xlpm.codItem &amp; "-" &amp; _xlpm.codArea &amp; "-" &amp; _xlpm.secuencia
)</f>
        <v>-SinArea-0000</v>
      </c>
      <c r="P282" s="77"/>
      <c r="Q282" s="32"/>
      <c r="R282" s="32"/>
      <c r="S282" s="32"/>
      <c r="T282" s="32"/>
    </row>
    <row r="283" spans="3:20" x14ac:dyDescent="0.3">
      <c r="C283" s="11"/>
      <c r="D283" s="32"/>
      <c r="E283" s="11"/>
      <c r="K283" s="15"/>
      <c r="L283" s="47"/>
      <c r="M283" s="76"/>
      <c r="N283" s="76"/>
      <c r="O283" s="78" t="str">
        <f>_xlfn.LET(
    _xlpm.itemBuscado, B283,
    _xlpm.areaBuscada, C283,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TEXT(COUNTIF($C$2:C283, _xlpm.areaBuscada), "0000"),
    _xlpm.codItem &amp; "-" &amp; _xlpm.codArea &amp; "-" &amp; _xlpm.secuencia
)</f>
        <v>-SinArea-0000</v>
      </c>
      <c r="P283" s="77"/>
      <c r="Q283" s="32"/>
      <c r="R283" s="32"/>
      <c r="S283" s="32"/>
      <c r="T283" s="32"/>
    </row>
    <row r="284" spans="3:20" x14ac:dyDescent="0.3">
      <c r="C284" s="11"/>
      <c r="D284" s="32"/>
      <c r="E284" s="11"/>
      <c r="K284" s="15"/>
      <c r="L284" s="47"/>
      <c r="M284" s="76"/>
      <c r="N284" s="76"/>
      <c r="O284" s="78" t="str">
        <f>_xlfn.LET(
    _xlpm.itemBuscado, B284,
    _xlpm.areaBuscada, C284,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TEXT(COUNTIF($C$2:C284, _xlpm.areaBuscada), "0000"),
    _xlpm.codItem &amp; "-" &amp; _xlpm.codArea &amp; "-" &amp; _xlpm.secuencia
)</f>
        <v>-SinArea-0000</v>
      </c>
      <c r="P284" s="77"/>
      <c r="Q284" s="32"/>
      <c r="R284" s="32"/>
      <c r="S284" s="32"/>
      <c r="T284" s="32"/>
    </row>
    <row r="285" spans="3:20" x14ac:dyDescent="0.3">
      <c r="C285" s="11"/>
      <c r="D285" s="32"/>
      <c r="E285" s="11"/>
      <c r="K285" s="15"/>
      <c r="L285" s="47"/>
      <c r="M285" s="76"/>
      <c r="N285" s="76"/>
      <c r="O285" s="78" t="str">
        <f>_xlfn.LET(
    _xlpm.itemBuscado, B285,
    _xlpm.areaBuscada, C285,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TEXT(COUNTIF($C$2:C285, _xlpm.areaBuscada), "0000"),
    _xlpm.codItem &amp; "-" &amp; _xlpm.codArea &amp; "-" &amp; _xlpm.secuencia
)</f>
        <v>-SinArea-0000</v>
      </c>
      <c r="P285" s="77"/>
      <c r="Q285" s="32"/>
      <c r="R285" s="32"/>
      <c r="S285" s="32"/>
      <c r="T285" s="32"/>
    </row>
    <row r="286" spans="3:20" x14ac:dyDescent="0.3">
      <c r="C286" s="11"/>
      <c r="D286" s="32"/>
      <c r="E286" s="11"/>
      <c r="K286" s="15"/>
      <c r="L286" s="47"/>
      <c r="M286" s="76"/>
      <c r="N286" s="76"/>
      <c r="O286" s="78" t="str">
        <f>_xlfn.LET(
    _xlpm.itemBuscado, B286,
    _xlpm.areaBuscada, C286,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TEXT(COUNTIF($C$2:C286, _xlpm.areaBuscada), "0000"),
    _xlpm.codItem &amp; "-" &amp; _xlpm.codArea &amp; "-" &amp; _xlpm.secuencia
)</f>
        <v>-SinArea-0000</v>
      </c>
      <c r="P286" s="77"/>
      <c r="Q286" s="32"/>
      <c r="R286" s="32"/>
      <c r="S286" s="32"/>
      <c r="T286" s="32"/>
    </row>
    <row r="287" spans="3:20" x14ac:dyDescent="0.3">
      <c r="C287" s="11"/>
      <c r="D287" s="32"/>
      <c r="E287" s="11"/>
      <c r="K287" s="15"/>
      <c r="L287" s="47"/>
      <c r="M287" s="76"/>
      <c r="N287" s="76"/>
      <c r="O287" s="78" t="str">
        <f>_xlfn.LET(
    _xlpm.itemBuscado, B287,
    _xlpm.areaBuscada, C287,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TEXT(COUNTIF($C$2:C287, _xlpm.areaBuscada), "0000"),
    _xlpm.codItem &amp; "-" &amp; _xlpm.codArea &amp; "-" &amp; _xlpm.secuencia
)</f>
        <v>-SinArea-0000</v>
      </c>
      <c r="P287" s="77"/>
      <c r="Q287" s="32"/>
      <c r="R287" s="32"/>
      <c r="S287" s="32"/>
      <c r="T287" s="32"/>
    </row>
    <row r="288" spans="3:20" x14ac:dyDescent="0.3">
      <c r="C288" s="11"/>
      <c r="D288" s="32"/>
      <c r="E288" s="11"/>
      <c r="K288" s="15"/>
      <c r="L288" s="47"/>
      <c r="M288" s="76"/>
      <c r="N288" s="76"/>
      <c r="O288" s="78" t="str">
        <f>_xlfn.LET(
    _xlpm.itemBuscado, B288,
    _xlpm.areaBuscada, C288,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TEXT(COUNTIF($C$2:C288, _xlpm.areaBuscada), "0000"),
    _xlpm.codItem &amp; "-" &amp; _xlpm.codArea &amp; "-" &amp; _xlpm.secuencia
)</f>
        <v>-SinArea-0000</v>
      </c>
      <c r="P288" s="77"/>
      <c r="Q288" s="32"/>
      <c r="R288" s="32"/>
      <c r="S288" s="32"/>
      <c r="T288" s="32"/>
    </row>
    <row r="289" spans="3:20" x14ac:dyDescent="0.3">
      <c r="C289" s="11"/>
      <c r="D289" s="32"/>
      <c r="E289" s="11"/>
      <c r="K289" s="15"/>
      <c r="L289" s="47"/>
      <c r="M289" s="76"/>
      <c r="N289" s="76"/>
      <c r="O289" s="78" t="str">
        <f>_xlfn.LET(
    _xlpm.itemBuscado, B289,
    _xlpm.areaBuscada, C289,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TEXT(COUNTIF($C$2:C289, _xlpm.areaBuscada), "0000"),
    _xlpm.codItem &amp; "-" &amp; _xlpm.codArea &amp; "-" &amp; _xlpm.secuencia
)</f>
        <v>-SinArea-0000</v>
      </c>
      <c r="P289" s="77"/>
      <c r="Q289" s="32"/>
      <c r="R289" s="32"/>
      <c r="S289" s="32"/>
      <c r="T289" s="32"/>
    </row>
    <row r="290" spans="3:20" x14ac:dyDescent="0.3">
      <c r="C290" s="11"/>
      <c r="D290" s="32"/>
      <c r="E290" s="11"/>
      <c r="K290" s="15"/>
      <c r="L290" s="47"/>
      <c r="M290" s="76"/>
      <c r="N290" s="76"/>
      <c r="O290" s="78" t="str">
        <f>_xlfn.LET(
    _xlpm.itemBuscado, B290,
    _xlpm.areaBuscada, C290,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TEXT(COUNTIF($C$2:C290, _xlpm.areaBuscada), "0000"),
    _xlpm.codItem &amp; "-" &amp; _xlpm.codArea &amp; "-" &amp; _xlpm.secuencia
)</f>
        <v>-SinArea-0000</v>
      </c>
      <c r="P290" s="77"/>
      <c r="Q290" s="32"/>
      <c r="R290" s="32"/>
      <c r="S290" s="32"/>
      <c r="T290" s="32"/>
    </row>
    <row r="291" spans="3:20" x14ac:dyDescent="0.3">
      <c r="C291" s="11"/>
      <c r="D291" s="32"/>
      <c r="E291" s="11"/>
      <c r="K291" s="15"/>
      <c r="L291" s="47"/>
      <c r="M291" s="76"/>
      <c r="N291" s="76"/>
      <c r="O291" s="78" t="str">
        <f>_xlfn.LET(
    _xlpm.itemBuscado, B291,
    _xlpm.areaBuscada, C291,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TEXT(COUNTIF($C$2:C291, _xlpm.areaBuscada), "0000"),
    _xlpm.codItem &amp; "-" &amp; _xlpm.codArea &amp; "-" &amp; _xlpm.secuencia
)</f>
        <v>-SinArea-0000</v>
      </c>
      <c r="P291" s="77"/>
      <c r="Q291" s="32"/>
      <c r="R291" s="32"/>
      <c r="S291" s="32"/>
      <c r="T291" s="32"/>
    </row>
    <row r="292" spans="3:20" x14ac:dyDescent="0.3">
      <c r="C292" s="11"/>
      <c r="D292" s="32"/>
      <c r="E292" s="11"/>
      <c r="K292" s="15"/>
      <c r="L292" s="47"/>
      <c r="M292" s="76"/>
      <c r="N292" s="76"/>
      <c r="O292" s="78" t="str">
        <f>_xlfn.LET(
    _xlpm.itemBuscado, B292,
    _xlpm.areaBuscada, C292,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TEXT(COUNTIF($C$2:C292, _xlpm.areaBuscada), "0000"),
    _xlpm.codItem &amp; "-" &amp; _xlpm.codArea &amp; "-" &amp; _xlpm.secuencia
)</f>
        <v>-SinArea-0000</v>
      </c>
      <c r="P292" s="77"/>
      <c r="Q292" s="32"/>
      <c r="R292" s="32"/>
      <c r="S292" s="32"/>
      <c r="T292" s="32"/>
    </row>
    <row r="293" spans="3:20" x14ac:dyDescent="0.3">
      <c r="C293" s="11"/>
      <c r="D293" s="32"/>
      <c r="E293" s="11"/>
      <c r="K293" s="15"/>
      <c r="L293" s="47"/>
      <c r="M293" s="76"/>
      <c r="N293" s="76"/>
      <c r="O293" s="78" t="str">
        <f>_xlfn.LET(
    _xlpm.itemBuscado, B293,
    _xlpm.areaBuscada, C293,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TEXT(COUNTIF($C$2:C293, _xlpm.areaBuscada), "0000"),
    _xlpm.codItem &amp; "-" &amp; _xlpm.codArea &amp; "-" &amp; _xlpm.secuencia
)</f>
        <v>-SinArea-0000</v>
      </c>
      <c r="P293" s="77"/>
      <c r="Q293" s="32"/>
      <c r="R293" s="32"/>
      <c r="S293" s="32"/>
      <c r="T293" s="32"/>
    </row>
    <row r="294" spans="3:20" x14ac:dyDescent="0.3">
      <c r="C294" s="11"/>
      <c r="D294" s="32"/>
      <c r="E294" s="11"/>
      <c r="K294" s="15"/>
      <c r="L294" s="47"/>
      <c r="M294" s="76"/>
      <c r="N294" s="76"/>
      <c r="O294" s="78" t="str">
        <f>_xlfn.LET(
    _xlpm.itemBuscado, B294,
    _xlpm.areaBuscada, C294,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TEXT(COUNTIF($C$2:C294, _xlpm.areaBuscada), "0000"),
    _xlpm.codItem &amp; "-" &amp; _xlpm.codArea &amp; "-" &amp; _xlpm.secuencia
)</f>
        <v>-SinArea-0000</v>
      </c>
      <c r="P294" s="77"/>
      <c r="Q294" s="32"/>
      <c r="R294" s="32"/>
      <c r="S294" s="32"/>
      <c r="T294" s="32"/>
    </row>
    <row r="295" spans="3:20" x14ac:dyDescent="0.3">
      <c r="C295" s="11"/>
      <c r="D295" s="32"/>
      <c r="E295" s="11"/>
      <c r="K295" s="15"/>
      <c r="L295" s="47"/>
      <c r="M295" s="76"/>
      <c r="N295" s="76"/>
      <c r="O295" s="78" t="str">
        <f>_xlfn.LET(
    _xlpm.itemBuscado, B295,
    _xlpm.areaBuscada, C295,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TEXT(COUNTIF($C$2:C295, _xlpm.areaBuscada), "0000"),
    _xlpm.codItem &amp; "-" &amp; _xlpm.codArea &amp; "-" &amp; _xlpm.secuencia
)</f>
        <v>-SinArea-0000</v>
      </c>
      <c r="P295" s="77"/>
      <c r="Q295" s="32"/>
      <c r="R295" s="32"/>
      <c r="S295" s="32"/>
      <c r="T295" s="32"/>
    </row>
    <row r="296" spans="3:20" x14ac:dyDescent="0.3">
      <c r="C296" s="11"/>
      <c r="D296" s="32"/>
      <c r="E296" s="11"/>
      <c r="K296" s="15"/>
      <c r="L296" s="47"/>
      <c r="M296" s="76"/>
      <c r="N296" s="76"/>
      <c r="O296" s="78" t="str">
        <f>_xlfn.LET(
    _xlpm.itemBuscado, B296,
    _xlpm.areaBuscada, C296,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TEXT(COUNTIF($C$2:C296, _xlpm.areaBuscada), "0000"),
    _xlpm.codItem &amp; "-" &amp; _xlpm.codArea &amp; "-" &amp; _xlpm.secuencia
)</f>
        <v>-SinArea-0000</v>
      </c>
      <c r="P296" s="77"/>
      <c r="Q296" s="32"/>
      <c r="R296" s="32"/>
      <c r="S296" s="32"/>
      <c r="T296" s="32"/>
    </row>
    <row r="297" spans="3:20" x14ac:dyDescent="0.3">
      <c r="C297" s="11"/>
      <c r="D297" s="32"/>
      <c r="E297" s="11"/>
      <c r="K297" s="15"/>
      <c r="L297" s="47"/>
      <c r="M297" s="76"/>
      <c r="N297" s="76"/>
      <c r="O297" s="78" t="str">
        <f>_xlfn.LET(
    _xlpm.itemBuscado, B297,
    _xlpm.areaBuscada, C297,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TEXT(COUNTIF($C$2:C297, _xlpm.areaBuscada), "0000"),
    _xlpm.codItem &amp; "-" &amp; _xlpm.codArea &amp; "-" &amp; _xlpm.secuencia
)</f>
        <v>-SinArea-0000</v>
      </c>
      <c r="P297" s="77"/>
      <c r="Q297" s="32"/>
      <c r="R297" s="32"/>
      <c r="S297" s="32"/>
      <c r="T297" s="32"/>
    </row>
    <row r="298" spans="3:20" x14ac:dyDescent="0.3">
      <c r="C298" s="11"/>
      <c r="D298" s="32"/>
      <c r="E298" s="11"/>
      <c r="K298" s="15"/>
      <c r="L298" s="47"/>
      <c r="M298" s="76"/>
      <c r="N298" s="76"/>
      <c r="O298" s="78" t="str">
        <f>_xlfn.LET(
    _xlpm.itemBuscado, B298,
    _xlpm.areaBuscada, C298,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TEXT(COUNTIF($C$2:C298, _xlpm.areaBuscada), "0000"),
    _xlpm.codItem &amp; "-" &amp; _xlpm.codArea &amp; "-" &amp; _xlpm.secuencia
)</f>
        <v>-SinArea-0000</v>
      </c>
      <c r="P298" s="77"/>
      <c r="Q298" s="32"/>
      <c r="R298" s="32"/>
      <c r="S298" s="32"/>
      <c r="T298" s="32"/>
    </row>
    <row r="299" spans="3:20" x14ac:dyDescent="0.3">
      <c r="C299" s="11"/>
      <c r="D299" s="32"/>
      <c r="E299" s="11"/>
      <c r="K299" s="15"/>
      <c r="L299" s="47"/>
      <c r="M299" s="76"/>
      <c r="N299" s="76"/>
      <c r="O299" s="78" t="str">
        <f>_xlfn.LET(
    _xlpm.itemBuscado, B299,
    _xlpm.areaBuscada, C299,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TEXT(COUNTIF($C$2:C299, _xlpm.areaBuscada), "0000"),
    _xlpm.codItem &amp; "-" &amp; _xlpm.codArea &amp; "-" &amp; _xlpm.secuencia
)</f>
        <v>-SinArea-0000</v>
      </c>
      <c r="P299" s="77"/>
      <c r="Q299" s="32"/>
      <c r="R299" s="32"/>
      <c r="S299" s="32"/>
      <c r="T299" s="32"/>
    </row>
    <row r="300" spans="3:20" x14ac:dyDescent="0.3">
      <c r="C300" s="11"/>
      <c r="D300" s="32"/>
      <c r="E300" s="11"/>
      <c r="K300" s="15"/>
      <c r="L300" s="47"/>
      <c r="M300" s="76"/>
      <c r="N300" s="76"/>
      <c r="O300" s="78" t="str">
        <f>_xlfn.LET(
    _xlpm.itemBuscado, B300,
    _xlpm.areaBuscada, C300,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TEXT(COUNTIF($C$2:C300, _xlpm.areaBuscada), "0000"),
    _xlpm.codItem &amp; "-" &amp; _xlpm.codArea &amp; "-" &amp; _xlpm.secuencia
)</f>
        <v>-SinArea-0000</v>
      </c>
      <c r="P300" s="77"/>
      <c r="Q300" s="32"/>
      <c r="R300" s="32"/>
      <c r="S300" s="32"/>
      <c r="T300" s="32"/>
    </row>
    <row r="301" spans="3:20" x14ac:dyDescent="0.3">
      <c r="C301" s="11"/>
      <c r="D301" s="32"/>
      <c r="E301" s="11"/>
      <c r="K301" s="15"/>
      <c r="L301" s="47"/>
      <c r="M301" s="76"/>
      <c r="N301" s="76"/>
      <c r="O301" s="78" t="str">
        <f>_xlfn.LET(
    _xlpm.itemBuscado, B301,
    _xlpm.areaBuscada, C301,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TEXT(COUNTIF($C$2:C301, _xlpm.areaBuscada), "0000"),
    _xlpm.codItem &amp; "-" &amp; _xlpm.codArea &amp; "-" &amp; _xlpm.secuencia
)</f>
        <v>-SinArea-0000</v>
      </c>
      <c r="P301" s="77"/>
      <c r="Q301" s="32"/>
      <c r="R301" s="32"/>
      <c r="S301" s="32"/>
      <c r="T301" s="32"/>
    </row>
    <row r="302" spans="3:20" x14ac:dyDescent="0.3">
      <c r="C302" s="11"/>
      <c r="D302" s="32"/>
      <c r="E302" s="11"/>
      <c r="K302" s="15"/>
      <c r="L302" s="47"/>
      <c r="M302" s="76"/>
      <c r="N302" s="76"/>
      <c r="O302" s="78" t="str">
        <f>_xlfn.LET(
    _xlpm.itemBuscado, B302,
    _xlpm.areaBuscada, C302,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TEXT(COUNTIF($C$2:C302, _xlpm.areaBuscada), "0000"),
    _xlpm.codItem &amp; "-" &amp; _xlpm.codArea &amp; "-" &amp; _xlpm.secuencia
)</f>
        <v>-SinArea-0000</v>
      </c>
      <c r="P302" s="77"/>
      <c r="Q302" s="32"/>
      <c r="R302" s="32"/>
      <c r="S302" s="32"/>
      <c r="T302" s="32"/>
    </row>
    <row r="303" spans="3:20" x14ac:dyDescent="0.3">
      <c r="C303" s="11"/>
      <c r="D303" s="32"/>
      <c r="E303" s="11"/>
      <c r="K303" s="15"/>
      <c r="L303" s="47"/>
      <c r="M303" s="76"/>
      <c r="N303" s="76"/>
      <c r="O303" s="78" t="str">
        <f>_xlfn.LET(
    _xlpm.itemBuscado, B303,
    _xlpm.areaBuscada, C303,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TEXT(COUNTIF($C$2:C303, _xlpm.areaBuscada), "0000"),
    _xlpm.codItem &amp; "-" &amp; _xlpm.codArea &amp; "-" &amp; _xlpm.secuencia
)</f>
        <v>-SinArea-0000</v>
      </c>
      <c r="P303" s="77"/>
      <c r="Q303" s="32"/>
      <c r="R303" s="32"/>
      <c r="S303" s="32"/>
      <c r="T303" s="32"/>
    </row>
    <row r="304" spans="3:20" x14ac:dyDescent="0.3">
      <c r="C304" s="11"/>
      <c r="D304" s="32"/>
      <c r="E304" s="11"/>
      <c r="K304" s="15"/>
      <c r="L304" s="47"/>
      <c r="M304" s="76"/>
      <c r="N304" s="76"/>
      <c r="O304" s="78" t="str">
        <f>_xlfn.LET(
    _xlpm.itemBuscado, B304,
    _xlpm.areaBuscada, C304,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TEXT(COUNTIF($C$2:C304, _xlpm.areaBuscada), "0000"),
    _xlpm.codItem &amp; "-" &amp; _xlpm.codArea &amp; "-" &amp; _xlpm.secuencia
)</f>
        <v>-SinArea-0000</v>
      </c>
      <c r="P304" s="77"/>
      <c r="Q304" s="32"/>
      <c r="R304" s="32"/>
      <c r="S304" s="32"/>
      <c r="T304" s="32"/>
    </row>
    <row r="305" spans="3:20" x14ac:dyDescent="0.3">
      <c r="C305" s="11"/>
      <c r="D305" s="32"/>
      <c r="E305" s="11"/>
      <c r="K305" s="15"/>
      <c r="L305" s="47"/>
      <c r="M305" s="76"/>
      <c r="N305" s="76"/>
      <c r="O305" s="78" t="str">
        <f>_xlfn.LET(
    _xlpm.itemBuscado, B305,
    _xlpm.areaBuscada, C305,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TEXT(COUNTIF($C$2:C305, _xlpm.areaBuscada), "0000"),
    _xlpm.codItem &amp; "-" &amp; _xlpm.codArea &amp; "-" &amp; _xlpm.secuencia
)</f>
        <v>-SinArea-0000</v>
      </c>
      <c r="P305" s="77"/>
      <c r="Q305" s="32"/>
      <c r="R305" s="32"/>
      <c r="S305" s="32"/>
      <c r="T305" s="32"/>
    </row>
    <row r="306" spans="3:20" x14ac:dyDescent="0.3">
      <c r="C306" s="11"/>
      <c r="D306" s="32"/>
      <c r="E306" s="11"/>
      <c r="K306" s="15"/>
      <c r="L306" s="47"/>
      <c r="M306" s="76"/>
      <c r="N306" s="76"/>
      <c r="O306" s="78" t="str">
        <f>_xlfn.LET(
    _xlpm.itemBuscado, B306,
    _xlpm.areaBuscada, C306,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TEXT(COUNTIF($C$2:C306, _xlpm.areaBuscada), "0000"),
    _xlpm.codItem &amp; "-" &amp; _xlpm.codArea &amp; "-" &amp; _xlpm.secuencia
)</f>
        <v>-SinArea-0000</v>
      </c>
      <c r="P306" s="77"/>
      <c r="Q306" s="32"/>
      <c r="R306" s="32"/>
      <c r="S306" s="32"/>
      <c r="T306" s="32"/>
    </row>
    <row r="307" spans="3:20" x14ac:dyDescent="0.3">
      <c r="C307" s="11"/>
      <c r="D307" s="32"/>
      <c r="E307" s="11"/>
      <c r="K307" s="15"/>
      <c r="L307" s="47"/>
      <c r="M307" s="76"/>
      <c r="N307" s="76"/>
      <c r="O307" s="78" t="str">
        <f>_xlfn.LET(
    _xlpm.itemBuscado, B307,
    _xlpm.areaBuscada, C307,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TEXT(COUNTIF($C$2:C307, _xlpm.areaBuscada), "0000"),
    _xlpm.codItem &amp; "-" &amp; _xlpm.codArea &amp; "-" &amp; _xlpm.secuencia
)</f>
        <v>-SinArea-0000</v>
      </c>
      <c r="P307" s="77"/>
      <c r="Q307" s="32"/>
      <c r="R307" s="32"/>
      <c r="S307" s="32"/>
      <c r="T307" s="32"/>
    </row>
    <row r="308" spans="3:20" x14ac:dyDescent="0.3">
      <c r="C308" s="11"/>
      <c r="D308" s="32"/>
      <c r="E308" s="11"/>
      <c r="K308" s="15"/>
      <c r="L308" s="47"/>
      <c r="M308" s="76"/>
      <c r="N308" s="76"/>
      <c r="O308" s="78" t="str">
        <f>_xlfn.LET(
    _xlpm.itemBuscado, B308,
    _xlpm.areaBuscada, C308,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TEXT(COUNTIF($C$2:C308, _xlpm.areaBuscada), "0000"),
    _xlpm.codItem &amp; "-" &amp; _xlpm.codArea &amp; "-" &amp; _xlpm.secuencia
)</f>
        <v>-SinArea-0000</v>
      </c>
      <c r="P308" s="77"/>
      <c r="Q308" s="32"/>
      <c r="R308" s="32"/>
      <c r="S308" s="32"/>
      <c r="T308" s="32"/>
    </row>
    <row r="309" spans="3:20" x14ac:dyDescent="0.3">
      <c r="C309" s="11"/>
      <c r="D309" s="32"/>
      <c r="E309" s="11"/>
      <c r="K309" s="15"/>
      <c r="L309" s="47"/>
      <c r="M309" s="76"/>
      <c r="N309" s="76"/>
      <c r="O309" s="78" t="str">
        <f>_xlfn.LET(
    _xlpm.itemBuscado, B309,
    _xlpm.areaBuscada, C309,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TEXT(COUNTIF($C$2:C309, _xlpm.areaBuscada), "0000"),
    _xlpm.codItem &amp; "-" &amp; _xlpm.codArea &amp; "-" &amp; _xlpm.secuencia
)</f>
        <v>-SinArea-0000</v>
      </c>
      <c r="P309" s="77"/>
      <c r="Q309" s="32"/>
      <c r="R309" s="32"/>
      <c r="S309" s="32"/>
      <c r="T309" s="32"/>
    </row>
    <row r="310" spans="3:20" x14ac:dyDescent="0.3">
      <c r="C310" s="11"/>
      <c r="D310" s="32"/>
      <c r="E310" s="11"/>
      <c r="K310" s="15"/>
      <c r="L310" s="47"/>
      <c r="M310" s="76"/>
      <c r="N310" s="76"/>
      <c r="O310" s="78" t="str">
        <f>_xlfn.LET(
    _xlpm.itemBuscado, B310,
    _xlpm.areaBuscada, C310,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TEXT(COUNTIF($C$2:C310, _xlpm.areaBuscada), "0000"),
    _xlpm.codItem &amp; "-" &amp; _xlpm.codArea &amp; "-" &amp; _xlpm.secuencia
)</f>
        <v>-SinArea-0000</v>
      </c>
      <c r="P310" s="77"/>
      <c r="Q310" s="32"/>
      <c r="R310" s="32"/>
      <c r="S310" s="32"/>
      <c r="T310" s="32"/>
    </row>
    <row r="311" spans="3:20" x14ac:dyDescent="0.3">
      <c r="C311" s="11"/>
      <c r="D311" s="32"/>
      <c r="E311" s="11"/>
      <c r="K311" s="15"/>
      <c r="L311" s="47"/>
      <c r="M311" s="76"/>
      <c r="N311" s="76"/>
      <c r="O311" s="78" t="str">
        <f>_xlfn.LET(
    _xlpm.itemBuscado, B311,
    _xlpm.areaBuscada, C311,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TEXT(COUNTIF($C$2:C311, _xlpm.areaBuscada), "0000"),
    _xlpm.codItem &amp; "-" &amp; _xlpm.codArea &amp; "-" &amp; _xlpm.secuencia
)</f>
        <v>-SinArea-0000</v>
      </c>
      <c r="P311" s="77"/>
      <c r="Q311" s="32"/>
      <c r="R311" s="32"/>
      <c r="S311" s="32"/>
      <c r="T311" s="32"/>
    </row>
    <row r="312" spans="3:20" x14ac:dyDescent="0.3">
      <c r="C312" s="11"/>
      <c r="D312" s="32"/>
      <c r="E312" s="11"/>
      <c r="K312" s="15"/>
      <c r="L312" s="47"/>
      <c r="M312" s="76"/>
      <c r="N312" s="76"/>
      <c r="O312" s="78" t="str">
        <f>_xlfn.LET(
    _xlpm.itemBuscado, B312,
    _xlpm.areaBuscada, C312,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TEXT(COUNTIF($C$2:C312, _xlpm.areaBuscada), "0000"),
    _xlpm.codItem &amp; "-" &amp; _xlpm.codArea &amp; "-" &amp; _xlpm.secuencia
)</f>
        <v>-SinArea-0000</v>
      </c>
      <c r="P312" s="77"/>
      <c r="Q312" s="32"/>
      <c r="R312" s="32"/>
      <c r="S312" s="32"/>
      <c r="T312" s="32"/>
    </row>
    <row r="313" spans="3:20" x14ac:dyDescent="0.3">
      <c r="C313" s="11"/>
      <c r="D313" s="32"/>
      <c r="E313" s="11"/>
      <c r="K313" s="15"/>
      <c r="L313" s="47"/>
      <c r="M313" s="76"/>
      <c r="N313" s="76"/>
      <c r="O313" s="78" t="str">
        <f>_xlfn.LET(
    _xlpm.itemBuscado, B313,
    _xlpm.areaBuscada, C313,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TEXT(COUNTIF($C$2:C313, _xlpm.areaBuscada), "0000"),
    _xlpm.codItem &amp; "-" &amp; _xlpm.codArea &amp; "-" &amp; _xlpm.secuencia
)</f>
        <v>-SinArea-0000</v>
      </c>
      <c r="P313" s="77"/>
      <c r="Q313" s="32"/>
      <c r="R313" s="32"/>
      <c r="S313" s="32"/>
      <c r="T313" s="32"/>
    </row>
    <row r="314" spans="3:20" x14ac:dyDescent="0.3">
      <c r="C314" s="11"/>
      <c r="D314" s="32"/>
      <c r="E314" s="11"/>
      <c r="K314" s="15"/>
      <c r="L314" s="47"/>
      <c r="M314" s="76"/>
      <c r="N314" s="76"/>
      <c r="O314" s="78" t="str">
        <f>_xlfn.LET(
    _xlpm.itemBuscado, B314,
    _xlpm.areaBuscada, C314,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TEXT(COUNTIF($C$2:C314, _xlpm.areaBuscada), "0000"),
    _xlpm.codItem &amp; "-" &amp; _xlpm.codArea &amp; "-" &amp; _xlpm.secuencia
)</f>
        <v>-SinArea-0000</v>
      </c>
      <c r="P314" s="77"/>
      <c r="Q314" s="32"/>
      <c r="R314" s="32"/>
      <c r="S314" s="32"/>
      <c r="T314" s="32"/>
    </row>
    <row r="315" spans="3:20" x14ac:dyDescent="0.3">
      <c r="C315" s="11"/>
      <c r="D315" s="32"/>
      <c r="E315" s="11"/>
      <c r="K315" s="15"/>
      <c r="L315" s="47"/>
      <c r="M315" s="76"/>
      <c r="N315" s="76"/>
      <c r="O315" s="78" t="str">
        <f>_xlfn.LET(
    _xlpm.itemBuscado, B315,
    _xlpm.areaBuscada, C315,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TEXT(COUNTIF($C$2:C315, _xlpm.areaBuscada), "0000"),
    _xlpm.codItem &amp; "-" &amp; _xlpm.codArea &amp; "-" &amp; _xlpm.secuencia
)</f>
        <v>-SinArea-0000</v>
      </c>
      <c r="P315" s="77"/>
      <c r="Q315" s="32"/>
      <c r="R315" s="32"/>
      <c r="S315" s="32"/>
      <c r="T315" s="32"/>
    </row>
    <row r="316" spans="3:20" x14ac:dyDescent="0.3">
      <c r="C316" s="11"/>
      <c r="D316" s="32"/>
      <c r="E316" s="11"/>
      <c r="K316" s="15"/>
      <c r="L316" s="47"/>
      <c r="M316" s="76"/>
      <c r="N316" s="76"/>
      <c r="O316" s="78" t="str">
        <f>_xlfn.LET(
    _xlpm.itemBuscado, B316,
    _xlpm.areaBuscada, C316,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TEXT(COUNTIF($C$2:C316, _xlpm.areaBuscada), "0000"),
    _xlpm.codItem &amp; "-" &amp; _xlpm.codArea &amp; "-" &amp; _xlpm.secuencia
)</f>
        <v>-SinArea-0000</v>
      </c>
      <c r="P316" s="77"/>
      <c r="Q316" s="32"/>
      <c r="R316" s="32"/>
      <c r="S316" s="32"/>
      <c r="T316" s="32"/>
    </row>
    <row r="317" spans="3:20" x14ac:dyDescent="0.3">
      <c r="C317" s="11"/>
      <c r="D317" s="32"/>
      <c r="E317" s="11"/>
      <c r="K317" s="15"/>
      <c r="L317" s="47"/>
      <c r="M317" s="76"/>
      <c r="N317" s="76"/>
      <c r="O317" s="78" t="str">
        <f>_xlfn.LET(
    _xlpm.itemBuscado, B317,
    _xlpm.areaBuscada, C317,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TEXT(COUNTIF($C$2:C317, _xlpm.areaBuscada), "0000"),
    _xlpm.codItem &amp; "-" &amp; _xlpm.codArea &amp; "-" &amp; _xlpm.secuencia
)</f>
        <v>-SinArea-0000</v>
      </c>
      <c r="P317" s="77"/>
      <c r="Q317" s="32"/>
      <c r="R317" s="32"/>
      <c r="S317" s="32"/>
      <c r="T317" s="32"/>
    </row>
    <row r="318" spans="3:20" x14ac:dyDescent="0.3">
      <c r="C318" s="11"/>
      <c r="D318" s="32"/>
      <c r="E318" s="11"/>
      <c r="K318" s="15"/>
      <c r="L318" s="47"/>
      <c r="M318" s="76"/>
      <c r="N318" s="76"/>
      <c r="O318" s="78" t="str">
        <f>_xlfn.LET(
    _xlpm.itemBuscado, B318,
    _xlpm.areaBuscada, C318,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TEXT(COUNTIF($C$2:C318, _xlpm.areaBuscada), "0000"),
    _xlpm.codItem &amp; "-" &amp; _xlpm.codArea &amp; "-" &amp; _xlpm.secuencia
)</f>
        <v>-SinArea-0000</v>
      </c>
      <c r="P318" s="77"/>
      <c r="Q318" s="32"/>
      <c r="R318" s="32"/>
      <c r="S318" s="32"/>
      <c r="T318" s="32"/>
    </row>
    <row r="319" spans="3:20" x14ac:dyDescent="0.3">
      <c r="C319" s="11"/>
      <c r="D319" s="32"/>
      <c r="E319" s="11"/>
      <c r="K319" s="15"/>
      <c r="L319" s="47"/>
      <c r="M319" s="76"/>
      <c r="N319" s="76"/>
      <c r="O319" s="78" t="str">
        <f>_xlfn.LET(
    _xlpm.itemBuscado, B319,
    _xlpm.areaBuscada, C319,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TEXT(COUNTIF($C$2:C319, _xlpm.areaBuscada), "0000"),
    _xlpm.codItem &amp; "-" &amp; _xlpm.codArea &amp; "-" &amp; _xlpm.secuencia
)</f>
        <v>-SinArea-0000</v>
      </c>
      <c r="P319" s="77"/>
      <c r="Q319" s="32"/>
      <c r="R319" s="32"/>
      <c r="S319" s="32"/>
      <c r="T319" s="32"/>
    </row>
    <row r="320" spans="3:20" x14ac:dyDescent="0.3">
      <c r="C320" s="11"/>
      <c r="D320" s="32"/>
      <c r="E320" s="11"/>
      <c r="K320" s="15"/>
      <c r="L320" s="47"/>
      <c r="M320" s="76"/>
      <c r="N320" s="76"/>
      <c r="O320" s="78" t="str">
        <f>_xlfn.LET(
    _xlpm.itemBuscado, B320,
    _xlpm.areaBuscada, C320,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TEXT(COUNTIF($C$2:C320, _xlpm.areaBuscada), "0000"),
    _xlpm.codItem &amp; "-" &amp; _xlpm.codArea &amp; "-" &amp; _xlpm.secuencia
)</f>
        <v>-SinArea-0000</v>
      </c>
      <c r="P320" s="77"/>
      <c r="Q320" s="32"/>
      <c r="R320" s="32"/>
      <c r="S320" s="32"/>
      <c r="T320" s="32"/>
    </row>
    <row r="321" spans="3:20" x14ac:dyDescent="0.3">
      <c r="C321" s="11"/>
      <c r="D321" s="32"/>
      <c r="E321" s="11"/>
      <c r="K321" s="15"/>
      <c r="L321" s="47"/>
      <c r="M321" s="76"/>
      <c r="N321" s="76"/>
      <c r="O321" s="78" t="str">
        <f>_xlfn.LET(
    _xlpm.itemBuscado, B321,
    _xlpm.areaBuscada, C321,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TEXT(COUNTIF($C$2:C321, _xlpm.areaBuscada), "0000"),
    _xlpm.codItem &amp; "-" &amp; _xlpm.codArea &amp; "-" &amp; _xlpm.secuencia
)</f>
        <v>-SinArea-0000</v>
      </c>
      <c r="P321" s="77"/>
      <c r="Q321" s="32"/>
      <c r="R321" s="32"/>
      <c r="S321" s="32"/>
      <c r="T321" s="32"/>
    </row>
    <row r="322" spans="3:20" x14ac:dyDescent="0.3">
      <c r="C322" s="11"/>
      <c r="D322" s="32"/>
      <c r="E322" s="11"/>
      <c r="K322" s="15"/>
      <c r="L322" s="47"/>
      <c r="M322" s="76"/>
      <c r="N322" s="76"/>
      <c r="O322" s="78" t="str">
        <f>_xlfn.LET(
    _xlpm.itemBuscado, B322,
    _xlpm.areaBuscada, C322,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TEXT(COUNTIF($C$2:C322, _xlpm.areaBuscada), "0000"),
    _xlpm.codItem &amp; "-" &amp; _xlpm.codArea &amp; "-" &amp; _xlpm.secuencia
)</f>
        <v>-SinArea-0000</v>
      </c>
      <c r="P322" s="77"/>
      <c r="Q322" s="32"/>
      <c r="R322" s="32"/>
      <c r="S322" s="32"/>
      <c r="T322" s="32"/>
    </row>
    <row r="323" spans="3:20" x14ac:dyDescent="0.3">
      <c r="C323" s="11"/>
      <c r="D323" s="32"/>
      <c r="E323" s="11"/>
      <c r="K323" s="15"/>
      <c r="L323" s="47"/>
      <c r="M323" s="76"/>
      <c r="N323" s="76"/>
      <c r="O323" s="78" t="str">
        <f>_xlfn.LET(
    _xlpm.itemBuscado, B323,
    _xlpm.areaBuscada, C323,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TEXT(COUNTIF($C$2:C323, _xlpm.areaBuscada), "0000"),
    _xlpm.codItem &amp; "-" &amp; _xlpm.codArea &amp; "-" &amp; _xlpm.secuencia
)</f>
        <v>-SinArea-0000</v>
      </c>
      <c r="P323" s="77"/>
      <c r="Q323" s="32"/>
      <c r="R323" s="32"/>
      <c r="S323" s="32"/>
      <c r="T323" s="32"/>
    </row>
    <row r="324" spans="3:20" x14ac:dyDescent="0.3">
      <c r="C324" s="11"/>
      <c r="D324" s="32"/>
      <c r="E324" s="11"/>
      <c r="K324" s="15"/>
      <c r="L324" s="47"/>
      <c r="M324" s="76"/>
      <c r="N324" s="76"/>
      <c r="O324" s="78" t="str">
        <f>_xlfn.LET(
    _xlpm.itemBuscado, B324,
    _xlpm.areaBuscada, C324,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TEXT(COUNTIF($C$2:C324, _xlpm.areaBuscada), "0000"),
    _xlpm.codItem &amp; "-" &amp; _xlpm.codArea &amp; "-" &amp; _xlpm.secuencia
)</f>
        <v>-SinArea-0000</v>
      </c>
      <c r="P324" s="77"/>
      <c r="Q324" s="32"/>
      <c r="R324" s="32"/>
      <c r="S324" s="32"/>
      <c r="T324" s="32"/>
    </row>
    <row r="325" spans="3:20" x14ac:dyDescent="0.3">
      <c r="C325" s="11"/>
      <c r="D325" s="32"/>
      <c r="E325" s="11"/>
      <c r="K325" s="15"/>
      <c r="L325" s="47"/>
      <c r="M325" s="76"/>
      <c r="N325" s="76"/>
      <c r="O325" s="78" t="str">
        <f>_xlfn.LET(
    _xlpm.itemBuscado, B325,
    _xlpm.areaBuscada, C325,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TEXT(COUNTIF($C$2:C325, _xlpm.areaBuscada), "0000"),
    _xlpm.codItem &amp; "-" &amp; _xlpm.codArea &amp; "-" &amp; _xlpm.secuencia
)</f>
        <v>-SinArea-0000</v>
      </c>
      <c r="P325" s="77"/>
      <c r="Q325" s="32"/>
      <c r="R325" s="32"/>
      <c r="S325" s="32"/>
      <c r="T325" s="32"/>
    </row>
    <row r="326" spans="3:20" x14ac:dyDescent="0.3">
      <c r="C326" s="11"/>
      <c r="D326" s="32"/>
      <c r="E326" s="11"/>
      <c r="K326" s="15"/>
      <c r="L326" s="47"/>
      <c r="M326" s="76"/>
      <c r="N326" s="76"/>
      <c r="O326" s="78" t="str">
        <f>_xlfn.LET(
    _xlpm.itemBuscado, B326,
    _xlpm.areaBuscada, C326,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TEXT(COUNTIF($C$2:C326, _xlpm.areaBuscada), "0000"),
    _xlpm.codItem &amp; "-" &amp; _xlpm.codArea &amp; "-" &amp; _xlpm.secuencia
)</f>
        <v>-SinArea-0000</v>
      </c>
      <c r="P326" s="77"/>
      <c r="Q326" s="32"/>
      <c r="R326" s="32"/>
      <c r="S326" s="32"/>
      <c r="T326" s="32"/>
    </row>
    <row r="327" spans="3:20" x14ac:dyDescent="0.3">
      <c r="C327" s="11"/>
      <c r="D327" s="32"/>
      <c r="E327" s="11"/>
      <c r="K327" s="15"/>
      <c r="L327" s="47"/>
      <c r="M327" s="76"/>
      <c r="N327" s="76"/>
      <c r="O327" s="78" t="str">
        <f>_xlfn.LET(
    _xlpm.itemBuscado, B327,
    _xlpm.areaBuscada, C327,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TEXT(COUNTIF($C$2:C327, _xlpm.areaBuscada), "0000"),
    _xlpm.codItem &amp; "-" &amp; _xlpm.codArea &amp; "-" &amp; _xlpm.secuencia
)</f>
        <v>-SinArea-0000</v>
      </c>
      <c r="P327" s="77"/>
      <c r="Q327" s="32"/>
      <c r="R327" s="32"/>
      <c r="S327" s="32"/>
      <c r="T327" s="32"/>
    </row>
    <row r="328" spans="3:20" x14ac:dyDescent="0.3">
      <c r="C328" s="11"/>
      <c r="D328" s="32"/>
      <c r="E328" s="11"/>
      <c r="K328" s="15"/>
      <c r="L328" s="47"/>
      <c r="M328" s="76"/>
      <c r="N328" s="76"/>
      <c r="O328" s="78" t="str">
        <f>_xlfn.LET(
    _xlpm.itemBuscado, B328,
    _xlpm.areaBuscada, C328,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TEXT(COUNTIF($C$2:C328, _xlpm.areaBuscada), "0000"),
    _xlpm.codItem &amp; "-" &amp; _xlpm.codArea &amp; "-" &amp; _xlpm.secuencia
)</f>
        <v>-SinArea-0000</v>
      </c>
      <c r="P328" s="77"/>
      <c r="Q328" s="32"/>
      <c r="R328" s="32"/>
      <c r="S328" s="32"/>
      <c r="T328" s="32"/>
    </row>
    <row r="329" spans="3:20" x14ac:dyDescent="0.3">
      <c r="C329" s="11"/>
      <c r="D329" s="32"/>
      <c r="E329" s="11"/>
      <c r="K329" s="15"/>
      <c r="L329" s="47"/>
      <c r="M329" s="76"/>
      <c r="N329" s="76"/>
      <c r="O329" s="78" t="str">
        <f>_xlfn.LET(
    _xlpm.itemBuscado, B329,
    _xlpm.areaBuscada, C329,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TEXT(COUNTIF($C$2:C329, _xlpm.areaBuscada), "0000"),
    _xlpm.codItem &amp; "-" &amp; _xlpm.codArea &amp; "-" &amp; _xlpm.secuencia
)</f>
        <v>-SinArea-0000</v>
      </c>
      <c r="P329" s="77"/>
      <c r="Q329" s="32"/>
      <c r="R329" s="32"/>
      <c r="S329" s="32"/>
      <c r="T329" s="32"/>
    </row>
    <row r="330" spans="3:20" x14ac:dyDescent="0.3">
      <c r="C330" s="11"/>
      <c r="D330" s="32"/>
      <c r="E330" s="11"/>
      <c r="K330" s="15"/>
      <c r="L330" s="47"/>
      <c r="M330" s="76"/>
      <c r="N330" s="76"/>
      <c r="O330" s="78" t="str">
        <f>_xlfn.LET(
    _xlpm.itemBuscado, B330,
    _xlpm.areaBuscada, C330,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TEXT(COUNTIF($C$2:C330, _xlpm.areaBuscada), "0000"),
    _xlpm.codItem &amp; "-" &amp; _xlpm.codArea &amp; "-" &amp; _xlpm.secuencia
)</f>
        <v>-SinArea-0000</v>
      </c>
      <c r="P330" s="77"/>
      <c r="Q330" s="32"/>
      <c r="R330" s="32"/>
      <c r="S330" s="32"/>
      <c r="T330" s="32"/>
    </row>
    <row r="331" spans="3:20" x14ac:dyDescent="0.3">
      <c r="C331" s="11"/>
      <c r="D331" s="32"/>
      <c r="E331" s="11"/>
      <c r="K331" s="15"/>
      <c r="L331" s="47"/>
      <c r="M331" s="76"/>
      <c r="N331" s="76"/>
      <c r="O331" s="78" t="str">
        <f>_xlfn.LET(
    _xlpm.itemBuscado, B331,
    _xlpm.areaBuscada, C331,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TEXT(COUNTIF($C$2:C331, _xlpm.areaBuscada), "0000"),
    _xlpm.codItem &amp; "-" &amp; _xlpm.codArea &amp; "-" &amp; _xlpm.secuencia
)</f>
        <v>-SinArea-0000</v>
      </c>
      <c r="P331" s="77"/>
      <c r="Q331" s="32"/>
      <c r="R331" s="32"/>
      <c r="S331" s="32"/>
      <c r="T331" s="32"/>
    </row>
    <row r="332" spans="3:20" x14ac:dyDescent="0.3">
      <c r="C332" s="11"/>
      <c r="D332" s="32"/>
      <c r="E332" s="11"/>
      <c r="K332" s="15"/>
      <c r="L332" s="47"/>
      <c r="M332" s="76"/>
      <c r="N332" s="76"/>
      <c r="O332" s="78" t="str">
        <f>_xlfn.LET(
    _xlpm.itemBuscado, B332,
    _xlpm.areaBuscada, C332,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TEXT(COUNTIF($C$2:C332, _xlpm.areaBuscada), "0000"),
    _xlpm.codItem &amp; "-" &amp; _xlpm.codArea &amp; "-" &amp; _xlpm.secuencia
)</f>
        <v>-SinArea-0000</v>
      </c>
      <c r="P332" s="77"/>
      <c r="Q332" s="32"/>
      <c r="R332" s="32"/>
      <c r="S332" s="32"/>
      <c r="T332" s="32"/>
    </row>
    <row r="333" spans="3:20" x14ac:dyDescent="0.3">
      <c r="C333" s="11"/>
      <c r="D333" s="32"/>
      <c r="E333" s="11"/>
      <c r="K333" s="15"/>
      <c r="L333" s="47"/>
      <c r="M333" s="76"/>
      <c r="N333" s="76"/>
      <c r="O333" s="78" t="str">
        <f>_xlfn.LET(
    _xlpm.itemBuscado, B333,
    _xlpm.areaBuscada, C333,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TEXT(COUNTIF($C$2:C333, _xlpm.areaBuscada), "0000"),
    _xlpm.codItem &amp; "-" &amp; _xlpm.codArea &amp; "-" &amp; _xlpm.secuencia
)</f>
        <v>-SinArea-0000</v>
      </c>
      <c r="P333" s="77"/>
      <c r="Q333" s="32"/>
      <c r="R333" s="32"/>
      <c r="S333" s="32"/>
      <c r="T333" s="32"/>
    </row>
    <row r="334" spans="3:20" x14ac:dyDescent="0.3">
      <c r="C334" s="11"/>
      <c r="D334" s="32"/>
      <c r="E334" s="11"/>
      <c r="K334" s="15"/>
      <c r="L334" s="47"/>
      <c r="M334" s="76"/>
      <c r="N334" s="76"/>
      <c r="O334" s="78" t="str">
        <f>_xlfn.LET(
    _xlpm.itemBuscado, B334,
    _xlpm.areaBuscada, C334,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TEXT(COUNTIF($C$2:C334, _xlpm.areaBuscada), "0000"),
    _xlpm.codItem &amp; "-" &amp; _xlpm.codArea &amp; "-" &amp; _xlpm.secuencia
)</f>
        <v>-SinArea-0000</v>
      </c>
      <c r="P334" s="77"/>
      <c r="Q334" s="32"/>
      <c r="R334" s="32"/>
      <c r="S334" s="32"/>
      <c r="T334" s="32"/>
    </row>
    <row r="335" spans="3:20" x14ac:dyDescent="0.3">
      <c r="C335" s="11"/>
      <c r="D335" s="32"/>
      <c r="E335" s="11"/>
      <c r="K335" s="15"/>
      <c r="L335" s="47"/>
      <c r="M335" s="76"/>
      <c r="N335" s="76"/>
      <c r="O335" s="78" t="str">
        <f>_xlfn.LET(
    _xlpm.itemBuscado, B335,
    _xlpm.areaBuscada, C335,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TEXT(COUNTIF($C$2:C335, _xlpm.areaBuscada), "0000"),
    _xlpm.codItem &amp; "-" &amp; _xlpm.codArea &amp; "-" &amp; _xlpm.secuencia
)</f>
        <v>-SinArea-0000</v>
      </c>
      <c r="P335" s="77"/>
      <c r="Q335" s="32"/>
      <c r="R335" s="32"/>
      <c r="S335" s="32"/>
      <c r="T335" s="32"/>
    </row>
    <row r="336" spans="3:20" x14ac:dyDescent="0.3">
      <c r="C336" s="11"/>
      <c r="D336" s="32"/>
      <c r="E336" s="11"/>
      <c r="K336" s="15"/>
      <c r="L336" s="47"/>
      <c r="M336" s="76"/>
      <c r="N336" s="76"/>
      <c r="O336" s="78" t="str">
        <f>_xlfn.LET(
    _xlpm.itemBuscado, B336,
    _xlpm.areaBuscada, C336,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TEXT(COUNTIF($C$2:C336, _xlpm.areaBuscada), "0000"),
    _xlpm.codItem &amp; "-" &amp; _xlpm.codArea &amp; "-" &amp; _xlpm.secuencia
)</f>
        <v>-SinArea-0000</v>
      </c>
      <c r="P336" s="77"/>
      <c r="Q336" s="32"/>
      <c r="R336" s="32"/>
      <c r="S336" s="32"/>
      <c r="T336" s="32"/>
    </row>
    <row r="337" spans="3:20" x14ac:dyDescent="0.3">
      <c r="C337" s="11"/>
      <c r="D337" s="32"/>
      <c r="E337" s="11"/>
      <c r="K337" s="15"/>
      <c r="L337" s="47"/>
      <c r="M337" s="76"/>
      <c r="N337" s="76"/>
      <c r="O337" s="78" t="str">
        <f>_xlfn.LET(
    _xlpm.itemBuscado, B337,
    _xlpm.areaBuscada, C337,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TEXT(COUNTIF($C$2:C337, _xlpm.areaBuscada), "0000"),
    _xlpm.codItem &amp; "-" &amp; _xlpm.codArea &amp; "-" &amp; _xlpm.secuencia
)</f>
        <v>-SinArea-0000</v>
      </c>
      <c r="P337" s="77"/>
      <c r="Q337" s="32"/>
      <c r="R337" s="32"/>
      <c r="S337" s="32"/>
      <c r="T337" s="32"/>
    </row>
    <row r="338" spans="3:20" x14ac:dyDescent="0.3">
      <c r="C338" s="11"/>
      <c r="D338" s="32"/>
      <c r="E338" s="11"/>
      <c r="K338" s="15"/>
      <c r="L338" s="47"/>
      <c r="M338" s="76"/>
      <c r="N338" s="76"/>
      <c r="O338" s="78" t="str">
        <f>_xlfn.LET(
    _xlpm.itemBuscado, B338,
    _xlpm.areaBuscada, C338,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TEXT(COUNTIF($C$2:C338, _xlpm.areaBuscada), "0000"),
    _xlpm.codItem &amp; "-" &amp; _xlpm.codArea &amp; "-" &amp; _xlpm.secuencia
)</f>
        <v>-SinArea-0000</v>
      </c>
      <c r="P338" s="77"/>
      <c r="Q338" s="32"/>
      <c r="R338" s="32"/>
      <c r="S338" s="32"/>
      <c r="T338" s="32"/>
    </row>
    <row r="339" spans="3:20" x14ac:dyDescent="0.3">
      <c r="C339" s="11"/>
      <c r="D339" s="32"/>
      <c r="E339" s="11"/>
      <c r="K339" s="15"/>
      <c r="L339" s="47"/>
      <c r="M339" s="76"/>
      <c r="N339" s="76"/>
      <c r="O339" s="78" t="str">
        <f>_xlfn.LET(
    _xlpm.itemBuscado, B339,
    _xlpm.areaBuscada, C339,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TEXT(COUNTIF($C$2:C339, _xlpm.areaBuscada), "0000"),
    _xlpm.codItem &amp; "-" &amp; _xlpm.codArea &amp; "-" &amp; _xlpm.secuencia
)</f>
        <v>-SinArea-0000</v>
      </c>
      <c r="P339" s="77"/>
      <c r="Q339" s="32"/>
      <c r="R339" s="32"/>
      <c r="S339" s="32"/>
      <c r="T339" s="32"/>
    </row>
    <row r="340" spans="3:20" x14ac:dyDescent="0.3">
      <c r="C340" s="11"/>
      <c r="D340" s="32"/>
      <c r="E340" s="11"/>
      <c r="K340" s="15"/>
      <c r="L340" s="47"/>
      <c r="M340" s="76"/>
      <c r="N340" s="76"/>
      <c r="O340" s="78" t="str">
        <f>_xlfn.LET(
    _xlpm.itemBuscado, B340,
    _xlpm.areaBuscada, C340,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TEXT(COUNTIF($C$2:C340, _xlpm.areaBuscada), "0000"),
    _xlpm.codItem &amp; "-" &amp; _xlpm.codArea &amp; "-" &amp; _xlpm.secuencia
)</f>
        <v>-SinArea-0000</v>
      </c>
      <c r="P340" s="77"/>
      <c r="Q340" s="32"/>
      <c r="R340" s="32"/>
      <c r="S340" s="32"/>
      <c r="T340" s="32"/>
    </row>
    <row r="341" spans="3:20" x14ac:dyDescent="0.3">
      <c r="C341" s="11"/>
      <c r="D341" s="32"/>
      <c r="E341" s="11"/>
      <c r="K341" s="15"/>
      <c r="L341" s="47"/>
      <c r="M341" s="76"/>
      <c r="N341" s="76"/>
      <c r="O341" s="78" t="str">
        <f>_xlfn.LET(
    _xlpm.itemBuscado, B341,
    _xlpm.areaBuscada, C341,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TEXT(COUNTIF($C$2:C341, _xlpm.areaBuscada), "0000"),
    _xlpm.codItem &amp; "-" &amp; _xlpm.codArea &amp; "-" &amp; _xlpm.secuencia
)</f>
        <v>-SinArea-0000</v>
      </c>
      <c r="P341" s="77"/>
      <c r="Q341" s="32"/>
      <c r="R341" s="32"/>
      <c r="S341" s="32"/>
      <c r="T341" s="32"/>
    </row>
    <row r="342" spans="3:20" x14ac:dyDescent="0.3">
      <c r="C342" s="11"/>
      <c r="D342" s="32"/>
      <c r="E342" s="11"/>
      <c r="K342" s="15"/>
      <c r="L342" s="47"/>
      <c r="M342" s="76"/>
      <c r="N342" s="76"/>
      <c r="O342" s="78" t="str">
        <f>_xlfn.LET(
    _xlpm.itemBuscado, B342,
    _xlpm.areaBuscada, C342,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TEXT(COUNTIF($C$2:C342, _xlpm.areaBuscada), "0000"),
    _xlpm.codItem &amp; "-" &amp; _xlpm.codArea &amp; "-" &amp; _xlpm.secuencia
)</f>
        <v>-SinArea-0000</v>
      </c>
      <c r="P342" s="77"/>
      <c r="Q342" s="32"/>
      <c r="R342" s="32"/>
      <c r="S342" s="32"/>
      <c r="T342" s="32"/>
    </row>
    <row r="343" spans="3:20" x14ac:dyDescent="0.3">
      <c r="C343" s="11"/>
      <c r="D343" s="32"/>
      <c r="E343" s="11"/>
      <c r="K343" s="15"/>
      <c r="L343" s="47"/>
      <c r="M343" s="76"/>
      <c r="N343" s="76"/>
      <c r="O343" s="78" t="str">
        <f>_xlfn.LET(
    _xlpm.itemBuscado, B343,
    _xlpm.areaBuscada, C343,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TEXT(COUNTIF($C$2:C343, _xlpm.areaBuscada), "0000"),
    _xlpm.codItem &amp; "-" &amp; _xlpm.codArea &amp; "-" &amp; _xlpm.secuencia
)</f>
        <v>-SinArea-0000</v>
      </c>
      <c r="P343" s="77"/>
      <c r="Q343" s="32"/>
      <c r="R343" s="32"/>
      <c r="S343" s="32"/>
      <c r="T343" s="32"/>
    </row>
    <row r="344" spans="3:20" x14ac:dyDescent="0.3">
      <c r="C344" s="11"/>
      <c r="D344" s="32"/>
      <c r="E344" s="11"/>
      <c r="K344" s="15"/>
      <c r="L344" s="47"/>
      <c r="M344" s="76"/>
      <c r="N344" s="76"/>
      <c r="O344" s="78" t="str">
        <f>_xlfn.LET(
    _xlpm.itemBuscado, B344,
    _xlpm.areaBuscada, C344,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TEXT(COUNTIF($C$2:C344, _xlpm.areaBuscada), "0000"),
    _xlpm.codItem &amp; "-" &amp; _xlpm.codArea &amp; "-" &amp; _xlpm.secuencia
)</f>
        <v>-SinArea-0000</v>
      </c>
      <c r="P344" s="77"/>
      <c r="Q344" s="32"/>
      <c r="R344" s="32"/>
      <c r="S344" s="32"/>
      <c r="T344" s="32"/>
    </row>
    <row r="345" spans="3:20" x14ac:dyDescent="0.3">
      <c r="C345" s="11"/>
      <c r="D345" s="32"/>
      <c r="E345" s="11"/>
      <c r="K345" s="15"/>
      <c r="L345" s="47"/>
      <c r="M345" s="76"/>
      <c r="N345" s="76"/>
      <c r="O345" s="78" t="str">
        <f>_xlfn.LET(
    _xlpm.itemBuscado, B345,
    _xlpm.areaBuscada, C345,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TEXT(COUNTIF($C$2:C345, _xlpm.areaBuscada), "0000"),
    _xlpm.codItem &amp; "-" &amp; _xlpm.codArea &amp; "-" &amp; _xlpm.secuencia
)</f>
        <v>-SinArea-0000</v>
      </c>
      <c r="P345" s="77"/>
      <c r="Q345" s="32"/>
      <c r="R345" s="32"/>
      <c r="S345" s="32"/>
      <c r="T345" s="32"/>
    </row>
    <row r="346" spans="3:20" x14ac:dyDescent="0.3">
      <c r="C346" s="11"/>
      <c r="D346" s="32"/>
      <c r="E346" s="11"/>
      <c r="K346" s="15"/>
      <c r="L346" s="47"/>
      <c r="M346" s="76"/>
      <c r="N346" s="76"/>
      <c r="O346" s="78" t="str">
        <f>_xlfn.LET(
    _xlpm.itemBuscado, B346,
    _xlpm.areaBuscada, C346,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TEXT(COUNTIF($C$2:C346, _xlpm.areaBuscada), "0000"),
    _xlpm.codItem &amp; "-" &amp; _xlpm.codArea &amp; "-" &amp; _xlpm.secuencia
)</f>
        <v>-SinArea-0000</v>
      </c>
      <c r="P346" s="77"/>
      <c r="Q346" s="32"/>
      <c r="R346" s="32"/>
      <c r="S346" s="32"/>
      <c r="T346" s="32"/>
    </row>
    <row r="347" spans="3:20" x14ac:dyDescent="0.3">
      <c r="C347" s="11"/>
      <c r="D347" s="32"/>
      <c r="E347" s="11"/>
      <c r="K347" s="15"/>
      <c r="L347" s="47"/>
      <c r="M347" s="76"/>
      <c r="N347" s="76"/>
      <c r="O347" s="78" t="str">
        <f>_xlfn.LET(
    _xlpm.itemBuscado, B347,
    _xlpm.areaBuscada, C347,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TEXT(COUNTIF($C$2:C347, _xlpm.areaBuscada), "0000"),
    _xlpm.codItem &amp; "-" &amp; _xlpm.codArea &amp; "-" &amp; _xlpm.secuencia
)</f>
        <v>-SinArea-0000</v>
      </c>
      <c r="P347" s="77"/>
      <c r="Q347" s="32"/>
      <c r="R347" s="32"/>
      <c r="S347" s="32"/>
      <c r="T347" s="32"/>
    </row>
    <row r="348" spans="3:20" x14ac:dyDescent="0.3">
      <c r="C348" s="11"/>
      <c r="D348" s="32"/>
      <c r="E348" s="11"/>
      <c r="K348" s="15"/>
      <c r="L348" s="47"/>
      <c r="M348" s="76"/>
      <c r="N348" s="76"/>
      <c r="O348" s="78" t="str">
        <f>_xlfn.LET(
    _xlpm.itemBuscado, B348,
    _xlpm.areaBuscada, C348,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TEXT(COUNTIF($C$2:C348, _xlpm.areaBuscada), "0000"),
    _xlpm.codItem &amp; "-" &amp; _xlpm.codArea &amp; "-" &amp; _xlpm.secuencia
)</f>
        <v>-SinArea-0000</v>
      </c>
      <c r="P348" s="77"/>
      <c r="Q348" s="32"/>
      <c r="R348" s="32"/>
      <c r="S348" s="32"/>
      <c r="T348" s="32"/>
    </row>
    <row r="349" spans="3:20" x14ac:dyDescent="0.3">
      <c r="C349" s="11"/>
      <c r="D349" s="32"/>
      <c r="E349" s="11"/>
      <c r="K349" s="15"/>
      <c r="L349" s="47"/>
      <c r="M349" s="76"/>
      <c r="N349" s="76"/>
      <c r="O349" s="78" t="str">
        <f>_xlfn.LET(
    _xlpm.itemBuscado, B349,
    _xlpm.areaBuscada, C349,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TEXT(COUNTIF($C$2:C349, _xlpm.areaBuscada), "0000"),
    _xlpm.codItem &amp; "-" &amp; _xlpm.codArea &amp; "-" &amp; _xlpm.secuencia
)</f>
        <v>-SinArea-0000</v>
      </c>
      <c r="P349" s="77"/>
      <c r="Q349" s="32"/>
      <c r="R349" s="32"/>
      <c r="S349" s="32"/>
      <c r="T349" s="32"/>
    </row>
    <row r="350" spans="3:20" x14ac:dyDescent="0.3">
      <c r="C350" s="11"/>
      <c r="D350" s="32"/>
      <c r="E350" s="11"/>
      <c r="K350" s="15"/>
      <c r="L350" s="47"/>
      <c r="M350" s="76"/>
      <c r="N350" s="76"/>
      <c r="O350" s="78" t="str">
        <f>_xlfn.LET(
    _xlpm.itemBuscado, B350,
    _xlpm.areaBuscada, C350,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TEXT(COUNTIF($C$2:C350, _xlpm.areaBuscada), "0000"),
    _xlpm.codItem &amp; "-" &amp; _xlpm.codArea &amp; "-" &amp; _xlpm.secuencia
)</f>
        <v>-SinArea-0000</v>
      </c>
      <c r="P350" s="77"/>
      <c r="Q350" s="32"/>
      <c r="R350" s="32"/>
      <c r="S350" s="32"/>
      <c r="T350" s="32"/>
    </row>
    <row r="351" spans="3:20" x14ac:dyDescent="0.3">
      <c r="C351" s="11"/>
      <c r="D351" s="32"/>
      <c r="E351" s="11"/>
      <c r="K351" s="15"/>
      <c r="L351" s="47"/>
      <c r="M351" s="76"/>
      <c r="N351" s="76"/>
      <c r="O351" s="78" t="str">
        <f>_xlfn.LET(
    _xlpm.itemBuscado, B351,
    _xlpm.areaBuscada, C351,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TEXT(COUNTIF($C$2:C351, _xlpm.areaBuscada), "0000"),
    _xlpm.codItem &amp; "-" &amp; _xlpm.codArea &amp; "-" &amp; _xlpm.secuencia
)</f>
        <v>-SinArea-0000</v>
      </c>
      <c r="P351" s="77"/>
      <c r="Q351" s="32"/>
      <c r="R351" s="32"/>
      <c r="S351" s="32"/>
      <c r="T351" s="32"/>
    </row>
    <row r="352" spans="3:20" x14ac:dyDescent="0.3">
      <c r="C352" s="11"/>
      <c r="D352" s="32"/>
      <c r="E352" s="11"/>
      <c r="K352" s="15"/>
      <c r="L352" s="47"/>
      <c r="M352" s="76"/>
      <c r="N352" s="76"/>
      <c r="O352" s="78" t="str">
        <f>_xlfn.LET(
    _xlpm.itemBuscado, B352,
    _xlpm.areaBuscada, C352,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TEXT(COUNTIF($C$2:C352, _xlpm.areaBuscada), "0000"),
    _xlpm.codItem &amp; "-" &amp; _xlpm.codArea &amp; "-" &amp; _xlpm.secuencia
)</f>
        <v>-SinArea-0000</v>
      </c>
      <c r="P352" s="77"/>
      <c r="Q352" s="32"/>
      <c r="R352" s="32"/>
      <c r="S352" s="32"/>
      <c r="T352" s="32"/>
    </row>
    <row r="353" spans="3:20" x14ac:dyDescent="0.3">
      <c r="C353" s="11"/>
      <c r="D353" s="32"/>
      <c r="E353" s="11"/>
      <c r="K353" s="15"/>
      <c r="L353" s="47"/>
      <c r="M353" s="76"/>
      <c r="N353" s="76"/>
      <c r="O353" s="78" t="str">
        <f>_xlfn.LET(
    _xlpm.itemBuscado, B353,
    _xlpm.areaBuscada, C353,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TEXT(COUNTIF($C$2:C353, _xlpm.areaBuscada), "0000"),
    _xlpm.codItem &amp; "-" &amp; _xlpm.codArea &amp; "-" &amp; _xlpm.secuencia
)</f>
        <v>-SinArea-0000</v>
      </c>
      <c r="P353" s="77"/>
      <c r="Q353" s="32"/>
      <c r="R353" s="32"/>
      <c r="S353" s="32"/>
      <c r="T353" s="32"/>
    </row>
    <row r="354" spans="3:20" x14ac:dyDescent="0.3">
      <c r="C354" s="11"/>
      <c r="D354" s="32"/>
      <c r="E354" s="11"/>
      <c r="K354" s="15"/>
      <c r="L354" s="47"/>
      <c r="M354" s="76"/>
      <c r="N354" s="76"/>
      <c r="O354" s="78" t="str">
        <f>_xlfn.LET(
    _xlpm.itemBuscado, B354,
    _xlpm.areaBuscada, C354,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TEXT(COUNTIF($C$2:C354, _xlpm.areaBuscada), "0000"),
    _xlpm.codItem &amp; "-" &amp; _xlpm.codArea &amp; "-" &amp; _xlpm.secuencia
)</f>
        <v>-SinArea-0000</v>
      </c>
      <c r="P354" s="77"/>
      <c r="Q354" s="32"/>
      <c r="R354" s="32"/>
      <c r="S354" s="32"/>
      <c r="T354" s="32"/>
    </row>
    <row r="355" spans="3:20" x14ac:dyDescent="0.3">
      <c r="C355" s="11"/>
      <c r="D355" s="32"/>
      <c r="E355" s="11"/>
      <c r="K355" s="15"/>
      <c r="L355" s="47"/>
      <c r="M355" s="76"/>
      <c r="N355" s="76"/>
      <c r="O355" s="78" t="str">
        <f>_xlfn.LET(
    _xlpm.itemBuscado, B355,
    _xlpm.areaBuscada, C355,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TEXT(COUNTIF($C$2:C355, _xlpm.areaBuscada), "0000"),
    _xlpm.codItem &amp; "-" &amp; _xlpm.codArea &amp; "-" &amp; _xlpm.secuencia
)</f>
        <v>-SinArea-0000</v>
      </c>
      <c r="P355" s="77"/>
      <c r="Q355" s="32"/>
      <c r="R355" s="32"/>
      <c r="S355" s="32"/>
      <c r="T355" s="32"/>
    </row>
    <row r="356" spans="3:20" x14ac:dyDescent="0.3">
      <c r="C356" s="11"/>
      <c r="D356" s="32"/>
      <c r="E356" s="11"/>
      <c r="K356" s="15"/>
      <c r="L356" s="47"/>
      <c r="M356" s="76"/>
      <c r="N356" s="76"/>
      <c r="O356" s="78" t="str">
        <f>_xlfn.LET(
    _xlpm.itemBuscado, B356,
    _xlpm.areaBuscada, C356,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TEXT(COUNTIF($C$2:C356, _xlpm.areaBuscada), "0000"),
    _xlpm.codItem &amp; "-" &amp; _xlpm.codArea &amp; "-" &amp; _xlpm.secuencia
)</f>
        <v>-SinArea-0000</v>
      </c>
      <c r="P356" s="77"/>
      <c r="Q356" s="32"/>
      <c r="R356" s="32"/>
      <c r="S356" s="32"/>
      <c r="T356" s="32"/>
    </row>
    <row r="357" spans="3:20" x14ac:dyDescent="0.3">
      <c r="C357" s="11"/>
      <c r="D357" s="32"/>
      <c r="E357" s="11"/>
      <c r="K357" s="15"/>
      <c r="L357" s="47"/>
      <c r="M357" s="76"/>
      <c r="N357" s="76"/>
      <c r="O357" s="78" t="str">
        <f>_xlfn.LET(
    _xlpm.itemBuscado, B357,
    _xlpm.areaBuscada, C357,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TEXT(COUNTIF($C$2:C357, _xlpm.areaBuscada), "0000"),
    _xlpm.codItem &amp; "-" &amp; _xlpm.codArea &amp; "-" &amp; _xlpm.secuencia
)</f>
        <v>-SinArea-0000</v>
      </c>
      <c r="P357" s="77"/>
      <c r="Q357" s="32"/>
      <c r="R357" s="32"/>
      <c r="S357" s="32"/>
      <c r="T357" s="32"/>
    </row>
    <row r="358" spans="3:20" x14ac:dyDescent="0.3">
      <c r="C358" s="11"/>
      <c r="D358" s="32"/>
      <c r="E358" s="11"/>
      <c r="K358" s="15"/>
      <c r="L358" s="47"/>
      <c r="M358" s="76"/>
      <c r="N358" s="76"/>
      <c r="O358" s="78" t="str">
        <f>_xlfn.LET(
    _xlpm.itemBuscado, B358,
    _xlpm.areaBuscada, C358,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TEXT(COUNTIF($C$2:C358, _xlpm.areaBuscada), "0000"),
    _xlpm.codItem &amp; "-" &amp; _xlpm.codArea &amp; "-" &amp; _xlpm.secuencia
)</f>
        <v>-SinArea-0000</v>
      </c>
      <c r="P358" s="77"/>
      <c r="Q358" s="32"/>
      <c r="R358" s="32"/>
      <c r="S358" s="32"/>
      <c r="T358" s="32"/>
    </row>
    <row r="359" spans="3:20" x14ac:dyDescent="0.3">
      <c r="C359" s="11"/>
      <c r="D359" s="32"/>
      <c r="E359" s="11"/>
      <c r="K359" s="15"/>
      <c r="L359" s="47"/>
      <c r="M359" s="76"/>
      <c r="N359" s="76"/>
      <c r="O359" s="78" t="str">
        <f>_xlfn.LET(
    _xlpm.itemBuscado, B359,
    _xlpm.areaBuscada, C359,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TEXT(COUNTIF($C$2:C359, _xlpm.areaBuscada), "0000"),
    _xlpm.codItem &amp; "-" &amp; _xlpm.codArea &amp; "-" &amp; _xlpm.secuencia
)</f>
        <v>-SinArea-0000</v>
      </c>
      <c r="P359" s="77"/>
      <c r="Q359" s="32"/>
      <c r="R359" s="32"/>
      <c r="S359" s="32"/>
      <c r="T359" s="32"/>
    </row>
    <row r="360" spans="3:20" x14ac:dyDescent="0.3">
      <c r="C360" s="11"/>
      <c r="D360" s="32"/>
      <c r="E360" s="11"/>
      <c r="K360" s="15"/>
      <c r="L360" s="47"/>
      <c r="M360" s="76"/>
      <c r="N360" s="76"/>
      <c r="O360" s="78" t="str">
        <f>_xlfn.LET(
    _xlpm.itemBuscado, B360,
    _xlpm.areaBuscada, C360,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TEXT(COUNTIF($C$2:C360, _xlpm.areaBuscada), "0000"),
    _xlpm.codItem &amp; "-" &amp; _xlpm.codArea &amp; "-" &amp; _xlpm.secuencia
)</f>
        <v>-SinArea-0000</v>
      </c>
      <c r="P360" s="77"/>
      <c r="Q360" s="32"/>
      <c r="R360" s="32"/>
      <c r="S360" s="32"/>
      <c r="T360" s="32"/>
    </row>
    <row r="361" spans="3:20" x14ac:dyDescent="0.3">
      <c r="C361" s="11"/>
      <c r="D361" s="32"/>
      <c r="E361" s="11"/>
      <c r="K361" s="15"/>
      <c r="L361" s="47"/>
      <c r="M361" s="76"/>
      <c r="N361" s="76"/>
      <c r="O361" s="78" t="str">
        <f>_xlfn.LET(
    _xlpm.itemBuscado, B361,
    _xlpm.areaBuscada, C361,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TEXT(COUNTIF($C$2:C361, _xlpm.areaBuscada), "0000"),
    _xlpm.codItem &amp; "-" &amp; _xlpm.codArea &amp; "-" &amp; _xlpm.secuencia
)</f>
        <v>-SinArea-0000</v>
      </c>
      <c r="P361" s="77"/>
      <c r="Q361" s="32"/>
      <c r="R361" s="32"/>
      <c r="S361" s="32"/>
      <c r="T361" s="32"/>
    </row>
    <row r="362" spans="3:20" x14ac:dyDescent="0.3">
      <c r="C362" s="11"/>
      <c r="D362" s="32"/>
      <c r="E362" s="11"/>
      <c r="K362" s="15"/>
      <c r="L362" s="47"/>
      <c r="M362" s="76"/>
      <c r="N362" s="76"/>
      <c r="O362" s="78" t="str">
        <f>_xlfn.LET(
    _xlpm.itemBuscado, B362,
    _xlpm.areaBuscada, C362,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TEXT(COUNTIF($C$2:C362, _xlpm.areaBuscada), "0000"),
    _xlpm.codItem &amp; "-" &amp; _xlpm.codArea &amp; "-" &amp; _xlpm.secuencia
)</f>
        <v>-SinArea-0000</v>
      </c>
      <c r="P362" s="77"/>
      <c r="Q362" s="32"/>
      <c r="R362" s="32"/>
      <c r="S362" s="32"/>
      <c r="T362" s="32"/>
    </row>
    <row r="363" spans="3:20" x14ac:dyDescent="0.3">
      <c r="C363" s="11"/>
      <c r="D363" s="32"/>
      <c r="E363" s="11"/>
      <c r="K363" s="15"/>
      <c r="L363" s="47"/>
      <c r="M363" s="76"/>
      <c r="N363" s="76"/>
      <c r="O363" s="78" t="str">
        <f>_xlfn.LET(
    _xlpm.itemBuscado, B363,
    _xlpm.areaBuscada, C363,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TEXT(COUNTIF($C$2:C363, _xlpm.areaBuscada), "0000"),
    _xlpm.codItem &amp; "-" &amp; _xlpm.codArea &amp; "-" &amp; _xlpm.secuencia
)</f>
        <v>-SinArea-0000</v>
      </c>
      <c r="P363" s="77"/>
      <c r="Q363" s="32"/>
      <c r="R363" s="32"/>
      <c r="S363" s="32"/>
      <c r="T363" s="32"/>
    </row>
    <row r="364" spans="3:20" x14ac:dyDescent="0.3">
      <c r="C364" s="11"/>
      <c r="D364" s="32"/>
      <c r="E364" s="11"/>
      <c r="K364" s="15"/>
      <c r="L364" s="47"/>
      <c r="M364" s="76"/>
      <c r="N364" s="76"/>
      <c r="O364" s="78" t="str">
        <f>_xlfn.LET(
    _xlpm.itemBuscado, B364,
    _xlpm.areaBuscada, C364,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TEXT(COUNTIF($C$2:C364, _xlpm.areaBuscada), "0000"),
    _xlpm.codItem &amp; "-" &amp; _xlpm.codArea &amp; "-" &amp; _xlpm.secuencia
)</f>
        <v>-SinArea-0000</v>
      </c>
      <c r="P364" s="77"/>
      <c r="Q364" s="32"/>
      <c r="R364" s="32"/>
      <c r="S364" s="32"/>
      <c r="T364" s="32"/>
    </row>
    <row r="365" spans="3:20" x14ac:dyDescent="0.3">
      <c r="C365" s="11"/>
      <c r="D365" s="32"/>
      <c r="E365" s="11"/>
      <c r="K365" s="15"/>
      <c r="L365" s="47"/>
      <c r="M365" s="76"/>
      <c r="N365" s="76"/>
      <c r="O365" s="78" t="str">
        <f>_xlfn.LET(
    _xlpm.itemBuscado, B365,
    _xlpm.areaBuscada, C365,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TEXT(COUNTIF($C$2:C365, _xlpm.areaBuscada), "0000"),
    _xlpm.codItem &amp; "-" &amp; _xlpm.codArea &amp; "-" &amp; _xlpm.secuencia
)</f>
        <v>-SinArea-0000</v>
      </c>
      <c r="P365" s="77"/>
      <c r="Q365" s="32"/>
      <c r="R365" s="32"/>
      <c r="S365" s="32"/>
      <c r="T365" s="32"/>
    </row>
    <row r="366" spans="3:20" x14ac:dyDescent="0.3">
      <c r="C366" s="11"/>
      <c r="D366" s="32"/>
      <c r="E366" s="11"/>
      <c r="K366" s="15"/>
      <c r="L366" s="47"/>
      <c r="M366" s="76"/>
      <c r="N366" s="76"/>
      <c r="O366" s="78" t="str">
        <f>_xlfn.LET(
    _xlpm.itemBuscado, B366,
    _xlpm.areaBuscada, C366,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TEXT(COUNTIF($C$2:C366, _xlpm.areaBuscada), "0000"),
    _xlpm.codItem &amp; "-" &amp; _xlpm.codArea &amp; "-" &amp; _xlpm.secuencia
)</f>
        <v>-SinArea-0000</v>
      </c>
      <c r="P366" s="77"/>
      <c r="Q366" s="32"/>
      <c r="R366" s="32"/>
      <c r="S366" s="32"/>
      <c r="T366" s="32"/>
    </row>
    <row r="367" spans="3:20" x14ac:dyDescent="0.3">
      <c r="C367" s="11"/>
      <c r="D367" s="32"/>
      <c r="E367" s="11"/>
      <c r="K367" s="15"/>
      <c r="L367" s="47"/>
      <c r="M367" s="76"/>
      <c r="N367" s="76"/>
      <c r="O367" s="78" t="str">
        <f>_xlfn.LET(
    _xlpm.itemBuscado, B367,
    _xlpm.areaBuscada, C367,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TEXT(COUNTIF($C$2:C367, _xlpm.areaBuscada), "0000"),
    _xlpm.codItem &amp; "-" &amp; _xlpm.codArea &amp; "-" &amp; _xlpm.secuencia
)</f>
        <v>-SinArea-0000</v>
      </c>
      <c r="P367" s="77"/>
      <c r="Q367" s="32"/>
      <c r="R367" s="32"/>
      <c r="S367" s="32"/>
      <c r="T367" s="32"/>
    </row>
    <row r="368" spans="3:20" x14ac:dyDescent="0.3">
      <c r="C368" s="11"/>
      <c r="D368" s="32"/>
      <c r="E368" s="11"/>
      <c r="K368" s="15"/>
      <c r="L368" s="47"/>
      <c r="M368" s="76"/>
      <c r="N368" s="76"/>
      <c r="O368" s="78" t="str">
        <f>_xlfn.LET(
    _xlpm.itemBuscado, B368,
    _xlpm.areaBuscada, C368,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TEXT(COUNTIF($C$2:C368, _xlpm.areaBuscada), "0000"),
    _xlpm.codItem &amp; "-" &amp; _xlpm.codArea &amp; "-" &amp; _xlpm.secuencia
)</f>
        <v>-SinArea-0000</v>
      </c>
      <c r="P368" s="77"/>
      <c r="Q368" s="32"/>
      <c r="R368" s="32"/>
      <c r="S368" s="32"/>
      <c r="T368" s="32"/>
    </row>
    <row r="369" spans="3:20" x14ac:dyDescent="0.3">
      <c r="C369" s="11"/>
      <c r="D369" s="32"/>
      <c r="E369" s="11"/>
      <c r="K369" s="15"/>
      <c r="L369" s="47"/>
      <c r="M369" s="76"/>
      <c r="N369" s="76"/>
      <c r="O369" s="78" t="str">
        <f>_xlfn.LET(
    _xlpm.itemBuscado, B369,
    _xlpm.areaBuscada, C369,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TEXT(COUNTIF($C$2:C369, _xlpm.areaBuscada), "0000"),
    _xlpm.codItem &amp; "-" &amp; _xlpm.codArea &amp; "-" &amp; _xlpm.secuencia
)</f>
        <v>-SinArea-0000</v>
      </c>
      <c r="P369" s="77"/>
      <c r="Q369" s="32"/>
      <c r="R369" s="32"/>
      <c r="S369" s="32"/>
      <c r="T369" s="32"/>
    </row>
    <row r="370" spans="3:20" x14ac:dyDescent="0.3">
      <c r="C370" s="11"/>
      <c r="D370" s="32"/>
      <c r="E370" s="11"/>
      <c r="K370" s="15"/>
      <c r="L370" s="47"/>
      <c r="M370" s="76"/>
      <c r="N370" s="76"/>
      <c r="O370" s="78" t="str">
        <f>_xlfn.LET(
    _xlpm.itemBuscado, B370,
    _xlpm.areaBuscada, C370,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TEXT(COUNTIF($C$2:C370, _xlpm.areaBuscada), "0000"),
    _xlpm.codItem &amp; "-" &amp; _xlpm.codArea &amp; "-" &amp; _xlpm.secuencia
)</f>
        <v>-SinArea-0000</v>
      </c>
      <c r="P370" s="77"/>
      <c r="Q370" s="32"/>
      <c r="R370" s="32"/>
      <c r="S370" s="32"/>
      <c r="T370" s="32"/>
    </row>
    <row r="371" spans="3:20" x14ac:dyDescent="0.3">
      <c r="C371" s="11"/>
      <c r="D371" s="32"/>
      <c r="E371" s="11"/>
      <c r="K371" s="15"/>
      <c r="L371" s="47"/>
      <c r="M371" s="76"/>
      <c r="N371" s="76"/>
      <c r="O371" s="78" t="str">
        <f>_xlfn.LET(
    _xlpm.itemBuscado, B371,
    _xlpm.areaBuscada, C371,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TEXT(COUNTIF($C$2:C371, _xlpm.areaBuscada), "0000"),
    _xlpm.codItem &amp; "-" &amp; _xlpm.codArea &amp; "-" &amp; _xlpm.secuencia
)</f>
        <v>-SinArea-0000</v>
      </c>
      <c r="P371" s="77"/>
      <c r="Q371" s="32"/>
      <c r="R371" s="32"/>
      <c r="S371" s="32"/>
      <c r="T371" s="32"/>
    </row>
    <row r="372" spans="3:20" x14ac:dyDescent="0.3">
      <c r="C372" s="11"/>
      <c r="D372" s="32"/>
      <c r="E372" s="11"/>
      <c r="K372" s="15"/>
      <c r="L372" s="47"/>
      <c r="M372" s="76"/>
      <c r="N372" s="76"/>
      <c r="O372" s="78" t="str">
        <f>_xlfn.LET(
    _xlpm.itemBuscado, B372,
    _xlpm.areaBuscada, C372,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TEXT(COUNTIF($C$2:C372, _xlpm.areaBuscada), "0000"),
    _xlpm.codItem &amp; "-" &amp; _xlpm.codArea &amp; "-" &amp; _xlpm.secuencia
)</f>
        <v>-SinArea-0000</v>
      </c>
      <c r="P372" s="77"/>
      <c r="Q372" s="32"/>
      <c r="R372" s="32"/>
      <c r="S372" s="32"/>
      <c r="T372" s="32"/>
    </row>
    <row r="373" spans="3:20" x14ac:dyDescent="0.3">
      <c r="C373" s="11"/>
      <c r="D373" s="32"/>
      <c r="E373" s="11"/>
      <c r="K373" s="15"/>
      <c r="L373" s="47"/>
      <c r="M373" s="76"/>
      <c r="N373" s="76"/>
      <c r="O373" s="78" t="str">
        <f>_xlfn.LET(
    _xlpm.itemBuscado, B373,
    _xlpm.areaBuscada, C373,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TEXT(COUNTIF($C$2:C373, _xlpm.areaBuscada), "0000"),
    _xlpm.codItem &amp; "-" &amp; _xlpm.codArea &amp; "-" &amp; _xlpm.secuencia
)</f>
        <v>-SinArea-0000</v>
      </c>
      <c r="P373" s="77"/>
      <c r="Q373" s="32"/>
      <c r="R373" s="32"/>
      <c r="S373" s="32"/>
      <c r="T373" s="32"/>
    </row>
    <row r="374" spans="3:20" x14ac:dyDescent="0.3">
      <c r="C374" s="11"/>
      <c r="D374" s="32"/>
      <c r="E374" s="11"/>
      <c r="K374" s="15"/>
      <c r="L374" s="47"/>
      <c r="M374" s="76"/>
      <c r="N374" s="76"/>
      <c r="O374" s="78" t="str">
        <f>_xlfn.LET(
    _xlpm.itemBuscado, B374,
    _xlpm.areaBuscada, C374,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TEXT(COUNTIF($C$2:C374, _xlpm.areaBuscada), "0000"),
    _xlpm.codItem &amp; "-" &amp; _xlpm.codArea &amp; "-" &amp; _xlpm.secuencia
)</f>
        <v>-SinArea-0000</v>
      </c>
      <c r="P374" s="77"/>
      <c r="Q374" s="32"/>
      <c r="R374" s="32"/>
      <c r="S374" s="32"/>
      <c r="T374" s="32"/>
    </row>
    <row r="375" spans="3:20" x14ac:dyDescent="0.3">
      <c r="C375" s="11"/>
      <c r="D375" s="32"/>
      <c r="E375" s="11"/>
      <c r="K375" s="15"/>
      <c r="L375" s="47"/>
      <c r="M375" s="76"/>
      <c r="N375" s="76"/>
      <c r="O375" s="78" t="str">
        <f>_xlfn.LET(
    _xlpm.itemBuscado, B375,
    _xlpm.areaBuscada, C375,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TEXT(COUNTIF($C$2:C375, _xlpm.areaBuscada), "0000"),
    _xlpm.codItem &amp; "-" &amp; _xlpm.codArea &amp; "-" &amp; _xlpm.secuencia
)</f>
        <v>-SinArea-0000</v>
      </c>
      <c r="P375" s="77"/>
      <c r="Q375" s="32"/>
      <c r="R375" s="32"/>
      <c r="S375" s="32"/>
      <c r="T375" s="32"/>
    </row>
    <row r="376" spans="3:20" x14ac:dyDescent="0.3">
      <c r="C376" s="11"/>
      <c r="D376" s="32"/>
      <c r="E376" s="11"/>
      <c r="K376" s="15"/>
      <c r="L376" s="47"/>
      <c r="M376" s="76"/>
      <c r="N376" s="76"/>
      <c r="O376" s="78" t="str">
        <f>_xlfn.LET(
    _xlpm.itemBuscado, B376,
    _xlpm.areaBuscada, C376,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TEXT(COUNTIF($C$2:C376, _xlpm.areaBuscada), "0000"),
    _xlpm.codItem &amp; "-" &amp; _xlpm.codArea &amp; "-" &amp; _xlpm.secuencia
)</f>
        <v>-SinArea-0000</v>
      </c>
      <c r="P376" s="77"/>
      <c r="Q376" s="32"/>
      <c r="R376" s="32"/>
      <c r="S376" s="32"/>
      <c r="T376" s="32"/>
    </row>
    <row r="377" spans="3:20" x14ac:dyDescent="0.3">
      <c r="C377" s="11"/>
      <c r="D377" s="32"/>
      <c r="E377" s="11"/>
      <c r="K377" s="15"/>
      <c r="L377" s="47"/>
      <c r="M377" s="76"/>
      <c r="N377" s="76"/>
      <c r="O377" s="78" t="str">
        <f>_xlfn.LET(
    _xlpm.itemBuscado, B377,
    _xlpm.areaBuscada, C377,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TEXT(COUNTIF($C$2:C377, _xlpm.areaBuscada), "0000"),
    _xlpm.codItem &amp; "-" &amp; _xlpm.codArea &amp; "-" &amp; _xlpm.secuencia
)</f>
        <v>-SinArea-0000</v>
      </c>
      <c r="P377" s="77"/>
      <c r="Q377" s="32"/>
      <c r="R377" s="32"/>
      <c r="S377" s="32"/>
      <c r="T377" s="32"/>
    </row>
    <row r="378" spans="3:20" x14ac:dyDescent="0.3">
      <c r="C378" s="11"/>
      <c r="D378" s="32"/>
      <c r="E378" s="11"/>
      <c r="K378" s="15"/>
      <c r="L378" s="47"/>
      <c r="M378" s="76"/>
      <c r="N378" s="76"/>
      <c r="O378" s="78" t="str">
        <f>_xlfn.LET(
    _xlpm.itemBuscado, B378,
    _xlpm.areaBuscada, C378,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TEXT(COUNTIF($C$2:C378, _xlpm.areaBuscada), "0000"),
    _xlpm.codItem &amp; "-" &amp; _xlpm.codArea &amp; "-" &amp; _xlpm.secuencia
)</f>
        <v>-SinArea-0000</v>
      </c>
      <c r="P378" s="77"/>
      <c r="Q378" s="32"/>
      <c r="R378" s="32"/>
      <c r="S378" s="32"/>
      <c r="T378" s="32"/>
    </row>
    <row r="379" spans="3:20" x14ac:dyDescent="0.3">
      <c r="C379" s="11"/>
      <c r="D379" s="32"/>
      <c r="E379" s="11"/>
      <c r="K379" s="15"/>
      <c r="L379" s="47"/>
      <c r="M379" s="76"/>
      <c r="N379" s="76"/>
      <c r="O379" s="78" t="str">
        <f>_xlfn.LET(
    _xlpm.itemBuscado, B379,
    _xlpm.areaBuscada, C379,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TEXT(COUNTIF($C$2:C379, _xlpm.areaBuscada), "0000"),
    _xlpm.codItem &amp; "-" &amp; _xlpm.codArea &amp; "-" &amp; _xlpm.secuencia
)</f>
        <v>-SinArea-0000</v>
      </c>
      <c r="P379" s="77"/>
      <c r="Q379" s="32"/>
      <c r="R379" s="32"/>
      <c r="S379" s="32"/>
      <c r="T379" s="32"/>
    </row>
    <row r="380" spans="3:20" x14ac:dyDescent="0.3">
      <c r="C380" s="11"/>
      <c r="D380" s="32"/>
      <c r="E380" s="11"/>
      <c r="K380" s="15"/>
      <c r="L380" s="47"/>
      <c r="M380" s="76"/>
      <c r="N380" s="76"/>
      <c r="O380" s="78" t="str">
        <f>_xlfn.LET(
    _xlpm.itemBuscado, B380,
    _xlpm.areaBuscada, C380,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TEXT(COUNTIF($C$2:C380, _xlpm.areaBuscada), "0000"),
    _xlpm.codItem &amp; "-" &amp; _xlpm.codArea &amp; "-" &amp; _xlpm.secuencia
)</f>
        <v>-SinArea-0000</v>
      </c>
      <c r="P380" s="77"/>
      <c r="Q380" s="32"/>
      <c r="R380" s="32"/>
      <c r="S380" s="32"/>
      <c r="T380" s="32"/>
    </row>
    <row r="381" spans="3:20" x14ac:dyDescent="0.3">
      <c r="C381" s="11"/>
      <c r="D381" s="32"/>
      <c r="E381" s="11"/>
      <c r="K381" s="15"/>
      <c r="L381" s="47"/>
      <c r="M381" s="76"/>
      <c r="N381" s="76"/>
      <c r="O381" s="78" t="str">
        <f>_xlfn.LET(
    _xlpm.itemBuscado, B381,
    _xlpm.areaBuscada, C381,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TEXT(COUNTIF($C$2:C381, _xlpm.areaBuscada), "0000"),
    _xlpm.codItem &amp; "-" &amp; _xlpm.codArea &amp; "-" &amp; _xlpm.secuencia
)</f>
        <v>-SinArea-0000</v>
      </c>
      <c r="P381" s="77"/>
      <c r="Q381" s="32"/>
      <c r="R381" s="32"/>
      <c r="S381" s="32"/>
      <c r="T381" s="32"/>
    </row>
    <row r="382" spans="3:20" x14ac:dyDescent="0.3">
      <c r="C382" s="11"/>
      <c r="D382" s="32"/>
      <c r="E382" s="11"/>
      <c r="K382" s="15"/>
      <c r="L382" s="47"/>
      <c r="M382" s="76"/>
      <c r="N382" s="76"/>
      <c r="O382" s="78" t="str">
        <f>_xlfn.LET(
    _xlpm.itemBuscado, B382,
    _xlpm.areaBuscada, C382,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TEXT(COUNTIF($C$2:C382, _xlpm.areaBuscada), "0000"),
    _xlpm.codItem &amp; "-" &amp; _xlpm.codArea &amp; "-" &amp; _xlpm.secuencia
)</f>
        <v>-SinArea-0000</v>
      </c>
      <c r="P382" s="77"/>
      <c r="Q382" s="32"/>
      <c r="R382" s="32"/>
      <c r="S382" s="32"/>
      <c r="T382" s="32"/>
    </row>
    <row r="383" spans="3:20" x14ac:dyDescent="0.3">
      <c r="C383" s="11"/>
      <c r="D383" s="32"/>
      <c r="E383" s="11"/>
      <c r="K383" s="15"/>
      <c r="L383" s="47"/>
      <c r="M383" s="76"/>
      <c r="N383" s="76"/>
      <c r="O383" s="78" t="str">
        <f>_xlfn.LET(
    _xlpm.itemBuscado, B383,
    _xlpm.areaBuscada, C383,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TEXT(COUNTIF($C$2:C383, _xlpm.areaBuscada), "0000"),
    _xlpm.codItem &amp; "-" &amp; _xlpm.codArea &amp; "-" &amp; _xlpm.secuencia
)</f>
        <v>-SinArea-0000</v>
      </c>
      <c r="P383" s="77"/>
      <c r="Q383" s="32"/>
      <c r="R383" s="32"/>
      <c r="S383" s="32"/>
      <c r="T383" s="32"/>
    </row>
    <row r="384" spans="3:20" x14ac:dyDescent="0.3">
      <c r="C384" s="11"/>
      <c r="D384" s="32"/>
      <c r="E384" s="11"/>
      <c r="K384" s="15"/>
      <c r="L384" s="47"/>
      <c r="M384" s="76"/>
      <c r="N384" s="76"/>
      <c r="O384" s="78" t="str">
        <f>_xlfn.LET(
    _xlpm.itemBuscado, B384,
    _xlpm.areaBuscada, C384,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TEXT(COUNTIF($C$2:C384, _xlpm.areaBuscada), "0000"),
    _xlpm.codItem &amp; "-" &amp; _xlpm.codArea &amp; "-" &amp; _xlpm.secuencia
)</f>
        <v>-SinArea-0000</v>
      </c>
      <c r="P384" s="77"/>
      <c r="Q384" s="32"/>
      <c r="R384" s="32"/>
      <c r="S384" s="32"/>
      <c r="T384" s="32"/>
    </row>
    <row r="385" spans="3:20" x14ac:dyDescent="0.3">
      <c r="C385" s="11"/>
      <c r="D385" s="32"/>
      <c r="E385" s="11"/>
      <c r="K385" s="15"/>
      <c r="L385" s="47"/>
      <c r="M385" s="76"/>
      <c r="N385" s="76"/>
      <c r="O385" s="78" t="str">
        <f>_xlfn.LET(
    _xlpm.itemBuscado, B385,
    _xlpm.areaBuscada, C385,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TEXT(COUNTIF($C$2:C385, _xlpm.areaBuscada), "0000"),
    _xlpm.codItem &amp; "-" &amp; _xlpm.codArea &amp; "-" &amp; _xlpm.secuencia
)</f>
        <v>-SinArea-0000</v>
      </c>
      <c r="P385" s="77"/>
      <c r="Q385" s="32"/>
      <c r="R385" s="32"/>
      <c r="S385" s="32"/>
      <c r="T385" s="32"/>
    </row>
    <row r="386" spans="3:20" x14ac:dyDescent="0.3">
      <c r="C386" s="11"/>
      <c r="D386" s="32"/>
      <c r="E386" s="11"/>
      <c r="K386" s="15"/>
      <c r="L386" s="47"/>
      <c r="M386" s="76"/>
      <c r="N386" s="76"/>
      <c r="O386" s="78" t="str">
        <f>_xlfn.LET(
    _xlpm.itemBuscado, B386,
    _xlpm.areaBuscada, C386,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TEXT(COUNTIF($C$2:C386, _xlpm.areaBuscada), "0000"),
    _xlpm.codItem &amp; "-" &amp; _xlpm.codArea &amp; "-" &amp; _xlpm.secuencia
)</f>
        <v>-SinArea-0000</v>
      </c>
      <c r="P386" s="77"/>
      <c r="Q386" s="32"/>
      <c r="R386" s="32"/>
      <c r="S386" s="32"/>
      <c r="T386" s="32"/>
    </row>
    <row r="387" spans="3:20" x14ac:dyDescent="0.3">
      <c r="C387" s="11"/>
      <c r="D387" s="32"/>
      <c r="E387" s="11"/>
      <c r="K387" s="15"/>
      <c r="L387" s="47"/>
      <c r="M387" s="76"/>
      <c r="N387" s="76"/>
      <c r="O387" s="78" t="str">
        <f>_xlfn.LET(
    _xlpm.itemBuscado, B387,
    _xlpm.areaBuscada, C387,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TEXT(COUNTIF($C$2:C387, _xlpm.areaBuscada), "0000"),
    _xlpm.codItem &amp; "-" &amp; _xlpm.codArea &amp; "-" &amp; _xlpm.secuencia
)</f>
        <v>-SinArea-0000</v>
      </c>
      <c r="P387" s="77"/>
      <c r="Q387" s="32"/>
      <c r="R387" s="32"/>
      <c r="S387" s="32"/>
      <c r="T387" s="32"/>
    </row>
    <row r="388" spans="3:20" x14ac:dyDescent="0.3">
      <c r="C388" s="11"/>
      <c r="D388" s="32"/>
      <c r="E388" s="11"/>
      <c r="K388" s="15"/>
      <c r="L388" s="47"/>
      <c r="M388" s="76"/>
      <c r="N388" s="76"/>
      <c r="O388" s="78" t="str">
        <f>_xlfn.LET(
    _xlpm.itemBuscado, B388,
    _xlpm.areaBuscada, C388,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TEXT(COUNTIF($C$2:C388, _xlpm.areaBuscada), "0000"),
    _xlpm.codItem &amp; "-" &amp; _xlpm.codArea &amp; "-" &amp; _xlpm.secuencia
)</f>
        <v>-SinArea-0000</v>
      </c>
      <c r="P388" s="77"/>
      <c r="Q388" s="32"/>
      <c r="R388" s="32"/>
      <c r="S388" s="32"/>
      <c r="T388" s="32"/>
    </row>
    <row r="389" spans="3:20" x14ac:dyDescent="0.3">
      <c r="C389" s="11"/>
      <c r="D389" s="32"/>
      <c r="E389" s="11"/>
      <c r="K389" s="15"/>
      <c r="L389" s="47"/>
      <c r="M389" s="76"/>
      <c r="N389" s="76"/>
      <c r="O389" s="78" t="str">
        <f>_xlfn.LET(
    _xlpm.itemBuscado, B389,
    _xlpm.areaBuscada, C389,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TEXT(COUNTIF($C$2:C389, _xlpm.areaBuscada), "0000"),
    _xlpm.codItem &amp; "-" &amp; _xlpm.codArea &amp; "-" &amp; _xlpm.secuencia
)</f>
        <v>-SinArea-0000</v>
      </c>
      <c r="P389" s="77"/>
      <c r="Q389" s="32"/>
      <c r="R389" s="32"/>
      <c r="S389" s="32"/>
      <c r="T389" s="32"/>
    </row>
    <row r="390" spans="3:20" x14ac:dyDescent="0.3">
      <c r="C390" s="11"/>
      <c r="D390" s="32"/>
      <c r="E390" s="11"/>
      <c r="K390" s="15"/>
      <c r="L390" s="47"/>
      <c r="M390" s="76"/>
      <c r="N390" s="76"/>
      <c r="O390" s="78" t="str">
        <f>_xlfn.LET(
    _xlpm.itemBuscado, B390,
    _xlpm.areaBuscada, C390,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TEXT(COUNTIF($C$2:C390, _xlpm.areaBuscada), "0000"),
    _xlpm.codItem &amp; "-" &amp; _xlpm.codArea &amp; "-" &amp; _xlpm.secuencia
)</f>
        <v>-SinArea-0000</v>
      </c>
      <c r="P390" s="77"/>
      <c r="Q390" s="32"/>
      <c r="R390" s="32"/>
      <c r="S390" s="32"/>
      <c r="T390" s="32"/>
    </row>
    <row r="391" spans="3:20" x14ac:dyDescent="0.3">
      <c r="C391" s="11"/>
      <c r="D391" s="32"/>
      <c r="E391" s="11"/>
      <c r="K391" s="15"/>
      <c r="L391" s="47"/>
      <c r="M391" s="76"/>
      <c r="N391" s="76"/>
      <c r="O391" s="78" t="str">
        <f>_xlfn.LET(
    _xlpm.itemBuscado, B391,
    _xlpm.areaBuscada, C391,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TEXT(COUNTIF($C$2:C391, _xlpm.areaBuscada), "0000"),
    _xlpm.codItem &amp; "-" &amp; _xlpm.codArea &amp; "-" &amp; _xlpm.secuencia
)</f>
        <v>-SinArea-0000</v>
      </c>
      <c r="P391" s="77"/>
      <c r="Q391" s="32"/>
      <c r="R391" s="32"/>
      <c r="S391" s="32"/>
      <c r="T391" s="32"/>
    </row>
    <row r="392" spans="3:20" x14ac:dyDescent="0.3">
      <c r="C392" s="11"/>
      <c r="D392" s="32"/>
      <c r="E392" s="11"/>
      <c r="K392" s="15"/>
      <c r="L392" s="47"/>
      <c r="M392" s="76"/>
      <c r="N392" s="76"/>
      <c r="O392" s="78" t="str">
        <f>_xlfn.LET(
    _xlpm.itemBuscado, B392,
    _xlpm.areaBuscada, C392,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TEXT(COUNTIF($C$2:C392, _xlpm.areaBuscada), "0000"),
    _xlpm.codItem &amp; "-" &amp; _xlpm.codArea &amp; "-" &amp; _xlpm.secuencia
)</f>
        <v>-SinArea-0000</v>
      </c>
      <c r="P392" s="77"/>
      <c r="Q392" s="32"/>
      <c r="R392" s="32"/>
      <c r="S392" s="32"/>
      <c r="T392" s="32"/>
    </row>
    <row r="393" spans="3:20" x14ac:dyDescent="0.3">
      <c r="C393" s="11"/>
      <c r="D393" s="32"/>
      <c r="E393" s="11"/>
      <c r="K393" s="15"/>
      <c r="L393" s="47"/>
      <c r="M393" s="76"/>
      <c r="N393" s="76"/>
      <c r="O393" s="78" t="str">
        <f>_xlfn.LET(
    _xlpm.itemBuscado, B393,
    _xlpm.areaBuscada, C393,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TEXT(COUNTIF($C$2:C393, _xlpm.areaBuscada), "0000"),
    _xlpm.codItem &amp; "-" &amp; _xlpm.codArea &amp; "-" &amp; _xlpm.secuencia
)</f>
        <v>-SinArea-0000</v>
      </c>
      <c r="P393" s="77"/>
      <c r="Q393" s="32"/>
      <c r="R393" s="32"/>
      <c r="S393" s="32"/>
      <c r="T393" s="32"/>
    </row>
    <row r="394" spans="3:20" x14ac:dyDescent="0.3">
      <c r="C394" s="11"/>
      <c r="D394" s="32"/>
      <c r="E394" s="11"/>
      <c r="K394" s="15"/>
      <c r="L394" s="47"/>
      <c r="M394" s="76"/>
      <c r="N394" s="76"/>
      <c r="O394" s="78" t="str">
        <f>_xlfn.LET(
    _xlpm.itemBuscado, B394,
    _xlpm.areaBuscada, C394,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TEXT(COUNTIF($C$2:C394, _xlpm.areaBuscada), "0000"),
    _xlpm.codItem &amp; "-" &amp; _xlpm.codArea &amp; "-" &amp; _xlpm.secuencia
)</f>
        <v>-SinArea-0000</v>
      </c>
      <c r="P394" s="77"/>
      <c r="Q394" s="32"/>
      <c r="R394" s="32"/>
      <c r="S394" s="32"/>
      <c r="T394" s="32"/>
    </row>
    <row r="395" spans="3:20" x14ac:dyDescent="0.3">
      <c r="C395" s="11"/>
      <c r="D395" s="32"/>
      <c r="E395" s="11"/>
      <c r="K395" s="15"/>
      <c r="L395" s="47"/>
      <c r="M395" s="76"/>
      <c r="N395" s="76"/>
      <c r="O395" s="78" t="str">
        <f>_xlfn.LET(
    _xlpm.itemBuscado, B395,
    _xlpm.areaBuscada, C395,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TEXT(COUNTIF($C$2:C395, _xlpm.areaBuscada), "0000"),
    _xlpm.codItem &amp; "-" &amp; _xlpm.codArea &amp; "-" &amp; _xlpm.secuencia
)</f>
        <v>-SinArea-0000</v>
      </c>
      <c r="P395" s="77"/>
      <c r="Q395" s="32"/>
      <c r="R395" s="32"/>
      <c r="S395" s="32"/>
      <c r="T395" s="32"/>
    </row>
    <row r="396" spans="3:20" x14ac:dyDescent="0.3">
      <c r="C396" s="11"/>
      <c r="D396" s="32"/>
      <c r="E396" s="11"/>
      <c r="K396" s="15"/>
      <c r="L396" s="47"/>
      <c r="M396" s="76"/>
      <c r="N396" s="76"/>
      <c r="O396" s="78" t="str">
        <f>_xlfn.LET(
    _xlpm.itemBuscado, B396,
    _xlpm.areaBuscada, C396,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TEXT(COUNTIF($C$2:C396, _xlpm.areaBuscada), "0000"),
    _xlpm.codItem &amp; "-" &amp; _xlpm.codArea &amp; "-" &amp; _xlpm.secuencia
)</f>
        <v>-SinArea-0000</v>
      </c>
      <c r="P396" s="77"/>
      <c r="Q396" s="32"/>
      <c r="R396" s="32"/>
      <c r="S396" s="32"/>
      <c r="T396" s="32"/>
    </row>
    <row r="397" spans="3:20" x14ac:dyDescent="0.3">
      <c r="C397" s="11"/>
      <c r="D397" s="32"/>
      <c r="E397" s="11"/>
      <c r="K397" s="15"/>
      <c r="L397" s="47"/>
      <c r="M397" s="76"/>
      <c r="N397" s="76"/>
      <c r="O397" s="78" t="str">
        <f>_xlfn.LET(
    _xlpm.itemBuscado, B397,
    _xlpm.areaBuscada, C397,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TEXT(COUNTIF($C$2:C397, _xlpm.areaBuscada), "0000"),
    _xlpm.codItem &amp; "-" &amp; _xlpm.codArea &amp; "-" &amp; _xlpm.secuencia
)</f>
        <v>-SinArea-0000</v>
      </c>
      <c r="P397" s="77"/>
      <c r="Q397" s="32"/>
      <c r="R397" s="32"/>
      <c r="S397" s="32"/>
      <c r="T397" s="32"/>
    </row>
    <row r="398" spans="3:20" x14ac:dyDescent="0.3">
      <c r="C398" s="11"/>
      <c r="D398" s="32"/>
      <c r="E398" s="11"/>
      <c r="K398" s="15"/>
      <c r="L398" s="47"/>
      <c r="M398" s="76"/>
      <c r="N398" s="76"/>
      <c r="O398" s="78" t="str">
        <f>_xlfn.LET(
    _xlpm.itemBuscado, B398,
    _xlpm.areaBuscada, C398,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TEXT(COUNTIF($C$2:C398, _xlpm.areaBuscada), "0000"),
    _xlpm.codItem &amp; "-" &amp; _xlpm.codArea &amp; "-" &amp; _xlpm.secuencia
)</f>
        <v>-SinArea-0000</v>
      </c>
      <c r="P398" s="77"/>
      <c r="Q398" s="32"/>
      <c r="R398" s="32"/>
      <c r="S398" s="32"/>
      <c r="T398" s="32"/>
    </row>
    <row r="399" spans="3:20" x14ac:dyDescent="0.3">
      <c r="C399" s="11"/>
      <c r="D399" s="32"/>
      <c r="E399" s="11"/>
      <c r="K399" s="15"/>
      <c r="L399" s="47"/>
      <c r="M399" s="76"/>
      <c r="N399" s="76"/>
      <c r="O399" s="78" t="str">
        <f>_xlfn.LET(
    _xlpm.itemBuscado, B399,
    _xlpm.areaBuscada, C399,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TEXT(COUNTIF($C$2:C399, _xlpm.areaBuscada), "0000"),
    _xlpm.codItem &amp; "-" &amp; _xlpm.codArea &amp; "-" &amp; _xlpm.secuencia
)</f>
        <v>-SinArea-0000</v>
      </c>
      <c r="P399" s="77"/>
      <c r="Q399" s="32"/>
      <c r="R399" s="32"/>
      <c r="S399" s="32"/>
      <c r="T399" s="32"/>
    </row>
    <row r="400" spans="3:20" x14ac:dyDescent="0.3">
      <c r="C400" s="11"/>
      <c r="D400" s="32"/>
      <c r="E400" s="11"/>
      <c r="K400" s="15"/>
      <c r="L400" s="47"/>
      <c r="M400" s="76"/>
      <c r="N400" s="76"/>
      <c r="O400" s="78" t="str">
        <f>_xlfn.LET(
    _xlpm.itemBuscado, B400,
    _xlpm.areaBuscada, C400,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TEXT(COUNTIF($C$2:C400, _xlpm.areaBuscada), "0000"),
    _xlpm.codItem &amp; "-" &amp; _xlpm.codArea &amp; "-" &amp; _xlpm.secuencia
)</f>
        <v>-SinArea-0000</v>
      </c>
      <c r="P400" s="77"/>
      <c r="Q400" s="32"/>
      <c r="R400" s="32"/>
      <c r="S400" s="32"/>
      <c r="T400" s="32"/>
    </row>
    <row r="401" spans="3:20" x14ac:dyDescent="0.3">
      <c r="C401" s="11"/>
      <c r="D401" s="32"/>
      <c r="E401" s="11"/>
      <c r="K401" s="15"/>
      <c r="L401" s="47"/>
      <c r="M401" s="76"/>
      <c r="N401" s="76"/>
      <c r="O401" s="78" t="str">
        <f>_xlfn.LET(
    _xlpm.itemBuscado, B401,
    _xlpm.areaBuscada, C401,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TEXT(COUNTIF($C$2:C401, _xlpm.areaBuscada), "0000"),
    _xlpm.codItem &amp; "-" &amp; _xlpm.codArea &amp; "-" &amp; _xlpm.secuencia
)</f>
        <v>-SinArea-0000</v>
      </c>
      <c r="P401" s="77"/>
      <c r="Q401" s="32"/>
      <c r="R401" s="32"/>
      <c r="S401" s="32"/>
      <c r="T401" s="32"/>
    </row>
    <row r="402" spans="3:20" x14ac:dyDescent="0.3">
      <c r="C402" s="11"/>
      <c r="D402" s="32"/>
      <c r="E402" s="11"/>
      <c r="K402" s="15"/>
      <c r="L402" s="47"/>
      <c r="M402" s="76"/>
      <c r="N402" s="76"/>
      <c r="O402" s="78" t="str">
        <f>_xlfn.LET(
    _xlpm.itemBuscado, B402,
    _xlpm.areaBuscada, C402,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TEXT(COUNTIF($C$2:C402, _xlpm.areaBuscada), "0000"),
    _xlpm.codItem &amp; "-" &amp; _xlpm.codArea &amp; "-" &amp; _xlpm.secuencia
)</f>
        <v>-SinArea-0000</v>
      </c>
      <c r="P402" s="77"/>
      <c r="Q402" s="32"/>
      <c r="R402" s="32"/>
      <c r="S402" s="32"/>
      <c r="T402" s="32"/>
    </row>
    <row r="403" spans="3:20" x14ac:dyDescent="0.3">
      <c r="C403" s="11"/>
      <c r="D403" s="32"/>
      <c r="E403" s="11"/>
      <c r="K403" s="15"/>
      <c r="L403" s="47"/>
      <c r="M403" s="76"/>
      <c r="N403" s="76"/>
      <c r="O403" s="78" t="str">
        <f>_xlfn.LET(
    _xlpm.itemBuscado, B403,
    _xlpm.areaBuscada, C403,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TEXT(COUNTIF($C$2:C403, _xlpm.areaBuscada), "0000"),
    _xlpm.codItem &amp; "-" &amp; _xlpm.codArea &amp; "-" &amp; _xlpm.secuencia
)</f>
        <v>-SinArea-0000</v>
      </c>
      <c r="P403" s="77"/>
      <c r="Q403" s="32"/>
      <c r="R403" s="32"/>
      <c r="S403" s="32"/>
      <c r="T403" s="32"/>
    </row>
    <row r="404" spans="3:20" x14ac:dyDescent="0.3">
      <c r="C404" s="11"/>
      <c r="D404" s="32"/>
      <c r="E404" s="11"/>
      <c r="K404" s="15"/>
      <c r="L404" s="47"/>
      <c r="M404" s="76"/>
      <c r="N404" s="76"/>
      <c r="O404" s="78" t="str">
        <f>_xlfn.LET(
    _xlpm.itemBuscado, B404,
    _xlpm.areaBuscada, C404,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TEXT(COUNTIF($C$2:C404, _xlpm.areaBuscada), "0000"),
    _xlpm.codItem &amp; "-" &amp; _xlpm.codArea &amp; "-" &amp; _xlpm.secuencia
)</f>
        <v>-SinArea-0000</v>
      </c>
      <c r="P404" s="77"/>
      <c r="Q404" s="32"/>
      <c r="R404" s="32"/>
      <c r="S404" s="32"/>
      <c r="T404" s="32"/>
    </row>
    <row r="405" spans="3:20" x14ac:dyDescent="0.3">
      <c r="C405" s="11"/>
      <c r="D405" s="32"/>
      <c r="E405" s="11"/>
      <c r="K405" s="15"/>
      <c r="L405" s="47"/>
      <c r="M405" s="76"/>
      <c r="N405" s="76"/>
      <c r="O405" s="78" t="str">
        <f>_xlfn.LET(
    _xlpm.itemBuscado, B405,
    _xlpm.areaBuscada, C405,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TEXT(COUNTIF($C$2:C405, _xlpm.areaBuscada), "0000"),
    _xlpm.codItem &amp; "-" &amp; _xlpm.codArea &amp; "-" &amp; _xlpm.secuencia
)</f>
        <v>-SinArea-0000</v>
      </c>
      <c r="P405" s="77"/>
      <c r="Q405" s="32"/>
      <c r="R405" s="32"/>
      <c r="S405" s="32"/>
      <c r="T405" s="32"/>
    </row>
    <row r="406" spans="3:20" x14ac:dyDescent="0.3">
      <c r="C406" s="11"/>
      <c r="D406" s="32"/>
      <c r="E406" s="11"/>
      <c r="K406" s="15"/>
      <c r="L406" s="47"/>
      <c r="M406" s="76"/>
      <c r="N406" s="76"/>
      <c r="O406" s="78" t="str">
        <f>_xlfn.LET(
    _xlpm.itemBuscado, B406,
    _xlpm.areaBuscada, C406,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TEXT(COUNTIF($C$2:C406, _xlpm.areaBuscada), "0000"),
    _xlpm.codItem &amp; "-" &amp; _xlpm.codArea &amp; "-" &amp; _xlpm.secuencia
)</f>
        <v>-SinArea-0000</v>
      </c>
      <c r="P406" s="77"/>
      <c r="Q406" s="32"/>
      <c r="R406" s="32"/>
      <c r="S406" s="32"/>
      <c r="T406" s="32"/>
    </row>
    <row r="407" spans="3:20" x14ac:dyDescent="0.3">
      <c r="C407" s="11"/>
      <c r="D407" s="32"/>
      <c r="E407" s="11"/>
      <c r="K407" s="15"/>
      <c r="L407" s="47"/>
      <c r="M407" s="76"/>
      <c r="N407" s="76"/>
      <c r="O407" s="78" t="str">
        <f>_xlfn.LET(
    _xlpm.itemBuscado, B407,
    _xlpm.areaBuscada, C407,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TEXT(COUNTIF($C$2:C407, _xlpm.areaBuscada), "0000"),
    _xlpm.codItem &amp; "-" &amp; _xlpm.codArea &amp; "-" &amp; _xlpm.secuencia
)</f>
        <v>-SinArea-0000</v>
      </c>
      <c r="P407" s="77"/>
      <c r="Q407" s="32"/>
      <c r="R407" s="32"/>
      <c r="S407" s="32"/>
      <c r="T407" s="32"/>
    </row>
    <row r="408" spans="3:20" x14ac:dyDescent="0.3">
      <c r="C408" s="11"/>
      <c r="D408" s="32"/>
      <c r="E408" s="11"/>
      <c r="K408" s="15"/>
      <c r="L408" s="47"/>
      <c r="M408" s="76"/>
      <c r="N408" s="76"/>
      <c r="O408" s="78" t="str">
        <f>_xlfn.LET(
    _xlpm.itemBuscado, B408,
    _xlpm.areaBuscada, C408,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TEXT(COUNTIF($C$2:C408, _xlpm.areaBuscada), "0000"),
    _xlpm.codItem &amp; "-" &amp; _xlpm.codArea &amp; "-" &amp; _xlpm.secuencia
)</f>
        <v>-SinArea-0000</v>
      </c>
      <c r="P408" s="77"/>
      <c r="Q408" s="32"/>
      <c r="R408" s="32"/>
      <c r="S408" s="32"/>
      <c r="T408" s="32"/>
    </row>
    <row r="409" spans="3:20" x14ac:dyDescent="0.3">
      <c r="C409" s="11"/>
      <c r="D409" s="32"/>
      <c r="E409" s="11"/>
      <c r="K409" s="15"/>
      <c r="L409" s="47"/>
      <c r="M409" s="76"/>
      <c r="N409" s="76"/>
      <c r="O409" s="78" t="str">
        <f>_xlfn.LET(
    _xlpm.itemBuscado, B409,
    _xlpm.areaBuscada, C409,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TEXT(COUNTIF($C$2:C409, _xlpm.areaBuscada), "0000"),
    _xlpm.codItem &amp; "-" &amp; _xlpm.codArea &amp; "-" &amp; _xlpm.secuencia
)</f>
        <v>-SinArea-0000</v>
      </c>
      <c r="P409" s="77"/>
      <c r="Q409" s="32"/>
      <c r="R409" s="32"/>
      <c r="S409" s="32"/>
      <c r="T409" s="32"/>
    </row>
    <row r="410" spans="3:20" x14ac:dyDescent="0.3">
      <c r="C410" s="11"/>
      <c r="D410" s="32"/>
      <c r="E410" s="11"/>
      <c r="K410" s="15"/>
      <c r="L410" s="47"/>
      <c r="M410" s="76"/>
      <c r="N410" s="76"/>
      <c r="O410" s="78" t="str">
        <f>_xlfn.LET(
    _xlpm.itemBuscado, B410,
    _xlpm.areaBuscada, C410,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TEXT(COUNTIF($C$2:C410, _xlpm.areaBuscada), "0000"),
    _xlpm.codItem &amp; "-" &amp; _xlpm.codArea &amp; "-" &amp; _xlpm.secuencia
)</f>
        <v>-SinArea-0000</v>
      </c>
      <c r="P410" s="77"/>
      <c r="Q410" s="32"/>
      <c r="R410" s="32"/>
      <c r="S410" s="32"/>
      <c r="T410" s="32"/>
    </row>
    <row r="411" spans="3:20" x14ac:dyDescent="0.3">
      <c r="C411" s="11"/>
      <c r="D411" s="32"/>
      <c r="E411" s="11"/>
      <c r="K411" s="15"/>
      <c r="L411" s="47"/>
      <c r="M411" s="76"/>
      <c r="N411" s="76"/>
      <c r="O411" s="78" t="str">
        <f>_xlfn.LET(
    _xlpm.itemBuscado, B411,
    _xlpm.areaBuscada, C411,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TEXT(COUNTIF($C$2:C411, _xlpm.areaBuscada), "0000"),
    _xlpm.codItem &amp; "-" &amp; _xlpm.codArea &amp; "-" &amp; _xlpm.secuencia
)</f>
        <v>-SinArea-0000</v>
      </c>
      <c r="P411" s="77"/>
      <c r="Q411" s="32"/>
      <c r="R411" s="32"/>
      <c r="S411" s="32"/>
      <c r="T411" s="32"/>
    </row>
    <row r="412" spans="3:20" x14ac:dyDescent="0.3">
      <c r="C412" s="11"/>
      <c r="D412" s="32"/>
      <c r="E412" s="11"/>
      <c r="K412" s="15"/>
      <c r="L412" s="47"/>
      <c r="M412" s="76"/>
      <c r="N412" s="76"/>
      <c r="O412" s="78" t="str">
        <f>_xlfn.LET(
    _xlpm.itemBuscado, B412,
    _xlpm.areaBuscada, C412,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TEXT(COUNTIF($C$2:C412, _xlpm.areaBuscada), "0000"),
    _xlpm.codItem &amp; "-" &amp; _xlpm.codArea &amp; "-" &amp; _xlpm.secuencia
)</f>
        <v>-SinArea-0000</v>
      </c>
      <c r="P412" s="77"/>
      <c r="Q412" s="32"/>
      <c r="R412" s="32"/>
      <c r="S412" s="32"/>
      <c r="T412" s="32"/>
    </row>
    <row r="413" spans="3:20" x14ac:dyDescent="0.3">
      <c r="C413" s="11"/>
      <c r="D413" s="32"/>
      <c r="E413" s="11"/>
      <c r="K413" s="15"/>
      <c r="L413" s="47"/>
      <c r="M413" s="76"/>
      <c r="N413" s="76"/>
      <c r="O413" s="78" t="str">
        <f>_xlfn.LET(
    _xlpm.itemBuscado, B413,
    _xlpm.areaBuscada, C413,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TEXT(COUNTIF($C$2:C413, _xlpm.areaBuscada), "0000"),
    _xlpm.codItem &amp; "-" &amp; _xlpm.codArea &amp; "-" &amp; _xlpm.secuencia
)</f>
        <v>-SinArea-0000</v>
      </c>
      <c r="P413" s="77"/>
      <c r="Q413" s="32"/>
      <c r="R413" s="32"/>
      <c r="S413" s="32"/>
      <c r="T413" s="32"/>
    </row>
    <row r="414" spans="3:20" x14ac:dyDescent="0.3">
      <c r="C414" s="11"/>
      <c r="D414" s="32"/>
      <c r="E414" s="11"/>
      <c r="K414" s="15"/>
      <c r="L414" s="47"/>
      <c r="M414" s="76"/>
      <c r="N414" s="76"/>
      <c r="O414" s="78" t="str">
        <f>_xlfn.LET(
    _xlpm.itemBuscado, B414,
    _xlpm.areaBuscada, C414,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TEXT(COUNTIF($C$2:C414, _xlpm.areaBuscada), "0000"),
    _xlpm.codItem &amp; "-" &amp; _xlpm.codArea &amp; "-" &amp; _xlpm.secuencia
)</f>
        <v>-SinArea-0000</v>
      </c>
      <c r="P414" s="77"/>
      <c r="Q414" s="32"/>
      <c r="R414" s="32"/>
      <c r="S414" s="32"/>
      <c r="T414" s="32"/>
    </row>
    <row r="415" spans="3:20" x14ac:dyDescent="0.3">
      <c r="C415" s="11"/>
      <c r="D415" s="32"/>
      <c r="E415" s="11"/>
      <c r="K415" s="15"/>
      <c r="L415" s="47"/>
      <c r="M415" s="76"/>
      <c r="N415" s="76"/>
      <c r="O415" s="78" t="str">
        <f>_xlfn.LET(
    _xlpm.itemBuscado, B415,
    _xlpm.areaBuscada, C415,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TEXT(COUNTIF($C$2:C415, _xlpm.areaBuscada), "0000"),
    _xlpm.codItem &amp; "-" &amp; _xlpm.codArea &amp; "-" &amp; _xlpm.secuencia
)</f>
        <v>-SinArea-0000</v>
      </c>
      <c r="P415" s="77"/>
      <c r="Q415" s="32"/>
      <c r="R415" s="32"/>
      <c r="S415" s="32"/>
      <c r="T415" s="32"/>
    </row>
    <row r="416" spans="3:20" x14ac:dyDescent="0.3">
      <c r="C416" s="11"/>
      <c r="D416" s="32"/>
      <c r="E416" s="11"/>
      <c r="K416" s="15"/>
      <c r="L416" s="47"/>
      <c r="M416" s="76"/>
      <c r="N416" s="76"/>
      <c r="O416" s="78" t="str">
        <f>_xlfn.LET(
    _xlpm.itemBuscado, B416,
    _xlpm.areaBuscada, C416,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TEXT(COUNTIF($C$2:C416, _xlpm.areaBuscada), "0000"),
    _xlpm.codItem &amp; "-" &amp; _xlpm.codArea &amp; "-" &amp; _xlpm.secuencia
)</f>
        <v>-SinArea-0000</v>
      </c>
      <c r="P416" s="77"/>
      <c r="Q416" s="32"/>
      <c r="R416" s="32"/>
      <c r="S416" s="32"/>
      <c r="T416" s="32"/>
    </row>
    <row r="417" spans="3:20" x14ac:dyDescent="0.3">
      <c r="C417" s="11"/>
      <c r="D417" s="32"/>
      <c r="E417" s="11"/>
      <c r="K417" s="15"/>
      <c r="L417" s="47"/>
      <c r="M417" s="76"/>
      <c r="N417" s="76"/>
      <c r="O417" s="78" t="str">
        <f>_xlfn.LET(
    _xlpm.itemBuscado, B417,
    _xlpm.areaBuscada, C417,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TEXT(COUNTIF($C$2:C417, _xlpm.areaBuscada), "0000"),
    _xlpm.codItem &amp; "-" &amp; _xlpm.codArea &amp; "-" &amp; _xlpm.secuencia
)</f>
        <v>-SinArea-0000</v>
      </c>
      <c r="P417" s="77"/>
      <c r="Q417" s="32"/>
      <c r="R417" s="32"/>
      <c r="S417" s="32"/>
      <c r="T417" s="32"/>
    </row>
    <row r="418" spans="3:20" x14ac:dyDescent="0.3">
      <c r="C418" s="11"/>
      <c r="D418" s="32"/>
      <c r="E418" s="11"/>
      <c r="K418" s="15"/>
      <c r="L418" s="47"/>
      <c r="M418" s="76"/>
      <c r="N418" s="76"/>
      <c r="O418" s="78" t="str">
        <f>_xlfn.LET(
    _xlpm.itemBuscado, B418,
    _xlpm.areaBuscada, C418,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TEXT(COUNTIF($C$2:C418, _xlpm.areaBuscada), "0000"),
    _xlpm.codItem &amp; "-" &amp; _xlpm.codArea &amp; "-" &amp; _xlpm.secuencia
)</f>
        <v>-SinArea-0000</v>
      </c>
      <c r="P418" s="77"/>
      <c r="Q418" s="32"/>
      <c r="R418" s="32"/>
      <c r="S418" s="32"/>
      <c r="T418" s="32"/>
    </row>
    <row r="419" spans="3:20" x14ac:dyDescent="0.3">
      <c r="C419" s="11"/>
      <c r="D419" s="32"/>
      <c r="E419" s="11"/>
      <c r="K419" s="15"/>
      <c r="L419" s="47"/>
      <c r="M419" s="76"/>
      <c r="N419" s="76"/>
      <c r="O419" s="78" t="str">
        <f>_xlfn.LET(
    _xlpm.itemBuscado, B419,
    _xlpm.areaBuscada, C419,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TEXT(COUNTIF($C$2:C419, _xlpm.areaBuscada), "0000"),
    _xlpm.codItem &amp; "-" &amp; _xlpm.codArea &amp; "-" &amp; _xlpm.secuencia
)</f>
        <v>-SinArea-0000</v>
      </c>
      <c r="P419" s="77"/>
      <c r="Q419" s="32"/>
      <c r="R419" s="32"/>
      <c r="S419" s="32"/>
      <c r="T419" s="32"/>
    </row>
    <row r="420" spans="3:20" x14ac:dyDescent="0.3">
      <c r="C420" s="11"/>
      <c r="D420" s="32"/>
      <c r="E420" s="11"/>
      <c r="K420" s="15"/>
      <c r="L420" s="47"/>
      <c r="M420" s="76"/>
      <c r="N420" s="76"/>
      <c r="O420" s="78" t="str">
        <f>_xlfn.LET(
    _xlpm.itemBuscado, B420,
    _xlpm.areaBuscada, C420,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TEXT(COUNTIF($C$2:C420, _xlpm.areaBuscada), "0000"),
    _xlpm.codItem &amp; "-" &amp; _xlpm.codArea &amp; "-" &amp; _xlpm.secuencia
)</f>
        <v>-SinArea-0000</v>
      </c>
      <c r="P420" s="77"/>
      <c r="Q420" s="32"/>
      <c r="R420" s="32"/>
      <c r="S420" s="32"/>
      <c r="T420" s="32"/>
    </row>
    <row r="421" spans="3:20" x14ac:dyDescent="0.3">
      <c r="C421" s="11"/>
      <c r="D421" s="32"/>
      <c r="E421" s="11"/>
      <c r="K421" s="15"/>
      <c r="L421" s="47"/>
      <c r="M421" s="76"/>
      <c r="N421" s="76"/>
      <c r="O421" s="78" t="str">
        <f>_xlfn.LET(
    _xlpm.itemBuscado, B421,
    _xlpm.areaBuscada, C421,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TEXT(COUNTIF($C$2:C421, _xlpm.areaBuscada), "0000"),
    _xlpm.codItem &amp; "-" &amp; _xlpm.codArea &amp; "-" &amp; _xlpm.secuencia
)</f>
        <v>-SinArea-0000</v>
      </c>
      <c r="P421" s="77"/>
      <c r="Q421" s="32"/>
      <c r="R421" s="32"/>
      <c r="S421" s="32"/>
      <c r="T421" s="32"/>
    </row>
    <row r="422" spans="3:20" x14ac:dyDescent="0.3">
      <c r="C422" s="11"/>
      <c r="D422" s="32"/>
      <c r="E422" s="11"/>
      <c r="K422" s="15"/>
      <c r="L422" s="47"/>
      <c r="M422" s="76"/>
      <c r="N422" s="76"/>
      <c r="O422" s="78" t="str">
        <f>_xlfn.LET(
    _xlpm.itemBuscado, B422,
    _xlpm.areaBuscada, C422,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TEXT(COUNTIF($C$2:C422, _xlpm.areaBuscada), "0000"),
    _xlpm.codItem &amp; "-" &amp; _xlpm.codArea &amp; "-" &amp; _xlpm.secuencia
)</f>
        <v>-SinArea-0000</v>
      </c>
      <c r="P422" s="77"/>
      <c r="Q422" s="32"/>
      <c r="R422" s="32"/>
      <c r="S422" s="32"/>
      <c r="T422" s="32"/>
    </row>
    <row r="423" spans="3:20" x14ac:dyDescent="0.3">
      <c r="C423" s="11"/>
      <c r="D423" s="32"/>
      <c r="E423" s="11"/>
      <c r="K423" s="15"/>
      <c r="L423" s="47"/>
      <c r="M423" s="76"/>
      <c r="N423" s="76"/>
      <c r="O423" s="78" t="str">
        <f>_xlfn.LET(
    _xlpm.itemBuscado, B423,
    _xlpm.areaBuscada, C423,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TEXT(COUNTIF($C$2:C423, _xlpm.areaBuscada), "0000"),
    _xlpm.codItem &amp; "-" &amp; _xlpm.codArea &amp; "-" &amp; _xlpm.secuencia
)</f>
        <v>-SinArea-0000</v>
      </c>
      <c r="P423" s="77"/>
      <c r="Q423" s="32"/>
      <c r="R423" s="32"/>
      <c r="S423" s="32"/>
      <c r="T423" s="32"/>
    </row>
    <row r="424" spans="3:20" x14ac:dyDescent="0.3">
      <c r="C424" s="11"/>
      <c r="D424" s="32"/>
      <c r="E424" s="11"/>
      <c r="K424" s="15"/>
      <c r="L424" s="47"/>
      <c r="M424" s="76"/>
      <c r="N424" s="76"/>
      <c r="O424" s="78" t="str">
        <f>_xlfn.LET(
    _xlpm.itemBuscado, B424,
    _xlpm.areaBuscada, C424,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TEXT(COUNTIF($C$2:C424, _xlpm.areaBuscada), "0000"),
    _xlpm.codItem &amp; "-" &amp; _xlpm.codArea &amp; "-" &amp; _xlpm.secuencia
)</f>
        <v>-SinArea-0000</v>
      </c>
      <c r="P424" s="77"/>
      <c r="Q424" s="32"/>
      <c r="R424" s="32"/>
      <c r="S424" s="32"/>
      <c r="T424" s="32"/>
    </row>
    <row r="425" spans="3:20" x14ac:dyDescent="0.3">
      <c r="C425" s="11"/>
      <c r="D425" s="32"/>
      <c r="E425" s="11"/>
      <c r="K425" s="15"/>
      <c r="L425" s="47"/>
      <c r="M425" s="76"/>
      <c r="N425" s="76"/>
      <c r="O425" s="78" t="str">
        <f>_xlfn.LET(
    _xlpm.itemBuscado, B425,
    _xlpm.areaBuscada, C425,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TEXT(COUNTIF($C$2:C425, _xlpm.areaBuscada), "0000"),
    _xlpm.codItem &amp; "-" &amp; _xlpm.codArea &amp; "-" &amp; _xlpm.secuencia
)</f>
        <v>-SinArea-0000</v>
      </c>
      <c r="P425" s="77"/>
      <c r="Q425" s="32"/>
      <c r="R425" s="32"/>
      <c r="S425" s="32"/>
      <c r="T425" s="32"/>
    </row>
    <row r="426" spans="3:20" x14ac:dyDescent="0.3">
      <c r="C426" s="11"/>
      <c r="D426" s="32"/>
      <c r="E426" s="11"/>
      <c r="K426" s="15"/>
      <c r="L426" s="47"/>
      <c r="M426" s="76"/>
      <c r="N426" s="76"/>
      <c r="O426" s="78" t="str">
        <f>_xlfn.LET(
    _xlpm.itemBuscado, B426,
    _xlpm.areaBuscada, C426,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TEXT(COUNTIF($C$2:C426, _xlpm.areaBuscada), "0000"),
    _xlpm.codItem &amp; "-" &amp; _xlpm.codArea &amp; "-" &amp; _xlpm.secuencia
)</f>
        <v>-SinArea-0000</v>
      </c>
      <c r="P426" s="77"/>
      <c r="Q426" s="32"/>
      <c r="R426" s="32"/>
      <c r="S426" s="32"/>
      <c r="T426" s="32"/>
    </row>
    <row r="427" spans="3:20" x14ac:dyDescent="0.3">
      <c r="C427" s="11"/>
      <c r="D427" s="32"/>
      <c r="E427" s="11"/>
      <c r="K427" s="15"/>
      <c r="L427" s="47"/>
      <c r="M427" s="76"/>
      <c r="N427" s="76"/>
      <c r="O427" s="78" t="str">
        <f>_xlfn.LET(
    _xlpm.itemBuscado, B427,
    _xlpm.areaBuscada, C427,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TEXT(COUNTIF($C$2:C427, _xlpm.areaBuscada), "0000"),
    _xlpm.codItem &amp; "-" &amp; _xlpm.codArea &amp; "-" &amp; _xlpm.secuencia
)</f>
        <v>-SinArea-0000</v>
      </c>
      <c r="P427" s="77"/>
      <c r="Q427" s="32"/>
      <c r="R427" s="32"/>
      <c r="S427" s="32"/>
      <c r="T427" s="32"/>
    </row>
    <row r="428" spans="3:20" x14ac:dyDescent="0.3">
      <c r="C428" s="11"/>
      <c r="D428" s="32"/>
      <c r="E428" s="11"/>
      <c r="K428" s="15"/>
      <c r="L428" s="47"/>
      <c r="M428" s="76"/>
      <c r="N428" s="76"/>
      <c r="O428" s="78" t="str">
        <f>_xlfn.LET(
    _xlpm.itemBuscado, B428,
    _xlpm.areaBuscada, C428,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TEXT(COUNTIF($C$2:C428, _xlpm.areaBuscada), "0000"),
    _xlpm.codItem &amp; "-" &amp; _xlpm.codArea &amp; "-" &amp; _xlpm.secuencia
)</f>
        <v>-SinArea-0000</v>
      </c>
      <c r="P428" s="77"/>
      <c r="Q428" s="32"/>
      <c r="R428" s="32"/>
      <c r="S428" s="32"/>
      <c r="T428" s="32"/>
    </row>
    <row r="429" spans="3:20" x14ac:dyDescent="0.3">
      <c r="C429" s="11"/>
      <c r="D429" s="32"/>
      <c r="E429" s="11"/>
      <c r="K429" s="15"/>
      <c r="L429" s="47"/>
      <c r="M429" s="76"/>
      <c r="N429" s="76"/>
      <c r="O429" s="78" t="str">
        <f>_xlfn.LET(
    _xlpm.itemBuscado, B429,
    _xlpm.areaBuscada, C429,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TEXT(COUNTIF($C$2:C429, _xlpm.areaBuscada), "0000"),
    _xlpm.codItem &amp; "-" &amp; _xlpm.codArea &amp; "-" &amp; _xlpm.secuencia
)</f>
        <v>-SinArea-0000</v>
      </c>
      <c r="P429" s="77"/>
      <c r="Q429" s="32"/>
      <c r="R429" s="32"/>
      <c r="S429" s="32"/>
      <c r="T429" s="32"/>
    </row>
    <row r="430" spans="3:20" x14ac:dyDescent="0.3">
      <c r="C430" s="11"/>
      <c r="D430" s="32"/>
      <c r="E430" s="11"/>
      <c r="K430" s="15"/>
      <c r="L430" s="47"/>
      <c r="M430" s="76"/>
      <c r="N430" s="76"/>
      <c r="O430" s="78" t="str">
        <f>_xlfn.LET(
    _xlpm.itemBuscado, B430,
    _xlpm.areaBuscada, C430,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TEXT(COUNTIF($C$2:C430, _xlpm.areaBuscada), "0000"),
    _xlpm.codItem &amp; "-" &amp; _xlpm.codArea &amp; "-" &amp; _xlpm.secuencia
)</f>
        <v>-SinArea-0000</v>
      </c>
      <c r="P430" s="77"/>
      <c r="Q430" s="32"/>
      <c r="R430" s="32"/>
      <c r="S430" s="32"/>
      <c r="T430" s="32"/>
    </row>
    <row r="431" spans="3:20" x14ac:dyDescent="0.3">
      <c r="C431" s="11"/>
      <c r="D431" s="32"/>
      <c r="E431" s="11"/>
      <c r="K431" s="15"/>
      <c r="L431" s="47"/>
      <c r="M431" s="76"/>
      <c r="N431" s="76"/>
      <c r="O431" s="78" t="str">
        <f>_xlfn.LET(
    _xlpm.itemBuscado, B431,
    _xlpm.areaBuscada, C431,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TEXT(COUNTIF($C$2:C431, _xlpm.areaBuscada), "0000"),
    _xlpm.codItem &amp; "-" &amp; _xlpm.codArea &amp; "-" &amp; _xlpm.secuencia
)</f>
        <v>-SinArea-0000</v>
      </c>
      <c r="P431" s="77"/>
      <c r="Q431" s="32"/>
      <c r="R431" s="32"/>
      <c r="S431" s="32"/>
      <c r="T431" s="32"/>
    </row>
    <row r="432" spans="3:20" x14ac:dyDescent="0.3">
      <c r="C432" s="11"/>
      <c r="D432" s="32"/>
      <c r="E432" s="11"/>
      <c r="K432" s="15"/>
      <c r="L432" s="47"/>
      <c r="M432" s="76"/>
      <c r="N432" s="76"/>
      <c r="O432" s="78" t="str">
        <f>_xlfn.LET(
    _xlpm.itemBuscado, B432,
    _xlpm.areaBuscada, C432,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TEXT(COUNTIF($C$2:C432, _xlpm.areaBuscada), "0000"),
    _xlpm.codItem &amp; "-" &amp; _xlpm.codArea &amp; "-" &amp; _xlpm.secuencia
)</f>
        <v>-SinArea-0000</v>
      </c>
      <c r="P432" s="77"/>
      <c r="Q432" s="32"/>
      <c r="R432" s="32"/>
      <c r="S432" s="32"/>
      <c r="T432" s="32"/>
    </row>
    <row r="433" spans="3:20" x14ac:dyDescent="0.3">
      <c r="C433" s="11"/>
      <c r="D433" s="32"/>
      <c r="E433" s="11"/>
      <c r="K433" s="15"/>
      <c r="L433" s="47"/>
      <c r="M433" s="76"/>
      <c r="N433" s="76"/>
      <c r="O433" s="78" t="str">
        <f>_xlfn.LET(
    _xlpm.itemBuscado, B433,
    _xlpm.areaBuscada, C433,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TEXT(COUNTIF($C$2:C433, _xlpm.areaBuscada), "0000"),
    _xlpm.codItem &amp; "-" &amp; _xlpm.codArea &amp; "-" &amp; _xlpm.secuencia
)</f>
        <v>-SinArea-0000</v>
      </c>
      <c r="P433" s="77"/>
      <c r="Q433" s="32"/>
      <c r="R433" s="32"/>
      <c r="S433" s="32"/>
      <c r="T433" s="32"/>
    </row>
    <row r="434" spans="3:20" x14ac:dyDescent="0.3">
      <c r="C434" s="11"/>
      <c r="D434" s="32"/>
      <c r="E434" s="11"/>
      <c r="K434" s="15"/>
      <c r="L434" s="47"/>
      <c r="M434" s="76"/>
      <c r="N434" s="76"/>
      <c r="O434" s="78" t="str">
        <f>_xlfn.LET(
    _xlpm.itemBuscado, B434,
    _xlpm.areaBuscada, C434,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TEXT(COUNTIF($C$2:C434, _xlpm.areaBuscada), "0000"),
    _xlpm.codItem &amp; "-" &amp; _xlpm.codArea &amp; "-" &amp; _xlpm.secuencia
)</f>
        <v>-SinArea-0000</v>
      </c>
      <c r="P434" s="77"/>
      <c r="Q434" s="32"/>
      <c r="R434" s="32"/>
      <c r="S434" s="32"/>
      <c r="T434" s="32"/>
    </row>
    <row r="435" spans="3:20" x14ac:dyDescent="0.3">
      <c r="C435" s="11"/>
      <c r="D435" s="32"/>
      <c r="E435" s="11"/>
      <c r="K435" s="15"/>
      <c r="L435" s="47"/>
      <c r="M435" s="76"/>
      <c r="N435" s="76"/>
      <c r="O435" s="78" t="str">
        <f>_xlfn.LET(
    _xlpm.itemBuscado, B435,
    _xlpm.areaBuscada, C435,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TEXT(COUNTIF($C$2:C435, _xlpm.areaBuscada), "0000"),
    _xlpm.codItem &amp; "-" &amp; _xlpm.codArea &amp; "-" &amp; _xlpm.secuencia
)</f>
        <v>-SinArea-0000</v>
      </c>
      <c r="P435" s="77"/>
      <c r="Q435" s="32"/>
      <c r="R435" s="32"/>
      <c r="S435" s="32"/>
      <c r="T435" s="32"/>
    </row>
    <row r="436" spans="3:20" x14ac:dyDescent="0.3">
      <c r="C436" s="11"/>
      <c r="D436" s="32"/>
      <c r="E436" s="11"/>
      <c r="K436" s="15"/>
      <c r="L436" s="47"/>
      <c r="M436" s="76"/>
      <c r="N436" s="76"/>
      <c r="O436" s="78" t="str">
        <f>_xlfn.LET(
    _xlpm.itemBuscado, B436,
    _xlpm.areaBuscada, C436,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TEXT(COUNTIF($C$2:C436, _xlpm.areaBuscada), "0000"),
    _xlpm.codItem &amp; "-" &amp; _xlpm.codArea &amp; "-" &amp; _xlpm.secuencia
)</f>
        <v>-SinArea-0000</v>
      </c>
      <c r="P436" s="77"/>
      <c r="Q436" s="32"/>
      <c r="R436" s="32"/>
      <c r="S436" s="32"/>
      <c r="T436" s="32"/>
    </row>
    <row r="437" spans="3:20" x14ac:dyDescent="0.3">
      <c r="C437" s="11"/>
      <c r="D437" s="32"/>
      <c r="E437" s="11"/>
      <c r="K437" s="15"/>
      <c r="L437" s="47"/>
      <c r="M437" s="76"/>
      <c r="N437" s="76"/>
      <c r="O437" s="78" t="str">
        <f>_xlfn.LET(
    _xlpm.itemBuscado, B437,
    _xlpm.areaBuscada, C437,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TEXT(COUNTIF($C$2:C437, _xlpm.areaBuscada), "0000"),
    _xlpm.codItem &amp; "-" &amp; _xlpm.codArea &amp; "-" &amp; _xlpm.secuencia
)</f>
        <v>-SinArea-0000</v>
      </c>
      <c r="P437" s="77"/>
      <c r="Q437" s="32"/>
      <c r="R437" s="32"/>
      <c r="S437" s="32"/>
      <c r="T437" s="32"/>
    </row>
    <row r="438" spans="3:20" x14ac:dyDescent="0.3">
      <c r="C438" s="11"/>
      <c r="D438" s="32"/>
      <c r="E438" s="11"/>
      <c r="K438" s="15"/>
      <c r="L438" s="47"/>
      <c r="M438" s="76"/>
      <c r="N438" s="76"/>
      <c r="O438" s="78" t="str">
        <f>_xlfn.LET(
    _xlpm.itemBuscado, B438,
    _xlpm.areaBuscada, C438,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TEXT(COUNTIF($C$2:C438, _xlpm.areaBuscada), "0000"),
    _xlpm.codItem &amp; "-" &amp; _xlpm.codArea &amp; "-" &amp; _xlpm.secuencia
)</f>
        <v>-SinArea-0000</v>
      </c>
      <c r="P438" s="77"/>
      <c r="Q438" s="32"/>
      <c r="R438" s="32"/>
      <c r="S438" s="32"/>
      <c r="T438" s="32"/>
    </row>
    <row r="439" spans="3:20" x14ac:dyDescent="0.3">
      <c r="C439" s="11"/>
      <c r="D439" s="32"/>
      <c r="E439" s="11"/>
      <c r="K439" s="15"/>
      <c r="L439" s="47"/>
      <c r="M439" s="76"/>
      <c r="N439" s="76"/>
      <c r="O439" s="78" t="str">
        <f>_xlfn.LET(
    _xlpm.itemBuscado, B439,
    _xlpm.areaBuscada, C439,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TEXT(COUNTIF($C$2:C439, _xlpm.areaBuscada), "0000"),
    _xlpm.codItem &amp; "-" &amp; _xlpm.codArea &amp; "-" &amp; _xlpm.secuencia
)</f>
        <v>-SinArea-0000</v>
      </c>
      <c r="P439" s="77"/>
      <c r="Q439" s="32"/>
      <c r="R439" s="32"/>
      <c r="S439" s="32"/>
      <c r="T439" s="32"/>
    </row>
    <row r="440" spans="3:20" x14ac:dyDescent="0.3">
      <c r="C440" s="11"/>
      <c r="D440" s="32"/>
      <c r="E440" s="11"/>
      <c r="K440" s="15"/>
      <c r="L440" s="47"/>
      <c r="M440" s="76"/>
      <c r="N440" s="76"/>
      <c r="O440" s="78" t="str">
        <f>_xlfn.LET(
    _xlpm.itemBuscado, B440,
    _xlpm.areaBuscada, C440,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TEXT(COUNTIF($C$2:C440, _xlpm.areaBuscada), "0000"),
    _xlpm.codItem &amp; "-" &amp; _xlpm.codArea &amp; "-" &amp; _xlpm.secuencia
)</f>
        <v>-SinArea-0000</v>
      </c>
      <c r="P440" s="77"/>
      <c r="Q440" s="32"/>
      <c r="R440" s="32"/>
      <c r="S440" s="32"/>
      <c r="T440" s="32"/>
    </row>
    <row r="441" spans="3:20" x14ac:dyDescent="0.3">
      <c r="C441" s="11"/>
      <c r="D441" s="32"/>
      <c r="E441" s="11"/>
      <c r="K441" s="15"/>
      <c r="L441" s="47"/>
      <c r="M441" s="76"/>
      <c r="N441" s="76"/>
      <c r="O441" s="78" t="str">
        <f>_xlfn.LET(
    _xlpm.itemBuscado, B441,
    _xlpm.areaBuscada, C441,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TEXT(COUNTIF($C$2:C441, _xlpm.areaBuscada), "0000"),
    _xlpm.codItem &amp; "-" &amp; _xlpm.codArea &amp; "-" &amp; _xlpm.secuencia
)</f>
        <v>-SinArea-0000</v>
      </c>
      <c r="P441" s="77"/>
      <c r="Q441" s="32"/>
      <c r="R441" s="32"/>
      <c r="S441" s="32"/>
      <c r="T441" s="32"/>
    </row>
    <row r="442" spans="3:20" x14ac:dyDescent="0.3">
      <c r="C442" s="11"/>
      <c r="D442" s="32"/>
      <c r="E442" s="11"/>
      <c r="K442" s="15"/>
      <c r="L442" s="47"/>
      <c r="M442" s="76"/>
      <c r="N442" s="76"/>
      <c r="O442" s="78" t="str">
        <f>_xlfn.LET(
    _xlpm.itemBuscado, B442,
    _xlpm.areaBuscada, C442,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TEXT(COUNTIF($C$2:C442, _xlpm.areaBuscada), "0000"),
    _xlpm.codItem &amp; "-" &amp; _xlpm.codArea &amp; "-" &amp; _xlpm.secuencia
)</f>
        <v>-SinArea-0000</v>
      </c>
      <c r="P442" s="77"/>
      <c r="Q442" s="32"/>
      <c r="R442" s="32"/>
      <c r="S442" s="32"/>
      <c r="T442" s="32"/>
    </row>
    <row r="443" spans="3:20" x14ac:dyDescent="0.3">
      <c r="C443" s="11"/>
      <c r="D443" s="32"/>
      <c r="E443" s="11"/>
      <c r="K443" s="15"/>
      <c r="L443" s="47"/>
      <c r="M443" s="76"/>
      <c r="N443" s="76"/>
      <c r="O443" s="78" t="str">
        <f>_xlfn.LET(
    _xlpm.itemBuscado, B443,
    _xlpm.areaBuscada, C443,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TEXT(COUNTIF($C$2:C443, _xlpm.areaBuscada), "0000"),
    _xlpm.codItem &amp; "-" &amp; _xlpm.codArea &amp; "-" &amp; _xlpm.secuencia
)</f>
        <v>-SinArea-0000</v>
      </c>
      <c r="P443" s="77"/>
      <c r="Q443" s="32"/>
      <c r="R443" s="32"/>
      <c r="S443" s="32"/>
      <c r="T443" s="32"/>
    </row>
    <row r="444" spans="3:20" x14ac:dyDescent="0.3">
      <c r="C444" s="11"/>
      <c r="D444" s="32"/>
      <c r="E444" s="11"/>
      <c r="K444" s="15"/>
      <c r="L444" s="47"/>
      <c r="M444" s="76"/>
      <c r="N444" s="76"/>
      <c r="O444" s="78" t="str">
        <f>_xlfn.LET(
    _xlpm.itemBuscado, B444,
    _xlpm.areaBuscada, C444,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TEXT(COUNTIF($C$2:C444, _xlpm.areaBuscada), "0000"),
    _xlpm.codItem &amp; "-" &amp; _xlpm.codArea &amp; "-" &amp; _xlpm.secuencia
)</f>
        <v>-SinArea-0000</v>
      </c>
      <c r="P444" s="77"/>
      <c r="Q444" s="32"/>
      <c r="R444" s="32"/>
      <c r="S444" s="32"/>
      <c r="T444" s="32"/>
    </row>
    <row r="445" spans="3:20" x14ac:dyDescent="0.3">
      <c r="C445" s="11"/>
      <c r="D445" s="32"/>
      <c r="E445" s="11"/>
      <c r="K445" s="15"/>
      <c r="L445" s="47"/>
      <c r="M445" s="76"/>
      <c r="N445" s="76"/>
      <c r="O445" s="78" t="str">
        <f>_xlfn.LET(
    _xlpm.itemBuscado, B445,
    _xlpm.areaBuscada, C445,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TEXT(COUNTIF($C$2:C445, _xlpm.areaBuscada), "0000"),
    _xlpm.codItem &amp; "-" &amp; _xlpm.codArea &amp; "-" &amp; _xlpm.secuencia
)</f>
        <v>-SinArea-0000</v>
      </c>
      <c r="P445" s="77"/>
      <c r="Q445" s="32"/>
      <c r="R445" s="32"/>
      <c r="S445" s="32"/>
      <c r="T445" s="32"/>
    </row>
    <row r="446" spans="3:20" x14ac:dyDescent="0.3">
      <c r="C446" s="11"/>
      <c r="D446" s="32"/>
      <c r="E446" s="11"/>
      <c r="K446" s="15"/>
      <c r="L446" s="47"/>
      <c r="M446" s="76"/>
      <c r="N446" s="76"/>
      <c r="O446" s="78" t="str">
        <f>_xlfn.LET(
    _xlpm.itemBuscado, B446,
    _xlpm.areaBuscada, C446,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TEXT(COUNTIF($C$2:C446, _xlpm.areaBuscada), "0000"),
    _xlpm.codItem &amp; "-" &amp; _xlpm.codArea &amp; "-" &amp; _xlpm.secuencia
)</f>
        <v>-SinArea-0000</v>
      </c>
      <c r="P446" s="77"/>
      <c r="Q446" s="32"/>
      <c r="R446" s="32"/>
      <c r="S446" s="32"/>
      <c r="T446" s="32"/>
    </row>
    <row r="447" spans="3:20" x14ac:dyDescent="0.3">
      <c r="C447" s="11"/>
      <c r="D447" s="32"/>
      <c r="E447" s="11"/>
      <c r="K447" s="15"/>
      <c r="L447" s="47"/>
      <c r="M447" s="76"/>
      <c r="N447" s="76"/>
      <c r="O447" s="78" t="str">
        <f>_xlfn.LET(
    _xlpm.itemBuscado, B447,
    _xlpm.areaBuscada, C447,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TEXT(COUNTIF($C$2:C447, _xlpm.areaBuscada), "0000"),
    _xlpm.codItem &amp; "-" &amp; _xlpm.codArea &amp; "-" &amp; _xlpm.secuencia
)</f>
        <v>-SinArea-0000</v>
      </c>
      <c r="P447" s="77"/>
      <c r="Q447" s="32"/>
      <c r="R447" s="32"/>
      <c r="S447" s="32"/>
      <c r="T447" s="32"/>
    </row>
    <row r="448" spans="3:20" x14ac:dyDescent="0.3">
      <c r="C448" s="11"/>
      <c r="D448" s="32"/>
      <c r="E448" s="11"/>
      <c r="K448" s="15"/>
      <c r="L448" s="47"/>
      <c r="M448" s="76"/>
      <c r="N448" s="76"/>
      <c r="O448" s="78" t="str">
        <f>_xlfn.LET(
    _xlpm.itemBuscado, B448,
    _xlpm.areaBuscada, C448,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TEXT(COUNTIF($C$2:C448, _xlpm.areaBuscada), "0000"),
    _xlpm.codItem &amp; "-" &amp; _xlpm.codArea &amp; "-" &amp; _xlpm.secuencia
)</f>
        <v>-SinArea-0000</v>
      </c>
      <c r="P448" s="77"/>
      <c r="Q448" s="32"/>
      <c r="R448" s="32"/>
      <c r="S448" s="32"/>
      <c r="T448" s="32"/>
    </row>
    <row r="449" spans="3:20" x14ac:dyDescent="0.3">
      <c r="C449" s="11"/>
      <c r="D449" s="32"/>
      <c r="E449" s="11"/>
      <c r="K449" s="15"/>
      <c r="L449" s="47"/>
      <c r="M449" s="76"/>
      <c r="N449" s="76"/>
      <c r="O449" s="78" t="str">
        <f>_xlfn.LET(
    _xlpm.itemBuscado, B449,
    _xlpm.areaBuscada, C449,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TEXT(COUNTIF($C$2:C449, _xlpm.areaBuscada), "0000"),
    _xlpm.codItem &amp; "-" &amp; _xlpm.codArea &amp; "-" &amp; _xlpm.secuencia
)</f>
        <v>-SinArea-0000</v>
      </c>
      <c r="P449" s="77"/>
      <c r="Q449" s="32"/>
      <c r="R449" s="32"/>
      <c r="S449" s="32"/>
      <c r="T449" s="32"/>
    </row>
    <row r="450" spans="3:20" x14ac:dyDescent="0.3">
      <c r="C450" s="11"/>
      <c r="D450" s="32"/>
      <c r="E450" s="11"/>
      <c r="K450" s="15"/>
      <c r="L450" s="47"/>
      <c r="M450" s="76"/>
      <c r="N450" s="76"/>
      <c r="O450" s="78" t="str">
        <f>_xlfn.LET(
    _xlpm.itemBuscado, B450,
    _xlpm.areaBuscada, C450,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TEXT(COUNTIF($C$2:C450, _xlpm.areaBuscada), "0000"),
    _xlpm.codItem &amp; "-" &amp; _xlpm.codArea &amp; "-" &amp; _xlpm.secuencia
)</f>
        <v>-SinArea-0000</v>
      </c>
      <c r="P450" s="77"/>
      <c r="Q450" s="32"/>
      <c r="R450" s="32"/>
      <c r="S450" s="32"/>
      <c r="T450" s="32"/>
    </row>
    <row r="451" spans="3:20" x14ac:dyDescent="0.3">
      <c r="C451" s="11"/>
      <c r="D451" s="32"/>
      <c r="E451" s="11"/>
      <c r="K451" s="15"/>
      <c r="L451" s="47"/>
      <c r="M451" s="76"/>
      <c r="N451" s="76"/>
      <c r="O451" s="78" t="str">
        <f>_xlfn.LET(
    _xlpm.itemBuscado, B451,
    _xlpm.areaBuscada, C451,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TEXT(COUNTIF($C$2:C451, _xlpm.areaBuscada), "0000"),
    _xlpm.codItem &amp; "-" &amp; _xlpm.codArea &amp; "-" &amp; _xlpm.secuencia
)</f>
        <v>-SinArea-0000</v>
      </c>
      <c r="P451" s="77"/>
      <c r="Q451" s="32"/>
      <c r="R451" s="32"/>
      <c r="S451" s="32"/>
      <c r="T451" s="32"/>
    </row>
    <row r="452" spans="3:20" x14ac:dyDescent="0.3">
      <c r="C452" s="11"/>
      <c r="D452" s="32"/>
      <c r="E452" s="11"/>
      <c r="K452" s="15"/>
      <c r="L452" s="47"/>
      <c r="M452" s="76"/>
      <c r="N452" s="76"/>
      <c r="O452" s="78" t="str">
        <f>_xlfn.LET(
    _xlpm.itemBuscado, B452,
    _xlpm.areaBuscada, C452,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TEXT(COUNTIF($C$2:C452, _xlpm.areaBuscada), "0000"),
    _xlpm.codItem &amp; "-" &amp; _xlpm.codArea &amp; "-" &amp; _xlpm.secuencia
)</f>
        <v>-SinArea-0000</v>
      </c>
      <c r="P452" s="77"/>
      <c r="Q452" s="32"/>
      <c r="R452" s="32"/>
      <c r="S452" s="32"/>
      <c r="T452" s="32"/>
    </row>
    <row r="453" spans="3:20" x14ac:dyDescent="0.3">
      <c r="C453" s="11"/>
      <c r="D453" s="32"/>
      <c r="E453" s="11"/>
      <c r="K453" s="15"/>
      <c r="L453" s="47"/>
      <c r="M453" s="76"/>
      <c r="N453" s="76"/>
      <c r="O453" s="78" t="str">
        <f>_xlfn.LET(
    _xlpm.itemBuscado, B453,
    _xlpm.areaBuscada, C453,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TEXT(COUNTIF($C$2:C453, _xlpm.areaBuscada), "0000"),
    _xlpm.codItem &amp; "-" &amp; _xlpm.codArea &amp; "-" &amp; _xlpm.secuencia
)</f>
        <v>-SinArea-0000</v>
      </c>
      <c r="P453" s="77"/>
      <c r="Q453" s="32"/>
      <c r="R453" s="32"/>
      <c r="S453" s="32"/>
      <c r="T453" s="32"/>
    </row>
    <row r="454" spans="3:20" x14ac:dyDescent="0.3">
      <c r="C454" s="11"/>
      <c r="D454" s="32"/>
      <c r="E454" s="11"/>
      <c r="K454" s="15"/>
      <c r="L454" s="47"/>
      <c r="M454" s="76"/>
      <c r="N454" s="76"/>
      <c r="O454" s="78" t="str">
        <f>_xlfn.LET(
    _xlpm.itemBuscado, B454,
    _xlpm.areaBuscada, C454,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TEXT(COUNTIF($C$2:C454, _xlpm.areaBuscada), "0000"),
    _xlpm.codItem &amp; "-" &amp; _xlpm.codArea &amp; "-" &amp; _xlpm.secuencia
)</f>
        <v>-SinArea-0000</v>
      </c>
      <c r="P454" s="77"/>
      <c r="Q454" s="32"/>
      <c r="R454" s="32"/>
      <c r="S454" s="32"/>
      <c r="T454" s="32"/>
    </row>
    <row r="455" spans="3:20" x14ac:dyDescent="0.3">
      <c r="C455" s="11"/>
      <c r="D455" s="32"/>
      <c r="E455" s="11"/>
      <c r="K455" s="15"/>
      <c r="L455" s="47"/>
      <c r="M455" s="76"/>
      <c r="N455" s="76"/>
      <c r="O455" s="78" t="str">
        <f>_xlfn.LET(
    _xlpm.itemBuscado, B455,
    _xlpm.areaBuscada, C455,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TEXT(COUNTIF($C$2:C455, _xlpm.areaBuscada), "0000"),
    _xlpm.codItem &amp; "-" &amp; _xlpm.codArea &amp; "-" &amp; _xlpm.secuencia
)</f>
        <v>-SinArea-0000</v>
      </c>
      <c r="P455" s="77"/>
      <c r="Q455" s="32"/>
      <c r="R455" s="32"/>
      <c r="S455" s="32"/>
      <c r="T455" s="32"/>
    </row>
    <row r="456" spans="3:20" x14ac:dyDescent="0.3">
      <c r="C456" s="11"/>
      <c r="D456" s="32"/>
      <c r="E456" s="11"/>
      <c r="K456" s="15"/>
      <c r="L456" s="47"/>
      <c r="M456" s="76"/>
      <c r="N456" s="76"/>
      <c r="O456" s="78" t="str">
        <f>_xlfn.LET(
    _xlpm.itemBuscado, B456,
    _xlpm.areaBuscada, C456,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TEXT(COUNTIF($C$2:C456, _xlpm.areaBuscada), "0000"),
    _xlpm.codItem &amp; "-" &amp; _xlpm.codArea &amp; "-" &amp; _xlpm.secuencia
)</f>
        <v>-SinArea-0000</v>
      </c>
      <c r="P456" s="77"/>
      <c r="Q456" s="32"/>
      <c r="R456" s="32"/>
      <c r="S456" s="32"/>
      <c r="T456" s="32"/>
    </row>
    <row r="457" spans="3:20" x14ac:dyDescent="0.3">
      <c r="C457" s="11"/>
      <c r="D457" s="32"/>
      <c r="E457" s="11"/>
      <c r="K457" s="15"/>
      <c r="L457" s="47"/>
      <c r="M457" s="76"/>
      <c r="N457" s="76"/>
      <c r="O457" s="78" t="str">
        <f>_xlfn.LET(
    _xlpm.itemBuscado, B457,
    _xlpm.areaBuscada, C457,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TEXT(COUNTIF($C$2:C457, _xlpm.areaBuscada), "0000"),
    _xlpm.codItem &amp; "-" &amp; _xlpm.codArea &amp; "-" &amp; _xlpm.secuencia
)</f>
        <v>-SinArea-0000</v>
      </c>
      <c r="P457" s="77"/>
      <c r="Q457" s="32"/>
      <c r="R457" s="32"/>
      <c r="S457" s="32"/>
      <c r="T457" s="32"/>
    </row>
    <row r="458" spans="3:20" x14ac:dyDescent="0.3">
      <c r="C458" s="11"/>
      <c r="D458" s="32"/>
      <c r="E458" s="11"/>
      <c r="K458" s="15"/>
      <c r="L458" s="47"/>
      <c r="M458" s="76"/>
      <c r="N458" s="76"/>
      <c r="O458" s="78" t="str">
        <f>_xlfn.LET(
    _xlpm.itemBuscado, B458,
    _xlpm.areaBuscada, C458,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TEXT(COUNTIF($C$2:C458, _xlpm.areaBuscada), "0000"),
    _xlpm.codItem &amp; "-" &amp; _xlpm.codArea &amp; "-" &amp; _xlpm.secuencia
)</f>
        <v>-SinArea-0000</v>
      </c>
      <c r="P458" s="77"/>
      <c r="Q458" s="32"/>
      <c r="R458" s="32"/>
      <c r="S458" s="32"/>
      <c r="T458" s="32"/>
    </row>
    <row r="459" spans="3:20" x14ac:dyDescent="0.3">
      <c r="C459" s="11"/>
      <c r="D459" s="32"/>
      <c r="E459" s="11"/>
      <c r="K459" s="15"/>
      <c r="L459" s="47"/>
      <c r="M459" s="76"/>
      <c r="N459" s="76"/>
      <c r="O459" s="78" t="str">
        <f>_xlfn.LET(
    _xlpm.itemBuscado, B459,
    _xlpm.areaBuscada, C459,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TEXT(COUNTIF($C$2:C459, _xlpm.areaBuscada), "0000"),
    _xlpm.codItem &amp; "-" &amp; _xlpm.codArea &amp; "-" &amp; _xlpm.secuencia
)</f>
        <v>-SinArea-0000</v>
      </c>
      <c r="P459" s="77"/>
      <c r="Q459" s="32"/>
      <c r="R459" s="32"/>
      <c r="S459" s="32"/>
      <c r="T459" s="32"/>
    </row>
    <row r="460" spans="3:20" x14ac:dyDescent="0.3">
      <c r="C460" s="11"/>
      <c r="D460" s="32"/>
      <c r="E460" s="11"/>
      <c r="K460" s="15"/>
      <c r="L460" s="47"/>
      <c r="M460" s="76"/>
      <c r="N460" s="76"/>
      <c r="O460" s="78" t="str">
        <f>_xlfn.LET(
    _xlpm.itemBuscado, B460,
    _xlpm.areaBuscada, C460,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TEXT(COUNTIF($C$2:C460, _xlpm.areaBuscada), "0000"),
    _xlpm.codItem &amp; "-" &amp; _xlpm.codArea &amp; "-" &amp; _xlpm.secuencia
)</f>
        <v>-SinArea-0000</v>
      </c>
      <c r="P460" s="77"/>
      <c r="Q460" s="32"/>
      <c r="R460" s="32"/>
      <c r="S460" s="32"/>
      <c r="T460" s="32"/>
    </row>
    <row r="461" spans="3:20" x14ac:dyDescent="0.3">
      <c r="C461" s="11"/>
      <c r="D461" s="32"/>
      <c r="E461" s="11"/>
      <c r="K461" s="15"/>
      <c r="L461" s="47"/>
      <c r="M461" s="76"/>
      <c r="N461" s="76"/>
      <c r="O461" s="78" t="str">
        <f>_xlfn.LET(
    _xlpm.itemBuscado, B461,
    _xlpm.areaBuscada, C461,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TEXT(COUNTIF($C$2:C461, _xlpm.areaBuscada), "0000"),
    _xlpm.codItem &amp; "-" &amp; _xlpm.codArea &amp; "-" &amp; _xlpm.secuencia
)</f>
        <v>-SinArea-0000</v>
      </c>
      <c r="P461" s="77"/>
      <c r="Q461" s="32"/>
      <c r="R461" s="32"/>
      <c r="S461" s="32"/>
      <c r="T461" s="32"/>
    </row>
    <row r="462" spans="3:20" x14ac:dyDescent="0.3">
      <c r="C462" s="11"/>
      <c r="D462" s="32"/>
      <c r="E462" s="11"/>
      <c r="K462" s="15"/>
      <c r="L462" s="47"/>
      <c r="M462" s="76"/>
      <c r="N462" s="76"/>
      <c r="O462" s="78" t="str">
        <f>_xlfn.LET(
    _xlpm.itemBuscado, B462,
    _xlpm.areaBuscada, C462,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TEXT(COUNTIF($C$2:C462, _xlpm.areaBuscada), "0000"),
    _xlpm.codItem &amp; "-" &amp; _xlpm.codArea &amp; "-" &amp; _xlpm.secuencia
)</f>
        <v>-SinArea-0000</v>
      </c>
      <c r="P462" s="77"/>
      <c r="Q462" s="32"/>
      <c r="R462" s="32"/>
      <c r="S462" s="32"/>
      <c r="T462" s="32"/>
    </row>
    <row r="463" spans="3:20" x14ac:dyDescent="0.3">
      <c r="C463" s="11"/>
      <c r="D463" s="32"/>
      <c r="E463" s="11"/>
      <c r="K463" s="15"/>
      <c r="L463" s="47"/>
      <c r="M463" s="76"/>
      <c r="N463" s="76"/>
      <c r="O463" s="78" t="str">
        <f>_xlfn.LET(
    _xlpm.itemBuscado, B463,
    _xlpm.areaBuscada, C463,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TEXT(COUNTIF($C$2:C463, _xlpm.areaBuscada), "0000"),
    _xlpm.codItem &amp; "-" &amp; _xlpm.codArea &amp; "-" &amp; _xlpm.secuencia
)</f>
        <v>-SinArea-0000</v>
      </c>
      <c r="P463" s="77"/>
      <c r="Q463" s="32"/>
      <c r="R463" s="32"/>
      <c r="S463" s="32"/>
      <c r="T463" s="32"/>
    </row>
    <row r="464" spans="3:20" x14ac:dyDescent="0.3">
      <c r="C464" s="11"/>
      <c r="D464" s="32"/>
      <c r="E464" s="11"/>
      <c r="K464" s="15"/>
      <c r="L464" s="47"/>
      <c r="M464" s="76"/>
      <c r="N464" s="76"/>
      <c r="O464" s="78" t="str">
        <f>_xlfn.LET(
    _xlpm.itemBuscado, B464,
    _xlpm.areaBuscada, C464,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TEXT(COUNTIF($C$2:C464, _xlpm.areaBuscada), "0000"),
    _xlpm.codItem &amp; "-" &amp; _xlpm.codArea &amp; "-" &amp; _xlpm.secuencia
)</f>
        <v>-SinArea-0000</v>
      </c>
      <c r="P464" s="77"/>
      <c r="Q464" s="32"/>
      <c r="R464" s="32"/>
      <c r="S464" s="32"/>
      <c r="T464" s="32"/>
    </row>
    <row r="465" spans="3:20" x14ac:dyDescent="0.3">
      <c r="C465" s="11"/>
      <c r="D465" s="32"/>
      <c r="E465" s="11"/>
      <c r="K465" s="15"/>
      <c r="L465" s="47"/>
      <c r="M465" s="76"/>
      <c r="N465" s="76"/>
      <c r="O465" s="78" t="str">
        <f>_xlfn.LET(
    _xlpm.itemBuscado, B465,
    _xlpm.areaBuscada, C465,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TEXT(COUNTIF($C$2:C465, _xlpm.areaBuscada), "0000"),
    _xlpm.codItem &amp; "-" &amp; _xlpm.codArea &amp; "-" &amp; _xlpm.secuencia
)</f>
        <v>-SinArea-0000</v>
      </c>
      <c r="P465" s="77"/>
      <c r="Q465" s="32"/>
      <c r="R465" s="32"/>
      <c r="S465" s="32"/>
      <c r="T465" s="32"/>
    </row>
    <row r="466" spans="3:20" x14ac:dyDescent="0.3">
      <c r="C466" s="11"/>
      <c r="D466" s="32"/>
      <c r="E466" s="11"/>
      <c r="K466" s="15"/>
      <c r="L466" s="47"/>
      <c r="M466" s="76"/>
      <c r="N466" s="76"/>
      <c r="O466" s="78" t="str">
        <f>_xlfn.LET(
    _xlpm.itemBuscado, B466,
    _xlpm.areaBuscada, C466,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TEXT(COUNTIF($C$2:C466, _xlpm.areaBuscada), "0000"),
    _xlpm.codItem &amp; "-" &amp; _xlpm.codArea &amp; "-" &amp; _xlpm.secuencia
)</f>
        <v>-SinArea-0000</v>
      </c>
      <c r="P466" s="77"/>
      <c r="Q466" s="32"/>
      <c r="R466" s="32"/>
      <c r="S466" s="32"/>
      <c r="T466" s="32"/>
    </row>
    <row r="467" spans="3:20" x14ac:dyDescent="0.3">
      <c r="C467" s="11"/>
      <c r="D467" s="32"/>
      <c r="E467" s="11"/>
      <c r="K467" s="15"/>
      <c r="L467" s="47"/>
      <c r="M467" s="76"/>
      <c r="N467" s="76"/>
      <c r="O467" s="78" t="str">
        <f>_xlfn.LET(
    _xlpm.itemBuscado, B467,
    _xlpm.areaBuscada, C467,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TEXT(COUNTIF($C$2:C467, _xlpm.areaBuscada), "0000"),
    _xlpm.codItem &amp; "-" &amp; _xlpm.codArea &amp; "-" &amp; _xlpm.secuencia
)</f>
        <v>-SinArea-0000</v>
      </c>
      <c r="P467" s="77"/>
      <c r="Q467" s="32"/>
      <c r="R467" s="32"/>
      <c r="S467" s="32"/>
      <c r="T467" s="32"/>
    </row>
    <row r="468" spans="3:20" x14ac:dyDescent="0.3">
      <c r="C468" s="11"/>
      <c r="D468" s="32"/>
      <c r="E468" s="11"/>
      <c r="K468" s="15"/>
      <c r="L468" s="47"/>
      <c r="M468" s="76"/>
      <c r="N468" s="76"/>
      <c r="O468" s="78" t="str">
        <f>_xlfn.LET(
    _xlpm.itemBuscado, B468,
    _xlpm.areaBuscada, C468,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TEXT(COUNTIF($C$2:C468, _xlpm.areaBuscada), "0000"),
    _xlpm.codItem &amp; "-" &amp; _xlpm.codArea &amp; "-" &amp; _xlpm.secuencia
)</f>
        <v>-SinArea-0000</v>
      </c>
      <c r="P468" s="77"/>
      <c r="Q468" s="32"/>
      <c r="R468" s="32"/>
      <c r="S468" s="32"/>
      <c r="T468" s="32"/>
    </row>
    <row r="469" spans="3:20" x14ac:dyDescent="0.3">
      <c r="C469" s="11"/>
      <c r="D469" s="32"/>
      <c r="E469" s="11"/>
      <c r="K469" s="15"/>
      <c r="L469" s="47"/>
      <c r="M469" s="76"/>
      <c r="N469" s="76"/>
      <c r="O469" s="78" t="str">
        <f>_xlfn.LET(
    _xlpm.itemBuscado, B469,
    _xlpm.areaBuscada, C469,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TEXT(COUNTIF($C$2:C469, _xlpm.areaBuscada), "0000"),
    _xlpm.codItem &amp; "-" &amp; _xlpm.codArea &amp; "-" &amp; _xlpm.secuencia
)</f>
        <v>-SinArea-0000</v>
      </c>
      <c r="P469" s="77"/>
      <c r="Q469" s="32"/>
      <c r="R469" s="32"/>
      <c r="S469" s="32"/>
      <c r="T469" s="32"/>
    </row>
    <row r="470" spans="3:20" x14ac:dyDescent="0.3">
      <c r="C470" s="11"/>
      <c r="D470" s="32"/>
      <c r="E470" s="11"/>
      <c r="K470" s="15"/>
      <c r="L470" s="47"/>
      <c r="M470" s="76"/>
      <c r="N470" s="76"/>
      <c r="O470" s="78" t="str">
        <f>_xlfn.LET(
    _xlpm.itemBuscado, B470,
    _xlpm.areaBuscada, C470,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TEXT(COUNTIF($C$2:C470, _xlpm.areaBuscada), "0000"),
    _xlpm.codItem &amp; "-" &amp; _xlpm.codArea &amp; "-" &amp; _xlpm.secuencia
)</f>
        <v>-SinArea-0000</v>
      </c>
      <c r="P470" s="77"/>
      <c r="Q470" s="32"/>
      <c r="R470" s="32"/>
      <c r="S470" s="32"/>
      <c r="T470" s="32"/>
    </row>
    <row r="471" spans="3:20" x14ac:dyDescent="0.3">
      <c r="C471" s="11"/>
      <c r="D471" s="32"/>
      <c r="E471" s="11"/>
      <c r="K471" s="15"/>
      <c r="L471" s="47"/>
      <c r="M471" s="76"/>
      <c r="N471" s="76"/>
      <c r="O471" s="78" t="str">
        <f>_xlfn.LET(
    _xlpm.itemBuscado, B471,
    _xlpm.areaBuscada, C471,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TEXT(COUNTIF($C$2:C471, _xlpm.areaBuscada), "0000"),
    _xlpm.codItem &amp; "-" &amp; _xlpm.codArea &amp; "-" &amp; _xlpm.secuencia
)</f>
        <v>-SinArea-0000</v>
      </c>
      <c r="P471" s="77"/>
      <c r="Q471" s="32"/>
      <c r="R471" s="32"/>
      <c r="S471" s="32"/>
      <c r="T471" s="32"/>
    </row>
    <row r="472" spans="3:20" x14ac:dyDescent="0.3">
      <c r="C472" s="11"/>
      <c r="D472" s="32"/>
      <c r="E472" s="11"/>
      <c r="K472" s="15"/>
      <c r="L472" s="47"/>
      <c r="M472" s="76"/>
      <c r="N472" s="76"/>
      <c r="O472" s="78" t="str">
        <f>_xlfn.LET(
    _xlpm.itemBuscado, B472,
    _xlpm.areaBuscada, C472,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TEXT(COUNTIF($C$2:C472, _xlpm.areaBuscada), "0000"),
    _xlpm.codItem &amp; "-" &amp; _xlpm.codArea &amp; "-" &amp; _xlpm.secuencia
)</f>
        <v>-SinArea-0000</v>
      </c>
      <c r="P472" s="77"/>
      <c r="Q472" s="32"/>
      <c r="R472" s="32"/>
      <c r="S472" s="32"/>
      <c r="T472" s="32"/>
    </row>
    <row r="473" spans="3:20" x14ac:dyDescent="0.3">
      <c r="C473" s="11"/>
      <c r="D473" s="32"/>
      <c r="E473" s="11"/>
      <c r="K473" s="15"/>
      <c r="L473" s="47"/>
      <c r="M473" s="76"/>
      <c r="N473" s="76"/>
      <c r="O473" s="78" t="str">
        <f>_xlfn.LET(
    _xlpm.itemBuscado, B473,
    _xlpm.areaBuscada, C473,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TEXT(COUNTIF($C$2:C473, _xlpm.areaBuscada), "0000"),
    _xlpm.codItem &amp; "-" &amp; _xlpm.codArea &amp; "-" &amp; _xlpm.secuencia
)</f>
        <v>-SinArea-0000</v>
      </c>
      <c r="P473" s="77"/>
      <c r="Q473" s="32"/>
      <c r="R473" s="32"/>
      <c r="S473" s="32"/>
      <c r="T473" s="32"/>
    </row>
    <row r="474" spans="3:20" x14ac:dyDescent="0.3">
      <c r="C474" s="11"/>
      <c r="D474" s="32"/>
      <c r="E474" s="11"/>
      <c r="K474" s="15"/>
      <c r="L474" s="47"/>
      <c r="M474" s="76"/>
      <c r="N474" s="76"/>
      <c r="O474" s="78" t="str">
        <f>_xlfn.LET(
    _xlpm.itemBuscado, B474,
    _xlpm.areaBuscada, C474,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TEXT(COUNTIF($C$2:C474, _xlpm.areaBuscada), "0000"),
    _xlpm.codItem &amp; "-" &amp; _xlpm.codArea &amp; "-" &amp; _xlpm.secuencia
)</f>
        <v>-SinArea-0000</v>
      </c>
      <c r="P474" s="77"/>
      <c r="Q474" s="32"/>
      <c r="R474" s="32"/>
      <c r="S474" s="32"/>
      <c r="T474" s="32"/>
    </row>
    <row r="475" spans="3:20" x14ac:dyDescent="0.3">
      <c r="C475" s="11"/>
      <c r="D475" s="32"/>
      <c r="E475" s="11"/>
      <c r="K475" s="15"/>
      <c r="L475" s="47"/>
      <c r="M475" s="76"/>
      <c r="N475" s="76"/>
      <c r="O475" s="78" t="str">
        <f>_xlfn.LET(
    _xlpm.itemBuscado, B475,
    _xlpm.areaBuscada, C475,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TEXT(COUNTIF($C$2:C475, _xlpm.areaBuscada), "0000"),
    _xlpm.codItem &amp; "-" &amp; _xlpm.codArea &amp; "-" &amp; _xlpm.secuencia
)</f>
        <v>-SinArea-0000</v>
      </c>
      <c r="P475" s="77"/>
      <c r="Q475" s="32"/>
      <c r="R475" s="32"/>
      <c r="S475" s="32"/>
      <c r="T475" s="32"/>
    </row>
    <row r="476" spans="3:20" x14ac:dyDescent="0.3">
      <c r="C476" s="11"/>
      <c r="D476" s="32"/>
      <c r="E476" s="11"/>
      <c r="K476" s="15"/>
      <c r="L476" s="47"/>
      <c r="M476" s="76"/>
      <c r="N476" s="76"/>
      <c r="O476" s="78" t="str">
        <f>_xlfn.LET(
    _xlpm.itemBuscado, B476,
    _xlpm.areaBuscada, C476,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TEXT(COUNTIF($C$2:C476, _xlpm.areaBuscada), "0000"),
    _xlpm.codItem &amp; "-" &amp; _xlpm.codArea &amp; "-" &amp; _xlpm.secuencia
)</f>
        <v>-SinArea-0000</v>
      </c>
      <c r="P476" s="77"/>
      <c r="Q476" s="32"/>
      <c r="R476" s="32"/>
      <c r="S476" s="32"/>
      <c r="T476" s="32"/>
    </row>
    <row r="477" spans="3:20" x14ac:dyDescent="0.3">
      <c r="C477" s="11"/>
      <c r="D477" s="32"/>
      <c r="E477" s="11"/>
      <c r="K477" s="15"/>
      <c r="L477" s="47"/>
      <c r="M477" s="76"/>
      <c r="N477" s="76"/>
      <c r="O477" s="78" t="str">
        <f>_xlfn.LET(
    _xlpm.itemBuscado, B477,
    _xlpm.areaBuscada, C477,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TEXT(COUNTIF($C$2:C477, _xlpm.areaBuscada), "0000"),
    _xlpm.codItem &amp; "-" &amp; _xlpm.codArea &amp; "-" &amp; _xlpm.secuencia
)</f>
        <v>-SinArea-0000</v>
      </c>
      <c r="P477" s="77"/>
      <c r="Q477" s="32"/>
      <c r="R477" s="32"/>
      <c r="S477" s="32"/>
      <c r="T477" s="32"/>
    </row>
    <row r="478" spans="3:20" x14ac:dyDescent="0.3">
      <c r="C478" s="11"/>
      <c r="D478" s="32"/>
      <c r="E478" s="11"/>
      <c r="K478" s="15"/>
      <c r="L478" s="47"/>
      <c r="M478" s="76"/>
      <c r="N478" s="76"/>
      <c r="O478" s="78" t="str">
        <f>_xlfn.LET(
    _xlpm.itemBuscado, B478,
    _xlpm.areaBuscada, C478,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TEXT(COUNTIF($C$2:C478, _xlpm.areaBuscada), "0000"),
    _xlpm.codItem &amp; "-" &amp; _xlpm.codArea &amp; "-" &amp; _xlpm.secuencia
)</f>
        <v>-SinArea-0000</v>
      </c>
      <c r="P478" s="77"/>
      <c r="Q478" s="32"/>
      <c r="R478" s="32"/>
      <c r="S478" s="32"/>
      <c r="T478" s="32"/>
    </row>
    <row r="479" spans="3:20" x14ac:dyDescent="0.3">
      <c r="C479" s="11"/>
      <c r="D479" s="32"/>
      <c r="E479" s="11"/>
      <c r="K479" s="15"/>
      <c r="L479" s="47"/>
      <c r="M479" s="76"/>
      <c r="N479" s="76"/>
      <c r="O479" s="78" t="str">
        <f>_xlfn.LET(
    _xlpm.itemBuscado, B479,
    _xlpm.areaBuscada, C479,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TEXT(COUNTIF($C$2:C479, _xlpm.areaBuscada), "0000"),
    _xlpm.codItem &amp; "-" &amp; _xlpm.codArea &amp; "-" &amp; _xlpm.secuencia
)</f>
        <v>-SinArea-0000</v>
      </c>
      <c r="P479" s="77"/>
      <c r="Q479" s="32"/>
      <c r="R479" s="32"/>
      <c r="S479" s="32"/>
      <c r="T479" s="32"/>
    </row>
    <row r="480" spans="3:20" x14ac:dyDescent="0.3">
      <c r="C480" s="11"/>
      <c r="D480" s="32"/>
      <c r="E480" s="11"/>
      <c r="K480" s="15"/>
      <c r="L480" s="47"/>
      <c r="M480" s="76"/>
      <c r="N480" s="76"/>
      <c r="O480" s="78" t="str">
        <f>_xlfn.LET(
    _xlpm.itemBuscado, B480,
    _xlpm.areaBuscada, C480,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TEXT(COUNTIF($C$2:C480, _xlpm.areaBuscada), "0000"),
    _xlpm.codItem &amp; "-" &amp; _xlpm.codArea &amp; "-" &amp; _xlpm.secuencia
)</f>
        <v>-SinArea-0000</v>
      </c>
      <c r="P480" s="77"/>
      <c r="Q480" s="32"/>
      <c r="R480" s="32"/>
      <c r="S480" s="32"/>
      <c r="T480" s="32"/>
    </row>
    <row r="481" spans="3:20" x14ac:dyDescent="0.3">
      <c r="C481" s="11"/>
      <c r="D481" s="32"/>
      <c r="E481" s="11"/>
      <c r="K481" s="15"/>
      <c r="L481" s="47"/>
      <c r="M481" s="76"/>
      <c r="N481" s="76"/>
      <c r="O481" s="78" t="str">
        <f>_xlfn.LET(
    _xlpm.itemBuscado, B481,
    _xlpm.areaBuscada, C481,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TEXT(COUNTIF($C$2:C481, _xlpm.areaBuscada), "0000"),
    _xlpm.codItem &amp; "-" &amp; _xlpm.codArea &amp; "-" &amp; _xlpm.secuencia
)</f>
        <v>-SinArea-0000</v>
      </c>
      <c r="P481" s="77"/>
      <c r="Q481" s="32"/>
      <c r="R481" s="32"/>
      <c r="S481" s="32"/>
      <c r="T481" s="32"/>
    </row>
    <row r="482" spans="3:20" x14ac:dyDescent="0.3">
      <c r="C482" s="11"/>
      <c r="D482" s="32"/>
      <c r="E482" s="11"/>
      <c r="K482" s="15"/>
      <c r="L482" s="47"/>
      <c r="M482" s="76"/>
      <c r="N482" s="76"/>
      <c r="O482" s="78" t="str">
        <f>_xlfn.LET(
    _xlpm.itemBuscado, B482,
    _xlpm.areaBuscada, C482,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TEXT(COUNTIF($C$2:C482, _xlpm.areaBuscada), "0000"),
    _xlpm.codItem &amp; "-" &amp; _xlpm.codArea &amp; "-" &amp; _xlpm.secuencia
)</f>
        <v>-SinArea-0000</v>
      </c>
      <c r="P482" s="77"/>
      <c r="Q482" s="32"/>
      <c r="R482" s="32"/>
      <c r="S482" s="32"/>
      <c r="T482" s="32"/>
    </row>
    <row r="483" spans="3:20" x14ac:dyDescent="0.3">
      <c r="C483" s="11"/>
      <c r="D483" s="32"/>
      <c r="E483" s="11"/>
      <c r="K483" s="15"/>
      <c r="L483" s="47"/>
      <c r="M483" s="76"/>
      <c r="N483" s="76"/>
      <c r="O483" s="78" t="str">
        <f>_xlfn.LET(
    _xlpm.itemBuscado, B483,
    _xlpm.areaBuscada, C483,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TEXT(COUNTIF($C$2:C483, _xlpm.areaBuscada), "0000"),
    _xlpm.codItem &amp; "-" &amp; _xlpm.codArea &amp; "-" &amp; _xlpm.secuencia
)</f>
        <v>-SinArea-0000</v>
      </c>
      <c r="P483" s="77"/>
      <c r="Q483" s="32"/>
      <c r="R483" s="32"/>
      <c r="S483" s="32"/>
      <c r="T483" s="32"/>
    </row>
    <row r="484" spans="3:20" x14ac:dyDescent="0.3">
      <c r="C484" s="11"/>
      <c r="D484" s="32"/>
      <c r="E484" s="11"/>
      <c r="K484" s="15"/>
      <c r="L484" s="47"/>
      <c r="M484" s="76"/>
      <c r="N484" s="76"/>
      <c r="O484" s="78" t="str">
        <f>_xlfn.LET(
    _xlpm.itemBuscado, B484,
    _xlpm.areaBuscada, C484,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TEXT(COUNTIF($C$2:C484, _xlpm.areaBuscada), "0000"),
    _xlpm.codItem &amp; "-" &amp; _xlpm.codArea &amp; "-" &amp; _xlpm.secuencia
)</f>
        <v>-SinArea-0000</v>
      </c>
      <c r="P484" s="77"/>
      <c r="Q484" s="32"/>
      <c r="R484" s="32"/>
      <c r="S484" s="32"/>
      <c r="T484" s="32"/>
    </row>
    <row r="485" spans="3:20" x14ac:dyDescent="0.3">
      <c r="C485" s="11"/>
      <c r="D485" s="32"/>
      <c r="E485" s="11"/>
      <c r="K485" s="15"/>
      <c r="L485" s="47"/>
      <c r="M485" s="76"/>
      <c r="N485" s="76"/>
      <c r="O485" s="78" t="str">
        <f>_xlfn.LET(
    _xlpm.itemBuscado, B485,
    _xlpm.areaBuscada, C485,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TEXT(COUNTIF($C$2:C485, _xlpm.areaBuscada), "0000"),
    _xlpm.codItem &amp; "-" &amp; _xlpm.codArea &amp; "-" &amp; _xlpm.secuencia
)</f>
        <v>-SinArea-0000</v>
      </c>
      <c r="P485" s="77"/>
      <c r="Q485" s="32"/>
      <c r="R485" s="32"/>
      <c r="S485" s="32"/>
      <c r="T485" s="32"/>
    </row>
    <row r="486" spans="3:20" x14ac:dyDescent="0.3">
      <c r="C486" s="11"/>
      <c r="D486" s="32"/>
      <c r="E486" s="11"/>
      <c r="K486" s="15"/>
      <c r="L486" s="47"/>
      <c r="M486" s="76"/>
      <c r="N486" s="76"/>
      <c r="O486" s="78" t="str">
        <f>_xlfn.LET(
    _xlpm.itemBuscado, B486,
    _xlpm.areaBuscada, C486,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TEXT(COUNTIF($C$2:C486, _xlpm.areaBuscada), "0000"),
    _xlpm.codItem &amp; "-" &amp; _xlpm.codArea &amp; "-" &amp; _xlpm.secuencia
)</f>
        <v>-SinArea-0000</v>
      </c>
      <c r="P486" s="77"/>
      <c r="Q486" s="32"/>
      <c r="R486" s="32"/>
      <c r="S486" s="32"/>
      <c r="T486" s="32"/>
    </row>
    <row r="487" spans="3:20" x14ac:dyDescent="0.3">
      <c r="C487" s="11"/>
      <c r="D487" s="32"/>
      <c r="E487" s="11"/>
      <c r="K487" s="15"/>
      <c r="L487" s="47"/>
      <c r="M487" s="76"/>
      <c r="N487" s="76"/>
      <c r="O487" s="78" t="str">
        <f>_xlfn.LET(
    _xlpm.itemBuscado, B487,
    _xlpm.areaBuscada, C487,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TEXT(COUNTIF($C$2:C487, _xlpm.areaBuscada), "0000"),
    _xlpm.codItem &amp; "-" &amp; _xlpm.codArea &amp; "-" &amp; _xlpm.secuencia
)</f>
        <v>-SinArea-0000</v>
      </c>
      <c r="P487" s="77"/>
      <c r="Q487" s="32"/>
      <c r="R487" s="32"/>
      <c r="S487" s="32"/>
      <c r="T487" s="32"/>
    </row>
    <row r="488" spans="3:20" x14ac:dyDescent="0.3">
      <c r="C488" s="11"/>
      <c r="D488" s="32"/>
      <c r="E488" s="11"/>
      <c r="K488" s="15"/>
      <c r="L488" s="47"/>
      <c r="M488" s="76"/>
      <c r="N488" s="76"/>
      <c r="O488" s="78" t="str">
        <f>_xlfn.LET(
    _xlpm.itemBuscado, B488,
    _xlpm.areaBuscada, C488,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TEXT(COUNTIF($C$2:C488, _xlpm.areaBuscada), "0000"),
    _xlpm.codItem &amp; "-" &amp; _xlpm.codArea &amp; "-" &amp; _xlpm.secuencia
)</f>
        <v>-SinArea-0000</v>
      </c>
      <c r="P488" s="77"/>
      <c r="Q488" s="32"/>
      <c r="R488" s="32"/>
      <c r="S488" s="32"/>
      <c r="T488" s="32"/>
    </row>
    <row r="489" spans="3:20" x14ac:dyDescent="0.3">
      <c r="C489" s="11"/>
      <c r="D489" s="32"/>
      <c r="E489" s="11"/>
      <c r="K489" s="15"/>
      <c r="L489" s="47"/>
      <c r="M489" s="76"/>
      <c r="N489" s="76"/>
      <c r="O489" s="78" t="str">
        <f>_xlfn.LET(
    _xlpm.itemBuscado, B489,
    _xlpm.areaBuscada, C489,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TEXT(COUNTIF($C$2:C489, _xlpm.areaBuscada), "0000"),
    _xlpm.codItem &amp; "-" &amp; _xlpm.codArea &amp; "-" &amp; _xlpm.secuencia
)</f>
        <v>-SinArea-0000</v>
      </c>
      <c r="P489" s="77"/>
      <c r="Q489" s="32"/>
      <c r="R489" s="32"/>
      <c r="S489" s="32"/>
      <c r="T489" s="32"/>
    </row>
    <row r="490" spans="3:20" x14ac:dyDescent="0.3">
      <c r="C490" s="11"/>
      <c r="D490" s="32"/>
      <c r="E490" s="11"/>
      <c r="K490" s="15"/>
      <c r="L490" s="47"/>
      <c r="M490" s="76"/>
      <c r="N490" s="76"/>
      <c r="O490" s="78" t="str">
        <f>_xlfn.LET(
    _xlpm.itemBuscado, B490,
    _xlpm.areaBuscada, C490,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TEXT(COUNTIF($C$2:C490, _xlpm.areaBuscada), "0000"),
    _xlpm.codItem &amp; "-" &amp; _xlpm.codArea &amp; "-" &amp; _xlpm.secuencia
)</f>
        <v>-SinArea-0000</v>
      </c>
      <c r="P490" s="77"/>
      <c r="Q490" s="32"/>
      <c r="R490" s="32"/>
      <c r="S490" s="32"/>
      <c r="T490" s="32"/>
    </row>
    <row r="491" spans="3:20" x14ac:dyDescent="0.3">
      <c r="C491" s="11"/>
      <c r="D491" s="32"/>
      <c r="E491" s="11"/>
      <c r="K491" s="15"/>
      <c r="L491" s="47"/>
      <c r="M491" s="76"/>
      <c r="N491" s="76"/>
      <c r="O491" s="78" t="str">
        <f>_xlfn.LET(
    _xlpm.itemBuscado, B491,
    _xlpm.areaBuscada, C491,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TEXT(COUNTIF($C$2:C491, _xlpm.areaBuscada), "0000"),
    _xlpm.codItem &amp; "-" &amp; _xlpm.codArea &amp; "-" &amp; _xlpm.secuencia
)</f>
        <v>-SinArea-0000</v>
      </c>
      <c r="P491" s="77"/>
      <c r="Q491" s="32"/>
      <c r="R491" s="32"/>
      <c r="S491" s="32"/>
      <c r="T491" s="32"/>
    </row>
    <row r="492" spans="3:20" x14ac:dyDescent="0.3">
      <c r="C492" s="11"/>
      <c r="D492" s="32"/>
      <c r="E492" s="11"/>
      <c r="K492" s="15"/>
      <c r="L492" s="47"/>
      <c r="M492" s="76"/>
      <c r="N492" s="76"/>
      <c r="O492" s="78" t="str">
        <f>_xlfn.LET(
    _xlpm.itemBuscado, B492,
    _xlpm.areaBuscada, C492,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TEXT(COUNTIF($C$2:C492, _xlpm.areaBuscada), "0000"),
    _xlpm.codItem &amp; "-" &amp; _xlpm.codArea &amp; "-" &amp; _xlpm.secuencia
)</f>
        <v>-SinArea-0000</v>
      </c>
      <c r="P492" s="77"/>
      <c r="Q492" s="32"/>
      <c r="R492" s="32"/>
      <c r="S492" s="32"/>
      <c r="T492" s="32"/>
    </row>
    <row r="493" spans="3:20" x14ac:dyDescent="0.3">
      <c r="C493" s="11"/>
      <c r="D493" s="32"/>
      <c r="E493" s="11"/>
      <c r="K493" s="15"/>
      <c r="L493" s="47"/>
      <c r="M493" s="76"/>
      <c r="N493" s="76"/>
      <c r="O493" s="78" t="str">
        <f>_xlfn.LET(
    _xlpm.itemBuscado, B493,
    _xlpm.areaBuscada, C493,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TEXT(COUNTIF($C$2:C493, _xlpm.areaBuscada), "0000"),
    _xlpm.codItem &amp; "-" &amp; _xlpm.codArea &amp; "-" &amp; _xlpm.secuencia
)</f>
        <v>-SinArea-0000</v>
      </c>
      <c r="P493" s="77"/>
      <c r="Q493" s="32"/>
      <c r="R493" s="32"/>
      <c r="S493" s="32"/>
      <c r="T493" s="32"/>
    </row>
    <row r="494" spans="3:20" x14ac:dyDescent="0.3">
      <c r="C494" s="11"/>
      <c r="D494" s="32"/>
      <c r="E494" s="11"/>
      <c r="K494" s="15"/>
      <c r="L494" s="47"/>
      <c r="M494" s="76"/>
      <c r="N494" s="76"/>
      <c r="O494" s="78" t="str">
        <f>_xlfn.LET(
    _xlpm.itemBuscado, B494,
    _xlpm.areaBuscada, C494,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TEXT(COUNTIF($C$2:C494, _xlpm.areaBuscada), "0000"),
    _xlpm.codItem &amp; "-" &amp; _xlpm.codArea &amp; "-" &amp; _xlpm.secuencia
)</f>
        <v>-SinArea-0000</v>
      </c>
      <c r="P494" s="77"/>
      <c r="Q494" s="32"/>
      <c r="R494" s="32"/>
      <c r="S494" s="32"/>
      <c r="T494" s="32"/>
    </row>
    <row r="495" spans="3:20" x14ac:dyDescent="0.3">
      <c r="C495" s="11"/>
      <c r="D495" s="32"/>
      <c r="E495" s="11"/>
      <c r="K495" s="15"/>
      <c r="L495" s="47"/>
      <c r="M495" s="76"/>
      <c r="N495" s="76"/>
      <c r="O495" s="78" t="str">
        <f>_xlfn.LET(
    _xlpm.itemBuscado, B495,
    _xlpm.areaBuscada, C495,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TEXT(COUNTIF($C$2:C495, _xlpm.areaBuscada), "0000"),
    _xlpm.codItem &amp; "-" &amp; _xlpm.codArea &amp; "-" &amp; _xlpm.secuencia
)</f>
        <v>-SinArea-0000</v>
      </c>
      <c r="P495" s="77"/>
      <c r="Q495" s="32"/>
      <c r="R495" s="32"/>
      <c r="S495" s="32"/>
      <c r="T495" s="32"/>
    </row>
    <row r="496" spans="3:20" x14ac:dyDescent="0.3">
      <c r="C496" s="11"/>
      <c r="D496" s="32"/>
      <c r="E496" s="11"/>
      <c r="K496" s="15"/>
      <c r="L496" s="47"/>
      <c r="M496" s="76"/>
      <c r="N496" s="76"/>
      <c r="O496" s="78" t="str">
        <f>_xlfn.LET(
    _xlpm.itemBuscado, B496,
    _xlpm.areaBuscada, C496,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TEXT(COUNTIF($C$2:C496, _xlpm.areaBuscada), "0000"),
    _xlpm.codItem &amp; "-" &amp; _xlpm.codArea &amp; "-" &amp; _xlpm.secuencia
)</f>
        <v>-SinArea-0000</v>
      </c>
      <c r="P496" s="77"/>
      <c r="Q496" s="32"/>
      <c r="R496" s="32"/>
      <c r="S496" s="32"/>
      <c r="T496" s="32"/>
    </row>
    <row r="497" spans="3:20" x14ac:dyDescent="0.3">
      <c r="C497" s="11"/>
      <c r="D497" s="32"/>
      <c r="E497" s="11"/>
      <c r="K497" s="15"/>
      <c r="L497" s="47"/>
      <c r="M497" s="76"/>
      <c r="N497" s="76"/>
      <c r="O497" s="78" t="str">
        <f>_xlfn.LET(
    _xlpm.itemBuscado, B497,
    _xlpm.areaBuscada, C497,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TEXT(COUNTIF($C$2:C497, _xlpm.areaBuscada), "0000"),
    _xlpm.codItem &amp; "-" &amp; _xlpm.codArea &amp; "-" &amp; _xlpm.secuencia
)</f>
        <v>-SinArea-0000</v>
      </c>
      <c r="P497" s="77"/>
      <c r="Q497" s="32"/>
      <c r="R497" s="32"/>
      <c r="S497" s="32"/>
      <c r="T497" s="32"/>
    </row>
    <row r="498" spans="3:20" x14ac:dyDescent="0.3">
      <c r="C498" s="11"/>
      <c r="D498" s="32"/>
      <c r="E498" s="11"/>
      <c r="K498" s="15"/>
      <c r="L498" s="47"/>
      <c r="M498" s="76"/>
      <c r="N498" s="76"/>
      <c r="O498" s="78" t="str">
        <f>_xlfn.LET(
    _xlpm.itemBuscado, B498,
    _xlpm.areaBuscada, C498,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TEXT(COUNTIF($C$2:C498, _xlpm.areaBuscada), "0000"),
    _xlpm.codItem &amp; "-" &amp; _xlpm.codArea &amp; "-" &amp; _xlpm.secuencia
)</f>
        <v>-SinArea-0000</v>
      </c>
      <c r="P498" s="77"/>
      <c r="Q498" s="32"/>
      <c r="R498" s="32"/>
      <c r="S498" s="32"/>
      <c r="T498" s="32"/>
    </row>
    <row r="499" spans="3:20" x14ac:dyDescent="0.3">
      <c r="C499" s="11"/>
      <c r="D499" s="32"/>
      <c r="E499" s="11"/>
      <c r="K499" s="15"/>
      <c r="L499" s="47"/>
      <c r="M499" s="76"/>
      <c r="N499" s="76"/>
      <c r="O499" s="78" t="str">
        <f>_xlfn.LET(
    _xlpm.itemBuscado, B499,
    _xlpm.areaBuscada, C499,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TEXT(COUNTIF($C$2:C499, _xlpm.areaBuscada), "0000"),
    _xlpm.codItem &amp; "-" &amp; _xlpm.codArea &amp; "-" &amp; _xlpm.secuencia
)</f>
        <v>-SinArea-0000</v>
      </c>
      <c r="P499" s="77"/>
      <c r="Q499" s="32"/>
      <c r="R499" s="32"/>
      <c r="S499" s="32"/>
      <c r="T499" s="32"/>
    </row>
    <row r="500" spans="3:20" x14ac:dyDescent="0.3">
      <c r="C500" s="11"/>
      <c r="D500" s="32"/>
      <c r="E500" s="11"/>
      <c r="K500" s="15"/>
      <c r="L500" s="47"/>
      <c r="M500" s="76"/>
      <c r="N500" s="76"/>
      <c r="O500" s="78" t="str">
        <f>_xlfn.LET(
    _xlpm.itemBuscado, B500,
    _xlpm.areaBuscada, C500,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TEXT(COUNTIF($C$2:C500, _xlpm.areaBuscada), "0000"),
    _xlpm.codItem &amp; "-" &amp; _xlpm.codArea &amp; "-" &amp; _xlpm.secuencia
)</f>
        <v>-SinArea-0000</v>
      </c>
      <c r="P500" s="77"/>
      <c r="Q500" s="32"/>
      <c r="R500" s="32"/>
      <c r="S500" s="32"/>
      <c r="T500" s="32"/>
    </row>
    <row r="501" spans="3:20" x14ac:dyDescent="0.3">
      <c r="C501" s="11"/>
      <c r="D501" s="32"/>
      <c r="E501" s="11"/>
      <c r="K501" s="15"/>
      <c r="L501" s="47"/>
      <c r="M501" s="76"/>
      <c r="N501" s="76"/>
      <c r="O501" s="78" t="str">
        <f>_xlfn.LET(
    _xlpm.itemBuscado, B501,
    _xlpm.areaBuscada, C501,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TEXT(COUNTIF($C$2:C501, _xlpm.areaBuscada), "0000"),
    _xlpm.codItem &amp; "-" &amp; _xlpm.codArea &amp; "-" &amp; _xlpm.secuencia
)</f>
        <v>-SinArea-0000</v>
      </c>
      <c r="P501" s="77"/>
      <c r="Q501" s="32"/>
      <c r="R501" s="32"/>
      <c r="S501" s="32"/>
      <c r="T501" s="32"/>
    </row>
    <row r="502" spans="3:20" x14ac:dyDescent="0.3">
      <c r="C502" s="11"/>
      <c r="D502" s="32"/>
      <c r="E502" s="11"/>
      <c r="K502" s="15"/>
      <c r="L502" s="47"/>
      <c r="M502" s="76"/>
      <c r="N502" s="76"/>
      <c r="O502" s="78" t="str">
        <f>_xlfn.LET(
    _xlpm.itemBuscado, B502,
    _xlpm.areaBuscada, C502,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TEXT(COUNTIF($C$2:C502, _xlpm.areaBuscada), "0000"),
    _xlpm.codItem &amp; "-" &amp; _xlpm.codArea &amp; "-" &amp; _xlpm.secuencia
)</f>
        <v>-SinArea-0000</v>
      </c>
      <c r="P502" s="77"/>
      <c r="Q502" s="32"/>
      <c r="R502" s="32"/>
      <c r="S502" s="32"/>
      <c r="T502" s="32"/>
    </row>
    <row r="503" spans="3:20" x14ac:dyDescent="0.3">
      <c r="C503" s="11"/>
      <c r="D503" s="32"/>
      <c r="E503" s="11"/>
      <c r="K503" s="15"/>
      <c r="L503" s="47"/>
      <c r="M503" s="76"/>
      <c r="N503" s="76"/>
      <c r="O503" s="78" t="str">
        <f>_xlfn.LET(
    _xlpm.itemBuscado, B503,
    _xlpm.areaBuscada, C503,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TEXT(COUNTIF($C$2:C503, _xlpm.areaBuscada), "0000"),
    _xlpm.codItem &amp; "-" &amp; _xlpm.codArea &amp; "-" &amp; _xlpm.secuencia
)</f>
        <v>-SinArea-0000</v>
      </c>
      <c r="P503" s="77"/>
      <c r="Q503" s="32"/>
      <c r="R503" s="32"/>
      <c r="S503" s="32"/>
      <c r="T503" s="32"/>
    </row>
    <row r="504" spans="3:20" x14ac:dyDescent="0.3">
      <c r="C504" s="11"/>
      <c r="D504" s="32"/>
      <c r="E504" s="11"/>
      <c r="K504" s="15"/>
      <c r="L504" s="47"/>
      <c r="M504" s="76"/>
      <c r="N504" s="76"/>
      <c r="O504" s="78" t="str">
        <f>_xlfn.LET(
    _xlpm.itemBuscado, B504,
    _xlpm.areaBuscada, C504,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TEXT(COUNTIF($C$2:C504, _xlpm.areaBuscada), "0000"),
    _xlpm.codItem &amp; "-" &amp; _xlpm.codArea &amp; "-" &amp; _xlpm.secuencia
)</f>
        <v>-SinArea-0000</v>
      </c>
      <c r="P504" s="77"/>
      <c r="Q504" s="32"/>
      <c r="R504" s="32"/>
      <c r="S504" s="32"/>
      <c r="T504" s="32"/>
    </row>
    <row r="505" spans="3:20" x14ac:dyDescent="0.3">
      <c r="C505" s="11"/>
      <c r="D505" s="32"/>
      <c r="E505" s="11"/>
      <c r="K505" s="15"/>
      <c r="L505" s="47"/>
      <c r="M505" s="76"/>
      <c r="N505" s="76"/>
      <c r="O505" s="78" t="str">
        <f>_xlfn.LET(
    _xlpm.itemBuscado, B505,
    _xlpm.areaBuscada, C505,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TEXT(COUNTIF($C$2:C505, _xlpm.areaBuscada), "0000"),
    _xlpm.codItem &amp; "-" &amp; _xlpm.codArea &amp; "-" &amp; _xlpm.secuencia
)</f>
        <v>-SinArea-0000</v>
      </c>
      <c r="P505" s="77"/>
      <c r="Q505" s="32"/>
      <c r="R505" s="32"/>
      <c r="S505" s="32"/>
      <c r="T505" s="32"/>
    </row>
    <row r="506" spans="3:20" x14ac:dyDescent="0.3">
      <c r="C506" s="11"/>
      <c r="D506" s="32"/>
      <c r="E506" s="11"/>
      <c r="K506" s="15"/>
      <c r="L506" s="47"/>
      <c r="M506" s="76"/>
      <c r="N506" s="76"/>
      <c r="O506" s="78" t="str">
        <f>_xlfn.LET(
    _xlpm.itemBuscado, B506,
    _xlpm.areaBuscada, C506,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TEXT(COUNTIF($C$2:C506, _xlpm.areaBuscada), "0000"),
    _xlpm.codItem &amp; "-" &amp; _xlpm.codArea &amp; "-" &amp; _xlpm.secuencia
)</f>
        <v>-SinArea-0000</v>
      </c>
      <c r="P506" s="77"/>
      <c r="Q506" s="32"/>
      <c r="R506" s="32"/>
      <c r="S506" s="32"/>
      <c r="T506" s="32"/>
    </row>
    <row r="507" spans="3:20" x14ac:dyDescent="0.3">
      <c r="C507" s="11"/>
      <c r="D507" s="32"/>
      <c r="E507" s="11"/>
      <c r="K507" s="15"/>
      <c r="L507" s="47"/>
      <c r="M507" s="76"/>
      <c r="N507" s="76"/>
      <c r="O507" s="78" t="str">
        <f>_xlfn.LET(
    _xlpm.itemBuscado, B507,
    _xlpm.areaBuscada, C507,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TEXT(COUNTIF($C$2:C507, _xlpm.areaBuscada), "0000"),
    _xlpm.codItem &amp; "-" &amp; _xlpm.codArea &amp; "-" &amp; _xlpm.secuencia
)</f>
        <v>-SinArea-0000</v>
      </c>
      <c r="P507" s="77"/>
      <c r="Q507" s="32"/>
      <c r="R507" s="32"/>
      <c r="S507" s="32"/>
      <c r="T507" s="32"/>
    </row>
    <row r="508" spans="3:20" x14ac:dyDescent="0.3">
      <c r="C508" s="11"/>
      <c r="D508" s="32"/>
      <c r="E508" s="11"/>
      <c r="K508" s="15"/>
      <c r="L508" s="47"/>
      <c r="M508" s="76"/>
      <c r="N508" s="76"/>
      <c r="O508" s="78" t="str">
        <f>_xlfn.LET(
    _xlpm.itemBuscado, B508,
    _xlpm.areaBuscada, C508,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TEXT(COUNTIF($C$2:C508, _xlpm.areaBuscada), "0000"),
    _xlpm.codItem &amp; "-" &amp; _xlpm.codArea &amp; "-" &amp; _xlpm.secuencia
)</f>
        <v>-SinArea-0000</v>
      </c>
      <c r="P508" s="77"/>
      <c r="Q508" s="32"/>
      <c r="R508" s="32"/>
      <c r="S508" s="32"/>
      <c r="T508" s="32"/>
    </row>
    <row r="509" spans="3:20" x14ac:dyDescent="0.3">
      <c r="C509" s="11"/>
      <c r="D509" s="32"/>
      <c r="E509" s="11"/>
      <c r="K509" s="15"/>
      <c r="L509" s="47"/>
      <c r="M509" s="76"/>
      <c r="N509" s="76"/>
      <c r="O509" s="78" t="str">
        <f>_xlfn.LET(
    _xlpm.itemBuscado, B509,
    _xlpm.areaBuscada, C509,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TEXT(COUNTIF($C$2:C509, _xlpm.areaBuscada), "0000"),
    _xlpm.codItem &amp; "-" &amp; _xlpm.codArea &amp; "-" &amp; _xlpm.secuencia
)</f>
        <v>-SinArea-0000</v>
      </c>
      <c r="P509" s="77"/>
      <c r="Q509" s="32"/>
      <c r="R509" s="32"/>
      <c r="S509" s="32"/>
      <c r="T509" s="32"/>
    </row>
    <row r="510" spans="3:20" x14ac:dyDescent="0.3">
      <c r="C510" s="11"/>
      <c r="D510" s="32"/>
      <c r="E510" s="11"/>
      <c r="K510" s="15"/>
      <c r="L510" s="47"/>
      <c r="M510" s="76"/>
      <c r="N510" s="76"/>
      <c r="O510" s="78" t="str">
        <f>_xlfn.LET(
    _xlpm.itemBuscado, B510,
    _xlpm.areaBuscada, C510,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TEXT(COUNTIF($C$2:C510, _xlpm.areaBuscada), "0000"),
    _xlpm.codItem &amp; "-" &amp; _xlpm.codArea &amp; "-" &amp; _xlpm.secuencia
)</f>
        <v>-SinArea-0000</v>
      </c>
      <c r="P510" s="77"/>
      <c r="Q510" s="32"/>
      <c r="R510" s="32"/>
      <c r="S510" s="32"/>
      <c r="T510" s="32"/>
    </row>
    <row r="511" spans="3:20" x14ac:dyDescent="0.3">
      <c r="C511" s="11"/>
      <c r="D511" s="32"/>
      <c r="E511" s="11"/>
      <c r="K511" s="15"/>
      <c r="L511" s="47"/>
      <c r="M511" s="76"/>
      <c r="N511" s="76"/>
      <c r="O511" s="78" t="str">
        <f>_xlfn.LET(
    _xlpm.itemBuscado, B511,
    _xlpm.areaBuscada, C511,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TEXT(COUNTIF($C$2:C511, _xlpm.areaBuscada), "0000"),
    _xlpm.codItem &amp; "-" &amp; _xlpm.codArea &amp; "-" &amp; _xlpm.secuencia
)</f>
        <v>-SinArea-0000</v>
      </c>
      <c r="P511" s="77"/>
      <c r="Q511" s="32"/>
      <c r="R511" s="32"/>
      <c r="S511" s="32"/>
      <c r="T511" s="32"/>
    </row>
    <row r="512" spans="3:20" x14ac:dyDescent="0.3">
      <c r="C512" s="11"/>
      <c r="D512" s="32"/>
      <c r="E512" s="11"/>
      <c r="K512" s="15"/>
      <c r="L512" s="47"/>
      <c r="M512" s="76"/>
      <c r="N512" s="76"/>
      <c r="O512" s="78" t="str">
        <f>_xlfn.LET(
    _xlpm.itemBuscado, B512,
    _xlpm.areaBuscada, C512,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TEXT(COUNTIF($C$2:C512, _xlpm.areaBuscada), "0000"),
    _xlpm.codItem &amp; "-" &amp; _xlpm.codArea &amp; "-" &amp; _xlpm.secuencia
)</f>
        <v>-SinArea-0000</v>
      </c>
      <c r="P512" s="77"/>
      <c r="Q512" s="32"/>
      <c r="R512" s="32"/>
      <c r="S512" s="32"/>
      <c r="T512" s="32"/>
    </row>
    <row r="513" spans="3:20" x14ac:dyDescent="0.3">
      <c r="C513" s="11"/>
      <c r="D513" s="32"/>
      <c r="E513" s="11"/>
      <c r="K513" s="15"/>
      <c r="L513" s="47"/>
      <c r="M513" s="76"/>
      <c r="N513" s="76"/>
      <c r="O513" s="78" t="str">
        <f>_xlfn.LET(
    _xlpm.itemBuscado, B513,
    _xlpm.areaBuscada, C513,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TEXT(COUNTIF($C$2:C513, _xlpm.areaBuscada), "0000"),
    _xlpm.codItem &amp; "-" &amp; _xlpm.codArea &amp; "-" &amp; _xlpm.secuencia
)</f>
        <v>-SinArea-0000</v>
      </c>
      <c r="P513" s="77"/>
      <c r="Q513" s="32"/>
      <c r="R513" s="32"/>
      <c r="S513" s="32"/>
      <c r="T513" s="32"/>
    </row>
    <row r="514" spans="3:20" x14ac:dyDescent="0.3">
      <c r="C514" s="11"/>
      <c r="D514" s="32"/>
      <c r="E514" s="11"/>
      <c r="K514" s="15"/>
      <c r="L514" s="47"/>
      <c r="M514" s="76"/>
      <c r="N514" s="76"/>
      <c r="O514" s="78" t="str">
        <f>_xlfn.LET(
    _xlpm.itemBuscado, B514,
    _xlpm.areaBuscada, C514,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TEXT(COUNTIF($C$2:C514, _xlpm.areaBuscada), "0000"),
    _xlpm.codItem &amp; "-" &amp; _xlpm.codArea &amp; "-" &amp; _xlpm.secuencia
)</f>
        <v>-SinArea-0000</v>
      </c>
      <c r="P514" s="77"/>
      <c r="Q514" s="32"/>
      <c r="R514" s="32"/>
      <c r="S514" s="32"/>
      <c r="T514" s="32"/>
    </row>
    <row r="515" spans="3:20" x14ac:dyDescent="0.3">
      <c r="C515" s="11"/>
      <c r="D515" s="32"/>
      <c r="E515" s="11"/>
      <c r="K515" s="15"/>
      <c r="L515" s="47"/>
      <c r="M515" s="76"/>
      <c r="N515" s="76"/>
      <c r="O515" s="78" t="str">
        <f>_xlfn.LET(
    _xlpm.itemBuscado, B515,
    _xlpm.areaBuscada, C515,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TEXT(COUNTIF($C$2:C515, _xlpm.areaBuscada), "0000"),
    _xlpm.codItem &amp; "-" &amp; _xlpm.codArea &amp; "-" &amp; _xlpm.secuencia
)</f>
        <v>-SinArea-0000</v>
      </c>
      <c r="P515" s="77"/>
      <c r="Q515" s="32"/>
      <c r="R515" s="32"/>
      <c r="S515" s="32"/>
      <c r="T515" s="32"/>
    </row>
    <row r="516" spans="3:20" x14ac:dyDescent="0.3">
      <c r="C516" s="11"/>
      <c r="D516" s="32"/>
      <c r="E516" s="11"/>
      <c r="K516" s="15"/>
      <c r="L516" s="47"/>
      <c r="M516" s="76"/>
      <c r="N516" s="76"/>
      <c r="O516" s="78" t="str">
        <f>_xlfn.LET(
    _xlpm.itemBuscado, B516,
    _xlpm.areaBuscada, C516,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TEXT(COUNTIF($C$2:C516, _xlpm.areaBuscada), "0000"),
    _xlpm.codItem &amp; "-" &amp; _xlpm.codArea &amp; "-" &amp; _xlpm.secuencia
)</f>
        <v>-SinArea-0000</v>
      </c>
      <c r="P516" s="77"/>
      <c r="Q516" s="32"/>
      <c r="R516" s="32"/>
      <c r="S516" s="32"/>
      <c r="T516" s="32"/>
    </row>
    <row r="517" spans="3:20" x14ac:dyDescent="0.3">
      <c r="C517" s="11"/>
      <c r="D517" s="32"/>
      <c r="E517" s="11"/>
      <c r="K517" s="15"/>
      <c r="L517" s="47"/>
      <c r="M517" s="76"/>
      <c r="N517" s="76"/>
      <c r="O517" s="78" t="str">
        <f>_xlfn.LET(
    _xlpm.itemBuscado, B517,
    _xlpm.areaBuscada, C517,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TEXT(COUNTIF($C$2:C517, _xlpm.areaBuscada), "0000"),
    _xlpm.codItem &amp; "-" &amp; _xlpm.codArea &amp; "-" &amp; _xlpm.secuencia
)</f>
        <v>-SinArea-0000</v>
      </c>
      <c r="P517" s="77"/>
      <c r="Q517" s="32"/>
      <c r="R517" s="32"/>
      <c r="S517" s="32"/>
      <c r="T517" s="32"/>
    </row>
    <row r="518" spans="3:20" x14ac:dyDescent="0.3">
      <c r="C518" s="11"/>
      <c r="D518" s="32"/>
      <c r="E518" s="11"/>
      <c r="K518" s="15"/>
      <c r="L518" s="47"/>
      <c r="M518" s="76"/>
      <c r="N518" s="76"/>
      <c r="O518" s="78" t="str">
        <f>_xlfn.LET(
    _xlpm.itemBuscado, B518,
    _xlpm.areaBuscada, C518,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TEXT(COUNTIF($C$2:C518, _xlpm.areaBuscada), "0000"),
    _xlpm.codItem &amp; "-" &amp; _xlpm.codArea &amp; "-" &amp; _xlpm.secuencia
)</f>
        <v>-SinArea-0000</v>
      </c>
      <c r="P518" s="77"/>
      <c r="Q518" s="32"/>
      <c r="R518" s="32"/>
      <c r="S518" s="32"/>
      <c r="T518" s="32"/>
    </row>
    <row r="519" spans="3:20" x14ac:dyDescent="0.3">
      <c r="C519" s="11"/>
      <c r="D519" s="32"/>
      <c r="E519" s="11"/>
      <c r="K519" s="15"/>
      <c r="L519" s="47"/>
      <c r="M519" s="76"/>
      <c r="N519" s="76"/>
      <c r="O519" s="78" t="str">
        <f>_xlfn.LET(
    _xlpm.itemBuscado, B519,
    _xlpm.areaBuscada, C519,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TEXT(COUNTIF($C$2:C519, _xlpm.areaBuscada), "0000"),
    _xlpm.codItem &amp; "-" &amp; _xlpm.codArea &amp; "-" &amp; _xlpm.secuencia
)</f>
        <v>-SinArea-0000</v>
      </c>
      <c r="P519" s="77"/>
      <c r="Q519" s="32"/>
      <c r="R519" s="32"/>
      <c r="S519" s="32"/>
      <c r="T519" s="32"/>
    </row>
    <row r="520" spans="3:20" x14ac:dyDescent="0.3">
      <c r="C520" s="11"/>
      <c r="D520" s="32"/>
      <c r="E520" s="11"/>
      <c r="K520" s="15"/>
      <c r="L520" s="47"/>
      <c r="M520" s="76"/>
      <c r="N520" s="76"/>
      <c r="O520" s="78" t="str">
        <f>_xlfn.LET(
    _xlpm.itemBuscado, B520,
    _xlpm.areaBuscada, C520,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TEXT(COUNTIF($C$2:C520, _xlpm.areaBuscada), "0000"),
    _xlpm.codItem &amp; "-" &amp; _xlpm.codArea &amp; "-" &amp; _xlpm.secuencia
)</f>
        <v>-SinArea-0000</v>
      </c>
      <c r="P520" s="77"/>
      <c r="Q520" s="32"/>
      <c r="R520" s="32"/>
      <c r="S520" s="32"/>
      <c r="T520" s="32"/>
    </row>
    <row r="521" spans="3:20" x14ac:dyDescent="0.3">
      <c r="C521" s="11"/>
      <c r="D521" s="32"/>
      <c r="E521" s="11"/>
      <c r="K521" s="15"/>
      <c r="L521" s="47"/>
      <c r="M521" s="76"/>
      <c r="N521" s="76"/>
      <c r="O521" s="78" t="str">
        <f>_xlfn.LET(
    _xlpm.itemBuscado, B521,
    _xlpm.areaBuscada, C521,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TEXT(COUNTIF($C$2:C521, _xlpm.areaBuscada), "0000"),
    _xlpm.codItem &amp; "-" &amp; _xlpm.codArea &amp; "-" &amp; _xlpm.secuencia
)</f>
        <v>-SinArea-0000</v>
      </c>
      <c r="P521" s="77"/>
      <c r="Q521" s="32"/>
      <c r="R521" s="32"/>
      <c r="S521" s="32"/>
      <c r="T521" s="32"/>
    </row>
    <row r="522" spans="3:20" x14ac:dyDescent="0.3">
      <c r="C522" s="11"/>
      <c r="D522" s="32"/>
      <c r="E522" s="11"/>
      <c r="K522" s="15"/>
      <c r="L522" s="47"/>
      <c r="M522" s="76"/>
      <c r="N522" s="76"/>
      <c r="O522" s="78" t="str">
        <f>_xlfn.LET(
    _xlpm.itemBuscado, B522,
    _xlpm.areaBuscada, C522,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TEXT(COUNTIF($C$2:C522, _xlpm.areaBuscada), "0000"),
    _xlpm.codItem &amp; "-" &amp; _xlpm.codArea &amp; "-" &amp; _xlpm.secuencia
)</f>
        <v>-SinArea-0000</v>
      </c>
      <c r="P522" s="77"/>
      <c r="Q522" s="32"/>
      <c r="R522" s="32"/>
      <c r="S522" s="32"/>
      <c r="T522" s="32"/>
    </row>
    <row r="523" spans="3:20" x14ac:dyDescent="0.3">
      <c r="C523" s="11"/>
      <c r="D523" s="32"/>
      <c r="E523" s="11"/>
      <c r="K523" s="15"/>
      <c r="L523" s="47"/>
      <c r="M523" s="76"/>
      <c r="N523" s="76"/>
      <c r="O523" s="78" t="str">
        <f>_xlfn.LET(
    _xlpm.itemBuscado, B523,
    _xlpm.areaBuscada, C523,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TEXT(COUNTIF($C$2:C523, _xlpm.areaBuscada), "0000"),
    _xlpm.codItem &amp; "-" &amp; _xlpm.codArea &amp; "-" &amp; _xlpm.secuencia
)</f>
        <v>-SinArea-0000</v>
      </c>
      <c r="P523" s="77"/>
      <c r="Q523" s="32"/>
      <c r="R523" s="32"/>
      <c r="S523" s="32"/>
      <c r="T523" s="32"/>
    </row>
    <row r="524" spans="3:20" x14ac:dyDescent="0.3">
      <c r="C524" s="11"/>
      <c r="D524" s="32"/>
      <c r="E524" s="11"/>
      <c r="K524" s="15"/>
      <c r="L524" s="47"/>
      <c r="M524" s="76"/>
      <c r="N524" s="76"/>
      <c r="O524" s="78" t="str">
        <f>_xlfn.LET(
    _xlpm.itemBuscado, B524,
    _xlpm.areaBuscada, C524,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TEXT(COUNTIF($C$2:C524, _xlpm.areaBuscada), "0000"),
    _xlpm.codItem &amp; "-" &amp; _xlpm.codArea &amp; "-" &amp; _xlpm.secuencia
)</f>
        <v>-SinArea-0000</v>
      </c>
      <c r="P524" s="77"/>
      <c r="Q524" s="32"/>
      <c r="R524" s="32"/>
      <c r="S524" s="32"/>
      <c r="T524" s="32"/>
    </row>
    <row r="525" spans="3:20" x14ac:dyDescent="0.3">
      <c r="C525" s="11"/>
      <c r="D525" s="32"/>
      <c r="E525" s="11"/>
      <c r="K525" s="15"/>
      <c r="L525" s="47"/>
      <c r="M525" s="76"/>
      <c r="N525" s="76"/>
      <c r="O525" s="78" t="str">
        <f>_xlfn.LET(
    _xlpm.itemBuscado, B525,
    _xlpm.areaBuscada, C525,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TEXT(COUNTIF($C$2:C525, _xlpm.areaBuscada), "0000"),
    _xlpm.codItem &amp; "-" &amp; _xlpm.codArea &amp; "-" &amp; _xlpm.secuencia
)</f>
        <v>-SinArea-0000</v>
      </c>
      <c r="P525" s="77"/>
      <c r="Q525" s="32"/>
      <c r="R525" s="32"/>
      <c r="S525" s="32"/>
      <c r="T525" s="32"/>
    </row>
    <row r="526" spans="3:20" x14ac:dyDescent="0.3">
      <c r="C526" s="11"/>
      <c r="D526" s="32"/>
      <c r="E526" s="11"/>
      <c r="K526" s="15"/>
      <c r="L526" s="47"/>
      <c r="M526" s="76"/>
      <c r="N526" s="76"/>
      <c r="O526" s="78" t="str">
        <f>_xlfn.LET(
    _xlpm.itemBuscado, B526,
    _xlpm.areaBuscada, C526,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TEXT(COUNTIF($C$2:C526, _xlpm.areaBuscada), "0000"),
    _xlpm.codItem &amp; "-" &amp; _xlpm.codArea &amp; "-" &amp; _xlpm.secuencia
)</f>
        <v>-SinArea-0000</v>
      </c>
      <c r="P526" s="77"/>
      <c r="Q526" s="32"/>
      <c r="R526" s="32"/>
      <c r="S526" s="32"/>
      <c r="T526" s="32"/>
    </row>
    <row r="527" spans="3:20" x14ac:dyDescent="0.3">
      <c r="C527" s="11"/>
      <c r="D527" s="32"/>
      <c r="E527" s="11"/>
      <c r="K527" s="15"/>
      <c r="L527" s="47"/>
      <c r="M527" s="76"/>
      <c r="N527" s="76"/>
      <c r="O527" s="78" t="str">
        <f>_xlfn.LET(
    _xlpm.itemBuscado, B527,
    _xlpm.areaBuscada, C527,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TEXT(COUNTIF($C$2:C527, _xlpm.areaBuscada), "0000"),
    _xlpm.codItem &amp; "-" &amp; _xlpm.codArea &amp; "-" &amp; _xlpm.secuencia
)</f>
        <v>-SinArea-0000</v>
      </c>
      <c r="P527" s="77"/>
      <c r="Q527" s="32"/>
      <c r="R527" s="32"/>
      <c r="S527" s="32"/>
      <c r="T527" s="32"/>
    </row>
    <row r="528" spans="3:20" x14ac:dyDescent="0.3">
      <c r="C528" s="11"/>
      <c r="D528" s="32"/>
      <c r="E528" s="11"/>
      <c r="K528" s="15"/>
      <c r="L528" s="47"/>
      <c r="M528" s="76"/>
      <c r="N528" s="76"/>
      <c r="O528" s="78" t="str">
        <f>_xlfn.LET(
    _xlpm.itemBuscado, B528,
    _xlpm.areaBuscada, C528,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TEXT(COUNTIF($C$2:C528, _xlpm.areaBuscada), "0000"),
    _xlpm.codItem &amp; "-" &amp; _xlpm.codArea &amp; "-" &amp; _xlpm.secuencia
)</f>
        <v>-SinArea-0000</v>
      </c>
      <c r="P528" s="77"/>
      <c r="Q528" s="32"/>
      <c r="R528" s="32"/>
      <c r="S528" s="32"/>
      <c r="T528" s="32"/>
    </row>
    <row r="529" spans="3:20" x14ac:dyDescent="0.3">
      <c r="C529" s="11"/>
      <c r="D529" s="32"/>
      <c r="E529" s="11"/>
      <c r="K529" s="15"/>
      <c r="L529" s="47"/>
      <c r="M529" s="76"/>
      <c r="N529" s="76"/>
      <c r="O529" s="78" t="str">
        <f>_xlfn.LET(
    _xlpm.itemBuscado, B529,
    _xlpm.areaBuscada, C529,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TEXT(COUNTIF($C$2:C529, _xlpm.areaBuscada), "0000"),
    _xlpm.codItem &amp; "-" &amp; _xlpm.codArea &amp; "-" &amp; _xlpm.secuencia
)</f>
        <v>-SinArea-0000</v>
      </c>
      <c r="P529" s="77"/>
      <c r="Q529" s="32"/>
      <c r="R529" s="32"/>
      <c r="S529" s="32"/>
      <c r="T529" s="32"/>
    </row>
    <row r="530" spans="3:20" x14ac:dyDescent="0.3">
      <c r="C530" s="11"/>
      <c r="D530" s="32"/>
      <c r="E530" s="11"/>
      <c r="K530" s="15"/>
      <c r="L530" s="47"/>
      <c r="M530" s="76"/>
      <c r="N530" s="76"/>
      <c r="O530" s="78" t="str">
        <f>_xlfn.LET(
    _xlpm.itemBuscado, B530,
    _xlpm.areaBuscada, C530,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TEXT(COUNTIF($C$2:C530, _xlpm.areaBuscada), "0000"),
    _xlpm.codItem &amp; "-" &amp; _xlpm.codArea &amp; "-" &amp; _xlpm.secuencia
)</f>
        <v>-SinArea-0000</v>
      </c>
      <c r="P530" s="77"/>
      <c r="Q530" s="32"/>
      <c r="R530" s="32"/>
      <c r="S530" s="32"/>
      <c r="T530" s="32"/>
    </row>
    <row r="531" spans="3:20" x14ac:dyDescent="0.3">
      <c r="C531" s="11"/>
      <c r="D531" s="32"/>
      <c r="E531" s="11"/>
      <c r="K531" s="15"/>
      <c r="L531" s="47"/>
      <c r="M531" s="76"/>
      <c r="N531" s="76"/>
      <c r="O531" s="78" t="str">
        <f>_xlfn.LET(
    _xlpm.itemBuscado, B531,
    _xlpm.areaBuscada, C531,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TEXT(COUNTIF($C$2:C531, _xlpm.areaBuscada), "0000"),
    _xlpm.codItem &amp; "-" &amp; _xlpm.codArea &amp; "-" &amp; _xlpm.secuencia
)</f>
        <v>-SinArea-0000</v>
      </c>
      <c r="P531" s="77"/>
      <c r="Q531" s="32"/>
      <c r="R531" s="32"/>
      <c r="S531" s="32"/>
      <c r="T531" s="32"/>
    </row>
    <row r="532" spans="3:20" x14ac:dyDescent="0.3">
      <c r="C532" s="11"/>
      <c r="D532" s="32"/>
      <c r="E532" s="11"/>
      <c r="K532" s="15"/>
      <c r="L532" s="47"/>
      <c r="M532" s="76"/>
      <c r="N532" s="76"/>
      <c r="O532" s="78" t="str">
        <f>_xlfn.LET(
    _xlpm.itemBuscado, B532,
    _xlpm.areaBuscada, C532,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TEXT(COUNTIF($C$2:C532, _xlpm.areaBuscada), "0000"),
    _xlpm.codItem &amp; "-" &amp; _xlpm.codArea &amp; "-" &amp; _xlpm.secuencia
)</f>
        <v>-SinArea-0000</v>
      </c>
      <c r="P532" s="77"/>
      <c r="Q532" s="32"/>
      <c r="R532" s="32"/>
      <c r="S532" s="32"/>
      <c r="T532" s="32"/>
    </row>
    <row r="533" spans="3:20" x14ac:dyDescent="0.3">
      <c r="C533" s="11"/>
      <c r="D533" s="32"/>
      <c r="E533" s="11"/>
      <c r="K533" s="15"/>
      <c r="L533" s="47"/>
      <c r="M533" s="76"/>
      <c r="N533" s="76"/>
      <c r="O533" s="78" t="str">
        <f>_xlfn.LET(
    _xlpm.itemBuscado, B533,
    _xlpm.areaBuscada, C533,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TEXT(COUNTIF($C$2:C533, _xlpm.areaBuscada), "0000"),
    _xlpm.codItem &amp; "-" &amp; _xlpm.codArea &amp; "-" &amp; _xlpm.secuencia
)</f>
        <v>-SinArea-0000</v>
      </c>
      <c r="P533" s="77"/>
      <c r="Q533" s="32"/>
      <c r="R533" s="32"/>
      <c r="S533" s="32"/>
      <c r="T533" s="32"/>
    </row>
    <row r="534" spans="3:20" x14ac:dyDescent="0.3">
      <c r="C534" s="11"/>
      <c r="D534" s="32"/>
      <c r="E534" s="11"/>
      <c r="K534" s="15"/>
      <c r="L534" s="78"/>
      <c r="M534" s="76"/>
      <c r="N534" s="76"/>
      <c r="O534" s="78" t="str">
        <f>_xlfn.LET(
    _xlpm.itemBuscado, B534,
    _xlpm.areaBuscada, C534,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TEXT(COUNTIF($C$2:C534, _xlpm.areaBuscada), "0000"),
    _xlpm.codItem &amp; "-" &amp; _xlpm.codArea &amp; "-" &amp; _xlpm.secuencia
)</f>
        <v>-SinArea-0000</v>
      </c>
      <c r="P534" s="77"/>
      <c r="Q534" s="32"/>
      <c r="R534" s="32"/>
      <c r="S534" s="32"/>
      <c r="T534" s="32"/>
    </row>
    <row r="535" spans="3:20" x14ac:dyDescent="0.3">
      <c r="C535" s="11"/>
      <c r="D535" s="32"/>
      <c r="E535" s="11"/>
      <c r="K535" s="15"/>
      <c r="L535" s="47"/>
      <c r="M535" s="76"/>
      <c r="N535" s="76"/>
      <c r="O535" s="78" t="str">
        <f>_xlfn.LET(
    _xlpm.itemBuscado, B535,
    _xlpm.areaBuscada, C535,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TEXT(COUNTIF($C$2:C535, _xlpm.areaBuscada), "0000"),
    _xlpm.codItem &amp; "-" &amp; _xlpm.codArea &amp; "-" &amp; _xlpm.secuencia
)</f>
        <v>-SinArea-0000</v>
      </c>
      <c r="P535" s="77"/>
      <c r="Q535" s="32"/>
      <c r="R535" s="32"/>
      <c r="S535" s="32"/>
      <c r="T535" s="32"/>
    </row>
    <row r="536" spans="3:20" x14ac:dyDescent="0.3">
      <c r="C536" s="11"/>
      <c r="D536" s="32"/>
      <c r="E536" s="11"/>
      <c r="K536" s="15"/>
      <c r="L536" s="47"/>
      <c r="M536" s="76"/>
      <c r="N536" s="76"/>
      <c r="O536" s="78" t="str">
        <f>_xlfn.LET(
    _xlpm.itemBuscado, B536,
    _xlpm.areaBuscada, C536,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TEXT(COUNTIF($C$2:C536, _xlpm.areaBuscada), "0000"),
    _xlpm.codItem &amp; "-" &amp; _xlpm.codArea &amp; "-" &amp; _xlpm.secuencia
)</f>
        <v>-SinArea-0000</v>
      </c>
      <c r="P536" s="77"/>
      <c r="Q536" s="32"/>
      <c r="R536" s="32"/>
      <c r="S536" s="32"/>
      <c r="T536" s="32"/>
    </row>
    <row r="537" spans="3:20" x14ac:dyDescent="0.3">
      <c r="C537" s="11"/>
      <c r="D537" s="32"/>
      <c r="E537" s="11"/>
      <c r="K537" s="15"/>
      <c r="L537" s="47"/>
      <c r="M537" s="76"/>
      <c r="N537" s="76"/>
      <c r="O537" s="78" t="str">
        <f>_xlfn.LET(
    _xlpm.itemBuscado, B537,
    _xlpm.areaBuscada, C537,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TEXT(COUNTIF($C$2:C537, _xlpm.areaBuscada), "0000"),
    _xlpm.codItem &amp; "-" &amp; _xlpm.codArea &amp; "-" &amp; _xlpm.secuencia
)</f>
        <v>-SinArea-0000</v>
      </c>
      <c r="P537" s="77"/>
      <c r="Q537" s="32"/>
      <c r="R537" s="32"/>
      <c r="S537" s="32"/>
      <c r="T537" s="32"/>
    </row>
    <row r="538" spans="3:20" x14ac:dyDescent="0.3">
      <c r="C538" s="11"/>
      <c r="D538" s="32"/>
      <c r="E538" s="11"/>
      <c r="K538" s="15"/>
      <c r="L538" s="47"/>
      <c r="M538" s="76"/>
      <c r="N538" s="76"/>
      <c r="O538" s="78" t="str">
        <f>_xlfn.LET(
    _xlpm.itemBuscado, B538,
    _xlpm.areaBuscada, C538,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TEXT(COUNTIF($C$2:C538, _xlpm.areaBuscada), "0000"),
    _xlpm.codItem &amp; "-" &amp; _xlpm.codArea &amp; "-" &amp; _xlpm.secuencia
)</f>
        <v>-SinArea-0000</v>
      </c>
      <c r="P538" s="77"/>
      <c r="Q538" s="32"/>
      <c r="R538" s="32"/>
      <c r="S538" s="32"/>
      <c r="T538" s="32"/>
    </row>
    <row r="539" spans="3:20" x14ac:dyDescent="0.3">
      <c r="C539" s="11"/>
      <c r="D539" s="32"/>
      <c r="E539" s="11"/>
      <c r="K539" s="15"/>
      <c r="L539" s="47"/>
      <c r="M539" s="76"/>
      <c r="N539" s="76"/>
      <c r="O539" s="78" t="str">
        <f>_xlfn.LET(
    _xlpm.itemBuscado, B539,
    _xlpm.areaBuscada, C539,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TEXT(COUNTIF($C$2:C539, _xlpm.areaBuscada), "0000"),
    _xlpm.codItem &amp; "-" &amp; _xlpm.codArea &amp; "-" &amp; _xlpm.secuencia
)</f>
        <v>-SinArea-0000</v>
      </c>
      <c r="P539" s="77"/>
      <c r="Q539" s="32"/>
      <c r="R539" s="32"/>
      <c r="S539" s="32"/>
      <c r="T539" s="32"/>
    </row>
    <row r="540" spans="3:20" x14ac:dyDescent="0.3">
      <c r="C540" s="11"/>
      <c r="D540" s="32"/>
      <c r="E540" s="11"/>
      <c r="K540" s="15"/>
      <c r="L540" s="47"/>
      <c r="M540" s="76"/>
      <c r="N540" s="76"/>
      <c r="O540" s="78" t="str">
        <f>_xlfn.LET(
    _xlpm.itemBuscado, B540,
    _xlpm.areaBuscada, C540,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TEXT(COUNTIF($C$2:C540, _xlpm.areaBuscada), "0000"),
    _xlpm.codItem &amp; "-" &amp; _xlpm.codArea &amp; "-" &amp; _xlpm.secuencia
)</f>
        <v>-SinArea-0000</v>
      </c>
      <c r="P540" s="77"/>
      <c r="Q540" s="32"/>
      <c r="R540" s="32"/>
      <c r="S540" s="32"/>
      <c r="T540" s="32"/>
    </row>
    <row r="541" spans="3:20" x14ac:dyDescent="0.3">
      <c r="C541" s="11"/>
      <c r="D541" s="32"/>
      <c r="E541" s="11"/>
      <c r="K541" s="15"/>
      <c r="L541" s="47"/>
      <c r="M541" s="76"/>
      <c r="N541" s="76"/>
      <c r="O541" s="78" t="str">
        <f>_xlfn.LET(
    _xlpm.itemBuscado, B541,
    _xlpm.areaBuscada, C541,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TEXT(COUNTIF($C$2:C541, _xlpm.areaBuscada), "0000"),
    _xlpm.codItem &amp; "-" &amp; _xlpm.codArea &amp; "-" &amp; _xlpm.secuencia
)</f>
        <v>-SinArea-0000</v>
      </c>
      <c r="P541" s="77"/>
      <c r="Q541" s="32"/>
      <c r="R541" s="32"/>
      <c r="S541" s="32"/>
      <c r="T541" s="32"/>
    </row>
    <row r="542" spans="3:20" x14ac:dyDescent="0.3">
      <c r="C542" s="11"/>
      <c r="D542" s="32"/>
      <c r="E542" s="11"/>
      <c r="K542" s="15"/>
      <c r="L542" s="47"/>
      <c r="M542" s="76"/>
      <c r="N542" s="76"/>
      <c r="O542" s="78" t="str">
        <f>_xlfn.LET(
    _xlpm.itemBuscado, B542,
    _xlpm.areaBuscada, C542,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TEXT(COUNTIF($C$2:C542, _xlpm.areaBuscada), "0000"),
    _xlpm.codItem &amp; "-" &amp; _xlpm.codArea &amp; "-" &amp; _xlpm.secuencia
)</f>
        <v>-SinArea-0000</v>
      </c>
      <c r="P542" s="77"/>
      <c r="Q542" s="32"/>
      <c r="R542" s="32"/>
      <c r="S542" s="32"/>
      <c r="T542" s="32"/>
    </row>
    <row r="543" spans="3:20" x14ac:dyDescent="0.3">
      <c r="C543" s="11"/>
      <c r="D543" s="32"/>
      <c r="E543" s="11"/>
      <c r="K543" s="15"/>
      <c r="L543" s="47"/>
      <c r="M543" s="76"/>
      <c r="N543" s="76"/>
      <c r="O543" s="78" t="str">
        <f>_xlfn.LET(
    _xlpm.itemBuscado, B543,
    _xlpm.areaBuscada, C543,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TEXT(COUNTIF($C$2:C543, _xlpm.areaBuscada), "0000"),
    _xlpm.codItem &amp; "-" &amp; _xlpm.codArea &amp; "-" &amp; _xlpm.secuencia
)</f>
        <v>-SinArea-0000</v>
      </c>
      <c r="P543" s="77"/>
      <c r="Q543" s="32"/>
      <c r="R543" s="32"/>
      <c r="S543" s="32"/>
      <c r="T543" s="32"/>
    </row>
    <row r="544" spans="3:20" x14ac:dyDescent="0.3">
      <c r="C544" s="11"/>
      <c r="D544" s="32"/>
      <c r="E544" s="11"/>
      <c r="K544" s="15"/>
      <c r="L544" s="47"/>
      <c r="M544" s="76"/>
      <c r="N544" s="76"/>
      <c r="O544" s="78" t="str">
        <f>_xlfn.LET(
    _xlpm.itemBuscado, B544,
    _xlpm.areaBuscada, C544,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TEXT(COUNTIF($C$2:C544, _xlpm.areaBuscada), "0000"),
    _xlpm.codItem &amp; "-" &amp; _xlpm.codArea &amp; "-" &amp; _xlpm.secuencia
)</f>
        <v>-SinArea-0000</v>
      </c>
      <c r="P544" s="77"/>
      <c r="Q544" s="32"/>
      <c r="R544" s="32"/>
      <c r="S544" s="32"/>
      <c r="T544" s="32"/>
    </row>
    <row r="545" spans="3:20" x14ac:dyDescent="0.3">
      <c r="C545" s="11"/>
      <c r="D545" s="32"/>
      <c r="E545" s="11"/>
      <c r="K545" s="15"/>
      <c r="L545" s="47"/>
      <c r="M545" s="76"/>
      <c r="N545" s="76"/>
      <c r="O545" s="78" t="str">
        <f>_xlfn.LET(
    _xlpm.itemBuscado, B545,
    _xlpm.areaBuscada, C545,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TEXT(COUNTIF($C$2:C545, _xlpm.areaBuscada), "0000"),
    _xlpm.codItem &amp; "-" &amp; _xlpm.codArea &amp; "-" &amp; _xlpm.secuencia
)</f>
        <v>-SinArea-0000</v>
      </c>
      <c r="P545" s="77"/>
      <c r="Q545" s="32"/>
      <c r="R545" s="32"/>
      <c r="S545" s="32"/>
      <c r="T545" s="32"/>
    </row>
    <row r="546" spans="3:20" x14ac:dyDescent="0.3">
      <c r="C546" s="11"/>
      <c r="D546" s="32"/>
      <c r="E546" s="11"/>
      <c r="K546" s="15"/>
      <c r="L546" s="47"/>
      <c r="M546" s="76"/>
      <c r="N546" s="76"/>
      <c r="O546" s="78" t="str">
        <f>_xlfn.LET(
    _xlpm.itemBuscado, B546,
    _xlpm.areaBuscada, C546,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TEXT(COUNTIF($C$2:C546, _xlpm.areaBuscada), "0000"),
    _xlpm.codItem &amp; "-" &amp; _xlpm.codArea &amp; "-" &amp; _xlpm.secuencia
)</f>
        <v>-SinArea-0000</v>
      </c>
      <c r="P546" s="77"/>
      <c r="Q546" s="32"/>
      <c r="R546" s="32"/>
      <c r="S546" s="32"/>
      <c r="T546" s="32"/>
    </row>
    <row r="547" spans="3:20" x14ac:dyDescent="0.3">
      <c r="C547" s="11"/>
      <c r="D547" s="32"/>
      <c r="E547" s="11"/>
      <c r="K547" s="15"/>
      <c r="L547" s="47"/>
      <c r="M547" s="76"/>
      <c r="N547" s="76"/>
      <c r="O547" s="78" t="str">
        <f>_xlfn.LET(
    _xlpm.itemBuscado, B547,
    _xlpm.areaBuscada, C547,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TEXT(COUNTIF($C$2:C547, _xlpm.areaBuscada), "0000"),
    _xlpm.codItem &amp; "-" &amp; _xlpm.codArea &amp; "-" &amp; _xlpm.secuencia
)</f>
        <v>-SinArea-0000</v>
      </c>
      <c r="P547" s="77"/>
      <c r="Q547" s="32"/>
      <c r="R547" s="32"/>
      <c r="S547" s="32"/>
      <c r="T547" s="32"/>
    </row>
    <row r="548" spans="3:20" x14ac:dyDescent="0.3">
      <c r="C548" s="11"/>
      <c r="D548" s="32"/>
      <c r="E548" s="11"/>
      <c r="K548" s="15"/>
      <c r="L548" s="47"/>
      <c r="M548" s="76"/>
      <c r="N548" s="76"/>
      <c r="O548" s="78" t="str">
        <f>_xlfn.LET(
    _xlpm.itemBuscado, B548,
    _xlpm.areaBuscada, C548,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TEXT(COUNTIF($C$2:C548, _xlpm.areaBuscada), "0000"),
    _xlpm.codItem &amp; "-" &amp; _xlpm.codArea &amp; "-" &amp; _xlpm.secuencia
)</f>
        <v>-SinArea-0000</v>
      </c>
      <c r="P548" s="77"/>
      <c r="Q548" s="32"/>
      <c r="R548" s="32"/>
      <c r="S548" s="32"/>
      <c r="T548" s="32"/>
    </row>
    <row r="549" spans="3:20" x14ac:dyDescent="0.3">
      <c r="C549" s="11"/>
      <c r="D549" s="32"/>
      <c r="E549" s="11"/>
      <c r="K549" s="15"/>
      <c r="L549" s="47"/>
      <c r="M549" s="76"/>
      <c r="N549" s="76"/>
      <c r="O549" s="78" t="str">
        <f>_xlfn.LET(
    _xlpm.itemBuscado, B549,
    _xlpm.areaBuscada, C549,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TEXT(COUNTIF($C$2:C549, _xlpm.areaBuscada), "0000"),
    _xlpm.codItem &amp; "-" &amp; _xlpm.codArea &amp; "-" &amp; _xlpm.secuencia
)</f>
        <v>-SinArea-0000</v>
      </c>
      <c r="P549" s="77"/>
      <c r="Q549" s="32"/>
      <c r="R549" s="32"/>
      <c r="S549" s="32"/>
      <c r="T549" s="32"/>
    </row>
    <row r="550" spans="3:20" x14ac:dyDescent="0.3">
      <c r="C550" s="11"/>
      <c r="D550" s="32"/>
      <c r="E550" s="11"/>
      <c r="K550" s="15"/>
      <c r="L550" s="47"/>
      <c r="M550" s="76"/>
      <c r="N550" s="76"/>
      <c r="O550" s="78" t="str">
        <f>_xlfn.LET(
    _xlpm.itemBuscado, B550,
    _xlpm.areaBuscada, C550,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TEXT(COUNTIF($C$2:C550, _xlpm.areaBuscada), "0000"),
    _xlpm.codItem &amp; "-" &amp; _xlpm.codArea &amp; "-" &amp; _xlpm.secuencia
)</f>
        <v>-SinArea-0000</v>
      </c>
      <c r="P550" s="77"/>
      <c r="Q550" s="32"/>
      <c r="R550" s="32"/>
      <c r="S550" s="32"/>
      <c r="T550" s="32"/>
    </row>
    <row r="551" spans="3:20" x14ac:dyDescent="0.3">
      <c r="C551" s="11"/>
      <c r="D551" s="32"/>
      <c r="E551" s="11"/>
      <c r="K551" s="15"/>
      <c r="L551" s="47"/>
      <c r="M551" s="76"/>
      <c r="N551" s="76"/>
      <c r="O551" s="78" t="str">
        <f>_xlfn.LET(
    _xlpm.itemBuscado, B551,
    _xlpm.areaBuscada, C551,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TEXT(COUNTIF($C$2:C551, _xlpm.areaBuscada), "0000"),
    _xlpm.codItem &amp; "-" &amp; _xlpm.codArea &amp; "-" &amp; _xlpm.secuencia
)</f>
        <v>-SinArea-0000</v>
      </c>
      <c r="P551" s="77"/>
      <c r="Q551" s="32"/>
      <c r="R551" s="32"/>
      <c r="S551" s="32"/>
      <c r="T551" s="32"/>
    </row>
    <row r="552" spans="3:20" x14ac:dyDescent="0.3">
      <c r="C552" s="11"/>
      <c r="D552" s="32"/>
      <c r="E552" s="11"/>
      <c r="K552" s="15"/>
      <c r="L552" s="47"/>
      <c r="M552" s="76"/>
      <c r="N552" s="76"/>
      <c r="O552" s="78" t="str">
        <f>_xlfn.LET(
    _xlpm.itemBuscado, B552,
    _xlpm.areaBuscada, C552,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TEXT(COUNTIF($C$2:C552, _xlpm.areaBuscada), "0000"),
    _xlpm.codItem &amp; "-" &amp; _xlpm.codArea &amp; "-" &amp; _xlpm.secuencia
)</f>
        <v>-SinArea-0000</v>
      </c>
      <c r="P552" s="77"/>
      <c r="Q552" s="32"/>
      <c r="R552" s="32"/>
      <c r="S552" s="32"/>
      <c r="T552" s="32"/>
    </row>
    <row r="553" spans="3:20" x14ac:dyDescent="0.3">
      <c r="C553" s="11"/>
      <c r="D553" s="32"/>
      <c r="E553" s="11"/>
      <c r="K553" s="15"/>
      <c r="L553" s="47"/>
      <c r="M553" s="76"/>
      <c r="N553" s="76"/>
      <c r="O553" s="78" t="str">
        <f>_xlfn.LET(
    _xlpm.itemBuscado, B553,
    _xlpm.areaBuscada, C553,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TEXT(COUNTIF($C$2:C553, _xlpm.areaBuscada), "0000"),
    _xlpm.codItem &amp; "-" &amp; _xlpm.codArea &amp; "-" &amp; _xlpm.secuencia
)</f>
        <v>-SinArea-0000</v>
      </c>
      <c r="P553" s="77"/>
      <c r="Q553" s="32"/>
      <c r="R553" s="32"/>
      <c r="S553" s="32"/>
      <c r="T553" s="32"/>
    </row>
    <row r="554" spans="3:20" x14ac:dyDescent="0.3">
      <c r="C554" s="11"/>
      <c r="D554" s="32"/>
      <c r="E554" s="11"/>
      <c r="K554" s="15"/>
      <c r="L554" s="47"/>
      <c r="M554" s="76"/>
      <c r="N554" s="76"/>
      <c r="O554" s="78" t="str">
        <f>_xlfn.LET(
    _xlpm.itemBuscado, B554,
    _xlpm.areaBuscada, C554,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TEXT(COUNTIF($C$2:C554, _xlpm.areaBuscada), "0000"),
    _xlpm.codItem &amp; "-" &amp; _xlpm.codArea &amp; "-" &amp; _xlpm.secuencia
)</f>
        <v>-SinArea-0000</v>
      </c>
      <c r="P554" s="77"/>
      <c r="Q554" s="32"/>
      <c r="R554" s="32"/>
      <c r="S554" s="32"/>
      <c r="T554" s="32"/>
    </row>
    <row r="555" spans="3:20" x14ac:dyDescent="0.3">
      <c r="C555" s="11"/>
      <c r="D555" s="32"/>
      <c r="E555" s="11"/>
      <c r="K555" s="15"/>
      <c r="L555" s="47"/>
      <c r="M555" s="76"/>
      <c r="N555" s="76"/>
      <c r="O555" s="78" t="str">
        <f>_xlfn.LET(
    _xlpm.itemBuscado, B555,
    _xlpm.areaBuscada, C555,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TEXT(COUNTIF($C$2:C555, _xlpm.areaBuscada), "0000"),
    _xlpm.codItem &amp; "-" &amp; _xlpm.codArea &amp; "-" &amp; _xlpm.secuencia
)</f>
        <v>-SinArea-0000</v>
      </c>
      <c r="P555" s="77"/>
      <c r="Q555" s="32"/>
      <c r="R555" s="32"/>
      <c r="S555" s="32"/>
      <c r="T555" s="32"/>
    </row>
    <row r="556" spans="3:20" x14ac:dyDescent="0.3">
      <c r="C556" s="11"/>
      <c r="D556" s="32"/>
      <c r="E556" s="11"/>
      <c r="K556" s="15"/>
      <c r="L556" s="47"/>
      <c r="M556" s="76"/>
      <c r="N556" s="76"/>
      <c r="O556" s="78" t="str">
        <f>_xlfn.LET(
    _xlpm.itemBuscado, B556,
    _xlpm.areaBuscada, C556,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TEXT(COUNTIF($C$2:C556, _xlpm.areaBuscada), "0000"),
    _xlpm.codItem &amp; "-" &amp; _xlpm.codArea &amp; "-" &amp; _xlpm.secuencia
)</f>
        <v>-SinArea-0000</v>
      </c>
      <c r="P556" s="77"/>
      <c r="Q556" s="32"/>
      <c r="R556" s="32"/>
      <c r="S556" s="32"/>
      <c r="T556" s="32"/>
    </row>
    <row r="557" spans="3:20" x14ac:dyDescent="0.3">
      <c r="C557" s="11"/>
      <c r="D557" s="32"/>
      <c r="E557" s="11"/>
      <c r="K557" s="15"/>
      <c r="L557" s="47"/>
      <c r="M557" s="76"/>
      <c r="N557" s="76"/>
      <c r="O557" s="78" t="str">
        <f>_xlfn.LET(
    _xlpm.itemBuscado, B557,
    _xlpm.areaBuscada, C557,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TEXT(COUNTIF($C$2:C557, _xlpm.areaBuscada), "0000"),
    _xlpm.codItem &amp; "-" &amp; _xlpm.codArea &amp; "-" &amp; _xlpm.secuencia
)</f>
        <v>-SinArea-0000</v>
      </c>
      <c r="P557" s="77"/>
      <c r="Q557" s="32"/>
      <c r="R557" s="32"/>
      <c r="S557" s="32"/>
      <c r="T557" s="32"/>
    </row>
    <row r="558" spans="3:20" x14ac:dyDescent="0.3">
      <c r="C558" s="11"/>
      <c r="D558" s="32"/>
      <c r="E558" s="11"/>
      <c r="K558" s="15"/>
      <c r="L558" s="47"/>
      <c r="M558" s="76"/>
      <c r="N558" s="76"/>
      <c r="O558" s="78" t="str">
        <f>_xlfn.LET(
    _xlpm.itemBuscado, B558,
    _xlpm.areaBuscada, C558,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TEXT(COUNTIF($C$2:C558, _xlpm.areaBuscada), "0000"),
    _xlpm.codItem &amp; "-" &amp; _xlpm.codArea &amp; "-" &amp; _xlpm.secuencia
)</f>
        <v>-SinArea-0000</v>
      </c>
      <c r="P558" s="77"/>
      <c r="Q558" s="32"/>
      <c r="R558" s="32"/>
      <c r="S558" s="32"/>
      <c r="T558" s="32"/>
    </row>
    <row r="559" spans="3:20" x14ac:dyDescent="0.3">
      <c r="C559" s="11"/>
      <c r="D559" s="32"/>
      <c r="E559" s="11"/>
      <c r="K559" s="15"/>
      <c r="L559" s="47"/>
      <c r="M559" s="76"/>
      <c r="N559" s="76"/>
      <c r="O559" s="78" t="str">
        <f>_xlfn.LET(
    _xlpm.itemBuscado, B559,
    _xlpm.areaBuscada, C559,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TEXT(COUNTIF($C$2:C559, _xlpm.areaBuscada), "0000"),
    _xlpm.codItem &amp; "-" &amp; _xlpm.codArea &amp; "-" &amp; _xlpm.secuencia
)</f>
        <v>-SinArea-0000</v>
      </c>
      <c r="P559" s="77"/>
      <c r="Q559" s="32"/>
      <c r="R559" s="32"/>
      <c r="S559" s="32"/>
      <c r="T559" s="32"/>
    </row>
    <row r="560" spans="3:20" x14ac:dyDescent="0.3">
      <c r="C560" s="11"/>
      <c r="D560" s="32"/>
      <c r="E560" s="11"/>
      <c r="K560" s="15"/>
      <c r="L560" s="47"/>
      <c r="M560" s="76"/>
      <c r="N560" s="76"/>
      <c r="O560" s="78" t="str">
        <f>_xlfn.LET(
    _xlpm.itemBuscado, B560,
    _xlpm.areaBuscada, C560,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TEXT(COUNTIF($C$2:C560, _xlpm.areaBuscada), "0000"),
    _xlpm.codItem &amp; "-" &amp; _xlpm.codArea &amp; "-" &amp; _xlpm.secuencia
)</f>
        <v>-SinArea-0000</v>
      </c>
      <c r="P560" s="77"/>
      <c r="Q560" s="32"/>
      <c r="R560" s="32"/>
      <c r="S560" s="32"/>
      <c r="T560" s="32"/>
    </row>
    <row r="561" spans="3:20" x14ac:dyDescent="0.3">
      <c r="C561" s="11"/>
      <c r="D561" s="32"/>
      <c r="E561" s="11"/>
      <c r="K561" s="15"/>
      <c r="L561" s="47"/>
      <c r="M561" s="76"/>
      <c r="N561" s="76"/>
      <c r="O561" s="78" t="str">
        <f>_xlfn.LET(
    _xlpm.itemBuscado, B561,
    _xlpm.areaBuscada, C561,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TEXT(COUNTIF($C$2:C561, _xlpm.areaBuscada), "0000"),
    _xlpm.codItem &amp; "-" &amp; _xlpm.codArea &amp; "-" &amp; _xlpm.secuencia
)</f>
        <v>-SinArea-0000</v>
      </c>
      <c r="P561" s="77"/>
      <c r="Q561" s="32"/>
      <c r="R561" s="32"/>
      <c r="S561" s="32"/>
      <c r="T561" s="32"/>
    </row>
    <row r="562" spans="3:20" x14ac:dyDescent="0.3">
      <c r="C562" s="11"/>
      <c r="D562" s="32"/>
      <c r="E562" s="11"/>
      <c r="K562" s="15"/>
      <c r="L562" s="47"/>
      <c r="M562" s="76"/>
      <c r="N562" s="76"/>
      <c r="O562" s="78" t="str">
        <f>_xlfn.LET(
    _xlpm.itemBuscado, B562,
    _xlpm.areaBuscada, C562,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TEXT(COUNTIF($C$2:C562, _xlpm.areaBuscada), "0000"),
    _xlpm.codItem &amp; "-" &amp; _xlpm.codArea &amp; "-" &amp; _xlpm.secuencia
)</f>
        <v>-SinArea-0000</v>
      </c>
      <c r="P562" s="77"/>
      <c r="Q562" s="32"/>
      <c r="R562" s="32"/>
      <c r="S562" s="32"/>
      <c r="T562" s="32"/>
    </row>
    <row r="563" spans="3:20" x14ac:dyDescent="0.3">
      <c r="C563" s="11"/>
      <c r="D563" s="32"/>
      <c r="E563" s="11"/>
      <c r="K563" s="15"/>
      <c r="L563" s="47"/>
      <c r="M563" s="76"/>
      <c r="N563" s="76"/>
      <c r="O563" s="78" t="str">
        <f>_xlfn.LET(
    _xlpm.itemBuscado, B563,
    _xlpm.areaBuscada, C563,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TEXT(COUNTIF($C$2:C563, _xlpm.areaBuscada), "0000"),
    _xlpm.codItem &amp; "-" &amp; _xlpm.codArea &amp; "-" &amp; _xlpm.secuencia
)</f>
        <v>-SinArea-0000</v>
      </c>
      <c r="P563" s="77"/>
      <c r="Q563" s="32"/>
      <c r="R563" s="32"/>
      <c r="S563" s="32"/>
      <c r="T563" s="32"/>
    </row>
    <row r="564" spans="3:20" x14ac:dyDescent="0.3">
      <c r="C564" s="11"/>
      <c r="D564" s="32"/>
      <c r="E564" s="11"/>
      <c r="K564" s="15"/>
      <c r="L564" s="47"/>
      <c r="M564" s="76"/>
      <c r="N564" s="76"/>
      <c r="O564" s="78" t="str">
        <f>_xlfn.LET(
    _xlpm.itemBuscado, B564,
    _xlpm.areaBuscada, C564,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TEXT(COUNTIF($C$2:C564, _xlpm.areaBuscada), "0000"),
    _xlpm.codItem &amp; "-" &amp; _xlpm.codArea &amp; "-" &amp; _xlpm.secuencia
)</f>
        <v>-SinArea-0000</v>
      </c>
      <c r="P564" s="77"/>
      <c r="Q564" s="32"/>
      <c r="R564" s="32"/>
      <c r="S564" s="32"/>
      <c r="T564" s="32"/>
    </row>
    <row r="565" spans="3:20" x14ac:dyDescent="0.3">
      <c r="C565" s="11"/>
      <c r="D565" s="32"/>
      <c r="E565" s="11"/>
      <c r="K565" s="15"/>
      <c r="L565" s="47"/>
      <c r="M565" s="76"/>
      <c r="N565" s="76"/>
      <c r="O565" s="78" t="str">
        <f>_xlfn.LET(
    _xlpm.itemBuscado, B565,
    _xlpm.areaBuscada, C565,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TEXT(COUNTIF($C$2:C565, _xlpm.areaBuscada), "0000"),
    _xlpm.codItem &amp; "-" &amp; _xlpm.codArea &amp; "-" &amp; _xlpm.secuencia
)</f>
        <v>-SinArea-0000</v>
      </c>
      <c r="P565" s="77"/>
      <c r="Q565" s="32"/>
      <c r="R565" s="32"/>
      <c r="S565" s="32"/>
      <c r="T565" s="32"/>
    </row>
    <row r="566" spans="3:20" x14ac:dyDescent="0.3">
      <c r="C566" s="11"/>
      <c r="D566" s="32"/>
      <c r="E566" s="11"/>
      <c r="K566" s="15"/>
      <c r="L566" s="47"/>
      <c r="M566" s="76"/>
      <c r="N566" s="76"/>
      <c r="O566" s="78" t="str">
        <f>_xlfn.LET(
    _xlpm.itemBuscado, B566,
    _xlpm.areaBuscada, C566,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TEXT(COUNTIF($C$2:C566, _xlpm.areaBuscada), "0000"),
    _xlpm.codItem &amp; "-" &amp; _xlpm.codArea &amp; "-" &amp; _xlpm.secuencia
)</f>
        <v>-SinArea-0000</v>
      </c>
      <c r="P566" s="77"/>
      <c r="Q566" s="32"/>
      <c r="R566" s="32"/>
      <c r="S566" s="32"/>
      <c r="T566" s="32"/>
    </row>
    <row r="567" spans="3:20" x14ac:dyDescent="0.3">
      <c r="C567" s="11"/>
      <c r="D567" s="32"/>
      <c r="E567" s="11"/>
      <c r="K567" s="15"/>
      <c r="L567" s="47"/>
      <c r="M567" s="76"/>
      <c r="N567" s="76"/>
      <c r="O567" s="78" t="str">
        <f>_xlfn.LET(
    _xlpm.itemBuscado, B567,
    _xlpm.areaBuscada, C567,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TEXT(COUNTIF($C$2:C567, _xlpm.areaBuscada), "0000"),
    _xlpm.codItem &amp; "-" &amp; _xlpm.codArea &amp; "-" &amp; _xlpm.secuencia
)</f>
        <v>-SinArea-0000</v>
      </c>
      <c r="P567" s="77"/>
      <c r="Q567" s="32"/>
      <c r="R567" s="32"/>
      <c r="S567" s="32"/>
      <c r="T567" s="32"/>
    </row>
    <row r="568" spans="3:20" x14ac:dyDescent="0.3">
      <c r="C568" s="11"/>
      <c r="D568" s="32"/>
      <c r="E568" s="11"/>
      <c r="K568" s="15"/>
      <c r="L568" s="47"/>
      <c r="M568" s="76"/>
      <c r="N568" s="76"/>
      <c r="O568" s="78" t="str">
        <f>_xlfn.LET(
    _xlpm.itemBuscado, B568,
    _xlpm.areaBuscada, C568,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TEXT(COUNTIF($C$2:C568, _xlpm.areaBuscada), "0000"),
    _xlpm.codItem &amp; "-" &amp; _xlpm.codArea &amp; "-" &amp; _xlpm.secuencia
)</f>
        <v>-SinArea-0000</v>
      </c>
      <c r="P568" s="77"/>
      <c r="Q568" s="32"/>
      <c r="R568" s="32"/>
      <c r="S568" s="32"/>
      <c r="T568" s="32"/>
    </row>
    <row r="569" spans="3:20" x14ac:dyDescent="0.3">
      <c r="C569" s="11"/>
      <c r="D569" s="32"/>
      <c r="E569" s="11"/>
      <c r="K569" s="15"/>
      <c r="L569" s="47"/>
      <c r="M569" s="76"/>
      <c r="N569" s="76"/>
      <c r="O569" s="78" t="str">
        <f>_xlfn.LET(
    _xlpm.itemBuscado, B569,
    _xlpm.areaBuscada, C569,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TEXT(COUNTIF($C$2:C569, _xlpm.areaBuscada), "0000"),
    _xlpm.codItem &amp; "-" &amp; _xlpm.codArea &amp; "-" &amp; _xlpm.secuencia
)</f>
        <v>-SinArea-0000</v>
      </c>
      <c r="P569" s="77"/>
      <c r="Q569" s="32"/>
      <c r="R569" s="32"/>
      <c r="S569" s="32"/>
      <c r="T569" s="32"/>
    </row>
    <row r="570" spans="3:20" x14ac:dyDescent="0.3">
      <c r="C570" s="11"/>
      <c r="D570" s="32"/>
      <c r="E570" s="11"/>
      <c r="K570" s="15"/>
      <c r="L570" s="47"/>
      <c r="M570" s="76"/>
      <c r="N570" s="76"/>
      <c r="O570" s="78" t="str">
        <f>_xlfn.LET(
    _xlpm.itemBuscado, B570,
    _xlpm.areaBuscada, C570,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TEXT(COUNTIF($C$2:C570, _xlpm.areaBuscada), "0000"),
    _xlpm.codItem &amp; "-" &amp; _xlpm.codArea &amp; "-" &amp; _xlpm.secuencia
)</f>
        <v>-SinArea-0000</v>
      </c>
      <c r="P570" s="77"/>
      <c r="Q570" s="32"/>
      <c r="R570" s="32"/>
      <c r="S570" s="32"/>
      <c r="T570" s="32"/>
    </row>
    <row r="571" spans="3:20" x14ac:dyDescent="0.3">
      <c r="C571" s="11"/>
      <c r="D571" s="32"/>
      <c r="E571" s="11"/>
      <c r="K571" s="15"/>
      <c r="L571" s="47"/>
      <c r="M571" s="76"/>
      <c r="N571" s="76"/>
      <c r="O571" s="78" t="str">
        <f>_xlfn.LET(
    _xlpm.itemBuscado, B571,
    _xlpm.areaBuscada, C571,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TEXT(COUNTIF($C$2:C571, _xlpm.areaBuscada), "0000"),
    _xlpm.codItem &amp; "-" &amp; _xlpm.codArea &amp; "-" &amp; _xlpm.secuencia
)</f>
        <v>-SinArea-0000</v>
      </c>
      <c r="P571" s="77"/>
      <c r="Q571" s="32"/>
      <c r="R571" s="32"/>
      <c r="S571" s="32"/>
      <c r="T571" s="32"/>
    </row>
    <row r="572" spans="3:20" x14ac:dyDescent="0.3">
      <c r="C572" s="11"/>
      <c r="D572" s="32"/>
      <c r="E572" s="11"/>
      <c r="K572" s="15"/>
      <c r="L572" s="47"/>
      <c r="M572" s="76"/>
      <c r="N572" s="76"/>
      <c r="O572" s="78" t="str">
        <f>_xlfn.LET(
    _xlpm.itemBuscado, B572,
    _xlpm.areaBuscada, C572,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TEXT(COUNTIF($C$2:C572, _xlpm.areaBuscada), "0000"),
    _xlpm.codItem &amp; "-" &amp; _xlpm.codArea &amp; "-" &amp; _xlpm.secuencia
)</f>
        <v>-SinArea-0000</v>
      </c>
      <c r="P572" s="77"/>
      <c r="Q572" s="32"/>
      <c r="R572" s="32"/>
      <c r="S572" s="32"/>
      <c r="T572" s="32"/>
    </row>
    <row r="573" spans="3:20" x14ac:dyDescent="0.3">
      <c r="C573" s="11"/>
      <c r="D573" s="32"/>
      <c r="E573" s="11"/>
      <c r="K573" s="15"/>
      <c r="L573" s="47"/>
      <c r="M573" s="76"/>
      <c r="N573" s="76"/>
      <c r="O573" s="78" t="str">
        <f>_xlfn.LET(
    _xlpm.itemBuscado, B573,
    _xlpm.areaBuscada, C573,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TEXT(COUNTIF($C$2:C573, _xlpm.areaBuscada), "0000"),
    _xlpm.codItem &amp; "-" &amp; _xlpm.codArea &amp; "-" &amp; _xlpm.secuencia
)</f>
        <v>-SinArea-0000</v>
      </c>
      <c r="P573" s="77"/>
      <c r="Q573" s="32"/>
      <c r="R573" s="32"/>
      <c r="S573" s="32"/>
      <c r="T573" s="32"/>
    </row>
    <row r="574" spans="3:20" x14ac:dyDescent="0.3">
      <c r="C574" s="11"/>
      <c r="D574" s="32"/>
      <c r="E574" s="11"/>
      <c r="K574" s="15"/>
      <c r="L574" s="47"/>
      <c r="M574" s="76"/>
      <c r="N574" s="76"/>
      <c r="O574" s="78" t="str">
        <f>_xlfn.LET(
    _xlpm.itemBuscado, B574,
    _xlpm.areaBuscada, C574,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TEXT(COUNTIF($C$2:C574, _xlpm.areaBuscada), "0000"),
    _xlpm.codItem &amp; "-" &amp; _xlpm.codArea &amp; "-" &amp; _xlpm.secuencia
)</f>
        <v>-SinArea-0000</v>
      </c>
      <c r="P574" s="77"/>
      <c r="Q574" s="32"/>
      <c r="R574" s="32"/>
      <c r="S574" s="32"/>
      <c r="T574" s="32"/>
    </row>
    <row r="575" spans="3:20" x14ac:dyDescent="0.3">
      <c r="C575" s="11"/>
      <c r="D575" s="32"/>
      <c r="E575" s="11"/>
      <c r="K575" s="15"/>
      <c r="L575" s="47"/>
      <c r="M575" s="76"/>
      <c r="N575" s="76"/>
      <c r="O575" s="78" t="str">
        <f>_xlfn.LET(
    _xlpm.itemBuscado, B575,
    _xlpm.areaBuscada, C575,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TEXT(COUNTIF($C$2:C575, _xlpm.areaBuscada), "0000"),
    _xlpm.codItem &amp; "-" &amp; _xlpm.codArea &amp; "-" &amp; _xlpm.secuencia
)</f>
        <v>-SinArea-0000</v>
      </c>
      <c r="P575" s="77"/>
      <c r="Q575" s="32"/>
      <c r="R575" s="32"/>
      <c r="S575" s="32"/>
      <c r="T575" s="32"/>
    </row>
    <row r="576" spans="3:20" x14ac:dyDescent="0.3">
      <c r="C576" s="11"/>
      <c r="D576" s="32"/>
      <c r="E576" s="11"/>
      <c r="K576" s="15"/>
      <c r="L576" s="47"/>
      <c r="M576" s="76"/>
      <c r="N576" s="76"/>
      <c r="O576" s="78" t="str">
        <f>_xlfn.LET(
    _xlpm.itemBuscado, B576,
    _xlpm.areaBuscada, C576,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TEXT(COUNTIF($C$2:C576, _xlpm.areaBuscada), "0000"),
    _xlpm.codItem &amp; "-" &amp; _xlpm.codArea &amp; "-" &amp; _xlpm.secuencia
)</f>
        <v>-SinArea-0000</v>
      </c>
      <c r="P576" s="77"/>
      <c r="Q576" s="32"/>
      <c r="R576" s="32"/>
      <c r="S576" s="32"/>
      <c r="T576" s="32"/>
    </row>
    <row r="577" spans="3:20" x14ac:dyDescent="0.3">
      <c r="C577" s="11"/>
      <c r="D577" s="32"/>
      <c r="E577" s="11"/>
      <c r="K577" s="15"/>
      <c r="L577" s="47"/>
      <c r="M577" s="76"/>
      <c r="N577" s="76"/>
      <c r="O577" s="78" t="str">
        <f>_xlfn.LET(
    _xlpm.itemBuscado, B577,
    _xlpm.areaBuscada, C577,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TEXT(COUNTIF($C$2:C577, _xlpm.areaBuscada), "0000"),
    _xlpm.codItem &amp; "-" &amp; _xlpm.codArea &amp; "-" &amp; _xlpm.secuencia
)</f>
        <v>-SinArea-0000</v>
      </c>
      <c r="P577" s="77"/>
      <c r="Q577" s="32"/>
      <c r="R577" s="32"/>
      <c r="S577" s="32"/>
      <c r="T577" s="32"/>
    </row>
    <row r="578" spans="3:20" x14ac:dyDescent="0.3">
      <c r="C578" s="11"/>
      <c r="D578" s="32"/>
      <c r="E578" s="11"/>
      <c r="K578" s="15"/>
      <c r="L578" s="47"/>
      <c r="M578" s="76"/>
      <c r="N578" s="76"/>
      <c r="O578" s="78" t="str">
        <f>_xlfn.LET(
    _xlpm.itemBuscado, B578,
    _xlpm.areaBuscada, C578,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TEXT(COUNTIF($C$2:C578, _xlpm.areaBuscada), "0000"),
    _xlpm.codItem &amp; "-" &amp; _xlpm.codArea &amp; "-" &amp; _xlpm.secuencia
)</f>
        <v>-SinArea-0000</v>
      </c>
      <c r="P578" s="77"/>
      <c r="Q578" s="32"/>
      <c r="R578" s="32"/>
      <c r="S578" s="32"/>
      <c r="T578" s="32"/>
    </row>
    <row r="579" spans="3:20" x14ac:dyDescent="0.3">
      <c r="C579" s="11"/>
      <c r="D579" s="32"/>
      <c r="E579" s="11"/>
      <c r="K579" s="15"/>
      <c r="L579" s="47"/>
      <c r="M579" s="76"/>
      <c r="N579" s="76"/>
      <c r="O579" s="78" t="str">
        <f>_xlfn.LET(
    _xlpm.itemBuscado, B579,
    _xlpm.areaBuscada, C579,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TEXT(COUNTIF($C$2:C579, _xlpm.areaBuscada), "0000"),
    _xlpm.codItem &amp; "-" &amp; _xlpm.codArea &amp; "-" &amp; _xlpm.secuencia
)</f>
        <v>-SinArea-0000</v>
      </c>
      <c r="P579" s="77"/>
      <c r="Q579" s="32"/>
      <c r="R579" s="32"/>
      <c r="S579" s="32"/>
      <c r="T579" s="32"/>
    </row>
    <row r="580" spans="3:20" x14ac:dyDescent="0.3">
      <c r="C580" s="11"/>
      <c r="D580" s="32"/>
      <c r="E580" s="11"/>
      <c r="K580" s="15"/>
      <c r="L580" s="47"/>
      <c r="M580" s="76"/>
      <c r="N580" s="76"/>
      <c r="O580" s="78" t="str">
        <f>_xlfn.LET(
    _xlpm.itemBuscado, B580,
    _xlpm.areaBuscada, C580,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TEXT(COUNTIF($C$2:C580, _xlpm.areaBuscada), "0000"),
    _xlpm.codItem &amp; "-" &amp; _xlpm.codArea &amp; "-" &amp; _xlpm.secuencia
)</f>
        <v>-SinArea-0000</v>
      </c>
      <c r="P580" s="77"/>
      <c r="Q580" s="32"/>
      <c r="R580" s="32"/>
      <c r="S580" s="32"/>
      <c r="T580" s="32"/>
    </row>
    <row r="581" spans="3:20" x14ac:dyDescent="0.3">
      <c r="C581" s="11"/>
      <c r="D581" s="32"/>
      <c r="E581" s="11"/>
      <c r="K581" s="15"/>
      <c r="L581" s="47"/>
      <c r="M581" s="76"/>
      <c r="N581" s="76"/>
      <c r="O581" s="78" t="str">
        <f>_xlfn.LET(
    _xlpm.itemBuscado, B581,
    _xlpm.areaBuscada, C581,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TEXT(COUNTIF($C$2:C581, _xlpm.areaBuscada), "0000"),
    _xlpm.codItem &amp; "-" &amp; _xlpm.codArea &amp; "-" &amp; _xlpm.secuencia
)</f>
        <v>-SinArea-0000</v>
      </c>
      <c r="P581" s="77"/>
      <c r="Q581" s="32"/>
      <c r="R581" s="32"/>
      <c r="S581" s="32"/>
      <c r="T581" s="32"/>
    </row>
    <row r="582" spans="3:20" x14ac:dyDescent="0.3">
      <c r="C582" s="11"/>
      <c r="D582" s="32"/>
      <c r="E582" s="11"/>
      <c r="K582" s="15"/>
      <c r="L582" s="47"/>
      <c r="M582" s="76"/>
      <c r="N582" s="76"/>
      <c r="O582" s="78" t="str">
        <f>_xlfn.LET(
    _xlpm.itemBuscado, B582,
    _xlpm.areaBuscada, C582,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TEXT(COUNTIF($C$2:C582, _xlpm.areaBuscada), "0000"),
    _xlpm.codItem &amp; "-" &amp; _xlpm.codArea &amp; "-" &amp; _xlpm.secuencia
)</f>
        <v>-SinArea-0000</v>
      </c>
      <c r="P582" s="77"/>
      <c r="Q582" s="32"/>
      <c r="R582" s="32"/>
      <c r="S582" s="32"/>
      <c r="T582" s="32"/>
    </row>
    <row r="583" spans="3:20" x14ac:dyDescent="0.3">
      <c r="C583" s="11"/>
      <c r="D583" s="32"/>
      <c r="E583" s="11"/>
      <c r="K583" s="15"/>
      <c r="L583" s="47"/>
      <c r="M583" s="76"/>
      <c r="N583" s="76"/>
      <c r="O583" s="78" t="str">
        <f>_xlfn.LET(
    _xlpm.itemBuscado, B583,
    _xlpm.areaBuscada, C583,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TEXT(COUNTIF($C$2:C583, _xlpm.areaBuscada), "0000"),
    _xlpm.codItem &amp; "-" &amp; _xlpm.codArea &amp; "-" &amp; _xlpm.secuencia
)</f>
        <v>-SinArea-0000</v>
      </c>
      <c r="P583" s="77"/>
      <c r="Q583" s="32"/>
      <c r="R583" s="32"/>
      <c r="S583" s="32"/>
      <c r="T583" s="32"/>
    </row>
    <row r="584" spans="3:20" x14ac:dyDescent="0.3">
      <c r="C584" s="11"/>
      <c r="D584" s="32"/>
      <c r="E584" s="11"/>
      <c r="K584" s="15"/>
      <c r="L584" s="47"/>
      <c r="M584" s="76"/>
      <c r="N584" s="76"/>
      <c r="O584" s="78" t="str">
        <f>_xlfn.LET(
    _xlpm.itemBuscado, B584,
    _xlpm.areaBuscada, C584,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TEXT(COUNTIF($C$2:C584, _xlpm.areaBuscada), "0000"),
    _xlpm.codItem &amp; "-" &amp; _xlpm.codArea &amp; "-" &amp; _xlpm.secuencia
)</f>
        <v>-SinArea-0000</v>
      </c>
      <c r="P584" s="77"/>
      <c r="Q584" s="32"/>
      <c r="R584" s="32"/>
      <c r="S584" s="32"/>
      <c r="T584" s="32"/>
    </row>
    <row r="585" spans="3:20" x14ac:dyDescent="0.3">
      <c r="C585" s="11"/>
      <c r="D585" s="32"/>
      <c r="E585" s="11"/>
      <c r="K585" s="15"/>
      <c r="L585" s="47"/>
      <c r="M585" s="76"/>
      <c r="N585" s="76"/>
      <c r="O585" s="78" t="str">
        <f>_xlfn.LET(
    _xlpm.itemBuscado, B585,
    _xlpm.areaBuscada, C585,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TEXT(COUNTIF($C$2:C585, _xlpm.areaBuscada), "0000"),
    _xlpm.codItem &amp; "-" &amp; _xlpm.codArea &amp; "-" &amp; _xlpm.secuencia
)</f>
        <v>-SinArea-0000</v>
      </c>
      <c r="P585" s="77"/>
      <c r="Q585" s="32"/>
      <c r="R585" s="32"/>
      <c r="S585" s="32"/>
      <c r="T585" s="32"/>
    </row>
    <row r="586" spans="3:20" x14ac:dyDescent="0.3">
      <c r="C586" s="11"/>
      <c r="D586" s="32"/>
      <c r="E586" s="11"/>
      <c r="K586" s="15"/>
      <c r="L586" s="47"/>
      <c r="M586" s="76"/>
      <c r="N586" s="76"/>
      <c r="O586" s="78" t="str">
        <f>_xlfn.LET(
    _xlpm.itemBuscado, B586,
    _xlpm.areaBuscada, C586,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TEXT(COUNTIF($C$2:C586, _xlpm.areaBuscada), "0000"),
    _xlpm.codItem &amp; "-" &amp; _xlpm.codArea &amp; "-" &amp; _xlpm.secuencia
)</f>
        <v>-SinArea-0000</v>
      </c>
      <c r="P586" s="77"/>
      <c r="Q586" s="32"/>
      <c r="R586" s="32"/>
      <c r="S586" s="32"/>
      <c r="T586" s="32"/>
    </row>
    <row r="587" spans="3:20" x14ac:dyDescent="0.3">
      <c r="C587" s="11"/>
      <c r="D587" s="32"/>
      <c r="E587" s="11"/>
      <c r="K587" s="15"/>
      <c r="L587" s="47"/>
      <c r="M587" s="76"/>
      <c r="N587" s="76"/>
      <c r="O587" s="78" t="str">
        <f>_xlfn.LET(
    _xlpm.itemBuscado, B587,
    _xlpm.areaBuscada, C587,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TEXT(COUNTIF($C$2:C587, _xlpm.areaBuscada), "0000"),
    _xlpm.codItem &amp; "-" &amp; _xlpm.codArea &amp; "-" &amp; _xlpm.secuencia
)</f>
        <v>-SinArea-0000</v>
      </c>
      <c r="P587" s="77"/>
      <c r="Q587" s="32"/>
      <c r="R587" s="32"/>
      <c r="S587" s="32"/>
      <c r="T587" s="32"/>
    </row>
    <row r="588" spans="3:20" x14ac:dyDescent="0.3">
      <c r="C588" s="11"/>
      <c r="D588" s="32"/>
      <c r="E588" s="11"/>
      <c r="K588" s="15"/>
      <c r="L588" s="47"/>
      <c r="M588" s="76"/>
      <c r="N588" s="76"/>
      <c r="O588" s="78" t="str">
        <f>_xlfn.LET(
    _xlpm.itemBuscado, B588,
    _xlpm.areaBuscada, C588,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TEXT(COUNTIF($C$2:C588, _xlpm.areaBuscada), "0000"),
    _xlpm.codItem &amp; "-" &amp; _xlpm.codArea &amp; "-" &amp; _xlpm.secuencia
)</f>
        <v>-SinArea-0000</v>
      </c>
      <c r="P588" s="77"/>
      <c r="Q588" s="32"/>
      <c r="R588" s="32"/>
      <c r="S588" s="32"/>
      <c r="T588" s="32"/>
    </row>
    <row r="589" spans="3:20" x14ac:dyDescent="0.3">
      <c r="C589" s="11"/>
      <c r="D589" s="32"/>
      <c r="E589" s="11"/>
      <c r="K589" s="15"/>
      <c r="L589" s="47"/>
      <c r="M589" s="76"/>
      <c r="N589" s="76"/>
      <c r="O589" s="78" t="str">
        <f>_xlfn.LET(
    _xlpm.itemBuscado, B589,
    _xlpm.areaBuscada, C589,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TEXT(COUNTIF($C$2:C589, _xlpm.areaBuscada), "0000"),
    _xlpm.codItem &amp; "-" &amp; _xlpm.codArea &amp; "-" &amp; _xlpm.secuencia
)</f>
        <v>-SinArea-0000</v>
      </c>
      <c r="P589" s="77"/>
      <c r="Q589" s="32"/>
      <c r="R589" s="32"/>
      <c r="S589" s="32"/>
      <c r="T589" s="32"/>
    </row>
    <row r="590" spans="3:20" x14ac:dyDescent="0.3">
      <c r="C590" s="11"/>
      <c r="D590" s="32"/>
      <c r="E590" s="11"/>
      <c r="K590" s="15"/>
      <c r="L590" s="47"/>
      <c r="M590" s="76"/>
      <c r="N590" s="76"/>
      <c r="O590" s="78" t="str">
        <f>_xlfn.LET(
    _xlpm.itemBuscado, B590,
    _xlpm.areaBuscada, C590,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TEXT(COUNTIF($C$2:C590, _xlpm.areaBuscada), "0000"),
    _xlpm.codItem &amp; "-" &amp; _xlpm.codArea &amp; "-" &amp; _xlpm.secuencia
)</f>
        <v>-SinArea-0000</v>
      </c>
      <c r="P590" s="77"/>
      <c r="Q590" s="32"/>
      <c r="R590" s="32"/>
      <c r="S590" s="32"/>
      <c r="T590" s="32"/>
    </row>
    <row r="591" spans="3:20" x14ac:dyDescent="0.3">
      <c r="C591" s="11"/>
      <c r="D591" s="32"/>
      <c r="E591" s="11"/>
      <c r="K591" s="15"/>
      <c r="L591" s="47"/>
      <c r="M591" s="76"/>
      <c r="N591" s="76"/>
      <c r="O591" s="78" t="str">
        <f>_xlfn.LET(
    _xlpm.itemBuscado, B591,
    _xlpm.areaBuscada, C591,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TEXT(COUNTIF($C$2:C591, _xlpm.areaBuscada), "0000"),
    _xlpm.codItem &amp; "-" &amp; _xlpm.codArea &amp; "-" &amp; _xlpm.secuencia
)</f>
        <v>-SinArea-0000</v>
      </c>
      <c r="P591" s="77"/>
      <c r="Q591" s="32"/>
      <c r="R591" s="32"/>
      <c r="S591" s="32"/>
      <c r="T591" s="32"/>
    </row>
    <row r="592" spans="3:20" x14ac:dyDescent="0.3">
      <c r="C592" s="11"/>
      <c r="D592" s="32"/>
      <c r="E592" s="11"/>
      <c r="K592" s="15"/>
      <c r="L592" s="47"/>
      <c r="M592" s="76"/>
      <c r="N592" s="76"/>
      <c r="O592" s="78" t="str">
        <f>_xlfn.LET(
    _xlpm.itemBuscado, B592,
    _xlpm.areaBuscada, C592,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TEXT(COUNTIF($C$2:C592, _xlpm.areaBuscada), "0000"),
    _xlpm.codItem &amp; "-" &amp; _xlpm.codArea &amp; "-" &amp; _xlpm.secuencia
)</f>
        <v>-SinArea-0000</v>
      </c>
      <c r="P592" s="77"/>
      <c r="Q592" s="32"/>
      <c r="R592" s="32"/>
      <c r="S592" s="32"/>
      <c r="T592" s="32"/>
    </row>
    <row r="593" spans="3:20" x14ac:dyDescent="0.3">
      <c r="C593" s="11"/>
      <c r="D593" s="32"/>
      <c r="E593" s="11"/>
      <c r="K593" s="15"/>
      <c r="L593" s="47"/>
      <c r="M593" s="76"/>
      <c r="N593" s="76"/>
      <c r="O593" s="78" t="str">
        <f>_xlfn.LET(
    _xlpm.itemBuscado, B593,
    _xlpm.areaBuscada, C593,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TEXT(COUNTIF($C$2:C593, _xlpm.areaBuscada), "0000"),
    _xlpm.codItem &amp; "-" &amp; _xlpm.codArea &amp; "-" &amp; _xlpm.secuencia
)</f>
        <v>-SinArea-0000</v>
      </c>
      <c r="P593" s="77"/>
      <c r="Q593" s="32"/>
      <c r="R593" s="32"/>
      <c r="S593" s="32"/>
      <c r="T593" s="32"/>
    </row>
    <row r="594" spans="3:20" x14ac:dyDescent="0.3">
      <c r="C594" s="11"/>
      <c r="D594" s="32"/>
      <c r="E594" s="11"/>
      <c r="K594" s="15"/>
      <c r="L594" s="47"/>
      <c r="M594" s="76"/>
      <c r="N594" s="76"/>
      <c r="O594" s="78" t="str">
        <f>_xlfn.LET(
    _xlpm.itemBuscado, B594,
    _xlpm.areaBuscada, C594,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TEXT(COUNTIF($C$2:C594, _xlpm.areaBuscada), "0000"),
    _xlpm.codItem &amp; "-" &amp; _xlpm.codArea &amp; "-" &amp; _xlpm.secuencia
)</f>
        <v>-SinArea-0000</v>
      </c>
      <c r="P594" s="77"/>
      <c r="Q594" s="32"/>
      <c r="R594" s="32"/>
      <c r="S594" s="32"/>
      <c r="T594" s="32"/>
    </row>
    <row r="595" spans="3:20" x14ac:dyDescent="0.3">
      <c r="C595" s="11"/>
      <c r="D595" s="32"/>
      <c r="E595" s="11"/>
      <c r="K595" s="15"/>
      <c r="L595" s="47"/>
      <c r="M595" s="76"/>
      <c r="N595" s="76"/>
      <c r="O595" s="78" t="str">
        <f>_xlfn.LET(
    _xlpm.itemBuscado, B595,
    _xlpm.areaBuscada, C595,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TEXT(COUNTIF($C$2:C595, _xlpm.areaBuscada), "0000"),
    _xlpm.codItem &amp; "-" &amp; _xlpm.codArea &amp; "-" &amp; _xlpm.secuencia
)</f>
        <v>-SinArea-0000</v>
      </c>
      <c r="P595" s="77"/>
      <c r="Q595" s="32"/>
      <c r="R595" s="32"/>
      <c r="S595" s="32"/>
      <c r="T595" s="32"/>
    </row>
    <row r="596" spans="3:20" x14ac:dyDescent="0.3">
      <c r="C596" s="11"/>
      <c r="D596" s="32"/>
      <c r="E596" s="11"/>
      <c r="K596" s="15"/>
      <c r="L596" s="47"/>
      <c r="M596" s="76"/>
      <c r="N596" s="76"/>
      <c r="O596" s="78" t="str">
        <f>_xlfn.LET(
    _xlpm.itemBuscado, B596,
    _xlpm.areaBuscada, C596,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TEXT(COUNTIF($C$2:C596, _xlpm.areaBuscada), "0000"),
    _xlpm.codItem &amp; "-" &amp; _xlpm.codArea &amp; "-" &amp; _xlpm.secuencia
)</f>
        <v>-SinArea-0000</v>
      </c>
      <c r="P596" s="77"/>
      <c r="Q596" s="32"/>
      <c r="R596" s="32"/>
      <c r="S596" s="32"/>
      <c r="T596" s="32"/>
    </row>
    <row r="597" spans="3:20" x14ac:dyDescent="0.3">
      <c r="C597" s="11"/>
      <c r="D597" s="32"/>
      <c r="E597" s="11"/>
      <c r="K597" s="15"/>
      <c r="L597" s="47"/>
      <c r="M597" s="76"/>
      <c r="N597" s="76"/>
      <c r="O597" s="78" t="str">
        <f>_xlfn.LET(
    _xlpm.itemBuscado, B597,
    _xlpm.areaBuscada, C597,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TEXT(COUNTIF($C$2:C597, _xlpm.areaBuscada), "0000"),
    _xlpm.codItem &amp; "-" &amp; _xlpm.codArea &amp; "-" &amp; _xlpm.secuencia
)</f>
        <v>-SinArea-0000</v>
      </c>
      <c r="P597" s="77"/>
      <c r="Q597" s="32"/>
      <c r="R597" s="32"/>
      <c r="S597" s="32"/>
      <c r="T597" s="32"/>
    </row>
    <row r="598" spans="3:20" x14ac:dyDescent="0.3">
      <c r="C598" s="11"/>
      <c r="D598" s="32"/>
      <c r="E598" s="11"/>
      <c r="K598" s="15"/>
      <c r="L598" s="47"/>
      <c r="M598" s="76"/>
      <c r="N598" s="76"/>
      <c r="O598" s="78" t="str">
        <f>_xlfn.LET(
    _xlpm.itemBuscado, B598,
    _xlpm.areaBuscada, C598,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TEXT(COUNTIF($C$2:C598, _xlpm.areaBuscada), "0000"),
    _xlpm.codItem &amp; "-" &amp; _xlpm.codArea &amp; "-" &amp; _xlpm.secuencia
)</f>
        <v>-SinArea-0000</v>
      </c>
      <c r="P598" s="77"/>
      <c r="Q598" s="32"/>
      <c r="R598" s="32"/>
      <c r="S598" s="32"/>
      <c r="T598" s="32"/>
    </row>
    <row r="599" spans="3:20" x14ac:dyDescent="0.3">
      <c r="C599" s="11"/>
      <c r="D599" s="32"/>
      <c r="E599" s="11"/>
      <c r="K599" s="15"/>
      <c r="L599" s="47"/>
      <c r="M599" s="76"/>
      <c r="N599" s="76"/>
      <c r="O599" s="78" t="str">
        <f>_xlfn.LET(
    _xlpm.itemBuscado, B599,
    _xlpm.areaBuscada, C599,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TEXT(COUNTIF($C$2:C599, _xlpm.areaBuscada), "0000"),
    _xlpm.codItem &amp; "-" &amp; _xlpm.codArea &amp; "-" &amp; _xlpm.secuencia
)</f>
        <v>-SinArea-0000</v>
      </c>
      <c r="P599" s="77"/>
      <c r="Q599" s="32"/>
      <c r="R599" s="32"/>
      <c r="S599" s="32"/>
      <c r="T599" s="32"/>
    </row>
    <row r="600" spans="3:20" x14ac:dyDescent="0.3">
      <c r="C600" s="11"/>
      <c r="D600" s="32"/>
      <c r="E600" s="11"/>
      <c r="K600" s="15"/>
      <c r="L600" s="47"/>
      <c r="M600" s="76"/>
      <c r="N600" s="76"/>
      <c r="O600" s="78" t="str">
        <f>_xlfn.LET(
    _xlpm.itemBuscado, B600,
    _xlpm.areaBuscada, C600,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TEXT(COUNTIF($C$2:C600, _xlpm.areaBuscada), "0000"),
    _xlpm.codItem &amp; "-" &amp; _xlpm.codArea &amp; "-" &amp; _xlpm.secuencia
)</f>
        <v>-SinArea-0000</v>
      </c>
      <c r="P600" s="77"/>
      <c r="Q600" s="32"/>
      <c r="R600" s="32"/>
      <c r="S600" s="32"/>
      <c r="T600" s="32"/>
    </row>
    <row r="601" spans="3:20" x14ac:dyDescent="0.3">
      <c r="C601" s="11"/>
      <c r="D601" s="32"/>
      <c r="E601" s="11"/>
      <c r="K601" s="15"/>
      <c r="L601" s="47"/>
      <c r="M601" s="76"/>
      <c r="N601" s="76"/>
      <c r="O601" s="78" t="str">
        <f>_xlfn.LET(
    _xlpm.itemBuscado, B601,
    _xlpm.areaBuscada, C601,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TEXT(COUNTIF($C$2:C601, _xlpm.areaBuscada), "0000"),
    _xlpm.codItem &amp; "-" &amp; _xlpm.codArea &amp; "-" &amp; _xlpm.secuencia
)</f>
        <v>-SinArea-0000</v>
      </c>
      <c r="P601" s="77"/>
      <c r="Q601" s="32"/>
      <c r="R601" s="32"/>
      <c r="S601" s="32"/>
      <c r="T601" s="32"/>
    </row>
    <row r="602" spans="3:20" x14ac:dyDescent="0.3">
      <c r="C602" s="11"/>
      <c r="D602" s="32"/>
      <c r="E602" s="11"/>
      <c r="K602" s="15"/>
      <c r="L602" s="47"/>
      <c r="M602" s="76"/>
      <c r="N602" s="76"/>
      <c r="O602" s="78" t="str">
        <f>_xlfn.LET(
    _xlpm.itemBuscado, B602,
    _xlpm.areaBuscada, C602,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TEXT(COUNTIF($C$2:C602, _xlpm.areaBuscada), "0000"),
    _xlpm.codItem &amp; "-" &amp; _xlpm.codArea &amp; "-" &amp; _xlpm.secuencia
)</f>
        <v>-SinArea-0000</v>
      </c>
      <c r="P602" s="77"/>
      <c r="Q602" s="32"/>
      <c r="R602" s="32"/>
      <c r="S602" s="32"/>
      <c r="T602" s="32"/>
    </row>
    <row r="603" spans="3:20" x14ac:dyDescent="0.3">
      <c r="C603" s="11"/>
      <c r="D603" s="32"/>
      <c r="E603" s="11"/>
      <c r="K603" s="15"/>
      <c r="L603" s="47"/>
      <c r="M603" s="76"/>
      <c r="N603" s="76"/>
      <c r="O603" s="78" t="str">
        <f>_xlfn.LET(
    _xlpm.itemBuscado, B603,
    _xlpm.areaBuscada, C603,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TEXT(COUNTIF($C$2:C603, _xlpm.areaBuscada), "0000"),
    _xlpm.codItem &amp; "-" &amp; _xlpm.codArea &amp; "-" &amp; _xlpm.secuencia
)</f>
        <v>-SinArea-0000</v>
      </c>
      <c r="P603" s="77"/>
      <c r="Q603" s="32"/>
      <c r="R603" s="32"/>
      <c r="S603" s="32"/>
      <c r="T603" s="32"/>
    </row>
    <row r="604" spans="3:20" x14ac:dyDescent="0.3">
      <c r="C604" s="11"/>
      <c r="D604" s="32"/>
      <c r="E604" s="11"/>
      <c r="K604" s="15"/>
      <c r="L604" s="47"/>
      <c r="M604" s="76"/>
      <c r="N604" s="76"/>
      <c r="O604" s="78" t="str">
        <f>_xlfn.LET(
    _xlpm.itemBuscado, B604,
    _xlpm.areaBuscada, C604,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TEXT(COUNTIF($C$2:C604, _xlpm.areaBuscada), "0000"),
    _xlpm.codItem &amp; "-" &amp; _xlpm.codArea &amp; "-" &amp; _xlpm.secuencia
)</f>
        <v>-SinArea-0000</v>
      </c>
      <c r="P604" s="77"/>
      <c r="Q604" s="32"/>
      <c r="R604" s="32"/>
      <c r="S604" s="32"/>
      <c r="T604" s="32"/>
    </row>
    <row r="605" spans="3:20" x14ac:dyDescent="0.3">
      <c r="C605" s="11"/>
      <c r="D605" s="32"/>
      <c r="E605" s="11"/>
      <c r="K605" s="15"/>
      <c r="L605" s="47"/>
      <c r="M605" s="76"/>
      <c r="N605" s="76"/>
      <c r="O605" s="78" t="str">
        <f>_xlfn.LET(
    _xlpm.itemBuscado, B605,
    _xlpm.areaBuscada, C605,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TEXT(COUNTIF($C$2:C605, _xlpm.areaBuscada), "0000"),
    _xlpm.codItem &amp; "-" &amp; _xlpm.codArea &amp; "-" &amp; _xlpm.secuencia
)</f>
        <v>-SinArea-0000</v>
      </c>
      <c r="P605" s="77"/>
      <c r="Q605" s="32"/>
      <c r="R605" s="32"/>
      <c r="S605" s="32"/>
      <c r="T605" s="32"/>
    </row>
    <row r="606" spans="3:20" x14ac:dyDescent="0.3">
      <c r="C606" s="11"/>
      <c r="D606" s="32"/>
      <c r="E606" s="11"/>
      <c r="K606" s="15"/>
      <c r="L606" s="47"/>
      <c r="M606" s="76"/>
      <c r="N606" s="76"/>
      <c r="O606" s="78" t="str">
        <f>_xlfn.LET(
    _xlpm.itemBuscado, B606,
    _xlpm.areaBuscada, C606,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TEXT(COUNTIF($C$2:C606, _xlpm.areaBuscada), "0000"),
    _xlpm.codItem &amp; "-" &amp; _xlpm.codArea &amp; "-" &amp; _xlpm.secuencia
)</f>
        <v>-SinArea-0000</v>
      </c>
      <c r="P606" s="77"/>
      <c r="Q606" s="32"/>
      <c r="R606" s="32"/>
      <c r="S606" s="32"/>
      <c r="T606" s="32"/>
    </row>
    <row r="607" spans="3:20" x14ac:dyDescent="0.3">
      <c r="C607" s="11"/>
      <c r="D607" s="32"/>
      <c r="E607" s="11"/>
      <c r="K607" s="15"/>
      <c r="L607" s="47"/>
      <c r="M607" s="76"/>
      <c r="N607" s="76"/>
      <c r="O607" s="78" t="str">
        <f>_xlfn.LET(
    _xlpm.itemBuscado, B607,
    _xlpm.areaBuscada, C607,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TEXT(COUNTIF($C$2:C607, _xlpm.areaBuscada), "0000"),
    _xlpm.codItem &amp; "-" &amp; _xlpm.codArea &amp; "-" &amp; _xlpm.secuencia
)</f>
        <v>-SinArea-0000</v>
      </c>
      <c r="P607" s="77"/>
      <c r="Q607" s="32"/>
      <c r="R607" s="32"/>
      <c r="S607" s="32"/>
      <c r="T607" s="32"/>
    </row>
    <row r="608" spans="3:20" x14ac:dyDescent="0.3">
      <c r="C608" s="11"/>
      <c r="D608" s="32"/>
      <c r="E608" s="11"/>
      <c r="K608" s="15"/>
      <c r="L608" s="47"/>
      <c r="M608" s="76"/>
      <c r="N608" s="76"/>
      <c r="O608" s="78" t="str">
        <f>_xlfn.LET(
    _xlpm.itemBuscado, B608,
    _xlpm.areaBuscada, C608,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TEXT(COUNTIF($C$2:C608, _xlpm.areaBuscada), "0000"),
    _xlpm.codItem &amp; "-" &amp; _xlpm.codArea &amp; "-" &amp; _xlpm.secuencia
)</f>
        <v>-SinArea-0000</v>
      </c>
      <c r="P608" s="77"/>
      <c r="Q608" s="32"/>
      <c r="R608" s="32"/>
      <c r="S608" s="32"/>
      <c r="T608" s="32"/>
    </row>
    <row r="609" spans="3:20" x14ac:dyDescent="0.3">
      <c r="C609" s="11"/>
      <c r="D609" s="32"/>
      <c r="E609" s="11"/>
      <c r="K609" s="15"/>
      <c r="L609" s="47"/>
      <c r="M609" s="76"/>
      <c r="N609" s="76"/>
      <c r="O609" s="78" t="str">
        <f>_xlfn.LET(
    _xlpm.itemBuscado, B609,
    _xlpm.areaBuscada, C609,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TEXT(COUNTIF($C$2:C609, _xlpm.areaBuscada), "0000"),
    _xlpm.codItem &amp; "-" &amp; _xlpm.codArea &amp; "-" &amp; _xlpm.secuencia
)</f>
        <v>-SinArea-0000</v>
      </c>
      <c r="P609" s="77"/>
      <c r="Q609" s="32"/>
      <c r="R609" s="32"/>
      <c r="S609" s="32"/>
      <c r="T609" s="32"/>
    </row>
    <row r="610" spans="3:20" x14ac:dyDescent="0.3">
      <c r="C610" s="11"/>
      <c r="D610" s="32"/>
      <c r="E610" s="11"/>
      <c r="K610" s="15"/>
      <c r="L610" s="47"/>
      <c r="M610" s="76"/>
      <c r="N610" s="76"/>
      <c r="O610" s="78" t="str">
        <f>_xlfn.LET(
    _xlpm.itemBuscado, B610,
    _xlpm.areaBuscada, C610,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TEXT(COUNTIF($C$2:C610, _xlpm.areaBuscada), "0000"),
    _xlpm.codItem &amp; "-" &amp; _xlpm.codArea &amp; "-" &amp; _xlpm.secuencia
)</f>
        <v>-SinArea-0000</v>
      </c>
      <c r="P610" s="77"/>
      <c r="Q610" s="32"/>
      <c r="R610" s="32"/>
      <c r="S610" s="32"/>
      <c r="T610" s="32"/>
    </row>
    <row r="611" spans="3:20" x14ac:dyDescent="0.3">
      <c r="C611" s="11"/>
      <c r="D611" s="32"/>
      <c r="E611" s="11"/>
      <c r="K611" s="15"/>
      <c r="L611" s="47"/>
      <c r="M611" s="76"/>
      <c r="N611" s="76"/>
      <c r="O611" s="78" t="str">
        <f>_xlfn.LET(
    _xlpm.itemBuscado, B611,
    _xlpm.areaBuscada, C611,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TEXT(COUNTIF($C$2:C611, _xlpm.areaBuscada), "0000"),
    _xlpm.codItem &amp; "-" &amp; _xlpm.codArea &amp; "-" &amp; _xlpm.secuencia
)</f>
        <v>-SinArea-0000</v>
      </c>
      <c r="P611" s="77"/>
      <c r="Q611" s="32"/>
      <c r="R611" s="32"/>
      <c r="S611" s="32"/>
      <c r="T611" s="32"/>
    </row>
    <row r="612" spans="3:20" x14ac:dyDescent="0.3">
      <c r="C612" s="11"/>
    </row>
    <row r="613" spans="3:20" x14ac:dyDescent="0.3">
      <c r="C613" s="11"/>
    </row>
    <row r="614" spans="3:20" x14ac:dyDescent="0.3">
      <c r="C614" s="11"/>
    </row>
    <row r="615" spans="3:20" x14ac:dyDescent="0.3">
      <c r="C615" s="11"/>
    </row>
    <row r="616" spans="3:20" x14ac:dyDescent="0.3">
      <c r="C616" s="11"/>
    </row>
    <row r="617" spans="3:20" x14ac:dyDescent="0.3">
      <c r="C617" s="11"/>
    </row>
    <row r="618" spans="3:20" x14ac:dyDescent="0.3">
      <c r="C618" s="11"/>
    </row>
  </sheetData>
  <dataValidations count="9">
    <dataValidation type="list" allowBlank="1" showInputMessage="1" showErrorMessage="1" sqref="E2:E203" xr:uid="{5BE3B2E1-09C7-4932-8181-6B0364474C47}">
      <formula1>$AF$1:$AM$1</formula1>
    </dataValidation>
    <dataValidation type="list" allowBlank="1" showInputMessage="1" showErrorMessage="1" sqref="S2:S611" xr:uid="{7CFD9F82-CA76-4930-A8D6-E6148F0F3508}">
      <formula1>$Z$2:$Z$4</formula1>
    </dataValidation>
    <dataValidation type="whole" allowBlank="1" showInputMessage="1" showErrorMessage="1" sqref="D2:D139" xr:uid="{51546062-10AA-44DF-B05F-B30D26C88BE8}">
      <formula1>1</formula1>
      <formula2>100</formula2>
    </dataValidation>
    <dataValidation type="list" allowBlank="1" showInputMessage="1" promptTitle="Guia" prompt="Si tiene dudas sobre que dato colocar consulte las siguientes tablas y no olvide revisar los comentarios_x000a__x000a_" sqref="F2:J139" xr:uid="{B27CAB50-902F-4633-8FAC-1EFF4A006B67}">
      <formula1>INDIRECT($E$2:$E$611)</formula1>
    </dataValidation>
    <dataValidation type="list" allowBlank="1" showInputMessage="1" showErrorMessage="1" sqref="R2:R611" xr:uid="{6A814419-2F94-4437-A452-40AD4BBBAB29}">
      <formula1>$AB$10:$AB$12</formula1>
    </dataValidation>
    <dataValidation allowBlank="1" showInputMessage="1" showErrorMessage="1" sqref="D140:D618" xr:uid="{6100E905-00DD-4057-8D27-C393B514B75E}"/>
    <dataValidation type="list" allowBlank="1" showInputMessage="1" promptTitle="Guia" prompt="puede realizar Las siguientes opciones_x000a_si eligio electricos tiene las siguientes opciones de una posible sublista_x000a_" sqref="F140:J613" xr:uid="{3DC80A75-A7D9-4FC1-A0C3-95E51998FBA2}">
      <formula1>INDIRECT($E$2:$E$611)</formula1>
    </dataValidation>
    <dataValidation type="list" allowBlank="1" showInputMessage="1" showErrorMessage="1" sqref="C2:C618" xr:uid="{DEFD91DC-CFDB-40ED-BFBB-36AEF300835D}">
      <formula1>$W$2:$W$12</formula1>
    </dataValidation>
    <dataValidation type="list" allowBlank="1" showInputMessage="1" showErrorMessage="1" sqref="E204:E615" xr:uid="{3C8F5349-6B9F-4615-AF36-6450A120E41D}">
      <formula1>$AC$2:$AC$7</formula1>
    </dataValidation>
  </dataValidations>
  <pageMargins left="0.7" right="0.7" top="0.75" bottom="0.75" header="0.3" footer="0.3"/>
  <legacyDrawing r:id="rId1"/>
  <tableParts count="43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ED2B71A-03CE-4CF9-84E0-97A31CAEA300}">
          <x14:formula1>
            <xm:f>Hoja2!$B$3:$B$80</xm:f>
          </x14:formula1>
          <xm:sqref>B2:B34</xm:sqref>
        </x14:dataValidation>
        <x14:dataValidation type="list" allowBlank="1" showInputMessage="1" showErrorMessage="1" xr:uid="{A598C615-F45B-40DA-856D-9D4C381FDD3E}">
          <x14:formula1>
            <xm:f>Hoja2!$B$3:$B$79</xm:f>
          </x14:formula1>
          <xm:sqref>B35:B611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EDAF4-D56E-4874-9A5C-1DE535AF1DC6}">
  <dimension ref="B1:BO617"/>
  <sheetViews>
    <sheetView topLeftCell="A16" zoomScale="85" zoomScaleNormal="85" workbookViewId="0">
      <pane xSplit="3" topLeftCell="F1" activePane="topRight" state="frozen"/>
      <selection pane="topRight" activeCell="B35" sqref="B35:R35"/>
    </sheetView>
  </sheetViews>
  <sheetFormatPr baseColWidth="10" defaultColWidth="8.88671875" defaultRowHeight="14.4" x14ac:dyDescent="0.3"/>
  <cols>
    <col min="2" max="2" width="10.5546875" customWidth="1"/>
    <col min="3" max="3" width="14.6640625" customWidth="1"/>
    <col min="4" max="4" width="17.33203125" customWidth="1"/>
    <col min="5" max="5" width="25.44140625" customWidth="1"/>
    <col min="6" max="7" width="36.33203125" customWidth="1"/>
    <col min="8" max="8" width="18.88671875" customWidth="1"/>
    <col min="9" max="9" width="13.88671875" customWidth="1"/>
    <col min="10" max="10" width="15.109375" customWidth="1"/>
    <col min="11" max="11" width="22.6640625" customWidth="1"/>
    <col min="12" max="12" width="21.33203125" customWidth="1"/>
    <col min="13" max="13" width="23.109375" customWidth="1"/>
    <col min="14" max="14" width="17.44140625" customWidth="1"/>
    <col min="15" max="15" width="24.109375" customWidth="1"/>
    <col min="16" max="16" width="18.6640625" customWidth="1"/>
    <col min="17" max="17" width="43.6640625" customWidth="1"/>
    <col min="18" max="18" width="15.6640625" customWidth="1"/>
    <col min="19" max="19" width="11.6640625" customWidth="1"/>
    <col min="20" max="20" width="18.6640625" customWidth="1"/>
    <col min="23" max="23" width="11.33203125" customWidth="1"/>
    <col min="25" max="25" width="19.5546875" customWidth="1"/>
    <col min="26" max="26" width="23.44140625" bestFit="1" customWidth="1"/>
    <col min="27" max="27" width="21.33203125" customWidth="1"/>
    <col min="28" max="28" width="22.33203125" customWidth="1"/>
    <col min="29" max="29" width="24" customWidth="1"/>
    <col min="30" max="30" width="24.44140625" customWidth="1"/>
    <col min="31" max="31" width="26.109375" customWidth="1"/>
    <col min="32" max="32" width="23.6640625" customWidth="1"/>
    <col min="33" max="33" width="24" customWidth="1"/>
    <col min="34" max="34" width="21.33203125" customWidth="1"/>
    <col min="35" max="35" width="21.109375" customWidth="1"/>
    <col min="36" max="36" width="19.44140625" bestFit="1" customWidth="1"/>
    <col min="37" max="37" width="22.5546875" customWidth="1"/>
    <col min="38" max="38" width="29.6640625" customWidth="1"/>
    <col min="39" max="39" width="25" customWidth="1"/>
    <col min="40" max="40" width="26.6640625" customWidth="1"/>
    <col min="41" max="41" width="28.33203125" customWidth="1"/>
    <col min="42" max="42" width="27.109375" customWidth="1"/>
    <col min="43" max="45" width="33.6640625" customWidth="1"/>
    <col min="46" max="46" width="22.5546875" customWidth="1"/>
    <col min="47" max="47" width="26.109375" customWidth="1"/>
    <col min="48" max="48" width="25.33203125" customWidth="1"/>
    <col min="49" max="49" width="21.109375" customWidth="1"/>
    <col min="50" max="50" width="19" customWidth="1"/>
    <col min="51" max="51" width="15.5546875" customWidth="1"/>
    <col min="52" max="52" width="18.33203125" customWidth="1"/>
    <col min="53" max="53" width="18.109375" customWidth="1"/>
  </cols>
  <sheetData>
    <row r="1" spans="2:67" ht="21.6" customHeight="1" x14ac:dyDescent="0.3">
      <c r="B1" s="36" t="s">
        <v>200</v>
      </c>
      <c r="C1" s="36" t="s">
        <v>201</v>
      </c>
      <c r="D1" s="36" t="s">
        <v>202</v>
      </c>
      <c r="E1" s="36" t="s">
        <v>203</v>
      </c>
      <c r="F1" s="37" t="s">
        <v>204</v>
      </c>
      <c r="G1" s="37" t="s">
        <v>2551</v>
      </c>
      <c r="H1" s="37" t="s">
        <v>2539</v>
      </c>
      <c r="I1" s="36" t="s">
        <v>205</v>
      </c>
      <c r="J1" s="36" t="s">
        <v>206</v>
      </c>
      <c r="K1" s="36" t="s">
        <v>342</v>
      </c>
      <c r="L1" s="37" t="s">
        <v>207</v>
      </c>
      <c r="M1" s="37" t="s">
        <v>343</v>
      </c>
      <c r="N1" s="37" t="s">
        <v>208</v>
      </c>
      <c r="O1" s="37" t="s">
        <v>209</v>
      </c>
      <c r="P1" s="37" t="s">
        <v>210</v>
      </c>
      <c r="Q1" s="38" t="s">
        <v>211</v>
      </c>
      <c r="R1" s="37" t="s">
        <v>212</v>
      </c>
      <c r="S1" s="39"/>
      <c r="T1" s="40" t="s">
        <v>213</v>
      </c>
      <c r="U1" s="41" t="s">
        <v>201</v>
      </c>
      <c r="W1" s="42" t="s">
        <v>213</v>
      </c>
      <c r="X1" s="43" t="s">
        <v>211</v>
      </c>
      <c r="Z1" s="44" t="s">
        <v>213</v>
      </c>
      <c r="AA1" s="45" t="s">
        <v>214</v>
      </c>
      <c r="AC1" s="46"/>
      <c r="AD1" s="1" t="s">
        <v>4</v>
      </c>
      <c r="AE1" s="2" t="s">
        <v>5</v>
      </c>
      <c r="AF1" s="3" t="s">
        <v>6</v>
      </c>
      <c r="AG1" s="2" t="s">
        <v>7</v>
      </c>
      <c r="AH1" s="3" t="s">
        <v>8</v>
      </c>
      <c r="AI1" s="3" t="s">
        <v>160</v>
      </c>
      <c r="AJ1" s="2" t="s">
        <v>9</v>
      </c>
      <c r="AK1" s="4" t="s">
        <v>10</v>
      </c>
      <c r="AL1" t="s">
        <v>11</v>
      </c>
      <c r="AM1" t="s">
        <v>12</v>
      </c>
      <c r="AP1" t="s">
        <v>215</v>
      </c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</row>
    <row r="2" spans="2:67" ht="26.4" customHeight="1" x14ac:dyDescent="0.3">
      <c r="B2" t="s">
        <v>2538</v>
      </c>
      <c r="C2" s="11" t="s">
        <v>171</v>
      </c>
      <c r="D2">
        <v>1</v>
      </c>
      <c r="E2" s="11" t="str" cm="1">
        <f t="array" ref="E2">_xlfn.IFS(
    COUNTIF(Herramientas_eléctricas1862106149192[Herramientas_eléctricas], B2) &gt; 0, Herramientas_eléctricas1862106149192[[#Headers],[Herramientas_eléctricas]],
    COUNTIF(Herramientas_neumáticas1963107150193[Herramientas_neumáticas], B2) &gt; 0, Herramientas_neumáticas1963107150193[[#Headers],[Herramientas_neumáticas]],
    COUNTIF(Herramientas_de_medición2064108151194[Herramientas_de_medición], B2) &gt; 0, Herramientas_de_medición2064108151194[[#Headers],[Herramientas_de_medición]],
    COUNTIF(Herrramientas_mecánicas2165109152195[Herramientas_mecánicas], B2) &gt; 0, Herrramientas_mecánicas2165109152195[[#Headers],[Herramientas_mecánicas]],
    COUNTIF(AH2:AH8, B2) &gt; 0, Herramientas_hidráulicas2266110153196[[#Headers],[Herramientas_hidráulicas]],
    COUNTIF(EPP_2367111154197[SPCC], B2) &gt; 0, EPP_2367111154197[[#Headers],[SPCC]],
   COUNTIF(Herramientas_de_izaje2468112155198[Herramientas_de_izaje], B2) &gt; 0, Herramientas_de_izaje2468112155198[[#Headers],[Herramientas_de_izaje]],
COUNTIF(Tabla162670114157200[Equipos], B2) &gt; 0, Tabla162670114157200[[#Headers],[Equipos]],
    TRUE, "Sin clasificación"
)</f>
        <v>Sin clasificación</v>
      </c>
      <c r="F2" s="15"/>
      <c r="G2" s="15" t="s">
        <v>2555</v>
      </c>
      <c r="H2" s="15" t="s">
        <v>2540</v>
      </c>
      <c r="I2" s="15"/>
      <c r="J2" s="47"/>
      <c r="L2" s="47"/>
      <c r="M2" s="47" t="s">
        <v>2542</v>
      </c>
      <c r="O2" s="15"/>
      <c r="Q2" s="48"/>
      <c r="T2" s="49">
        <v>1</v>
      </c>
      <c r="U2" s="50" t="s">
        <v>171</v>
      </c>
      <c r="W2" s="51">
        <v>1</v>
      </c>
      <c r="X2" s="52" t="s">
        <v>216</v>
      </c>
      <c r="Z2" s="51">
        <v>1</v>
      </c>
      <c r="AA2" s="52" t="s">
        <v>4</v>
      </c>
      <c r="AD2" s="5" t="s">
        <v>13</v>
      </c>
      <c r="AE2" t="s">
        <v>14</v>
      </c>
      <c r="AF2" t="s">
        <v>15</v>
      </c>
      <c r="AG2" t="s">
        <v>16</v>
      </c>
      <c r="AH2" s="6" t="s">
        <v>17</v>
      </c>
      <c r="AI2" t="s">
        <v>18</v>
      </c>
      <c r="AJ2" t="s">
        <v>19</v>
      </c>
      <c r="AK2" s="6" t="s">
        <v>20</v>
      </c>
      <c r="AL2" t="s">
        <v>21</v>
      </c>
      <c r="AM2" s="7" t="s">
        <v>22</v>
      </c>
      <c r="AP2" s="25" t="s">
        <v>217</v>
      </c>
      <c r="AQ2" t="s">
        <v>218</v>
      </c>
      <c r="AR2" t="s">
        <v>219</v>
      </c>
      <c r="AS2" s="25" t="s">
        <v>220</v>
      </c>
      <c r="AT2" t="s">
        <v>221</v>
      </c>
      <c r="AZ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</row>
    <row r="3" spans="2:67" ht="29.25" customHeight="1" x14ac:dyDescent="0.3">
      <c r="B3" t="s">
        <v>2538</v>
      </c>
      <c r="C3" s="11" t="s">
        <v>180</v>
      </c>
      <c r="D3">
        <v>1</v>
      </c>
      <c r="E3" s="11" t="str" cm="1">
        <f t="array" ref="E3">_xlfn.IFS(
    COUNTIF(Herramientas_eléctricas1862106149192[Herramientas_eléctricas], B3) &gt; 0, Herramientas_eléctricas1862106149192[[#Headers],[Herramientas_eléctricas]],
    COUNTIF(Herramientas_neumáticas1963107150193[Herramientas_neumáticas], B3) &gt; 0, Herramientas_neumáticas1963107150193[[#Headers],[Herramientas_neumáticas]],
    COUNTIF(Herramientas_de_medición2064108151194[Herramientas_de_medición], B3) &gt; 0, Herramientas_de_medición2064108151194[[#Headers],[Herramientas_de_medición]],
    COUNTIF(Herrramientas_mecánicas2165109152195[Herramientas_mecánicas], B3) &gt; 0, Herrramientas_mecánicas2165109152195[[#Headers],[Herramientas_mecánicas]],
    COUNTIF(AH3:AH9, B3) &gt; 0, Herramientas_hidráulicas2266110153196[[#Headers],[Herramientas_hidráulicas]],
    COUNTIF(EPP_2367111154197[SPCC], B3) &gt; 0, EPP_2367111154197[[#Headers],[SPCC]],
   COUNTIF(Herramientas_de_izaje2468112155198[Herramientas_de_izaje], B3) &gt; 0, Herramientas_de_izaje2468112155198[[#Headers],[Herramientas_de_izaje]],
COUNTIF(Tabla162670114157200[Equipos], B3) &gt; 0, Tabla162670114157200[[#Headers],[Equipos]],
    TRUE, "Sin clasificación"
)</f>
        <v>Sin clasificación</v>
      </c>
      <c r="F3" s="15"/>
      <c r="G3" s="15" t="s">
        <v>2554</v>
      </c>
      <c r="H3" s="15" t="s">
        <v>2540</v>
      </c>
      <c r="I3" s="15"/>
      <c r="J3" s="47"/>
      <c r="L3" s="47"/>
      <c r="M3" s="47" t="s">
        <v>2541</v>
      </c>
      <c r="O3" s="15"/>
      <c r="Q3" s="48"/>
      <c r="T3" s="49">
        <v>2</v>
      </c>
      <c r="U3" s="50" t="s">
        <v>172</v>
      </c>
      <c r="W3" s="51">
        <v>2</v>
      </c>
      <c r="X3" s="52" t="s">
        <v>222</v>
      </c>
      <c r="Z3" s="51">
        <v>2</v>
      </c>
      <c r="AA3" s="53" t="s">
        <v>5</v>
      </c>
      <c r="AD3" s="6" t="s">
        <v>23</v>
      </c>
      <c r="AE3" t="s">
        <v>24</v>
      </c>
      <c r="AF3" t="s">
        <v>25</v>
      </c>
      <c r="AG3" t="s">
        <v>26</v>
      </c>
      <c r="AH3" s="6" t="s">
        <v>27</v>
      </c>
      <c r="AI3" t="s">
        <v>28</v>
      </c>
      <c r="AJ3" t="s">
        <v>29</v>
      </c>
      <c r="AL3" s="8" t="s">
        <v>30</v>
      </c>
      <c r="AM3" s="9" t="s">
        <v>31</v>
      </c>
      <c r="AP3" s="25" t="s">
        <v>223</v>
      </c>
      <c r="AQ3" t="s">
        <v>70</v>
      </c>
      <c r="AZ3" s="11"/>
      <c r="BA3" s="11"/>
      <c r="BB3" s="11"/>
      <c r="BC3" s="11"/>
      <c r="BD3" s="11"/>
      <c r="BE3" s="11"/>
      <c r="BF3" s="11"/>
      <c r="BG3" s="11"/>
      <c r="BH3" s="54"/>
      <c r="BI3" s="54"/>
      <c r="BJ3" s="11"/>
      <c r="BK3" s="11"/>
      <c r="BL3" s="11"/>
      <c r="BM3" s="11"/>
      <c r="BN3" s="11"/>
      <c r="BO3" s="11"/>
    </row>
    <row r="4" spans="2:67" ht="33" customHeight="1" x14ac:dyDescent="0.3">
      <c r="B4" t="s">
        <v>2538</v>
      </c>
      <c r="C4" s="11" t="s">
        <v>176</v>
      </c>
      <c r="D4">
        <v>1</v>
      </c>
      <c r="E4" s="11" t="str" cm="1">
        <f t="array" ref="E4">_xlfn.IFS(
    COUNTIF(Herramientas_eléctricas1862106149192[Herramientas_eléctricas], B4) &gt; 0, Herramientas_eléctricas1862106149192[[#Headers],[Herramientas_eléctricas]],
    COUNTIF(Herramientas_neumáticas1963107150193[Herramientas_neumáticas], B4) &gt; 0, Herramientas_neumáticas1963107150193[[#Headers],[Herramientas_neumáticas]],
    COUNTIF(Herramientas_de_medición2064108151194[Herramientas_de_medición], B4) &gt; 0, Herramientas_de_medición2064108151194[[#Headers],[Herramientas_de_medición]],
    COUNTIF(Herrramientas_mecánicas2165109152195[Herramientas_mecánicas], B4) &gt; 0, Herrramientas_mecánicas2165109152195[[#Headers],[Herramientas_mecánicas]],
    COUNTIF(AH4:AH10, B4) &gt; 0, Herramientas_hidráulicas2266110153196[[#Headers],[Herramientas_hidráulicas]],
    COUNTIF(EPP_2367111154197[SPCC], B4) &gt; 0, EPP_2367111154197[[#Headers],[SPCC]],
   COUNTIF(Herramientas_de_izaje2468112155198[Herramientas_de_izaje], B4) &gt; 0, Herramientas_de_izaje2468112155198[[#Headers],[Herramientas_de_izaje]],
COUNTIF(Tabla162670114157200[Equipos], B4) &gt; 0, Tabla162670114157200[[#Headers],[Equipos]],
    TRUE, "Sin clasificación"
)</f>
        <v>Sin clasificación</v>
      </c>
      <c r="F4" s="93"/>
      <c r="G4" s="93" t="s">
        <v>2550</v>
      </c>
      <c r="H4" s="15" t="s">
        <v>2540</v>
      </c>
      <c r="I4" s="15"/>
      <c r="J4" s="47"/>
      <c r="L4" s="47"/>
      <c r="M4" s="47" t="s">
        <v>2544</v>
      </c>
      <c r="O4" s="15"/>
      <c r="Q4" s="48"/>
      <c r="T4" s="49">
        <v>3</v>
      </c>
      <c r="U4" s="50" t="s">
        <v>173</v>
      </c>
      <c r="W4" s="55">
        <v>3</v>
      </c>
      <c r="X4" s="56" t="s">
        <v>224</v>
      </c>
      <c r="Z4" s="51">
        <v>3</v>
      </c>
      <c r="AA4" s="53" t="s">
        <v>6</v>
      </c>
      <c r="AD4" s="10" t="s">
        <v>32</v>
      </c>
      <c r="AE4" t="s">
        <v>33</v>
      </c>
      <c r="AF4" t="s">
        <v>34</v>
      </c>
      <c r="AG4" t="s">
        <v>35</v>
      </c>
      <c r="AH4" s="5" t="s">
        <v>36</v>
      </c>
      <c r="AI4" s="11" t="s">
        <v>37</v>
      </c>
      <c r="AJ4" t="s">
        <v>38</v>
      </c>
      <c r="AL4" s="11" t="s">
        <v>39</v>
      </c>
      <c r="AM4" s="7" t="s">
        <v>40</v>
      </c>
      <c r="AP4" s="25" t="s">
        <v>225</v>
      </c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</row>
    <row r="5" spans="2:67" x14ac:dyDescent="0.3">
      <c r="B5" t="s">
        <v>2538</v>
      </c>
      <c r="C5" s="11" t="s">
        <v>176</v>
      </c>
      <c r="D5">
        <v>1</v>
      </c>
      <c r="E5" s="11" t="str" cm="1">
        <f t="array" ref="E5">_xlfn.IFS(
    COUNTIF(Herramientas_eléctricas1862106149192[Herramientas_eléctricas], B5) &gt; 0, Herramientas_eléctricas1862106149192[[#Headers],[Herramientas_eléctricas]],
    COUNTIF(Herramientas_neumáticas1963107150193[Herramientas_neumáticas], B5) &gt; 0, Herramientas_neumáticas1963107150193[[#Headers],[Herramientas_neumáticas]],
    COUNTIF(Herramientas_de_medición2064108151194[Herramientas_de_medición], B5) &gt; 0, Herramientas_de_medición2064108151194[[#Headers],[Herramientas_de_medición]],
    COUNTIF(Herrramientas_mecánicas2165109152195[Herramientas_mecánicas], B5) &gt; 0, Herrramientas_mecánicas2165109152195[[#Headers],[Herramientas_mecánicas]],
    COUNTIF(AH5:AH11, B5) &gt; 0, Herramientas_hidráulicas2266110153196[[#Headers],[Herramientas_hidráulicas]],
    COUNTIF(EPP_2367111154197[SPCC], B5) &gt; 0, EPP_2367111154197[[#Headers],[SPCC]],
   COUNTIF(Herramientas_de_izaje2468112155198[Herramientas_de_izaje], B5) &gt; 0, Herramientas_de_izaje2468112155198[[#Headers],[Herramientas_de_izaje]],
COUNTIF(Tabla162670114157200[Equipos], B5) &gt; 0, Tabla162670114157200[[#Headers],[Equipos]],
    TRUE, "Sin clasificación"
)</f>
        <v>Sin clasificación</v>
      </c>
      <c r="F5" s="93"/>
      <c r="G5" s="93" t="s">
        <v>2550</v>
      </c>
      <c r="H5" s="15" t="s">
        <v>2540</v>
      </c>
      <c r="I5" s="15"/>
      <c r="J5" s="47"/>
      <c r="L5" s="47"/>
      <c r="M5" s="47" t="s">
        <v>2545</v>
      </c>
      <c r="O5" s="15"/>
      <c r="Q5" s="48"/>
      <c r="T5" s="49">
        <v>4</v>
      </c>
      <c r="U5" s="50" t="s">
        <v>174</v>
      </c>
      <c r="Z5" s="51">
        <v>4</v>
      </c>
      <c r="AA5" s="53" t="s">
        <v>7</v>
      </c>
      <c r="AD5" t="s">
        <v>41</v>
      </c>
      <c r="AE5" t="s">
        <v>42</v>
      </c>
      <c r="AF5" t="s">
        <v>43</v>
      </c>
      <c r="AG5" t="s">
        <v>44</v>
      </c>
      <c r="AH5" s="5" t="s">
        <v>45</v>
      </c>
      <c r="AJ5" t="s">
        <v>46</v>
      </c>
      <c r="AL5" s="12" t="s">
        <v>47</v>
      </c>
      <c r="AM5" s="9" t="s">
        <v>48</v>
      </c>
      <c r="AP5" s="25" t="s">
        <v>226</v>
      </c>
      <c r="AQ5" t="s">
        <v>80</v>
      </c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</row>
    <row r="6" spans="2:67" ht="30" customHeight="1" x14ac:dyDescent="0.3">
      <c r="B6" t="s">
        <v>2538</v>
      </c>
      <c r="C6" s="11" t="s">
        <v>176</v>
      </c>
      <c r="D6">
        <v>1</v>
      </c>
      <c r="E6" s="11" t="str" cm="1">
        <f t="array" ref="E6">_xlfn.IFS(
    COUNTIF(Herramientas_eléctricas1862106149192[Herramientas_eléctricas], B6) &gt; 0, Herramientas_eléctricas1862106149192[[#Headers],[Herramientas_eléctricas]],
    COUNTIF(Herramientas_neumáticas1963107150193[Herramientas_neumáticas], B6) &gt; 0, Herramientas_neumáticas1963107150193[[#Headers],[Herramientas_neumáticas]],
    COUNTIF(Herramientas_de_medición2064108151194[Herramientas_de_medición], B6) &gt; 0, Herramientas_de_medición2064108151194[[#Headers],[Herramientas_de_medición]],
    COUNTIF(Herrramientas_mecánicas2165109152195[Herramientas_mecánicas], B6) &gt; 0, Herrramientas_mecánicas2165109152195[[#Headers],[Herramientas_mecánicas]],
    COUNTIF(AH6:AH12, B6) &gt; 0, Herramientas_hidráulicas2266110153196[[#Headers],[Herramientas_hidráulicas]],
    COUNTIF(EPP_2367111154197[SPCC], B6) &gt; 0, EPP_2367111154197[[#Headers],[SPCC]],
   COUNTIF(Herramientas_de_izaje2468112155198[Herramientas_de_izaje], B6) &gt; 0, Herramientas_de_izaje2468112155198[[#Headers],[Herramientas_de_izaje]],
COUNTIF(Tabla162670114157200[Equipos], B6) &gt; 0, Tabla162670114157200[[#Headers],[Equipos]],
    TRUE, "Sin clasificación"
)</f>
        <v>Sin clasificación</v>
      </c>
      <c r="F6" s="93"/>
      <c r="G6" s="93" t="s">
        <v>2550</v>
      </c>
      <c r="H6" s="15" t="s">
        <v>2543</v>
      </c>
      <c r="I6" s="15"/>
      <c r="J6" s="47"/>
      <c r="L6" s="47"/>
      <c r="M6" s="47" t="s">
        <v>2546</v>
      </c>
      <c r="O6" s="15"/>
      <c r="Q6" s="48"/>
      <c r="T6" s="49">
        <v>5</v>
      </c>
      <c r="U6" s="50" t="s">
        <v>175</v>
      </c>
      <c r="Z6" s="51">
        <v>5</v>
      </c>
      <c r="AA6" s="53" t="s">
        <v>8</v>
      </c>
      <c r="AD6" t="s">
        <v>49</v>
      </c>
      <c r="AE6" t="s">
        <v>36</v>
      </c>
      <c r="AF6" t="s">
        <v>50</v>
      </c>
      <c r="AG6" t="s">
        <v>51</v>
      </c>
      <c r="AH6" s="5" t="s">
        <v>52</v>
      </c>
      <c r="AL6" t="s">
        <v>53</v>
      </c>
      <c r="AM6" s="7" t="s">
        <v>54</v>
      </c>
      <c r="AP6" s="25" t="s">
        <v>227</v>
      </c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</row>
    <row r="7" spans="2:67" ht="30" customHeight="1" x14ac:dyDescent="0.3">
      <c r="B7" t="s">
        <v>2538</v>
      </c>
      <c r="C7" s="11" t="s">
        <v>176</v>
      </c>
      <c r="D7">
        <v>1</v>
      </c>
      <c r="E7" s="11" t="str" cm="1">
        <f t="array" ref="E7">_xlfn.IFS(
    COUNTIF(Herramientas_eléctricas1862106149192[Herramientas_eléctricas], B7) &gt; 0, Herramientas_eléctricas1862106149192[[#Headers],[Herramientas_eléctricas]],
    COUNTIF(Herramientas_neumáticas1963107150193[Herramientas_neumáticas], B7) &gt; 0, Herramientas_neumáticas1963107150193[[#Headers],[Herramientas_neumáticas]],
    COUNTIF(Herramientas_de_medición2064108151194[Herramientas_de_medición], B7) &gt; 0, Herramientas_de_medición2064108151194[[#Headers],[Herramientas_de_medición]],
    COUNTIF(Herrramientas_mecánicas2165109152195[Herramientas_mecánicas], B7) &gt; 0, Herrramientas_mecánicas2165109152195[[#Headers],[Herramientas_mecánicas]],
    COUNTIF(AH7:AH13, B7) &gt; 0, Herramientas_hidráulicas2266110153196[[#Headers],[Herramientas_hidráulicas]],
    COUNTIF(EPP_2367111154197[SPCC], B7) &gt; 0, EPP_2367111154197[[#Headers],[SPCC]],
   COUNTIF(Herramientas_de_izaje2468112155198[Herramientas_de_izaje], B7) &gt; 0, Herramientas_de_izaje2468112155198[[#Headers],[Herramientas_de_izaje]],
COUNTIF(Tabla162670114157200[Equipos], B7) &gt; 0, Tabla162670114157200[[#Headers],[Equipos]],
    TRUE, "Sin clasificación"
)</f>
        <v>Sin clasificación</v>
      </c>
      <c r="F7" s="15" t="s">
        <v>2553</v>
      </c>
      <c r="G7" s="15" t="s">
        <v>2552</v>
      </c>
      <c r="H7" s="15" t="s">
        <v>2540</v>
      </c>
      <c r="I7" s="15"/>
      <c r="J7" s="47"/>
      <c r="L7" s="47"/>
      <c r="M7" s="47" t="s">
        <v>2547</v>
      </c>
      <c r="O7" s="15"/>
      <c r="Q7" s="48"/>
      <c r="T7" s="49">
        <v>6</v>
      </c>
      <c r="U7" s="50" t="s">
        <v>176</v>
      </c>
      <c r="Z7" s="55">
        <v>6</v>
      </c>
      <c r="AA7" s="56" t="s">
        <v>10</v>
      </c>
      <c r="AD7" t="s">
        <v>55</v>
      </c>
      <c r="AF7" s="11" t="s">
        <v>56</v>
      </c>
      <c r="AG7" s="5" t="s">
        <v>57</v>
      </c>
      <c r="AH7" t="s">
        <v>58</v>
      </c>
      <c r="AM7" s="13" t="s">
        <v>59</v>
      </c>
      <c r="AP7" s="15" t="s">
        <v>228</v>
      </c>
      <c r="AQ7" s="15" t="s">
        <v>229</v>
      </c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</row>
    <row r="8" spans="2:67" ht="33.6" customHeight="1" x14ac:dyDescent="0.3">
      <c r="B8" t="s">
        <v>2538</v>
      </c>
      <c r="C8" s="11" t="s">
        <v>176</v>
      </c>
      <c r="D8">
        <v>1</v>
      </c>
      <c r="E8" s="11" t="str" cm="1">
        <f t="array" ref="E8">_xlfn.IFS(
    COUNTIF(Herramientas_eléctricas1862106149192[Herramientas_eléctricas], B8) &gt; 0, Herramientas_eléctricas1862106149192[[#Headers],[Herramientas_eléctricas]],
    COUNTIF(Herramientas_neumáticas1963107150193[Herramientas_neumáticas], B8) &gt; 0, Herramientas_neumáticas1963107150193[[#Headers],[Herramientas_neumáticas]],
    COUNTIF(Herramientas_de_medición2064108151194[Herramientas_de_medición], B8) &gt; 0, Herramientas_de_medición2064108151194[[#Headers],[Herramientas_de_medición]],
    COUNTIF(Herrramientas_mecánicas2165109152195[Herramientas_mecánicas], B8) &gt; 0, Herrramientas_mecánicas2165109152195[[#Headers],[Herramientas_mecánicas]],
    COUNTIF(AH8:AH14, B8) &gt; 0, Herramientas_hidráulicas2266110153196[[#Headers],[Herramientas_hidráulicas]],
    COUNTIF(EPP_2367111154197[SPCC], B8) &gt; 0, EPP_2367111154197[[#Headers],[SPCC]],
   COUNTIF(Herramientas_de_izaje2468112155198[Herramientas_de_izaje], B8) &gt; 0, Herramientas_de_izaje2468112155198[[#Headers],[Herramientas_de_izaje]],
COUNTIF(Tabla162670114157200[Equipos], B8) &gt; 0, Tabla162670114157200[[#Headers],[Equipos]],
    TRUE, "Sin clasificación"
)</f>
        <v>Sin clasificación</v>
      </c>
      <c r="F8" s="15" t="s">
        <v>2553</v>
      </c>
      <c r="G8" s="15" t="s">
        <v>2552</v>
      </c>
      <c r="H8" s="15" t="s">
        <v>2540</v>
      </c>
      <c r="I8" s="15"/>
      <c r="J8" s="47"/>
      <c r="L8" s="47"/>
      <c r="M8" s="47" t="s">
        <v>2548</v>
      </c>
      <c r="O8" s="15"/>
      <c r="Q8" s="48"/>
      <c r="T8" s="49">
        <v>7</v>
      </c>
      <c r="U8" s="50" t="s">
        <v>177</v>
      </c>
      <c r="AD8" t="s">
        <v>60</v>
      </c>
      <c r="AF8" s="11" t="s">
        <v>61</v>
      </c>
      <c r="AG8" t="s">
        <v>62</v>
      </c>
      <c r="AH8" t="s">
        <v>35</v>
      </c>
      <c r="AM8" s="14" t="s">
        <v>63</v>
      </c>
      <c r="AP8" s="25" t="s">
        <v>230</v>
      </c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</row>
    <row r="9" spans="2:67" ht="30" customHeight="1" x14ac:dyDescent="0.3">
      <c r="B9" t="s">
        <v>2538</v>
      </c>
      <c r="C9" s="11" t="s">
        <v>176</v>
      </c>
      <c r="D9">
        <v>1</v>
      </c>
      <c r="E9" s="11" t="str" cm="1">
        <f t="array" ref="E9">_xlfn.IFS(
    COUNTIF(Herramientas_eléctricas1862106149192[Herramientas_eléctricas], B9) &gt; 0, Herramientas_eléctricas1862106149192[[#Headers],[Herramientas_eléctricas]],
    COUNTIF(Herramientas_neumáticas1963107150193[Herramientas_neumáticas], B9) &gt; 0, Herramientas_neumáticas1963107150193[[#Headers],[Herramientas_neumáticas]],
    COUNTIF(Herramientas_de_medición2064108151194[Herramientas_de_medición], B9) &gt; 0, Herramientas_de_medición2064108151194[[#Headers],[Herramientas_de_medición]],
    COUNTIF(Herrramientas_mecánicas2165109152195[Herramientas_mecánicas], B9) &gt; 0, Herrramientas_mecánicas2165109152195[[#Headers],[Herramientas_mecánicas]],
    COUNTIF(AH9:AH15, B9) &gt; 0, Herramientas_hidráulicas2266110153196[[#Headers],[Herramientas_hidráulicas]],
    COUNTIF(EPP_2367111154197[SPCC], B9) &gt; 0, EPP_2367111154197[[#Headers],[SPCC]],
   COUNTIF(Herramientas_de_izaje2468112155198[Herramientas_de_izaje], B9) &gt; 0, Herramientas_de_izaje2468112155198[[#Headers],[Herramientas_de_izaje]],
COUNTIF(Tabla162670114157200[Equipos], B9) &gt; 0, Tabla162670114157200[[#Headers],[Equipos]],
    TRUE, "Sin clasificación"
)</f>
        <v>Sin clasificación</v>
      </c>
      <c r="F9" s="15" t="s">
        <v>2553</v>
      </c>
      <c r="G9" s="15" t="s">
        <v>2552</v>
      </c>
      <c r="H9" s="15" t="s">
        <v>2540</v>
      </c>
      <c r="I9" s="15"/>
      <c r="J9" s="47"/>
      <c r="L9" s="47"/>
      <c r="M9" s="47" t="s">
        <v>2549</v>
      </c>
      <c r="O9" s="15"/>
      <c r="Q9" s="48"/>
      <c r="T9" s="49">
        <v>8</v>
      </c>
      <c r="U9" s="57" t="s">
        <v>178</v>
      </c>
      <c r="Z9" s="58" t="s">
        <v>210</v>
      </c>
      <c r="AD9" t="s">
        <v>64</v>
      </c>
      <c r="AF9" s="15" t="s">
        <v>65</v>
      </c>
      <c r="AG9" t="s">
        <v>66</v>
      </c>
      <c r="AH9" s="16"/>
      <c r="AM9" s="9" t="s">
        <v>67</v>
      </c>
      <c r="AP9" s="25" t="s">
        <v>231</v>
      </c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</row>
    <row r="10" spans="2:67" ht="26.4" customHeight="1" x14ac:dyDescent="0.3">
      <c r="B10" t="s">
        <v>2538</v>
      </c>
      <c r="C10" s="11" t="s">
        <v>174</v>
      </c>
      <c r="D10">
        <v>1</v>
      </c>
      <c r="E10" s="11" t="str" cm="1">
        <f t="array" ref="E10">_xlfn.IFS(
    COUNTIF(Herramientas_eléctricas1862106149192[Herramientas_eléctricas], B10) &gt; 0, Herramientas_eléctricas1862106149192[[#Headers],[Herramientas_eléctricas]],
    COUNTIF(Herramientas_neumáticas1963107150193[Herramientas_neumáticas], B10) &gt; 0, Herramientas_neumáticas1963107150193[[#Headers],[Herramientas_neumáticas]],
    COUNTIF(Herramientas_de_medición2064108151194[Herramientas_de_medición], B10) &gt; 0, Herramientas_de_medición2064108151194[[#Headers],[Herramientas_de_medición]],
    COUNTIF(Herrramientas_mecánicas2165109152195[Herramientas_mecánicas], B10) &gt; 0, Herrramientas_mecánicas2165109152195[[#Headers],[Herramientas_mecánicas]],
    COUNTIF(AH10:AH16, B10) &gt; 0, Herramientas_hidráulicas2266110153196[[#Headers],[Herramientas_hidráulicas]],
    COUNTIF(EPP_2367111154197[SPCC], B10) &gt; 0, EPP_2367111154197[[#Headers],[SPCC]],
   COUNTIF(Herramientas_de_izaje2468112155198[Herramientas_de_izaje], B10) &gt; 0, Herramientas_de_izaje2468112155198[[#Headers],[Herramientas_de_izaje]],
COUNTIF(Tabla162670114157200[Equipos], B10) &gt; 0, Tabla162670114157200[[#Headers],[Equipos]],
    TRUE, "Sin clasificación"
)</f>
        <v>Sin clasificación</v>
      </c>
      <c r="F10" s="15"/>
      <c r="G10" s="15" t="s">
        <v>2556</v>
      </c>
      <c r="H10" s="15" t="s">
        <v>2540</v>
      </c>
      <c r="I10" s="15"/>
      <c r="J10" s="47"/>
      <c r="L10" s="47"/>
      <c r="M10" s="47" t="s">
        <v>2557</v>
      </c>
      <c r="O10" s="15"/>
      <c r="Q10" s="48"/>
      <c r="T10" s="49">
        <v>9</v>
      </c>
      <c r="U10" s="57" t="s">
        <v>179</v>
      </c>
      <c r="Z10" s="59" t="s">
        <v>232</v>
      </c>
      <c r="AD10" s="17" t="s">
        <v>68</v>
      </c>
      <c r="AF10" s="15" t="s">
        <v>69</v>
      </c>
      <c r="AG10" t="s">
        <v>70</v>
      </c>
      <c r="AM10" s="18" t="s">
        <v>71</v>
      </c>
      <c r="AP10" s="15" t="s">
        <v>95</v>
      </c>
    </row>
    <row r="11" spans="2:67" ht="33.6" customHeight="1" x14ac:dyDescent="0.3">
      <c r="B11" t="s">
        <v>2538</v>
      </c>
      <c r="C11" s="11" t="s">
        <v>173</v>
      </c>
      <c r="E11" s="11" t="str" cm="1">
        <f t="array" ref="E11">_xlfn.IFS(
    COUNTIF(Herramientas_eléctricas1862106149192[Herramientas_eléctricas], B11) &gt; 0, Herramientas_eléctricas1862106149192[[#Headers],[Herramientas_eléctricas]],
    COUNTIF(Herramientas_neumáticas1963107150193[Herramientas_neumáticas], B11) &gt; 0, Herramientas_neumáticas1963107150193[[#Headers],[Herramientas_neumáticas]],
    COUNTIF(Herramientas_de_medición2064108151194[Herramientas_de_medición], B11) &gt; 0, Herramientas_de_medición2064108151194[[#Headers],[Herramientas_de_medición]],
    COUNTIF(Herrramientas_mecánicas2165109152195[Herramientas_mecánicas], B11) &gt; 0, Herrramientas_mecánicas2165109152195[[#Headers],[Herramientas_mecánicas]],
    COUNTIF(AH11:AH17, B11) &gt; 0, Herramientas_hidráulicas2266110153196[[#Headers],[Herramientas_hidráulicas]],
    COUNTIF(EPP_2367111154197[SPCC], B11) &gt; 0, EPP_2367111154197[[#Headers],[SPCC]],
   COUNTIF(Herramientas_de_izaje2468112155198[Herramientas_de_izaje], B11) &gt; 0, Herramientas_de_izaje2468112155198[[#Headers],[Herramientas_de_izaje]],
COUNTIF(Tabla162670114157200[Equipos], B11) &gt; 0, Tabla162670114157200[[#Headers],[Equipos]],
    TRUE, "Sin clasificación"
)</f>
        <v>Sin clasificación</v>
      </c>
      <c r="F11" s="15"/>
      <c r="G11" s="15" t="s">
        <v>2559</v>
      </c>
      <c r="H11" s="15" t="s">
        <v>2540</v>
      </c>
      <c r="I11" s="15"/>
      <c r="J11" s="85"/>
      <c r="L11" s="47"/>
      <c r="M11" s="47" t="s">
        <v>2558</v>
      </c>
      <c r="O11" s="15"/>
      <c r="Q11" s="48"/>
      <c r="T11" s="60">
        <v>10</v>
      </c>
      <c r="U11" s="61" t="s">
        <v>180</v>
      </c>
      <c r="Z11" s="59" t="s">
        <v>233</v>
      </c>
      <c r="AD11" s="8" t="s">
        <v>72</v>
      </c>
      <c r="AF11" s="15" t="s">
        <v>73</v>
      </c>
      <c r="AG11" t="s">
        <v>74</v>
      </c>
      <c r="AM11" s="18" t="s">
        <v>75</v>
      </c>
      <c r="BA11" s="62"/>
    </row>
    <row r="12" spans="2:67" ht="72" x14ac:dyDescent="0.3">
      <c r="B12" t="s">
        <v>2538</v>
      </c>
      <c r="C12" s="11" t="s">
        <v>179</v>
      </c>
      <c r="E12" s="11" t="str" cm="1">
        <f t="array" ref="E12">_xlfn.IFS(
    COUNTIF(Herramientas_eléctricas1862106149192[Herramientas_eléctricas], B12) &gt; 0, Herramientas_eléctricas1862106149192[[#Headers],[Herramientas_eléctricas]],
    COUNTIF(Herramientas_neumáticas1963107150193[Herramientas_neumáticas], B12) &gt; 0, Herramientas_neumáticas1963107150193[[#Headers],[Herramientas_neumáticas]],
    COUNTIF(Herramientas_de_medición2064108151194[Herramientas_de_medición], B12) &gt; 0, Herramientas_de_medición2064108151194[[#Headers],[Herramientas_de_medición]],
    COUNTIF(Herrramientas_mecánicas2165109152195[Herramientas_mecánicas], B12) &gt; 0, Herrramientas_mecánicas2165109152195[[#Headers],[Herramientas_mecánicas]],
    COUNTIF(AH12:AH18, B12) &gt; 0, Herramientas_hidráulicas2266110153196[[#Headers],[Herramientas_hidráulicas]],
    COUNTIF(EPP_2367111154197[SPCC], B12) &gt; 0, EPP_2367111154197[[#Headers],[SPCC]],
   COUNTIF(Herramientas_de_izaje2468112155198[Herramientas_de_izaje], B12) &gt; 0, Herramientas_de_izaje2468112155198[[#Headers],[Herramientas_de_izaje]],
COUNTIF(Tabla162670114157200[Equipos], B12) &gt; 0, Tabla162670114157200[[#Headers],[Equipos]],
    TRUE, "Sin clasificación"
)</f>
        <v>Sin clasificación</v>
      </c>
      <c r="F12" s="15"/>
      <c r="G12" s="93" t="s">
        <v>2560</v>
      </c>
      <c r="H12" s="15" t="s">
        <v>2540</v>
      </c>
      <c r="I12" s="15"/>
      <c r="J12" s="47"/>
      <c r="L12" s="47"/>
      <c r="M12" s="47" t="s">
        <v>2562</v>
      </c>
      <c r="O12" s="15"/>
      <c r="Q12" s="48"/>
      <c r="T12" s="60">
        <v>11</v>
      </c>
      <c r="U12" s="61" t="s">
        <v>181</v>
      </c>
      <c r="Z12" s="33" t="s">
        <v>234</v>
      </c>
      <c r="AD12" t="s">
        <v>19</v>
      </c>
      <c r="AE12" t="s">
        <v>76</v>
      </c>
      <c r="AF12" s="15" t="s">
        <v>77</v>
      </c>
      <c r="AG12" t="s">
        <v>78</v>
      </c>
      <c r="AM12" s="19" t="s">
        <v>79</v>
      </c>
      <c r="AP12" s="11"/>
    </row>
    <row r="13" spans="2:67" ht="28.8" x14ac:dyDescent="0.3">
      <c r="B13" t="s">
        <v>2538</v>
      </c>
      <c r="C13" s="11" t="s">
        <v>179</v>
      </c>
      <c r="E13" s="11" t="str" cm="1">
        <f t="array" ref="E13">_xlfn.IFS(
    COUNTIF(Herramientas_eléctricas1862106149192[Herramientas_eléctricas], B13) &gt; 0, Herramientas_eléctricas1862106149192[[#Headers],[Herramientas_eléctricas]],
    COUNTIF(Herramientas_neumáticas1963107150193[Herramientas_neumáticas], B13) &gt; 0, Herramientas_neumáticas1963107150193[[#Headers],[Herramientas_neumáticas]],
    COUNTIF(Herramientas_de_medición2064108151194[Herramientas_de_medición], B13) &gt; 0, Herramientas_de_medición2064108151194[[#Headers],[Herramientas_de_medición]],
    COUNTIF(Herrramientas_mecánicas2165109152195[Herramientas_mecánicas], B13) &gt; 0, Herrramientas_mecánicas2165109152195[[#Headers],[Herramientas_mecánicas]],
    COUNTIF(AH13:AH19, B13) &gt; 0, Herramientas_hidráulicas2266110153196[[#Headers],[Herramientas_hidráulicas]],
    COUNTIF(EPP_2367111154197[SPCC], B13) &gt; 0, EPP_2367111154197[[#Headers],[SPCC]],
   COUNTIF(Herramientas_de_izaje2468112155198[Herramientas_de_izaje], B13) &gt; 0, Herramientas_de_izaje2468112155198[[#Headers],[Herramientas_de_izaje]],
COUNTIF(Tabla162670114157200[Equipos], B13) &gt; 0, Tabla162670114157200[[#Headers],[Equipos]],
    TRUE, "Sin clasificación"
)</f>
        <v>Sin clasificación</v>
      </c>
      <c r="F13" s="15"/>
      <c r="G13" s="93" t="s">
        <v>2561</v>
      </c>
      <c r="H13" s="15" t="s">
        <v>2540</v>
      </c>
      <c r="I13" s="15"/>
      <c r="J13" s="47"/>
      <c r="L13" s="47"/>
      <c r="M13" s="47" t="s">
        <v>2563</v>
      </c>
      <c r="O13" s="15"/>
      <c r="Q13" s="48"/>
      <c r="T13" s="60">
        <v>12</v>
      </c>
      <c r="U13" s="61" t="s">
        <v>2578</v>
      </c>
      <c r="AD13" t="s">
        <v>80</v>
      </c>
      <c r="AF13" s="15" t="s">
        <v>81</v>
      </c>
      <c r="AG13" t="s">
        <v>82</v>
      </c>
      <c r="AM13" s="20" t="s">
        <v>83</v>
      </c>
      <c r="AP13" s="11"/>
      <c r="AU13" s="11"/>
    </row>
    <row r="14" spans="2:67" ht="43.2" x14ac:dyDescent="0.3">
      <c r="B14" t="s">
        <v>2538</v>
      </c>
      <c r="C14" s="11" t="s">
        <v>179</v>
      </c>
      <c r="E14" s="11" t="str" cm="1">
        <f t="array" ref="E14">_xlfn.IFS(
    COUNTIF(Herramientas_eléctricas1862106149192[Herramientas_eléctricas], B14) &gt; 0, Herramientas_eléctricas1862106149192[[#Headers],[Herramientas_eléctricas]],
    COUNTIF(Herramientas_neumáticas1963107150193[Herramientas_neumáticas], B14) &gt; 0, Herramientas_neumáticas1963107150193[[#Headers],[Herramientas_neumáticas]],
    COUNTIF(Herramientas_de_medición2064108151194[Herramientas_de_medición], B14) &gt; 0, Herramientas_de_medición2064108151194[[#Headers],[Herramientas_de_medición]],
    COUNTIF(Herrramientas_mecánicas2165109152195[Herramientas_mecánicas], B14) &gt; 0, Herrramientas_mecánicas2165109152195[[#Headers],[Herramientas_mecánicas]],
    COUNTIF(AH14:AH20, B14) &gt; 0, Herramientas_hidráulicas2266110153196[[#Headers],[Herramientas_hidráulicas]],
    COUNTIF(EPP_2367111154197[SPCC], B14) &gt; 0, EPP_2367111154197[[#Headers],[SPCC]],
   COUNTIF(Herramientas_de_izaje2468112155198[Herramientas_de_izaje], B14) &gt; 0, Herramientas_de_izaje2468112155198[[#Headers],[Herramientas_de_izaje]],
COUNTIF(Tabla162670114157200[Equipos], B14) &gt; 0, Tabla162670114157200[[#Headers],[Equipos]],
    TRUE, "Sin clasificación"
)</f>
        <v>Sin clasificación</v>
      </c>
      <c r="F14" s="15"/>
      <c r="G14" s="93" t="s">
        <v>2561</v>
      </c>
      <c r="H14" s="15" t="s">
        <v>2543</v>
      </c>
      <c r="I14" s="15"/>
      <c r="J14" s="47"/>
      <c r="L14" s="47"/>
      <c r="M14" s="47" t="s">
        <v>2564</v>
      </c>
      <c r="O14" s="15"/>
      <c r="Q14" s="48"/>
      <c r="T14" s="60">
        <v>13</v>
      </c>
      <c r="U14" s="61" t="s">
        <v>2604</v>
      </c>
      <c r="AD14" t="s">
        <v>84</v>
      </c>
      <c r="AF14" s="15" t="s">
        <v>85</v>
      </c>
      <c r="AG14" t="s">
        <v>86</v>
      </c>
      <c r="AM14" s="18" t="s">
        <v>87</v>
      </c>
    </row>
    <row r="15" spans="2:67" ht="43.95" customHeight="1" x14ac:dyDescent="0.3">
      <c r="B15" t="s">
        <v>2538</v>
      </c>
      <c r="C15" s="11" t="s">
        <v>177</v>
      </c>
      <c r="E15" s="11" t="str" cm="1">
        <f t="array" ref="E15">_xlfn.IFS(
    COUNTIF(Herramientas_eléctricas1862106149192[Herramientas_eléctricas], B15) &gt; 0, Herramientas_eléctricas1862106149192[[#Headers],[Herramientas_eléctricas]],
    COUNTIF(Herramientas_neumáticas1963107150193[Herramientas_neumáticas], B15) &gt; 0, Herramientas_neumáticas1963107150193[[#Headers],[Herramientas_neumáticas]],
    COUNTIF(Herramientas_de_medición2064108151194[Herramientas_de_medición], B15) &gt; 0, Herramientas_de_medición2064108151194[[#Headers],[Herramientas_de_medición]],
    COUNTIF(Herrramientas_mecánicas2165109152195[Herramientas_mecánicas], B15) &gt; 0, Herrramientas_mecánicas2165109152195[[#Headers],[Herramientas_mecánicas]],
    COUNTIF(AH15:AH21, B15) &gt; 0, Herramientas_hidráulicas2266110153196[[#Headers],[Herramientas_hidráulicas]],
    COUNTIF(EPP_2367111154197[SPCC], B15) &gt; 0, EPP_2367111154197[[#Headers],[SPCC]],
   COUNTIF(Herramientas_de_izaje2468112155198[Herramientas_de_izaje], B15) &gt; 0, Herramientas_de_izaje2468112155198[[#Headers],[Herramientas_de_izaje]],
COUNTIF(Tabla162670114157200[Equipos], B15) &gt; 0, Tabla162670114157200[[#Headers],[Equipos]],
    TRUE, "Sin clasificación"
)</f>
        <v>Sin clasificación</v>
      </c>
      <c r="F15" s="15"/>
      <c r="G15" s="93" t="s">
        <v>2565</v>
      </c>
      <c r="H15" s="15" t="s">
        <v>2540</v>
      </c>
      <c r="I15" s="15"/>
      <c r="J15" s="47"/>
      <c r="L15" s="47"/>
      <c r="M15" s="47" t="s">
        <v>2567</v>
      </c>
      <c r="O15" s="15"/>
      <c r="Q15" s="48"/>
      <c r="T15" s="60">
        <v>14</v>
      </c>
      <c r="U15" s="61" t="s">
        <v>2605</v>
      </c>
      <c r="AD15" t="s">
        <v>88</v>
      </c>
      <c r="AF15" t="s">
        <v>89</v>
      </c>
      <c r="AG15" t="s">
        <v>90</v>
      </c>
      <c r="AM15" s="21" t="s">
        <v>91</v>
      </c>
      <c r="AP15" s="11"/>
    </row>
    <row r="16" spans="2:67" ht="28.8" x14ac:dyDescent="0.3">
      <c r="B16" t="s">
        <v>2538</v>
      </c>
      <c r="C16" s="11" t="s">
        <v>177</v>
      </c>
      <c r="E16" s="11" t="str" cm="1">
        <f t="array" ref="E16">_xlfn.IFS(
    COUNTIF(Herramientas_eléctricas1862106149192[Herramientas_eléctricas], B16) &gt; 0, Herramientas_eléctricas1862106149192[[#Headers],[Herramientas_eléctricas]],
    COUNTIF(Herramientas_neumáticas1963107150193[Herramientas_neumáticas], B16) &gt; 0, Herramientas_neumáticas1963107150193[[#Headers],[Herramientas_neumáticas]],
    COUNTIF(Herramientas_de_medición2064108151194[Herramientas_de_medición], B16) &gt; 0, Herramientas_de_medición2064108151194[[#Headers],[Herramientas_de_medición]],
    COUNTIF(Herrramientas_mecánicas2165109152195[Herramientas_mecánicas], B16) &gt; 0, Herrramientas_mecánicas2165109152195[[#Headers],[Herramientas_mecánicas]],
    COUNTIF(AH16:AH22, B16) &gt; 0, Herramientas_hidráulicas2266110153196[[#Headers],[Herramientas_hidráulicas]],
    COUNTIF(EPP_2367111154197[SPCC], B16) &gt; 0, EPP_2367111154197[[#Headers],[SPCC]],
   COUNTIF(Herramientas_de_izaje2468112155198[Herramientas_de_izaje], B16) &gt; 0, Herramientas_de_izaje2468112155198[[#Headers],[Herramientas_de_izaje]],
COUNTIF(Tabla162670114157200[Equipos], B16) &gt; 0, Tabla162670114157200[[#Headers],[Equipos]],
    TRUE, "Sin clasificación"
)</f>
        <v>Sin clasificación</v>
      </c>
      <c r="F16" s="15"/>
      <c r="G16" s="93" t="s">
        <v>2565</v>
      </c>
      <c r="H16" s="15" t="s">
        <v>2540</v>
      </c>
      <c r="I16" s="15"/>
      <c r="J16" s="47"/>
      <c r="L16" s="47"/>
      <c r="M16" s="47" t="s">
        <v>2568</v>
      </c>
      <c r="O16" s="15"/>
      <c r="Q16" s="48"/>
      <c r="AD16" t="s">
        <v>41</v>
      </c>
      <c r="AF16" t="s">
        <v>62</v>
      </c>
      <c r="AG16" s="11" t="s">
        <v>92</v>
      </c>
      <c r="AH16" s="22"/>
      <c r="AM16" s="23" t="s">
        <v>93</v>
      </c>
    </row>
    <row r="17" spans="2:42" ht="28.8" x14ac:dyDescent="0.3">
      <c r="B17" t="s">
        <v>2538</v>
      </c>
      <c r="C17" s="11" t="s">
        <v>177</v>
      </c>
      <c r="E17" s="11" t="str" cm="1">
        <f t="array" ref="E17">_xlfn.IFS(
    COUNTIF(Herramientas_eléctricas1862106149192[Herramientas_eléctricas], B17) &gt; 0, Herramientas_eléctricas1862106149192[[#Headers],[Herramientas_eléctricas]],
    COUNTIF(Herramientas_neumáticas1963107150193[Herramientas_neumáticas], B17) &gt; 0, Herramientas_neumáticas1963107150193[[#Headers],[Herramientas_neumáticas]],
    COUNTIF(Herramientas_de_medición2064108151194[Herramientas_de_medición], B17) &gt; 0, Herramientas_de_medición2064108151194[[#Headers],[Herramientas_de_medición]],
    COUNTIF(Herrramientas_mecánicas2165109152195[Herramientas_mecánicas], B17) &gt; 0, Herrramientas_mecánicas2165109152195[[#Headers],[Herramientas_mecánicas]],
    COUNTIF(AH17:AH23, B17) &gt; 0, Herramientas_hidráulicas2266110153196[[#Headers],[Herramientas_hidráulicas]],
    COUNTIF(EPP_2367111154197[SPCC], B17) &gt; 0, EPP_2367111154197[[#Headers],[SPCC]],
   COUNTIF(Herramientas_de_izaje2468112155198[Herramientas_de_izaje], B17) &gt; 0, Herramientas_de_izaje2468112155198[[#Headers],[Herramientas_de_izaje]],
COUNTIF(Tabla162670114157200[Equipos], B17) &gt; 0, Tabla162670114157200[[#Headers],[Equipos]],
    TRUE, "Sin clasificación"
)</f>
        <v>Sin clasificación</v>
      </c>
      <c r="F17" s="15"/>
      <c r="G17" s="93" t="s">
        <v>2566</v>
      </c>
      <c r="H17" s="15" t="s">
        <v>2540</v>
      </c>
      <c r="I17" s="15"/>
      <c r="J17" s="47"/>
      <c r="L17" s="47"/>
      <c r="M17" s="47" t="s">
        <v>2569</v>
      </c>
      <c r="O17" s="15"/>
      <c r="Q17" s="48"/>
      <c r="AD17" s="24" t="s">
        <v>94</v>
      </c>
      <c r="AG17" s="15" t="s">
        <v>95</v>
      </c>
      <c r="AH17" s="14"/>
      <c r="AM17" s="25" t="s">
        <v>96</v>
      </c>
      <c r="AP17" s="11"/>
    </row>
    <row r="18" spans="2:42" x14ac:dyDescent="0.3">
      <c r="B18" t="s">
        <v>2538</v>
      </c>
      <c r="C18" s="11" t="s">
        <v>175</v>
      </c>
      <c r="E18" s="11" t="str" cm="1">
        <f t="array" ref="E18">_xlfn.IFS(
    COUNTIF(Herramientas_eléctricas1862106149192[Herramientas_eléctricas], B18) &gt; 0, Herramientas_eléctricas1862106149192[[#Headers],[Herramientas_eléctricas]],
    COUNTIF(Herramientas_neumáticas1963107150193[Herramientas_neumáticas], B18) &gt; 0, Herramientas_neumáticas1963107150193[[#Headers],[Herramientas_neumáticas]],
    COUNTIF(Herramientas_de_medición2064108151194[Herramientas_de_medición], B18) &gt; 0, Herramientas_de_medición2064108151194[[#Headers],[Herramientas_de_medición]],
    COUNTIF(Herrramientas_mecánicas2165109152195[Herramientas_mecánicas], B18) &gt; 0, Herrramientas_mecánicas2165109152195[[#Headers],[Herramientas_mecánicas]],
    COUNTIF(AH18:AH24, B18) &gt; 0, Herramientas_hidráulicas2266110153196[[#Headers],[Herramientas_hidráulicas]],
    COUNTIF(EPP_2367111154197[SPCC], B18) &gt; 0, EPP_2367111154197[[#Headers],[SPCC]],
   COUNTIF(Herramientas_de_izaje2468112155198[Herramientas_de_izaje], B18) &gt; 0, Herramientas_de_izaje2468112155198[[#Headers],[Herramientas_de_izaje]],
COUNTIF(Tabla162670114157200[Equipos], B18) &gt; 0, Tabla162670114157200[[#Headers],[Equipos]],
    TRUE, "Sin clasificación"
)</f>
        <v>Sin clasificación</v>
      </c>
      <c r="F18" s="15"/>
      <c r="G18" s="94" t="s">
        <v>2570</v>
      </c>
      <c r="H18" s="15" t="s">
        <v>2540</v>
      </c>
      <c r="I18" s="15"/>
      <c r="J18" s="47"/>
      <c r="L18" s="47"/>
      <c r="M18" s="47" t="s">
        <v>2572</v>
      </c>
      <c r="O18" s="15"/>
      <c r="Q18" s="48"/>
      <c r="AD18" t="s">
        <v>97</v>
      </c>
      <c r="AG18" t="s">
        <v>98</v>
      </c>
      <c r="AM18" s="25" t="s">
        <v>99</v>
      </c>
    </row>
    <row r="19" spans="2:42" x14ac:dyDescent="0.3">
      <c r="B19" t="s">
        <v>2538</v>
      </c>
      <c r="C19" s="11" t="s">
        <v>175</v>
      </c>
      <c r="E19" s="11" t="str" cm="1">
        <f t="array" ref="E19">_xlfn.IFS(
    COUNTIF(Herramientas_eléctricas1862106149192[Herramientas_eléctricas], B19) &gt; 0, Herramientas_eléctricas1862106149192[[#Headers],[Herramientas_eléctricas]],
    COUNTIF(Herramientas_neumáticas1963107150193[Herramientas_neumáticas], B19) &gt; 0, Herramientas_neumáticas1963107150193[[#Headers],[Herramientas_neumáticas]],
    COUNTIF(Herramientas_de_medición2064108151194[Herramientas_de_medición], B19) &gt; 0, Herramientas_de_medición2064108151194[[#Headers],[Herramientas_de_medición]],
    COUNTIF(Herrramientas_mecánicas2165109152195[Herramientas_mecánicas], B19) &gt; 0, Herrramientas_mecánicas2165109152195[[#Headers],[Herramientas_mecánicas]],
    COUNTIF(AH19:AH25, B19) &gt; 0, Herramientas_hidráulicas2266110153196[[#Headers],[Herramientas_hidráulicas]],
    COUNTIF(EPP_2367111154197[SPCC], B19) &gt; 0, EPP_2367111154197[[#Headers],[SPCC]],
   COUNTIF(Herramientas_de_izaje2468112155198[Herramientas_de_izaje], B19) &gt; 0, Herramientas_de_izaje2468112155198[[#Headers],[Herramientas_de_izaje]],
COUNTIF(Tabla162670114157200[Equipos], B19) &gt; 0, Tabla162670114157200[[#Headers],[Equipos]],
    TRUE, "Sin clasificación"
)</f>
        <v>Sin clasificación</v>
      </c>
      <c r="F19" s="15"/>
      <c r="G19" s="93" t="s">
        <v>2571</v>
      </c>
      <c r="H19" s="15" t="s">
        <v>2540</v>
      </c>
      <c r="I19" s="15"/>
      <c r="J19" s="47"/>
      <c r="L19" s="47"/>
      <c r="M19" s="47" t="s">
        <v>2573</v>
      </c>
      <c r="O19" s="15"/>
      <c r="Q19" s="48"/>
      <c r="AD19" t="s">
        <v>42</v>
      </c>
      <c r="AG19" s="11" t="s">
        <v>41</v>
      </c>
      <c r="AM19" t="s">
        <v>100</v>
      </c>
    </row>
    <row r="20" spans="2:42" x14ac:dyDescent="0.3">
      <c r="B20" t="s">
        <v>2538</v>
      </c>
      <c r="C20" s="11" t="s">
        <v>172</v>
      </c>
      <c r="E20" s="11" t="str" cm="1">
        <f t="array" ref="E20">_xlfn.IFS(
    COUNTIF(Herramientas_eléctricas1862106149192[Herramientas_eléctricas], B20) &gt; 0, Herramientas_eléctricas1862106149192[[#Headers],[Herramientas_eléctricas]],
    COUNTIF(Herramientas_neumáticas1963107150193[Herramientas_neumáticas], B20) &gt; 0, Herramientas_neumáticas1963107150193[[#Headers],[Herramientas_neumáticas]],
    COUNTIF(Herramientas_de_medición2064108151194[Herramientas_de_medición], B20) &gt; 0, Herramientas_de_medición2064108151194[[#Headers],[Herramientas_de_medición]],
    COUNTIF(Herrramientas_mecánicas2165109152195[Herramientas_mecánicas], B20) &gt; 0, Herrramientas_mecánicas2165109152195[[#Headers],[Herramientas_mecánicas]],
    COUNTIF(AH20:AH26, B20) &gt; 0, Herramientas_hidráulicas2266110153196[[#Headers],[Herramientas_hidráulicas]],
    COUNTIF(EPP_2367111154197[SPCC], B20) &gt; 0, EPP_2367111154197[[#Headers],[SPCC]],
   COUNTIF(Herramientas_de_izaje2468112155198[Herramientas_de_izaje], B20) &gt; 0, Herramientas_de_izaje2468112155198[[#Headers],[Herramientas_de_izaje]],
COUNTIF(Tabla162670114157200[Equipos], B20) &gt; 0, Tabla162670114157200[[#Headers],[Equipos]],
    TRUE, "Sin clasificación"
)</f>
        <v>Sin clasificación</v>
      </c>
      <c r="F20" s="15"/>
      <c r="G20" s="93" t="s">
        <v>2574</v>
      </c>
      <c r="H20" s="15" t="s">
        <v>2540</v>
      </c>
      <c r="I20" s="15"/>
      <c r="J20" s="47"/>
      <c r="L20" s="47"/>
      <c r="M20" s="47" t="s">
        <v>2576</v>
      </c>
      <c r="O20" s="15"/>
      <c r="Q20" s="48"/>
      <c r="AD20" t="s">
        <v>101</v>
      </c>
      <c r="AG20" t="s">
        <v>102</v>
      </c>
      <c r="AM20" s="26" t="s">
        <v>103</v>
      </c>
    </row>
    <row r="21" spans="2:42" x14ac:dyDescent="0.3">
      <c r="B21" t="s">
        <v>2538</v>
      </c>
      <c r="C21" s="11" t="s">
        <v>172</v>
      </c>
      <c r="E21" s="11" t="str" cm="1">
        <f t="array" ref="E21">_xlfn.IFS(
    COUNTIF(Herramientas_eléctricas1862106149192[Herramientas_eléctricas], B21) &gt; 0, Herramientas_eléctricas1862106149192[[#Headers],[Herramientas_eléctricas]],
    COUNTIF(Herramientas_neumáticas1963107150193[Herramientas_neumáticas], B21) &gt; 0, Herramientas_neumáticas1963107150193[[#Headers],[Herramientas_neumáticas]],
    COUNTIF(Herramientas_de_medición2064108151194[Herramientas_de_medición], B21) &gt; 0, Herramientas_de_medición2064108151194[[#Headers],[Herramientas_de_medición]],
    COUNTIF(Herrramientas_mecánicas2165109152195[Herramientas_mecánicas], B21) &gt; 0, Herrramientas_mecánicas2165109152195[[#Headers],[Herramientas_mecánicas]],
    COUNTIF(AH21:AH27, B21) &gt; 0, Herramientas_hidráulicas2266110153196[[#Headers],[Herramientas_hidráulicas]],
    COUNTIF(EPP_2367111154197[SPCC], B21) &gt; 0, EPP_2367111154197[[#Headers],[SPCC]],
   COUNTIF(Herramientas_de_izaje2468112155198[Herramientas_de_izaje], B21) &gt; 0, Herramientas_de_izaje2468112155198[[#Headers],[Herramientas_de_izaje]],
COUNTIF(Tabla162670114157200[Equipos], B21) &gt; 0, Tabla162670114157200[[#Headers],[Equipos]],
    TRUE, "Sin clasificación"
)</f>
        <v>Sin clasificación</v>
      </c>
      <c r="F21" s="15"/>
      <c r="G21" s="93" t="s">
        <v>2575</v>
      </c>
      <c r="H21" s="15" t="s">
        <v>2540</v>
      </c>
      <c r="I21" s="15"/>
      <c r="J21" s="47"/>
      <c r="L21" s="47"/>
      <c r="M21" s="47" t="s">
        <v>2577</v>
      </c>
      <c r="O21" s="15"/>
      <c r="Q21" s="48"/>
      <c r="AD21" s="6"/>
      <c r="AG21" s="6" t="s">
        <v>20</v>
      </c>
    </row>
    <row r="22" spans="2:42" x14ac:dyDescent="0.3">
      <c r="B22" t="s">
        <v>2538</v>
      </c>
      <c r="C22" s="11" t="s">
        <v>2578</v>
      </c>
      <c r="E22" s="11" t="str" cm="1">
        <f t="array" ref="E22">_xlfn.IFS(
    COUNTIF(Herramientas_eléctricas1862106149192[Herramientas_eléctricas], B22) &gt; 0, Herramientas_eléctricas1862106149192[[#Headers],[Herramientas_eléctricas]],
    COUNTIF(Herramientas_neumáticas1963107150193[Herramientas_neumáticas], B22) &gt; 0, Herramientas_neumáticas1963107150193[[#Headers],[Herramientas_neumáticas]],
    COUNTIF(Herramientas_de_medición2064108151194[Herramientas_de_medición], B22) &gt; 0, Herramientas_de_medición2064108151194[[#Headers],[Herramientas_de_medición]],
    COUNTIF(Herrramientas_mecánicas2165109152195[Herramientas_mecánicas], B22) &gt; 0, Herrramientas_mecánicas2165109152195[[#Headers],[Herramientas_mecánicas]],
    COUNTIF(AH22:AH28, B22) &gt; 0, Herramientas_hidráulicas2266110153196[[#Headers],[Herramientas_hidráulicas]],
    COUNTIF(EPP_2367111154197[SPCC], B22) &gt; 0, EPP_2367111154197[[#Headers],[SPCC]],
   COUNTIF(Herramientas_de_izaje2468112155198[Herramientas_de_izaje], B22) &gt; 0, Herramientas_de_izaje2468112155198[[#Headers],[Herramientas_de_izaje]],
COUNTIF(Tabla162670114157200[Equipos], B22) &gt; 0, Tabla162670114157200[[#Headers],[Equipos]],
    TRUE, "Sin clasificación"
)</f>
        <v>Sin clasificación</v>
      </c>
      <c r="F22" s="15"/>
      <c r="G22" s="94" t="s">
        <v>2579</v>
      </c>
      <c r="H22" s="15" t="s">
        <v>2540</v>
      </c>
      <c r="I22" s="15"/>
      <c r="J22" s="47"/>
      <c r="L22" s="47"/>
      <c r="M22" s="47" t="s">
        <v>2580</v>
      </c>
      <c r="O22" s="15"/>
      <c r="Q22" s="48"/>
    </row>
    <row r="23" spans="2:42" x14ac:dyDescent="0.3">
      <c r="B23" t="s">
        <v>2538</v>
      </c>
      <c r="C23" s="11" t="s">
        <v>2578</v>
      </c>
      <c r="E23" s="11" t="str" cm="1">
        <f t="array" ref="E23">_xlfn.IFS(
    COUNTIF(Herramientas_eléctricas1862106149192[Herramientas_eléctricas], B23) &gt; 0, Herramientas_eléctricas1862106149192[[#Headers],[Herramientas_eléctricas]],
    COUNTIF(Herramientas_neumáticas1963107150193[Herramientas_neumáticas], B23) &gt; 0, Herramientas_neumáticas1963107150193[[#Headers],[Herramientas_neumáticas]],
    COUNTIF(Herramientas_de_medición2064108151194[Herramientas_de_medición], B23) &gt; 0, Herramientas_de_medición2064108151194[[#Headers],[Herramientas_de_medición]],
    COUNTIF(Herrramientas_mecánicas2165109152195[Herramientas_mecánicas], B23) &gt; 0, Herrramientas_mecánicas2165109152195[[#Headers],[Herramientas_mecánicas]],
    COUNTIF(AH23:AH29, B23) &gt; 0, Herramientas_hidráulicas2266110153196[[#Headers],[Herramientas_hidráulicas]],
    COUNTIF(EPP_2367111154197[SPCC], B23) &gt; 0, EPP_2367111154197[[#Headers],[SPCC]],
   COUNTIF(Herramientas_de_izaje2468112155198[Herramientas_de_izaje], B23) &gt; 0, Herramientas_de_izaje2468112155198[[#Headers],[Herramientas_de_izaje]],
COUNTIF(Tabla162670114157200[Equipos], B23) &gt; 0, Tabla162670114157200[[#Headers],[Equipos]],
    TRUE, "Sin clasificación"
)</f>
        <v>Sin clasificación</v>
      </c>
      <c r="F23" s="15"/>
      <c r="G23" s="94" t="s">
        <v>2579</v>
      </c>
      <c r="H23" s="15" t="s">
        <v>2540</v>
      </c>
      <c r="I23" s="15"/>
      <c r="J23" s="47"/>
      <c r="L23" s="47"/>
      <c r="M23" s="47" t="s">
        <v>2581</v>
      </c>
      <c r="O23" s="15"/>
      <c r="Q23" s="48"/>
    </row>
    <row r="24" spans="2:42" ht="43.2" x14ac:dyDescent="0.3">
      <c r="B24" t="s">
        <v>2538</v>
      </c>
      <c r="C24" s="11" t="s">
        <v>181</v>
      </c>
      <c r="E24" s="11" t="str" cm="1">
        <f t="array" ref="E24">_xlfn.IFS(
    COUNTIF(Herramientas_eléctricas1862106149192[Herramientas_eléctricas], B24) &gt; 0, Herramientas_eléctricas1862106149192[[#Headers],[Herramientas_eléctricas]],
    COUNTIF(Herramientas_neumáticas1963107150193[Herramientas_neumáticas], B24) &gt; 0, Herramientas_neumáticas1963107150193[[#Headers],[Herramientas_neumáticas]],
    COUNTIF(Herramientas_de_medición2064108151194[Herramientas_de_medición], B24) &gt; 0, Herramientas_de_medición2064108151194[[#Headers],[Herramientas_de_medición]],
    COUNTIF(Herrramientas_mecánicas2165109152195[Herramientas_mecánicas], B24) &gt; 0, Herrramientas_mecánicas2165109152195[[#Headers],[Herramientas_mecánicas]],
    COUNTIF(AH24:AH30, B24) &gt; 0, Herramientas_hidráulicas2266110153196[[#Headers],[Herramientas_hidráulicas]],
    COUNTIF(EPP_2367111154197[SPCC], B24) &gt; 0, EPP_2367111154197[[#Headers],[SPCC]],
   COUNTIF(Herramientas_de_izaje2468112155198[Herramientas_de_izaje], B24) &gt; 0, Herramientas_de_izaje2468112155198[[#Headers],[Herramientas_de_izaje]],
COUNTIF(Tabla162670114157200[Equipos], B24) &gt; 0, Tabla162670114157200[[#Headers],[Equipos]],
    TRUE, "Sin clasificación"
)</f>
        <v>Sin clasificación</v>
      </c>
      <c r="F24" s="15"/>
      <c r="G24" s="93" t="s">
        <v>2582</v>
      </c>
      <c r="H24" s="15" t="s">
        <v>2540</v>
      </c>
      <c r="I24" s="15"/>
      <c r="J24" s="47"/>
      <c r="L24" s="47"/>
      <c r="M24" s="47" t="s">
        <v>2587</v>
      </c>
      <c r="O24" s="15"/>
      <c r="Q24" s="48"/>
      <c r="AN24" s="18"/>
    </row>
    <row r="25" spans="2:42" ht="43.2" x14ac:dyDescent="0.3">
      <c r="B25" t="s">
        <v>2538</v>
      </c>
      <c r="C25" s="11" t="s">
        <v>181</v>
      </c>
      <c r="E25" s="11" t="str" cm="1">
        <f t="array" ref="E25">_xlfn.IFS(
    COUNTIF(Herramientas_eléctricas1862106149192[Herramientas_eléctricas], B25) &gt; 0, Herramientas_eléctricas1862106149192[[#Headers],[Herramientas_eléctricas]],
    COUNTIF(Herramientas_neumáticas1963107150193[Herramientas_neumáticas], B25) &gt; 0, Herramientas_neumáticas1963107150193[[#Headers],[Herramientas_neumáticas]],
    COUNTIF(Herramientas_de_medición2064108151194[Herramientas_de_medición], B25) &gt; 0, Herramientas_de_medición2064108151194[[#Headers],[Herramientas_de_medición]],
    COUNTIF(Herrramientas_mecánicas2165109152195[Herramientas_mecánicas], B25) &gt; 0, Herrramientas_mecánicas2165109152195[[#Headers],[Herramientas_mecánicas]],
    COUNTIF(AH25:AH31, B25) &gt; 0, Herramientas_hidráulicas2266110153196[[#Headers],[Herramientas_hidráulicas]],
    COUNTIF(EPP_2367111154197[SPCC], B25) &gt; 0, EPP_2367111154197[[#Headers],[SPCC]],
   COUNTIF(Herramientas_de_izaje2468112155198[Herramientas_de_izaje], B25) &gt; 0, Herramientas_de_izaje2468112155198[[#Headers],[Herramientas_de_izaje]],
COUNTIF(Tabla162670114157200[Equipos], B25) &gt; 0, Tabla162670114157200[[#Headers],[Equipos]],
    TRUE, "Sin clasificación"
)</f>
        <v>Sin clasificación</v>
      </c>
      <c r="F25" s="15"/>
      <c r="G25" s="93" t="s">
        <v>2583</v>
      </c>
      <c r="H25" s="15" t="s">
        <v>2540</v>
      </c>
      <c r="I25" s="15"/>
      <c r="J25" s="47"/>
      <c r="L25" s="47"/>
      <c r="M25" s="47" t="s">
        <v>2588</v>
      </c>
      <c r="O25" s="15"/>
      <c r="Q25" s="48"/>
      <c r="AN25" s="22"/>
    </row>
    <row r="26" spans="2:42" ht="43.2" x14ac:dyDescent="0.3">
      <c r="B26" t="s">
        <v>2538</v>
      </c>
      <c r="C26" s="11" t="s">
        <v>181</v>
      </c>
      <c r="E26" s="11" t="str" cm="1">
        <f t="array" ref="E26">_xlfn.IFS(
    COUNTIF(Herramientas_eléctricas1862106149192[Herramientas_eléctricas], B26) &gt; 0, Herramientas_eléctricas1862106149192[[#Headers],[Herramientas_eléctricas]],
    COUNTIF(Herramientas_neumáticas1963107150193[Herramientas_neumáticas], B26) &gt; 0, Herramientas_neumáticas1963107150193[[#Headers],[Herramientas_neumáticas]],
    COUNTIF(Herramientas_de_medición2064108151194[Herramientas_de_medición], B26) &gt; 0, Herramientas_de_medición2064108151194[[#Headers],[Herramientas_de_medición]],
    COUNTIF(Herrramientas_mecánicas2165109152195[Herramientas_mecánicas], B26) &gt; 0, Herrramientas_mecánicas2165109152195[[#Headers],[Herramientas_mecánicas]],
    COUNTIF(AH26:AH32, B26) &gt; 0, Herramientas_hidráulicas2266110153196[[#Headers],[Herramientas_hidráulicas]],
    COUNTIF(EPP_2367111154197[SPCC], B26) &gt; 0, EPP_2367111154197[[#Headers],[SPCC]],
   COUNTIF(Herramientas_de_izaje2468112155198[Herramientas_de_izaje], B26) &gt; 0, Herramientas_de_izaje2468112155198[[#Headers],[Herramientas_de_izaje]],
COUNTIF(Tabla162670114157200[Equipos], B26) &gt; 0, Tabla162670114157200[[#Headers],[Equipos]],
    TRUE, "Sin clasificación"
)</f>
        <v>Sin clasificación</v>
      </c>
      <c r="F26" s="15"/>
      <c r="G26" s="93" t="s">
        <v>2584</v>
      </c>
      <c r="H26" s="15" t="s">
        <v>2540</v>
      </c>
      <c r="I26" s="15"/>
      <c r="J26" s="47"/>
      <c r="L26" s="47"/>
      <c r="M26" s="47" t="s">
        <v>2589</v>
      </c>
      <c r="O26" s="15"/>
      <c r="Q26" s="48"/>
      <c r="AE26" s="18"/>
      <c r="AO26" t="s">
        <v>235</v>
      </c>
    </row>
    <row r="27" spans="2:42" ht="43.2" x14ac:dyDescent="0.3">
      <c r="B27" t="s">
        <v>2538</v>
      </c>
      <c r="C27" s="11" t="s">
        <v>181</v>
      </c>
      <c r="E27" s="11" t="str" cm="1">
        <f t="array" ref="E27">_xlfn.IFS(
    COUNTIF(Herramientas_eléctricas1862106149192[Herramientas_eléctricas], B27) &gt; 0, Herramientas_eléctricas1862106149192[[#Headers],[Herramientas_eléctricas]],
    COUNTIF(Herramientas_neumáticas1963107150193[Herramientas_neumáticas], B27) &gt; 0, Herramientas_neumáticas1963107150193[[#Headers],[Herramientas_neumáticas]],
    COUNTIF(Herramientas_de_medición2064108151194[Herramientas_de_medición], B27) &gt; 0, Herramientas_de_medición2064108151194[[#Headers],[Herramientas_de_medición]],
    COUNTIF(Herrramientas_mecánicas2165109152195[Herramientas_mecánicas], B27) &gt; 0, Herrramientas_mecánicas2165109152195[[#Headers],[Herramientas_mecánicas]],
    COUNTIF(AH27:AH33, B27) &gt; 0, Herramientas_hidráulicas2266110153196[[#Headers],[Herramientas_hidráulicas]],
    COUNTIF(EPP_2367111154197[SPCC], B27) &gt; 0, EPP_2367111154197[[#Headers],[SPCC]],
   COUNTIF(Herramientas_de_izaje2468112155198[Herramientas_de_izaje], B27) &gt; 0, Herramientas_de_izaje2468112155198[[#Headers],[Herramientas_de_izaje]],
COUNTIF(Tabla162670114157200[Equipos], B27) &gt; 0, Tabla162670114157200[[#Headers],[Equipos]],
    TRUE, "Sin clasificación"
)</f>
        <v>Sin clasificación</v>
      </c>
      <c r="F27" s="15"/>
      <c r="G27" s="93" t="s">
        <v>2585</v>
      </c>
      <c r="H27" s="15" t="s">
        <v>2540</v>
      </c>
      <c r="I27" s="15"/>
      <c r="J27" s="47"/>
      <c r="L27" s="47"/>
      <c r="M27" s="47" t="s">
        <v>2590</v>
      </c>
      <c r="O27" s="15"/>
      <c r="Q27" s="48"/>
      <c r="AD27" s="11" t="s">
        <v>236</v>
      </c>
      <c r="AE27" s="11" t="s">
        <v>237</v>
      </c>
      <c r="AF27" s="11" t="s">
        <v>238</v>
      </c>
      <c r="AG27" s="11" t="s">
        <v>239</v>
      </c>
      <c r="AH27" s="11" t="s">
        <v>240</v>
      </c>
      <c r="AI27" s="11" t="s">
        <v>241</v>
      </c>
      <c r="AJ27" s="11" t="s">
        <v>242</v>
      </c>
      <c r="AK27" s="11" t="s">
        <v>243</v>
      </c>
      <c r="AL27" s="11" t="s">
        <v>244</v>
      </c>
      <c r="AM27" s="11" t="s">
        <v>245</v>
      </c>
    </row>
    <row r="28" spans="2:42" ht="43.2" x14ac:dyDescent="0.3">
      <c r="B28" t="s">
        <v>2538</v>
      </c>
      <c r="C28" s="11" t="s">
        <v>181</v>
      </c>
      <c r="E28" s="11" t="str" cm="1">
        <f t="array" ref="E28">_xlfn.IFS(
    COUNTIF(Herramientas_eléctricas1862106149192[Herramientas_eléctricas], B28) &gt; 0, Herramientas_eléctricas1862106149192[[#Headers],[Herramientas_eléctricas]],
    COUNTIF(Herramientas_neumáticas1963107150193[Herramientas_neumáticas], B28) &gt; 0, Herramientas_neumáticas1963107150193[[#Headers],[Herramientas_neumáticas]],
    COUNTIF(Herramientas_de_medición2064108151194[Herramientas_de_medición], B28) &gt; 0, Herramientas_de_medición2064108151194[[#Headers],[Herramientas_de_medición]],
    COUNTIF(Herrramientas_mecánicas2165109152195[Herramientas_mecánicas], B28) &gt; 0, Herrramientas_mecánicas2165109152195[[#Headers],[Herramientas_mecánicas]],
    COUNTIF(AH28:AH34, B28) &gt; 0, Herramientas_hidráulicas2266110153196[[#Headers],[Herramientas_hidráulicas]],
    COUNTIF(EPP_2367111154197[SPCC], B28) &gt; 0, EPP_2367111154197[[#Headers],[SPCC]],
   COUNTIF(Herramientas_de_izaje2468112155198[Herramientas_de_izaje], B28) &gt; 0, Herramientas_de_izaje2468112155198[[#Headers],[Herramientas_de_izaje]],
COUNTIF(Tabla162670114157200[Equipos], B28) &gt; 0, Tabla162670114157200[[#Headers],[Equipos]],
    TRUE, "Sin clasificación"
)</f>
        <v>Sin clasificación</v>
      </c>
      <c r="F28" s="15"/>
      <c r="G28" s="93" t="s">
        <v>2586</v>
      </c>
      <c r="H28" s="15" t="s">
        <v>2540</v>
      </c>
      <c r="I28" s="15"/>
      <c r="J28" s="47"/>
      <c r="L28" s="47"/>
      <c r="M28" s="47" t="s">
        <v>2591</v>
      </c>
      <c r="O28" s="15"/>
      <c r="Q28" s="48"/>
    </row>
    <row r="29" spans="2:42" ht="43.2" x14ac:dyDescent="0.3">
      <c r="B29" t="s">
        <v>2538</v>
      </c>
      <c r="C29" s="11" t="s">
        <v>181</v>
      </c>
      <c r="E29" s="11" t="str" cm="1">
        <f t="array" ref="E29">_xlfn.IFS(
    COUNTIF(Herramientas_eléctricas1862106149192[Herramientas_eléctricas], B29) &gt; 0, Herramientas_eléctricas1862106149192[[#Headers],[Herramientas_eléctricas]],
    COUNTIF(Herramientas_neumáticas1963107150193[Herramientas_neumáticas], B29) &gt; 0, Herramientas_neumáticas1963107150193[[#Headers],[Herramientas_neumáticas]],
    COUNTIF(Herramientas_de_medición2064108151194[Herramientas_de_medición], B29) &gt; 0, Herramientas_de_medición2064108151194[[#Headers],[Herramientas_de_medición]],
    COUNTIF(Herrramientas_mecánicas2165109152195[Herramientas_mecánicas], B29) &gt; 0, Herrramientas_mecánicas2165109152195[[#Headers],[Herramientas_mecánicas]],
    COUNTIF(AH29:AH35, B29) &gt; 0, Herramientas_hidráulicas2266110153196[[#Headers],[Herramientas_hidráulicas]],
    COUNTIF(EPP_2367111154197[SPCC], B29) &gt; 0, EPP_2367111154197[[#Headers],[SPCC]],
   COUNTIF(Herramientas_de_izaje2468112155198[Herramientas_de_izaje], B29) &gt; 0, Herramientas_de_izaje2468112155198[[#Headers],[Herramientas_de_izaje]],
COUNTIF(Tabla162670114157200[Equipos], B29) &gt; 0, Tabla162670114157200[[#Headers],[Equipos]],
    TRUE, "Sin clasificación"
)</f>
        <v>Sin clasificación</v>
      </c>
      <c r="F29" s="15"/>
      <c r="G29" s="93" t="s">
        <v>2586</v>
      </c>
      <c r="H29" s="15" t="s">
        <v>2540</v>
      </c>
      <c r="I29" s="15"/>
      <c r="J29" s="47"/>
      <c r="L29" s="47"/>
      <c r="M29" s="47" t="s">
        <v>2592</v>
      </c>
      <c r="O29" s="15"/>
      <c r="Q29" s="48"/>
      <c r="AD29" t="s">
        <v>246</v>
      </c>
      <c r="AE29" t="s">
        <v>97</v>
      </c>
      <c r="AF29" t="s">
        <v>34</v>
      </c>
      <c r="AG29" t="s">
        <v>66</v>
      </c>
      <c r="AH29" s="63" t="s">
        <v>247</v>
      </c>
      <c r="AJ29" t="s">
        <v>19</v>
      </c>
      <c r="AM29" t="s">
        <v>75</v>
      </c>
    </row>
    <row r="30" spans="2:42" ht="43.2" x14ac:dyDescent="0.3">
      <c r="B30" t="s">
        <v>2538</v>
      </c>
      <c r="C30" s="11" t="s">
        <v>181</v>
      </c>
      <c r="E30" s="11" t="str" cm="1">
        <f t="array" ref="E30">_xlfn.IFS(
    COUNTIF(Herramientas_eléctricas1862106149192[Herramientas_eléctricas], B30) &gt; 0, Herramientas_eléctricas1862106149192[[#Headers],[Herramientas_eléctricas]],
    COUNTIF(Herramientas_neumáticas1963107150193[Herramientas_neumáticas], B30) &gt; 0, Herramientas_neumáticas1963107150193[[#Headers],[Herramientas_neumáticas]],
    COUNTIF(Herramientas_de_medición2064108151194[Herramientas_de_medición], B30) &gt; 0, Herramientas_de_medición2064108151194[[#Headers],[Herramientas_de_medición]],
    COUNTIF(Herrramientas_mecánicas2165109152195[Herramientas_mecánicas], B30) &gt; 0, Herrramientas_mecánicas2165109152195[[#Headers],[Herramientas_mecánicas]],
    COUNTIF(AH30:AH36, B30) &gt; 0, Herramientas_hidráulicas2266110153196[[#Headers],[Herramientas_hidráulicas]],
    COUNTIF(EPP_2367111154197[SPCC], B30) &gt; 0, EPP_2367111154197[[#Headers],[SPCC]],
   COUNTIF(Herramientas_de_izaje2468112155198[Herramientas_de_izaje], B30) &gt; 0, Herramientas_de_izaje2468112155198[[#Headers],[Herramientas_de_izaje]],
COUNTIF(Tabla162670114157200[Equipos], B30) &gt; 0, Tabla162670114157200[[#Headers],[Equipos]],
    TRUE, "Sin clasificación"
)</f>
        <v>Sin clasificación</v>
      </c>
      <c r="F30" s="15"/>
      <c r="G30" s="93" t="s">
        <v>2586</v>
      </c>
      <c r="H30" s="15" t="s">
        <v>2540</v>
      </c>
      <c r="I30" s="15"/>
      <c r="J30" s="47"/>
      <c r="L30" s="47"/>
      <c r="M30" s="47" t="s">
        <v>2593</v>
      </c>
      <c r="O30" s="15"/>
      <c r="Q30" s="48"/>
      <c r="AD30" s="22" t="s">
        <v>248</v>
      </c>
      <c r="AE30" t="s">
        <v>17</v>
      </c>
      <c r="AF30" s="18" t="s">
        <v>249</v>
      </c>
      <c r="AG30" t="s">
        <v>250</v>
      </c>
      <c r="AH30" s="64" t="s">
        <v>251</v>
      </c>
      <c r="AJ30" t="s">
        <v>252</v>
      </c>
      <c r="AM30" s="18" t="s">
        <v>253</v>
      </c>
    </row>
    <row r="31" spans="2:42" ht="28.8" x14ac:dyDescent="0.3">
      <c r="B31" t="s">
        <v>2538</v>
      </c>
      <c r="C31" s="11" t="s">
        <v>178</v>
      </c>
      <c r="E31" s="11" t="str" cm="1">
        <f t="array" ref="E31">_xlfn.IFS(
    COUNTIF(Herramientas_eléctricas1862106149192[Herramientas_eléctricas], B31) &gt; 0, Herramientas_eléctricas1862106149192[[#Headers],[Herramientas_eléctricas]],
    COUNTIF(Herramientas_neumáticas1963107150193[Herramientas_neumáticas], B31) &gt; 0, Herramientas_neumáticas1963107150193[[#Headers],[Herramientas_neumáticas]],
    COUNTIF(Herramientas_de_medición2064108151194[Herramientas_de_medición], B31) &gt; 0, Herramientas_de_medición2064108151194[[#Headers],[Herramientas_de_medición]],
    COUNTIF(Herrramientas_mecánicas2165109152195[Herramientas_mecánicas], B31) &gt; 0, Herrramientas_mecánicas2165109152195[[#Headers],[Herramientas_mecánicas]],
    COUNTIF(AH31:AH37, B31) &gt; 0, Herramientas_hidráulicas2266110153196[[#Headers],[Herramientas_hidráulicas]],
    COUNTIF(EPP_2367111154197[SPCC], B31) &gt; 0, EPP_2367111154197[[#Headers],[SPCC]],
   COUNTIF(Herramientas_de_izaje2468112155198[Herramientas_de_izaje], B31) &gt; 0, Herramientas_de_izaje2468112155198[[#Headers],[Herramientas_de_izaje]],
COUNTIF(Tabla162670114157200[Equipos], B31) &gt; 0, Tabla162670114157200[[#Headers],[Equipos]],
    TRUE, "Sin clasificación"
)</f>
        <v>Sin clasificación</v>
      </c>
      <c r="F31" s="15"/>
      <c r="G31" s="93" t="s">
        <v>2594</v>
      </c>
      <c r="H31" s="15" t="s">
        <v>2540</v>
      </c>
      <c r="I31" s="15"/>
      <c r="J31" s="47"/>
      <c r="L31" s="47"/>
      <c r="M31" s="47" t="s">
        <v>2596</v>
      </c>
      <c r="O31" s="15"/>
      <c r="Q31" s="48"/>
      <c r="AD31" s="65" t="s">
        <v>254</v>
      </c>
      <c r="AF31" t="s">
        <v>255</v>
      </c>
      <c r="AM31" s="26" t="s">
        <v>256</v>
      </c>
    </row>
    <row r="32" spans="2:42" ht="28.5" customHeight="1" x14ac:dyDescent="0.3">
      <c r="B32" t="s">
        <v>2538</v>
      </c>
      <c r="C32" s="11" t="s">
        <v>178</v>
      </c>
      <c r="E32" s="11" t="str" cm="1">
        <f t="array" ref="E32">_xlfn.IFS(
    COUNTIF(Herramientas_eléctricas1862106149192[Herramientas_eléctricas], B32) &gt; 0, Herramientas_eléctricas1862106149192[[#Headers],[Herramientas_eléctricas]],
    COUNTIF(Herramientas_neumáticas1963107150193[Herramientas_neumáticas], B32) &gt; 0, Herramientas_neumáticas1963107150193[[#Headers],[Herramientas_neumáticas]],
    COUNTIF(Herramientas_de_medición2064108151194[Herramientas_de_medición], B32) &gt; 0, Herramientas_de_medición2064108151194[[#Headers],[Herramientas_de_medición]],
    COUNTIF(Herrramientas_mecánicas2165109152195[Herramientas_mecánicas], B32) &gt; 0, Herrramientas_mecánicas2165109152195[[#Headers],[Herramientas_mecánicas]],
    COUNTIF(AH32:AH38, B32) &gt; 0, Herramientas_hidráulicas2266110153196[[#Headers],[Herramientas_hidráulicas]],
    COUNTIF(EPP_2367111154197[SPCC], B32) &gt; 0, EPP_2367111154197[[#Headers],[SPCC]],
   COUNTIF(Herramientas_de_izaje2468112155198[Herramientas_de_izaje], B32) &gt; 0, Herramientas_de_izaje2468112155198[[#Headers],[Herramientas_de_izaje]],
COUNTIF(Tabla162670114157200[Equipos], B32) &gt; 0, Tabla162670114157200[[#Headers],[Equipos]],
    TRUE, "Sin clasificación"
)</f>
        <v>Sin clasificación</v>
      </c>
      <c r="F32" s="15"/>
      <c r="G32" s="93" t="s">
        <v>2595</v>
      </c>
      <c r="H32" s="15" t="s">
        <v>2540</v>
      </c>
      <c r="I32" s="15"/>
      <c r="J32" s="47"/>
      <c r="L32" s="47"/>
      <c r="M32" s="47" t="s">
        <v>2597</v>
      </c>
      <c r="O32" s="15"/>
      <c r="Q32" s="48"/>
    </row>
    <row r="33" spans="2:42" ht="28.8" x14ac:dyDescent="0.3">
      <c r="B33" t="s">
        <v>2538</v>
      </c>
      <c r="C33" s="11" t="s">
        <v>178</v>
      </c>
      <c r="E33" s="11" t="str" cm="1">
        <f t="array" ref="E33">_xlfn.IFS(
    COUNTIF(Herramientas_eléctricas1862106149192[Herramientas_eléctricas], B33) &gt; 0, Herramientas_eléctricas1862106149192[[#Headers],[Herramientas_eléctricas]],
    COUNTIF(Herramientas_neumáticas1963107150193[Herramientas_neumáticas], B33) &gt; 0, Herramientas_neumáticas1963107150193[[#Headers],[Herramientas_neumáticas]],
    COUNTIF(Herramientas_de_medición2064108151194[Herramientas_de_medición], B33) &gt; 0, Herramientas_de_medición2064108151194[[#Headers],[Herramientas_de_medición]],
    COUNTIF(Herrramientas_mecánicas2165109152195[Herramientas_mecánicas], B33) &gt; 0, Herrramientas_mecánicas2165109152195[[#Headers],[Herramientas_mecánicas]],
    COUNTIF(AH33:AH39, B33) &gt; 0, Herramientas_hidráulicas2266110153196[[#Headers],[Herramientas_hidráulicas]],
    COUNTIF(EPP_2367111154197[SPCC], B33) &gt; 0, EPP_2367111154197[[#Headers],[SPCC]],
   COUNTIF(Herramientas_de_izaje2468112155198[Herramientas_de_izaje], B33) &gt; 0, Herramientas_de_izaje2468112155198[[#Headers],[Herramientas_de_izaje]],
COUNTIF(Tabla162670114157200[Equipos], B33) &gt; 0, Tabla162670114157200[[#Headers],[Equipos]],
    TRUE, "Sin clasificación"
)</f>
        <v>Sin clasificación</v>
      </c>
      <c r="F33" s="15"/>
      <c r="G33" s="93" t="s">
        <v>2595</v>
      </c>
      <c r="H33" s="15" t="s">
        <v>2540</v>
      </c>
      <c r="I33" s="15"/>
      <c r="J33" s="47"/>
      <c r="L33" s="47"/>
      <c r="M33" s="47" t="s">
        <v>2598</v>
      </c>
      <c r="O33" s="15"/>
      <c r="Q33" s="48"/>
      <c r="AD33" t="s">
        <v>68</v>
      </c>
      <c r="AE33" t="s">
        <v>36</v>
      </c>
      <c r="AF33" t="s">
        <v>257</v>
      </c>
      <c r="AG33" t="s">
        <v>258</v>
      </c>
    </row>
    <row r="34" spans="2:42" ht="28.8" x14ac:dyDescent="0.3">
      <c r="B34" t="s">
        <v>2538</v>
      </c>
      <c r="C34" s="11" t="s">
        <v>178</v>
      </c>
      <c r="E34" s="11" t="str" cm="1">
        <f t="array" ref="E34">_xlfn.IFS(
    COUNTIF(Herramientas_eléctricas1862106149192[Herramientas_eléctricas], B34) &gt; 0, Herramientas_eléctricas1862106149192[[#Headers],[Herramientas_eléctricas]],
    COUNTIF(Herramientas_neumáticas1963107150193[Herramientas_neumáticas], B34) &gt; 0, Herramientas_neumáticas1963107150193[[#Headers],[Herramientas_neumáticas]],
    COUNTIF(Herramientas_de_medición2064108151194[Herramientas_de_medición], B34) &gt; 0, Herramientas_de_medición2064108151194[[#Headers],[Herramientas_de_medición]],
    COUNTIF(Herrramientas_mecánicas2165109152195[Herramientas_mecánicas], B34) &gt; 0, Herrramientas_mecánicas2165109152195[[#Headers],[Herramientas_mecánicas]],
    COUNTIF(AH34:AH40, B34) &gt; 0, Herramientas_hidráulicas2266110153196[[#Headers],[Herramientas_hidráulicas]],
    COUNTIF(EPP_2367111154197[SPCC], B34) &gt; 0, EPP_2367111154197[[#Headers],[SPCC]],
   COUNTIF(Herramientas_de_izaje2468112155198[Herramientas_de_izaje], B34) &gt; 0, Herramientas_de_izaje2468112155198[[#Headers],[Herramientas_de_izaje]],
COUNTIF(Tabla162670114157200[Equipos], B34) &gt; 0, Tabla162670114157200[[#Headers],[Equipos]],
    TRUE, "Sin clasificación"
)</f>
        <v>Sin clasificación</v>
      </c>
      <c r="F34" s="15"/>
      <c r="G34" s="93" t="s">
        <v>955</v>
      </c>
      <c r="H34" s="15" t="s">
        <v>2540</v>
      </c>
      <c r="I34" s="15"/>
      <c r="J34" s="47"/>
      <c r="K34" s="95"/>
      <c r="L34" s="47"/>
      <c r="M34" s="47" t="s">
        <v>2599</v>
      </c>
      <c r="O34" s="15"/>
      <c r="Q34" s="48"/>
      <c r="AD34" s="20" t="s">
        <v>259</v>
      </c>
      <c r="AE34" t="s">
        <v>260</v>
      </c>
      <c r="AF34" s="19" t="s">
        <v>261</v>
      </c>
      <c r="AG34" s="22" t="s">
        <v>262</v>
      </c>
    </row>
    <row r="35" spans="2:42" ht="28.8" x14ac:dyDescent="0.3">
      <c r="B35" t="s">
        <v>2538</v>
      </c>
      <c r="C35" s="11" t="s">
        <v>2605</v>
      </c>
      <c r="E35" s="11" t="str" cm="1">
        <f t="array" ref="E35">_xlfn.IFS(
    COUNTIF(Herramientas_eléctricas1862106149192[Herramientas_eléctricas], B35) &gt; 0, Herramientas_eléctricas1862106149192[[#Headers],[Herramientas_eléctricas]],
    COUNTIF(Herramientas_neumáticas1963107150193[Herramientas_neumáticas], B35) &gt; 0, Herramientas_neumáticas1963107150193[[#Headers],[Herramientas_neumáticas]],
    COUNTIF(Herramientas_de_medición2064108151194[Herramientas_de_medición], B35) &gt; 0, Herramientas_de_medición2064108151194[[#Headers],[Herramientas_de_medición]],
    COUNTIF(Herrramientas_mecánicas2165109152195[Herramientas_mecánicas], B35) &gt; 0, Herrramientas_mecánicas2165109152195[[#Headers],[Herramientas_mecánicas]],
    COUNTIF(AH36:AH42, B35) &gt; 0, Herramientas_hidráulicas2266110153196[[#Headers],[Herramientas_hidráulicas]],
    COUNTIF(EPP_2367111154197[SPCC], B35) &gt; 0, EPP_2367111154197[[#Headers],[SPCC]],
   COUNTIF(Herramientas_de_izaje2468112155198[Herramientas_de_izaje], B35) &gt; 0, Herramientas_de_izaje2468112155198[[#Headers],[Herramientas_de_izaje]],
COUNTIF(Tabla162670114157200[Equipos], B35) &gt; 0, Tabla162670114157200[[#Headers],[Equipos]],
    TRUE, "Sin clasificación"
)</f>
        <v>Sin clasificación</v>
      </c>
      <c r="F35" s="15"/>
      <c r="G35" s="93" t="s">
        <v>2600</v>
      </c>
      <c r="H35" s="15" t="s">
        <v>4347</v>
      </c>
      <c r="I35" s="15"/>
      <c r="J35" s="47"/>
      <c r="L35" s="47"/>
      <c r="M35" s="47" t="s">
        <v>2606</v>
      </c>
      <c r="O35" s="15"/>
      <c r="Q35" s="48"/>
      <c r="AD35" s="66" t="s">
        <v>263</v>
      </c>
      <c r="AF35" s="13" t="s">
        <v>264</v>
      </c>
      <c r="AG35" s="67" t="s">
        <v>265</v>
      </c>
    </row>
    <row r="36" spans="2:42" ht="28.8" x14ac:dyDescent="0.3">
      <c r="B36" t="s">
        <v>2538</v>
      </c>
      <c r="C36" s="11" t="s">
        <v>2604</v>
      </c>
      <c r="E36" s="11" t="str" cm="1">
        <f t="array" ref="E36">_xlfn.IFS(
    COUNTIF(Herramientas_eléctricas1862106149192[Herramientas_eléctricas], B36) &gt; 0, Herramientas_eléctricas1862106149192[[#Headers],[Herramientas_eléctricas]],
    COUNTIF(Herramientas_neumáticas1963107150193[Herramientas_neumáticas], B36) &gt; 0, Herramientas_neumáticas1963107150193[[#Headers],[Herramientas_neumáticas]],
    COUNTIF(Herramientas_de_medición2064108151194[Herramientas_de_medición], B36) &gt; 0, Herramientas_de_medición2064108151194[[#Headers],[Herramientas_de_medición]],
    COUNTIF(Herrramientas_mecánicas2165109152195[Herramientas_mecánicas], B36) &gt; 0, Herrramientas_mecánicas2165109152195[[#Headers],[Herramientas_mecánicas]],
    COUNTIF(AH37:AH43, B36) &gt; 0, Herramientas_hidráulicas2266110153196[[#Headers],[Herramientas_hidráulicas]],
    COUNTIF(EPP_2367111154197[SPCC], B36) &gt; 0, EPP_2367111154197[[#Headers],[SPCC]],
   COUNTIF(Herramientas_de_izaje2468112155198[Herramientas_de_izaje], B36) &gt; 0, Herramientas_de_izaje2468112155198[[#Headers],[Herramientas_de_izaje]],
COUNTIF(Tabla162670114157200[Equipos], B36) &gt; 0, Tabla162670114157200[[#Headers],[Equipos]],
    TRUE, "Sin clasificación"
)</f>
        <v>Sin clasificación</v>
      </c>
      <c r="F36" s="15"/>
      <c r="G36" s="93" t="s">
        <v>2601</v>
      </c>
      <c r="H36" s="15" t="s">
        <v>2540</v>
      </c>
      <c r="I36" s="15"/>
      <c r="J36" s="47"/>
      <c r="L36" s="47"/>
      <c r="M36" s="47" t="s">
        <v>2607</v>
      </c>
      <c r="O36" s="15"/>
      <c r="Q36" s="48"/>
      <c r="AF36" s="68" t="s">
        <v>266</v>
      </c>
      <c r="AG36" s="22" t="s">
        <v>267</v>
      </c>
    </row>
    <row r="37" spans="2:42" ht="28.8" x14ac:dyDescent="0.3">
      <c r="B37" t="s">
        <v>2538</v>
      </c>
      <c r="C37" s="11" t="s">
        <v>2604</v>
      </c>
      <c r="E37" s="11" t="str" cm="1">
        <f t="array" ref="E37">_xlfn.IFS(
    COUNTIF(Herramientas_eléctricas1862106149192[Herramientas_eléctricas], B37) &gt; 0, Herramientas_eléctricas1862106149192[[#Headers],[Herramientas_eléctricas]],
    COUNTIF(Herramientas_neumáticas1963107150193[Herramientas_neumáticas], B37) &gt; 0, Herramientas_neumáticas1963107150193[[#Headers],[Herramientas_neumáticas]],
    COUNTIF(Herramientas_de_medición2064108151194[Herramientas_de_medición], B37) &gt; 0, Herramientas_de_medición2064108151194[[#Headers],[Herramientas_de_medición]],
    COUNTIF(Herrramientas_mecánicas2165109152195[Herramientas_mecánicas], B37) &gt; 0, Herrramientas_mecánicas2165109152195[[#Headers],[Herramientas_mecánicas]],
    COUNTIF(AH38:AH44, B37) &gt; 0, Herramientas_hidráulicas2266110153196[[#Headers],[Herramientas_hidráulicas]],
    COUNTIF(EPP_2367111154197[SPCC], B37) &gt; 0, EPP_2367111154197[[#Headers],[SPCC]],
   COUNTIF(Herramientas_de_izaje2468112155198[Herramientas_de_izaje], B37) &gt; 0, Herramientas_de_izaje2468112155198[[#Headers],[Herramientas_de_izaje]],
COUNTIF(Tabla162670114157200[Equipos], B37) &gt; 0, Tabla162670114157200[[#Headers],[Equipos]],
    TRUE, "Sin clasificación"
)</f>
        <v>Sin clasificación</v>
      </c>
      <c r="F37" s="15"/>
      <c r="G37" s="93" t="s">
        <v>2602</v>
      </c>
      <c r="H37" s="15" t="s">
        <v>2540</v>
      </c>
      <c r="I37" s="15"/>
      <c r="J37" s="47"/>
      <c r="L37" s="47"/>
      <c r="M37" s="47" t="s">
        <v>2608</v>
      </c>
      <c r="O37" s="15"/>
      <c r="Q37" s="48"/>
      <c r="AG37" s="18" t="s">
        <v>268</v>
      </c>
    </row>
    <row r="38" spans="2:42" ht="28.8" x14ac:dyDescent="0.3">
      <c r="B38" t="s">
        <v>2538</v>
      </c>
      <c r="C38" s="11" t="s">
        <v>2604</v>
      </c>
      <c r="E38" s="11" t="str" cm="1">
        <f t="array" ref="E38">_xlfn.IFS(
    COUNTIF(Herramientas_eléctricas1862106149192[Herramientas_eléctricas], B38) &gt; 0, Herramientas_eléctricas1862106149192[[#Headers],[Herramientas_eléctricas]],
    COUNTIF(Herramientas_neumáticas1963107150193[Herramientas_neumáticas], B38) &gt; 0, Herramientas_neumáticas1963107150193[[#Headers],[Herramientas_neumáticas]],
    COUNTIF(Herramientas_de_medición2064108151194[Herramientas_de_medición], B38) &gt; 0, Herramientas_de_medición2064108151194[[#Headers],[Herramientas_de_medición]],
    COUNTIF(Herrramientas_mecánicas2165109152195[Herramientas_mecánicas], B38) &gt; 0, Herrramientas_mecánicas2165109152195[[#Headers],[Herramientas_mecánicas]],
    COUNTIF(AH39:AH45, B38) &gt; 0, Herramientas_hidráulicas2266110153196[[#Headers],[Herramientas_hidráulicas]],
    COUNTIF(EPP_2367111154197[SPCC], B38) &gt; 0, EPP_2367111154197[[#Headers],[SPCC]],
   COUNTIF(Herramientas_de_izaje2468112155198[Herramientas_de_izaje], B38) &gt; 0, Herramientas_de_izaje2468112155198[[#Headers],[Herramientas_de_izaje]],
COUNTIF(Tabla162670114157200[Equipos], B38) &gt; 0, Tabla162670114157200[[#Headers],[Equipos]],
    TRUE, "Sin clasificación"
)</f>
        <v>Sin clasificación</v>
      </c>
      <c r="F38" s="15"/>
      <c r="G38" s="93" t="s">
        <v>2574</v>
      </c>
      <c r="H38" s="15" t="s">
        <v>2540</v>
      </c>
      <c r="I38" s="15"/>
      <c r="J38" s="47"/>
      <c r="L38" s="47"/>
      <c r="M38" s="47" t="s">
        <v>2609</v>
      </c>
      <c r="O38" s="15"/>
      <c r="Q38" s="48"/>
      <c r="AD38" s="69" t="s">
        <v>24</v>
      </c>
      <c r="AF38" t="s">
        <v>269</v>
      </c>
      <c r="AG38" s="18" t="s">
        <v>270</v>
      </c>
    </row>
    <row r="39" spans="2:42" ht="28.8" x14ac:dyDescent="0.3">
      <c r="B39" t="s">
        <v>2538</v>
      </c>
      <c r="C39" s="11" t="s">
        <v>2604</v>
      </c>
      <c r="E39" s="11" t="str" cm="1">
        <f t="array" ref="E39">_xlfn.IFS(
    COUNTIF(Herramientas_eléctricas1862106149192[Herramientas_eléctricas], B39) &gt; 0, Herramientas_eléctricas1862106149192[[#Headers],[Herramientas_eléctricas]],
    COUNTIF(Herramientas_neumáticas1963107150193[Herramientas_neumáticas], B39) &gt; 0, Herramientas_neumáticas1963107150193[[#Headers],[Herramientas_neumáticas]],
    COUNTIF(Herramientas_de_medición2064108151194[Herramientas_de_medición], B39) &gt; 0, Herramientas_de_medición2064108151194[[#Headers],[Herramientas_de_medición]],
    COUNTIF(Herrramientas_mecánicas2165109152195[Herramientas_mecánicas], B39) &gt; 0, Herrramientas_mecánicas2165109152195[[#Headers],[Herramientas_mecánicas]],
    COUNTIF(AH40:AH46, B39) &gt; 0, Herramientas_hidráulicas2266110153196[[#Headers],[Herramientas_hidráulicas]],
    COUNTIF(EPP_2367111154197[SPCC], B39) &gt; 0, EPP_2367111154197[[#Headers],[SPCC]],
   COUNTIF(Herramientas_de_izaje2468112155198[Herramientas_de_izaje], B39) &gt; 0, Herramientas_de_izaje2468112155198[[#Headers],[Herramientas_de_izaje]],
COUNTIF(Tabla162670114157200[Equipos], B39) &gt; 0, Tabla162670114157200[[#Headers],[Equipos]],
    TRUE, "Sin clasificación"
)</f>
        <v>Sin clasificación</v>
      </c>
      <c r="F39" s="15"/>
      <c r="G39" s="94" t="s">
        <v>2603</v>
      </c>
      <c r="H39" s="15" t="s">
        <v>2540</v>
      </c>
      <c r="I39" s="15"/>
      <c r="J39" s="47"/>
      <c r="L39" s="47"/>
      <c r="M39" s="47" t="s">
        <v>2610</v>
      </c>
      <c r="O39" s="15"/>
      <c r="Q39" s="48"/>
      <c r="AD39" s="62" t="s">
        <v>271</v>
      </c>
      <c r="AF39" s="68" t="s">
        <v>272</v>
      </c>
      <c r="AG39" s="22" t="s">
        <v>273</v>
      </c>
    </row>
    <row r="40" spans="2:42" ht="28.8" x14ac:dyDescent="0.3">
      <c r="B40" t="s">
        <v>2538</v>
      </c>
      <c r="C40" s="11" t="s">
        <v>2604</v>
      </c>
      <c r="E40" s="11" t="str" cm="1">
        <f t="array" ref="E40">_xlfn.IFS(
    COUNTIF(Herramientas_eléctricas1862106149192[Herramientas_eléctricas], B40) &gt; 0, Herramientas_eléctricas1862106149192[[#Headers],[Herramientas_eléctricas]],
    COUNTIF(Herramientas_neumáticas1963107150193[Herramientas_neumáticas], B40) &gt; 0, Herramientas_neumáticas1963107150193[[#Headers],[Herramientas_neumáticas]],
    COUNTIF(Herramientas_de_medición2064108151194[Herramientas_de_medición], B40) &gt; 0, Herramientas_de_medición2064108151194[[#Headers],[Herramientas_de_medición]],
    COUNTIF(Herrramientas_mecánicas2165109152195[Herramientas_mecánicas], B40) &gt; 0, Herrramientas_mecánicas2165109152195[[#Headers],[Herramientas_mecánicas]],
    COUNTIF(AH41:AH47, B40) &gt; 0, Herramientas_hidráulicas2266110153196[[#Headers],[Herramientas_hidráulicas]],
    COUNTIF(EPP_2367111154197[SPCC], B40) &gt; 0, EPP_2367111154197[[#Headers],[SPCC]],
   COUNTIF(Herramientas_de_izaje2468112155198[Herramientas_de_izaje], B40) &gt; 0, Herramientas_de_izaje2468112155198[[#Headers],[Herramientas_de_izaje]],
COUNTIF(Tabla162670114157200[Equipos], B40) &gt; 0, Tabla162670114157200[[#Headers],[Equipos]],
    TRUE, "Sin clasificación"
)</f>
        <v>Sin clasificación</v>
      </c>
      <c r="F40" s="15"/>
      <c r="G40" s="94" t="s">
        <v>2579</v>
      </c>
      <c r="H40" s="15" t="s">
        <v>2540</v>
      </c>
      <c r="I40" s="15"/>
      <c r="J40" s="47"/>
      <c r="L40" s="47"/>
      <c r="M40" s="47" t="s">
        <v>2611</v>
      </c>
      <c r="O40" s="15"/>
      <c r="Q40" s="48"/>
      <c r="AD40" s="70" t="s">
        <v>17</v>
      </c>
      <c r="AG40" t="s">
        <v>274</v>
      </c>
    </row>
    <row r="41" spans="2:42" x14ac:dyDescent="0.3">
      <c r="C41" s="11"/>
      <c r="E41" s="11"/>
      <c r="F41" s="15"/>
      <c r="G41" s="15"/>
      <c r="H41" s="15"/>
      <c r="I41" s="15"/>
      <c r="J41" s="47"/>
      <c r="L41" s="47"/>
      <c r="M41" s="47"/>
      <c r="O41" s="15"/>
      <c r="Q41" s="48"/>
      <c r="AF41" t="s">
        <v>61</v>
      </c>
    </row>
    <row r="42" spans="2:42" x14ac:dyDescent="0.3">
      <c r="C42" s="11"/>
      <c r="E42" s="11"/>
      <c r="F42" s="15"/>
      <c r="G42" s="15"/>
      <c r="H42" s="15"/>
      <c r="I42" s="15"/>
      <c r="J42" s="47"/>
      <c r="L42" s="47"/>
      <c r="M42" s="47"/>
      <c r="O42" s="15"/>
      <c r="Q42" s="48"/>
      <c r="AD42" s="71" t="s">
        <v>94</v>
      </c>
      <c r="AF42" t="s">
        <v>275</v>
      </c>
    </row>
    <row r="43" spans="2:42" ht="28.8" x14ac:dyDescent="0.3">
      <c r="C43" s="11"/>
      <c r="E43" s="11"/>
      <c r="F43" s="15"/>
      <c r="G43" s="15"/>
      <c r="H43" s="15"/>
      <c r="I43" s="15"/>
      <c r="J43" s="47"/>
      <c r="L43" s="47"/>
      <c r="M43" s="47"/>
      <c r="O43" s="15"/>
      <c r="Q43" s="48"/>
      <c r="AD43" s="72" t="s">
        <v>276</v>
      </c>
      <c r="AF43" s="20" t="s">
        <v>277</v>
      </c>
      <c r="AG43" t="s">
        <v>98</v>
      </c>
    </row>
    <row r="44" spans="2:42" x14ac:dyDescent="0.3">
      <c r="C44" s="11"/>
      <c r="E44" s="11"/>
      <c r="F44" s="15"/>
      <c r="G44" s="15"/>
      <c r="H44" s="15"/>
      <c r="I44" s="15"/>
      <c r="J44" s="47"/>
      <c r="L44" s="47"/>
      <c r="M44" s="47"/>
      <c r="O44" s="15"/>
      <c r="Q44" s="48"/>
      <c r="AD44" s="73" t="s">
        <v>278</v>
      </c>
      <c r="AF44" s="18" t="s">
        <v>279</v>
      </c>
      <c r="AG44" s="26" t="s">
        <v>280</v>
      </c>
    </row>
    <row r="45" spans="2:42" x14ac:dyDescent="0.3">
      <c r="C45" s="11"/>
      <c r="E45" s="11"/>
      <c r="F45" s="15"/>
      <c r="G45" s="15"/>
      <c r="H45" s="15"/>
      <c r="I45" s="15"/>
      <c r="J45" s="47"/>
      <c r="L45" s="47"/>
      <c r="M45" s="47"/>
      <c r="O45" s="15"/>
      <c r="Q45" s="48"/>
      <c r="AD45" t="s">
        <v>42</v>
      </c>
      <c r="AF45" s="26" t="s">
        <v>281</v>
      </c>
    </row>
    <row r="46" spans="2:42" x14ac:dyDescent="0.3">
      <c r="C46" s="11"/>
      <c r="E46" s="11"/>
      <c r="F46" s="15"/>
      <c r="G46" s="15"/>
      <c r="H46" s="15"/>
      <c r="I46" s="15"/>
      <c r="J46" s="47"/>
      <c r="L46" s="47"/>
      <c r="M46" s="47"/>
      <c r="O46" s="15"/>
      <c r="Q46" s="48"/>
    </row>
    <row r="47" spans="2:42" x14ac:dyDescent="0.3">
      <c r="C47" s="11"/>
      <c r="E47" s="11"/>
      <c r="F47" s="15"/>
      <c r="G47" s="15"/>
      <c r="H47" s="15"/>
      <c r="I47" s="15"/>
      <c r="J47" s="47"/>
      <c r="L47" s="47"/>
      <c r="M47" s="47"/>
      <c r="O47" s="15"/>
      <c r="Q47" s="48"/>
      <c r="AD47" t="s">
        <v>41</v>
      </c>
      <c r="AG47" t="s">
        <v>282</v>
      </c>
    </row>
    <row r="48" spans="2:42" ht="28.8" x14ac:dyDescent="0.3">
      <c r="C48" s="11"/>
      <c r="E48" s="11"/>
      <c r="F48" s="15"/>
      <c r="G48" s="15"/>
      <c r="H48" s="15"/>
      <c r="I48" s="15"/>
      <c r="J48" s="47"/>
      <c r="L48" s="47"/>
      <c r="M48" s="47"/>
      <c r="O48" s="15"/>
      <c r="Q48" s="48"/>
      <c r="AD48" t="s">
        <v>41</v>
      </c>
      <c r="AF48" t="s">
        <v>283</v>
      </c>
      <c r="AG48" s="74" t="s">
        <v>284</v>
      </c>
      <c r="AP48" t="s">
        <v>74</v>
      </c>
    </row>
    <row r="49" spans="3:42" x14ac:dyDescent="0.3">
      <c r="C49" s="11"/>
      <c r="E49" s="11"/>
      <c r="F49" s="15"/>
      <c r="G49" s="15"/>
      <c r="H49" s="15"/>
      <c r="I49" s="15"/>
      <c r="J49" s="47"/>
      <c r="L49" s="47"/>
      <c r="M49" s="47"/>
      <c r="O49" s="15"/>
      <c r="Q49" s="48"/>
      <c r="AD49" t="s">
        <v>285</v>
      </c>
      <c r="AF49" t="s">
        <v>286</v>
      </c>
      <c r="AP49" s="22" t="s">
        <v>74</v>
      </c>
    </row>
    <row r="50" spans="3:42" x14ac:dyDescent="0.3">
      <c r="C50" s="11"/>
      <c r="E50" s="11"/>
      <c r="F50" s="15"/>
      <c r="G50" s="15"/>
      <c r="H50" s="15"/>
      <c r="I50" s="15"/>
      <c r="J50" s="47"/>
      <c r="L50" s="47"/>
      <c r="M50" s="47"/>
      <c r="O50" s="15"/>
      <c r="Q50" s="48"/>
      <c r="AD50" t="s">
        <v>287</v>
      </c>
      <c r="AF50" t="s">
        <v>288</v>
      </c>
      <c r="AG50" t="s">
        <v>289</v>
      </c>
      <c r="AP50" s="18" t="s">
        <v>290</v>
      </c>
    </row>
    <row r="51" spans="3:42" x14ac:dyDescent="0.3">
      <c r="C51" s="11"/>
      <c r="E51" s="11"/>
      <c r="F51" s="15"/>
      <c r="G51" s="15"/>
      <c r="H51" s="15"/>
      <c r="I51" s="15"/>
      <c r="J51" s="47"/>
      <c r="L51" s="47"/>
      <c r="M51" s="47"/>
      <c r="O51" s="15"/>
      <c r="Q51" s="48"/>
      <c r="AG51" s="22" t="s">
        <v>291</v>
      </c>
    </row>
    <row r="52" spans="3:42" x14ac:dyDescent="0.3">
      <c r="C52" s="11"/>
      <c r="E52" s="11"/>
      <c r="F52" s="15"/>
      <c r="G52" s="15"/>
      <c r="H52" s="15"/>
      <c r="I52" s="15"/>
      <c r="J52" s="47"/>
      <c r="L52" s="47"/>
      <c r="M52" s="47"/>
      <c r="O52" s="15"/>
      <c r="Q52" s="48"/>
      <c r="AD52" t="s">
        <v>60</v>
      </c>
      <c r="AG52" s="67" t="s">
        <v>292</v>
      </c>
    </row>
    <row r="53" spans="3:42" x14ac:dyDescent="0.3">
      <c r="C53" s="11"/>
      <c r="E53" s="11"/>
      <c r="F53" s="15"/>
      <c r="G53" s="15"/>
      <c r="H53" s="15"/>
      <c r="I53" s="15"/>
      <c r="J53" s="47"/>
      <c r="L53" s="47"/>
      <c r="M53" s="47"/>
      <c r="O53" s="15"/>
      <c r="Q53" s="48"/>
      <c r="AD53" s="70" t="s">
        <v>293</v>
      </c>
      <c r="AG53" s="22" t="s">
        <v>294</v>
      </c>
    </row>
    <row r="54" spans="3:42" x14ac:dyDescent="0.3">
      <c r="C54" s="11"/>
      <c r="E54" s="11"/>
      <c r="F54" s="15"/>
      <c r="G54" s="15"/>
      <c r="H54" s="15"/>
      <c r="I54" s="15"/>
      <c r="J54" s="47"/>
      <c r="L54" s="47"/>
      <c r="M54" s="47"/>
      <c r="O54" s="15"/>
      <c r="Q54" s="48"/>
      <c r="AG54" s="22" t="s">
        <v>295</v>
      </c>
    </row>
    <row r="55" spans="3:42" x14ac:dyDescent="0.3">
      <c r="C55" s="11"/>
      <c r="E55" s="11"/>
      <c r="F55" s="15"/>
      <c r="G55" s="15"/>
      <c r="H55" s="15"/>
      <c r="I55" s="15"/>
      <c r="J55" s="47"/>
      <c r="L55" s="47"/>
      <c r="M55" s="47"/>
      <c r="O55" s="15"/>
      <c r="Q55" s="48"/>
      <c r="AG55" s="22" t="s">
        <v>296</v>
      </c>
    </row>
    <row r="56" spans="3:42" x14ac:dyDescent="0.3">
      <c r="C56" s="11"/>
      <c r="E56" s="11"/>
      <c r="F56" s="15"/>
      <c r="G56" s="15"/>
      <c r="H56" s="15"/>
      <c r="I56" s="15"/>
      <c r="J56" s="47"/>
      <c r="L56" s="47"/>
      <c r="M56" s="47"/>
      <c r="O56" s="15"/>
      <c r="Q56" s="48"/>
      <c r="AF56" t="s">
        <v>297</v>
      </c>
      <c r="AG56" s="18" t="s">
        <v>298</v>
      </c>
    </row>
    <row r="57" spans="3:42" x14ac:dyDescent="0.3">
      <c r="C57" s="11"/>
      <c r="E57" s="11"/>
      <c r="F57" s="15"/>
      <c r="G57" s="15"/>
      <c r="H57" s="15"/>
      <c r="I57" s="15"/>
      <c r="J57" s="47"/>
      <c r="L57" s="47"/>
      <c r="M57" s="47"/>
      <c r="O57" s="15"/>
      <c r="Q57" s="48"/>
      <c r="AF57" t="s">
        <v>299</v>
      </c>
      <c r="AG57" s="22" t="s">
        <v>300</v>
      </c>
    </row>
    <row r="58" spans="3:42" x14ac:dyDescent="0.3">
      <c r="C58" s="11"/>
      <c r="E58" s="11"/>
      <c r="F58" s="15"/>
      <c r="G58" s="15"/>
      <c r="H58" s="15"/>
      <c r="I58" s="15"/>
      <c r="J58" s="47"/>
      <c r="L58" s="47"/>
      <c r="M58" s="47"/>
      <c r="O58" s="15"/>
      <c r="Q58" s="48"/>
      <c r="AD58" t="s">
        <v>23</v>
      </c>
      <c r="AG58" s="18" t="s">
        <v>301</v>
      </c>
    </row>
    <row r="59" spans="3:42" x14ac:dyDescent="0.3">
      <c r="C59" s="11"/>
      <c r="E59" s="11"/>
      <c r="F59" s="15"/>
      <c r="G59" s="15"/>
      <c r="H59" s="15"/>
      <c r="I59" s="15"/>
      <c r="J59" s="47"/>
      <c r="L59" s="47"/>
      <c r="M59" s="47"/>
      <c r="O59" s="15"/>
      <c r="Q59" s="48"/>
      <c r="AD59" t="s">
        <v>302</v>
      </c>
      <c r="AG59" s="70" t="s">
        <v>303</v>
      </c>
    </row>
    <row r="60" spans="3:42" x14ac:dyDescent="0.3">
      <c r="C60" s="11"/>
      <c r="E60" s="11"/>
      <c r="F60" s="15"/>
      <c r="G60" s="15"/>
      <c r="H60" s="15"/>
      <c r="I60" s="15"/>
      <c r="J60" s="47"/>
      <c r="L60" s="47"/>
      <c r="M60" s="47"/>
      <c r="O60" s="15"/>
      <c r="Q60" s="48"/>
      <c r="AF60" t="s">
        <v>62</v>
      </c>
    </row>
    <row r="61" spans="3:42" x14ac:dyDescent="0.3">
      <c r="C61" s="11"/>
      <c r="E61" s="11"/>
      <c r="F61" s="15"/>
      <c r="G61" s="15"/>
      <c r="H61" s="15"/>
      <c r="I61" s="15"/>
      <c r="J61" s="47"/>
      <c r="L61" s="47"/>
      <c r="M61" s="47"/>
      <c r="O61" s="15"/>
      <c r="Q61" s="48"/>
      <c r="AF61" s="70" t="s">
        <v>304</v>
      </c>
      <c r="AG61" t="s">
        <v>305</v>
      </c>
    </row>
    <row r="62" spans="3:42" x14ac:dyDescent="0.3">
      <c r="C62" s="11"/>
      <c r="E62" s="11"/>
      <c r="F62" s="15"/>
      <c r="G62" s="15"/>
      <c r="H62" s="15"/>
      <c r="I62" s="15"/>
      <c r="J62" s="47"/>
      <c r="L62" s="47"/>
      <c r="M62" s="47"/>
      <c r="O62" s="15"/>
      <c r="Q62" s="48"/>
      <c r="AD62" t="s">
        <v>64</v>
      </c>
      <c r="AG62" t="s">
        <v>306</v>
      </c>
    </row>
    <row r="63" spans="3:42" x14ac:dyDescent="0.3">
      <c r="C63" s="11"/>
      <c r="E63" s="11"/>
      <c r="F63" s="15"/>
      <c r="G63" s="15"/>
      <c r="H63" s="15"/>
      <c r="I63" s="15"/>
      <c r="J63" s="47"/>
      <c r="L63" s="47"/>
      <c r="M63" s="47"/>
      <c r="O63" s="15"/>
      <c r="Q63" s="48"/>
      <c r="AD63" s="75" t="s">
        <v>307</v>
      </c>
      <c r="AF63" t="s">
        <v>89</v>
      </c>
    </row>
    <row r="64" spans="3:42" ht="28.8" x14ac:dyDescent="0.3">
      <c r="C64" s="11"/>
      <c r="E64" s="11"/>
      <c r="F64" s="15"/>
      <c r="G64" s="15"/>
      <c r="H64" s="15"/>
      <c r="I64" s="15"/>
      <c r="J64" s="47"/>
      <c r="L64" s="47"/>
      <c r="M64" s="47"/>
      <c r="O64" s="15"/>
      <c r="Q64" s="48"/>
      <c r="AD64" s="70" t="s">
        <v>308</v>
      </c>
      <c r="AF64" s="12" t="s">
        <v>309</v>
      </c>
      <c r="AG64" t="s">
        <v>102</v>
      </c>
    </row>
    <row r="65" spans="3:33" x14ac:dyDescent="0.3">
      <c r="C65" s="11"/>
      <c r="E65" s="11"/>
      <c r="F65" s="15"/>
      <c r="G65" s="15"/>
      <c r="H65" s="15"/>
      <c r="I65" s="15"/>
      <c r="J65" s="47"/>
      <c r="L65" s="47"/>
      <c r="M65" s="47"/>
      <c r="O65" s="15"/>
      <c r="Q65" s="48"/>
      <c r="AG65" t="s">
        <v>310</v>
      </c>
    </row>
    <row r="66" spans="3:33" x14ac:dyDescent="0.3">
      <c r="C66" s="11"/>
      <c r="E66" s="11"/>
      <c r="F66" s="15"/>
      <c r="G66" s="15"/>
      <c r="H66" s="15"/>
      <c r="I66" s="15"/>
      <c r="J66" s="47"/>
      <c r="L66" s="47"/>
      <c r="M66" s="47"/>
      <c r="O66" s="15"/>
      <c r="Q66" s="48"/>
      <c r="AD66" t="s">
        <v>101</v>
      </c>
      <c r="AF66" s="34" t="s">
        <v>73</v>
      </c>
    </row>
    <row r="67" spans="3:33" x14ac:dyDescent="0.3">
      <c r="C67" s="11"/>
      <c r="E67" s="11"/>
      <c r="F67" s="15"/>
      <c r="G67" s="15"/>
      <c r="H67" s="15"/>
      <c r="I67" s="15"/>
      <c r="J67" s="47"/>
      <c r="L67" s="47"/>
      <c r="M67" s="47"/>
      <c r="O67" s="15"/>
      <c r="Q67" s="48"/>
      <c r="AD67" t="s">
        <v>311</v>
      </c>
      <c r="AF67" s="22" t="s">
        <v>312</v>
      </c>
      <c r="AG67" t="s">
        <v>313</v>
      </c>
    </row>
    <row r="68" spans="3:33" x14ac:dyDescent="0.3">
      <c r="C68" s="11"/>
      <c r="E68" s="11"/>
      <c r="F68" s="15"/>
      <c r="G68" s="15"/>
      <c r="H68" s="15"/>
      <c r="I68" s="15"/>
      <c r="J68" s="47"/>
      <c r="L68" s="47"/>
      <c r="M68" s="47"/>
      <c r="O68" s="15"/>
      <c r="Q68" s="48"/>
      <c r="AG68" s="21" t="s">
        <v>314</v>
      </c>
    </row>
    <row r="69" spans="3:33" x14ac:dyDescent="0.3">
      <c r="C69" s="11"/>
      <c r="E69" s="11"/>
      <c r="F69" s="15"/>
      <c r="G69" s="15"/>
      <c r="H69" s="15"/>
      <c r="I69" s="15"/>
      <c r="J69" s="47"/>
      <c r="L69" s="47"/>
      <c r="M69" s="47"/>
      <c r="O69" s="15"/>
      <c r="Q69" s="48"/>
      <c r="AG69" s="70" t="s">
        <v>315</v>
      </c>
    </row>
    <row r="70" spans="3:33" x14ac:dyDescent="0.3">
      <c r="C70" s="11"/>
      <c r="E70" s="11"/>
      <c r="F70" s="15"/>
      <c r="G70" s="15"/>
      <c r="H70" s="15"/>
      <c r="I70" s="15"/>
      <c r="J70" s="47"/>
      <c r="L70" s="47"/>
      <c r="M70" s="47"/>
      <c r="O70" s="15"/>
      <c r="Q70" s="48"/>
    </row>
    <row r="71" spans="3:33" x14ac:dyDescent="0.3">
      <c r="C71" s="11"/>
      <c r="E71" s="11"/>
      <c r="F71" s="15"/>
      <c r="G71" s="15"/>
      <c r="H71" s="15"/>
      <c r="I71" s="15"/>
      <c r="J71" s="47"/>
      <c r="L71" s="47"/>
      <c r="M71" s="47"/>
      <c r="O71" s="15"/>
      <c r="Q71" s="48"/>
    </row>
    <row r="72" spans="3:33" x14ac:dyDescent="0.3">
      <c r="C72" s="11"/>
      <c r="E72" s="11"/>
      <c r="F72" s="15"/>
      <c r="G72" s="15"/>
      <c r="H72" s="15"/>
      <c r="I72" s="15"/>
      <c r="J72" s="47"/>
      <c r="L72" s="47"/>
      <c r="M72" s="47"/>
      <c r="O72" s="15"/>
      <c r="Q72" s="48"/>
    </row>
    <row r="73" spans="3:33" x14ac:dyDescent="0.3">
      <c r="C73" s="11"/>
      <c r="E73" s="11"/>
      <c r="F73" s="15"/>
      <c r="G73" s="15"/>
      <c r="H73" s="15"/>
      <c r="I73" s="15"/>
      <c r="J73" s="47"/>
      <c r="L73" s="47"/>
      <c r="M73" s="47"/>
      <c r="O73" s="15"/>
      <c r="Q73" s="48"/>
    </row>
    <row r="74" spans="3:33" x14ac:dyDescent="0.3">
      <c r="C74" s="11"/>
      <c r="E74" s="11"/>
      <c r="F74" s="15"/>
      <c r="G74" s="15"/>
      <c r="H74" s="15"/>
      <c r="I74" s="15"/>
      <c r="J74" s="47"/>
      <c r="L74" s="47"/>
      <c r="M74" s="47"/>
      <c r="O74" s="15"/>
      <c r="Q74" s="48"/>
    </row>
    <row r="75" spans="3:33" ht="57.6" x14ac:dyDescent="0.3">
      <c r="C75" s="11"/>
      <c r="E75" s="11"/>
      <c r="F75" s="15"/>
      <c r="G75" s="15"/>
      <c r="H75" s="15"/>
      <c r="I75" s="15"/>
      <c r="J75" s="47"/>
      <c r="L75" s="47"/>
      <c r="M75" s="47"/>
      <c r="O75" s="15"/>
      <c r="Q75" s="48"/>
      <c r="AD75" s="11" t="s">
        <v>316</v>
      </c>
    </row>
    <row r="76" spans="3:33" x14ac:dyDescent="0.3">
      <c r="C76" s="11"/>
      <c r="E76" s="11"/>
      <c r="F76" s="15"/>
      <c r="G76" s="15"/>
      <c r="H76" s="15"/>
      <c r="I76" s="15"/>
      <c r="J76" s="47"/>
      <c r="L76" s="47"/>
      <c r="M76" s="47"/>
      <c r="O76" s="15"/>
      <c r="Q76" s="48"/>
    </row>
    <row r="77" spans="3:33" x14ac:dyDescent="0.3">
      <c r="C77" s="11"/>
      <c r="E77" s="11"/>
      <c r="F77" s="15"/>
      <c r="G77" s="15"/>
      <c r="H77" s="15"/>
      <c r="I77" s="15"/>
      <c r="J77" s="47"/>
      <c r="L77" s="47"/>
      <c r="M77" s="47"/>
      <c r="O77" s="15"/>
      <c r="Q77" s="48"/>
    </row>
    <row r="78" spans="3:33" x14ac:dyDescent="0.3">
      <c r="C78" s="11"/>
      <c r="E78" s="11"/>
      <c r="F78" s="15"/>
      <c r="G78" s="15"/>
      <c r="H78" s="15"/>
      <c r="I78" s="15"/>
      <c r="J78" s="47"/>
      <c r="L78" s="47"/>
      <c r="M78" s="47"/>
      <c r="O78" s="15"/>
      <c r="Q78" s="48"/>
    </row>
    <row r="79" spans="3:33" x14ac:dyDescent="0.3">
      <c r="C79" s="11"/>
      <c r="E79" s="11"/>
      <c r="F79" s="15"/>
      <c r="G79" s="15"/>
      <c r="H79" s="15"/>
      <c r="I79" s="15"/>
      <c r="J79" s="47"/>
      <c r="L79" s="47"/>
      <c r="M79" s="47"/>
      <c r="O79" s="15"/>
      <c r="Q79" s="48"/>
    </row>
    <row r="80" spans="3:33" x14ac:dyDescent="0.3">
      <c r="C80" s="11"/>
      <c r="E80" s="11"/>
      <c r="F80" s="15"/>
      <c r="G80" s="15"/>
      <c r="H80" s="15"/>
      <c r="I80" s="15"/>
      <c r="J80" s="47"/>
      <c r="L80" s="47"/>
      <c r="M80" s="47"/>
      <c r="O80" s="15"/>
      <c r="Q80" s="48"/>
    </row>
    <row r="81" spans="3:17" x14ac:dyDescent="0.3">
      <c r="C81" s="11"/>
      <c r="E81" s="11"/>
      <c r="F81" s="15"/>
      <c r="G81" s="15"/>
      <c r="H81" s="15"/>
      <c r="I81" s="15"/>
      <c r="J81" s="47"/>
      <c r="L81" s="47"/>
      <c r="M81" s="47"/>
      <c r="O81" s="15"/>
      <c r="Q81" s="48"/>
    </row>
    <row r="82" spans="3:17" x14ac:dyDescent="0.3">
      <c r="C82" s="11"/>
      <c r="E82" s="11"/>
      <c r="F82" s="15"/>
      <c r="G82" s="15"/>
      <c r="H82" s="15"/>
      <c r="I82" s="15"/>
      <c r="J82" s="47"/>
      <c r="L82" s="47"/>
      <c r="M82" s="47"/>
      <c r="O82" s="15"/>
      <c r="Q82" s="48"/>
    </row>
    <row r="83" spans="3:17" x14ac:dyDescent="0.3">
      <c r="C83" s="11"/>
      <c r="E83" s="11"/>
      <c r="F83" s="15"/>
      <c r="G83" s="15"/>
      <c r="H83" s="15"/>
      <c r="I83" s="15"/>
      <c r="J83" s="47"/>
      <c r="L83" s="47"/>
      <c r="M83" s="47"/>
      <c r="O83" s="15"/>
      <c r="Q83" s="48"/>
    </row>
    <row r="84" spans="3:17" x14ac:dyDescent="0.3">
      <c r="C84" s="11"/>
      <c r="E84" s="11"/>
      <c r="F84" s="15"/>
      <c r="G84" s="15"/>
      <c r="H84" s="15"/>
      <c r="I84" s="15"/>
      <c r="J84" s="47"/>
      <c r="L84" s="47"/>
      <c r="M84" s="47"/>
      <c r="O84" s="15"/>
      <c r="Q84" s="48"/>
    </row>
    <row r="85" spans="3:17" x14ac:dyDescent="0.3">
      <c r="C85" s="11"/>
      <c r="E85" s="11"/>
      <c r="F85" s="15"/>
      <c r="G85" s="15"/>
      <c r="H85" s="15"/>
      <c r="I85" s="15"/>
      <c r="J85" s="47"/>
      <c r="L85" s="47"/>
      <c r="M85" s="47"/>
      <c r="O85" s="15"/>
      <c r="Q85" s="48"/>
    </row>
    <row r="86" spans="3:17" x14ac:dyDescent="0.3">
      <c r="C86" s="11"/>
      <c r="E86" s="11"/>
      <c r="F86" s="15"/>
      <c r="G86" s="15"/>
      <c r="H86" s="15"/>
      <c r="I86" s="15"/>
      <c r="J86" s="47"/>
      <c r="L86" s="47"/>
      <c r="M86" s="47"/>
      <c r="O86" s="15"/>
      <c r="Q86" s="48"/>
    </row>
    <row r="87" spans="3:17" x14ac:dyDescent="0.3">
      <c r="C87" s="11"/>
      <c r="E87" s="11"/>
      <c r="F87" s="15"/>
      <c r="G87" s="15"/>
      <c r="H87" s="15"/>
      <c r="I87" s="15"/>
      <c r="J87" s="47"/>
      <c r="L87" s="47"/>
      <c r="M87" s="47"/>
      <c r="O87" s="15"/>
      <c r="Q87" s="48"/>
    </row>
    <row r="88" spans="3:17" x14ac:dyDescent="0.3">
      <c r="C88" s="11"/>
      <c r="E88" s="11"/>
      <c r="F88" s="15"/>
      <c r="G88" s="15"/>
      <c r="H88" s="15"/>
      <c r="I88" s="15"/>
      <c r="J88" s="47"/>
      <c r="L88" s="47"/>
      <c r="M88" s="47"/>
      <c r="O88" s="15"/>
      <c r="Q88" s="48"/>
    </row>
    <row r="89" spans="3:17" x14ac:dyDescent="0.3">
      <c r="C89" s="11"/>
      <c r="E89" s="11"/>
      <c r="F89" s="15"/>
      <c r="G89" s="15"/>
      <c r="H89" s="15"/>
      <c r="I89" s="15"/>
      <c r="J89" s="47"/>
      <c r="L89" s="47"/>
      <c r="M89" s="47"/>
      <c r="O89" s="15"/>
      <c r="Q89" s="48"/>
    </row>
    <row r="90" spans="3:17" x14ac:dyDescent="0.3">
      <c r="C90" s="11"/>
      <c r="E90" s="11"/>
      <c r="F90" s="15"/>
      <c r="G90" s="15"/>
      <c r="H90" s="15"/>
      <c r="I90" s="15"/>
      <c r="J90" s="47"/>
      <c r="L90" s="47"/>
      <c r="M90" s="47"/>
      <c r="O90" s="15"/>
      <c r="Q90" s="48"/>
    </row>
    <row r="91" spans="3:17" x14ac:dyDescent="0.3">
      <c r="C91" s="11"/>
      <c r="E91" s="11"/>
      <c r="F91" s="15"/>
      <c r="G91" s="15"/>
      <c r="H91" s="15"/>
      <c r="I91" s="15"/>
      <c r="J91" s="47"/>
      <c r="L91" s="47"/>
      <c r="M91" s="47"/>
      <c r="O91" s="15"/>
      <c r="Q91" s="48"/>
    </row>
    <row r="92" spans="3:17" x14ac:dyDescent="0.3">
      <c r="C92" s="11"/>
      <c r="E92" s="11"/>
      <c r="F92" s="15"/>
      <c r="G92" s="15"/>
      <c r="H92" s="15"/>
      <c r="I92" s="15"/>
      <c r="J92" s="47"/>
      <c r="L92" s="47"/>
      <c r="M92" s="47"/>
      <c r="O92" s="15"/>
      <c r="Q92" s="48"/>
    </row>
    <row r="93" spans="3:17" x14ac:dyDescent="0.3">
      <c r="C93" s="11"/>
      <c r="E93" s="11"/>
      <c r="F93" s="15"/>
      <c r="G93" s="15"/>
      <c r="H93" s="15"/>
      <c r="I93" s="15"/>
      <c r="J93" s="47"/>
      <c r="L93" s="47"/>
      <c r="M93" s="47"/>
      <c r="O93" s="15"/>
      <c r="Q93" s="48"/>
    </row>
    <row r="94" spans="3:17" x14ac:dyDescent="0.3">
      <c r="C94" s="11"/>
      <c r="E94" s="11"/>
      <c r="F94" s="15"/>
      <c r="G94" s="15"/>
      <c r="H94" s="15"/>
      <c r="I94" s="15"/>
      <c r="J94" s="47"/>
      <c r="L94" s="47"/>
      <c r="M94" s="47"/>
      <c r="O94" s="15"/>
      <c r="Q94" s="48"/>
    </row>
    <row r="95" spans="3:17" x14ac:dyDescent="0.3">
      <c r="C95" s="11"/>
      <c r="E95" s="11"/>
      <c r="F95" s="15"/>
      <c r="G95" s="15"/>
      <c r="H95" s="15"/>
      <c r="I95" s="15"/>
      <c r="J95" s="47"/>
      <c r="L95" s="47"/>
      <c r="M95" s="47"/>
      <c r="O95" s="15"/>
      <c r="Q95" s="48"/>
    </row>
    <row r="96" spans="3:17" x14ac:dyDescent="0.3">
      <c r="C96" s="11"/>
      <c r="E96" s="11"/>
      <c r="F96" s="15"/>
      <c r="G96" s="15"/>
      <c r="H96" s="15"/>
      <c r="I96" s="15"/>
      <c r="J96" s="47"/>
      <c r="L96" s="47"/>
      <c r="M96" s="47"/>
      <c r="O96" s="15"/>
      <c r="Q96" s="48"/>
    </row>
    <row r="97" spans="3:17" x14ac:dyDescent="0.3">
      <c r="C97" s="11"/>
      <c r="E97" s="11"/>
      <c r="F97" s="15"/>
      <c r="G97" s="15"/>
      <c r="H97" s="15"/>
      <c r="I97" s="15"/>
      <c r="J97" s="47"/>
      <c r="L97" s="47"/>
      <c r="M97" s="47"/>
      <c r="O97" s="15"/>
      <c r="Q97" s="48"/>
    </row>
    <row r="98" spans="3:17" x14ac:dyDescent="0.3">
      <c r="C98" s="11"/>
      <c r="E98" s="11"/>
      <c r="F98" s="15"/>
      <c r="G98" s="15"/>
      <c r="H98" s="15"/>
      <c r="I98" s="15"/>
      <c r="J98" s="47"/>
      <c r="L98" s="47"/>
      <c r="M98" s="47"/>
      <c r="O98" s="15"/>
      <c r="Q98" s="48"/>
    </row>
    <row r="99" spans="3:17" x14ac:dyDescent="0.3">
      <c r="C99" s="11"/>
      <c r="E99" s="11"/>
      <c r="F99" s="15"/>
      <c r="G99" s="15"/>
      <c r="H99" s="15"/>
      <c r="I99" s="15"/>
      <c r="J99" s="47"/>
      <c r="L99" s="47"/>
      <c r="M99" s="47"/>
      <c r="O99" s="15"/>
      <c r="Q99" s="48"/>
    </row>
    <row r="100" spans="3:17" x14ac:dyDescent="0.3">
      <c r="C100" s="11"/>
      <c r="E100" s="11"/>
      <c r="F100" s="15"/>
      <c r="G100" s="15"/>
      <c r="H100" s="15"/>
      <c r="I100" s="15"/>
      <c r="J100" s="47"/>
      <c r="L100" s="47"/>
      <c r="M100" s="47"/>
      <c r="O100" s="15"/>
      <c r="Q100" s="48"/>
    </row>
    <row r="101" spans="3:17" x14ac:dyDescent="0.3">
      <c r="C101" s="11"/>
      <c r="E101" s="11"/>
      <c r="F101" s="15"/>
      <c r="G101" s="15"/>
      <c r="H101" s="15"/>
      <c r="I101" s="15"/>
      <c r="J101" s="47"/>
      <c r="L101" s="47"/>
      <c r="M101" s="47"/>
      <c r="O101" s="15"/>
      <c r="Q101" s="48"/>
    </row>
    <row r="102" spans="3:17" x14ac:dyDescent="0.3">
      <c r="C102" s="11"/>
      <c r="E102" s="11"/>
      <c r="F102" s="15"/>
      <c r="G102" s="15"/>
      <c r="H102" s="15"/>
      <c r="I102" s="15"/>
      <c r="J102" s="47"/>
      <c r="L102" s="47"/>
      <c r="M102" s="47"/>
      <c r="O102" s="15"/>
      <c r="Q102" s="48"/>
    </row>
    <row r="103" spans="3:17" x14ac:dyDescent="0.3">
      <c r="C103" s="11"/>
      <c r="E103" s="11"/>
      <c r="F103" s="15"/>
      <c r="G103" s="15"/>
      <c r="H103" s="15"/>
      <c r="I103" s="15"/>
      <c r="J103" s="47"/>
      <c r="L103" s="47"/>
      <c r="M103" s="47"/>
      <c r="O103" s="15"/>
      <c r="Q103" s="48"/>
    </row>
    <row r="104" spans="3:17" x14ac:dyDescent="0.3">
      <c r="C104" s="11"/>
      <c r="E104" s="11"/>
      <c r="F104" s="15"/>
      <c r="G104" s="15"/>
      <c r="H104" s="15"/>
      <c r="I104" s="15"/>
      <c r="J104" s="47"/>
      <c r="L104" s="47"/>
      <c r="M104" s="47"/>
      <c r="O104" s="15"/>
      <c r="Q104" s="48"/>
    </row>
    <row r="105" spans="3:17" x14ac:dyDescent="0.3">
      <c r="C105" s="11"/>
      <c r="E105" s="11"/>
      <c r="F105" s="15"/>
      <c r="G105" s="15"/>
      <c r="H105" s="15"/>
      <c r="I105" s="15"/>
      <c r="J105" s="47"/>
      <c r="L105" s="47"/>
      <c r="M105" s="47"/>
      <c r="O105" s="15"/>
      <c r="Q105" s="48"/>
    </row>
    <row r="106" spans="3:17" x14ac:dyDescent="0.3">
      <c r="C106" s="11"/>
      <c r="E106" s="11"/>
      <c r="F106" s="15"/>
      <c r="G106" s="15"/>
      <c r="H106" s="15"/>
      <c r="I106" s="15"/>
      <c r="J106" s="47"/>
      <c r="L106" s="47"/>
      <c r="M106" s="47"/>
      <c r="O106" s="15"/>
      <c r="Q106" s="48"/>
    </row>
    <row r="107" spans="3:17" x14ac:dyDescent="0.3">
      <c r="C107" s="11"/>
      <c r="E107" s="11"/>
      <c r="F107" s="15"/>
      <c r="G107" s="15"/>
      <c r="H107" s="15"/>
      <c r="I107" s="15"/>
      <c r="J107" s="47"/>
      <c r="L107" s="47"/>
      <c r="M107" s="47"/>
      <c r="O107" s="15"/>
      <c r="Q107" s="48"/>
    </row>
    <row r="108" spans="3:17" x14ac:dyDescent="0.3">
      <c r="C108" s="11"/>
      <c r="E108" s="11"/>
      <c r="F108" s="15"/>
      <c r="G108" s="15"/>
      <c r="H108" s="15"/>
      <c r="I108" s="15"/>
      <c r="J108" s="47"/>
      <c r="L108" s="47"/>
      <c r="M108" s="47"/>
      <c r="O108" s="15"/>
      <c r="Q108" s="48"/>
    </row>
    <row r="109" spans="3:17" x14ac:dyDescent="0.3">
      <c r="C109" s="11"/>
      <c r="E109" s="11"/>
      <c r="F109" s="15"/>
      <c r="G109" s="15"/>
      <c r="H109" s="15"/>
      <c r="I109" s="15"/>
      <c r="J109" s="47"/>
      <c r="L109" s="47"/>
      <c r="M109" s="47"/>
      <c r="O109" s="15"/>
      <c r="Q109" s="48"/>
    </row>
    <row r="110" spans="3:17" x14ac:dyDescent="0.3">
      <c r="C110" s="11"/>
      <c r="E110" s="11"/>
      <c r="F110" s="15"/>
      <c r="G110" s="15"/>
      <c r="H110" s="15"/>
      <c r="I110" s="15"/>
      <c r="J110" s="47"/>
      <c r="L110" s="47"/>
      <c r="M110" s="47"/>
      <c r="O110" s="15"/>
      <c r="Q110" s="48"/>
    </row>
    <row r="111" spans="3:17" x14ac:dyDescent="0.3">
      <c r="C111" s="11"/>
      <c r="E111" s="11"/>
      <c r="F111" s="15"/>
      <c r="G111" s="15"/>
      <c r="H111" s="15"/>
      <c r="I111" s="15"/>
      <c r="J111" s="47"/>
      <c r="L111" s="47"/>
      <c r="M111" s="47"/>
      <c r="O111" s="15"/>
      <c r="Q111" s="48"/>
    </row>
    <row r="112" spans="3:17" x14ac:dyDescent="0.3">
      <c r="C112" s="11"/>
      <c r="E112" s="11"/>
      <c r="F112" s="15"/>
      <c r="G112" s="15"/>
      <c r="H112" s="15"/>
      <c r="I112" s="15"/>
      <c r="J112" s="47"/>
      <c r="L112" s="47"/>
      <c r="M112" s="47"/>
      <c r="O112" s="15"/>
      <c r="Q112" s="48"/>
    </row>
    <row r="113" spans="3:17" x14ac:dyDescent="0.3">
      <c r="C113" s="11"/>
      <c r="E113" s="11"/>
      <c r="F113" s="15"/>
      <c r="G113" s="15"/>
      <c r="H113" s="15"/>
      <c r="I113" s="15"/>
      <c r="J113" s="47"/>
      <c r="L113" s="47"/>
      <c r="M113" s="47"/>
      <c r="O113" s="15"/>
      <c r="Q113" s="48"/>
    </row>
    <row r="114" spans="3:17" x14ac:dyDescent="0.3">
      <c r="C114" s="11"/>
      <c r="E114" s="11"/>
      <c r="F114" s="15"/>
      <c r="G114" s="15"/>
      <c r="H114" s="15"/>
      <c r="I114" s="15"/>
      <c r="J114" s="47"/>
      <c r="L114" s="47"/>
      <c r="M114" s="47"/>
      <c r="O114" s="15"/>
      <c r="Q114" s="48"/>
    </row>
    <row r="115" spans="3:17" x14ac:dyDescent="0.3">
      <c r="C115" s="11"/>
      <c r="E115" s="11"/>
      <c r="F115" s="15"/>
      <c r="G115" s="15"/>
      <c r="H115" s="15"/>
      <c r="I115" s="15"/>
      <c r="J115" s="47"/>
      <c r="L115" s="47"/>
      <c r="M115" s="47"/>
      <c r="O115" s="15"/>
      <c r="Q115" s="48"/>
    </row>
    <row r="116" spans="3:17" x14ac:dyDescent="0.3">
      <c r="C116" s="11"/>
      <c r="E116" s="11"/>
      <c r="F116" s="15"/>
      <c r="G116" s="15"/>
      <c r="H116" s="15"/>
      <c r="I116" s="15"/>
      <c r="J116" s="47"/>
      <c r="L116" s="47"/>
      <c r="M116" s="47"/>
      <c r="O116" s="15"/>
      <c r="Q116" s="48"/>
    </row>
    <row r="117" spans="3:17" x14ac:dyDescent="0.3">
      <c r="C117" s="11"/>
      <c r="E117" s="11"/>
      <c r="F117" s="15"/>
      <c r="G117" s="15"/>
      <c r="H117" s="15"/>
      <c r="I117" s="15"/>
      <c r="J117" s="47"/>
      <c r="L117" s="47"/>
      <c r="M117" s="47"/>
      <c r="O117" s="15"/>
      <c r="Q117" s="48"/>
    </row>
    <row r="118" spans="3:17" x14ac:dyDescent="0.3">
      <c r="C118" s="11"/>
      <c r="E118" s="11"/>
      <c r="F118" s="15"/>
      <c r="G118" s="15"/>
      <c r="H118" s="15"/>
      <c r="I118" s="15"/>
      <c r="J118" s="47"/>
      <c r="L118" s="47"/>
      <c r="M118" s="47"/>
      <c r="O118" s="15"/>
      <c r="Q118" s="48"/>
    </row>
    <row r="119" spans="3:17" x14ac:dyDescent="0.3">
      <c r="C119" s="11"/>
      <c r="E119" s="11"/>
      <c r="F119" s="15"/>
      <c r="G119" s="15"/>
      <c r="H119" s="15"/>
      <c r="I119" s="15"/>
      <c r="J119" s="47"/>
      <c r="L119" s="47"/>
      <c r="M119" s="47"/>
      <c r="O119" s="15"/>
      <c r="Q119" s="48"/>
    </row>
    <row r="120" spans="3:17" x14ac:dyDescent="0.3">
      <c r="C120" s="11"/>
      <c r="E120" s="11"/>
      <c r="F120" s="15"/>
      <c r="G120" s="15"/>
      <c r="H120" s="15"/>
      <c r="I120" s="15"/>
      <c r="J120" s="47"/>
      <c r="L120" s="47"/>
      <c r="M120" s="47"/>
      <c r="O120" s="15"/>
      <c r="Q120" s="48"/>
    </row>
    <row r="121" spans="3:17" x14ac:dyDescent="0.3">
      <c r="C121" s="11"/>
      <c r="E121" s="11"/>
      <c r="F121" s="15"/>
      <c r="G121" s="15"/>
      <c r="H121" s="15"/>
      <c r="I121" s="15"/>
      <c r="J121" s="47"/>
      <c r="L121" s="47"/>
      <c r="M121" s="47"/>
      <c r="O121" s="15"/>
      <c r="Q121" s="48"/>
    </row>
    <row r="122" spans="3:17" x14ac:dyDescent="0.3">
      <c r="C122" s="11"/>
      <c r="E122" s="11"/>
      <c r="F122" s="15"/>
      <c r="G122" s="15"/>
      <c r="H122" s="15"/>
      <c r="I122" s="15"/>
      <c r="J122" s="47"/>
      <c r="L122" s="47"/>
      <c r="M122" s="47"/>
      <c r="O122" s="15"/>
      <c r="Q122" s="48"/>
    </row>
    <row r="123" spans="3:17" x14ac:dyDescent="0.3">
      <c r="C123" s="11"/>
      <c r="E123" s="11"/>
      <c r="F123" s="15"/>
      <c r="G123" s="15"/>
      <c r="H123" s="15"/>
      <c r="I123" s="15"/>
      <c r="J123" s="47"/>
      <c r="L123" s="47"/>
      <c r="M123" s="47"/>
      <c r="O123" s="15"/>
      <c r="Q123" s="48"/>
    </row>
    <row r="124" spans="3:17" x14ac:dyDescent="0.3">
      <c r="C124" s="11"/>
      <c r="E124" s="11"/>
      <c r="F124" s="15"/>
      <c r="G124" s="15"/>
      <c r="H124" s="15"/>
      <c r="I124" s="15"/>
      <c r="J124" s="47"/>
      <c r="L124" s="47"/>
      <c r="M124" s="47"/>
      <c r="O124" s="15"/>
      <c r="Q124" s="48"/>
    </row>
    <row r="125" spans="3:17" x14ac:dyDescent="0.3">
      <c r="C125" s="11"/>
      <c r="E125" s="11"/>
      <c r="F125" s="15"/>
      <c r="G125" s="15"/>
      <c r="H125" s="15"/>
      <c r="I125" s="15"/>
      <c r="J125" s="47"/>
      <c r="L125" s="47"/>
      <c r="M125" s="47"/>
      <c r="O125" s="15"/>
      <c r="Q125" s="48"/>
    </row>
    <row r="126" spans="3:17" x14ac:dyDescent="0.3">
      <c r="C126" s="11"/>
      <c r="E126" s="11"/>
      <c r="F126" s="15"/>
      <c r="G126" s="15"/>
      <c r="H126" s="15"/>
      <c r="I126" s="15"/>
      <c r="J126" s="47"/>
      <c r="L126" s="47"/>
      <c r="M126" s="47"/>
      <c r="O126" s="15"/>
      <c r="Q126" s="48"/>
    </row>
    <row r="127" spans="3:17" x14ac:dyDescent="0.3">
      <c r="C127" s="11"/>
      <c r="E127" s="11"/>
      <c r="F127" s="15"/>
      <c r="G127" s="15"/>
      <c r="H127" s="15"/>
      <c r="I127" s="15"/>
      <c r="J127" s="47"/>
      <c r="L127" s="47"/>
      <c r="M127" s="47"/>
      <c r="O127" s="15"/>
      <c r="Q127" s="48"/>
    </row>
    <row r="128" spans="3:17" x14ac:dyDescent="0.3">
      <c r="C128" s="11"/>
      <c r="E128" s="11"/>
      <c r="F128" s="15"/>
      <c r="G128" s="15"/>
      <c r="H128" s="15"/>
      <c r="I128" s="15"/>
      <c r="J128" s="47"/>
      <c r="L128" s="47"/>
      <c r="M128" s="47"/>
      <c r="O128" s="15"/>
      <c r="Q128" s="48"/>
    </row>
    <row r="129" spans="3:18" x14ac:dyDescent="0.3">
      <c r="C129" s="11"/>
      <c r="E129" s="11"/>
      <c r="F129" s="15"/>
      <c r="G129" s="15"/>
      <c r="H129" s="15"/>
      <c r="I129" s="15"/>
      <c r="J129" s="47"/>
      <c r="L129" s="47"/>
      <c r="M129" s="47"/>
      <c r="O129" s="15"/>
      <c r="Q129" s="48"/>
    </row>
    <row r="130" spans="3:18" x14ac:dyDescent="0.3">
      <c r="C130" s="11"/>
      <c r="E130" s="11"/>
      <c r="F130" s="15"/>
      <c r="G130" s="15"/>
      <c r="H130" s="15"/>
      <c r="I130" s="15"/>
      <c r="J130" s="47"/>
      <c r="L130" s="47"/>
      <c r="M130" s="47"/>
      <c r="O130" s="15"/>
      <c r="Q130" s="48"/>
    </row>
    <row r="131" spans="3:18" x14ac:dyDescent="0.3">
      <c r="C131" s="11"/>
      <c r="E131" s="11"/>
      <c r="F131" s="15"/>
      <c r="G131" s="15"/>
      <c r="H131" s="15"/>
      <c r="I131" s="15"/>
      <c r="J131" s="47"/>
      <c r="L131" s="47"/>
      <c r="M131" s="47"/>
      <c r="O131" s="15"/>
      <c r="Q131" s="48"/>
    </row>
    <row r="132" spans="3:18" x14ac:dyDescent="0.3">
      <c r="C132" s="11"/>
      <c r="E132" s="11"/>
      <c r="F132" s="15"/>
      <c r="G132" s="15"/>
      <c r="H132" s="15"/>
      <c r="I132" s="15"/>
      <c r="J132" s="47"/>
      <c r="L132" s="47"/>
      <c r="M132" s="47"/>
      <c r="O132" s="15"/>
      <c r="Q132" s="48"/>
    </row>
    <row r="133" spans="3:18" x14ac:dyDescent="0.3">
      <c r="C133" s="11"/>
      <c r="E133" s="11"/>
      <c r="F133" s="15"/>
      <c r="G133" s="15"/>
      <c r="H133" s="15"/>
      <c r="I133" s="15"/>
      <c r="J133" s="47"/>
      <c r="L133" s="47"/>
      <c r="M133" s="47"/>
      <c r="O133" s="15"/>
      <c r="Q133" s="48"/>
    </row>
    <row r="134" spans="3:18" x14ac:dyDescent="0.3">
      <c r="C134" s="11"/>
      <c r="E134" s="11"/>
      <c r="F134" s="15"/>
      <c r="G134" s="15"/>
      <c r="H134" s="15"/>
      <c r="I134" s="15"/>
      <c r="J134" s="47"/>
      <c r="L134" s="47"/>
      <c r="M134" s="47"/>
      <c r="O134" s="15"/>
      <c r="Q134" s="48"/>
    </row>
    <row r="135" spans="3:18" x14ac:dyDescent="0.3">
      <c r="C135" s="11"/>
      <c r="E135" s="11"/>
      <c r="F135" s="15"/>
      <c r="G135" s="15"/>
      <c r="H135" s="15"/>
      <c r="I135" s="15"/>
      <c r="J135" s="47"/>
      <c r="L135" s="47"/>
      <c r="M135" s="47"/>
      <c r="O135" s="15"/>
      <c r="Q135" s="48"/>
    </row>
    <row r="136" spans="3:18" x14ac:dyDescent="0.3">
      <c r="C136" s="11"/>
      <c r="E136" s="11"/>
      <c r="F136" s="15"/>
      <c r="G136" s="15"/>
      <c r="H136" s="15"/>
      <c r="I136" s="15"/>
      <c r="J136" s="47"/>
      <c r="L136" s="47"/>
      <c r="M136" s="47"/>
      <c r="O136" s="15"/>
      <c r="Q136" s="48"/>
    </row>
    <row r="137" spans="3:18" x14ac:dyDescent="0.3">
      <c r="C137" s="11"/>
      <c r="E137" s="11"/>
      <c r="F137" s="15"/>
      <c r="G137" s="15"/>
      <c r="H137" s="15"/>
      <c r="I137" s="15"/>
      <c r="J137" s="47"/>
      <c r="L137" s="47"/>
      <c r="M137" s="47"/>
      <c r="O137" s="15"/>
      <c r="Q137" s="48"/>
    </row>
    <row r="138" spans="3:18" x14ac:dyDescent="0.3">
      <c r="C138" s="11"/>
      <c r="E138" s="11"/>
      <c r="F138" s="15"/>
      <c r="G138" s="15"/>
      <c r="H138" s="15"/>
      <c r="I138" s="15"/>
      <c r="J138" s="47"/>
      <c r="L138" s="47"/>
      <c r="M138" s="47"/>
      <c r="O138" s="15"/>
      <c r="Q138" s="48"/>
    </row>
    <row r="139" spans="3:18" x14ac:dyDescent="0.3">
      <c r="C139" s="11"/>
      <c r="D139" s="32"/>
      <c r="E139" s="11"/>
      <c r="F139" s="15"/>
      <c r="G139" s="15"/>
      <c r="H139" s="15"/>
      <c r="I139" s="15"/>
      <c r="J139" s="47"/>
      <c r="K139" s="76"/>
      <c r="L139" s="47"/>
      <c r="M139" s="47"/>
      <c r="N139" s="77"/>
      <c r="O139" s="15"/>
      <c r="P139" s="32"/>
      <c r="Q139" s="48"/>
    </row>
    <row r="140" spans="3:18" x14ac:dyDescent="0.3">
      <c r="C140" s="11"/>
      <c r="D140" s="32"/>
      <c r="E140" s="11"/>
      <c r="I140" s="15"/>
      <c r="J140" s="47"/>
      <c r="K140" s="76"/>
      <c r="L140" s="76"/>
      <c r="M140" s="78"/>
      <c r="N140" s="77"/>
      <c r="O140" s="32"/>
      <c r="P140" s="32"/>
      <c r="Q140" s="32"/>
      <c r="R140" s="32"/>
    </row>
    <row r="141" spans="3:18" x14ac:dyDescent="0.3">
      <c r="C141" s="11"/>
      <c r="D141" s="32"/>
      <c r="E141" s="11"/>
      <c r="I141" s="15"/>
      <c r="J141" s="47"/>
      <c r="K141" s="76"/>
      <c r="L141" s="76"/>
      <c r="M141" s="78"/>
      <c r="N141" s="77"/>
      <c r="O141" s="32"/>
      <c r="P141" s="32"/>
      <c r="Q141" s="32"/>
      <c r="R141" s="32"/>
    </row>
    <row r="142" spans="3:18" x14ac:dyDescent="0.3">
      <c r="C142" s="11"/>
      <c r="D142" s="32"/>
      <c r="E142" s="11"/>
      <c r="I142" s="15"/>
      <c r="J142" s="47"/>
      <c r="K142" s="76"/>
      <c r="L142" s="76"/>
      <c r="M142" s="78"/>
      <c r="N142" s="77"/>
      <c r="O142" s="32"/>
      <c r="P142" s="32"/>
      <c r="Q142" s="32"/>
      <c r="R142" s="32"/>
    </row>
    <row r="143" spans="3:18" x14ac:dyDescent="0.3">
      <c r="C143" s="11"/>
      <c r="D143" s="32"/>
      <c r="E143" s="11"/>
      <c r="I143" s="15"/>
      <c r="J143" s="47"/>
      <c r="K143" s="76"/>
      <c r="L143" s="76"/>
      <c r="M143" s="78"/>
      <c r="N143" s="77"/>
      <c r="O143" s="32"/>
      <c r="P143" s="32"/>
      <c r="Q143" s="32"/>
      <c r="R143" s="32"/>
    </row>
    <row r="144" spans="3:18" x14ac:dyDescent="0.3">
      <c r="C144" s="11"/>
      <c r="D144" s="32"/>
      <c r="E144" s="11"/>
      <c r="I144" s="15"/>
      <c r="J144" s="47"/>
      <c r="K144" s="76"/>
      <c r="L144" s="76"/>
      <c r="M144" s="78"/>
      <c r="N144" s="77"/>
      <c r="O144" s="32"/>
      <c r="P144" s="32"/>
      <c r="Q144" s="32"/>
      <c r="R144" s="32"/>
    </row>
    <row r="145" spans="3:18" x14ac:dyDescent="0.3">
      <c r="C145" s="11"/>
      <c r="D145" s="32"/>
      <c r="E145" s="11"/>
      <c r="I145" s="15"/>
      <c r="J145" s="47"/>
      <c r="K145" s="76"/>
      <c r="L145" s="76"/>
      <c r="M145" s="78"/>
      <c r="N145" s="77"/>
      <c r="O145" s="32"/>
      <c r="P145" s="32"/>
      <c r="Q145" s="32"/>
      <c r="R145" s="32"/>
    </row>
    <row r="146" spans="3:18" x14ac:dyDescent="0.3">
      <c r="C146" s="11"/>
      <c r="D146" s="32"/>
      <c r="E146" s="11"/>
      <c r="I146" s="15"/>
      <c r="J146" s="47"/>
      <c r="K146" s="76"/>
      <c r="L146" s="76"/>
      <c r="M146" s="78"/>
      <c r="N146" s="77"/>
      <c r="O146" s="32"/>
      <c r="P146" s="32"/>
      <c r="Q146" s="32"/>
      <c r="R146" s="32"/>
    </row>
    <row r="147" spans="3:18" x14ac:dyDescent="0.3">
      <c r="C147" s="11"/>
      <c r="D147" s="32"/>
      <c r="E147" s="11"/>
      <c r="I147" s="15"/>
      <c r="J147" s="47"/>
      <c r="K147" s="76"/>
      <c r="L147" s="76"/>
      <c r="M147" s="78"/>
      <c r="N147" s="77"/>
      <c r="O147" s="32"/>
      <c r="P147" s="32"/>
      <c r="Q147" s="32"/>
      <c r="R147" s="32"/>
    </row>
    <row r="148" spans="3:18" x14ac:dyDescent="0.3">
      <c r="C148" s="11"/>
      <c r="D148" s="32"/>
      <c r="E148" s="11"/>
      <c r="I148" s="15"/>
      <c r="J148" s="47"/>
      <c r="K148" s="76"/>
      <c r="L148" s="76"/>
      <c r="M148" s="78"/>
      <c r="N148" s="77"/>
      <c r="O148" s="32"/>
      <c r="P148" s="32"/>
      <c r="Q148" s="32"/>
      <c r="R148" s="32"/>
    </row>
    <row r="149" spans="3:18" x14ac:dyDescent="0.3">
      <c r="C149" s="11"/>
      <c r="D149" s="32"/>
      <c r="E149" s="11"/>
      <c r="I149" s="15"/>
      <c r="J149" s="47"/>
      <c r="K149" s="76"/>
      <c r="L149" s="76"/>
      <c r="M149" s="78"/>
      <c r="N149" s="77"/>
      <c r="O149" s="32"/>
      <c r="P149" s="32"/>
      <c r="Q149" s="32"/>
      <c r="R149" s="32"/>
    </row>
    <row r="150" spans="3:18" x14ac:dyDescent="0.3">
      <c r="C150" s="11"/>
      <c r="D150" s="32"/>
      <c r="E150" s="11"/>
      <c r="I150" s="15"/>
      <c r="J150" s="47"/>
      <c r="K150" s="76"/>
      <c r="L150" s="76"/>
      <c r="M150" s="78"/>
      <c r="N150" s="77"/>
      <c r="O150" s="32"/>
      <c r="P150" s="32"/>
      <c r="Q150" s="32"/>
      <c r="R150" s="32"/>
    </row>
    <row r="151" spans="3:18" x14ac:dyDescent="0.3">
      <c r="C151" s="11"/>
      <c r="D151" s="32"/>
      <c r="E151" s="11"/>
      <c r="I151" s="15"/>
      <c r="J151" s="47"/>
      <c r="K151" s="76"/>
      <c r="L151" s="76"/>
      <c r="M151" s="78"/>
      <c r="N151" s="77"/>
      <c r="O151" s="32"/>
      <c r="P151" s="32"/>
      <c r="Q151" s="32"/>
      <c r="R151" s="32"/>
    </row>
    <row r="152" spans="3:18" x14ac:dyDescent="0.3">
      <c r="C152" s="11"/>
      <c r="D152" s="32"/>
      <c r="E152" s="11"/>
      <c r="I152" s="15"/>
      <c r="J152" s="47"/>
      <c r="K152" s="76"/>
      <c r="L152" s="76"/>
      <c r="M152" s="78"/>
      <c r="N152" s="77"/>
      <c r="O152" s="32"/>
      <c r="P152" s="32"/>
      <c r="Q152" s="32"/>
      <c r="R152" s="32"/>
    </row>
    <row r="153" spans="3:18" x14ac:dyDescent="0.3">
      <c r="C153" s="11"/>
      <c r="D153" s="32"/>
      <c r="E153" s="11"/>
      <c r="I153" s="15"/>
      <c r="J153" s="47"/>
      <c r="K153" s="76"/>
      <c r="L153" s="76"/>
      <c r="M153" s="78"/>
      <c r="N153" s="77"/>
      <c r="O153" s="32"/>
      <c r="P153" s="32"/>
      <c r="Q153" s="32"/>
      <c r="R153" s="32"/>
    </row>
    <row r="154" spans="3:18" x14ac:dyDescent="0.3">
      <c r="C154" s="11"/>
      <c r="D154" s="32"/>
      <c r="E154" s="11"/>
      <c r="I154" s="15"/>
      <c r="J154" s="47"/>
      <c r="K154" s="76"/>
      <c r="L154" s="76"/>
      <c r="M154" s="78"/>
      <c r="N154" s="77"/>
      <c r="O154" s="32"/>
      <c r="P154" s="32"/>
      <c r="Q154" s="32"/>
      <c r="R154" s="32"/>
    </row>
    <row r="155" spans="3:18" x14ac:dyDescent="0.3">
      <c r="C155" s="11"/>
      <c r="D155" s="32"/>
      <c r="E155" s="11"/>
      <c r="I155" s="15"/>
      <c r="J155" s="47"/>
      <c r="K155" s="76"/>
      <c r="L155" s="76"/>
      <c r="M155" s="78"/>
      <c r="N155" s="77"/>
      <c r="O155" s="32"/>
      <c r="P155" s="32"/>
      <c r="Q155" s="32"/>
      <c r="R155" s="32"/>
    </row>
    <row r="156" spans="3:18" x14ac:dyDescent="0.3">
      <c r="C156" s="11"/>
      <c r="D156" s="32"/>
      <c r="E156" s="11"/>
      <c r="I156" s="15"/>
      <c r="J156" s="47"/>
      <c r="K156" s="76"/>
      <c r="L156" s="76"/>
      <c r="M156" s="78"/>
      <c r="N156" s="77"/>
      <c r="O156" s="32"/>
      <c r="P156" s="32"/>
      <c r="Q156" s="32"/>
      <c r="R156" s="32"/>
    </row>
    <row r="157" spans="3:18" x14ac:dyDescent="0.3">
      <c r="C157" s="11"/>
      <c r="D157" s="32"/>
      <c r="E157" s="11"/>
      <c r="I157" s="15"/>
      <c r="J157" s="47"/>
      <c r="K157" s="76"/>
      <c r="L157" s="76"/>
      <c r="M157" s="78"/>
      <c r="N157" s="77"/>
      <c r="O157" s="32"/>
      <c r="P157" s="32"/>
      <c r="Q157" s="32"/>
      <c r="R157" s="32"/>
    </row>
    <row r="158" spans="3:18" x14ac:dyDescent="0.3">
      <c r="C158" s="11"/>
      <c r="D158" s="32"/>
      <c r="E158" s="11"/>
      <c r="I158" s="15"/>
      <c r="J158" s="47"/>
      <c r="K158" s="76"/>
      <c r="L158" s="76"/>
      <c r="M158" s="78"/>
      <c r="N158" s="77"/>
      <c r="O158" s="32"/>
      <c r="P158" s="32"/>
      <c r="Q158" s="32"/>
      <c r="R158" s="32"/>
    </row>
    <row r="159" spans="3:18" x14ac:dyDescent="0.3">
      <c r="C159" s="11"/>
      <c r="D159" s="32"/>
      <c r="E159" s="11"/>
      <c r="I159" s="15"/>
      <c r="J159" s="47"/>
      <c r="K159" s="76"/>
      <c r="L159" s="76"/>
      <c r="M159" s="78"/>
      <c r="N159" s="77"/>
      <c r="O159" s="32"/>
      <c r="P159" s="32"/>
      <c r="Q159" s="32"/>
      <c r="R159" s="32"/>
    </row>
    <row r="160" spans="3:18" x14ac:dyDescent="0.3">
      <c r="C160" s="11"/>
      <c r="D160" s="32"/>
      <c r="E160" s="11"/>
      <c r="I160" s="15"/>
      <c r="J160" s="47"/>
      <c r="K160" s="76"/>
      <c r="L160" s="76"/>
      <c r="M160" s="78"/>
      <c r="N160" s="77"/>
      <c r="O160" s="32"/>
      <c r="P160" s="32"/>
      <c r="Q160" s="32"/>
      <c r="R160" s="32"/>
    </row>
    <row r="161" spans="3:18" x14ac:dyDescent="0.3">
      <c r="C161" s="11"/>
      <c r="D161" s="32"/>
      <c r="E161" s="11"/>
      <c r="I161" s="15"/>
      <c r="J161" s="47"/>
      <c r="K161" s="76"/>
      <c r="L161" s="76"/>
      <c r="M161" s="78"/>
      <c r="N161" s="77"/>
      <c r="O161" s="32"/>
      <c r="P161" s="32"/>
      <c r="Q161" s="32"/>
      <c r="R161" s="32"/>
    </row>
    <row r="162" spans="3:18" x14ac:dyDescent="0.3">
      <c r="C162" s="11"/>
      <c r="D162" s="32"/>
      <c r="E162" s="11"/>
      <c r="I162" s="15"/>
      <c r="J162" s="47"/>
      <c r="K162" s="76"/>
      <c r="L162" s="76"/>
      <c r="M162" s="78"/>
      <c r="N162" s="77"/>
      <c r="O162" s="32"/>
      <c r="P162" s="32"/>
      <c r="Q162" s="32"/>
      <c r="R162" s="32"/>
    </row>
    <row r="163" spans="3:18" x14ac:dyDescent="0.3">
      <c r="C163" s="11"/>
      <c r="D163" s="32"/>
      <c r="E163" s="11"/>
      <c r="I163" s="15"/>
      <c r="J163" s="47"/>
      <c r="K163" s="76"/>
      <c r="L163" s="76"/>
      <c r="M163" s="78"/>
      <c r="N163" s="77"/>
      <c r="O163" s="32"/>
      <c r="P163" s="32"/>
      <c r="Q163" s="32"/>
      <c r="R163" s="32"/>
    </row>
    <row r="164" spans="3:18" x14ac:dyDescent="0.3">
      <c r="C164" s="11"/>
      <c r="D164" s="32"/>
      <c r="E164" s="11"/>
      <c r="I164" s="15"/>
      <c r="J164" s="47"/>
      <c r="K164" s="76"/>
      <c r="L164" s="76"/>
      <c r="M164" s="78"/>
      <c r="N164" s="77"/>
      <c r="O164" s="32"/>
      <c r="P164" s="32"/>
      <c r="Q164" s="32"/>
      <c r="R164" s="32"/>
    </row>
    <row r="165" spans="3:18" x14ac:dyDescent="0.3">
      <c r="C165" s="11"/>
      <c r="D165" s="32"/>
      <c r="E165" s="11"/>
      <c r="I165" s="15"/>
      <c r="J165" s="47"/>
      <c r="K165" s="76"/>
      <c r="L165" s="76"/>
      <c r="M165" s="78"/>
      <c r="N165" s="77"/>
      <c r="O165" s="32"/>
      <c r="P165" s="32"/>
      <c r="Q165" s="32"/>
      <c r="R165" s="32"/>
    </row>
    <row r="166" spans="3:18" x14ac:dyDescent="0.3">
      <c r="C166" s="11"/>
      <c r="D166" s="32"/>
      <c r="E166" s="11"/>
      <c r="I166" s="15"/>
      <c r="J166" s="47"/>
      <c r="K166" s="76"/>
      <c r="L166" s="76"/>
      <c r="M166" s="78"/>
      <c r="N166" s="77"/>
      <c r="O166" s="32"/>
      <c r="P166" s="32"/>
      <c r="Q166" s="32"/>
      <c r="R166" s="32"/>
    </row>
    <row r="167" spans="3:18" x14ac:dyDescent="0.3">
      <c r="C167" s="11"/>
      <c r="D167" s="32"/>
      <c r="E167" s="11"/>
      <c r="I167" s="15"/>
      <c r="J167" s="47"/>
      <c r="K167" s="76"/>
      <c r="L167" s="76"/>
      <c r="M167" s="78"/>
      <c r="N167" s="77"/>
      <c r="O167" s="32"/>
      <c r="P167" s="32"/>
      <c r="Q167" s="32"/>
      <c r="R167" s="32"/>
    </row>
    <row r="168" spans="3:18" x14ac:dyDescent="0.3">
      <c r="C168" s="11"/>
      <c r="D168" s="32"/>
      <c r="E168" s="11"/>
      <c r="I168" s="15"/>
      <c r="J168" s="47"/>
      <c r="K168" s="76"/>
      <c r="L168" s="76"/>
      <c r="M168" s="78"/>
      <c r="N168" s="77"/>
      <c r="O168" s="32"/>
      <c r="P168" s="32"/>
      <c r="Q168" s="32"/>
      <c r="R168" s="32"/>
    </row>
    <row r="169" spans="3:18" x14ac:dyDescent="0.3">
      <c r="C169" s="11"/>
      <c r="D169" s="32"/>
      <c r="E169" s="11"/>
      <c r="I169" s="15"/>
      <c r="J169" s="47"/>
      <c r="K169" s="76"/>
      <c r="L169" s="76"/>
      <c r="M169" s="78"/>
      <c r="N169" s="77"/>
      <c r="O169" s="32"/>
      <c r="P169" s="32"/>
      <c r="Q169" s="32"/>
      <c r="R169" s="32"/>
    </row>
    <row r="170" spans="3:18" x14ac:dyDescent="0.3">
      <c r="C170" s="11"/>
      <c r="D170" s="32"/>
      <c r="E170" s="11"/>
      <c r="I170" s="15"/>
      <c r="J170" s="47"/>
      <c r="K170" s="76"/>
      <c r="L170" s="76"/>
      <c r="M170" s="78"/>
      <c r="N170" s="77"/>
      <c r="O170" s="32"/>
      <c r="P170" s="32"/>
      <c r="Q170" s="32"/>
      <c r="R170" s="32"/>
    </row>
    <row r="171" spans="3:18" x14ac:dyDescent="0.3">
      <c r="C171" s="11"/>
      <c r="D171" s="32"/>
      <c r="E171" s="11"/>
      <c r="I171" s="15"/>
      <c r="J171" s="47"/>
      <c r="K171" s="76"/>
      <c r="L171" s="76"/>
      <c r="M171" s="78"/>
      <c r="N171" s="77"/>
      <c r="O171" s="32"/>
      <c r="P171" s="32"/>
      <c r="Q171" s="32"/>
      <c r="R171" s="32"/>
    </row>
    <row r="172" spans="3:18" x14ac:dyDescent="0.3">
      <c r="C172" s="11"/>
      <c r="D172" s="32"/>
      <c r="E172" s="11"/>
      <c r="I172" s="15"/>
      <c r="J172" s="47"/>
      <c r="K172" s="76"/>
      <c r="L172" s="76"/>
      <c r="M172" s="78"/>
      <c r="N172" s="77"/>
      <c r="O172" s="32"/>
      <c r="P172" s="32"/>
      <c r="Q172" s="32"/>
      <c r="R172" s="32"/>
    </row>
    <row r="173" spans="3:18" x14ac:dyDescent="0.3">
      <c r="C173" s="11"/>
      <c r="D173" s="32"/>
      <c r="E173" s="11"/>
      <c r="I173" s="15"/>
      <c r="J173" s="47"/>
      <c r="K173" s="76"/>
      <c r="L173" s="76"/>
      <c r="M173" s="78"/>
      <c r="N173" s="77"/>
      <c r="O173" s="32"/>
      <c r="P173" s="32"/>
      <c r="Q173" s="32"/>
      <c r="R173" s="32"/>
    </row>
    <row r="174" spans="3:18" x14ac:dyDescent="0.3">
      <c r="C174" s="11"/>
      <c r="D174" s="32"/>
      <c r="E174" s="11"/>
      <c r="I174" s="15"/>
      <c r="J174" s="47"/>
      <c r="K174" s="76"/>
      <c r="L174" s="76"/>
      <c r="M174" s="78"/>
      <c r="N174" s="77"/>
      <c r="O174" s="32"/>
      <c r="P174" s="32"/>
      <c r="Q174" s="32"/>
      <c r="R174" s="32"/>
    </row>
    <row r="175" spans="3:18" x14ac:dyDescent="0.3">
      <c r="C175" s="11"/>
      <c r="D175" s="32"/>
      <c r="E175" s="11"/>
      <c r="I175" s="15"/>
      <c r="J175" s="47"/>
      <c r="K175" s="76"/>
      <c r="L175" s="76"/>
      <c r="M175" s="78"/>
      <c r="N175" s="77"/>
      <c r="O175" s="32"/>
      <c r="P175" s="32"/>
      <c r="Q175" s="32"/>
      <c r="R175" s="32"/>
    </row>
    <row r="176" spans="3:18" x14ac:dyDescent="0.3">
      <c r="C176" s="11"/>
      <c r="D176" s="32"/>
      <c r="E176" s="11"/>
      <c r="I176" s="15"/>
      <c r="J176" s="47"/>
      <c r="K176" s="76"/>
      <c r="L176" s="76"/>
      <c r="M176" s="78"/>
      <c r="N176" s="77"/>
      <c r="O176" s="32"/>
      <c r="P176" s="32"/>
      <c r="Q176" s="32"/>
      <c r="R176" s="32"/>
    </row>
    <row r="177" spans="3:18" x14ac:dyDescent="0.3">
      <c r="C177" s="11"/>
      <c r="D177" s="32"/>
      <c r="E177" s="11"/>
      <c r="I177" s="15"/>
      <c r="J177" s="47"/>
      <c r="K177" s="76"/>
      <c r="L177" s="76"/>
      <c r="M177" s="78"/>
      <c r="N177" s="77"/>
      <c r="O177" s="32"/>
      <c r="P177" s="32"/>
      <c r="Q177" s="32"/>
      <c r="R177" s="32"/>
    </row>
    <row r="178" spans="3:18" x14ac:dyDescent="0.3">
      <c r="C178" s="11"/>
      <c r="D178" s="32"/>
      <c r="E178" s="11"/>
      <c r="I178" s="15"/>
      <c r="J178" s="47"/>
      <c r="K178" s="76"/>
      <c r="L178" s="76"/>
      <c r="M178" s="78"/>
      <c r="N178" s="77"/>
      <c r="O178" s="32"/>
      <c r="P178" s="32"/>
      <c r="Q178" s="32"/>
      <c r="R178" s="32"/>
    </row>
    <row r="179" spans="3:18" x14ac:dyDescent="0.3">
      <c r="C179" s="11"/>
      <c r="D179" s="32"/>
      <c r="E179" s="11"/>
      <c r="I179" s="15"/>
      <c r="J179" s="47"/>
      <c r="K179" s="76"/>
      <c r="L179" s="76"/>
      <c r="M179" s="78"/>
      <c r="N179" s="77"/>
      <c r="O179" s="32"/>
      <c r="P179" s="32"/>
      <c r="Q179" s="32"/>
      <c r="R179" s="32"/>
    </row>
    <row r="180" spans="3:18" x14ac:dyDescent="0.3">
      <c r="C180" s="11"/>
      <c r="D180" s="32"/>
      <c r="E180" s="11"/>
      <c r="I180" s="15"/>
      <c r="J180" s="47"/>
      <c r="K180" s="76"/>
      <c r="L180" s="76"/>
      <c r="M180" s="78"/>
      <c r="N180" s="77"/>
      <c r="O180" s="32"/>
      <c r="P180" s="32"/>
      <c r="Q180" s="32"/>
      <c r="R180" s="32"/>
    </row>
    <row r="181" spans="3:18" x14ac:dyDescent="0.3">
      <c r="C181" s="11"/>
      <c r="D181" s="32"/>
      <c r="E181" s="11"/>
      <c r="I181" s="15"/>
      <c r="J181" s="47"/>
      <c r="K181" s="76"/>
      <c r="L181" s="76"/>
      <c r="M181" s="78"/>
      <c r="N181" s="77"/>
      <c r="O181" s="32"/>
      <c r="P181" s="32"/>
      <c r="Q181" s="32"/>
      <c r="R181" s="32"/>
    </row>
    <row r="182" spans="3:18" x14ac:dyDescent="0.3">
      <c r="C182" s="11"/>
      <c r="D182" s="32"/>
      <c r="E182" s="11"/>
      <c r="I182" s="15"/>
      <c r="J182" s="47"/>
      <c r="K182" s="76"/>
      <c r="L182" s="76"/>
      <c r="M182" s="78"/>
      <c r="N182" s="77"/>
      <c r="O182" s="32"/>
      <c r="P182" s="32"/>
      <c r="Q182" s="32"/>
      <c r="R182" s="32"/>
    </row>
    <row r="183" spans="3:18" x14ac:dyDescent="0.3">
      <c r="C183" s="11"/>
      <c r="D183" s="32"/>
      <c r="E183" s="11"/>
      <c r="I183" s="15"/>
      <c r="J183" s="47"/>
      <c r="K183" s="76"/>
      <c r="L183" s="76"/>
      <c r="M183" s="78"/>
      <c r="N183" s="77"/>
      <c r="O183" s="32"/>
      <c r="P183" s="32"/>
      <c r="Q183" s="32"/>
      <c r="R183" s="32"/>
    </row>
    <row r="184" spans="3:18" x14ac:dyDescent="0.3">
      <c r="C184" s="11"/>
      <c r="D184" s="32"/>
      <c r="E184" s="11"/>
      <c r="I184" s="15"/>
      <c r="J184" s="47"/>
      <c r="K184" s="76"/>
      <c r="L184" s="76"/>
      <c r="M184" s="78"/>
      <c r="N184" s="77"/>
      <c r="O184" s="32"/>
      <c r="P184" s="32"/>
      <c r="Q184" s="32"/>
      <c r="R184" s="32"/>
    </row>
    <row r="185" spans="3:18" x14ac:dyDescent="0.3">
      <c r="C185" s="11"/>
      <c r="D185" s="32"/>
      <c r="E185" s="11"/>
      <c r="I185" s="15"/>
      <c r="J185" s="47"/>
      <c r="K185" s="76"/>
      <c r="L185" s="76"/>
      <c r="M185" s="78"/>
      <c r="N185" s="77"/>
      <c r="O185" s="32"/>
      <c r="P185" s="32"/>
      <c r="Q185" s="32"/>
      <c r="R185" s="32"/>
    </row>
    <row r="186" spans="3:18" x14ac:dyDescent="0.3">
      <c r="C186" s="11"/>
      <c r="D186" s="32"/>
      <c r="E186" s="11"/>
      <c r="I186" s="15"/>
      <c r="J186" s="47"/>
      <c r="K186" s="76"/>
      <c r="L186" s="76"/>
      <c r="M186" s="78"/>
      <c r="N186" s="77"/>
      <c r="O186" s="32"/>
      <c r="P186" s="32"/>
      <c r="Q186" s="32"/>
      <c r="R186" s="32"/>
    </row>
    <row r="187" spans="3:18" x14ac:dyDescent="0.3">
      <c r="C187" s="11"/>
      <c r="D187" s="32"/>
      <c r="E187" s="11"/>
      <c r="I187" s="15"/>
      <c r="J187" s="47"/>
      <c r="K187" s="76"/>
      <c r="L187" s="76"/>
      <c r="M187" s="78"/>
      <c r="N187" s="77"/>
      <c r="O187" s="32"/>
      <c r="P187" s="32"/>
      <c r="Q187" s="32"/>
      <c r="R187" s="32"/>
    </row>
    <row r="188" spans="3:18" x14ac:dyDescent="0.3">
      <c r="C188" s="11"/>
      <c r="D188" s="32"/>
      <c r="E188" s="11"/>
      <c r="I188" s="15"/>
      <c r="J188" s="47"/>
      <c r="K188" s="76"/>
      <c r="L188" s="76"/>
      <c r="M188" s="78"/>
      <c r="N188" s="77"/>
      <c r="O188" s="32"/>
      <c r="P188" s="32"/>
      <c r="Q188" s="32"/>
      <c r="R188" s="32"/>
    </row>
    <row r="189" spans="3:18" x14ac:dyDescent="0.3">
      <c r="C189" s="11"/>
      <c r="D189" s="32"/>
      <c r="E189" s="11"/>
      <c r="I189" s="15"/>
      <c r="J189" s="47"/>
      <c r="K189" s="76"/>
      <c r="L189" s="76"/>
      <c r="M189" s="78"/>
      <c r="N189" s="77"/>
      <c r="O189" s="32"/>
      <c r="P189" s="32"/>
      <c r="Q189" s="32"/>
      <c r="R189" s="32"/>
    </row>
    <row r="190" spans="3:18" x14ac:dyDescent="0.3">
      <c r="C190" s="11"/>
      <c r="D190" s="32"/>
      <c r="E190" s="11"/>
      <c r="I190" s="15"/>
      <c r="J190" s="47"/>
      <c r="K190" s="76"/>
      <c r="L190" s="76"/>
      <c r="M190" s="78"/>
      <c r="N190" s="77"/>
      <c r="O190" s="32"/>
      <c r="P190" s="32"/>
      <c r="Q190" s="32"/>
      <c r="R190" s="32"/>
    </row>
    <row r="191" spans="3:18" x14ac:dyDescent="0.3">
      <c r="C191" s="11"/>
      <c r="D191" s="32"/>
      <c r="E191" s="11"/>
      <c r="I191" s="15"/>
      <c r="J191" s="47"/>
      <c r="K191" s="76"/>
      <c r="L191" s="76"/>
      <c r="M191" s="78"/>
      <c r="N191" s="77"/>
      <c r="O191" s="32"/>
      <c r="P191" s="32"/>
      <c r="Q191" s="32"/>
      <c r="R191" s="32"/>
    </row>
    <row r="192" spans="3:18" x14ac:dyDescent="0.3">
      <c r="C192" s="11"/>
      <c r="D192" s="32"/>
      <c r="E192" s="11"/>
      <c r="I192" s="15"/>
      <c r="J192" s="47"/>
      <c r="K192" s="76"/>
      <c r="L192" s="76"/>
      <c r="M192" s="78"/>
      <c r="N192" s="77"/>
      <c r="O192" s="32"/>
      <c r="P192" s="32"/>
      <c r="Q192" s="32"/>
      <c r="R192" s="32"/>
    </row>
    <row r="193" spans="3:18" x14ac:dyDescent="0.3">
      <c r="C193" s="11"/>
      <c r="D193" s="32"/>
      <c r="E193" s="11"/>
      <c r="I193" s="15"/>
      <c r="J193" s="47"/>
      <c r="K193" s="76"/>
      <c r="L193" s="76"/>
      <c r="M193" s="78"/>
      <c r="N193" s="77"/>
      <c r="O193" s="32"/>
      <c r="P193" s="32"/>
      <c r="Q193" s="32"/>
      <c r="R193" s="32"/>
    </row>
    <row r="194" spans="3:18" x14ac:dyDescent="0.3">
      <c r="C194" s="11"/>
      <c r="D194" s="32"/>
      <c r="E194" s="11"/>
      <c r="I194" s="15"/>
      <c r="J194" s="47"/>
      <c r="K194" s="76"/>
      <c r="L194" s="76"/>
      <c r="M194" s="78"/>
      <c r="N194" s="77"/>
      <c r="O194" s="32"/>
      <c r="P194" s="32"/>
      <c r="Q194" s="32"/>
      <c r="R194" s="32"/>
    </row>
    <row r="195" spans="3:18" x14ac:dyDescent="0.3">
      <c r="C195" s="11"/>
      <c r="D195" s="32"/>
      <c r="E195" s="11"/>
      <c r="I195" s="15"/>
      <c r="J195" s="47"/>
      <c r="K195" s="76"/>
      <c r="L195" s="76"/>
      <c r="M195" s="78"/>
      <c r="N195" s="77"/>
      <c r="O195" s="32"/>
      <c r="P195" s="32"/>
      <c r="Q195" s="32"/>
      <c r="R195" s="32"/>
    </row>
    <row r="196" spans="3:18" x14ac:dyDescent="0.3">
      <c r="C196" s="11"/>
      <c r="D196" s="32"/>
      <c r="E196" s="11"/>
      <c r="I196" s="15"/>
      <c r="J196" s="47"/>
      <c r="K196" s="76"/>
      <c r="L196" s="76"/>
      <c r="M196" s="78"/>
      <c r="N196" s="77"/>
      <c r="O196" s="32"/>
      <c r="P196" s="32"/>
      <c r="Q196" s="32"/>
      <c r="R196" s="32"/>
    </row>
    <row r="197" spans="3:18" x14ac:dyDescent="0.3">
      <c r="C197" s="11"/>
      <c r="D197" s="32"/>
      <c r="E197" s="11"/>
      <c r="I197" s="15"/>
      <c r="J197" s="47"/>
      <c r="K197" s="76"/>
      <c r="L197" s="76"/>
      <c r="M197" s="78"/>
      <c r="N197" s="77"/>
      <c r="O197" s="32"/>
      <c r="P197" s="32"/>
      <c r="Q197" s="32"/>
      <c r="R197" s="32"/>
    </row>
    <row r="198" spans="3:18" x14ac:dyDescent="0.3">
      <c r="C198" s="11"/>
      <c r="D198" s="32"/>
      <c r="E198" s="11"/>
      <c r="I198" s="15"/>
      <c r="J198" s="47"/>
      <c r="K198" s="76"/>
      <c r="L198" s="76"/>
      <c r="M198" s="78"/>
      <c r="N198" s="77"/>
      <c r="O198" s="32"/>
      <c r="P198" s="32"/>
      <c r="Q198" s="32"/>
      <c r="R198" s="32"/>
    </row>
    <row r="199" spans="3:18" x14ac:dyDescent="0.3">
      <c r="C199" s="11"/>
      <c r="D199" s="32"/>
      <c r="E199" s="11"/>
      <c r="I199" s="15"/>
      <c r="J199" s="47"/>
      <c r="K199" s="76"/>
      <c r="L199" s="76"/>
      <c r="M199" s="78"/>
      <c r="N199" s="77"/>
      <c r="O199" s="32"/>
      <c r="P199" s="32"/>
      <c r="Q199" s="32"/>
      <c r="R199" s="32"/>
    </row>
    <row r="200" spans="3:18" x14ac:dyDescent="0.3">
      <c r="C200" s="11"/>
      <c r="D200" s="32"/>
      <c r="E200" s="11"/>
      <c r="I200" s="15"/>
      <c r="J200" s="47"/>
      <c r="K200" s="76"/>
      <c r="L200" s="76"/>
      <c r="M200" s="78"/>
      <c r="N200" s="77"/>
      <c r="O200" s="32"/>
      <c r="P200" s="32"/>
      <c r="Q200" s="32"/>
      <c r="R200" s="32"/>
    </row>
    <row r="201" spans="3:18" x14ac:dyDescent="0.3">
      <c r="C201" s="11"/>
      <c r="D201" s="32"/>
      <c r="E201" s="11"/>
      <c r="I201" s="15"/>
      <c r="J201" s="47"/>
      <c r="K201" s="76"/>
      <c r="L201" s="76"/>
      <c r="M201" s="78"/>
      <c r="N201" s="77"/>
      <c r="O201" s="32"/>
      <c r="P201" s="32"/>
      <c r="Q201" s="32"/>
      <c r="R201" s="32"/>
    </row>
    <row r="202" spans="3:18" x14ac:dyDescent="0.3">
      <c r="C202" s="11"/>
      <c r="D202" s="32"/>
      <c r="E202" s="11"/>
      <c r="I202" s="15"/>
      <c r="J202" s="47"/>
      <c r="K202" s="76"/>
      <c r="L202" s="76"/>
      <c r="M202" s="78"/>
      <c r="N202" s="77"/>
      <c r="O202" s="32"/>
      <c r="P202" s="32"/>
      <c r="Q202" s="32"/>
      <c r="R202" s="32"/>
    </row>
    <row r="203" spans="3:18" x14ac:dyDescent="0.3">
      <c r="C203" s="11"/>
      <c r="D203" s="32"/>
      <c r="E203" s="11"/>
      <c r="I203" s="15"/>
      <c r="J203" s="47"/>
      <c r="K203" s="76"/>
      <c r="L203" s="76"/>
      <c r="M203" s="78"/>
      <c r="N203" s="77"/>
      <c r="O203" s="32"/>
      <c r="P203" s="32"/>
      <c r="Q203" s="32"/>
      <c r="R203" s="32"/>
    </row>
    <row r="204" spans="3:18" x14ac:dyDescent="0.3">
      <c r="C204" s="11"/>
      <c r="D204" s="32"/>
      <c r="E204" s="11"/>
      <c r="I204" s="15"/>
      <c r="J204" s="47"/>
      <c r="K204" s="76"/>
      <c r="L204" s="76"/>
      <c r="M204" s="78"/>
      <c r="N204" s="77"/>
      <c r="O204" s="32"/>
      <c r="P204" s="32"/>
      <c r="Q204" s="32"/>
      <c r="R204" s="32"/>
    </row>
    <row r="205" spans="3:18" x14ac:dyDescent="0.3">
      <c r="C205" s="11"/>
      <c r="D205" s="32"/>
      <c r="E205" s="11"/>
      <c r="I205" s="15"/>
      <c r="J205" s="47"/>
      <c r="K205" s="76"/>
      <c r="L205" s="76"/>
      <c r="M205" s="78"/>
      <c r="N205" s="77"/>
      <c r="O205" s="32"/>
      <c r="P205" s="32"/>
      <c r="Q205" s="32"/>
      <c r="R205" s="32"/>
    </row>
    <row r="206" spans="3:18" x14ac:dyDescent="0.3">
      <c r="C206" s="11"/>
      <c r="D206" s="32"/>
      <c r="E206" s="11"/>
      <c r="I206" s="15"/>
      <c r="J206" s="47"/>
      <c r="K206" s="76"/>
      <c r="L206" s="76"/>
      <c r="M206" s="78"/>
      <c r="N206" s="77"/>
      <c r="O206" s="32"/>
      <c r="P206" s="32"/>
      <c r="Q206" s="32"/>
      <c r="R206" s="32"/>
    </row>
    <row r="207" spans="3:18" x14ac:dyDescent="0.3">
      <c r="C207" s="11"/>
      <c r="D207" s="32"/>
      <c r="E207" s="11"/>
      <c r="I207" s="15"/>
      <c r="J207" s="47"/>
      <c r="K207" s="76"/>
      <c r="L207" s="76"/>
      <c r="M207" s="78"/>
      <c r="N207" s="77"/>
      <c r="O207" s="32"/>
      <c r="P207" s="32"/>
      <c r="Q207" s="32"/>
      <c r="R207" s="32"/>
    </row>
    <row r="208" spans="3:18" x14ac:dyDescent="0.3">
      <c r="C208" s="11"/>
      <c r="D208" s="32"/>
      <c r="E208" s="11"/>
      <c r="I208" s="15"/>
      <c r="J208" s="47"/>
      <c r="K208" s="76"/>
      <c r="L208" s="76"/>
      <c r="M208" s="78"/>
      <c r="N208" s="77"/>
      <c r="O208" s="32"/>
      <c r="P208" s="32"/>
      <c r="Q208" s="32"/>
      <c r="R208" s="32"/>
    </row>
    <row r="209" spans="3:18" x14ac:dyDescent="0.3">
      <c r="C209" s="11"/>
      <c r="D209" s="32"/>
      <c r="E209" s="11"/>
      <c r="I209" s="15"/>
      <c r="J209" s="47"/>
      <c r="K209" s="76"/>
      <c r="L209" s="76"/>
      <c r="M209" s="78"/>
      <c r="N209" s="77"/>
      <c r="O209" s="32"/>
      <c r="P209" s="32"/>
      <c r="Q209" s="32"/>
      <c r="R209" s="32"/>
    </row>
    <row r="210" spans="3:18" x14ac:dyDescent="0.3">
      <c r="C210" s="11"/>
      <c r="D210" s="32"/>
      <c r="E210" s="11"/>
      <c r="I210" s="15"/>
      <c r="J210" s="47"/>
      <c r="K210" s="76"/>
      <c r="L210" s="76"/>
      <c r="M210" s="78"/>
      <c r="N210" s="77"/>
      <c r="O210" s="32"/>
      <c r="P210" s="32"/>
      <c r="Q210" s="32"/>
      <c r="R210" s="32"/>
    </row>
    <row r="211" spans="3:18" x14ac:dyDescent="0.3">
      <c r="C211" s="11"/>
      <c r="D211" s="32"/>
      <c r="E211" s="11"/>
      <c r="I211" s="15"/>
      <c r="J211" s="47"/>
      <c r="K211" s="76"/>
      <c r="L211" s="76"/>
      <c r="M211" s="78"/>
      <c r="N211" s="77"/>
      <c r="O211" s="32"/>
      <c r="P211" s="32"/>
      <c r="Q211" s="32"/>
      <c r="R211" s="32"/>
    </row>
    <row r="212" spans="3:18" x14ac:dyDescent="0.3">
      <c r="C212" s="11"/>
      <c r="D212" s="32"/>
      <c r="E212" s="11"/>
      <c r="I212" s="15"/>
      <c r="J212" s="47"/>
      <c r="K212" s="76"/>
      <c r="L212" s="76"/>
      <c r="M212" s="78"/>
      <c r="N212" s="77"/>
      <c r="O212" s="32"/>
      <c r="P212" s="32"/>
      <c r="Q212" s="32"/>
      <c r="R212" s="32"/>
    </row>
    <row r="213" spans="3:18" x14ac:dyDescent="0.3">
      <c r="C213" s="11"/>
      <c r="D213" s="32"/>
      <c r="E213" s="11"/>
      <c r="I213" s="15"/>
      <c r="J213" s="47"/>
      <c r="K213" s="76"/>
      <c r="L213" s="76"/>
      <c r="M213" s="78"/>
      <c r="N213" s="77"/>
      <c r="O213" s="32"/>
      <c r="P213" s="32"/>
      <c r="Q213" s="32"/>
      <c r="R213" s="32"/>
    </row>
    <row r="214" spans="3:18" x14ac:dyDescent="0.3">
      <c r="C214" s="11"/>
      <c r="D214" s="32"/>
      <c r="E214" s="11"/>
      <c r="I214" s="15"/>
      <c r="J214" s="47"/>
      <c r="K214" s="76"/>
      <c r="L214" s="76"/>
      <c r="M214" s="78"/>
      <c r="N214" s="77"/>
      <c r="O214" s="32"/>
      <c r="P214" s="32"/>
      <c r="Q214" s="32"/>
      <c r="R214" s="32"/>
    </row>
    <row r="215" spans="3:18" x14ac:dyDescent="0.3">
      <c r="C215" s="11"/>
      <c r="D215" s="32"/>
      <c r="E215" s="11"/>
      <c r="I215" s="15"/>
      <c r="J215" s="47"/>
      <c r="K215" s="76"/>
      <c r="L215" s="76"/>
      <c r="M215" s="78"/>
      <c r="N215" s="77"/>
      <c r="O215" s="32"/>
      <c r="P215" s="32"/>
      <c r="Q215" s="32"/>
      <c r="R215" s="32"/>
    </row>
    <row r="216" spans="3:18" x14ac:dyDescent="0.3">
      <c r="C216" s="11"/>
      <c r="D216" s="32"/>
      <c r="E216" s="11"/>
      <c r="I216" s="15"/>
      <c r="J216" s="47"/>
      <c r="K216" s="76"/>
      <c r="L216" s="76"/>
      <c r="M216" s="78"/>
      <c r="N216" s="77"/>
      <c r="O216" s="32"/>
      <c r="P216" s="32"/>
      <c r="Q216" s="32"/>
      <c r="R216" s="32"/>
    </row>
    <row r="217" spans="3:18" x14ac:dyDescent="0.3">
      <c r="C217" s="11"/>
      <c r="D217" s="32"/>
      <c r="E217" s="11"/>
      <c r="I217" s="15"/>
      <c r="J217" s="47"/>
      <c r="K217" s="76"/>
      <c r="L217" s="76"/>
      <c r="M217" s="78"/>
      <c r="N217" s="77"/>
      <c r="O217" s="32"/>
      <c r="P217" s="32"/>
      <c r="Q217" s="32"/>
      <c r="R217" s="32"/>
    </row>
    <row r="218" spans="3:18" x14ac:dyDescent="0.3">
      <c r="C218" s="11"/>
      <c r="D218" s="32"/>
      <c r="E218" s="11"/>
      <c r="I218" s="15"/>
      <c r="J218" s="47"/>
      <c r="K218" s="76"/>
      <c r="L218" s="76"/>
      <c r="M218" s="78"/>
      <c r="N218" s="77"/>
      <c r="O218" s="32"/>
      <c r="P218" s="32"/>
      <c r="Q218" s="32"/>
      <c r="R218" s="32"/>
    </row>
    <row r="219" spans="3:18" x14ac:dyDescent="0.3">
      <c r="C219" s="11"/>
      <c r="D219" s="32"/>
      <c r="E219" s="11"/>
      <c r="I219" s="15"/>
      <c r="J219" s="47"/>
      <c r="K219" s="76"/>
      <c r="L219" s="76"/>
      <c r="M219" s="78"/>
      <c r="N219" s="77"/>
      <c r="O219" s="32"/>
      <c r="P219" s="32"/>
      <c r="Q219" s="32"/>
      <c r="R219" s="32"/>
    </row>
    <row r="220" spans="3:18" x14ac:dyDescent="0.3">
      <c r="C220" s="11"/>
      <c r="D220" s="32"/>
      <c r="E220" s="11"/>
      <c r="I220" s="15"/>
      <c r="J220" s="47"/>
      <c r="K220" s="76"/>
      <c r="L220" s="76"/>
      <c r="M220" s="78"/>
      <c r="N220" s="77"/>
      <c r="O220" s="32"/>
      <c r="P220" s="32"/>
      <c r="Q220" s="32"/>
      <c r="R220" s="32"/>
    </row>
    <row r="221" spans="3:18" x14ac:dyDescent="0.3">
      <c r="C221" s="11"/>
      <c r="D221" s="32"/>
      <c r="E221" s="11"/>
      <c r="I221" s="15"/>
      <c r="J221" s="47"/>
      <c r="K221" s="76"/>
      <c r="L221" s="76"/>
      <c r="M221" s="78"/>
      <c r="N221" s="77"/>
      <c r="O221" s="32"/>
      <c r="P221" s="32"/>
      <c r="Q221" s="32"/>
      <c r="R221" s="32"/>
    </row>
    <row r="222" spans="3:18" x14ac:dyDescent="0.3">
      <c r="C222" s="11"/>
      <c r="D222" s="32"/>
      <c r="E222" s="11"/>
      <c r="I222" s="15"/>
      <c r="J222" s="47"/>
      <c r="K222" s="76"/>
      <c r="L222" s="76"/>
      <c r="M222" s="78"/>
      <c r="N222" s="77"/>
      <c r="O222" s="32"/>
      <c r="P222" s="32"/>
      <c r="Q222" s="32"/>
      <c r="R222" s="32"/>
    </row>
    <row r="223" spans="3:18" x14ac:dyDescent="0.3">
      <c r="C223" s="11"/>
      <c r="D223" s="32"/>
      <c r="E223" s="11"/>
      <c r="I223" s="15"/>
      <c r="J223" s="47"/>
      <c r="K223" s="76"/>
      <c r="L223" s="76"/>
      <c r="M223" s="78"/>
      <c r="N223" s="77"/>
      <c r="O223" s="32"/>
      <c r="P223" s="32"/>
      <c r="Q223" s="32"/>
      <c r="R223" s="32"/>
    </row>
    <row r="224" spans="3:18" x14ac:dyDescent="0.3">
      <c r="C224" s="11"/>
      <c r="D224" s="32"/>
      <c r="E224" s="11"/>
      <c r="I224" s="15"/>
      <c r="J224" s="47"/>
      <c r="K224" s="76"/>
      <c r="L224" s="76"/>
      <c r="M224" s="78"/>
      <c r="N224" s="77"/>
      <c r="O224" s="32"/>
      <c r="P224" s="32"/>
      <c r="Q224" s="32"/>
      <c r="R224" s="32"/>
    </row>
    <row r="225" spans="3:18" x14ac:dyDescent="0.3">
      <c r="C225" s="11"/>
      <c r="D225" s="32"/>
      <c r="E225" s="11"/>
      <c r="I225" s="15"/>
      <c r="J225" s="47"/>
      <c r="K225" s="76"/>
      <c r="L225" s="76"/>
      <c r="M225" s="78"/>
      <c r="N225" s="77"/>
      <c r="O225" s="32"/>
      <c r="P225" s="32"/>
      <c r="Q225" s="32"/>
      <c r="R225" s="32"/>
    </row>
    <row r="226" spans="3:18" x14ac:dyDescent="0.3">
      <c r="C226" s="11"/>
      <c r="D226" s="32"/>
      <c r="E226" s="11"/>
      <c r="I226" s="15"/>
      <c r="J226" s="47"/>
      <c r="K226" s="76"/>
      <c r="L226" s="76"/>
      <c r="M226" s="78"/>
      <c r="N226" s="77"/>
      <c r="O226" s="32"/>
      <c r="P226" s="32"/>
      <c r="Q226" s="32"/>
      <c r="R226" s="32"/>
    </row>
    <row r="227" spans="3:18" x14ac:dyDescent="0.3">
      <c r="C227" s="11"/>
      <c r="D227" s="32"/>
      <c r="E227" s="11"/>
      <c r="I227" s="15"/>
      <c r="J227" s="47"/>
      <c r="K227" s="76"/>
      <c r="L227" s="76"/>
      <c r="M227" s="78"/>
      <c r="N227" s="77"/>
      <c r="O227" s="32"/>
      <c r="P227" s="32"/>
      <c r="Q227" s="32"/>
      <c r="R227" s="32"/>
    </row>
    <row r="228" spans="3:18" x14ac:dyDescent="0.3">
      <c r="C228" s="11"/>
      <c r="D228" s="32"/>
      <c r="E228" s="11"/>
      <c r="I228" s="15"/>
      <c r="J228" s="47"/>
      <c r="K228" s="76"/>
      <c r="L228" s="76"/>
      <c r="M228" s="78"/>
      <c r="N228" s="77"/>
      <c r="O228" s="32"/>
      <c r="P228" s="32"/>
      <c r="Q228" s="32"/>
      <c r="R228" s="32"/>
    </row>
    <row r="229" spans="3:18" x14ac:dyDescent="0.3">
      <c r="C229" s="11"/>
      <c r="D229" s="32"/>
      <c r="E229" s="11"/>
      <c r="I229" s="15"/>
      <c r="J229" s="47"/>
      <c r="K229" s="76"/>
      <c r="L229" s="76"/>
      <c r="M229" s="78"/>
      <c r="N229" s="77"/>
      <c r="O229" s="32"/>
      <c r="P229" s="32"/>
      <c r="Q229" s="32"/>
      <c r="R229" s="32"/>
    </row>
    <row r="230" spans="3:18" x14ac:dyDescent="0.3">
      <c r="C230" s="11"/>
      <c r="D230" s="32"/>
      <c r="E230" s="11"/>
      <c r="I230" s="15"/>
      <c r="J230" s="47"/>
      <c r="K230" s="76"/>
      <c r="L230" s="76"/>
      <c r="M230" s="78"/>
      <c r="N230" s="77"/>
      <c r="O230" s="32"/>
      <c r="P230" s="32"/>
      <c r="Q230" s="32"/>
      <c r="R230" s="32"/>
    </row>
    <row r="231" spans="3:18" x14ac:dyDescent="0.3">
      <c r="C231" s="11"/>
      <c r="D231" s="32"/>
      <c r="E231" s="11"/>
      <c r="I231" s="15"/>
      <c r="J231" s="47"/>
      <c r="K231" s="76"/>
      <c r="L231" s="76"/>
      <c r="M231" s="78"/>
      <c r="N231" s="77"/>
      <c r="O231" s="32"/>
      <c r="P231" s="32"/>
      <c r="Q231" s="32"/>
      <c r="R231" s="32"/>
    </row>
    <row r="232" spans="3:18" x14ac:dyDescent="0.3">
      <c r="C232" s="11"/>
      <c r="D232" s="32"/>
      <c r="E232" s="11"/>
      <c r="I232" s="15"/>
      <c r="J232" s="47"/>
      <c r="K232" s="76"/>
      <c r="L232" s="76"/>
      <c r="M232" s="78"/>
      <c r="N232" s="77"/>
      <c r="O232" s="32"/>
      <c r="P232" s="32"/>
      <c r="Q232" s="32"/>
      <c r="R232" s="32"/>
    </row>
    <row r="233" spans="3:18" x14ac:dyDescent="0.3">
      <c r="C233" s="11"/>
      <c r="D233" s="32"/>
      <c r="E233" s="11"/>
      <c r="I233" s="15"/>
      <c r="J233" s="47"/>
      <c r="K233" s="76"/>
      <c r="L233" s="76"/>
      <c r="M233" s="78"/>
      <c r="N233" s="77"/>
      <c r="O233" s="32"/>
      <c r="P233" s="32"/>
      <c r="Q233" s="32"/>
      <c r="R233" s="32"/>
    </row>
    <row r="234" spans="3:18" x14ac:dyDescent="0.3">
      <c r="C234" s="11"/>
      <c r="D234" s="32"/>
      <c r="E234" s="11"/>
      <c r="I234" s="15"/>
      <c r="J234" s="47"/>
      <c r="K234" s="76"/>
      <c r="L234" s="76"/>
      <c r="M234" s="78"/>
      <c r="N234" s="77"/>
      <c r="O234" s="32"/>
      <c r="P234" s="32"/>
      <c r="Q234" s="32"/>
      <c r="R234" s="32"/>
    </row>
    <row r="235" spans="3:18" x14ac:dyDescent="0.3">
      <c r="C235" s="11"/>
      <c r="D235" s="32"/>
      <c r="E235" s="11"/>
      <c r="I235" s="15"/>
      <c r="J235" s="47"/>
      <c r="K235" s="76"/>
      <c r="L235" s="76"/>
      <c r="M235" s="78"/>
      <c r="N235" s="77"/>
      <c r="O235" s="32"/>
      <c r="P235" s="32"/>
      <c r="Q235" s="32"/>
      <c r="R235" s="32"/>
    </row>
    <row r="236" spans="3:18" x14ac:dyDescent="0.3">
      <c r="C236" s="11"/>
      <c r="D236" s="32"/>
      <c r="E236" s="11"/>
      <c r="I236" s="15"/>
      <c r="J236" s="47"/>
      <c r="K236" s="76"/>
      <c r="L236" s="76"/>
      <c r="M236" s="78"/>
      <c r="N236" s="77"/>
      <c r="O236" s="32"/>
      <c r="P236" s="32"/>
      <c r="Q236" s="32"/>
      <c r="R236" s="32"/>
    </row>
    <row r="237" spans="3:18" x14ac:dyDescent="0.3">
      <c r="C237" s="11"/>
      <c r="D237" s="32"/>
      <c r="E237" s="11"/>
      <c r="I237" s="15"/>
      <c r="J237" s="47"/>
      <c r="K237" s="76"/>
      <c r="L237" s="76"/>
      <c r="M237" s="78"/>
      <c r="N237" s="77"/>
      <c r="O237" s="32"/>
      <c r="P237" s="32"/>
      <c r="Q237" s="32"/>
      <c r="R237" s="32"/>
    </row>
    <row r="238" spans="3:18" x14ac:dyDescent="0.3">
      <c r="C238" s="11"/>
      <c r="D238" s="32"/>
      <c r="E238" s="11"/>
      <c r="I238" s="15"/>
      <c r="J238" s="47"/>
      <c r="K238" s="76"/>
      <c r="L238" s="76"/>
      <c r="M238" s="78"/>
      <c r="N238" s="77"/>
      <c r="O238" s="32"/>
      <c r="P238" s="32"/>
      <c r="Q238" s="32"/>
      <c r="R238" s="32"/>
    </row>
    <row r="239" spans="3:18" x14ac:dyDescent="0.3">
      <c r="C239" s="11"/>
      <c r="D239" s="32"/>
      <c r="E239" s="11"/>
      <c r="I239" s="15"/>
      <c r="J239" s="47"/>
      <c r="K239" s="76"/>
      <c r="L239" s="76"/>
      <c r="M239" s="78"/>
      <c r="N239" s="77"/>
      <c r="O239" s="32"/>
      <c r="P239" s="32"/>
      <c r="Q239" s="32"/>
      <c r="R239" s="32"/>
    </row>
    <row r="240" spans="3:18" x14ac:dyDescent="0.3">
      <c r="C240" s="11"/>
      <c r="D240" s="32"/>
      <c r="E240" s="11"/>
      <c r="I240" s="15"/>
      <c r="J240" s="47"/>
      <c r="K240" s="76"/>
      <c r="L240" s="76"/>
      <c r="M240" s="78"/>
      <c r="N240" s="77"/>
      <c r="O240" s="32"/>
      <c r="P240" s="32"/>
      <c r="Q240" s="32"/>
      <c r="R240" s="32"/>
    </row>
    <row r="241" spans="3:18" x14ac:dyDescent="0.3">
      <c r="C241" s="11"/>
      <c r="D241" s="32"/>
      <c r="E241" s="11"/>
      <c r="I241" s="15"/>
      <c r="J241" s="47"/>
      <c r="K241" s="76"/>
      <c r="L241" s="76"/>
      <c r="M241" s="78"/>
      <c r="N241" s="77"/>
      <c r="O241" s="32"/>
      <c r="P241" s="32"/>
      <c r="Q241" s="32"/>
      <c r="R241" s="32"/>
    </row>
    <row r="242" spans="3:18" x14ac:dyDescent="0.3">
      <c r="C242" s="11"/>
      <c r="D242" s="32"/>
      <c r="E242" s="11"/>
      <c r="I242" s="15"/>
      <c r="J242" s="47"/>
      <c r="K242" s="76"/>
      <c r="L242" s="76"/>
      <c r="M242" s="78"/>
      <c r="N242" s="77"/>
      <c r="O242" s="32"/>
      <c r="P242" s="32"/>
      <c r="Q242" s="32"/>
      <c r="R242" s="32"/>
    </row>
    <row r="243" spans="3:18" x14ac:dyDescent="0.3">
      <c r="C243" s="11"/>
      <c r="D243" s="32"/>
      <c r="E243" s="11"/>
      <c r="I243" s="15"/>
      <c r="J243" s="47"/>
      <c r="K243" s="76"/>
      <c r="L243" s="76"/>
      <c r="M243" s="78"/>
      <c r="N243" s="77"/>
      <c r="O243" s="32"/>
      <c r="P243" s="32"/>
      <c r="Q243" s="32"/>
      <c r="R243" s="32"/>
    </row>
    <row r="244" spans="3:18" x14ac:dyDescent="0.3">
      <c r="C244" s="11"/>
      <c r="D244" s="32"/>
      <c r="E244" s="11"/>
      <c r="I244" s="15"/>
      <c r="J244" s="47"/>
      <c r="K244" s="76"/>
      <c r="L244" s="76"/>
      <c r="M244" s="78"/>
      <c r="N244" s="77"/>
      <c r="O244" s="32"/>
      <c r="P244" s="32"/>
      <c r="Q244" s="32"/>
      <c r="R244" s="32"/>
    </row>
    <row r="245" spans="3:18" x14ac:dyDescent="0.3">
      <c r="C245" s="11"/>
      <c r="D245" s="32"/>
      <c r="E245" s="11"/>
      <c r="I245" s="15"/>
      <c r="J245" s="47"/>
      <c r="K245" s="76"/>
      <c r="L245" s="76"/>
      <c r="M245" s="78"/>
      <c r="N245" s="77"/>
      <c r="O245" s="32"/>
      <c r="P245" s="32"/>
      <c r="Q245" s="32"/>
      <c r="R245" s="32"/>
    </row>
    <row r="246" spans="3:18" x14ac:dyDescent="0.3">
      <c r="C246" s="11"/>
      <c r="D246" s="32"/>
      <c r="E246" s="11"/>
      <c r="I246" s="15"/>
      <c r="J246" s="47"/>
      <c r="K246" s="76"/>
      <c r="L246" s="76"/>
      <c r="M246" s="78"/>
      <c r="N246" s="77"/>
      <c r="O246" s="32"/>
      <c r="P246" s="32"/>
      <c r="Q246" s="32"/>
      <c r="R246" s="32"/>
    </row>
    <row r="247" spans="3:18" x14ac:dyDescent="0.3">
      <c r="C247" s="11"/>
      <c r="D247" s="32"/>
      <c r="E247" s="11"/>
      <c r="I247" s="15"/>
      <c r="J247" s="47"/>
      <c r="K247" s="76"/>
      <c r="L247" s="76"/>
      <c r="M247" s="78"/>
      <c r="N247" s="77"/>
      <c r="O247" s="32"/>
      <c r="P247" s="32"/>
      <c r="Q247" s="32"/>
      <c r="R247" s="32"/>
    </row>
    <row r="248" spans="3:18" x14ac:dyDescent="0.3">
      <c r="C248" s="11"/>
      <c r="D248" s="32"/>
      <c r="E248" s="11"/>
      <c r="I248" s="15"/>
      <c r="J248" s="47"/>
      <c r="K248" s="76"/>
      <c r="L248" s="76"/>
      <c r="M248" s="78"/>
      <c r="N248" s="77"/>
      <c r="O248" s="32"/>
      <c r="P248" s="32"/>
      <c r="Q248" s="32"/>
      <c r="R248" s="32"/>
    </row>
    <row r="249" spans="3:18" x14ac:dyDescent="0.3">
      <c r="C249" s="11"/>
      <c r="D249" s="32"/>
      <c r="E249" s="11"/>
      <c r="I249" s="15"/>
      <c r="J249" s="47"/>
      <c r="K249" s="76"/>
      <c r="L249" s="76"/>
      <c r="M249" s="78"/>
      <c r="N249" s="77"/>
      <c r="O249" s="32"/>
      <c r="P249" s="32"/>
      <c r="Q249" s="32"/>
      <c r="R249" s="32"/>
    </row>
    <row r="250" spans="3:18" x14ac:dyDescent="0.3">
      <c r="C250" s="11"/>
      <c r="D250" s="32"/>
      <c r="E250" s="11"/>
      <c r="I250" s="15"/>
      <c r="J250" s="47"/>
      <c r="K250" s="76"/>
      <c r="L250" s="76"/>
      <c r="M250" s="78"/>
      <c r="N250" s="77"/>
      <c r="O250" s="32"/>
      <c r="P250" s="32"/>
      <c r="Q250" s="32"/>
      <c r="R250" s="32"/>
    </row>
    <row r="251" spans="3:18" x14ac:dyDescent="0.3">
      <c r="C251" s="11"/>
      <c r="D251" s="32"/>
      <c r="E251" s="11"/>
      <c r="I251" s="15"/>
      <c r="J251" s="47"/>
      <c r="K251" s="76"/>
      <c r="L251" s="76"/>
      <c r="M251" s="78"/>
      <c r="N251" s="77"/>
      <c r="O251" s="32"/>
      <c r="P251" s="32"/>
      <c r="Q251" s="32"/>
      <c r="R251" s="32"/>
    </row>
    <row r="252" spans="3:18" x14ac:dyDescent="0.3">
      <c r="C252" s="11"/>
      <c r="D252" s="32"/>
      <c r="E252" s="11"/>
      <c r="I252" s="15"/>
      <c r="J252" s="47"/>
      <c r="K252" s="76"/>
      <c r="L252" s="76"/>
      <c r="M252" s="78"/>
      <c r="N252" s="77"/>
      <c r="O252" s="32"/>
      <c r="P252" s="32"/>
      <c r="Q252" s="32"/>
      <c r="R252" s="32"/>
    </row>
    <row r="253" spans="3:18" x14ac:dyDescent="0.3">
      <c r="C253" s="11"/>
      <c r="D253" s="32"/>
      <c r="E253" s="11"/>
      <c r="I253" s="15"/>
      <c r="J253" s="47"/>
      <c r="K253" s="76"/>
      <c r="L253" s="76"/>
      <c r="M253" s="78"/>
      <c r="N253" s="77"/>
      <c r="O253" s="32"/>
      <c r="P253" s="32"/>
      <c r="Q253" s="32"/>
      <c r="R253" s="32"/>
    </row>
    <row r="254" spans="3:18" x14ac:dyDescent="0.3">
      <c r="C254" s="11"/>
      <c r="D254" s="32"/>
      <c r="E254" s="11"/>
      <c r="I254" s="15"/>
      <c r="J254" s="47"/>
      <c r="K254" s="76"/>
      <c r="L254" s="76"/>
      <c r="M254" s="78"/>
      <c r="N254" s="77"/>
      <c r="O254" s="32"/>
      <c r="P254" s="32"/>
      <c r="Q254" s="32"/>
      <c r="R254" s="32"/>
    </row>
    <row r="255" spans="3:18" x14ac:dyDescent="0.3">
      <c r="C255" s="11"/>
      <c r="D255" s="32"/>
      <c r="E255" s="11"/>
      <c r="I255" s="15"/>
      <c r="J255" s="47"/>
      <c r="K255" s="76"/>
      <c r="L255" s="76"/>
      <c r="M255" s="78"/>
      <c r="N255" s="77"/>
      <c r="O255" s="32"/>
      <c r="P255" s="32"/>
      <c r="Q255" s="32"/>
      <c r="R255" s="32"/>
    </row>
    <row r="256" spans="3:18" x14ac:dyDescent="0.3">
      <c r="C256" s="11"/>
      <c r="D256" s="32"/>
      <c r="E256" s="11"/>
      <c r="I256" s="15"/>
      <c r="J256" s="47"/>
      <c r="K256" s="76"/>
      <c r="L256" s="76"/>
      <c r="M256" s="78"/>
      <c r="N256" s="77"/>
      <c r="O256" s="32"/>
      <c r="P256" s="32"/>
      <c r="Q256" s="32"/>
      <c r="R256" s="32"/>
    </row>
    <row r="257" spans="3:18" x14ac:dyDescent="0.3">
      <c r="C257" s="11"/>
      <c r="D257" s="32"/>
      <c r="E257" s="11"/>
      <c r="I257" s="15"/>
      <c r="J257" s="47"/>
      <c r="K257" s="76"/>
      <c r="L257" s="76"/>
      <c r="M257" s="78"/>
      <c r="N257" s="77"/>
      <c r="O257" s="32"/>
      <c r="P257" s="32"/>
      <c r="Q257" s="32"/>
      <c r="R257" s="32"/>
    </row>
    <row r="258" spans="3:18" x14ac:dyDescent="0.3">
      <c r="C258" s="11"/>
      <c r="D258" s="32"/>
      <c r="E258" s="11"/>
      <c r="I258" s="15"/>
      <c r="J258" s="47"/>
      <c r="K258" s="76"/>
      <c r="L258" s="76"/>
      <c r="M258" s="78"/>
      <c r="N258" s="77"/>
      <c r="O258" s="32"/>
      <c r="P258" s="32"/>
      <c r="Q258" s="32"/>
      <c r="R258" s="32"/>
    </row>
    <row r="259" spans="3:18" x14ac:dyDescent="0.3">
      <c r="C259" s="11"/>
      <c r="D259" s="32"/>
      <c r="E259" s="11"/>
      <c r="I259" s="15"/>
      <c r="J259" s="47"/>
      <c r="K259" s="76"/>
      <c r="L259" s="76"/>
      <c r="M259" s="78"/>
      <c r="N259" s="77"/>
      <c r="O259" s="32"/>
      <c r="P259" s="32"/>
      <c r="Q259" s="32"/>
      <c r="R259" s="32"/>
    </row>
    <row r="260" spans="3:18" x14ac:dyDescent="0.3">
      <c r="C260" s="11"/>
      <c r="D260" s="32"/>
      <c r="E260" s="11"/>
      <c r="I260" s="15"/>
      <c r="J260" s="47"/>
      <c r="K260" s="76"/>
      <c r="L260" s="76"/>
      <c r="M260" s="78"/>
      <c r="N260" s="77"/>
      <c r="O260" s="32"/>
      <c r="P260" s="32"/>
      <c r="Q260" s="32"/>
      <c r="R260" s="32"/>
    </row>
    <row r="261" spans="3:18" x14ac:dyDescent="0.3">
      <c r="C261" s="11"/>
      <c r="D261" s="32"/>
      <c r="E261" s="11"/>
      <c r="I261" s="15"/>
      <c r="J261" s="47"/>
      <c r="K261" s="76"/>
      <c r="L261" s="76"/>
      <c r="M261" s="78"/>
      <c r="N261" s="77"/>
      <c r="O261" s="32"/>
      <c r="P261" s="32"/>
      <c r="Q261" s="32"/>
      <c r="R261" s="32"/>
    </row>
    <row r="262" spans="3:18" x14ac:dyDescent="0.3">
      <c r="C262" s="11"/>
      <c r="D262" s="32"/>
      <c r="E262" s="11"/>
      <c r="I262" s="15"/>
      <c r="J262" s="47"/>
      <c r="K262" s="76"/>
      <c r="L262" s="76"/>
      <c r="M262" s="78"/>
      <c r="N262" s="77"/>
      <c r="O262" s="32"/>
      <c r="P262" s="32"/>
      <c r="Q262" s="32"/>
      <c r="R262" s="32"/>
    </row>
    <row r="263" spans="3:18" x14ac:dyDescent="0.3">
      <c r="C263" s="11"/>
      <c r="D263" s="32"/>
      <c r="E263" s="11"/>
      <c r="I263" s="15"/>
      <c r="J263" s="47"/>
      <c r="K263" s="76"/>
      <c r="L263" s="76"/>
      <c r="M263" s="78"/>
      <c r="N263" s="77"/>
      <c r="O263" s="32"/>
      <c r="P263" s="32"/>
      <c r="Q263" s="32"/>
      <c r="R263" s="32"/>
    </row>
    <row r="264" spans="3:18" x14ac:dyDescent="0.3">
      <c r="C264" s="11"/>
      <c r="D264" s="32"/>
      <c r="E264" s="11"/>
      <c r="I264" s="15"/>
      <c r="J264" s="47"/>
      <c r="K264" s="76"/>
      <c r="L264" s="76"/>
      <c r="M264" s="78"/>
      <c r="N264" s="77"/>
      <c r="O264" s="32"/>
      <c r="P264" s="32"/>
      <c r="Q264" s="32"/>
      <c r="R264" s="32"/>
    </row>
    <row r="265" spans="3:18" x14ac:dyDescent="0.3">
      <c r="C265" s="11"/>
      <c r="D265" s="32"/>
      <c r="E265" s="11"/>
      <c r="I265" s="15"/>
      <c r="J265" s="47"/>
      <c r="K265" s="76"/>
      <c r="L265" s="76"/>
      <c r="M265" s="78"/>
      <c r="N265" s="77"/>
      <c r="O265" s="32"/>
      <c r="P265" s="32"/>
      <c r="Q265" s="32"/>
      <c r="R265" s="32"/>
    </row>
    <row r="266" spans="3:18" x14ac:dyDescent="0.3">
      <c r="C266" s="11"/>
      <c r="D266" s="32"/>
      <c r="E266" s="11"/>
      <c r="I266" s="15"/>
      <c r="J266" s="47"/>
      <c r="K266" s="76"/>
      <c r="L266" s="76"/>
      <c r="M266" s="78"/>
      <c r="N266" s="77"/>
      <c r="O266" s="32"/>
      <c r="P266" s="32"/>
      <c r="Q266" s="32"/>
      <c r="R266" s="32"/>
    </row>
    <row r="267" spans="3:18" x14ac:dyDescent="0.3">
      <c r="C267" s="11"/>
      <c r="D267" s="32"/>
      <c r="E267" s="11"/>
      <c r="I267" s="15"/>
      <c r="J267" s="47"/>
      <c r="K267" s="76"/>
      <c r="L267" s="76"/>
      <c r="M267" s="78"/>
      <c r="N267" s="77"/>
      <c r="O267" s="32"/>
      <c r="P267" s="32"/>
      <c r="Q267" s="32"/>
      <c r="R267" s="32"/>
    </row>
    <row r="268" spans="3:18" x14ac:dyDescent="0.3">
      <c r="C268" s="11"/>
      <c r="D268" s="32"/>
      <c r="E268" s="11"/>
      <c r="I268" s="15"/>
      <c r="J268" s="47"/>
      <c r="K268" s="76"/>
      <c r="L268" s="76"/>
      <c r="M268" s="78"/>
      <c r="N268" s="77"/>
      <c r="O268" s="32"/>
      <c r="P268" s="32"/>
      <c r="Q268" s="32"/>
      <c r="R268" s="32"/>
    </row>
    <row r="269" spans="3:18" x14ac:dyDescent="0.3">
      <c r="C269" s="11"/>
      <c r="D269" s="32"/>
      <c r="E269" s="11"/>
      <c r="I269" s="15"/>
      <c r="J269" s="47"/>
      <c r="K269" s="76"/>
      <c r="L269" s="76"/>
      <c r="M269" s="78"/>
      <c r="N269" s="77"/>
      <c r="O269" s="32"/>
      <c r="P269" s="32"/>
      <c r="Q269" s="32"/>
      <c r="R269" s="32"/>
    </row>
    <row r="270" spans="3:18" x14ac:dyDescent="0.3">
      <c r="C270" s="11"/>
      <c r="D270" s="32"/>
      <c r="E270" s="11"/>
      <c r="I270" s="15"/>
      <c r="J270" s="47"/>
      <c r="K270" s="76"/>
      <c r="L270" s="76"/>
      <c r="M270" s="78"/>
      <c r="N270" s="77"/>
      <c r="O270" s="32"/>
      <c r="P270" s="32"/>
      <c r="Q270" s="32"/>
      <c r="R270" s="32"/>
    </row>
    <row r="271" spans="3:18" x14ac:dyDescent="0.3">
      <c r="C271" s="11"/>
      <c r="D271" s="32"/>
      <c r="E271" s="11"/>
      <c r="I271" s="15"/>
      <c r="J271" s="47"/>
      <c r="K271" s="76"/>
      <c r="L271" s="76"/>
      <c r="M271" s="78"/>
      <c r="N271" s="77"/>
      <c r="O271" s="32"/>
      <c r="P271" s="32"/>
      <c r="Q271" s="32"/>
      <c r="R271" s="32"/>
    </row>
    <row r="272" spans="3:18" x14ac:dyDescent="0.3">
      <c r="C272" s="11"/>
      <c r="D272" s="32"/>
      <c r="E272" s="11"/>
      <c r="I272" s="15"/>
      <c r="J272" s="47"/>
      <c r="K272" s="76"/>
      <c r="L272" s="76"/>
      <c r="M272" s="78"/>
      <c r="N272" s="77"/>
      <c r="O272" s="32"/>
      <c r="P272" s="32"/>
      <c r="Q272" s="32"/>
      <c r="R272" s="32"/>
    </row>
    <row r="273" spans="3:18" x14ac:dyDescent="0.3">
      <c r="C273" s="11"/>
      <c r="D273" s="32"/>
      <c r="E273" s="11"/>
      <c r="I273" s="15"/>
      <c r="J273" s="47"/>
      <c r="K273" s="76"/>
      <c r="L273" s="76"/>
      <c r="M273" s="78"/>
      <c r="N273" s="77"/>
      <c r="O273" s="32"/>
      <c r="P273" s="32"/>
      <c r="Q273" s="32"/>
      <c r="R273" s="32"/>
    </row>
    <row r="274" spans="3:18" x14ac:dyDescent="0.3">
      <c r="C274" s="11"/>
      <c r="D274" s="32"/>
      <c r="E274" s="11"/>
      <c r="I274" s="15"/>
      <c r="J274" s="47"/>
      <c r="K274" s="76"/>
      <c r="L274" s="76"/>
      <c r="M274" s="78"/>
      <c r="N274" s="77"/>
      <c r="O274" s="32"/>
      <c r="P274" s="32"/>
      <c r="Q274" s="32"/>
      <c r="R274" s="32"/>
    </row>
    <row r="275" spans="3:18" x14ac:dyDescent="0.3">
      <c r="C275" s="11"/>
      <c r="D275" s="32"/>
      <c r="E275" s="11"/>
      <c r="I275" s="15"/>
      <c r="J275" s="47"/>
      <c r="K275" s="76"/>
      <c r="L275" s="76"/>
      <c r="M275" s="78"/>
      <c r="N275" s="77"/>
      <c r="O275" s="32"/>
      <c r="P275" s="32"/>
      <c r="Q275" s="32"/>
      <c r="R275" s="32"/>
    </row>
    <row r="276" spans="3:18" x14ac:dyDescent="0.3">
      <c r="C276" s="11"/>
      <c r="D276" s="32"/>
      <c r="E276" s="11"/>
      <c r="I276" s="15"/>
      <c r="J276" s="47"/>
      <c r="K276" s="76"/>
      <c r="L276" s="76"/>
      <c r="M276" s="78"/>
      <c r="N276" s="77"/>
      <c r="O276" s="32"/>
      <c r="P276" s="32"/>
      <c r="Q276" s="32"/>
      <c r="R276" s="32"/>
    </row>
    <row r="277" spans="3:18" x14ac:dyDescent="0.3">
      <c r="C277" s="11"/>
      <c r="D277" s="32"/>
      <c r="E277" s="11"/>
      <c r="I277" s="15"/>
      <c r="J277" s="47"/>
      <c r="K277" s="76"/>
      <c r="L277" s="76"/>
      <c r="M277" s="78"/>
      <c r="N277" s="77"/>
      <c r="O277" s="32"/>
      <c r="P277" s="32"/>
      <c r="Q277" s="32"/>
      <c r="R277" s="32"/>
    </row>
    <row r="278" spans="3:18" x14ac:dyDescent="0.3">
      <c r="C278" s="11"/>
      <c r="D278" s="32"/>
      <c r="E278" s="11"/>
      <c r="I278" s="15"/>
      <c r="J278" s="47"/>
      <c r="K278" s="76"/>
      <c r="L278" s="76"/>
      <c r="M278" s="78"/>
      <c r="N278" s="77"/>
      <c r="O278" s="32"/>
      <c r="P278" s="32"/>
      <c r="Q278" s="32"/>
      <c r="R278" s="32"/>
    </row>
    <row r="279" spans="3:18" x14ac:dyDescent="0.3">
      <c r="C279" s="11"/>
      <c r="D279" s="32"/>
      <c r="E279" s="11"/>
      <c r="I279" s="15"/>
      <c r="J279" s="47"/>
      <c r="K279" s="76"/>
      <c r="L279" s="76"/>
      <c r="M279" s="78"/>
      <c r="N279" s="77"/>
      <c r="O279" s="32"/>
      <c r="P279" s="32"/>
      <c r="Q279" s="32"/>
      <c r="R279" s="32"/>
    </row>
    <row r="280" spans="3:18" x14ac:dyDescent="0.3">
      <c r="C280" s="11"/>
      <c r="D280" s="32"/>
      <c r="E280" s="11"/>
      <c r="I280" s="15"/>
      <c r="J280" s="47"/>
      <c r="K280" s="76"/>
      <c r="L280" s="76"/>
      <c r="M280" s="78"/>
      <c r="N280" s="77"/>
      <c r="O280" s="32"/>
      <c r="P280" s="32"/>
      <c r="Q280" s="32"/>
      <c r="R280" s="32"/>
    </row>
    <row r="281" spans="3:18" x14ac:dyDescent="0.3">
      <c r="C281" s="11"/>
      <c r="D281" s="32"/>
      <c r="E281" s="11"/>
      <c r="I281" s="15"/>
      <c r="J281" s="47"/>
      <c r="K281" s="76"/>
      <c r="L281" s="76"/>
      <c r="M281" s="78"/>
      <c r="N281" s="77"/>
      <c r="O281" s="32"/>
      <c r="P281" s="32"/>
      <c r="Q281" s="32"/>
      <c r="R281" s="32"/>
    </row>
    <row r="282" spans="3:18" x14ac:dyDescent="0.3">
      <c r="C282" s="11"/>
      <c r="D282" s="32"/>
      <c r="E282" s="11"/>
      <c r="I282" s="15"/>
      <c r="J282" s="47"/>
      <c r="K282" s="76"/>
      <c r="L282" s="76"/>
      <c r="M282" s="78"/>
      <c r="N282" s="77"/>
      <c r="O282" s="32"/>
      <c r="P282" s="32"/>
      <c r="Q282" s="32"/>
      <c r="R282" s="32"/>
    </row>
    <row r="283" spans="3:18" x14ac:dyDescent="0.3">
      <c r="C283" s="11"/>
      <c r="D283" s="32"/>
      <c r="E283" s="11"/>
      <c r="I283" s="15"/>
      <c r="J283" s="47"/>
      <c r="K283" s="76"/>
      <c r="L283" s="76"/>
      <c r="M283" s="78"/>
      <c r="N283" s="77"/>
      <c r="O283" s="32"/>
      <c r="P283" s="32"/>
      <c r="Q283" s="32"/>
      <c r="R283" s="32"/>
    </row>
    <row r="284" spans="3:18" x14ac:dyDescent="0.3">
      <c r="C284" s="11"/>
      <c r="D284" s="32"/>
      <c r="E284" s="11"/>
      <c r="I284" s="15"/>
      <c r="J284" s="47"/>
      <c r="K284" s="76"/>
      <c r="L284" s="76"/>
      <c r="M284" s="78"/>
      <c r="N284" s="77"/>
      <c r="O284" s="32"/>
      <c r="P284" s="32"/>
      <c r="Q284" s="32"/>
      <c r="R284" s="32"/>
    </row>
    <row r="285" spans="3:18" x14ac:dyDescent="0.3">
      <c r="C285" s="11"/>
      <c r="D285" s="32"/>
      <c r="E285" s="11"/>
      <c r="I285" s="15"/>
      <c r="J285" s="47"/>
      <c r="K285" s="76"/>
      <c r="L285" s="76"/>
      <c r="M285" s="78"/>
      <c r="N285" s="77"/>
      <c r="O285" s="32"/>
      <c r="P285" s="32"/>
      <c r="Q285" s="32"/>
      <c r="R285" s="32"/>
    </row>
    <row r="286" spans="3:18" x14ac:dyDescent="0.3">
      <c r="C286" s="11"/>
      <c r="D286" s="32"/>
      <c r="E286" s="11"/>
      <c r="I286" s="15"/>
      <c r="J286" s="47"/>
      <c r="K286" s="76"/>
      <c r="L286" s="76"/>
      <c r="M286" s="78"/>
      <c r="N286" s="77"/>
      <c r="O286" s="32"/>
      <c r="P286" s="32"/>
      <c r="Q286" s="32"/>
      <c r="R286" s="32"/>
    </row>
    <row r="287" spans="3:18" x14ac:dyDescent="0.3">
      <c r="C287" s="11"/>
      <c r="D287" s="32"/>
      <c r="E287" s="11"/>
      <c r="I287" s="15"/>
      <c r="J287" s="47"/>
      <c r="K287" s="76"/>
      <c r="L287" s="76"/>
      <c r="M287" s="78"/>
      <c r="N287" s="77"/>
      <c r="O287" s="32"/>
      <c r="P287" s="32"/>
      <c r="Q287" s="32"/>
      <c r="R287" s="32"/>
    </row>
    <row r="288" spans="3:18" x14ac:dyDescent="0.3">
      <c r="C288" s="11"/>
      <c r="D288" s="32"/>
      <c r="E288" s="11"/>
      <c r="I288" s="15"/>
      <c r="J288" s="47"/>
      <c r="K288" s="76"/>
      <c r="L288" s="76"/>
      <c r="M288" s="78"/>
      <c r="N288" s="77"/>
      <c r="O288" s="32"/>
      <c r="P288" s="32"/>
      <c r="Q288" s="32"/>
      <c r="R288" s="32"/>
    </row>
    <row r="289" spans="3:18" x14ac:dyDescent="0.3">
      <c r="C289" s="11"/>
      <c r="D289" s="32"/>
      <c r="E289" s="11"/>
      <c r="I289" s="15"/>
      <c r="J289" s="47"/>
      <c r="K289" s="76"/>
      <c r="L289" s="76"/>
      <c r="M289" s="78"/>
      <c r="N289" s="77"/>
      <c r="O289" s="32"/>
      <c r="P289" s="32"/>
      <c r="Q289" s="32"/>
      <c r="R289" s="32"/>
    </row>
    <row r="290" spans="3:18" x14ac:dyDescent="0.3">
      <c r="C290" s="11"/>
      <c r="D290" s="32"/>
      <c r="E290" s="11"/>
      <c r="I290" s="15"/>
      <c r="J290" s="47"/>
      <c r="K290" s="76"/>
      <c r="L290" s="76"/>
      <c r="M290" s="78"/>
      <c r="N290" s="77"/>
      <c r="O290" s="32"/>
      <c r="P290" s="32"/>
      <c r="Q290" s="32"/>
      <c r="R290" s="32"/>
    </row>
    <row r="291" spans="3:18" x14ac:dyDescent="0.3">
      <c r="C291" s="11"/>
      <c r="D291" s="32"/>
      <c r="E291" s="11"/>
      <c r="I291" s="15"/>
      <c r="J291" s="47"/>
      <c r="K291" s="76"/>
      <c r="L291" s="76"/>
      <c r="M291" s="78"/>
      <c r="N291" s="77"/>
      <c r="O291" s="32"/>
      <c r="P291" s="32"/>
      <c r="Q291" s="32"/>
      <c r="R291" s="32"/>
    </row>
    <row r="292" spans="3:18" x14ac:dyDescent="0.3">
      <c r="C292" s="11"/>
      <c r="D292" s="32"/>
      <c r="E292" s="11"/>
      <c r="I292" s="15"/>
      <c r="J292" s="47"/>
      <c r="K292" s="76"/>
      <c r="L292" s="76"/>
      <c r="M292" s="78"/>
      <c r="N292" s="77"/>
      <c r="O292" s="32"/>
      <c r="P292" s="32"/>
      <c r="Q292" s="32"/>
      <c r="R292" s="32"/>
    </row>
    <row r="293" spans="3:18" x14ac:dyDescent="0.3">
      <c r="C293" s="11"/>
      <c r="D293" s="32"/>
      <c r="E293" s="11"/>
      <c r="I293" s="15"/>
      <c r="J293" s="47"/>
      <c r="K293" s="76"/>
      <c r="L293" s="76"/>
      <c r="M293" s="78"/>
      <c r="N293" s="77"/>
      <c r="O293" s="32"/>
      <c r="P293" s="32"/>
      <c r="Q293" s="32"/>
      <c r="R293" s="32"/>
    </row>
    <row r="294" spans="3:18" x14ac:dyDescent="0.3">
      <c r="C294" s="11"/>
      <c r="D294" s="32"/>
      <c r="E294" s="11"/>
      <c r="I294" s="15"/>
      <c r="J294" s="47"/>
      <c r="K294" s="76"/>
      <c r="L294" s="76"/>
      <c r="M294" s="78"/>
      <c r="N294" s="77"/>
      <c r="O294" s="32"/>
      <c r="P294" s="32"/>
      <c r="Q294" s="32"/>
      <c r="R294" s="32"/>
    </row>
    <row r="295" spans="3:18" x14ac:dyDescent="0.3">
      <c r="C295" s="11"/>
      <c r="D295" s="32"/>
      <c r="E295" s="11"/>
      <c r="I295" s="15"/>
      <c r="J295" s="47"/>
      <c r="K295" s="76"/>
      <c r="L295" s="76"/>
      <c r="M295" s="78"/>
      <c r="N295" s="77"/>
      <c r="O295" s="32"/>
      <c r="P295" s="32"/>
      <c r="Q295" s="32"/>
      <c r="R295" s="32"/>
    </row>
    <row r="296" spans="3:18" x14ac:dyDescent="0.3">
      <c r="C296" s="11"/>
      <c r="D296" s="32"/>
      <c r="E296" s="11"/>
      <c r="I296" s="15"/>
      <c r="J296" s="47"/>
      <c r="K296" s="76"/>
      <c r="L296" s="76"/>
      <c r="M296" s="78"/>
      <c r="N296" s="77"/>
      <c r="O296" s="32"/>
      <c r="P296" s="32"/>
      <c r="Q296" s="32"/>
      <c r="R296" s="32"/>
    </row>
    <row r="297" spans="3:18" x14ac:dyDescent="0.3">
      <c r="C297" s="11"/>
      <c r="D297" s="32"/>
      <c r="E297" s="11"/>
      <c r="I297" s="15"/>
      <c r="J297" s="47"/>
      <c r="K297" s="76"/>
      <c r="L297" s="76"/>
      <c r="M297" s="78"/>
      <c r="N297" s="77"/>
      <c r="O297" s="32"/>
      <c r="P297" s="32"/>
      <c r="Q297" s="32"/>
      <c r="R297" s="32"/>
    </row>
    <row r="298" spans="3:18" x14ac:dyDescent="0.3">
      <c r="C298" s="11"/>
      <c r="D298" s="32"/>
      <c r="E298" s="11"/>
      <c r="I298" s="15"/>
      <c r="J298" s="47"/>
      <c r="K298" s="76"/>
      <c r="L298" s="76"/>
      <c r="M298" s="78"/>
      <c r="N298" s="77"/>
      <c r="O298" s="32"/>
      <c r="P298" s="32"/>
      <c r="Q298" s="32"/>
      <c r="R298" s="32"/>
    </row>
    <row r="299" spans="3:18" x14ac:dyDescent="0.3">
      <c r="C299" s="11"/>
      <c r="D299" s="32"/>
      <c r="E299" s="11"/>
      <c r="I299" s="15"/>
      <c r="J299" s="47"/>
      <c r="K299" s="76"/>
      <c r="L299" s="76"/>
      <c r="M299" s="78"/>
      <c r="N299" s="77"/>
      <c r="O299" s="32"/>
      <c r="P299" s="32"/>
      <c r="Q299" s="32"/>
      <c r="R299" s="32"/>
    </row>
    <row r="300" spans="3:18" x14ac:dyDescent="0.3">
      <c r="C300" s="11"/>
      <c r="D300" s="32"/>
      <c r="E300" s="11"/>
      <c r="I300" s="15"/>
      <c r="J300" s="47"/>
      <c r="K300" s="76"/>
      <c r="L300" s="76"/>
      <c r="M300" s="78"/>
      <c r="N300" s="77"/>
      <c r="O300" s="32"/>
      <c r="P300" s="32"/>
      <c r="Q300" s="32"/>
      <c r="R300" s="32"/>
    </row>
    <row r="301" spans="3:18" x14ac:dyDescent="0.3">
      <c r="C301" s="11"/>
      <c r="D301" s="32"/>
      <c r="E301" s="11"/>
      <c r="I301" s="15"/>
      <c r="J301" s="47"/>
      <c r="K301" s="76"/>
      <c r="L301" s="76"/>
      <c r="M301" s="78"/>
      <c r="N301" s="77"/>
      <c r="O301" s="32"/>
      <c r="P301" s="32"/>
      <c r="Q301" s="32"/>
      <c r="R301" s="32"/>
    </row>
    <row r="302" spans="3:18" x14ac:dyDescent="0.3">
      <c r="C302" s="11"/>
      <c r="D302" s="32"/>
      <c r="E302" s="11"/>
      <c r="I302" s="15"/>
      <c r="J302" s="47"/>
      <c r="K302" s="76"/>
      <c r="L302" s="76"/>
      <c r="M302" s="78"/>
      <c r="N302" s="77"/>
      <c r="O302" s="32"/>
      <c r="P302" s="32"/>
      <c r="Q302" s="32"/>
      <c r="R302" s="32"/>
    </row>
    <row r="303" spans="3:18" x14ac:dyDescent="0.3">
      <c r="C303" s="11"/>
      <c r="D303" s="32"/>
      <c r="E303" s="11"/>
      <c r="I303" s="15"/>
      <c r="J303" s="47"/>
      <c r="K303" s="76"/>
      <c r="L303" s="76"/>
      <c r="M303" s="78"/>
      <c r="N303" s="77"/>
      <c r="O303" s="32"/>
      <c r="P303" s="32"/>
      <c r="Q303" s="32"/>
      <c r="R303" s="32"/>
    </row>
    <row r="304" spans="3:18" x14ac:dyDescent="0.3">
      <c r="C304" s="11"/>
      <c r="D304" s="32"/>
      <c r="E304" s="11"/>
      <c r="I304" s="15"/>
      <c r="J304" s="47"/>
      <c r="K304" s="76"/>
      <c r="L304" s="76"/>
      <c r="M304" s="78"/>
      <c r="N304" s="77"/>
      <c r="O304" s="32"/>
      <c r="P304" s="32"/>
      <c r="Q304" s="32"/>
      <c r="R304" s="32"/>
    </row>
    <row r="305" spans="3:18" x14ac:dyDescent="0.3">
      <c r="C305" s="11"/>
      <c r="D305" s="32"/>
      <c r="E305" s="11"/>
      <c r="I305" s="15"/>
      <c r="J305" s="47"/>
      <c r="K305" s="76"/>
      <c r="L305" s="76"/>
      <c r="M305" s="78"/>
      <c r="N305" s="77"/>
      <c r="O305" s="32"/>
      <c r="P305" s="32"/>
      <c r="Q305" s="32"/>
      <c r="R305" s="32"/>
    </row>
    <row r="306" spans="3:18" x14ac:dyDescent="0.3">
      <c r="C306" s="11"/>
      <c r="D306" s="32"/>
      <c r="E306" s="11"/>
      <c r="I306" s="15"/>
      <c r="J306" s="47"/>
      <c r="K306" s="76"/>
      <c r="L306" s="76"/>
      <c r="M306" s="78"/>
      <c r="N306" s="77"/>
      <c r="O306" s="32"/>
      <c r="P306" s="32"/>
      <c r="Q306" s="32"/>
      <c r="R306" s="32"/>
    </row>
    <row r="307" spans="3:18" x14ac:dyDescent="0.3">
      <c r="C307" s="11"/>
      <c r="D307" s="32"/>
      <c r="E307" s="11"/>
      <c r="I307" s="15"/>
      <c r="J307" s="47"/>
      <c r="K307" s="76"/>
      <c r="L307" s="76"/>
      <c r="M307" s="78"/>
      <c r="N307" s="77"/>
      <c r="O307" s="32"/>
      <c r="P307" s="32"/>
      <c r="Q307" s="32"/>
      <c r="R307" s="32"/>
    </row>
    <row r="308" spans="3:18" x14ac:dyDescent="0.3">
      <c r="C308" s="11"/>
      <c r="D308" s="32"/>
      <c r="E308" s="11"/>
      <c r="I308" s="15"/>
      <c r="J308" s="47"/>
      <c r="K308" s="76"/>
      <c r="L308" s="76"/>
      <c r="M308" s="78"/>
      <c r="N308" s="77"/>
      <c r="O308" s="32"/>
      <c r="P308" s="32"/>
      <c r="Q308" s="32"/>
      <c r="R308" s="32"/>
    </row>
    <row r="309" spans="3:18" x14ac:dyDescent="0.3">
      <c r="C309" s="11"/>
      <c r="D309" s="32"/>
      <c r="E309" s="11"/>
      <c r="I309" s="15"/>
      <c r="J309" s="47"/>
      <c r="K309" s="76"/>
      <c r="L309" s="76"/>
      <c r="M309" s="78"/>
      <c r="N309" s="77"/>
      <c r="O309" s="32"/>
      <c r="P309" s="32"/>
      <c r="Q309" s="32"/>
      <c r="R309" s="32"/>
    </row>
    <row r="310" spans="3:18" x14ac:dyDescent="0.3">
      <c r="C310" s="11"/>
      <c r="D310" s="32"/>
      <c r="E310" s="11"/>
      <c r="I310" s="15"/>
      <c r="J310" s="47"/>
      <c r="K310" s="76"/>
      <c r="L310" s="76"/>
      <c r="M310" s="78"/>
      <c r="N310" s="77"/>
      <c r="O310" s="32"/>
      <c r="P310" s="32"/>
      <c r="Q310" s="32"/>
      <c r="R310" s="32"/>
    </row>
    <row r="311" spans="3:18" x14ac:dyDescent="0.3">
      <c r="C311" s="11"/>
      <c r="D311" s="32"/>
      <c r="E311" s="11"/>
      <c r="I311" s="15"/>
      <c r="J311" s="47"/>
      <c r="K311" s="76"/>
      <c r="L311" s="76"/>
      <c r="M311" s="78"/>
      <c r="N311" s="77"/>
      <c r="O311" s="32"/>
      <c r="P311" s="32"/>
      <c r="Q311" s="32"/>
      <c r="R311" s="32"/>
    </row>
    <row r="312" spans="3:18" x14ac:dyDescent="0.3">
      <c r="C312" s="11"/>
      <c r="D312" s="32"/>
      <c r="E312" s="11"/>
      <c r="I312" s="15"/>
      <c r="J312" s="47"/>
      <c r="K312" s="76"/>
      <c r="L312" s="76"/>
      <c r="M312" s="78"/>
      <c r="N312" s="77"/>
      <c r="O312" s="32"/>
      <c r="P312" s="32"/>
      <c r="Q312" s="32"/>
      <c r="R312" s="32"/>
    </row>
    <row r="313" spans="3:18" x14ac:dyDescent="0.3">
      <c r="C313" s="11"/>
      <c r="D313" s="32"/>
      <c r="E313" s="11"/>
      <c r="I313" s="15"/>
      <c r="J313" s="47"/>
      <c r="K313" s="76"/>
      <c r="L313" s="76"/>
      <c r="M313" s="78"/>
      <c r="N313" s="77"/>
      <c r="O313" s="32"/>
      <c r="P313" s="32"/>
      <c r="Q313" s="32"/>
      <c r="R313" s="32"/>
    </row>
    <row r="314" spans="3:18" x14ac:dyDescent="0.3">
      <c r="C314" s="11"/>
      <c r="D314" s="32"/>
      <c r="E314" s="11"/>
      <c r="I314" s="15"/>
      <c r="J314" s="47"/>
      <c r="K314" s="76"/>
      <c r="L314" s="76"/>
      <c r="M314" s="78"/>
      <c r="N314" s="77"/>
      <c r="O314" s="32"/>
      <c r="P314" s="32"/>
      <c r="Q314" s="32"/>
      <c r="R314" s="32"/>
    </row>
    <row r="315" spans="3:18" x14ac:dyDescent="0.3">
      <c r="C315" s="11"/>
      <c r="D315" s="32"/>
      <c r="E315" s="11"/>
      <c r="I315" s="15"/>
      <c r="J315" s="47"/>
      <c r="K315" s="76"/>
      <c r="L315" s="76"/>
      <c r="M315" s="78"/>
      <c r="N315" s="77"/>
      <c r="O315" s="32"/>
      <c r="P315" s="32"/>
      <c r="Q315" s="32"/>
      <c r="R315" s="32"/>
    </row>
    <row r="316" spans="3:18" x14ac:dyDescent="0.3">
      <c r="C316" s="11"/>
      <c r="D316" s="32"/>
      <c r="E316" s="11"/>
      <c r="I316" s="15"/>
      <c r="J316" s="47"/>
      <c r="K316" s="76"/>
      <c r="L316" s="76"/>
      <c r="M316" s="78"/>
      <c r="N316" s="77"/>
      <c r="O316" s="32"/>
      <c r="P316" s="32"/>
      <c r="Q316" s="32"/>
      <c r="R316" s="32"/>
    </row>
    <row r="317" spans="3:18" x14ac:dyDescent="0.3">
      <c r="C317" s="11"/>
      <c r="D317" s="32"/>
      <c r="E317" s="11"/>
      <c r="I317" s="15"/>
      <c r="J317" s="47"/>
      <c r="K317" s="76"/>
      <c r="L317" s="76"/>
      <c r="M317" s="78"/>
      <c r="N317" s="77"/>
      <c r="O317" s="32"/>
      <c r="P317" s="32"/>
      <c r="Q317" s="32"/>
      <c r="R317" s="32"/>
    </row>
    <row r="318" spans="3:18" x14ac:dyDescent="0.3">
      <c r="C318" s="11"/>
      <c r="D318" s="32"/>
      <c r="E318" s="11"/>
      <c r="I318" s="15"/>
      <c r="J318" s="47"/>
      <c r="K318" s="76"/>
      <c r="L318" s="76"/>
      <c r="M318" s="78"/>
      <c r="N318" s="77"/>
      <c r="O318" s="32"/>
      <c r="P318" s="32"/>
      <c r="Q318" s="32"/>
      <c r="R318" s="32"/>
    </row>
    <row r="319" spans="3:18" x14ac:dyDescent="0.3">
      <c r="C319" s="11"/>
      <c r="D319" s="32"/>
      <c r="E319" s="11"/>
      <c r="I319" s="15"/>
      <c r="J319" s="47"/>
      <c r="K319" s="76"/>
      <c r="L319" s="76"/>
      <c r="M319" s="78"/>
      <c r="N319" s="77"/>
      <c r="O319" s="32"/>
      <c r="P319" s="32"/>
      <c r="Q319" s="32"/>
      <c r="R319" s="32"/>
    </row>
    <row r="320" spans="3:18" x14ac:dyDescent="0.3">
      <c r="C320" s="11"/>
      <c r="D320" s="32"/>
      <c r="E320" s="11"/>
      <c r="I320" s="15"/>
      <c r="J320" s="47"/>
      <c r="K320" s="76"/>
      <c r="L320" s="76"/>
      <c r="M320" s="78"/>
      <c r="N320" s="77"/>
      <c r="O320" s="32"/>
      <c r="P320" s="32"/>
      <c r="Q320" s="32"/>
      <c r="R320" s="32"/>
    </row>
    <row r="321" spans="3:18" x14ac:dyDescent="0.3">
      <c r="C321" s="11"/>
      <c r="D321" s="32"/>
      <c r="E321" s="11"/>
      <c r="I321" s="15"/>
      <c r="J321" s="47"/>
      <c r="K321" s="76"/>
      <c r="L321" s="76"/>
      <c r="M321" s="78"/>
      <c r="N321" s="77"/>
      <c r="O321" s="32"/>
      <c r="P321" s="32"/>
      <c r="Q321" s="32"/>
      <c r="R321" s="32"/>
    </row>
    <row r="322" spans="3:18" x14ac:dyDescent="0.3">
      <c r="C322" s="11"/>
      <c r="D322" s="32"/>
      <c r="E322" s="11"/>
      <c r="I322" s="15"/>
      <c r="J322" s="47"/>
      <c r="K322" s="76"/>
      <c r="L322" s="76"/>
      <c r="M322" s="78"/>
      <c r="N322" s="77"/>
      <c r="O322" s="32"/>
      <c r="P322" s="32"/>
      <c r="Q322" s="32"/>
      <c r="R322" s="32"/>
    </row>
    <row r="323" spans="3:18" x14ac:dyDescent="0.3">
      <c r="C323" s="11"/>
      <c r="D323" s="32"/>
      <c r="E323" s="11"/>
      <c r="I323" s="15"/>
      <c r="J323" s="47"/>
      <c r="K323" s="76"/>
      <c r="L323" s="76"/>
      <c r="M323" s="78"/>
      <c r="N323" s="77"/>
      <c r="O323" s="32"/>
      <c r="P323" s="32"/>
      <c r="Q323" s="32"/>
      <c r="R323" s="32"/>
    </row>
    <row r="324" spans="3:18" x14ac:dyDescent="0.3">
      <c r="C324" s="11"/>
      <c r="D324" s="32"/>
      <c r="E324" s="11"/>
      <c r="I324" s="15"/>
      <c r="J324" s="47"/>
      <c r="K324" s="76"/>
      <c r="L324" s="76"/>
      <c r="M324" s="78"/>
      <c r="N324" s="77"/>
      <c r="O324" s="32"/>
      <c r="P324" s="32"/>
      <c r="Q324" s="32"/>
      <c r="R324" s="32"/>
    </row>
    <row r="325" spans="3:18" x14ac:dyDescent="0.3">
      <c r="C325" s="11"/>
      <c r="D325" s="32"/>
      <c r="E325" s="11"/>
      <c r="I325" s="15"/>
      <c r="J325" s="47"/>
      <c r="K325" s="76"/>
      <c r="L325" s="76"/>
      <c r="M325" s="78"/>
      <c r="N325" s="77"/>
      <c r="O325" s="32"/>
      <c r="P325" s="32"/>
      <c r="Q325" s="32"/>
      <c r="R325" s="32"/>
    </row>
    <row r="326" spans="3:18" x14ac:dyDescent="0.3">
      <c r="C326" s="11"/>
      <c r="D326" s="32"/>
      <c r="E326" s="11"/>
      <c r="I326" s="15"/>
      <c r="J326" s="47"/>
      <c r="K326" s="76"/>
      <c r="L326" s="76"/>
      <c r="M326" s="78"/>
      <c r="N326" s="77"/>
      <c r="O326" s="32"/>
      <c r="P326" s="32"/>
      <c r="Q326" s="32"/>
      <c r="R326" s="32"/>
    </row>
    <row r="327" spans="3:18" x14ac:dyDescent="0.3">
      <c r="C327" s="11"/>
      <c r="D327" s="32"/>
      <c r="E327" s="11"/>
      <c r="I327" s="15"/>
      <c r="J327" s="47"/>
      <c r="K327" s="76"/>
      <c r="L327" s="76"/>
      <c r="M327" s="78"/>
      <c r="N327" s="77"/>
      <c r="O327" s="32"/>
      <c r="P327" s="32"/>
      <c r="Q327" s="32"/>
      <c r="R327" s="32"/>
    </row>
    <row r="328" spans="3:18" x14ac:dyDescent="0.3">
      <c r="C328" s="11"/>
      <c r="D328" s="32"/>
      <c r="E328" s="11"/>
      <c r="I328" s="15"/>
      <c r="J328" s="47"/>
      <c r="K328" s="76"/>
      <c r="L328" s="76"/>
      <c r="M328" s="78"/>
      <c r="N328" s="77"/>
      <c r="O328" s="32"/>
      <c r="P328" s="32"/>
      <c r="Q328" s="32"/>
      <c r="R328" s="32"/>
    </row>
    <row r="329" spans="3:18" x14ac:dyDescent="0.3">
      <c r="C329" s="11"/>
      <c r="D329" s="32"/>
      <c r="E329" s="11"/>
      <c r="I329" s="15"/>
      <c r="J329" s="47"/>
      <c r="K329" s="76"/>
      <c r="L329" s="76"/>
      <c r="M329" s="78"/>
      <c r="N329" s="77"/>
      <c r="O329" s="32"/>
      <c r="P329" s="32"/>
      <c r="Q329" s="32"/>
      <c r="R329" s="32"/>
    </row>
    <row r="330" spans="3:18" x14ac:dyDescent="0.3">
      <c r="C330" s="11"/>
      <c r="D330" s="32"/>
      <c r="E330" s="11"/>
      <c r="I330" s="15"/>
      <c r="J330" s="47"/>
      <c r="K330" s="76"/>
      <c r="L330" s="76"/>
      <c r="M330" s="78"/>
      <c r="N330" s="77"/>
      <c r="O330" s="32"/>
      <c r="P330" s="32"/>
      <c r="Q330" s="32"/>
      <c r="R330" s="32"/>
    </row>
    <row r="331" spans="3:18" x14ac:dyDescent="0.3">
      <c r="C331" s="11"/>
      <c r="D331" s="32"/>
      <c r="E331" s="11"/>
      <c r="I331" s="15"/>
      <c r="J331" s="47"/>
      <c r="K331" s="76"/>
      <c r="L331" s="76"/>
      <c r="M331" s="78"/>
      <c r="N331" s="77"/>
      <c r="O331" s="32"/>
      <c r="P331" s="32"/>
      <c r="Q331" s="32"/>
      <c r="R331" s="32"/>
    </row>
    <row r="332" spans="3:18" x14ac:dyDescent="0.3">
      <c r="C332" s="11"/>
      <c r="D332" s="32"/>
      <c r="E332" s="11"/>
      <c r="I332" s="15"/>
      <c r="J332" s="47"/>
      <c r="K332" s="76"/>
      <c r="L332" s="76"/>
      <c r="M332" s="78"/>
      <c r="N332" s="77"/>
      <c r="O332" s="32"/>
      <c r="P332" s="32"/>
      <c r="Q332" s="32"/>
      <c r="R332" s="32"/>
    </row>
    <row r="333" spans="3:18" x14ac:dyDescent="0.3">
      <c r="C333" s="11"/>
      <c r="D333" s="32"/>
      <c r="E333" s="11"/>
      <c r="I333" s="15"/>
      <c r="J333" s="47"/>
      <c r="K333" s="76"/>
      <c r="L333" s="76"/>
      <c r="M333" s="78"/>
      <c r="N333" s="77"/>
      <c r="O333" s="32"/>
      <c r="P333" s="32"/>
      <c r="Q333" s="32"/>
      <c r="R333" s="32"/>
    </row>
    <row r="334" spans="3:18" x14ac:dyDescent="0.3">
      <c r="C334" s="11"/>
      <c r="D334" s="32"/>
      <c r="E334" s="11"/>
      <c r="I334" s="15"/>
      <c r="J334" s="47"/>
      <c r="K334" s="76"/>
      <c r="L334" s="76"/>
      <c r="M334" s="78"/>
      <c r="N334" s="77"/>
      <c r="O334" s="32"/>
      <c r="P334" s="32"/>
      <c r="Q334" s="32"/>
      <c r="R334" s="32"/>
    </row>
    <row r="335" spans="3:18" x14ac:dyDescent="0.3">
      <c r="C335" s="11"/>
      <c r="D335" s="32"/>
      <c r="E335" s="11"/>
      <c r="I335" s="15"/>
      <c r="J335" s="47"/>
      <c r="K335" s="76"/>
      <c r="L335" s="76"/>
      <c r="M335" s="78"/>
      <c r="N335" s="77"/>
      <c r="O335" s="32"/>
      <c r="P335" s="32"/>
      <c r="Q335" s="32"/>
      <c r="R335" s="32"/>
    </row>
    <row r="336" spans="3:18" x14ac:dyDescent="0.3">
      <c r="C336" s="11"/>
      <c r="D336" s="32"/>
      <c r="E336" s="11"/>
      <c r="I336" s="15"/>
      <c r="J336" s="47"/>
      <c r="K336" s="76"/>
      <c r="L336" s="76"/>
      <c r="M336" s="78"/>
      <c r="N336" s="77"/>
      <c r="O336" s="32"/>
      <c r="P336" s="32"/>
      <c r="Q336" s="32"/>
      <c r="R336" s="32"/>
    </row>
    <row r="337" spans="3:18" x14ac:dyDescent="0.3">
      <c r="C337" s="11"/>
      <c r="D337" s="32"/>
      <c r="E337" s="11"/>
      <c r="I337" s="15"/>
      <c r="J337" s="47"/>
      <c r="K337" s="76"/>
      <c r="L337" s="76"/>
      <c r="M337" s="78"/>
      <c r="N337" s="77"/>
      <c r="O337" s="32"/>
      <c r="P337" s="32"/>
      <c r="Q337" s="32"/>
      <c r="R337" s="32"/>
    </row>
    <row r="338" spans="3:18" x14ac:dyDescent="0.3">
      <c r="C338" s="11"/>
      <c r="D338" s="32"/>
      <c r="E338" s="11"/>
      <c r="I338" s="15"/>
      <c r="J338" s="47"/>
      <c r="K338" s="76"/>
      <c r="L338" s="76"/>
      <c r="M338" s="78"/>
      <c r="N338" s="77"/>
      <c r="O338" s="32"/>
      <c r="P338" s="32"/>
      <c r="Q338" s="32"/>
      <c r="R338" s="32"/>
    </row>
    <row r="339" spans="3:18" x14ac:dyDescent="0.3">
      <c r="C339" s="11"/>
      <c r="D339" s="32"/>
      <c r="E339" s="11"/>
      <c r="I339" s="15"/>
      <c r="J339" s="47"/>
      <c r="K339" s="76"/>
      <c r="L339" s="76"/>
      <c r="M339" s="78"/>
      <c r="N339" s="77"/>
      <c r="O339" s="32"/>
      <c r="P339" s="32"/>
      <c r="Q339" s="32"/>
      <c r="R339" s="32"/>
    </row>
    <row r="340" spans="3:18" x14ac:dyDescent="0.3">
      <c r="C340" s="11"/>
      <c r="D340" s="32"/>
      <c r="E340" s="11"/>
      <c r="I340" s="15"/>
      <c r="J340" s="47"/>
      <c r="K340" s="76"/>
      <c r="L340" s="76"/>
      <c r="M340" s="78"/>
      <c r="N340" s="77"/>
      <c r="O340" s="32"/>
      <c r="P340" s="32"/>
      <c r="Q340" s="32"/>
      <c r="R340" s="32"/>
    </row>
    <row r="341" spans="3:18" x14ac:dyDescent="0.3">
      <c r="C341" s="11"/>
      <c r="D341" s="32"/>
      <c r="E341" s="11"/>
      <c r="I341" s="15"/>
      <c r="J341" s="47"/>
      <c r="K341" s="76"/>
      <c r="L341" s="76"/>
      <c r="M341" s="78"/>
      <c r="N341" s="77"/>
      <c r="O341" s="32"/>
      <c r="P341" s="32"/>
      <c r="Q341" s="32"/>
      <c r="R341" s="32"/>
    </row>
    <row r="342" spans="3:18" x14ac:dyDescent="0.3">
      <c r="C342" s="11"/>
      <c r="D342" s="32"/>
      <c r="E342" s="11"/>
      <c r="I342" s="15"/>
      <c r="J342" s="47"/>
      <c r="K342" s="76"/>
      <c r="L342" s="76"/>
      <c r="M342" s="78"/>
      <c r="N342" s="77"/>
      <c r="O342" s="32"/>
      <c r="P342" s="32"/>
      <c r="Q342" s="32"/>
      <c r="R342" s="32"/>
    </row>
    <row r="343" spans="3:18" x14ac:dyDescent="0.3">
      <c r="C343" s="11"/>
      <c r="D343" s="32"/>
      <c r="E343" s="11"/>
      <c r="I343" s="15"/>
      <c r="J343" s="47"/>
      <c r="K343" s="76"/>
      <c r="L343" s="76"/>
      <c r="M343" s="78"/>
      <c r="N343" s="77"/>
      <c r="O343" s="32"/>
      <c r="P343" s="32"/>
      <c r="Q343" s="32"/>
      <c r="R343" s="32"/>
    </row>
    <row r="344" spans="3:18" x14ac:dyDescent="0.3">
      <c r="C344" s="11"/>
      <c r="D344" s="32"/>
      <c r="E344" s="11"/>
      <c r="I344" s="15"/>
      <c r="J344" s="47"/>
      <c r="K344" s="76"/>
      <c r="L344" s="76"/>
      <c r="M344" s="78"/>
      <c r="N344" s="77"/>
      <c r="O344" s="32"/>
      <c r="P344" s="32"/>
      <c r="Q344" s="32"/>
      <c r="R344" s="32"/>
    </row>
    <row r="345" spans="3:18" x14ac:dyDescent="0.3">
      <c r="C345" s="11"/>
      <c r="D345" s="32"/>
      <c r="E345" s="11"/>
      <c r="I345" s="15"/>
      <c r="J345" s="47"/>
      <c r="K345" s="76"/>
      <c r="L345" s="76"/>
      <c r="M345" s="78"/>
      <c r="N345" s="77"/>
      <c r="O345" s="32"/>
      <c r="P345" s="32"/>
      <c r="Q345" s="32"/>
      <c r="R345" s="32"/>
    </row>
    <row r="346" spans="3:18" x14ac:dyDescent="0.3">
      <c r="C346" s="11"/>
      <c r="D346" s="32"/>
      <c r="E346" s="11"/>
      <c r="I346" s="15"/>
      <c r="J346" s="47"/>
      <c r="K346" s="76"/>
      <c r="L346" s="76"/>
      <c r="M346" s="78"/>
      <c r="N346" s="77"/>
      <c r="O346" s="32"/>
      <c r="P346" s="32"/>
      <c r="Q346" s="32"/>
      <c r="R346" s="32"/>
    </row>
    <row r="347" spans="3:18" x14ac:dyDescent="0.3">
      <c r="C347" s="11"/>
      <c r="D347" s="32"/>
      <c r="E347" s="11"/>
      <c r="I347" s="15"/>
      <c r="J347" s="47"/>
      <c r="K347" s="76"/>
      <c r="L347" s="76"/>
      <c r="M347" s="78"/>
      <c r="N347" s="77"/>
      <c r="O347" s="32"/>
      <c r="P347" s="32"/>
      <c r="Q347" s="32"/>
      <c r="R347" s="32"/>
    </row>
    <row r="348" spans="3:18" x14ac:dyDescent="0.3">
      <c r="C348" s="11"/>
      <c r="D348" s="32"/>
      <c r="E348" s="11"/>
      <c r="I348" s="15"/>
      <c r="J348" s="47"/>
      <c r="K348" s="76"/>
      <c r="L348" s="76"/>
      <c r="M348" s="78"/>
      <c r="N348" s="77"/>
      <c r="O348" s="32"/>
      <c r="P348" s="32"/>
      <c r="Q348" s="32"/>
      <c r="R348" s="32"/>
    </row>
    <row r="349" spans="3:18" x14ac:dyDescent="0.3">
      <c r="C349" s="11"/>
      <c r="D349" s="32"/>
      <c r="E349" s="11"/>
      <c r="I349" s="15"/>
      <c r="J349" s="47"/>
      <c r="K349" s="76"/>
      <c r="L349" s="76"/>
      <c r="M349" s="78"/>
      <c r="N349" s="77"/>
      <c r="O349" s="32"/>
      <c r="P349" s="32"/>
      <c r="Q349" s="32"/>
      <c r="R349" s="32"/>
    </row>
    <row r="350" spans="3:18" x14ac:dyDescent="0.3">
      <c r="C350" s="11"/>
      <c r="D350" s="32"/>
      <c r="E350" s="11"/>
      <c r="I350" s="15"/>
      <c r="J350" s="47"/>
      <c r="K350" s="76"/>
      <c r="L350" s="76"/>
      <c r="M350" s="78"/>
      <c r="N350" s="77"/>
      <c r="O350" s="32"/>
      <c r="P350" s="32"/>
      <c r="Q350" s="32"/>
      <c r="R350" s="32"/>
    </row>
    <row r="351" spans="3:18" x14ac:dyDescent="0.3">
      <c r="C351" s="11"/>
      <c r="D351" s="32"/>
      <c r="E351" s="11"/>
      <c r="I351" s="15"/>
      <c r="J351" s="47"/>
      <c r="K351" s="76"/>
      <c r="L351" s="76"/>
      <c r="M351" s="78"/>
      <c r="N351" s="77"/>
      <c r="O351" s="32"/>
      <c r="P351" s="32"/>
      <c r="Q351" s="32"/>
      <c r="R351" s="32"/>
    </row>
    <row r="352" spans="3:18" x14ac:dyDescent="0.3">
      <c r="C352" s="11"/>
      <c r="D352" s="32"/>
      <c r="E352" s="11"/>
      <c r="I352" s="15"/>
      <c r="J352" s="47"/>
      <c r="K352" s="76"/>
      <c r="L352" s="76"/>
      <c r="M352" s="78"/>
      <c r="N352" s="77"/>
      <c r="O352" s="32"/>
      <c r="P352" s="32"/>
      <c r="Q352" s="32"/>
      <c r="R352" s="32"/>
    </row>
    <row r="353" spans="3:18" x14ac:dyDescent="0.3">
      <c r="C353" s="11"/>
      <c r="D353" s="32"/>
      <c r="E353" s="11"/>
      <c r="I353" s="15"/>
      <c r="J353" s="47"/>
      <c r="K353" s="76"/>
      <c r="L353" s="76"/>
      <c r="M353" s="78"/>
      <c r="N353" s="77"/>
      <c r="O353" s="32"/>
      <c r="P353" s="32"/>
      <c r="Q353" s="32"/>
      <c r="R353" s="32"/>
    </row>
    <row r="354" spans="3:18" x14ac:dyDescent="0.3">
      <c r="C354" s="11"/>
      <c r="D354" s="32"/>
      <c r="E354" s="11"/>
      <c r="I354" s="15"/>
      <c r="J354" s="47"/>
      <c r="K354" s="76"/>
      <c r="L354" s="76"/>
      <c r="M354" s="78"/>
      <c r="N354" s="77"/>
      <c r="O354" s="32"/>
      <c r="P354" s="32"/>
      <c r="Q354" s="32"/>
      <c r="R354" s="32"/>
    </row>
    <row r="355" spans="3:18" x14ac:dyDescent="0.3">
      <c r="C355" s="11"/>
      <c r="D355" s="32"/>
      <c r="E355" s="11"/>
      <c r="I355" s="15"/>
      <c r="J355" s="47"/>
      <c r="K355" s="76"/>
      <c r="L355" s="76"/>
      <c r="M355" s="78"/>
      <c r="N355" s="77"/>
      <c r="O355" s="32"/>
      <c r="P355" s="32"/>
      <c r="Q355" s="32"/>
      <c r="R355" s="32"/>
    </row>
    <row r="356" spans="3:18" x14ac:dyDescent="0.3">
      <c r="C356" s="11"/>
      <c r="D356" s="32"/>
      <c r="E356" s="11"/>
      <c r="I356" s="15"/>
      <c r="J356" s="47"/>
      <c r="K356" s="76"/>
      <c r="L356" s="76"/>
      <c r="M356" s="78"/>
      <c r="N356" s="77"/>
      <c r="O356" s="32"/>
      <c r="P356" s="32"/>
      <c r="Q356" s="32"/>
      <c r="R356" s="32"/>
    </row>
    <row r="357" spans="3:18" x14ac:dyDescent="0.3">
      <c r="C357" s="11"/>
      <c r="D357" s="32"/>
      <c r="E357" s="11"/>
      <c r="I357" s="15"/>
      <c r="J357" s="47"/>
      <c r="K357" s="76"/>
      <c r="L357" s="76"/>
      <c r="M357" s="78"/>
      <c r="N357" s="77"/>
      <c r="O357" s="32"/>
      <c r="P357" s="32"/>
      <c r="Q357" s="32"/>
      <c r="R357" s="32"/>
    </row>
    <row r="358" spans="3:18" x14ac:dyDescent="0.3">
      <c r="C358" s="11"/>
      <c r="D358" s="32"/>
      <c r="E358" s="11"/>
      <c r="I358" s="15"/>
      <c r="J358" s="47"/>
      <c r="K358" s="76"/>
      <c r="L358" s="76"/>
      <c r="M358" s="78"/>
      <c r="N358" s="77"/>
      <c r="O358" s="32"/>
      <c r="P358" s="32"/>
      <c r="Q358" s="32"/>
      <c r="R358" s="32"/>
    </row>
    <row r="359" spans="3:18" x14ac:dyDescent="0.3">
      <c r="C359" s="11"/>
      <c r="D359" s="32"/>
      <c r="E359" s="11"/>
      <c r="I359" s="15"/>
      <c r="J359" s="47"/>
      <c r="K359" s="76"/>
      <c r="L359" s="76"/>
      <c r="M359" s="78"/>
      <c r="N359" s="77"/>
      <c r="O359" s="32"/>
      <c r="P359" s="32"/>
      <c r="Q359" s="32"/>
      <c r="R359" s="32"/>
    </row>
    <row r="360" spans="3:18" x14ac:dyDescent="0.3">
      <c r="C360" s="11"/>
      <c r="D360" s="32"/>
      <c r="E360" s="11"/>
      <c r="I360" s="15"/>
      <c r="J360" s="47"/>
      <c r="K360" s="76"/>
      <c r="L360" s="76"/>
      <c r="M360" s="78"/>
      <c r="N360" s="77"/>
      <c r="O360" s="32"/>
      <c r="P360" s="32"/>
      <c r="Q360" s="32"/>
      <c r="R360" s="32"/>
    </row>
    <row r="361" spans="3:18" x14ac:dyDescent="0.3">
      <c r="C361" s="11"/>
      <c r="D361" s="32"/>
      <c r="E361" s="11"/>
      <c r="I361" s="15"/>
      <c r="J361" s="47"/>
      <c r="K361" s="76"/>
      <c r="L361" s="76"/>
      <c r="M361" s="78"/>
      <c r="N361" s="77"/>
      <c r="O361" s="32"/>
      <c r="P361" s="32"/>
      <c r="Q361" s="32"/>
      <c r="R361" s="32"/>
    </row>
    <row r="362" spans="3:18" x14ac:dyDescent="0.3">
      <c r="C362" s="11"/>
      <c r="D362" s="32"/>
      <c r="E362" s="11"/>
      <c r="I362" s="15"/>
      <c r="J362" s="47"/>
      <c r="K362" s="76"/>
      <c r="L362" s="76"/>
      <c r="M362" s="78"/>
      <c r="N362" s="77"/>
      <c r="O362" s="32"/>
      <c r="P362" s="32"/>
      <c r="Q362" s="32"/>
      <c r="R362" s="32"/>
    </row>
    <row r="363" spans="3:18" x14ac:dyDescent="0.3">
      <c r="C363" s="11"/>
      <c r="D363" s="32"/>
      <c r="E363" s="11"/>
      <c r="I363" s="15"/>
      <c r="J363" s="47"/>
      <c r="K363" s="76"/>
      <c r="L363" s="76"/>
      <c r="M363" s="78"/>
      <c r="N363" s="77"/>
      <c r="O363" s="32"/>
      <c r="P363" s="32"/>
      <c r="Q363" s="32"/>
      <c r="R363" s="32"/>
    </row>
    <row r="364" spans="3:18" x14ac:dyDescent="0.3">
      <c r="C364" s="11"/>
      <c r="D364" s="32"/>
      <c r="E364" s="11"/>
      <c r="I364" s="15"/>
      <c r="J364" s="47"/>
      <c r="K364" s="76"/>
      <c r="L364" s="76"/>
      <c r="M364" s="78"/>
      <c r="N364" s="77"/>
      <c r="O364" s="32"/>
      <c r="P364" s="32"/>
      <c r="Q364" s="32"/>
      <c r="R364" s="32"/>
    </row>
    <row r="365" spans="3:18" x14ac:dyDescent="0.3">
      <c r="C365" s="11"/>
      <c r="D365" s="32"/>
      <c r="E365" s="11"/>
      <c r="I365" s="15"/>
      <c r="J365" s="47"/>
      <c r="K365" s="76"/>
      <c r="L365" s="76"/>
      <c r="M365" s="78"/>
      <c r="N365" s="77"/>
      <c r="O365" s="32"/>
      <c r="P365" s="32"/>
      <c r="Q365" s="32"/>
      <c r="R365" s="32"/>
    </row>
    <row r="366" spans="3:18" x14ac:dyDescent="0.3">
      <c r="C366" s="11"/>
      <c r="D366" s="32"/>
      <c r="E366" s="11"/>
      <c r="I366" s="15"/>
      <c r="J366" s="47"/>
      <c r="K366" s="76"/>
      <c r="L366" s="76"/>
      <c r="M366" s="78"/>
      <c r="N366" s="77"/>
      <c r="O366" s="32"/>
      <c r="P366" s="32"/>
      <c r="Q366" s="32"/>
      <c r="R366" s="32"/>
    </row>
    <row r="367" spans="3:18" x14ac:dyDescent="0.3">
      <c r="C367" s="11"/>
      <c r="D367" s="32"/>
      <c r="E367" s="11"/>
      <c r="I367" s="15"/>
      <c r="J367" s="47"/>
      <c r="K367" s="76"/>
      <c r="L367" s="76"/>
      <c r="M367" s="78"/>
      <c r="N367" s="77"/>
      <c r="O367" s="32"/>
      <c r="P367" s="32"/>
      <c r="Q367" s="32"/>
      <c r="R367" s="32"/>
    </row>
    <row r="368" spans="3:18" x14ac:dyDescent="0.3">
      <c r="C368" s="11"/>
      <c r="D368" s="32"/>
      <c r="E368" s="11"/>
      <c r="I368" s="15"/>
      <c r="J368" s="47"/>
      <c r="K368" s="76"/>
      <c r="L368" s="76"/>
      <c r="M368" s="78"/>
      <c r="N368" s="77"/>
      <c r="O368" s="32"/>
      <c r="P368" s="32"/>
      <c r="Q368" s="32"/>
      <c r="R368" s="32"/>
    </row>
    <row r="369" spans="3:18" x14ac:dyDescent="0.3">
      <c r="C369" s="11"/>
      <c r="D369" s="32"/>
      <c r="E369" s="11"/>
      <c r="I369" s="15"/>
      <c r="J369" s="47"/>
      <c r="K369" s="76"/>
      <c r="L369" s="76"/>
      <c r="M369" s="78"/>
      <c r="N369" s="77"/>
      <c r="O369" s="32"/>
      <c r="P369" s="32"/>
      <c r="Q369" s="32"/>
      <c r="R369" s="32"/>
    </row>
    <row r="370" spans="3:18" x14ac:dyDescent="0.3">
      <c r="C370" s="11"/>
      <c r="D370" s="32"/>
      <c r="E370" s="11"/>
      <c r="I370" s="15"/>
      <c r="J370" s="47"/>
      <c r="K370" s="76"/>
      <c r="L370" s="76"/>
      <c r="M370" s="78"/>
      <c r="N370" s="77"/>
      <c r="O370" s="32"/>
      <c r="P370" s="32"/>
      <c r="Q370" s="32"/>
      <c r="R370" s="32"/>
    </row>
    <row r="371" spans="3:18" x14ac:dyDescent="0.3">
      <c r="C371" s="11"/>
      <c r="D371" s="32"/>
      <c r="E371" s="11"/>
      <c r="I371" s="15"/>
      <c r="J371" s="47"/>
      <c r="K371" s="76"/>
      <c r="L371" s="76"/>
      <c r="M371" s="78"/>
      <c r="N371" s="77"/>
      <c r="O371" s="32"/>
      <c r="P371" s="32"/>
      <c r="Q371" s="32"/>
      <c r="R371" s="32"/>
    </row>
    <row r="372" spans="3:18" x14ac:dyDescent="0.3">
      <c r="C372" s="11"/>
      <c r="D372" s="32"/>
      <c r="E372" s="11"/>
      <c r="I372" s="15"/>
      <c r="J372" s="47"/>
      <c r="K372" s="76"/>
      <c r="L372" s="76"/>
      <c r="M372" s="78"/>
      <c r="N372" s="77"/>
      <c r="O372" s="32"/>
      <c r="P372" s="32"/>
      <c r="Q372" s="32"/>
      <c r="R372" s="32"/>
    </row>
    <row r="373" spans="3:18" x14ac:dyDescent="0.3">
      <c r="C373" s="11"/>
      <c r="D373" s="32"/>
      <c r="E373" s="11"/>
      <c r="I373" s="15"/>
      <c r="J373" s="47"/>
      <c r="K373" s="76"/>
      <c r="L373" s="76"/>
      <c r="M373" s="78"/>
      <c r="N373" s="77"/>
      <c r="O373" s="32"/>
      <c r="P373" s="32"/>
      <c r="Q373" s="32"/>
      <c r="R373" s="32"/>
    </row>
    <row r="374" spans="3:18" x14ac:dyDescent="0.3">
      <c r="C374" s="11"/>
      <c r="D374" s="32"/>
      <c r="E374" s="11"/>
      <c r="I374" s="15"/>
      <c r="J374" s="47"/>
      <c r="K374" s="76"/>
      <c r="L374" s="76"/>
      <c r="M374" s="78"/>
      <c r="N374" s="77"/>
      <c r="O374" s="32"/>
      <c r="P374" s="32"/>
      <c r="Q374" s="32"/>
      <c r="R374" s="32"/>
    </row>
    <row r="375" spans="3:18" x14ac:dyDescent="0.3">
      <c r="C375" s="11"/>
      <c r="D375" s="32"/>
      <c r="E375" s="11"/>
      <c r="I375" s="15"/>
      <c r="J375" s="47"/>
      <c r="K375" s="76"/>
      <c r="L375" s="76"/>
      <c r="M375" s="78"/>
      <c r="N375" s="77"/>
      <c r="O375" s="32"/>
      <c r="P375" s="32"/>
      <c r="Q375" s="32"/>
      <c r="R375" s="32"/>
    </row>
    <row r="376" spans="3:18" x14ac:dyDescent="0.3">
      <c r="C376" s="11"/>
      <c r="D376" s="32"/>
      <c r="E376" s="11"/>
      <c r="I376" s="15"/>
      <c r="J376" s="47"/>
      <c r="K376" s="76"/>
      <c r="L376" s="76"/>
      <c r="M376" s="78"/>
      <c r="N376" s="77"/>
      <c r="O376" s="32"/>
      <c r="P376" s="32"/>
      <c r="Q376" s="32"/>
      <c r="R376" s="32"/>
    </row>
    <row r="377" spans="3:18" x14ac:dyDescent="0.3">
      <c r="C377" s="11"/>
      <c r="D377" s="32"/>
      <c r="E377" s="11"/>
      <c r="I377" s="15"/>
      <c r="J377" s="47"/>
      <c r="K377" s="76"/>
      <c r="L377" s="76"/>
      <c r="M377" s="78"/>
      <c r="N377" s="77"/>
      <c r="O377" s="32"/>
      <c r="P377" s="32"/>
      <c r="Q377" s="32"/>
      <c r="R377" s="32"/>
    </row>
    <row r="378" spans="3:18" x14ac:dyDescent="0.3">
      <c r="C378" s="11"/>
      <c r="D378" s="32"/>
      <c r="E378" s="11"/>
      <c r="I378" s="15"/>
      <c r="J378" s="47"/>
      <c r="K378" s="76"/>
      <c r="L378" s="76"/>
      <c r="M378" s="78"/>
      <c r="N378" s="77"/>
      <c r="O378" s="32"/>
      <c r="P378" s="32"/>
      <c r="Q378" s="32"/>
      <c r="R378" s="32"/>
    </row>
    <row r="379" spans="3:18" x14ac:dyDescent="0.3">
      <c r="C379" s="11"/>
      <c r="D379" s="32"/>
      <c r="E379" s="11"/>
      <c r="I379" s="15"/>
      <c r="J379" s="47"/>
      <c r="K379" s="76"/>
      <c r="L379" s="76"/>
      <c r="M379" s="78"/>
      <c r="N379" s="77"/>
      <c r="O379" s="32"/>
      <c r="P379" s="32"/>
      <c r="Q379" s="32"/>
      <c r="R379" s="32"/>
    </row>
    <row r="380" spans="3:18" x14ac:dyDescent="0.3">
      <c r="C380" s="11"/>
      <c r="D380" s="32"/>
      <c r="E380" s="11"/>
      <c r="I380" s="15"/>
      <c r="J380" s="47"/>
      <c r="K380" s="76"/>
      <c r="L380" s="76"/>
      <c r="M380" s="78"/>
      <c r="N380" s="77"/>
      <c r="O380" s="32"/>
      <c r="P380" s="32"/>
      <c r="Q380" s="32"/>
      <c r="R380" s="32"/>
    </row>
    <row r="381" spans="3:18" x14ac:dyDescent="0.3">
      <c r="C381" s="11"/>
      <c r="D381" s="32"/>
      <c r="E381" s="11"/>
      <c r="I381" s="15"/>
      <c r="J381" s="47"/>
      <c r="K381" s="76"/>
      <c r="L381" s="76"/>
      <c r="M381" s="78"/>
      <c r="N381" s="77"/>
      <c r="O381" s="32"/>
      <c r="P381" s="32"/>
      <c r="Q381" s="32"/>
      <c r="R381" s="32"/>
    </row>
    <row r="382" spans="3:18" x14ac:dyDescent="0.3">
      <c r="C382" s="11"/>
      <c r="D382" s="32"/>
      <c r="E382" s="11"/>
      <c r="I382" s="15"/>
      <c r="J382" s="47"/>
      <c r="K382" s="76"/>
      <c r="L382" s="76"/>
      <c r="M382" s="78"/>
      <c r="N382" s="77"/>
      <c r="O382" s="32"/>
      <c r="P382" s="32"/>
      <c r="Q382" s="32"/>
      <c r="R382" s="32"/>
    </row>
    <row r="383" spans="3:18" x14ac:dyDescent="0.3">
      <c r="C383" s="11"/>
      <c r="D383" s="32"/>
      <c r="E383" s="11"/>
      <c r="I383" s="15"/>
      <c r="J383" s="47"/>
      <c r="K383" s="76"/>
      <c r="L383" s="76"/>
      <c r="M383" s="78"/>
      <c r="N383" s="77"/>
      <c r="O383" s="32"/>
      <c r="P383" s="32"/>
      <c r="Q383" s="32"/>
      <c r="R383" s="32"/>
    </row>
    <row r="384" spans="3:18" x14ac:dyDescent="0.3">
      <c r="C384" s="11"/>
      <c r="D384" s="32"/>
      <c r="E384" s="11"/>
      <c r="I384" s="15"/>
      <c r="J384" s="47"/>
      <c r="K384" s="76"/>
      <c r="L384" s="76"/>
      <c r="M384" s="78"/>
      <c r="N384" s="77"/>
      <c r="O384" s="32"/>
      <c r="P384" s="32"/>
      <c r="Q384" s="32"/>
      <c r="R384" s="32"/>
    </row>
    <row r="385" spans="3:18" x14ac:dyDescent="0.3">
      <c r="C385" s="11"/>
      <c r="D385" s="32"/>
      <c r="E385" s="11"/>
      <c r="I385" s="15"/>
      <c r="J385" s="47"/>
      <c r="K385" s="76"/>
      <c r="L385" s="76"/>
      <c r="M385" s="78"/>
      <c r="N385" s="77"/>
      <c r="O385" s="32"/>
      <c r="P385" s="32"/>
      <c r="Q385" s="32"/>
      <c r="R385" s="32"/>
    </row>
    <row r="386" spans="3:18" x14ac:dyDescent="0.3">
      <c r="C386" s="11"/>
      <c r="D386" s="32"/>
      <c r="E386" s="11"/>
      <c r="I386" s="15"/>
      <c r="J386" s="47"/>
      <c r="K386" s="76"/>
      <c r="L386" s="76"/>
      <c r="M386" s="78"/>
      <c r="N386" s="77"/>
      <c r="O386" s="32"/>
      <c r="P386" s="32"/>
      <c r="Q386" s="32"/>
      <c r="R386" s="32"/>
    </row>
    <row r="387" spans="3:18" x14ac:dyDescent="0.3">
      <c r="C387" s="11"/>
      <c r="D387" s="32"/>
      <c r="E387" s="11"/>
      <c r="I387" s="15"/>
      <c r="J387" s="47"/>
      <c r="K387" s="76"/>
      <c r="L387" s="76"/>
      <c r="M387" s="78"/>
      <c r="N387" s="77"/>
      <c r="O387" s="32"/>
      <c r="P387" s="32"/>
      <c r="Q387" s="32"/>
      <c r="R387" s="32"/>
    </row>
    <row r="388" spans="3:18" x14ac:dyDescent="0.3">
      <c r="C388" s="11"/>
      <c r="D388" s="32"/>
      <c r="E388" s="11"/>
      <c r="I388" s="15"/>
      <c r="J388" s="47"/>
      <c r="K388" s="76"/>
      <c r="L388" s="76"/>
      <c r="M388" s="78"/>
      <c r="N388" s="77"/>
      <c r="O388" s="32"/>
      <c r="P388" s="32"/>
      <c r="Q388" s="32"/>
      <c r="R388" s="32"/>
    </row>
    <row r="389" spans="3:18" x14ac:dyDescent="0.3">
      <c r="C389" s="11"/>
      <c r="D389" s="32"/>
      <c r="E389" s="11"/>
      <c r="I389" s="15"/>
      <c r="J389" s="47"/>
      <c r="K389" s="76"/>
      <c r="L389" s="76"/>
      <c r="M389" s="78"/>
      <c r="N389" s="77"/>
      <c r="O389" s="32"/>
      <c r="P389" s="32"/>
      <c r="Q389" s="32"/>
      <c r="R389" s="32"/>
    </row>
    <row r="390" spans="3:18" x14ac:dyDescent="0.3">
      <c r="C390" s="11"/>
      <c r="D390" s="32"/>
      <c r="E390" s="11"/>
      <c r="I390" s="15"/>
      <c r="J390" s="47"/>
      <c r="K390" s="76"/>
      <c r="L390" s="76"/>
      <c r="M390" s="78"/>
      <c r="N390" s="77"/>
      <c r="O390" s="32"/>
      <c r="P390" s="32"/>
      <c r="Q390" s="32"/>
      <c r="R390" s="32"/>
    </row>
    <row r="391" spans="3:18" x14ac:dyDescent="0.3">
      <c r="C391" s="11"/>
      <c r="D391" s="32"/>
      <c r="E391" s="11"/>
      <c r="I391" s="15"/>
      <c r="J391" s="47"/>
      <c r="K391" s="76"/>
      <c r="L391" s="76"/>
      <c r="M391" s="78"/>
      <c r="N391" s="77"/>
      <c r="O391" s="32"/>
      <c r="P391" s="32"/>
      <c r="Q391" s="32"/>
      <c r="R391" s="32"/>
    </row>
    <row r="392" spans="3:18" x14ac:dyDescent="0.3">
      <c r="C392" s="11"/>
      <c r="D392" s="32"/>
      <c r="E392" s="11"/>
      <c r="I392" s="15"/>
      <c r="J392" s="47"/>
      <c r="K392" s="76"/>
      <c r="L392" s="76"/>
      <c r="M392" s="78"/>
      <c r="N392" s="77"/>
      <c r="O392" s="32"/>
      <c r="P392" s="32"/>
      <c r="Q392" s="32"/>
      <c r="R392" s="32"/>
    </row>
    <row r="393" spans="3:18" x14ac:dyDescent="0.3">
      <c r="C393" s="11"/>
      <c r="D393" s="32"/>
      <c r="E393" s="11"/>
      <c r="I393" s="15"/>
      <c r="J393" s="47"/>
      <c r="K393" s="76"/>
      <c r="L393" s="76"/>
      <c r="M393" s="78"/>
      <c r="N393" s="77"/>
      <c r="O393" s="32"/>
      <c r="P393" s="32"/>
      <c r="Q393" s="32"/>
      <c r="R393" s="32"/>
    </row>
    <row r="394" spans="3:18" x14ac:dyDescent="0.3">
      <c r="C394" s="11"/>
      <c r="D394" s="32"/>
      <c r="E394" s="11"/>
      <c r="I394" s="15"/>
      <c r="J394" s="47"/>
      <c r="K394" s="76"/>
      <c r="L394" s="76"/>
      <c r="M394" s="78"/>
      <c r="N394" s="77"/>
      <c r="O394" s="32"/>
      <c r="P394" s="32"/>
      <c r="Q394" s="32"/>
      <c r="R394" s="32"/>
    </row>
    <row r="395" spans="3:18" x14ac:dyDescent="0.3">
      <c r="C395" s="11"/>
      <c r="D395" s="32"/>
      <c r="E395" s="11"/>
      <c r="I395" s="15"/>
      <c r="J395" s="47"/>
      <c r="K395" s="76"/>
      <c r="L395" s="76"/>
      <c r="M395" s="78"/>
      <c r="N395" s="77"/>
      <c r="O395" s="32"/>
      <c r="P395" s="32"/>
      <c r="Q395" s="32"/>
      <c r="R395" s="32"/>
    </row>
    <row r="396" spans="3:18" x14ac:dyDescent="0.3">
      <c r="C396" s="11"/>
      <c r="D396" s="32"/>
      <c r="E396" s="11"/>
      <c r="I396" s="15"/>
      <c r="J396" s="47"/>
      <c r="K396" s="76"/>
      <c r="L396" s="76"/>
      <c r="M396" s="78"/>
      <c r="N396" s="77"/>
      <c r="O396" s="32"/>
      <c r="P396" s="32"/>
      <c r="Q396" s="32"/>
      <c r="R396" s="32"/>
    </row>
    <row r="397" spans="3:18" x14ac:dyDescent="0.3">
      <c r="C397" s="11"/>
      <c r="D397" s="32"/>
      <c r="E397" s="11"/>
      <c r="I397" s="15"/>
      <c r="J397" s="47"/>
      <c r="K397" s="76"/>
      <c r="L397" s="76"/>
      <c r="M397" s="78"/>
      <c r="N397" s="77"/>
      <c r="O397" s="32"/>
      <c r="P397" s="32"/>
      <c r="Q397" s="32"/>
      <c r="R397" s="32"/>
    </row>
    <row r="398" spans="3:18" x14ac:dyDescent="0.3">
      <c r="C398" s="11"/>
      <c r="D398" s="32"/>
      <c r="E398" s="11"/>
      <c r="I398" s="15"/>
      <c r="J398" s="47"/>
      <c r="K398" s="76"/>
      <c r="L398" s="76"/>
      <c r="M398" s="78"/>
      <c r="N398" s="77"/>
      <c r="O398" s="32"/>
      <c r="P398" s="32"/>
      <c r="Q398" s="32"/>
      <c r="R398" s="32"/>
    </row>
    <row r="399" spans="3:18" x14ac:dyDescent="0.3">
      <c r="C399" s="11"/>
      <c r="D399" s="32"/>
      <c r="E399" s="11"/>
      <c r="I399" s="15"/>
      <c r="J399" s="47"/>
      <c r="K399" s="76"/>
      <c r="L399" s="76"/>
      <c r="M399" s="78"/>
      <c r="N399" s="77"/>
      <c r="O399" s="32"/>
      <c r="P399" s="32"/>
      <c r="Q399" s="32"/>
      <c r="R399" s="32"/>
    </row>
    <row r="400" spans="3:18" x14ac:dyDescent="0.3">
      <c r="C400" s="11"/>
      <c r="D400" s="32"/>
      <c r="E400" s="11"/>
      <c r="I400" s="15"/>
      <c r="J400" s="47"/>
      <c r="K400" s="76"/>
      <c r="L400" s="76"/>
      <c r="M400" s="78"/>
      <c r="N400" s="77"/>
      <c r="O400" s="32"/>
      <c r="P400" s="32"/>
      <c r="Q400" s="32"/>
      <c r="R400" s="32"/>
    </row>
    <row r="401" spans="3:18" x14ac:dyDescent="0.3">
      <c r="C401" s="11"/>
      <c r="D401" s="32"/>
      <c r="E401" s="11"/>
      <c r="I401" s="15"/>
      <c r="J401" s="47"/>
      <c r="K401" s="76"/>
      <c r="L401" s="76"/>
      <c r="M401" s="78"/>
      <c r="N401" s="77"/>
      <c r="O401" s="32"/>
      <c r="P401" s="32"/>
      <c r="Q401" s="32"/>
      <c r="R401" s="32"/>
    </row>
    <row r="402" spans="3:18" x14ac:dyDescent="0.3">
      <c r="C402" s="11"/>
      <c r="D402" s="32"/>
      <c r="E402" s="11"/>
      <c r="I402" s="15"/>
      <c r="J402" s="47"/>
      <c r="K402" s="76"/>
      <c r="L402" s="76"/>
      <c r="M402" s="78"/>
      <c r="N402" s="77"/>
      <c r="O402" s="32"/>
      <c r="P402" s="32"/>
      <c r="Q402" s="32"/>
      <c r="R402" s="32"/>
    </row>
    <row r="403" spans="3:18" x14ac:dyDescent="0.3">
      <c r="C403" s="11"/>
      <c r="D403" s="32"/>
      <c r="E403" s="11"/>
      <c r="I403" s="15"/>
      <c r="J403" s="47"/>
      <c r="K403" s="76"/>
      <c r="L403" s="76"/>
      <c r="M403" s="78"/>
      <c r="N403" s="77"/>
      <c r="O403" s="32"/>
      <c r="P403" s="32"/>
      <c r="Q403" s="32"/>
      <c r="R403" s="32"/>
    </row>
    <row r="404" spans="3:18" x14ac:dyDescent="0.3">
      <c r="C404" s="11"/>
      <c r="D404" s="32"/>
      <c r="E404" s="11"/>
      <c r="I404" s="15"/>
      <c r="J404" s="47"/>
      <c r="K404" s="76"/>
      <c r="L404" s="76"/>
      <c r="M404" s="78"/>
      <c r="N404" s="77"/>
      <c r="O404" s="32"/>
      <c r="P404" s="32"/>
      <c r="Q404" s="32"/>
      <c r="R404" s="32"/>
    </row>
    <row r="405" spans="3:18" x14ac:dyDescent="0.3">
      <c r="C405" s="11"/>
      <c r="D405" s="32"/>
      <c r="E405" s="11"/>
      <c r="I405" s="15"/>
      <c r="J405" s="47"/>
      <c r="K405" s="76"/>
      <c r="L405" s="76"/>
      <c r="M405" s="78"/>
      <c r="N405" s="77"/>
      <c r="O405" s="32"/>
      <c r="P405" s="32"/>
      <c r="Q405" s="32"/>
      <c r="R405" s="32"/>
    </row>
    <row r="406" spans="3:18" x14ac:dyDescent="0.3">
      <c r="C406" s="11"/>
      <c r="D406" s="32"/>
      <c r="E406" s="11"/>
      <c r="I406" s="15"/>
      <c r="J406" s="47"/>
      <c r="K406" s="76"/>
      <c r="L406" s="76"/>
      <c r="M406" s="78"/>
      <c r="N406" s="77"/>
      <c r="O406" s="32"/>
      <c r="P406" s="32"/>
      <c r="Q406" s="32"/>
      <c r="R406" s="32"/>
    </row>
    <row r="407" spans="3:18" x14ac:dyDescent="0.3">
      <c r="C407" s="11"/>
      <c r="D407" s="32"/>
      <c r="E407" s="11"/>
      <c r="I407" s="15"/>
      <c r="J407" s="47"/>
      <c r="K407" s="76"/>
      <c r="L407" s="76"/>
      <c r="M407" s="78"/>
      <c r="N407" s="77"/>
      <c r="O407" s="32"/>
      <c r="P407" s="32"/>
      <c r="Q407" s="32"/>
      <c r="R407" s="32"/>
    </row>
    <row r="408" spans="3:18" x14ac:dyDescent="0.3">
      <c r="C408" s="11"/>
      <c r="D408" s="32"/>
      <c r="E408" s="11"/>
      <c r="I408" s="15"/>
      <c r="J408" s="47"/>
      <c r="K408" s="76"/>
      <c r="L408" s="76"/>
      <c r="M408" s="78"/>
      <c r="N408" s="77"/>
      <c r="O408" s="32"/>
      <c r="P408" s="32"/>
      <c r="Q408" s="32"/>
      <c r="R408" s="32"/>
    </row>
    <row r="409" spans="3:18" x14ac:dyDescent="0.3">
      <c r="C409" s="11"/>
      <c r="D409" s="32"/>
      <c r="E409" s="11"/>
      <c r="I409" s="15"/>
      <c r="J409" s="47"/>
      <c r="K409" s="76"/>
      <c r="L409" s="76"/>
      <c r="M409" s="78"/>
      <c r="N409" s="77"/>
      <c r="O409" s="32"/>
      <c r="P409" s="32"/>
      <c r="Q409" s="32"/>
      <c r="R409" s="32"/>
    </row>
    <row r="410" spans="3:18" x14ac:dyDescent="0.3">
      <c r="C410" s="11"/>
      <c r="D410" s="32"/>
      <c r="E410" s="11"/>
      <c r="I410" s="15"/>
      <c r="J410" s="47"/>
      <c r="K410" s="76"/>
      <c r="L410" s="76"/>
      <c r="M410" s="78"/>
      <c r="N410" s="77"/>
      <c r="O410" s="32"/>
      <c r="P410" s="32"/>
      <c r="Q410" s="32"/>
      <c r="R410" s="32"/>
    </row>
    <row r="411" spans="3:18" x14ac:dyDescent="0.3">
      <c r="C411" s="11"/>
      <c r="D411" s="32"/>
      <c r="E411" s="11"/>
      <c r="I411" s="15"/>
      <c r="J411" s="47"/>
      <c r="K411" s="76"/>
      <c r="L411" s="76"/>
      <c r="M411" s="78"/>
      <c r="N411" s="77"/>
      <c r="O411" s="32"/>
      <c r="P411" s="32"/>
      <c r="Q411" s="32"/>
      <c r="R411" s="32"/>
    </row>
    <row r="412" spans="3:18" x14ac:dyDescent="0.3">
      <c r="C412" s="11"/>
      <c r="D412" s="32"/>
      <c r="E412" s="11"/>
      <c r="I412" s="15"/>
      <c r="J412" s="47"/>
      <c r="K412" s="76"/>
      <c r="L412" s="76"/>
      <c r="M412" s="78"/>
      <c r="N412" s="77"/>
      <c r="O412" s="32"/>
      <c r="P412" s="32"/>
      <c r="Q412" s="32"/>
      <c r="R412" s="32"/>
    </row>
    <row r="413" spans="3:18" x14ac:dyDescent="0.3">
      <c r="C413" s="11"/>
      <c r="D413" s="32"/>
      <c r="E413" s="11"/>
      <c r="I413" s="15"/>
      <c r="J413" s="47"/>
      <c r="K413" s="76"/>
      <c r="L413" s="76"/>
      <c r="M413" s="78"/>
      <c r="N413" s="77"/>
      <c r="O413" s="32"/>
      <c r="P413" s="32"/>
      <c r="Q413" s="32"/>
      <c r="R413" s="32"/>
    </row>
    <row r="414" spans="3:18" x14ac:dyDescent="0.3">
      <c r="C414" s="11"/>
      <c r="D414" s="32"/>
      <c r="E414" s="11"/>
      <c r="I414" s="15"/>
      <c r="J414" s="47"/>
      <c r="K414" s="76"/>
      <c r="L414" s="76"/>
      <c r="M414" s="78"/>
      <c r="N414" s="77"/>
      <c r="O414" s="32"/>
      <c r="P414" s="32"/>
      <c r="Q414" s="32"/>
      <c r="R414" s="32"/>
    </row>
    <row r="415" spans="3:18" x14ac:dyDescent="0.3">
      <c r="C415" s="11"/>
      <c r="D415" s="32"/>
      <c r="E415" s="11"/>
      <c r="I415" s="15"/>
      <c r="J415" s="47"/>
      <c r="K415" s="76"/>
      <c r="L415" s="76"/>
      <c r="M415" s="78"/>
      <c r="N415" s="77"/>
      <c r="O415" s="32"/>
      <c r="P415" s="32"/>
      <c r="Q415" s="32"/>
      <c r="R415" s="32"/>
    </row>
    <row r="416" spans="3:18" x14ac:dyDescent="0.3">
      <c r="C416" s="11"/>
      <c r="D416" s="32"/>
      <c r="E416" s="11"/>
      <c r="I416" s="15"/>
      <c r="J416" s="47"/>
      <c r="K416" s="76"/>
      <c r="L416" s="76"/>
      <c r="M416" s="78"/>
      <c r="N416" s="77"/>
      <c r="O416" s="32"/>
      <c r="P416" s="32"/>
      <c r="Q416" s="32"/>
      <c r="R416" s="32"/>
    </row>
    <row r="417" spans="3:18" x14ac:dyDescent="0.3">
      <c r="C417" s="11"/>
      <c r="D417" s="32"/>
      <c r="E417" s="11"/>
      <c r="I417" s="15"/>
      <c r="J417" s="47"/>
      <c r="K417" s="76"/>
      <c r="L417" s="76"/>
      <c r="M417" s="78"/>
      <c r="N417" s="77"/>
      <c r="O417" s="32"/>
      <c r="P417" s="32"/>
      <c r="Q417" s="32"/>
      <c r="R417" s="32"/>
    </row>
    <row r="418" spans="3:18" x14ac:dyDescent="0.3">
      <c r="C418" s="11"/>
      <c r="D418" s="32"/>
      <c r="E418" s="11"/>
      <c r="I418" s="15"/>
      <c r="J418" s="47"/>
      <c r="K418" s="76"/>
      <c r="L418" s="76"/>
      <c r="M418" s="78"/>
      <c r="N418" s="77"/>
      <c r="O418" s="32"/>
      <c r="P418" s="32"/>
      <c r="Q418" s="32"/>
      <c r="R418" s="32"/>
    </row>
    <row r="419" spans="3:18" x14ac:dyDescent="0.3">
      <c r="C419" s="11"/>
      <c r="D419" s="32"/>
      <c r="E419" s="11"/>
      <c r="I419" s="15"/>
      <c r="J419" s="47"/>
      <c r="K419" s="76"/>
      <c r="L419" s="76"/>
      <c r="M419" s="78"/>
      <c r="N419" s="77"/>
      <c r="O419" s="32"/>
      <c r="P419" s="32"/>
      <c r="Q419" s="32"/>
      <c r="R419" s="32"/>
    </row>
    <row r="420" spans="3:18" x14ac:dyDescent="0.3">
      <c r="C420" s="11"/>
      <c r="D420" s="32"/>
      <c r="E420" s="11"/>
      <c r="I420" s="15"/>
      <c r="J420" s="47"/>
      <c r="K420" s="76"/>
      <c r="L420" s="76"/>
      <c r="M420" s="78"/>
      <c r="N420" s="77"/>
      <c r="O420" s="32"/>
      <c r="P420" s="32"/>
      <c r="Q420" s="32"/>
      <c r="R420" s="32"/>
    </row>
    <row r="421" spans="3:18" x14ac:dyDescent="0.3">
      <c r="C421" s="11"/>
      <c r="D421" s="32"/>
      <c r="E421" s="11"/>
      <c r="I421" s="15"/>
      <c r="J421" s="47"/>
      <c r="K421" s="76"/>
      <c r="L421" s="76"/>
      <c r="M421" s="78"/>
      <c r="N421" s="77"/>
      <c r="O421" s="32"/>
      <c r="P421" s="32"/>
      <c r="Q421" s="32"/>
      <c r="R421" s="32"/>
    </row>
    <row r="422" spans="3:18" x14ac:dyDescent="0.3">
      <c r="C422" s="11"/>
      <c r="D422" s="32"/>
      <c r="E422" s="11"/>
      <c r="I422" s="15"/>
      <c r="J422" s="47"/>
      <c r="K422" s="76"/>
      <c r="L422" s="76"/>
      <c r="M422" s="78"/>
      <c r="N422" s="77"/>
      <c r="O422" s="32"/>
      <c r="P422" s="32"/>
      <c r="Q422" s="32"/>
      <c r="R422" s="32"/>
    </row>
    <row r="423" spans="3:18" x14ac:dyDescent="0.3">
      <c r="C423" s="11"/>
      <c r="D423" s="32"/>
      <c r="E423" s="11"/>
      <c r="I423" s="15"/>
      <c r="J423" s="47"/>
      <c r="K423" s="76"/>
      <c r="L423" s="76"/>
      <c r="M423" s="78"/>
      <c r="N423" s="77"/>
      <c r="O423" s="32"/>
      <c r="P423" s="32"/>
      <c r="Q423" s="32"/>
      <c r="R423" s="32"/>
    </row>
    <row r="424" spans="3:18" x14ac:dyDescent="0.3">
      <c r="C424" s="11"/>
      <c r="D424" s="32"/>
      <c r="E424" s="11"/>
      <c r="I424" s="15"/>
      <c r="J424" s="47"/>
      <c r="K424" s="76"/>
      <c r="L424" s="76"/>
      <c r="M424" s="78"/>
      <c r="N424" s="77"/>
      <c r="O424" s="32"/>
      <c r="P424" s="32"/>
      <c r="Q424" s="32"/>
      <c r="R424" s="32"/>
    </row>
    <row r="425" spans="3:18" x14ac:dyDescent="0.3">
      <c r="C425" s="11"/>
      <c r="D425" s="32"/>
      <c r="E425" s="11"/>
      <c r="I425" s="15"/>
      <c r="J425" s="47"/>
      <c r="K425" s="76"/>
      <c r="L425" s="76"/>
      <c r="M425" s="78"/>
      <c r="N425" s="77"/>
      <c r="O425" s="32"/>
      <c r="P425" s="32"/>
      <c r="Q425" s="32"/>
      <c r="R425" s="32"/>
    </row>
    <row r="426" spans="3:18" x14ac:dyDescent="0.3">
      <c r="C426" s="11"/>
      <c r="D426" s="32"/>
      <c r="E426" s="11"/>
      <c r="I426" s="15"/>
      <c r="J426" s="47"/>
      <c r="K426" s="76"/>
      <c r="L426" s="76"/>
      <c r="M426" s="78"/>
      <c r="N426" s="77"/>
      <c r="O426" s="32"/>
      <c r="P426" s="32"/>
      <c r="Q426" s="32"/>
      <c r="R426" s="32"/>
    </row>
    <row r="427" spans="3:18" x14ac:dyDescent="0.3">
      <c r="C427" s="11"/>
      <c r="D427" s="32"/>
      <c r="E427" s="11"/>
      <c r="I427" s="15"/>
      <c r="J427" s="47"/>
      <c r="K427" s="76"/>
      <c r="L427" s="76"/>
      <c r="M427" s="78"/>
      <c r="N427" s="77"/>
      <c r="O427" s="32"/>
      <c r="P427" s="32"/>
      <c r="Q427" s="32"/>
      <c r="R427" s="32"/>
    </row>
    <row r="428" spans="3:18" x14ac:dyDescent="0.3">
      <c r="C428" s="11"/>
      <c r="D428" s="32"/>
      <c r="E428" s="11"/>
      <c r="I428" s="15"/>
      <c r="J428" s="47"/>
      <c r="K428" s="76"/>
      <c r="L428" s="76"/>
      <c r="M428" s="78"/>
      <c r="N428" s="77"/>
      <c r="O428" s="32"/>
      <c r="P428" s="32"/>
      <c r="Q428" s="32"/>
      <c r="R428" s="32"/>
    </row>
    <row r="429" spans="3:18" x14ac:dyDescent="0.3">
      <c r="C429" s="11"/>
      <c r="D429" s="32"/>
      <c r="E429" s="11"/>
      <c r="I429" s="15"/>
      <c r="J429" s="47"/>
      <c r="K429" s="76"/>
      <c r="L429" s="76"/>
      <c r="M429" s="78"/>
      <c r="N429" s="77"/>
      <c r="O429" s="32"/>
      <c r="P429" s="32"/>
      <c r="Q429" s="32"/>
      <c r="R429" s="32"/>
    </row>
    <row r="430" spans="3:18" x14ac:dyDescent="0.3">
      <c r="C430" s="11"/>
      <c r="D430" s="32"/>
      <c r="E430" s="11"/>
      <c r="I430" s="15"/>
      <c r="J430" s="47"/>
      <c r="K430" s="76"/>
      <c r="L430" s="76"/>
      <c r="M430" s="78"/>
      <c r="N430" s="77"/>
      <c r="O430" s="32"/>
      <c r="P430" s="32"/>
      <c r="Q430" s="32"/>
      <c r="R430" s="32"/>
    </row>
    <row r="431" spans="3:18" x14ac:dyDescent="0.3">
      <c r="C431" s="11"/>
      <c r="D431" s="32"/>
      <c r="E431" s="11"/>
      <c r="I431" s="15"/>
      <c r="J431" s="47"/>
      <c r="K431" s="76"/>
      <c r="L431" s="76"/>
      <c r="M431" s="78"/>
      <c r="N431" s="77"/>
      <c r="O431" s="32"/>
      <c r="P431" s="32"/>
      <c r="Q431" s="32"/>
      <c r="R431" s="32"/>
    </row>
    <row r="432" spans="3:18" x14ac:dyDescent="0.3">
      <c r="C432" s="11"/>
      <c r="D432" s="32"/>
      <c r="E432" s="11"/>
      <c r="I432" s="15"/>
      <c r="J432" s="47"/>
      <c r="K432" s="76"/>
      <c r="L432" s="76"/>
      <c r="M432" s="78"/>
      <c r="N432" s="77"/>
      <c r="O432" s="32"/>
      <c r="P432" s="32"/>
      <c r="Q432" s="32"/>
      <c r="R432" s="32"/>
    </row>
    <row r="433" spans="3:18" x14ac:dyDescent="0.3">
      <c r="C433" s="11"/>
      <c r="D433" s="32"/>
      <c r="E433" s="11"/>
      <c r="I433" s="15"/>
      <c r="J433" s="47"/>
      <c r="K433" s="76"/>
      <c r="L433" s="76"/>
      <c r="M433" s="78"/>
      <c r="N433" s="77"/>
      <c r="O433" s="32"/>
      <c r="P433" s="32"/>
      <c r="Q433" s="32"/>
      <c r="R433" s="32"/>
    </row>
    <row r="434" spans="3:18" x14ac:dyDescent="0.3">
      <c r="C434" s="11"/>
      <c r="D434" s="32"/>
      <c r="E434" s="11"/>
      <c r="I434" s="15"/>
      <c r="J434" s="47"/>
      <c r="K434" s="76"/>
      <c r="L434" s="76"/>
      <c r="M434" s="78"/>
      <c r="N434" s="77"/>
      <c r="O434" s="32"/>
      <c r="P434" s="32"/>
      <c r="Q434" s="32"/>
      <c r="R434" s="32"/>
    </row>
    <row r="435" spans="3:18" x14ac:dyDescent="0.3">
      <c r="C435" s="11"/>
      <c r="D435" s="32"/>
      <c r="E435" s="11"/>
      <c r="I435" s="15"/>
      <c r="J435" s="47"/>
      <c r="K435" s="76"/>
      <c r="L435" s="76"/>
      <c r="M435" s="78"/>
      <c r="N435" s="77"/>
      <c r="O435" s="32"/>
      <c r="P435" s="32"/>
      <c r="Q435" s="32"/>
      <c r="R435" s="32"/>
    </row>
    <row r="436" spans="3:18" x14ac:dyDescent="0.3">
      <c r="C436" s="11"/>
      <c r="D436" s="32"/>
      <c r="E436" s="11"/>
      <c r="I436" s="15"/>
      <c r="J436" s="47"/>
      <c r="K436" s="76"/>
      <c r="L436" s="76"/>
      <c r="M436" s="78"/>
      <c r="N436" s="77"/>
      <c r="O436" s="32"/>
      <c r="P436" s="32"/>
      <c r="Q436" s="32"/>
      <c r="R436" s="32"/>
    </row>
    <row r="437" spans="3:18" x14ac:dyDescent="0.3">
      <c r="C437" s="11"/>
      <c r="D437" s="32"/>
      <c r="E437" s="11"/>
      <c r="I437" s="15"/>
      <c r="J437" s="47"/>
      <c r="K437" s="76"/>
      <c r="L437" s="76"/>
      <c r="M437" s="78"/>
      <c r="N437" s="77"/>
      <c r="O437" s="32"/>
      <c r="P437" s="32"/>
      <c r="Q437" s="32"/>
      <c r="R437" s="32"/>
    </row>
    <row r="438" spans="3:18" x14ac:dyDescent="0.3">
      <c r="C438" s="11"/>
      <c r="D438" s="32"/>
      <c r="E438" s="11"/>
      <c r="I438" s="15"/>
      <c r="J438" s="47"/>
      <c r="K438" s="76"/>
      <c r="L438" s="76"/>
      <c r="M438" s="78"/>
      <c r="N438" s="77"/>
      <c r="O438" s="32"/>
      <c r="P438" s="32"/>
      <c r="Q438" s="32"/>
      <c r="R438" s="32"/>
    </row>
    <row r="439" spans="3:18" x14ac:dyDescent="0.3">
      <c r="C439" s="11"/>
      <c r="D439" s="32"/>
      <c r="E439" s="11"/>
      <c r="I439" s="15"/>
      <c r="J439" s="47"/>
      <c r="K439" s="76"/>
      <c r="L439" s="76"/>
      <c r="M439" s="78"/>
      <c r="N439" s="77"/>
      <c r="O439" s="32"/>
      <c r="P439" s="32"/>
      <c r="Q439" s="32"/>
      <c r="R439" s="32"/>
    </row>
    <row r="440" spans="3:18" x14ac:dyDescent="0.3">
      <c r="C440" s="11"/>
      <c r="D440" s="32"/>
      <c r="E440" s="11"/>
      <c r="I440" s="15"/>
      <c r="J440" s="47"/>
      <c r="K440" s="76"/>
      <c r="L440" s="76"/>
      <c r="M440" s="78"/>
      <c r="N440" s="77"/>
      <c r="O440" s="32"/>
      <c r="P440" s="32"/>
      <c r="Q440" s="32"/>
      <c r="R440" s="32"/>
    </row>
    <row r="441" spans="3:18" x14ac:dyDescent="0.3">
      <c r="C441" s="11"/>
      <c r="D441" s="32"/>
      <c r="E441" s="11"/>
      <c r="I441" s="15"/>
      <c r="J441" s="47"/>
      <c r="K441" s="76"/>
      <c r="L441" s="76"/>
      <c r="M441" s="78"/>
      <c r="N441" s="77"/>
      <c r="O441" s="32"/>
      <c r="P441" s="32"/>
      <c r="Q441" s="32"/>
      <c r="R441" s="32"/>
    </row>
    <row r="442" spans="3:18" x14ac:dyDescent="0.3">
      <c r="C442" s="11"/>
      <c r="D442" s="32"/>
      <c r="E442" s="11"/>
      <c r="I442" s="15"/>
      <c r="J442" s="47"/>
      <c r="K442" s="76"/>
      <c r="L442" s="76"/>
      <c r="M442" s="78"/>
      <c r="N442" s="77"/>
      <c r="O442" s="32"/>
      <c r="P442" s="32"/>
      <c r="Q442" s="32"/>
      <c r="R442" s="32"/>
    </row>
    <row r="443" spans="3:18" x14ac:dyDescent="0.3">
      <c r="C443" s="11"/>
      <c r="D443" s="32"/>
      <c r="E443" s="11"/>
      <c r="I443" s="15"/>
      <c r="J443" s="47"/>
      <c r="K443" s="76"/>
      <c r="L443" s="76"/>
      <c r="M443" s="78"/>
      <c r="N443" s="77"/>
      <c r="O443" s="32"/>
      <c r="P443" s="32"/>
      <c r="Q443" s="32"/>
      <c r="R443" s="32"/>
    </row>
    <row r="444" spans="3:18" x14ac:dyDescent="0.3">
      <c r="C444" s="11"/>
      <c r="D444" s="32"/>
      <c r="E444" s="11"/>
      <c r="I444" s="15"/>
      <c r="J444" s="47"/>
      <c r="K444" s="76"/>
      <c r="L444" s="76"/>
      <c r="M444" s="78"/>
      <c r="N444" s="77"/>
      <c r="O444" s="32"/>
      <c r="P444" s="32"/>
      <c r="Q444" s="32"/>
      <c r="R444" s="32"/>
    </row>
    <row r="445" spans="3:18" x14ac:dyDescent="0.3">
      <c r="C445" s="11"/>
      <c r="D445" s="32"/>
      <c r="E445" s="11"/>
      <c r="I445" s="15"/>
      <c r="J445" s="47"/>
      <c r="K445" s="76"/>
      <c r="L445" s="76"/>
      <c r="M445" s="78"/>
      <c r="N445" s="77"/>
      <c r="O445" s="32"/>
      <c r="P445" s="32"/>
      <c r="Q445" s="32"/>
      <c r="R445" s="32"/>
    </row>
    <row r="446" spans="3:18" x14ac:dyDescent="0.3">
      <c r="C446" s="11"/>
      <c r="D446" s="32"/>
      <c r="E446" s="11"/>
      <c r="I446" s="15"/>
      <c r="J446" s="47"/>
      <c r="K446" s="76"/>
      <c r="L446" s="76"/>
      <c r="M446" s="78"/>
      <c r="N446" s="77"/>
      <c r="O446" s="32"/>
      <c r="P446" s="32"/>
      <c r="Q446" s="32"/>
      <c r="R446" s="32"/>
    </row>
    <row r="447" spans="3:18" x14ac:dyDescent="0.3">
      <c r="C447" s="11"/>
      <c r="D447" s="32"/>
      <c r="E447" s="11"/>
      <c r="I447" s="15"/>
      <c r="J447" s="47"/>
      <c r="K447" s="76"/>
      <c r="L447" s="76"/>
      <c r="M447" s="78"/>
      <c r="N447" s="77"/>
      <c r="O447" s="32"/>
      <c r="P447" s="32"/>
      <c r="Q447" s="32"/>
      <c r="R447" s="32"/>
    </row>
    <row r="448" spans="3:18" x14ac:dyDescent="0.3">
      <c r="C448" s="11"/>
      <c r="D448" s="32"/>
      <c r="E448" s="11"/>
      <c r="I448" s="15"/>
      <c r="J448" s="47"/>
      <c r="K448" s="76"/>
      <c r="L448" s="76"/>
      <c r="M448" s="78"/>
      <c r="N448" s="77"/>
      <c r="O448" s="32"/>
      <c r="P448" s="32"/>
      <c r="Q448" s="32"/>
      <c r="R448" s="32"/>
    </row>
    <row r="449" spans="3:18" x14ac:dyDescent="0.3">
      <c r="C449" s="11"/>
      <c r="D449" s="32"/>
      <c r="E449" s="11"/>
      <c r="I449" s="15"/>
      <c r="J449" s="47"/>
      <c r="K449" s="76"/>
      <c r="L449" s="76"/>
      <c r="M449" s="78"/>
      <c r="N449" s="77"/>
      <c r="O449" s="32"/>
      <c r="P449" s="32"/>
      <c r="Q449" s="32"/>
      <c r="R449" s="32"/>
    </row>
    <row r="450" spans="3:18" x14ac:dyDescent="0.3">
      <c r="C450" s="11"/>
      <c r="D450" s="32"/>
      <c r="E450" s="11"/>
      <c r="I450" s="15"/>
      <c r="J450" s="47"/>
      <c r="K450" s="76"/>
      <c r="L450" s="76"/>
      <c r="M450" s="78"/>
      <c r="N450" s="77"/>
      <c r="O450" s="32"/>
      <c r="P450" s="32"/>
      <c r="Q450" s="32"/>
      <c r="R450" s="32"/>
    </row>
    <row r="451" spans="3:18" x14ac:dyDescent="0.3">
      <c r="C451" s="11"/>
      <c r="D451" s="32"/>
      <c r="E451" s="11"/>
      <c r="I451" s="15"/>
      <c r="J451" s="47"/>
      <c r="K451" s="76"/>
      <c r="L451" s="76"/>
      <c r="M451" s="78"/>
      <c r="N451" s="77"/>
      <c r="O451" s="32"/>
      <c r="P451" s="32"/>
      <c r="Q451" s="32"/>
      <c r="R451" s="32"/>
    </row>
    <row r="452" spans="3:18" x14ac:dyDescent="0.3">
      <c r="C452" s="11"/>
      <c r="D452" s="32"/>
      <c r="E452" s="11"/>
      <c r="I452" s="15"/>
      <c r="J452" s="47"/>
      <c r="K452" s="76"/>
      <c r="L452" s="76"/>
      <c r="M452" s="78"/>
      <c r="N452" s="77"/>
      <c r="O452" s="32"/>
      <c r="P452" s="32"/>
      <c r="Q452" s="32"/>
      <c r="R452" s="32"/>
    </row>
    <row r="453" spans="3:18" x14ac:dyDescent="0.3">
      <c r="C453" s="11"/>
      <c r="D453" s="32"/>
      <c r="E453" s="11"/>
      <c r="I453" s="15"/>
      <c r="J453" s="47"/>
      <c r="K453" s="76"/>
      <c r="L453" s="76"/>
      <c r="M453" s="78"/>
      <c r="N453" s="77"/>
      <c r="O453" s="32"/>
      <c r="P453" s="32"/>
      <c r="Q453" s="32"/>
      <c r="R453" s="32"/>
    </row>
    <row r="454" spans="3:18" x14ac:dyDescent="0.3">
      <c r="C454" s="11"/>
      <c r="D454" s="32"/>
      <c r="E454" s="11"/>
      <c r="I454" s="15"/>
      <c r="J454" s="47"/>
      <c r="K454" s="76"/>
      <c r="L454" s="76"/>
      <c r="M454" s="78"/>
      <c r="N454" s="77"/>
      <c r="O454" s="32"/>
      <c r="P454" s="32"/>
      <c r="Q454" s="32"/>
      <c r="R454" s="32"/>
    </row>
    <row r="455" spans="3:18" x14ac:dyDescent="0.3">
      <c r="C455" s="11"/>
      <c r="D455" s="32"/>
      <c r="E455" s="11"/>
      <c r="I455" s="15"/>
      <c r="J455" s="47"/>
      <c r="K455" s="76"/>
      <c r="L455" s="76"/>
      <c r="M455" s="78"/>
      <c r="N455" s="77"/>
      <c r="O455" s="32"/>
      <c r="P455" s="32"/>
      <c r="Q455" s="32"/>
      <c r="R455" s="32"/>
    </row>
    <row r="456" spans="3:18" x14ac:dyDescent="0.3">
      <c r="C456" s="11"/>
      <c r="D456" s="32"/>
      <c r="E456" s="11"/>
      <c r="I456" s="15"/>
      <c r="J456" s="47"/>
      <c r="K456" s="76"/>
      <c r="L456" s="76"/>
      <c r="M456" s="78"/>
      <c r="N456" s="77"/>
      <c r="O456" s="32"/>
      <c r="P456" s="32"/>
      <c r="Q456" s="32"/>
      <c r="R456" s="32"/>
    </row>
    <row r="457" spans="3:18" x14ac:dyDescent="0.3">
      <c r="C457" s="11"/>
      <c r="D457" s="32"/>
      <c r="E457" s="11"/>
      <c r="I457" s="15"/>
      <c r="J457" s="47"/>
      <c r="K457" s="76"/>
      <c r="L457" s="76"/>
      <c r="M457" s="78"/>
      <c r="N457" s="77"/>
      <c r="O457" s="32"/>
      <c r="P457" s="32"/>
      <c r="Q457" s="32"/>
      <c r="R457" s="32"/>
    </row>
    <row r="458" spans="3:18" x14ac:dyDescent="0.3">
      <c r="C458" s="11"/>
      <c r="D458" s="32"/>
      <c r="E458" s="11"/>
      <c r="I458" s="15"/>
      <c r="J458" s="47"/>
      <c r="K458" s="76"/>
      <c r="L458" s="76"/>
      <c r="M458" s="78"/>
      <c r="N458" s="77"/>
      <c r="O458" s="32"/>
      <c r="P458" s="32"/>
      <c r="Q458" s="32"/>
      <c r="R458" s="32"/>
    </row>
    <row r="459" spans="3:18" x14ac:dyDescent="0.3">
      <c r="C459" s="11"/>
      <c r="D459" s="32"/>
      <c r="E459" s="11"/>
      <c r="I459" s="15"/>
      <c r="J459" s="47"/>
      <c r="K459" s="76"/>
      <c r="L459" s="76"/>
      <c r="M459" s="78"/>
      <c r="N459" s="77"/>
      <c r="O459" s="32"/>
      <c r="P459" s="32"/>
      <c r="Q459" s="32"/>
      <c r="R459" s="32"/>
    </row>
    <row r="460" spans="3:18" x14ac:dyDescent="0.3">
      <c r="C460" s="11"/>
      <c r="D460" s="32"/>
      <c r="E460" s="11"/>
      <c r="I460" s="15"/>
      <c r="J460" s="47"/>
      <c r="K460" s="76"/>
      <c r="L460" s="76"/>
      <c r="M460" s="78"/>
      <c r="N460" s="77"/>
      <c r="O460" s="32"/>
      <c r="P460" s="32"/>
      <c r="Q460" s="32"/>
      <c r="R460" s="32"/>
    </row>
    <row r="461" spans="3:18" x14ac:dyDescent="0.3">
      <c r="C461" s="11"/>
      <c r="D461" s="32"/>
      <c r="E461" s="11"/>
      <c r="I461" s="15"/>
      <c r="J461" s="47"/>
      <c r="K461" s="76"/>
      <c r="L461" s="76"/>
      <c r="M461" s="78"/>
      <c r="N461" s="77"/>
      <c r="O461" s="32"/>
      <c r="P461" s="32"/>
      <c r="Q461" s="32"/>
      <c r="R461" s="32"/>
    </row>
    <row r="462" spans="3:18" x14ac:dyDescent="0.3">
      <c r="C462" s="11"/>
      <c r="D462" s="32"/>
      <c r="E462" s="11"/>
      <c r="I462" s="15"/>
      <c r="J462" s="47"/>
      <c r="K462" s="76"/>
      <c r="L462" s="76"/>
      <c r="M462" s="78"/>
      <c r="N462" s="77"/>
      <c r="O462" s="32"/>
      <c r="P462" s="32"/>
      <c r="Q462" s="32"/>
      <c r="R462" s="32"/>
    </row>
    <row r="463" spans="3:18" x14ac:dyDescent="0.3">
      <c r="C463" s="11"/>
      <c r="D463" s="32"/>
      <c r="E463" s="11"/>
      <c r="I463" s="15"/>
      <c r="J463" s="47"/>
      <c r="K463" s="76"/>
      <c r="L463" s="76"/>
      <c r="M463" s="78"/>
      <c r="N463" s="77"/>
      <c r="O463" s="32"/>
      <c r="P463" s="32"/>
      <c r="Q463" s="32"/>
      <c r="R463" s="32"/>
    </row>
    <row r="464" spans="3:18" x14ac:dyDescent="0.3">
      <c r="C464" s="11"/>
      <c r="D464" s="32"/>
      <c r="E464" s="11"/>
      <c r="I464" s="15"/>
      <c r="J464" s="47"/>
      <c r="K464" s="76"/>
      <c r="L464" s="76"/>
      <c r="M464" s="78"/>
      <c r="N464" s="77"/>
      <c r="O464" s="32"/>
      <c r="P464" s="32"/>
      <c r="Q464" s="32"/>
      <c r="R464" s="32"/>
    </row>
    <row r="465" spans="3:18" x14ac:dyDescent="0.3">
      <c r="C465" s="11"/>
      <c r="D465" s="32"/>
      <c r="E465" s="11"/>
      <c r="I465" s="15"/>
      <c r="J465" s="47"/>
      <c r="K465" s="76"/>
      <c r="L465" s="76"/>
      <c r="M465" s="78"/>
      <c r="N465" s="77"/>
      <c r="O465" s="32"/>
      <c r="P465" s="32"/>
      <c r="Q465" s="32"/>
      <c r="R465" s="32"/>
    </row>
    <row r="466" spans="3:18" x14ac:dyDescent="0.3">
      <c r="C466" s="11"/>
      <c r="D466" s="32"/>
      <c r="E466" s="11"/>
      <c r="I466" s="15"/>
      <c r="J466" s="47"/>
      <c r="K466" s="76"/>
      <c r="L466" s="76"/>
      <c r="M466" s="78"/>
      <c r="N466" s="77"/>
      <c r="O466" s="32"/>
      <c r="P466" s="32"/>
      <c r="Q466" s="32"/>
      <c r="R466" s="32"/>
    </row>
    <row r="467" spans="3:18" x14ac:dyDescent="0.3">
      <c r="C467" s="11"/>
      <c r="D467" s="32"/>
      <c r="E467" s="11"/>
      <c r="I467" s="15"/>
      <c r="J467" s="47"/>
      <c r="K467" s="76"/>
      <c r="L467" s="76"/>
      <c r="M467" s="78"/>
      <c r="N467" s="77"/>
      <c r="O467" s="32"/>
      <c r="P467" s="32"/>
      <c r="Q467" s="32"/>
      <c r="R467" s="32"/>
    </row>
    <row r="468" spans="3:18" x14ac:dyDescent="0.3">
      <c r="C468" s="11"/>
      <c r="D468" s="32"/>
      <c r="E468" s="11"/>
      <c r="I468" s="15"/>
      <c r="J468" s="47"/>
      <c r="K468" s="76"/>
      <c r="L468" s="76"/>
      <c r="M468" s="78"/>
      <c r="N468" s="77"/>
      <c r="O468" s="32"/>
      <c r="P468" s="32"/>
      <c r="Q468" s="32"/>
      <c r="R468" s="32"/>
    </row>
    <row r="469" spans="3:18" x14ac:dyDescent="0.3">
      <c r="C469" s="11"/>
      <c r="D469" s="32"/>
      <c r="E469" s="11"/>
      <c r="I469" s="15"/>
      <c r="J469" s="47"/>
      <c r="K469" s="76"/>
      <c r="L469" s="76"/>
      <c r="M469" s="78"/>
      <c r="N469" s="77"/>
      <c r="O469" s="32"/>
      <c r="P469" s="32"/>
      <c r="Q469" s="32"/>
      <c r="R469" s="32"/>
    </row>
    <row r="470" spans="3:18" x14ac:dyDescent="0.3">
      <c r="C470" s="11"/>
      <c r="D470" s="32"/>
      <c r="E470" s="11"/>
      <c r="I470" s="15"/>
      <c r="J470" s="47"/>
      <c r="K470" s="76"/>
      <c r="L470" s="76"/>
      <c r="M470" s="78"/>
      <c r="N470" s="77"/>
      <c r="O470" s="32"/>
      <c r="P470" s="32"/>
      <c r="Q470" s="32"/>
      <c r="R470" s="32"/>
    </row>
    <row r="471" spans="3:18" x14ac:dyDescent="0.3">
      <c r="C471" s="11"/>
      <c r="D471" s="32"/>
      <c r="E471" s="11"/>
      <c r="I471" s="15"/>
      <c r="J471" s="47"/>
      <c r="K471" s="76"/>
      <c r="L471" s="76"/>
      <c r="M471" s="78"/>
      <c r="N471" s="77"/>
      <c r="O471" s="32"/>
      <c r="P471" s="32"/>
      <c r="Q471" s="32"/>
      <c r="R471" s="32"/>
    </row>
    <row r="472" spans="3:18" x14ac:dyDescent="0.3">
      <c r="C472" s="11"/>
      <c r="D472" s="32"/>
      <c r="E472" s="11"/>
      <c r="I472" s="15"/>
      <c r="J472" s="47"/>
      <c r="K472" s="76"/>
      <c r="L472" s="76"/>
      <c r="M472" s="78"/>
      <c r="N472" s="77"/>
      <c r="O472" s="32"/>
      <c r="P472" s="32"/>
      <c r="Q472" s="32"/>
      <c r="R472" s="32"/>
    </row>
    <row r="473" spans="3:18" x14ac:dyDescent="0.3">
      <c r="C473" s="11"/>
      <c r="D473" s="32"/>
      <c r="E473" s="11"/>
      <c r="I473" s="15"/>
      <c r="J473" s="47"/>
      <c r="K473" s="76"/>
      <c r="L473" s="76"/>
      <c r="M473" s="78"/>
      <c r="N473" s="77"/>
      <c r="O473" s="32"/>
      <c r="P473" s="32"/>
      <c r="Q473" s="32"/>
      <c r="R473" s="32"/>
    </row>
    <row r="474" spans="3:18" x14ac:dyDescent="0.3">
      <c r="C474" s="11"/>
      <c r="D474" s="32"/>
      <c r="E474" s="11"/>
      <c r="I474" s="15"/>
      <c r="J474" s="47"/>
      <c r="K474" s="76"/>
      <c r="L474" s="76"/>
      <c r="M474" s="78"/>
      <c r="N474" s="77"/>
      <c r="O474" s="32"/>
      <c r="P474" s="32"/>
      <c r="Q474" s="32"/>
      <c r="R474" s="32"/>
    </row>
    <row r="475" spans="3:18" x14ac:dyDescent="0.3">
      <c r="C475" s="11"/>
      <c r="D475" s="32"/>
      <c r="E475" s="11"/>
      <c r="I475" s="15"/>
      <c r="J475" s="47"/>
      <c r="K475" s="76"/>
      <c r="L475" s="76"/>
      <c r="M475" s="78"/>
      <c r="N475" s="77"/>
      <c r="O475" s="32"/>
      <c r="P475" s="32"/>
      <c r="Q475" s="32"/>
      <c r="R475" s="32"/>
    </row>
    <row r="476" spans="3:18" x14ac:dyDescent="0.3">
      <c r="C476" s="11"/>
      <c r="D476" s="32"/>
      <c r="E476" s="11"/>
      <c r="I476" s="15"/>
      <c r="J476" s="47"/>
      <c r="K476" s="76"/>
      <c r="L476" s="76"/>
      <c r="M476" s="78"/>
      <c r="N476" s="77"/>
      <c r="O476" s="32"/>
      <c r="P476" s="32"/>
      <c r="Q476" s="32"/>
      <c r="R476" s="32"/>
    </row>
    <row r="477" spans="3:18" x14ac:dyDescent="0.3">
      <c r="C477" s="11"/>
      <c r="D477" s="32"/>
      <c r="E477" s="11"/>
      <c r="I477" s="15"/>
      <c r="J477" s="47"/>
      <c r="K477" s="76"/>
      <c r="L477" s="76"/>
      <c r="M477" s="78"/>
      <c r="N477" s="77"/>
      <c r="O477" s="32"/>
      <c r="P477" s="32"/>
      <c r="Q477" s="32"/>
      <c r="R477" s="32"/>
    </row>
    <row r="478" spans="3:18" x14ac:dyDescent="0.3">
      <c r="C478" s="11"/>
      <c r="D478" s="32"/>
      <c r="E478" s="11"/>
      <c r="I478" s="15"/>
      <c r="J478" s="47"/>
      <c r="K478" s="76"/>
      <c r="L478" s="76"/>
      <c r="M478" s="78"/>
      <c r="N478" s="77"/>
      <c r="O478" s="32"/>
      <c r="P478" s="32"/>
      <c r="Q478" s="32"/>
      <c r="R478" s="32"/>
    </row>
    <row r="479" spans="3:18" x14ac:dyDescent="0.3">
      <c r="C479" s="11"/>
      <c r="D479" s="32"/>
      <c r="E479" s="11"/>
      <c r="I479" s="15"/>
      <c r="J479" s="47"/>
      <c r="K479" s="76"/>
      <c r="L479" s="76"/>
      <c r="M479" s="78"/>
      <c r="N479" s="77"/>
      <c r="O479" s="32"/>
      <c r="P479" s="32"/>
      <c r="Q479" s="32"/>
      <c r="R479" s="32"/>
    </row>
    <row r="480" spans="3:18" x14ac:dyDescent="0.3">
      <c r="C480" s="11"/>
      <c r="D480" s="32"/>
      <c r="E480" s="11"/>
      <c r="I480" s="15"/>
      <c r="J480" s="47"/>
      <c r="K480" s="76"/>
      <c r="L480" s="76"/>
      <c r="M480" s="78"/>
      <c r="N480" s="77"/>
      <c r="O480" s="32"/>
      <c r="P480" s="32"/>
      <c r="Q480" s="32"/>
      <c r="R480" s="32"/>
    </row>
    <row r="481" spans="3:18" x14ac:dyDescent="0.3">
      <c r="C481" s="11"/>
      <c r="D481" s="32"/>
      <c r="E481" s="11"/>
      <c r="I481" s="15"/>
      <c r="J481" s="47"/>
      <c r="K481" s="76"/>
      <c r="L481" s="76"/>
      <c r="M481" s="78"/>
      <c r="N481" s="77"/>
      <c r="O481" s="32"/>
      <c r="P481" s="32"/>
      <c r="Q481" s="32"/>
      <c r="R481" s="32"/>
    </row>
    <row r="482" spans="3:18" x14ac:dyDescent="0.3">
      <c r="C482" s="11"/>
      <c r="D482" s="32"/>
      <c r="E482" s="11"/>
      <c r="I482" s="15"/>
      <c r="J482" s="47"/>
      <c r="K482" s="76"/>
      <c r="L482" s="76"/>
      <c r="M482" s="78"/>
      <c r="N482" s="77"/>
      <c r="O482" s="32"/>
      <c r="P482" s="32"/>
      <c r="Q482" s="32"/>
      <c r="R482" s="32"/>
    </row>
    <row r="483" spans="3:18" x14ac:dyDescent="0.3">
      <c r="C483" s="11"/>
      <c r="D483" s="32"/>
      <c r="E483" s="11"/>
      <c r="I483" s="15"/>
      <c r="J483" s="47"/>
      <c r="K483" s="76"/>
      <c r="L483" s="76"/>
      <c r="M483" s="78"/>
      <c r="N483" s="77"/>
      <c r="O483" s="32"/>
      <c r="P483" s="32"/>
      <c r="Q483" s="32"/>
      <c r="R483" s="32"/>
    </row>
    <row r="484" spans="3:18" x14ac:dyDescent="0.3">
      <c r="C484" s="11"/>
      <c r="D484" s="32"/>
      <c r="E484" s="11"/>
      <c r="I484" s="15"/>
      <c r="J484" s="47"/>
      <c r="K484" s="76"/>
      <c r="L484" s="76"/>
      <c r="M484" s="78"/>
      <c r="N484" s="77"/>
      <c r="O484" s="32"/>
      <c r="P484" s="32"/>
      <c r="Q484" s="32"/>
      <c r="R484" s="32"/>
    </row>
    <row r="485" spans="3:18" x14ac:dyDescent="0.3">
      <c r="C485" s="11"/>
      <c r="D485" s="32"/>
      <c r="E485" s="11"/>
      <c r="I485" s="15"/>
      <c r="J485" s="47"/>
      <c r="K485" s="76"/>
      <c r="L485" s="76"/>
      <c r="M485" s="78"/>
      <c r="N485" s="77"/>
      <c r="O485" s="32"/>
      <c r="P485" s="32"/>
      <c r="Q485" s="32"/>
      <c r="R485" s="32"/>
    </row>
    <row r="486" spans="3:18" x14ac:dyDescent="0.3">
      <c r="C486" s="11"/>
      <c r="D486" s="32"/>
      <c r="E486" s="11"/>
      <c r="I486" s="15"/>
      <c r="J486" s="47"/>
      <c r="K486" s="76"/>
      <c r="L486" s="76"/>
      <c r="M486" s="78"/>
      <c r="N486" s="77"/>
      <c r="O486" s="32"/>
      <c r="P486" s="32"/>
      <c r="Q486" s="32"/>
      <c r="R486" s="32"/>
    </row>
    <row r="487" spans="3:18" x14ac:dyDescent="0.3">
      <c r="C487" s="11"/>
      <c r="D487" s="32"/>
      <c r="E487" s="11"/>
      <c r="I487" s="15"/>
      <c r="J487" s="47"/>
      <c r="K487" s="76"/>
      <c r="L487" s="76"/>
      <c r="M487" s="78"/>
      <c r="N487" s="77"/>
      <c r="O487" s="32"/>
      <c r="P487" s="32"/>
      <c r="Q487" s="32"/>
      <c r="R487" s="32"/>
    </row>
    <row r="488" spans="3:18" x14ac:dyDescent="0.3">
      <c r="C488" s="11"/>
      <c r="D488" s="32"/>
      <c r="E488" s="11"/>
      <c r="I488" s="15"/>
      <c r="J488" s="47"/>
      <c r="K488" s="76"/>
      <c r="L488" s="76"/>
      <c r="M488" s="78"/>
      <c r="N488" s="77"/>
      <c r="O488" s="32"/>
      <c r="P488" s="32"/>
      <c r="Q488" s="32"/>
      <c r="R488" s="32"/>
    </row>
    <row r="489" spans="3:18" x14ac:dyDescent="0.3">
      <c r="C489" s="11"/>
      <c r="D489" s="32"/>
      <c r="E489" s="11"/>
      <c r="I489" s="15"/>
      <c r="J489" s="47"/>
      <c r="K489" s="76"/>
      <c r="L489" s="76"/>
      <c r="M489" s="78"/>
      <c r="N489" s="77"/>
      <c r="O489" s="32"/>
      <c r="P489" s="32"/>
      <c r="Q489" s="32"/>
      <c r="R489" s="32"/>
    </row>
    <row r="490" spans="3:18" x14ac:dyDescent="0.3">
      <c r="C490" s="11"/>
      <c r="D490" s="32"/>
      <c r="E490" s="11"/>
      <c r="I490" s="15"/>
      <c r="J490" s="47"/>
      <c r="K490" s="76"/>
      <c r="L490" s="76"/>
      <c r="M490" s="78"/>
      <c r="N490" s="77"/>
      <c r="O490" s="32"/>
      <c r="P490" s="32"/>
      <c r="Q490" s="32"/>
      <c r="R490" s="32"/>
    </row>
    <row r="491" spans="3:18" x14ac:dyDescent="0.3">
      <c r="C491" s="11"/>
      <c r="D491" s="32"/>
      <c r="E491" s="11"/>
      <c r="I491" s="15"/>
      <c r="J491" s="47"/>
      <c r="K491" s="76"/>
      <c r="L491" s="76"/>
      <c r="M491" s="78"/>
      <c r="N491" s="77"/>
      <c r="O491" s="32"/>
      <c r="P491" s="32"/>
      <c r="Q491" s="32"/>
      <c r="R491" s="32"/>
    </row>
    <row r="492" spans="3:18" x14ac:dyDescent="0.3">
      <c r="C492" s="11"/>
      <c r="D492" s="32"/>
      <c r="E492" s="11"/>
      <c r="I492" s="15"/>
      <c r="J492" s="47"/>
      <c r="K492" s="76"/>
      <c r="L492" s="76"/>
      <c r="M492" s="78"/>
      <c r="N492" s="77"/>
      <c r="O492" s="32"/>
      <c r="P492" s="32"/>
      <c r="Q492" s="32"/>
      <c r="R492" s="32"/>
    </row>
    <row r="493" spans="3:18" x14ac:dyDescent="0.3">
      <c r="C493" s="11"/>
      <c r="D493" s="32"/>
      <c r="E493" s="11"/>
      <c r="I493" s="15"/>
      <c r="J493" s="47"/>
      <c r="K493" s="76"/>
      <c r="L493" s="76"/>
      <c r="M493" s="78"/>
      <c r="N493" s="77"/>
      <c r="O493" s="32"/>
      <c r="P493" s="32"/>
      <c r="Q493" s="32"/>
      <c r="R493" s="32"/>
    </row>
    <row r="494" spans="3:18" x14ac:dyDescent="0.3">
      <c r="C494" s="11"/>
      <c r="D494" s="32"/>
      <c r="E494" s="11"/>
      <c r="I494" s="15"/>
      <c r="J494" s="47"/>
      <c r="K494" s="76"/>
      <c r="L494" s="76"/>
      <c r="M494" s="78"/>
      <c r="N494" s="77"/>
      <c r="O494" s="32"/>
      <c r="P494" s="32"/>
      <c r="Q494" s="32"/>
      <c r="R494" s="32"/>
    </row>
    <row r="495" spans="3:18" x14ac:dyDescent="0.3">
      <c r="C495" s="11"/>
      <c r="D495" s="32"/>
      <c r="E495" s="11"/>
      <c r="I495" s="15"/>
      <c r="J495" s="47"/>
      <c r="K495" s="76"/>
      <c r="L495" s="76"/>
      <c r="M495" s="78"/>
      <c r="N495" s="77"/>
      <c r="O495" s="32"/>
      <c r="P495" s="32"/>
      <c r="Q495" s="32"/>
      <c r="R495" s="32"/>
    </row>
    <row r="496" spans="3:18" x14ac:dyDescent="0.3">
      <c r="C496" s="11"/>
      <c r="D496" s="32"/>
      <c r="E496" s="11"/>
      <c r="I496" s="15"/>
      <c r="J496" s="47"/>
      <c r="K496" s="76"/>
      <c r="L496" s="76"/>
      <c r="M496" s="78"/>
      <c r="N496" s="77"/>
      <c r="O496" s="32"/>
      <c r="P496" s="32"/>
      <c r="Q496" s="32"/>
      <c r="R496" s="32"/>
    </row>
    <row r="497" spans="3:18" x14ac:dyDescent="0.3">
      <c r="C497" s="11"/>
      <c r="D497" s="32"/>
      <c r="E497" s="11"/>
      <c r="I497" s="15"/>
      <c r="J497" s="47"/>
      <c r="K497" s="76"/>
      <c r="L497" s="76"/>
      <c r="M497" s="78"/>
      <c r="N497" s="77"/>
      <c r="O497" s="32"/>
      <c r="P497" s="32"/>
      <c r="Q497" s="32"/>
      <c r="R497" s="32"/>
    </row>
    <row r="498" spans="3:18" x14ac:dyDescent="0.3">
      <c r="C498" s="11"/>
      <c r="D498" s="32"/>
      <c r="E498" s="11"/>
      <c r="I498" s="15"/>
      <c r="J498" s="47"/>
      <c r="K498" s="76"/>
      <c r="L498" s="76"/>
      <c r="M498" s="78"/>
      <c r="N498" s="77"/>
      <c r="O498" s="32"/>
      <c r="P498" s="32"/>
      <c r="Q498" s="32"/>
      <c r="R498" s="32"/>
    </row>
    <row r="499" spans="3:18" x14ac:dyDescent="0.3">
      <c r="C499" s="11"/>
      <c r="D499" s="32"/>
      <c r="E499" s="11"/>
      <c r="I499" s="15"/>
      <c r="J499" s="47"/>
      <c r="K499" s="76"/>
      <c r="L499" s="76"/>
      <c r="M499" s="78"/>
      <c r="N499" s="77"/>
      <c r="O499" s="32"/>
      <c r="P499" s="32"/>
      <c r="Q499" s="32"/>
      <c r="R499" s="32"/>
    </row>
    <row r="500" spans="3:18" x14ac:dyDescent="0.3">
      <c r="C500" s="11"/>
      <c r="D500" s="32"/>
      <c r="E500" s="11"/>
      <c r="I500" s="15"/>
      <c r="J500" s="47"/>
      <c r="K500" s="76"/>
      <c r="L500" s="76"/>
      <c r="M500" s="78"/>
      <c r="N500" s="77"/>
      <c r="O500" s="32"/>
      <c r="P500" s="32"/>
      <c r="Q500" s="32"/>
      <c r="R500" s="32"/>
    </row>
    <row r="501" spans="3:18" x14ac:dyDescent="0.3">
      <c r="C501" s="11"/>
      <c r="D501" s="32"/>
      <c r="E501" s="11"/>
      <c r="I501" s="15"/>
      <c r="J501" s="47"/>
      <c r="K501" s="76"/>
      <c r="L501" s="76"/>
      <c r="M501" s="78"/>
      <c r="N501" s="77"/>
      <c r="O501" s="32"/>
      <c r="P501" s="32"/>
      <c r="Q501" s="32"/>
      <c r="R501" s="32"/>
    </row>
    <row r="502" spans="3:18" x14ac:dyDescent="0.3">
      <c r="C502" s="11"/>
      <c r="D502" s="32"/>
      <c r="E502" s="11"/>
      <c r="I502" s="15"/>
      <c r="J502" s="47"/>
      <c r="K502" s="76"/>
      <c r="L502" s="76"/>
      <c r="M502" s="78"/>
      <c r="N502" s="77"/>
      <c r="O502" s="32"/>
      <c r="P502" s="32"/>
      <c r="Q502" s="32"/>
      <c r="R502" s="32"/>
    </row>
    <row r="503" spans="3:18" x14ac:dyDescent="0.3">
      <c r="C503" s="11"/>
      <c r="D503" s="32"/>
      <c r="E503" s="11"/>
      <c r="I503" s="15"/>
      <c r="J503" s="47"/>
      <c r="K503" s="76"/>
      <c r="L503" s="76"/>
      <c r="M503" s="78"/>
      <c r="N503" s="77"/>
      <c r="O503" s="32"/>
      <c r="P503" s="32"/>
      <c r="Q503" s="32"/>
      <c r="R503" s="32"/>
    </row>
    <row r="504" spans="3:18" x14ac:dyDescent="0.3">
      <c r="C504" s="11"/>
      <c r="D504" s="32"/>
      <c r="E504" s="11"/>
      <c r="I504" s="15"/>
      <c r="J504" s="47"/>
      <c r="K504" s="76"/>
      <c r="L504" s="76"/>
      <c r="M504" s="78"/>
      <c r="N504" s="77"/>
      <c r="O504" s="32"/>
      <c r="P504" s="32"/>
      <c r="Q504" s="32"/>
      <c r="R504" s="32"/>
    </row>
    <row r="505" spans="3:18" x14ac:dyDescent="0.3">
      <c r="C505" s="11"/>
      <c r="D505" s="32"/>
      <c r="E505" s="11"/>
      <c r="I505" s="15"/>
      <c r="J505" s="47"/>
      <c r="K505" s="76"/>
      <c r="L505" s="76"/>
      <c r="M505" s="78"/>
      <c r="N505" s="77"/>
      <c r="O505" s="32"/>
      <c r="P505" s="32"/>
      <c r="Q505" s="32"/>
      <c r="R505" s="32"/>
    </row>
    <row r="506" spans="3:18" x14ac:dyDescent="0.3">
      <c r="C506" s="11"/>
      <c r="D506" s="32"/>
      <c r="E506" s="11"/>
      <c r="I506" s="15"/>
      <c r="J506" s="47"/>
      <c r="K506" s="76"/>
      <c r="L506" s="76"/>
      <c r="M506" s="78"/>
      <c r="N506" s="77"/>
      <c r="O506" s="32"/>
      <c r="P506" s="32"/>
      <c r="Q506" s="32"/>
      <c r="R506" s="32"/>
    </row>
    <row r="507" spans="3:18" x14ac:dyDescent="0.3">
      <c r="C507" s="11"/>
      <c r="D507" s="32"/>
      <c r="E507" s="11"/>
      <c r="I507" s="15"/>
      <c r="J507" s="47"/>
      <c r="K507" s="76"/>
      <c r="L507" s="76"/>
      <c r="M507" s="78"/>
      <c r="N507" s="77"/>
      <c r="O507" s="32"/>
      <c r="P507" s="32"/>
      <c r="Q507" s="32"/>
      <c r="R507" s="32"/>
    </row>
    <row r="508" spans="3:18" x14ac:dyDescent="0.3">
      <c r="C508" s="11"/>
      <c r="D508" s="32"/>
      <c r="E508" s="11"/>
      <c r="I508" s="15"/>
      <c r="J508" s="47"/>
      <c r="K508" s="76"/>
      <c r="L508" s="76"/>
      <c r="M508" s="78"/>
      <c r="N508" s="77"/>
      <c r="O508" s="32"/>
      <c r="P508" s="32"/>
      <c r="Q508" s="32"/>
      <c r="R508" s="32"/>
    </row>
    <row r="509" spans="3:18" x14ac:dyDescent="0.3">
      <c r="C509" s="11"/>
      <c r="D509" s="32"/>
      <c r="E509" s="11"/>
      <c r="I509" s="15"/>
      <c r="J509" s="47"/>
      <c r="K509" s="76"/>
      <c r="L509" s="76"/>
      <c r="M509" s="78"/>
      <c r="N509" s="77"/>
      <c r="O509" s="32"/>
      <c r="P509" s="32"/>
      <c r="Q509" s="32"/>
      <c r="R509" s="32"/>
    </row>
    <row r="510" spans="3:18" x14ac:dyDescent="0.3">
      <c r="C510" s="11"/>
      <c r="D510" s="32"/>
      <c r="E510" s="11"/>
      <c r="I510" s="15"/>
      <c r="J510" s="47"/>
      <c r="K510" s="76"/>
      <c r="L510" s="76"/>
      <c r="M510" s="78"/>
      <c r="N510" s="77"/>
      <c r="O510" s="32"/>
      <c r="P510" s="32"/>
      <c r="Q510" s="32"/>
      <c r="R510" s="32"/>
    </row>
    <row r="511" spans="3:18" x14ac:dyDescent="0.3">
      <c r="C511" s="11"/>
      <c r="D511" s="32"/>
      <c r="E511" s="11"/>
      <c r="I511" s="15"/>
      <c r="J511" s="47"/>
      <c r="K511" s="76"/>
      <c r="L511" s="76"/>
      <c r="M511" s="78"/>
      <c r="N511" s="77"/>
      <c r="O511" s="32"/>
      <c r="P511" s="32"/>
      <c r="Q511" s="32"/>
      <c r="R511" s="32"/>
    </row>
    <row r="512" spans="3:18" x14ac:dyDescent="0.3">
      <c r="C512" s="11"/>
      <c r="D512" s="32"/>
      <c r="E512" s="11"/>
      <c r="I512" s="15"/>
      <c r="J512" s="47"/>
      <c r="K512" s="76"/>
      <c r="L512" s="76"/>
      <c r="M512" s="78"/>
      <c r="N512" s="77"/>
      <c r="O512" s="32"/>
      <c r="P512" s="32"/>
      <c r="Q512" s="32"/>
      <c r="R512" s="32"/>
    </row>
    <row r="513" spans="3:18" x14ac:dyDescent="0.3">
      <c r="C513" s="11"/>
      <c r="D513" s="32"/>
      <c r="E513" s="11"/>
      <c r="I513" s="15"/>
      <c r="J513" s="47"/>
      <c r="K513" s="76"/>
      <c r="L513" s="76"/>
      <c r="M513" s="78"/>
      <c r="N513" s="77"/>
      <c r="O513" s="32"/>
      <c r="P513" s="32"/>
      <c r="Q513" s="32"/>
      <c r="R513" s="32"/>
    </row>
    <row r="514" spans="3:18" x14ac:dyDescent="0.3">
      <c r="C514" s="11"/>
      <c r="D514" s="32"/>
      <c r="E514" s="11"/>
      <c r="I514" s="15"/>
      <c r="J514" s="47"/>
      <c r="K514" s="76"/>
      <c r="L514" s="76"/>
      <c r="M514" s="78"/>
      <c r="N514" s="77"/>
      <c r="O514" s="32"/>
      <c r="P514" s="32"/>
      <c r="Q514" s="32"/>
      <c r="R514" s="32"/>
    </row>
    <row r="515" spans="3:18" x14ac:dyDescent="0.3">
      <c r="C515" s="11"/>
      <c r="D515" s="32"/>
      <c r="E515" s="11"/>
      <c r="I515" s="15"/>
      <c r="J515" s="47"/>
      <c r="K515" s="76"/>
      <c r="L515" s="76"/>
      <c r="M515" s="78"/>
      <c r="N515" s="77"/>
      <c r="O515" s="32"/>
      <c r="P515" s="32"/>
      <c r="Q515" s="32"/>
      <c r="R515" s="32"/>
    </row>
    <row r="516" spans="3:18" x14ac:dyDescent="0.3">
      <c r="C516" s="11"/>
      <c r="D516" s="32"/>
      <c r="E516" s="11"/>
      <c r="I516" s="15"/>
      <c r="J516" s="47"/>
      <c r="K516" s="76"/>
      <c r="L516" s="76"/>
      <c r="M516" s="78"/>
      <c r="N516" s="77"/>
      <c r="O516" s="32"/>
      <c r="P516" s="32"/>
      <c r="Q516" s="32"/>
      <c r="R516" s="32"/>
    </row>
    <row r="517" spans="3:18" x14ac:dyDescent="0.3">
      <c r="C517" s="11"/>
      <c r="D517" s="32"/>
      <c r="E517" s="11"/>
      <c r="I517" s="15"/>
      <c r="J517" s="47"/>
      <c r="K517" s="76"/>
      <c r="L517" s="76"/>
      <c r="M517" s="78"/>
      <c r="N517" s="77"/>
      <c r="O517" s="32"/>
      <c r="P517" s="32"/>
      <c r="Q517" s="32"/>
      <c r="R517" s="32"/>
    </row>
    <row r="518" spans="3:18" x14ac:dyDescent="0.3">
      <c r="C518" s="11"/>
      <c r="D518" s="32"/>
      <c r="E518" s="11"/>
      <c r="I518" s="15"/>
      <c r="J518" s="47"/>
      <c r="K518" s="76"/>
      <c r="L518" s="76"/>
      <c r="M518" s="78"/>
      <c r="N518" s="77"/>
      <c r="O518" s="32"/>
      <c r="P518" s="32"/>
      <c r="Q518" s="32"/>
      <c r="R518" s="32"/>
    </row>
    <row r="519" spans="3:18" x14ac:dyDescent="0.3">
      <c r="C519" s="11"/>
      <c r="D519" s="32"/>
      <c r="E519" s="11"/>
      <c r="I519" s="15"/>
      <c r="J519" s="47"/>
      <c r="K519" s="76"/>
      <c r="L519" s="76"/>
      <c r="M519" s="78"/>
      <c r="N519" s="77"/>
      <c r="O519" s="32"/>
      <c r="P519" s="32"/>
      <c r="Q519" s="32"/>
      <c r="R519" s="32"/>
    </row>
    <row r="520" spans="3:18" x14ac:dyDescent="0.3">
      <c r="C520" s="11"/>
      <c r="D520" s="32"/>
      <c r="E520" s="11"/>
      <c r="I520" s="15"/>
      <c r="J520" s="47"/>
      <c r="K520" s="76"/>
      <c r="L520" s="76"/>
      <c r="M520" s="78"/>
      <c r="N520" s="77"/>
      <c r="O520" s="32"/>
      <c r="P520" s="32"/>
      <c r="Q520" s="32"/>
      <c r="R520" s="32"/>
    </row>
    <row r="521" spans="3:18" x14ac:dyDescent="0.3">
      <c r="C521" s="11"/>
      <c r="D521" s="32"/>
      <c r="E521" s="11"/>
      <c r="I521" s="15"/>
      <c r="J521" s="47"/>
      <c r="K521" s="76"/>
      <c r="L521" s="76"/>
      <c r="M521" s="78"/>
      <c r="N521" s="77"/>
      <c r="O521" s="32"/>
      <c r="P521" s="32"/>
      <c r="Q521" s="32"/>
      <c r="R521" s="32"/>
    </row>
    <row r="522" spans="3:18" x14ac:dyDescent="0.3">
      <c r="C522" s="11"/>
      <c r="D522" s="32"/>
      <c r="E522" s="11"/>
      <c r="I522" s="15"/>
      <c r="J522" s="47"/>
      <c r="K522" s="76"/>
      <c r="L522" s="76"/>
      <c r="M522" s="78"/>
      <c r="N522" s="77"/>
      <c r="O522" s="32"/>
      <c r="P522" s="32"/>
      <c r="Q522" s="32"/>
      <c r="R522" s="32"/>
    </row>
    <row r="523" spans="3:18" x14ac:dyDescent="0.3">
      <c r="C523" s="11"/>
      <c r="D523" s="32"/>
      <c r="E523" s="11"/>
      <c r="I523" s="15"/>
      <c r="J523" s="47"/>
      <c r="K523" s="76"/>
      <c r="L523" s="76"/>
      <c r="M523" s="78"/>
      <c r="N523" s="77"/>
      <c r="O523" s="32"/>
      <c r="P523" s="32"/>
      <c r="Q523" s="32"/>
      <c r="R523" s="32"/>
    </row>
    <row r="524" spans="3:18" x14ac:dyDescent="0.3">
      <c r="C524" s="11"/>
      <c r="D524" s="32"/>
      <c r="E524" s="11"/>
      <c r="I524" s="15"/>
      <c r="J524" s="47"/>
      <c r="K524" s="76"/>
      <c r="L524" s="76"/>
      <c r="M524" s="78"/>
      <c r="N524" s="77"/>
      <c r="O524" s="32"/>
      <c r="P524" s="32"/>
      <c r="Q524" s="32"/>
      <c r="R524" s="32"/>
    </row>
    <row r="525" spans="3:18" x14ac:dyDescent="0.3">
      <c r="C525" s="11"/>
      <c r="D525" s="32"/>
      <c r="E525" s="11"/>
      <c r="I525" s="15"/>
      <c r="J525" s="47"/>
      <c r="K525" s="76"/>
      <c r="L525" s="76"/>
      <c r="M525" s="78"/>
      <c r="N525" s="77"/>
      <c r="O525" s="32"/>
      <c r="P525" s="32"/>
      <c r="Q525" s="32"/>
      <c r="R525" s="32"/>
    </row>
    <row r="526" spans="3:18" x14ac:dyDescent="0.3">
      <c r="C526" s="11"/>
      <c r="D526" s="32"/>
      <c r="E526" s="11"/>
      <c r="I526" s="15"/>
      <c r="J526" s="47"/>
      <c r="K526" s="76"/>
      <c r="L526" s="76"/>
      <c r="M526" s="78"/>
      <c r="N526" s="77"/>
      <c r="O526" s="32"/>
      <c r="P526" s="32"/>
      <c r="Q526" s="32"/>
      <c r="R526" s="32"/>
    </row>
    <row r="527" spans="3:18" x14ac:dyDescent="0.3">
      <c r="C527" s="11"/>
      <c r="D527" s="32"/>
      <c r="E527" s="11"/>
      <c r="I527" s="15"/>
      <c r="J527" s="47"/>
      <c r="K527" s="76"/>
      <c r="L527" s="76"/>
      <c r="M527" s="78"/>
      <c r="N527" s="77"/>
      <c r="O527" s="32"/>
      <c r="P527" s="32"/>
      <c r="Q527" s="32"/>
      <c r="R527" s="32"/>
    </row>
    <row r="528" spans="3:18" x14ac:dyDescent="0.3">
      <c r="C528" s="11"/>
      <c r="D528" s="32"/>
      <c r="E528" s="11"/>
      <c r="I528" s="15"/>
      <c r="J528" s="47"/>
      <c r="K528" s="76"/>
      <c r="L528" s="76"/>
      <c r="M528" s="78"/>
      <c r="N528" s="77"/>
      <c r="O528" s="32"/>
      <c r="P528" s="32"/>
      <c r="Q528" s="32"/>
      <c r="R528" s="32"/>
    </row>
    <row r="529" spans="3:18" x14ac:dyDescent="0.3">
      <c r="C529" s="11"/>
      <c r="D529" s="32"/>
      <c r="E529" s="11"/>
      <c r="I529" s="15"/>
      <c r="J529" s="47"/>
      <c r="K529" s="76"/>
      <c r="L529" s="76"/>
      <c r="M529" s="78"/>
      <c r="N529" s="77"/>
      <c r="O529" s="32"/>
      <c r="P529" s="32"/>
      <c r="Q529" s="32"/>
      <c r="R529" s="32"/>
    </row>
    <row r="530" spans="3:18" x14ac:dyDescent="0.3">
      <c r="C530" s="11"/>
      <c r="D530" s="32"/>
      <c r="E530" s="11"/>
      <c r="I530" s="15"/>
      <c r="J530" s="47"/>
      <c r="K530" s="76"/>
      <c r="L530" s="76"/>
      <c r="M530" s="78"/>
      <c r="N530" s="77"/>
      <c r="O530" s="32"/>
      <c r="P530" s="32"/>
      <c r="Q530" s="32"/>
      <c r="R530" s="32"/>
    </row>
    <row r="531" spans="3:18" x14ac:dyDescent="0.3">
      <c r="C531" s="11"/>
      <c r="D531" s="32"/>
      <c r="E531" s="11"/>
      <c r="I531" s="15"/>
      <c r="J531" s="47"/>
      <c r="K531" s="76"/>
      <c r="L531" s="76"/>
      <c r="M531" s="78"/>
      <c r="N531" s="77"/>
      <c r="O531" s="32"/>
      <c r="P531" s="32"/>
      <c r="Q531" s="32"/>
      <c r="R531" s="32"/>
    </row>
    <row r="532" spans="3:18" x14ac:dyDescent="0.3">
      <c r="C532" s="11"/>
      <c r="D532" s="32"/>
      <c r="E532" s="11"/>
      <c r="I532" s="15"/>
      <c r="J532" s="47"/>
      <c r="K532" s="76"/>
      <c r="L532" s="76"/>
      <c r="M532" s="78"/>
      <c r="N532" s="77"/>
      <c r="O532" s="32"/>
      <c r="P532" s="32"/>
      <c r="Q532" s="32"/>
      <c r="R532" s="32"/>
    </row>
    <row r="533" spans="3:18" x14ac:dyDescent="0.3">
      <c r="C533" s="11"/>
      <c r="D533" s="32"/>
      <c r="E533" s="11"/>
      <c r="I533" s="15"/>
      <c r="J533" s="78"/>
      <c r="K533" s="76"/>
      <c r="L533" s="76"/>
      <c r="M533" s="78"/>
      <c r="N533" s="77"/>
      <c r="O533" s="32"/>
      <c r="P533" s="32"/>
      <c r="Q533" s="32"/>
      <c r="R533" s="32"/>
    </row>
    <row r="534" spans="3:18" x14ac:dyDescent="0.3">
      <c r="C534" s="11"/>
      <c r="D534" s="32"/>
      <c r="E534" s="11"/>
      <c r="I534" s="15"/>
      <c r="J534" s="47"/>
      <c r="K534" s="76"/>
      <c r="L534" s="76"/>
      <c r="M534" s="78"/>
      <c r="N534" s="77"/>
      <c r="O534" s="32"/>
      <c r="P534" s="32"/>
      <c r="Q534" s="32"/>
      <c r="R534" s="32"/>
    </row>
    <row r="535" spans="3:18" x14ac:dyDescent="0.3">
      <c r="C535" s="11"/>
      <c r="D535" s="32"/>
      <c r="E535" s="11"/>
      <c r="I535" s="15"/>
      <c r="J535" s="47"/>
      <c r="K535" s="76"/>
      <c r="L535" s="76"/>
      <c r="M535" s="78"/>
      <c r="N535" s="77"/>
      <c r="O535" s="32"/>
      <c r="P535" s="32"/>
      <c r="Q535" s="32"/>
      <c r="R535" s="32"/>
    </row>
    <row r="536" spans="3:18" x14ac:dyDescent="0.3">
      <c r="C536" s="11"/>
      <c r="D536" s="32"/>
      <c r="E536" s="11"/>
      <c r="I536" s="15"/>
      <c r="J536" s="47"/>
      <c r="K536" s="76"/>
      <c r="L536" s="76"/>
      <c r="M536" s="78"/>
      <c r="N536" s="77"/>
      <c r="O536" s="32"/>
      <c r="P536" s="32"/>
      <c r="Q536" s="32"/>
      <c r="R536" s="32"/>
    </row>
    <row r="537" spans="3:18" x14ac:dyDescent="0.3">
      <c r="C537" s="11"/>
      <c r="D537" s="32"/>
      <c r="E537" s="11"/>
      <c r="I537" s="15"/>
      <c r="J537" s="47"/>
      <c r="K537" s="76"/>
      <c r="L537" s="76"/>
      <c r="M537" s="78"/>
      <c r="N537" s="77"/>
      <c r="O537" s="32"/>
      <c r="P537" s="32"/>
      <c r="Q537" s="32"/>
      <c r="R537" s="32"/>
    </row>
    <row r="538" spans="3:18" x14ac:dyDescent="0.3">
      <c r="C538" s="11"/>
      <c r="D538" s="32"/>
      <c r="E538" s="11"/>
      <c r="I538" s="15"/>
      <c r="J538" s="47"/>
      <c r="K538" s="76"/>
      <c r="L538" s="76"/>
      <c r="M538" s="78"/>
      <c r="N538" s="77"/>
      <c r="O538" s="32"/>
      <c r="P538" s="32"/>
      <c r="Q538" s="32"/>
      <c r="R538" s="32"/>
    </row>
    <row r="539" spans="3:18" x14ac:dyDescent="0.3">
      <c r="C539" s="11"/>
      <c r="D539" s="32"/>
      <c r="E539" s="11"/>
      <c r="I539" s="15"/>
      <c r="J539" s="47"/>
      <c r="K539" s="76"/>
      <c r="L539" s="76"/>
      <c r="M539" s="78"/>
      <c r="N539" s="77"/>
      <c r="O539" s="32"/>
      <c r="P539" s="32"/>
      <c r="Q539" s="32"/>
      <c r="R539" s="32"/>
    </row>
    <row r="540" spans="3:18" x14ac:dyDescent="0.3">
      <c r="C540" s="11"/>
      <c r="D540" s="32"/>
      <c r="E540" s="11"/>
      <c r="I540" s="15"/>
      <c r="J540" s="47"/>
      <c r="K540" s="76"/>
      <c r="L540" s="76"/>
      <c r="M540" s="78"/>
      <c r="N540" s="77"/>
      <c r="O540" s="32"/>
      <c r="P540" s="32"/>
      <c r="Q540" s="32"/>
      <c r="R540" s="32"/>
    </row>
    <row r="541" spans="3:18" x14ac:dyDescent="0.3">
      <c r="C541" s="11"/>
      <c r="D541" s="32"/>
      <c r="E541" s="11"/>
      <c r="I541" s="15"/>
      <c r="J541" s="47"/>
      <c r="K541" s="76"/>
      <c r="L541" s="76"/>
      <c r="M541" s="78"/>
      <c r="N541" s="77"/>
      <c r="O541" s="32"/>
      <c r="P541" s="32"/>
      <c r="Q541" s="32"/>
      <c r="R541" s="32"/>
    </row>
    <row r="542" spans="3:18" x14ac:dyDescent="0.3">
      <c r="C542" s="11"/>
      <c r="D542" s="32"/>
      <c r="E542" s="11"/>
      <c r="I542" s="15"/>
      <c r="J542" s="47"/>
      <c r="K542" s="76"/>
      <c r="L542" s="76"/>
      <c r="M542" s="78"/>
      <c r="N542" s="77"/>
      <c r="O542" s="32"/>
      <c r="P542" s="32"/>
      <c r="Q542" s="32"/>
      <c r="R542" s="32"/>
    </row>
    <row r="543" spans="3:18" x14ac:dyDescent="0.3">
      <c r="C543" s="11"/>
      <c r="D543" s="32"/>
      <c r="E543" s="11"/>
      <c r="I543" s="15"/>
      <c r="J543" s="47"/>
      <c r="K543" s="76"/>
      <c r="L543" s="76"/>
      <c r="M543" s="78"/>
      <c r="N543" s="77"/>
      <c r="O543" s="32"/>
      <c r="P543" s="32"/>
      <c r="Q543" s="32"/>
      <c r="R543" s="32"/>
    </row>
    <row r="544" spans="3:18" x14ac:dyDescent="0.3">
      <c r="C544" s="11"/>
      <c r="D544" s="32"/>
      <c r="E544" s="11"/>
      <c r="I544" s="15"/>
      <c r="J544" s="47"/>
      <c r="K544" s="76"/>
      <c r="L544" s="76"/>
      <c r="M544" s="78"/>
      <c r="N544" s="77"/>
      <c r="O544" s="32"/>
      <c r="P544" s="32"/>
      <c r="Q544" s="32"/>
      <c r="R544" s="32"/>
    </row>
    <row r="545" spans="3:18" x14ac:dyDescent="0.3">
      <c r="C545" s="11"/>
      <c r="D545" s="32"/>
      <c r="E545" s="11"/>
      <c r="I545" s="15"/>
      <c r="J545" s="47"/>
      <c r="K545" s="76"/>
      <c r="L545" s="76"/>
      <c r="M545" s="78"/>
      <c r="N545" s="77"/>
      <c r="O545" s="32"/>
      <c r="P545" s="32"/>
      <c r="Q545" s="32"/>
      <c r="R545" s="32"/>
    </row>
    <row r="546" spans="3:18" x14ac:dyDescent="0.3">
      <c r="C546" s="11"/>
      <c r="D546" s="32"/>
      <c r="E546" s="11"/>
      <c r="I546" s="15"/>
      <c r="J546" s="47"/>
      <c r="K546" s="76"/>
      <c r="L546" s="76"/>
      <c r="M546" s="78"/>
      <c r="N546" s="77"/>
      <c r="O546" s="32"/>
      <c r="P546" s="32"/>
      <c r="Q546" s="32"/>
      <c r="R546" s="32"/>
    </row>
    <row r="547" spans="3:18" x14ac:dyDescent="0.3">
      <c r="C547" s="11"/>
      <c r="D547" s="32"/>
      <c r="E547" s="11"/>
      <c r="I547" s="15"/>
      <c r="J547" s="47"/>
      <c r="K547" s="76"/>
      <c r="L547" s="76"/>
      <c r="M547" s="78"/>
      <c r="N547" s="77"/>
      <c r="O547" s="32"/>
      <c r="P547" s="32"/>
      <c r="Q547" s="32"/>
      <c r="R547" s="32"/>
    </row>
    <row r="548" spans="3:18" x14ac:dyDescent="0.3">
      <c r="C548" s="11"/>
      <c r="D548" s="32"/>
      <c r="E548" s="11"/>
      <c r="I548" s="15"/>
      <c r="J548" s="47"/>
      <c r="K548" s="76"/>
      <c r="L548" s="76"/>
      <c r="M548" s="78"/>
      <c r="N548" s="77"/>
      <c r="O548" s="32"/>
      <c r="P548" s="32"/>
      <c r="Q548" s="32"/>
      <c r="R548" s="32"/>
    </row>
    <row r="549" spans="3:18" x14ac:dyDescent="0.3">
      <c r="C549" s="11"/>
      <c r="D549" s="32"/>
      <c r="E549" s="11"/>
      <c r="I549" s="15"/>
      <c r="J549" s="47"/>
      <c r="K549" s="76"/>
      <c r="L549" s="76"/>
      <c r="M549" s="78"/>
      <c r="N549" s="77"/>
      <c r="O549" s="32"/>
      <c r="P549" s="32"/>
      <c r="Q549" s="32"/>
      <c r="R549" s="32"/>
    </row>
    <row r="550" spans="3:18" x14ac:dyDescent="0.3">
      <c r="C550" s="11"/>
      <c r="D550" s="32"/>
      <c r="E550" s="11"/>
      <c r="I550" s="15"/>
      <c r="J550" s="47"/>
      <c r="K550" s="76"/>
      <c r="L550" s="76"/>
      <c r="M550" s="78"/>
      <c r="N550" s="77"/>
      <c r="O550" s="32"/>
      <c r="P550" s="32"/>
      <c r="Q550" s="32"/>
      <c r="R550" s="32"/>
    </row>
    <row r="551" spans="3:18" x14ac:dyDescent="0.3">
      <c r="C551" s="11"/>
      <c r="D551" s="32"/>
      <c r="E551" s="11"/>
      <c r="I551" s="15"/>
      <c r="J551" s="47"/>
      <c r="K551" s="76"/>
      <c r="L551" s="76"/>
      <c r="M551" s="78"/>
      <c r="N551" s="77"/>
      <c r="O551" s="32"/>
      <c r="P551" s="32"/>
      <c r="Q551" s="32"/>
      <c r="R551" s="32"/>
    </row>
    <row r="552" spans="3:18" x14ac:dyDescent="0.3">
      <c r="C552" s="11"/>
      <c r="D552" s="32"/>
      <c r="E552" s="11"/>
      <c r="I552" s="15"/>
      <c r="J552" s="47"/>
      <c r="K552" s="76"/>
      <c r="L552" s="76"/>
      <c r="M552" s="78"/>
      <c r="N552" s="77"/>
      <c r="O552" s="32"/>
      <c r="P552" s="32"/>
      <c r="Q552" s="32"/>
      <c r="R552" s="32"/>
    </row>
    <row r="553" spans="3:18" x14ac:dyDescent="0.3">
      <c r="C553" s="11"/>
      <c r="D553" s="32"/>
      <c r="E553" s="11"/>
      <c r="I553" s="15"/>
      <c r="J553" s="47"/>
      <c r="K553" s="76"/>
      <c r="L553" s="76"/>
      <c r="M553" s="78"/>
      <c r="N553" s="77"/>
      <c r="O553" s="32"/>
      <c r="P553" s="32"/>
      <c r="Q553" s="32"/>
      <c r="R553" s="32"/>
    </row>
    <row r="554" spans="3:18" x14ac:dyDescent="0.3">
      <c r="C554" s="11"/>
      <c r="D554" s="32"/>
      <c r="E554" s="11"/>
      <c r="I554" s="15"/>
      <c r="J554" s="47"/>
      <c r="K554" s="76"/>
      <c r="L554" s="76"/>
      <c r="M554" s="78"/>
      <c r="N554" s="77"/>
      <c r="O554" s="32"/>
      <c r="P554" s="32"/>
      <c r="Q554" s="32"/>
      <c r="R554" s="32"/>
    </row>
    <row r="555" spans="3:18" x14ac:dyDescent="0.3">
      <c r="C555" s="11"/>
      <c r="D555" s="32"/>
      <c r="E555" s="11"/>
      <c r="I555" s="15"/>
      <c r="J555" s="47"/>
      <c r="K555" s="76"/>
      <c r="L555" s="76"/>
      <c r="M555" s="78"/>
      <c r="N555" s="77"/>
      <c r="O555" s="32"/>
      <c r="P555" s="32"/>
      <c r="Q555" s="32"/>
      <c r="R555" s="32"/>
    </row>
    <row r="556" spans="3:18" x14ac:dyDescent="0.3">
      <c r="C556" s="11"/>
      <c r="D556" s="32"/>
      <c r="E556" s="11"/>
      <c r="I556" s="15"/>
      <c r="J556" s="47"/>
      <c r="K556" s="76"/>
      <c r="L556" s="76"/>
      <c r="M556" s="78"/>
      <c r="N556" s="77"/>
      <c r="O556" s="32"/>
      <c r="P556" s="32"/>
      <c r="Q556" s="32"/>
      <c r="R556" s="32"/>
    </row>
    <row r="557" spans="3:18" x14ac:dyDescent="0.3">
      <c r="C557" s="11"/>
      <c r="D557" s="32"/>
      <c r="E557" s="11"/>
      <c r="I557" s="15"/>
      <c r="J557" s="47"/>
      <c r="K557" s="76"/>
      <c r="L557" s="76"/>
      <c r="M557" s="78"/>
      <c r="N557" s="77"/>
      <c r="O557" s="32"/>
      <c r="P557" s="32"/>
      <c r="Q557" s="32"/>
      <c r="R557" s="32"/>
    </row>
    <row r="558" spans="3:18" x14ac:dyDescent="0.3">
      <c r="C558" s="11"/>
      <c r="D558" s="32"/>
      <c r="E558" s="11"/>
      <c r="I558" s="15"/>
      <c r="J558" s="47"/>
      <c r="K558" s="76"/>
      <c r="L558" s="76"/>
      <c r="M558" s="78"/>
      <c r="N558" s="77"/>
      <c r="O558" s="32"/>
      <c r="P558" s="32"/>
      <c r="Q558" s="32"/>
      <c r="R558" s="32"/>
    </row>
    <row r="559" spans="3:18" x14ac:dyDescent="0.3">
      <c r="C559" s="11"/>
      <c r="D559" s="32"/>
      <c r="E559" s="11"/>
      <c r="I559" s="15"/>
      <c r="J559" s="47"/>
      <c r="K559" s="76"/>
      <c r="L559" s="76"/>
      <c r="M559" s="78"/>
      <c r="N559" s="77"/>
      <c r="O559" s="32"/>
      <c r="P559" s="32"/>
      <c r="Q559" s="32"/>
      <c r="R559" s="32"/>
    </row>
    <row r="560" spans="3:18" x14ac:dyDescent="0.3">
      <c r="C560" s="11"/>
      <c r="D560" s="32"/>
      <c r="E560" s="11"/>
      <c r="I560" s="15"/>
      <c r="J560" s="47"/>
      <c r="K560" s="76"/>
      <c r="L560" s="76"/>
      <c r="M560" s="78"/>
      <c r="N560" s="77"/>
      <c r="O560" s="32"/>
      <c r="P560" s="32"/>
      <c r="Q560" s="32"/>
      <c r="R560" s="32"/>
    </row>
    <row r="561" spans="3:18" x14ac:dyDescent="0.3">
      <c r="C561" s="11"/>
      <c r="D561" s="32"/>
      <c r="E561" s="11"/>
      <c r="I561" s="15"/>
      <c r="J561" s="47"/>
      <c r="K561" s="76"/>
      <c r="L561" s="76"/>
      <c r="M561" s="78"/>
      <c r="N561" s="77"/>
      <c r="O561" s="32"/>
      <c r="P561" s="32"/>
      <c r="Q561" s="32"/>
      <c r="R561" s="32"/>
    </row>
    <row r="562" spans="3:18" x14ac:dyDescent="0.3">
      <c r="C562" s="11"/>
      <c r="D562" s="32"/>
      <c r="E562" s="11"/>
      <c r="I562" s="15"/>
      <c r="J562" s="47"/>
      <c r="K562" s="76"/>
      <c r="L562" s="76"/>
      <c r="M562" s="78"/>
      <c r="N562" s="77"/>
      <c r="O562" s="32"/>
      <c r="P562" s="32"/>
      <c r="Q562" s="32"/>
      <c r="R562" s="32"/>
    </row>
    <row r="563" spans="3:18" x14ac:dyDescent="0.3">
      <c r="C563" s="11"/>
      <c r="D563" s="32"/>
      <c r="E563" s="11"/>
      <c r="I563" s="15"/>
      <c r="J563" s="47"/>
      <c r="K563" s="76"/>
      <c r="L563" s="76"/>
      <c r="M563" s="78"/>
      <c r="N563" s="77"/>
      <c r="O563" s="32"/>
      <c r="P563" s="32"/>
      <c r="Q563" s="32"/>
      <c r="R563" s="32"/>
    </row>
    <row r="564" spans="3:18" x14ac:dyDescent="0.3">
      <c r="C564" s="11"/>
      <c r="D564" s="32"/>
      <c r="E564" s="11"/>
      <c r="I564" s="15"/>
      <c r="J564" s="47"/>
      <c r="K564" s="76"/>
      <c r="L564" s="76"/>
      <c r="M564" s="78"/>
      <c r="N564" s="77"/>
      <c r="O564" s="32"/>
      <c r="P564" s="32"/>
      <c r="Q564" s="32"/>
      <c r="R564" s="32"/>
    </row>
    <row r="565" spans="3:18" x14ac:dyDescent="0.3">
      <c r="C565" s="11"/>
      <c r="D565" s="32"/>
      <c r="E565" s="11"/>
      <c r="I565" s="15"/>
      <c r="J565" s="47"/>
      <c r="K565" s="76"/>
      <c r="L565" s="76"/>
      <c r="M565" s="78"/>
      <c r="N565" s="77"/>
      <c r="O565" s="32"/>
      <c r="P565" s="32"/>
      <c r="Q565" s="32"/>
      <c r="R565" s="32"/>
    </row>
    <row r="566" spans="3:18" x14ac:dyDescent="0.3">
      <c r="C566" s="11"/>
      <c r="D566" s="32"/>
      <c r="E566" s="11"/>
      <c r="I566" s="15"/>
      <c r="J566" s="47"/>
      <c r="K566" s="76"/>
      <c r="L566" s="76"/>
      <c r="M566" s="78"/>
      <c r="N566" s="77"/>
      <c r="O566" s="32"/>
      <c r="P566" s="32"/>
      <c r="Q566" s="32"/>
      <c r="R566" s="32"/>
    </row>
    <row r="567" spans="3:18" x14ac:dyDescent="0.3">
      <c r="C567" s="11"/>
      <c r="D567" s="32"/>
      <c r="E567" s="11"/>
      <c r="I567" s="15"/>
      <c r="J567" s="47"/>
      <c r="K567" s="76"/>
      <c r="L567" s="76"/>
      <c r="M567" s="78"/>
      <c r="N567" s="77"/>
      <c r="O567" s="32"/>
      <c r="P567" s="32"/>
      <c r="Q567" s="32"/>
      <c r="R567" s="32"/>
    </row>
    <row r="568" spans="3:18" x14ac:dyDescent="0.3">
      <c r="C568" s="11"/>
      <c r="D568" s="32"/>
      <c r="E568" s="11"/>
      <c r="I568" s="15"/>
      <c r="J568" s="47"/>
      <c r="K568" s="76"/>
      <c r="L568" s="76"/>
      <c r="M568" s="78"/>
      <c r="N568" s="77"/>
      <c r="O568" s="32"/>
      <c r="P568" s="32"/>
      <c r="Q568" s="32"/>
      <c r="R568" s="32"/>
    </row>
    <row r="569" spans="3:18" x14ac:dyDescent="0.3">
      <c r="C569" s="11"/>
      <c r="D569" s="32"/>
      <c r="E569" s="11"/>
      <c r="I569" s="15"/>
      <c r="J569" s="47"/>
      <c r="K569" s="76"/>
      <c r="L569" s="76"/>
      <c r="M569" s="78"/>
      <c r="N569" s="77"/>
      <c r="O569" s="32"/>
      <c r="P569" s="32"/>
      <c r="Q569" s="32"/>
      <c r="R569" s="32"/>
    </row>
    <row r="570" spans="3:18" x14ac:dyDescent="0.3">
      <c r="C570" s="11"/>
      <c r="D570" s="32"/>
      <c r="E570" s="11"/>
      <c r="I570" s="15"/>
      <c r="J570" s="47"/>
      <c r="K570" s="76"/>
      <c r="L570" s="76"/>
      <c r="M570" s="78"/>
      <c r="N570" s="77"/>
      <c r="O570" s="32"/>
      <c r="P570" s="32"/>
      <c r="Q570" s="32"/>
      <c r="R570" s="32"/>
    </row>
    <row r="571" spans="3:18" x14ac:dyDescent="0.3">
      <c r="C571" s="11"/>
      <c r="D571" s="32"/>
      <c r="E571" s="11"/>
      <c r="I571" s="15"/>
      <c r="J571" s="47"/>
      <c r="K571" s="76"/>
      <c r="L571" s="76"/>
      <c r="M571" s="78"/>
      <c r="N571" s="77"/>
      <c r="O571" s="32"/>
      <c r="P571" s="32"/>
      <c r="Q571" s="32"/>
      <c r="R571" s="32"/>
    </row>
    <row r="572" spans="3:18" x14ac:dyDescent="0.3">
      <c r="C572" s="11"/>
      <c r="D572" s="32"/>
      <c r="E572" s="11"/>
      <c r="I572" s="15"/>
      <c r="J572" s="47"/>
      <c r="K572" s="76"/>
      <c r="L572" s="76"/>
      <c r="M572" s="78"/>
      <c r="N572" s="77"/>
      <c r="O572" s="32"/>
      <c r="P572" s="32"/>
      <c r="Q572" s="32"/>
      <c r="R572" s="32"/>
    </row>
    <row r="573" spans="3:18" x14ac:dyDescent="0.3">
      <c r="C573" s="11"/>
      <c r="D573" s="32"/>
      <c r="E573" s="11"/>
      <c r="I573" s="15"/>
      <c r="J573" s="47"/>
      <c r="K573" s="76"/>
      <c r="L573" s="76"/>
      <c r="M573" s="78"/>
      <c r="N573" s="77"/>
      <c r="O573" s="32"/>
      <c r="P573" s="32"/>
      <c r="Q573" s="32"/>
      <c r="R573" s="32"/>
    </row>
    <row r="574" spans="3:18" x14ac:dyDescent="0.3">
      <c r="C574" s="11"/>
      <c r="D574" s="32"/>
      <c r="E574" s="11"/>
      <c r="I574" s="15"/>
      <c r="J574" s="47"/>
      <c r="K574" s="76"/>
      <c r="L574" s="76"/>
      <c r="M574" s="78"/>
      <c r="N574" s="77"/>
      <c r="O574" s="32"/>
      <c r="P574" s="32"/>
      <c r="Q574" s="32"/>
      <c r="R574" s="32"/>
    </row>
    <row r="575" spans="3:18" x14ac:dyDescent="0.3">
      <c r="C575" s="11"/>
      <c r="D575" s="32"/>
      <c r="E575" s="11"/>
      <c r="I575" s="15"/>
      <c r="J575" s="47"/>
      <c r="K575" s="76"/>
      <c r="L575" s="76"/>
      <c r="M575" s="78"/>
      <c r="N575" s="77"/>
      <c r="O575" s="32"/>
      <c r="P575" s="32"/>
      <c r="Q575" s="32"/>
      <c r="R575" s="32"/>
    </row>
    <row r="576" spans="3:18" x14ac:dyDescent="0.3">
      <c r="C576" s="11"/>
      <c r="D576" s="32"/>
      <c r="E576" s="11"/>
      <c r="I576" s="15"/>
      <c r="J576" s="47"/>
      <c r="K576" s="76"/>
      <c r="L576" s="76"/>
      <c r="M576" s="78"/>
      <c r="N576" s="77"/>
      <c r="O576" s="32"/>
      <c r="P576" s="32"/>
      <c r="Q576" s="32"/>
      <c r="R576" s="32"/>
    </row>
    <row r="577" spans="3:18" x14ac:dyDescent="0.3">
      <c r="C577" s="11"/>
      <c r="D577" s="32"/>
      <c r="E577" s="11"/>
      <c r="I577" s="15"/>
      <c r="J577" s="47"/>
      <c r="K577" s="76"/>
      <c r="L577" s="76"/>
      <c r="M577" s="78"/>
      <c r="N577" s="77"/>
      <c r="O577" s="32"/>
      <c r="P577" s="32"/>
      <c r="Q577" s="32"/>
      <c r="R577" s="32"/>
    </row>
    <row r="578" spans="3:18" x14ac:dyDescent="0.3">
      <c r="C578" s="11"/>
      <c r="D578" s="32"/>
      <c r="E578" s="11"/>
      <c r="I578" s="15"/>
      <c r="J578" s="47"/>
      <c r="K578" s="76"/>
      <c r="L578" s="76"/>
      <c r="M578" s="78"/>
      <c r="N578" s="77"/>
      <c r="O578" s="32"/>
      <c r="P578" s="32"/>
      <c r="Q578" s="32"/>
      <c r="R578" s="32"/>
    </row>
    <row r="579" spans="3:18" x14ac:dyDescent="0.3">
      <c r="C579" s="11"/>
      <c r="D579" s="32"/>
      <c r="E579" s="11"/>
      <c r="I579" s="15"/>
      <c r="J579" s="47"/>
      <c r="K579" s="76"/>
      <c r="L579" s="76"/>
      <c r="M579" s="78"/>
      <c r="N579" s="77"/>
      <c r="O579" s="32"/>
      <c r="P579" s="32"/>
      <c r="Q579" s="32"/>
      <c r="R579" s="32"/>
    </row>
    <row r="580" spans="3:18" x14ac:dyDescent="0.3">
      <c r="C580" s="11"/>
      <c r="D580" s="32"/>
      <c r="E580" s="11"/>
      <c r="I580" s="15"/>
      <c r="J580" s="47"/>
      <c r="K580" s="76"/>
      <c r="L580" s="76"/>
      <c r="M580" s="78"/>
      <c r="N580" s="77"/>
      <c r="O580" s="32"/>
      <c r="P580" s="32"/>
      <c r="Q580" s="32"/>
      <c r="R580" s="32"/>
    </row>
    <row r="581" spans="3:18" x14ac:dyDescent="0.3">
      <c r="C581" s="11"/>
      <c r="D581" s="32"/>
      <c r="E581" s="11"/>
      <c r="I581" s="15"/>
      <c r="J581" s="47"/>
      <c r="K581" s="76"/>
      <c r="L581" s="76"/>
      <c r="M581" s="78"/>
      <c r="N581" s="77"/>
      <c r="O581" s="32"/>
      <c r="P581" s="32"/>
      <c r="Q581" s="32"/>
      <c r="R581" s="32"/>
    </row>
    <row r="582" spans="3:18" x14ac:dyDescent="0.3">
      <c r="C582" s="11"/>
      <c r="D582" s="32"/>
      <c r="E582" s="11"/>
      <c r="I582" s="15"/>
      <c r="J582" s="47"/>
      <c r="K582" s="76"/>
      <c r="L582" s="76"/>
      <c r="M582" s="78"/>
      <c r="N582" s="77"/>
      <c r="O582" s="32"/>
      <c r="P582" s="32"/>
      <c r="Q582" s="32"/>
      <c r="R582" s="32"/>
    </row>
    <row r="583" spans="3:18" x14ac:dyDescent="0.3">
      <c r="C583" s="11"/>
      <c r="D583" s="32"/>
      <c r="E583" s="11"/>
      <c r="I583" s="15"/>
      <c r="J583" s="47"/>
      <c r="K583" s="76"/>
      <c r="L583" s="76"/>
      <c r="M583" s="78"/>
      <c r="N583" s="77"/>
      <c r="O583" s="32"/>
      <c r="P583" s="32"/>
      <c r="Q583" s="32"/>
      <c r="R583" s="32"/>
    </row>
    <row r="584" spans="3:18" x14ac:dyDescent="0.3">
      <c r="C584" s="11"/>
      <c r="D584" s="32"/>
      <c r="E584" s="11"/>
      <c r="I584" s="15"/>
      <c r="J584" s="47"/>
      <c r="K584" s="76"/>
      <c r="L584" s="76"/>
      <c r="M584" s="78"/>
      <c r="N584" s="77"/>
      <c r="O584" s="32"/>
      <c r="P584" s="32"/>
      <c r="Q584" s="32"/>
      <c r="R584" s="32"/>
    </row>
    <row r="585" spans="3:18" x14ac:dyDescent="0.3">
      <c r="C585" s="11"/>
      <c r="D585" s="32"/>
      <c r="E585" s="11"/>
      <c r="I585" s="15"/>
      <c r="J585" s="47"/>
      <c r="K585" s="76"/>
      <c r="L585" s="76"/>
      <c r="M585" s="78"/>
      <c r="N585" s="77"/>
      <c r="O585" s="32"/>
      <c r="P585" s="32"/>
      <c r="Q585" s="32"/>
      <c r="R585" s="32"/>
    </row>
    <row r="586" spans="3:18" x14ac:dyDescent="0.3">
      <c r="C586" s="11"/>
      <c r="D586" s="32"/>
      <c r="E586" s="11"/>
      <c r="I586" s="15"/>
      <c r="J586" s="47"/>
      <c r="K586" s="76"/>
      <c r="L586" s="76"/>
      <c r="M586" s="78"/>
      <c r="N586" s="77"/>
      <c r="O586" s="32"/>
      <c r="P586" s="32"/>
      <c r="Q586" s="32"/>
      <c r="R586" s="32"/>
    </row>
    <row r="587" spans="3:18" x14ac:dyDescent="0.3">
      <c r="C587" s="11"/>
      <c r="D587" s="32"/>
      <c r="E587" s="11"/>
      <c r="I587" s="15"/>
      <c r="J587" s="47"/>
      <c r="K587" s="76"/>
      <c r="L587" s="76"/>
      <c r="M587" s="78"/>
      <c r="N587" s="77"/>
      <c r="O587" s="32"/>
      <c r="P587" s="32"/>
      <c r="Q587" s="32"/>
      <c r="R587" s="32"/>
    </row>
    <row r="588" spans="3:18" x14ac:dyDescent="0.3">
      <c r="C588" s="11"/>
      <c r="D588" s="32"/>
      <c r="E588" s="11"/>
      <c r="I588" s="15"/>
      <c r="J588" s="47"/>
      <c r="K588" s="76"/>
      <c r="L588" s="76"/>
      <c r="M588" s="78"/>
      <c r="N588" s="77"/>
      <c r="O588" s="32"/>
      <c r="P588" s="32"/>
      <c r="Q588" s="32"/>
      <c r="R588" s="32"/>
    </row>
    <row r="589" spans="3:18" x14ac:dyDescent="0.3">
      <c r="C589" s="11"/>
      <c r="D589" s="32"/>
      <c r="E589" s="11"/>
      <c r="I589" s="15"/>
      <c r="J589" s="47"/>
      <c r="K589" s="76"/>
      <c r="L589" s="76"/>
      <c r="M589" s="78"/>
      <c r="N589" s="77"/>
      <c r="O589" s="32"/>
      <c r="P589" s="32"/>
      <c r="Q589" s="32"/>
      <c r="R589" s="32"/>
    </row>
    <row r="590" spans="3:18" x14ac:dyDescent="0.3">
      <c r="C590" s="11"/>
      <c r="D590" s="32"/>
      <c r="E590" s="11"/>
      <c r="I590" s="15"/>
      <c r="J590" s="47"/>
      <c r="K590" s="76"/>
      <c r="L590" s="76"/>
      <c r="M590" s="78"/>
      <c r="N590" s="77"/>
      <c r="O590" s="32"/>
      <c r="P590" s="32"/>
      <c r="Q590" s="32"/>
      <c r="R590" s="32"/>
    </row>
    <row r="591" spans="3:18" x14ac:dyDescent="0.3">
      <c r="C591" s="11"/>
      <c r="D591" s="32"/>
      <c r="E591" s="11"/>
      <c r="I591" s="15"/>
      <c r="J591" s="47"/>
      <c r="K591" s="76"/>
      <c r="L591" s="76"/>
      <c r="M591" s="78"/>
      <c r="N591" s="77"/>
      <c r="O591" s="32"/>
      <c r="P591" s="32"/>
      <c r="Q591" s="32"/>
      <c r="R591" s="32"/>
    </row>
    <row r="592" spans="3:18" x14ac:dyDescent="0.3">
      <c r="C592" s="11"/>
      <c r="D592" s="32"/>
      <c r="E592" s="11"/>
      <c r="I592" s="15"/>
      <c r="J592" s="47"/>
      <c r="K592" s="76"/>
      <c r="L592" s="76"/>
      <c r="M592" s="78"/>
      <c r="N592" s="77"/>
      <c r="O592" s="32"/>
      <c r="P592" s="32"/>
      <c r="Q592" s="32"/>
      <c r="R592" s="32"/>
    </row>
    <row r="593" spans="3:18" x14ac:dyDescent="0.3">
      <c r="C593" s="11"/>
      <c r="D593" s="32"/>
      <c r="E593" s="11"/>
      <c r="I593" s="15"/>
      <c r="J593" s="47"/>
      <c r="K593" s="76"/>
      <c r="L593" s="76"/>
      <c r="M593" s="78"/>
      <c r="N593" s="77"/>
      <c r="O593" s="32"/>
      <c r="P593" s="32"/>
      <c r="Q593" s="32"/>
      <c r="R593" s="32"/>
    </row>
    <row r="594" spans="3:18" x14ac:dyDescent="0.3">
      <c r="C594" s="11"/>
      <c r="D594" s="32"/>
      <c r="E594" s="11"/>
      <c r="I594" s="15"/>
      <c r="J594" s="47"/>
      <c r="K594" s="76"/>
      <c r="L594" s="76"/>
      <c r="M594" s="78"/>
      <c r="N594" s="77"/>
      <c r="O594" s="32"/>
      <c r="P594" s="32"/>
      <c r="Q594" s="32"/>
      <c r="R594" s="32"/>
    </row>
    <row r="595" spans="3:18" x14ac:dyDescent="0.3">
      <c r="C595" s="11"/>
      <c r="D595" s="32"/>
      <c r="E595" s="11"/>
      <c r="I595" s="15"/>
      <c r="J595" s="47"/>
      <c r="K595" s="76"/>
      <c r="L595" s="76"/>
      <c r="M595" s="78"/>
      <c r="N595" s="77"/>
      <c r="O595" s="32"/>
      <c r="P595" s="32"/>
      <c r="Q595" s="32"/>
      <c r="R595" s="32"/>
    </row>
    <row r="596" spans="3:18" x14ac:dyDescent="0.3">
      <c r="C596" s="11"/>
      <c r="D596" s="32"/>
      <c r="E596" s="11"/>
      <c r="I596" s="15"/>
      <c r="J596" s="47"/>
      <c r="K596" s="76"/>
      <c r="L596" s="76"/>
      <c r="M596" s="78"/>
      <c r="N596" s="77"/>
      <c r="O596" s="32"/>
      <c r="P596" s="32"/>
      <c r="Q596" s="32"/>
      <c r="R596" s="32"/>
    </row>
    <row r="597" spans="3:18" x14ac:dyDescent="0.3">
      <c r="C597" s="11"/>
      <c r="D597" s="32"/>
      <c r="E597" s="11"/>
      <c r="I597" s="15"/>
      <c r="J597" s="47"/>
      <c r="K597" s="76"/>
      <c r="L597" s="76"/>
      <c r="M597" s="78"/>
      <c r="N597" s="77"/>
      <c r="O597" s="32"/>
      <c r="P597" s="32"/>
      <c r="Q597" s="32"/>
      <c r="R597" s="32"/>
    </row>
    <row r="598" spans="3:18" x14ac:dyDescent="0.3">
      <c r="C598" s="11"/>
      <c r="D598" s="32"/>
      <c r="E598" s="11"/>
      <c r="I598" s="15"/>
      <c r="J598" s="47"/>
      <c r="K598" s="76"/>
      <c r="L598" s="76"/>
      <c r="M598" s="78"/>
      <c r="N598" s="77"/>
      <c r="O598" s="32"/>
      <c r="P598" s="32"/>
      <c r="Q598" s="32"/>
      <c r="R598" s="32"/>
    </row>
    <row r="599" spans="3:18" x14ac:dyDescent="0.3">
      <c r="C599" s="11"/>
      <c r="D599" s="32"/>
      <c r="E599" s="11"/>
      <c r="I599" s="15"/>
      <c r="J599" s="47"/>
      <c r="K599" s="76"/>
      <c r="L599" s="76"/>
      <c r="M599" s="78"/>
      <c r="N599" s="77"/>
      <c r="O599" s="32"/>
      <c r="P599" s="32"/>
      <c r="Q599" s="32"/>
      <c r="R599" s="32"/>
    </row>
    <row r="600" spans="3:18" x14ac:dyDescent="0.3">
      <c r="C600" s="11"/>
      <c r="D600" s="32"/>
      <c r="E600" s="11"/>
      <c r="I600" s="15"/>
      <c r="J600" s="47"/>
      <c r="K600" s="76"/>
      <c r="L600" s="76"/>
      <c r="M600" s="78"/>
      <c r="N600" s="77"/>
      <c r="O600" s="32"/>
      <c r="P600" s="32"/>
      <c r="Q600" s="32"/>
      <c r="R600" s="32"/>
    </row>
    <row r="601" spans="3:18" x14ac:dyDescent="0.3">
      <c r="C601" s="11"/>
      <c r="D601" s="32"/>
      <c r="E601" s="11"/>
      <c r="I601" s="15"/>
      <c r="J601" s="47"/>
      <c r="K601" s="76"/>
      <c r="L601" s="76"/>
      <c r="M601" s="78"/>
      <c r="N601" s="77"/>
      <c r="O601" s="32"/>
      <c r="P601" s="32"/>
      <c r="Q601" s="32"/>
      <c r="R601" s="32"/>
    </row>
    <row r="602" spans="3:18" x14ac:dyDescent="0.3">
      <c r="C602" s="11"/>
      <c r="D602" s="32"/>
      <c r="E602" s="11"/>
      <c r="I602" s="15"/>
      <c r="J602" s="47"/>
      <c r="K602" s="76"/>
      <c r="L602" s="76"/>
      <c r="M602" s="78"/>
      <c r="N602" s="77"/>
      <c r="O602" s="32"/>
      <c r="P602" s="32"/>
      <c r="Q602" s="32"/>
      <c r="R602" s="32"/>
    </row>
    <row r="603" spans="3:18" x14ac:dyDescent="0.3">
      <c r="C603" s="11"/>
      <c r="D603" s="32"/>
      <c r="E603" s="11"/>
      <c r="I603" s="15"/>
      <c r="J603" s="47"/>
      <c r="K603" s="76"/>
      <c r="L603" s="76"/>
      <c r="M603" s="78"/>
      <c r="N603" s="77"/>
      <c r="O603" s="32"/>
      <c r="P603" s="32"/>
      <c r="Q603" s="32"/>
      <c r="R603" s="32"/>
    </row>
    <row r="604" spans="3:18" x14ac:dyDescent="0.3">
      <c r="C604" s="11"/>
      <c r="D604" s="32"/>
      <c r="E604" s="11"/>
      <c r="I604" s="15"/>
      <c r="J604" s="47"/>
      <c r="K604" s="76"/>
      <c r="L604" s="76"/>
      <c r="M604" s="78"/>
      <c r="N604" s="77"/>
      <c r="O604" s="32"/>
      <c r="P604" s="32"/>
      <c r="Q604" s="32"/>
      <c r="R604" s="32"/>
    </row>
    <row r="605" spans="3:18" x14ac:dyDescent="0.3">
      <c r="C605" s="11"/>
      <c r="D605" s="32"/>
      <c r="E605" s="11"/>
      <c r="I605" s="15"/>
      <c r="J605" s="47"/>
      <c r="K605" s="76"/>
      <c r="L605" s="76"/>
      <c r="M605" s="78"/>
      <c r="N605" s="77"/>
      <c r="O605" s="32"/>
      <c r="P605" s="32"/>
      <c r="Q605" s="32"/>
      <c r="R605" s="32"/>
    </row>
    <row r="606" spans="3:18" x14ac:dyDescent="0.3">
      <c r="C606" s="11"/>
      <c r="D606" s="32"/>
      <c r="E606" s="11"/>
      <c r="I606" s="15"/>
      <c r="J606" s="47"/>
      <c r="K606" s="76"/>
      <c r="L606" s="76"/>
      <c r="M606" s="78"/>
      <c r="N606" s="77"/>
      <c r="O606" s="32"/>
      <c r="P606" s="32"/>
      <c r="Q606" s="32"/>
      <c r="R606" s="32"/>
    </row>
    <row r="607" spans="3:18" x14ac:dyDescent="0.3">
      <c r="C607" s="11"/>
      <c r="D607" s="32"/>
      <c r="E607" s="11"/>
      <c r="I607" s="15"/>
      <c r="J607" s="47"/>
      <c r="K607" s="76"/>
      <c r="L607" s="76"/>
      <c r="M607" s="78"/>
      <c r="N607" s="77"/>
      <c r="O607" s="32"/>
      <c r="P607" s="32"/>
      <c r="Q607" s="32"/>
      <c r="R607" s="32"/>
    </row>
    <row r="608" spans="3:18" x14ac:dyDescent="0.3">
      <c r="C608" s="11"/>
      <c r="D608" s="32"/>
      <c r="E608" s="11"/>
      <c r="I608" s="15"/>
      <c r="J608" s="47"/>
      <c r="K608" s="76"/>
      <c r="L608" s="76"/>
      <c r="M608" s="78"/>
      <c r="N608" s="77"/>
      <c r="O608" s="32"/>
      <c r="P608" s="32"/>
      <c r="Q608" s="32"/>
      <c r="R608" s="32"/>
    </row>
    <row r="609" spans="3:18" x14ac:dyDescent="0.3">
      <c r="C609" s="11"/>
      <c r="D609" s="32"/>
      <c r="E609" s="11"/>
      <c r="I609" s="15"/>
      <c r="J609" s="47"/>
      <c r="K609" s="76"/>
      <c r="L609" s="76"/>
      <c r="M609" s="78"/>
      <c r="N609" s="77"/>
      <c r="O609" s="32"/>
      <c r="P609" s="32"/>
      <c r="Q609" s="32"/>
      <c r="R609" s="32"/>
    </row>
    <row r="610" spans="3:18" x14ac:dyDescent="0.3">
      <c r="C610" s="11"/>
      <c r="D610" s="32"/>
      <c r="E610" s="11"/>
      <c r="I610" s="15"/>
      <c r="J610" s="47"/>
      <c r="K610" s="76"/>
      <c r="L610" s="76"/>
      <c r="M610" s="78"/>
      <c r="N610" s="77"/>
      <c r="O610" s="32"/>
      <c r="P610" s="32"/>
      <c r="Q610" s="32"/>
      <c r="R610" s="32"/>
    </row>
    <row r="611" spans="3:18" x14ac:dyDescent="0.3">
      <c r="C611" s="11"/>
    </row>
    <row r="612" spans="3:18" x14ac:dyDescent="0.3">
      <c r="C612" s="11"/>
    </row>
    <row r="613" spans="3:18" x14ac:dyDescent="0.3">
      <c r="C613" s="11"/>
    </row>
    <row r="614" spans="3:18" x14ac:dyDescent="0.3">
      <c r="C614" s="11"/>
    </row>
    <row r="615" spans="3:18" x14ac:dyDescent="0.3">
      <c r="C615" s="11"/>
    </row>
    <row r="616" spans="3:18" x14ac:dyDescent="0.3">
      <c r="C616" s="11"/>
    </row>
    <row r="617" spans="3:18" x14ac:dyDescent="0.3">
      <c r="C617" s="11"/>
    </row>
  </sheetData>
  <dataValidations count="10">
    <dataValidation type="list" allowBlank="1" showInputMessage="1" showErrorMessage="1" sqref="E203:E614" xr:uid="{637D5BBA-0E31-4A66-9636-255720968281}">
      <formula1>$AA$2:$AA$7</formula1>
    </dataValidation>
    <dataValidation type="list" allowBlank="1" showInputMessage="1" showErrorMessage="1" sqref="C2:C21 C23:C617" xr:uid="{58BCE844-F781-455F-AE7A-3C7CC5EE596E}">
      <formula1>$U$2:$U$15</formula1>
    </dataValidation>
    <dataValidation allowBlank="1" showInputMessage="1" showErrorMessage="1" sqref="D139:D617" xr:uid="{09581630-4F3A-4E37-975C-5F99B0884868}"/>
    <dataValidation type="list" allowBlank="1" showInputMessage="1" promptTitle="Guia" prompt="puede realizar Las siguientes opciones_x000a_si eligio electricos tiene las siguientes opciones de una posible sublista_x000a_" sqref="F611:G612 F139:H610" xr:uid="{EDFD957F-EE38-4909-83AE-D408E9427B3D}">
      <formula1>INDIRECT($E$2:$E$610)</formula1>
    </dataValidation>
    <dataValidation type="list" errorStyle="warning" allowBlank="1" showInputMessage="1" showErrorMessage="1" sqref="C22" xr:uid="{83DED363-2C78-4A70-9972-CF7B658E2CF7}">
      <formula1>$U$2:$U$15</formula1>
    </dataValidation>
    <dataValidation type="list" allowBlank="1" showInputMessage="1" showErrorMessage="1" sqref="E2:E202" xr:uid="{7513CB53-720F-42FB-8914-AD7F1065FBD2}">
      <formula1>$AD$1:$AK$1</formula1>
    </dataValidation>
    <dataValidation type="list" allowBlank="1" showInputMessage="1" showErrorMessage="1" sqref="P2:P610" xr:uid="{76C3BE6B-26DF-439F-9E13-51E8583DCD9D}">
      <formula1>$Z$10:$Z$12</formula1>
    </dataValidation>
    <dataValidation type="whole" allowBlank="1" showInputMessage="1" showErrorMessage="1" sqref="D2:D138" xr:uid="{9D03EFF6-EC17-40E5-B3D7-61EA29A93461}">
      <formula1>1</formula1>
      <formula2>100</formula2>
    </dataValidation>
    <dataValidation type="list" allowBlank="1" showInputMessage="1" showErrorMessage="1" sqref="Q2:Q610" xr:uid="{1EAF8D76-6975-41EA-8E8E-BC708003277F}">
      <formula1>$X$2:$X$4</formula1>
    </dataValidation>
    <dataValidation type="list" allowBlank="1" showInputMessage="1" promptTitle="Guia" prompt="Si tiene dudas sobre que dato colocar consulte las siguientes tablas y no olvide revisar los comentarios_x000a__x000a_" sqref="F2:H138" xr:uid="{BB24F2EE-3B52-4F7C-9F3F-FF565C40DC4D}">
      <formula1>INDIRECT($E$2:$E$610)</formula1>
    </dataValidation>
  </dataValidations>
  <pageMargins left="0.7" right="0.7" top="0.75" bottom="0.75" header="0.3" footer="0.3"/>
  <legacyDrawing r:id="rId1"/>
  <tableParts count="43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B46041D-37EA-4CEE-BEAD-48A75D07F370}">
          <x14:formula1>
            <xm:f>Hoja2!$B$3:$B$79</xm:f>
          </x14:formula1>
          <xm:sqref>B171:B610</xm:sqref>
        </x14:dataValidation>
        <x14:dataValidation type="list" allowBlank="1" showInputMessage="1" showErrorMessage="1" xr:uid="{C11CE9EF-B177-4436-B499-777252E19482}">
          <x14:formula1>
            <xm:f>Hoja2!$B$3:$B$85</xm:f>
          </x14:formula1>
          <xm:sqref>B2:B170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70FF5-756A-4E2A-9DFD-E6AC527E060A}">
  <dimension ref="B1:BQ618"/>
  <sheetViews>
    <sheetView topLeftCell="A2" zoomScale="85" zoomScaleNormal="85" workbookViewId="0">
      <pane xSplit="3" topLeftCell="F1" activePane="topRight" state="frozen"/>
      <selection pane="topRight" activeCell="B11" sqref="B11"/>
    </sheetView>
  </sheetViews>
  <sheetFormatPr baseColWidth="10" defaultColWidth="8.88671875" defaultRowHeight="14.4" x14ac:dyDescent="0.3"/>
  <cols>
    <col min="2" max="2" width="10.5546875" customWidth="1"/>
    <col min="3" max="3" width="14.6640625" customWidth="1"/>
    <col min="4" max="4" width="17.33203125" customWidth="1"/>
    <col min="5" max="5" width="25.44140625" customWidth="1"/>
    <col min="6" max="6" width="17.44140625" customWidth="1"/>
    <col min="7" max="9" width="24.109375" customWidth="1"/>
    <col min="10" max="10" width="18.6640625" customWidth="1"/>
    <col min="11" max="11" width="43.6640625" customWidth="1"/>
    <col min="12" max="12" width="15.6640625" customWidth="1"/>
    <col min="13" max="13" width="11.6640625" customWidth="1"/>
    <col min="14" max="14" width="18.6640625" customWidth="1"/>
    <col min="17" max="17" width="11.33203125" customWidth="1"/>
    <col min="19" max="19" width="19.5546875" customWidth="1"/>
    <col min="20" max="20" width="23.44140625" bestFit="1" customWidth="1"/>
    <col min="21" max="21" width="21.33203125" customWidth="1"/>
    <col min="22" max="22" width="22.33203125" customWidth="1"/>
    <col min="23" max="23" width="24" customWidth="1"/>
    <col min="24" max="24" width="24.44140625" customWidth="1"/>
    <col min="25" max="25" width="26.109375" customWidth="1"/>
    <col min="26" max="26" width="23.6640625" customWidth="1"/>
    <col min="27" max="27" width="24" customWidth="1"/>
    <col min="28" max="28" width="21.33203125" customWidth="1"/>
    <col min="29" max="29" width="21.109375" customWidth="1"/>
    <col min="30" max="30" width="19.44140625" bestFit="1" customWidth="1"/>
    <col min="31" max="31" width="22.5546875" customWidth="1"/>
    <col min="32" max="32" width="29.6640625" customWidth="1"/>
    <col min="33" max="33" width="25" customWidth="1"/>
    <col min="34" max="34" width="26.6640625" customWidth="1"/>
    <col min="35" max="35" width="28.33203125" customWidth="1"/>
    <col min="36" max="36" width="27.109375" customWidth="1"/>
    <col min="37" max="39" width="33.6640625" customWidth="1"/>
    <col min="40" max="40" width="22.5546875" customWidth="1"/>
    <col min="41" max="41" width="26.109375" customWidth="1"/>
    <col min="42" max="42" width="25.33203125" customWidth="1"/>
    <col min="43" max="43" width="21.109375" customWidth="1"/>
    <col min="44" max="44" width="19" customWidth="1"/>
    <col min="45" max="45" width="15.5546875" customWidth="1"/>
    <col min="46" max="46" width="18.33203125" customWidth="1"/>
    <col min="47" max="47" width="18.109375" customWidth="1"/>
  </cols>
  <sheetData>
    <row r="1" spans="2:69" ht="21.6" customHeight="1" x14ac:dyDescent="0.3">
      <c r="B1" s="36" t="s">
        <v>200</v>
      </c>
      <c r="C1" s="36" t="s">
        <v>201</v>
      </c>
      <c r="D1" s="36" t="s">
        <v>202</v>
      </c>
      <c r="E1" s="36" t="s">
        <v>203</v>
      </c>
      <c r="F1" s="37" t="s">
        <v>204</v>
      </c>
      <c r="G1" s="37" t="s">
        <v>568</v>
      </c>
      <c r="H1" s="37" t="s">
        <v>566</v>
      </c>
      <c r="I1" s="37" t="s">
        <v>593</v>
      </c>
      <c r="J1" s="37" t="s">
        <v>567</v>
      </c>
      <c r="K1" s="36" t="s">
        <v>205</v>
      </c>
      <c r="L1" s="36" t="s">
        <v>206</v>
      </c>
      <c r="M1" s="36" t="s">
        <v>342</v>
      </c>
      <c r="N1" s="37" t="s">
        <v>207</v>
      </c>
      <c r="O1" s="37" t="s">
        <v>343</v>
      </c>
      <c r="P1" s="37" t="s">
        <v>208</v>
      </c>
      <c r="Q1" s="37" t="s">
        <v>209</v>
      </c>
      <c r="R1" s="37" t="s">
        <v>210</v>
      </c>
      <c r="S1" s="38" t="s">
        <v>211</v>
      </c>
      <c r="T1" s="37" t="s">
        <v>212</v>
      </c>
      <c r="U1" s="39"/>
      <c r="V1" s="40" t="s">
        <v>213</v>
      </c>
      <c r="W1" s="41" t="s">
        <v>201</v>
      </c>
      <c r="Y1" s="42" t="s">
        <v>213</v>
      </c>
      <c r="Z1" s="43" t="s">
        <v>211</v>
      </c>
      <c r="AB1" s="44" t="s">
        <v>213</v>
      </c>
      <c r="AC1" s="45" t="s">
        <v>214</v>
      </c>
      <c r="AE1" s="46"/>
      <c r="AF1" s="1" t="s">
        <v>4</v>
      </c>
      <c r="AG1" s="2" t="s">
        <v>5</v>
      </c>
      <c r="AH1" s="3" t="s">
        <v>6</v>
      </c>
      <c r="AI1" s="2" t="s">
        <v>7</v>
      </c>
      <c r="AJ1" s="3" t="s">
        <v>8</v>
      </c>
      <c r="AK1" s="3" t="s">
        <v>160</v>
      </c>
      <c r="AL1" s="2" t="s">
        <v>9</v>
      </c>
      <c r="AM1" s="4" t="s">
        <v>10</v>
      </c>
      <c r="AN1" t="s">
        <v>11</v>
      </c>
      <c r="AO1" t="s">
        <v>12</v>
      </c>
      <c r="AR1" t="s">
        <v>215</v>
      </c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</row>
    <row r="2" spans="2:69" ht="26.4" customHeight="1" x14ac:dyDescent="0.3">
      <c r="B2" t="s">
        <v>619</v>
      </c>
      <c r="C2" s="11" t="s">
        <v>177</v>
      </c>
      <c r="D2">
        <v>1</v>
      </c>
      <c r="E2" s="11" t="s">
        <v>4</v>
      </c>
      <c r="F2" s="15"/>
      <c r="G2" s="15" t="s">
        <v>621</v>
      </c>
      <c r="H2" s="15">
        <v>220</v>
      </c>
      <c r="I2" s="15">
        <v>4.3499999999999996</v>
      </c>
      <c r="J2" s="15" t="s">
        <v>623</v>
      </c>
      <c r="K2" s="15" t="s">
        <v>611</v>
      </c>
      <c r="L2" s="47" t="s">
        <v>622</v>
      </c>
      <c r="M2" t="s">
        <v>607</v>
      </c>
      <c r="N2" s="47">
        <v>3271</v>
      </c>
      <c r="O2" s="47" t="str">
        <f>_xlfn.LET(
    _xlpm.itemBuscado, B2,
    _xlpm.areaBuscada, C2,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TEXT(COUNTIF($C$2:C2, _xlpm.areaBuscada), "0000"),
    _xlpm.codItem &amp; "-" &amp; _xlpm.codArea &amp; "-" &amp; _xlpm.secuencia
)</f>
        <v>ZE-TB-INS-0001</v>
      </c>
      <c r="Q2" s="15"/>
      <c r="S2" s="48"/>
      <c r="V2" s="49">
        <v>1</v>
      </c>
      <c r="W2" s="50" t="s">
        <v>171</v>
      </c>
      <c r="Y2" s="51">
        <v>1</v>
      </c>
      <c r="Z2" s="52" t="s">
        <v>216</v>
      </c>
      <c r="AB2" s="51">
        <v>1</v>
      </c>
      <c r="AC2" s="52" t="s">
        <v>4</v>
      </c>
      <c r="AF2" s="5" t="s">
        <v>13</v>
      </c>
      <c r="AG2" t="s">
        <v>14</v>
      </c>
      <c r="AH2" t="s">
        <v>15</v>
      </c>
      <c r="AI2" t="s">
        <v>16</v>
      </c>
      <c r="AJ2" s="6" t="s">
        <v>17</v>
      </c>
      <c r="AK2" t="s">
        <v>18</v>
      </c>
      <c r="AL2" t="s">
        <v>19</v>
      </c>
      <c r="AM2" s="6" t="s">
        <v>20</v>
      </c>
      <c r="AN2" t="s">
        <v>21</v>
      </c>
      <c r="AO2" s="7" t="s">
        <v>22</v>
      </c>
      <c r="AR2" s="25" t="s">
        <v>217</v>
      </c>
      <c r="AS2" t="s">
        <v>218</v>
      </c>
      <c r="AT2" t="s">
        <v>219</v>
      </c>
      <c r="AU2" s="25" t="s">
        <v>220</v>
      </c>
      <c r="AV2" t="s">
        <v>221</v>
      </c>
      <c r="BB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</row>
    <row r="3" spans="2:69" ht="29.25" customHeight="1" x14ac:dyDescent="0.3">
      <c r="B3" t="s">
        <v>619</v>
      </c>
      <c r="C3" s="11" t="s">
        <v>176</v>
      </c>
      <c r="D3">
        <v>1</v>
      </c>
      <c r="E3" s="11" t="s">
        <v>4</v>
      </c>
      <c r="F3" s="15"/>
      <c r="G3" s="15" t="s">
        <v>688</v>
      </c>
      <c r="H3" s="15">
        <v>220</v>
      </c>
      <c r="I3" s="15">
        <v>5.7</v>
      </c>
      <c r="J3" s="15">
        <v>1150</v>
      </c>
      <c r="K3" s="15" t="s">
        <v>611</v>
      </c>
      <c r="L3" s="47" t="s">
        <v>685</v>
      </c>
      <c r="M3" t="s">
        <v>686</v>
      </c>
      <c r="N3" s="47" t="s">
        <v>687</v>
      </c>
      <c r="O3" s="47" t="str">
        <f>_xlfn.LET(
    _xlpm.itemBuscado, B3,
    _xlpm.areaBuscada, C3,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TEXT(COUNTIF($C$2:C3, _xlpm.areaBuscada), "0000"),
    _xlpm.codItem &amp; "-" &amp; _xlpm.codArea &amp; "-" &amp; _xlpm.secuencia
)</f>
        <v>ZE-TB-ELT-0001</v>
      </c>
      <c r="Q3" s="15"/>
      <c r="S3" s="48"/>
      <c r="V3" s="49">
        <v>2</v>
      </c>
      <c r="W3" s="50" t="s">
        <v>172</v>
      </c>
      <c r="Y3" s="51">
        <v>2</v>
      </c>
      <c r="Z3" s="52" t="s">
        <v>222</v>
      </c>
      <c r="AB3" s="51">
        <v>2</v>
      </c>
      <c r="AC3" s="53" t="s">
        <v>5</v>
      </c>
      <c r="AF3" s="6" t="s">
        <v>23</v>
      </c>
      <c r="AG3" t="s">
        <v>24</v>
      </c>
      <c r="AH3" t="s">
        <v>25</v>
      </c>
      <c r="AI3" t="s">
        <v>26</v>
      </c>
      <c r="AJ3" s="6" t="s">
        <v>27</v>
      </c>
      <c r="AK3" t="s">
        <v>28</v>
      </c>
      <c r="AL3" t="s">
        <v>29</v>
      </c>
      <c r="AN3" s="8" t="s">
        <v>30</v>
      </c>
      <c r="AO3" s="9" t="s">
        <v>31</v>
      </c>
      <c r="AR3" s="25" t="s">
        <v>223</v>
      </c>
      <c r="AS3" t="s">
        <v>70</v>
      </c>
      <c r="BB3" s="11"/>
      <c r="BC3" s="11"/>
      <c r="BD3" s="11"/>
      <c r="BE3" s="11"/>
      <c r="BF3" s="11"/>
      <c r="BG3" s="11"/>
      <c r="BH3" s="11"/>
      <c r="BI3" s="11"/>
      <c r="BJ3" s="54"/>
      <c r="BK3" s="54"/>
      <c r="BL3" s="11"/>
      <c r="BM3" s="11"/>
      <c r="BN3" s="11"/>
      <c r="BO3" s="11"/>
      <c r="BP3" s="11"/>
      <c r="BQ3" s="11"/>
    </row>
    <row r="4" spans="2:69" ht="33" customHeight="1" x14ac:dyDescent="0.3">
      <c r="B4" t="s">
        <v>619</v>
      </c>
      <c r="C4" s="11" t="s">
        <v>173</v>
      </c>
      <c r="D4">
        <v>1</v>
      </c>
      <c r="E4" s="11" t="s">
        <v>4</v>
      </c>
      <c r="F4" s="15"/>
      <c r="G4" s="15">
        <v>32</v>
      </c>
      <c r="H4" s="15">
        <v>220</v>
      </c>
      <c r="I4" s="15"/>
      <c r="J4" s="15">
        <v>1100</v>
      </c>
      <c r="K4" s="15" t="s">
        <v>713</v>
      </c>
      <c r="L4" s="47" t="s">
        <v>714</v>
      </c>
      <c r="M4" t="s">
        <v>715</v>
      </c>
      <c r="N4" s="47"/>
      <c r="O4" s="47" t="str">
        <f>_xlfn.LET(
    _xlpm.itemBuscado, B4,
    _xlpm.areaBuscada, C4,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TEXT(COUNTIF($C$2:C4, _xlpm.areaBuscada), "0000"),
    _xlpm.codItem &amp; "-" &amp; _xlpm.codArea &amp; "-" &amp; _xlpm.secuencia
)</f>
        <v>ZE-TB-FL-0001</v>
      </c>
      <c r="Q4" s="15"/>
      <c r="S4" s="48"/>
      <c r="T4" t="s">
        <v>716</v>
      </c>
      <c r="V4" s="49">
        <v>3</v>
      </c>
      <c r="W4" s="50" t="s">
        <v>173</v>
      </c>
      <c r="Y4" s="55">
        <v>3</v>
      </c>
      <c r="Z4" s="56" t="s">
        <v>224</v>
      </c>
      <c r="AB4" s="51">
        <v>3</v>
      </c>
      <c r="AC4" s="53" t="s">
        <v>6</v>
      </c>
      <c r="AF4" s="10" t="s">
        <v>32</v>
      </c>
      <c r="AG4" t="s">
        <v>33</v>
      </c>
      <c r="AH4" t="s">
        <v>34</v>
      </c>
      <c r="AI4" t="s">
        <v>35</v>
      </c>
      <c r="AJ4" s="5" t="s">
        <v>36</v>
      </c>
      <c r="AK4" s="11" t="s">
        <v>37</v>
      </c>
      <c r="AL4" t="s">
        <v>38</v>
      </c>
      <c r="AN4" s="11" t="s">
        <v>39</v>
      </c>
      <c r="AO4" s="7" t="s">
        <v>40</v>
      </c>
      <c r="AR4" s="25" t="s">
        <v>225</v>
      </c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</row>
    <row r="5" spans="2:69" ht="28.8" x14ac:dyDescent="0.3">
      <c r="B5" t="s">
        <v>619</v>
      </c>
      <c r="C5" s="11" t="s">
        <v>171</v>
      </c>
      <c r="D5">
        <v>1</v>
      </c>
      <c r="E5" s="11" t="s">
        <v>4</v>
      </c>
      <c r="F5" s="15"/>
      <c r="G5" s="15" t="s">
        <v>779</v>
      </c>
      <c r="H5" s="15" t="s">
        <v>776</v>
      </c>
      <c r="I5" s="15" t="s">
        <v>777</v>
      </c>
      <c r="J5" s="15"/>
      <c r="K5" s="15" t="s">
        <v>775</v>
      </c>
      <c r="L5" s="47" t="s">
        <v>778</v>
      </c>
      <c r="N5" s="47">
        <v>32500005</v>
      </c>
      <c r="O5" s="47" t="str">
        <f>_xlfn.LET(
    _xlpm.itemBuscado, B5,
    _xlpm.areaBuscada, C5,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TEXT(COUNTIF($C$2:C5, _xlpm.areaBuscada), "0000"),
    _xlpm.codItem &amp; "-" &amp; _xlpm.codArea &amp; "-" &amp; _xlpm.secuencia
)</f>
        <v>ZE-TB-CH-0001</v>
      </c>
      <c r="Q5" s="15"/>
      <c r="S5" s="48"/>
      <c r="V5" s="49">
        <v>4</v>
      </c>
      <c r="W5" s="50" t="s">
        <v>174</v>
      </c>
      <c r="AB5" s="51">
        <v>4</v>
      </c>
      <c r="AC5" s="53" t="s">
        <v>7</v>
      </c>
      <c r="AF5" t="s">
        <v>41</v>
      </c>
      <c r="AG5" t="s">
        <v>42</v>
      </c>
      <c r="AH5" t="s">
        <v>43</v>
      </c>
      <c r="AI5" t="s">
        <v>44</v>
      </c>
      <c r="AJ5" s="5" t="s">
        <v>45</v>
      </c>
      <c r="AL5" t="s">
        <v>46</v>
      </c>
      <c r="AN5" s="12" t="s">
        <v>47</v>
      </c>
      <c r="AO5" s="9" t="s">
        <v>48</v>
      </c>
      <c r="AR5" s="25" t="s">
        <v>226</v>
      </c>
      <c r="AS5" t="s">
        <v>80</v>
      </c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</row>
    <row r="6" spans="2:69" ht="30" customHeight="1" x14ac:dyDescent="0.3">
      <c r="B6" t="s">
        <v>619</v>
      </c>
      <c r="C6" s="11" t="s">
        <v>174</v>
      </c>
      <c r="D6">
        <v>1</v>
      </c>
      <c r="E6" s="11" t="s">
        <v>4</v>
      </c>
      <c r="F6" s="15"/>
      <c r="G6" s="15"/>
      <c r="H6" s="15">
        <v>220</v>
      </c>
      <c r="I6" s="15"/>
      <c r="J6" s="15">
        <v>370</v>
      </c>
      <c r="K6" s="15" t="s">
        <v>713</v>
      </c>
      <c r="L6" s="47" t="s">
        <v>870</v>
      </c>
      <c r="N6" s="47"/>
      <c r="O6" s="47" t="str">
        <f>_xlfn.LET(
    _xlpm.itemBuscado, B6,
    _xlpm.areaBuscada, C6,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TEXT(COUNTIF($C$2:C6, _xlpm.areaBuscada), "0000"),
    _xlpm.codItem &amp; "-" &amp; _xlpm.codArea &amp; "-" &amp; _xlpm.secuencia
)</f>
        <v>ZE-TB-FI-0001</v>
      </c>
      <c r="Q6" s="15"/>
      <c r="S6" s="48"/>
      <c r="V6" s="49">
        <v>5</v>
      </c>
      <c r="W6" s="50" t="s">
        <v>175</v>
      </c>
      <c r="AB6" s="51">
        <v>5</v>
      </c>
      <c r="AC6" s="53" t="s">
        <v>8</v>
      </c>
      <c r="AF6" t="s">
        <v>49</v>
      </c>
      <c r="AG6" t="s">
        <v>36</v>
      </c>
      <c r="AH6" t="s">
        <v>50</v>
      </c>
      <c r="AI6" t="s">
        <v>51</v>
      </c>
      <c r="AJ6" s="5" t="s">
        <v>52</v>
      </c>
      <c r="AN6" t="s">
        <v>53</v>
      </c>
      <c r="AO6" s="7" t="s">
        <v>54</v>
      </c>
      <c r="AR6" s="25" t="s">
        <v>227</v>
      </c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</row>
    <row r="7" spans="2:69" ht="30" customHeight="1" x14ac:dyDescent="0.3">
      <c r="B7" t="s">
        <v>619</v>
      </c>
      <c r="C7" s="11" t="s">
        <v>181</v>
      </c>
      <c r="D7">
        <v>1</v>
      </c>
      <c r="E7" s="11" t="s">
        <v>4</v>
      </c>
      <c r="F7" s="15"/>
      <c r="G7" s="15" t="s">
        <v>878</v>
      </c>
      <c r="H7" s="15">
        <v>220</v>
      </c>
      <c r="I7" s="15">
        <v>7.3</v>
      </c>
      <c r="J7" s="15"/>
      <c r="K7" s="15" t="s">
        <v>875</v>
      </c>
      <c r="L7" s="47" t="s">
        <v>876</v>
      </c>
      <c r="M7" t="s">
        <v>877</v>
      </c>
      <c r="N7" s="47">
        <v>800141</v>
      </c>
      <c r="O7" s="47" t="str">
        <f>_xlfn.LET(
    _xlpm.itemBuscado, B7,
    _xlpm.areaBuscada, C7,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TEXT(COUNTIF($C$2:C7, _xlpm.areaBuscada), "0000"),
    _xlpm.codItem &amp; "-" &amp; _xlpm.codArea &amp; "-" &amp; _xlpm.secuencia
)</f>
        <v>ZE-TB-RH-0001</v>
      </c>
      <c r="Q7" s="15"/>
      <c r="S7" s="48"/>
      <c r="V7" s="49">
        <v>6</v>
      </c>
      <c r="W7" s="50" t="s">
        <v>176</v>
      </c>
      <c r="AB7" s="55">
        <v>6</v>
      </c>
      <c r="AC7" s="56" t="s">
        <v>10</v>
      </c>
      <c r="AF7" t="s">
        <v>55</v>
      </c>
      <c r="AH7" s="11" t="s">
        <v>56</v>
      </c>
      <c r="AI7" s="5" t="s">
        <v>57</v>
      </c>
      <c r="AJ7" t="s">
        <v>58</v>
      </c>
      <c r="AO7" s="13" t="s">
        <v>59</v>
      </c>
      <c r="AR7" s="15" t="s">
        <v>228</v>
      </c>
      <c r="AS7" s="15" t="s">
        <v>229</v>
      </c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</row>
    <row r="8" spans="2:69" ht="33.6" customHeight="1" x14ac:dyDescent="0.3">
      <c r="B8" t="s">
        <v>619</v>
      </c>
      <c r="C8" s="11" t="s">
        <v>178</v>
      </c>
      <c r="D8">
        <v>1</v>
      </c>
      <c r="E8" s="11" t="s">
        <v>4</v>
      </c>
      <c r="F8" s="15"/>
      <c r="G8" s="15" t="s">
        <v>927</v>
      </c>
      <c r="H8" s="15">
        <v>220</v>
      </c>
      <c r="I8" s="15"/>
      <c r="J8" s="15">
        <v>750</v>
      </c>
      <c r="K8" s="15" t="s">
        <v>713</v>
      </c>
      <c r="L8" s="47" t="s">
        <v>926</v>
      </c>
      <c r="M8" t="s">
        <v>928</v>
      </c>
      <c r="N8" s="47"/>
      <c r="O8" s="47" t="str">
        <f>_xlfn.LET(
    _xlpm.itemBuscado, B8,
    _xlpm.areaBuscada, C8,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TEXT(COUNTIF($C$2:C8, _xlpm.areaBuscada), "0000"),
    _xlpm.codItem &amp; "-" &amp; _xlpm.codArea &amp; "-" &amp; _xlpm.secuencia
)</f>
        <v>ZE-TB-TG-0001</v>
      </c>
      <c r="Q8" s="15" t="s">
        <v>934</v>
      </c>
      <c r="S8" s="48"/>
      <c r="V8" s="49">
        <v>7</v>
      </c>
      <c r="W8" s="50" t="s">
        <v>177</v>
      </c>
      <c r="AF8" t="s">
        <v>60</v>
      </c>
      <c r="AH8" s="11" t="s">
        <v>61</v>
      </c>
      <c r="AI8" t="s">
        <v>62</v>
      </c>
      <c r="AJ8" t="s">
        <v>35</v>
      </c>
      <c r="AO8" s="14" t="s">
        <v>63</v>
      </c>
      <c r="AR8" s="25" t="s">
        <v>230</v>
      </c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</row>
    <row r="9" spans="2:69" ht="30" customHeight="1" x14ac:dyDescent="0.3">
      <c r="B9" t="s">
        <v>619</v>
      </c>
      <c r="C9" s="11" t="s">
        <v>178</v>
      </c>
      <c r="D9">
        <v>1</v>
      </c>
      <c r="E9" s="11" t="s">
        <v>4</v>
      </c>
      <c r="F9" s="15"/>
      <c r="G9" s="15"/>
      <c r="H9" s="15" t="s">
        <v>945</v>
      </c>
      <c r="I9" s="15">
        <v>9.1</v>
      </c>
      <c r="J9" s="15"/>
      <c r="K9" s="15" t="s">
        <v>944</v>
      </c>
      <c r="L9" s="47" t="s">
        <v>943</v>
      </c>
      <c r="N9" s="47">
        <v>104458</v>
      </c>
      <c r="O9" s="47" t="str">
        <f>_xlfn.LET(
    _xlpm.itemBuscado, B9,
    _xlpm.areaBuscada, C9,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TEXT(COUNTIF($C$2:C9, _xlpm.areaBuscada), "0000"),
    _xlpm.codItem &amp; "-" &amp; _xlpm.codArea &amp; "-" &amp; _xlpm.secuencia
)</f>
        <v>ZE-TB-TG-0002</v>
      </c>
      <c r="Q9" s="15"/>
      <c r="S9" s="48"/>
      <c r="V9" s="49">
        <v>8</v>
      </c>
      <c r="W9" s="57" t="s">
        <v>178</v>
      </c>
      <c r="AB9" s="58" t="s">
        <v>210</v>
      </c>
      <c r="AF9" t="s">
        <v>64</v>
      </c>
      <c r="AH9" s="15" t="s">
        <v>65</v>
      </c>
      <c r="AI9" t="s">
        <v>66</v>
      </c>
      <c r="AJ9" s="16"/>
      <c r="AO9" s="9" t="s">
        <v>67</v>
      </c>
      <c r="AR9" s="25" t="s">
        <v>231</v>
      </c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</row>
    <row r="10" spans="2:69" ht="26.4" customHeight="1" x14ac:dyDescent="0.3">
      <c r="B10" t="s">
        <v>619</v>
      </c>
      <c r="C10" s="11" t="s">
        <v>178</v>
      </c>
      <c r="D10">
        <v>1</v>
      </c>
      <c r="E10" s="11" t="s">
        <v>4</v>
      </c>
      <c r="F10" s="15"/>
      <c r="G10" s="15"/>
      <c r="H10" s="15">
        <v>230</v>
      </c>
      <c r="I10" s="15">
        <v>1.6</v>
      </c>
      <c r="J10" s="15"/>
      <c r="K10" s="15" t="s">
        <v>796</v>
      </c>
      <c r="L10" s="47" t="s">
        <v>983</v>
      </c>
      <c r="N10" s="47">
        <v>732000</v>
      </c>
      <c r="O10" s="47" t="str">
        <f>_xlfn.LET(
    _xlpm.itemBuscado, B10,
    _xlpm.areaBuscada, C10,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TEXT(COUNTIF($C$2:C10, _xlpm.areaBuscada), "0000"),
    _xlpm.codItem &amp; "-" &amp; _xlpm.codArea &amp; "-" &amp; _xlpm.secuencia
)</f>
        <v>ZE-TB-TG-0003</v>
      </c>
      <c r="Q10" s="15"/>
      <c r="S10" s="48"/>
      <c r="V10" s="49">
        <v>9</v>
      </c>
      <c r="W10" s="57" t="s">
        <v>179</v>
      </c>
      <c r="AB10" s="59" t="s">
        <v>232</v>
      </c>
      <c r="AF10" s="17" t="s">
        <v>68</v>
      </c>
      <c r="AH10" s="15" t="s">
        <v>69</v>
      </c>
      <c r="AI10" t="s">
        <v>70</v>
      </c>
      <c r="AO10" s="18" t="s">
        <v>71</v>
      </c>
      <c r="AR10" s="15" t="s">
        <v>95</v>
      </c>
    </row>
    <row r="11" spans="2:69" ht="33.6" customHeight="1" x14ac:dyDescent="0.3">
      <c r="C11" s="11"/>
      <c r="E11" s="11" t="str" cm="1">
        <f t="array" ref="E11">_xlfn.IFS(
    COUNTIF(Herramientas_eléctricas1862106149192235[Herramientas_eléctricas], B11) &gt; 0, Herramientas_eléctricas1862106149192235[[#Headers],[Herramientas_eléctricas]],
    COUNTIF(Herramientas_neumáticas1963107150193236[Herramientas_neumáticas], B11) &gt; 0, Herramientas_neumáticas1963107150193236[[#Headers],[Herramientas_neumáticas]],
    COUNTIF(Herramientas_de_medición2064108151194237[Herramientas_de_medición], B11) &gt; 0, Herramientas_de_medición2064108151194237[[#Headers],[Herramientas_de_medición]],
    COUNTIF(Herrramientas_mecánicas2165109152195238[Herramientas_mecánicas], B11) &gt; 0, Herrramientas_mecánicas2165109152195238[[#Headers],[Herramientas_mecánicas]],
    COUNTIF(AJ11:AJ17, B11) &gt; 0, Herramientas_hidráulicas2266110153196239[[#Headers],[Herramientas_hidráulicas]],
    COUNTIF(EPP_2367111154197240[SPCC], B11) &gt; 0, EPP_2367111154197240[[#Headers],[SPCC]],
   COUNTIF(Herramientas_de_izaje2468112155198241[Herramientas_de_izaje], B11) &gt; 0, Herramientas_de_izaje2468112155198241[[#Headers],[Herramientas_de_izaje]],
COUNTIF(Tabla162670114157200243[Equipos], B11) &gt; 0, Tabla162670114157200243[[#Headers],[Equipos]],
    TRUE, "Sin clasificación"
)</f>
        <v>Sin clasificación</v>
      </c>
      <c r="F11" s="15"/>
      <c r="G11" s="15"/>
      <c r="H11" s="15"/>
      <c r="I11" s="15"/>
      <c r="J11" s="15"/>
      <c r="K11" s="15"/>
      <c r="L11" s="85"/>
      <c r="N11" s="47"/>
      <c r="O11" s="47" t="str">
        <f>_xlfn.LET(
    _xlpm.itemBuscado, B11,
    _xlpm.areaBuscada, C11,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TEXT(COUNTIF($C$2:C11, _xlpm.areaBuscada), "0000"),
    _xlpm.codItem &amp; "-" &amp; _xlpm.codArea &amp; "-" &amp; _xlpm.secuencia
)</f>
        <v>-SinArea-0000</v>
      </c>
      <c r="Q11" s="15"/>
      <c r="S11" s="48"/>
      <c r="V11" s="60">
        <v>10</v>
      </c>
      <c r="W11" s="61" t="s">
        <v>180</v>
      </c>
      <c r="AB11" s="59" t="s">
        <v>233</v>
      </c>
      <c r="AF11" s="8" t="s">
        <v>72</v>
      </c>
      <c r="AH11" s="15" t="s">
        <v>73</v>
      </c>
      <c r="AI11" t="s">
        <v>74</v>
      </c>
      <c r="AO11" s="18" t="s">
        <v>75</v>
      </c>
      <c r="BC11" s="62"/>
    </row>
    <row r="12" spans="2:69" ht="28.8" x14ac:dyDescent="0.3">
      <c r="C12" s="11"/>
      <c r="E12" s="11" t="str" cm="1">
        <f t="array" ref="E12">_xlfn.IFS(
    COUNTIF(Herramientas_eléctricas1862106149192235[Herramientas_eléctricas], B12) &gt; 0, Herramientas_eléctricas1862106149192235[[#Headers],[Herramientas_eléctricas]],
    COUNTIF(Herramientas_neumáticas1963107150193236[Herramientas_neumáticas], B12) &gt; 0, Herramientas_neumáticas1963107150193236[[#Headers],[Herramientas_neumáticas]],
    COUNTIF(Herramientas_de_medición2064108151194237[Herramientas_de_medición], B12) &gt; 0, Herramientas_de_medición2064108151194237[[#Headers],[Herramientas_de_medición]],
    COUNTIF(Herrramientas_mecánicas2165109152195238[Herramientas_mecánicas], B12) &gt; 0, Herrramientas_mecánicas2165109152195238[[#Headers],[Herramientas_mecánicas]],
    COUNTIF(AJ12:AJ18, B12) &gt; 0, Herramientas_hidráulicas2266110153196239[[#Headers],[Herramientas_hidráulicas]],
    COUNTIF(EPP_2367111154197240[SPCC], B12) &gt; 0, EPP_2367111154197240[[#Headers],[SPCC]],
   COUNTIF(Herramientas_de_izaje2468112155198241[Herramientas_de_izaje], B12) &gt; 0, Herramientas_de_izaje2468112155198241[[#Headers],[Herramientas_de_izaje]],
COUNTIF(Tabla162670114157200243[Equipos], B12) &gt; 0, Tabla162670114157200243[[#Headers],[Equipos]],
    TRUE, "Sin clasificación"
)</f>
        <v>Sin clasificación</v>
      </c>
      <c r="F12" s="15"/>
      <c r="G12" s="15"/>
      <c r="H12" s="15"/>
      <c r="I12" s="15"/>
      <c r="J12" s="15"/>
      <c r="K12" s="15"/>
      <c r="L12" s="47"/>
      <c r="N12" s="47"/>
      <c r="O12" s="47" t="str">
        <f>_xlfn.LET(
    _xlpm.itemBuscado, B12,
    _xlpm.areaBuscada, C12,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TEXT(COUNTIF($C$2:C12, _xlpm.areaBuscada), "0000"),
    _xlpm.codItem &amp; "-" &amp; _xlpm.codArea &amp; "-" &amp; _xlpm.secuencia
)</f>
        <v>-SinArea-0000</v>
      </c>
      <c r="Q12" s="15"/>
      <c r="S12" s="48"/>
      <c r="V12" s="60">
        <v>11</v>
      </c>
      <c r="W12" s="61" t="s">
        <v>181</v>
      </c>
      <c r="AB12" s="33" t="s">
        <v>234</v>
      </c>
      <c r="AF12" t="s">
        <v>19</v>
      </c>
      <c r="AG12" t="s">
        <v>76</v>
      </c>
      <c r="AH12" s="15" t="s">
        <v>77</v>
      </c>
      <c r="AI12" t="s">
        <v>78</v>
      </c>
      <c r="AO12" s="19" t="s">
        <v>79</v>
      </c>
      <c r="AR12" s="11"/>
    </row>
    <row r="13" spans="2:69" x14ac:dyDescent="0.3">
      <c r="C13" s="11"/>
      <c r="E13" s="11" t="str" cm="1">
        <f t="array" ref="E13">_xlfn.IFS(
    COUNTIF(Herramientas_eléctricas1862106149192235[Herramientas_eléctricas], B13) &gt; 0, Herramientas_eléctricas1862106149192235[[#Headers],[Herramientas_eléctricas]],
    COUNTIF(Herramientas_neumáticas1963107150193236[Herramientas_neumáticas], B13) &gt; 0, Herramientas_neumáticas1963107150193236[[#Headers],[Herramientas_neumáticas]],
    COUNTIF(Herramientas_de_medición2064108151194237[Herramientas_de_medición], B13) &gt; 0, Herramientas_de_medición2064108151194237[[#Headers],[Herramientas_de_medición]],
    COUNTIF(Herrramientas_mecánicas2165109152195238[Herramientas_mecánicas], B13) &gt; 0, Herrramientas_mecánicas2165109152195238[[#Headers],[Herramientas_mecánicas]],
    COUNTIF(AJ13:AJ19, B13) &gt; 0, Herramientas_hidráulicas2266110153196239[[#Headers],[Herramientas_hidráulicas]],
    COUNTIF(EPP_2367111154197240[SPCC], B13) &gt; 0, EPP_2367111154197240[[#Headers],[SPCC]],
   COUNTIF(Herramientas_de_izaje2468112155198241[Herramientas_de_izaje], B13) &gt; 0, Herramientas_de_izaje2468112155198241[[#Headers],[Herramientas_de_izaje]],
COUNTIF(Tabla162670114157200243[Equipos], B13) &gt; 0, Tabla162670114157200243[[#Headers],[Equipos]],
    TRUE, "Sin clasificación"
)</f>
        <v>Sin clasificación</v>
      </c>
      <c r="F13" s="15"/>
      <c r="G13" s="15"/>
      <c r="H13" s="15"/>
      <c r="I13" s="15"/>
      <c r="J13" s="15"/>
      <c r="K13" s="15"/>
      <c r="L13" s="47"/>
      <c r="N13" s="47"/>
      <c r="O13" s="47" t="str">
        <f>_xlfn.LET(
    _xlpm.itemBuscado, B13,
    _xlpm.areaBuscada, C13,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TEXT(COUNTIF($C$2:C13, _xlpm.areaBuscada), "0000"),
    _xlpm.codItem &amp; "-" &amp; _xlpm.codArea &amp; "-" &amp; _xlpm.secuencia
)</f>
        <v>-SinArea-0000</v>
      </c>
      <c r="Q13" s="15"/>
      <c r="S13" s="48"/>
      <c r="AF13" t="s">
        <v>80</v>
      </c>
      <c r="AH13" s="15" t="s">
        <v>81</v>
      </c>
      <c r="AI13" t="s">
        <v>82</v>
      </c>
      <c r="AO13" s="20" t="s">
        <v>83</v>
      </c>
      <c r="AR13" s="11"/>
      <c r="AW13" s="11"/>
    </row>
    <row r="14" spans="2:69" x14ac:dyDescent="0.3">
      <c r="C14" s="11"/>
      <c r="E14" s="11" t="str" cm="1">
        <f t="array" ref="E14">_xlfn.IFS(
    COUNTIF(Herramientas_eléctricas1862106149192235[Herramientas_eléctricas], B14) &gt; 0, Herramientas_eléctricas1862106149192235[[#Headers],[Herramientas_eléctricas]],
    COUNTIF(Herramientas_neumáticas1963107150193236[Herramientas_neumáticas], B14) &gt; 0, Herramientas_neumáticas1963107150193236[[#Headers],[Herramientas_neumáticas]],
    COUNTIF(Herramientas_de_medición2064108151194237[Herramientas_de_medición], B14) &gt; 0, Herramientas_de_medición2064108151194237[[#Headers],[Herramientas_de_medición]],
    COUNTIF(Herrramientas_mecánicas2165109152195238[Herramientas_mecánicas], B14) &gt; 0, Herrramientas_mecánicas2165109152195238[[#Headers],[Herramientas_mecánicas]],
    COUNTIF(AJ14:AJ20, B14) &gt; 0, Herramientas_hidráulicas2266110153196239[[#Headers],[Herramientas_hidráulicas]],
    COUNTIF(EPP_2367111154197240[SPCC], B14) &gt; 0, EPP_2367111154197240[[#Headers],[SPCC]],
   COUNTIF(Herramientas_de_izaje2468112155198241[Herramientas_de_izaje], B14) &gt; 0, Herramientas_de_izaje2468112155198241[[#Headers],[Herramientas_de_izaje]],
COUNTIF(Tabla162670114157200243[Equipos], B14) &gt; 0, Tabla162670114157200243[[#Headers],[Equipos]],
    TRUE, "Sin clasificación"
)</f>
        <v>Sin clasificación</v>
      </c>
      <c r="F14" s="15"/>
      <c r="G14" s="15"/>
      <c r="H14" s="15"/>
      <c r="I14" s="15"/>
      <c r="J14" s="15"/>
      <c r="K14" s="15"/>
      <c r="L14" s="47"/>
      <c r="N14" s="47"/>
      <c r="O14" s="47" t="str">
        <f>_xlfn.LET(
    _xlpm.itemBuscado, B14,
    _xlpm.areaBuscada, C14,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TEXT(COUNTIF($C$2:C14, _xlpm.areaBuscada), "0000"),
    _xlpm.codItem &amp; "-" &amp; _xlpm.codArea &amp; "-" &amp; _xlpm.secuencia
)</f>
        <v>-SinArea-0000</v>
      </c>
      <c r="Q14" s="15"/>
      <c r="S14" s="48"/>
      <c r="AF14" t="s">
        <v>84</v>
      </c>
      <c r="AH14" s="15" t="s">
        <v>85</v>
      </c>
      <c r="AI14" t="s">
        <v>86</v>
      </c>
      <c r="AO14" s="18" t="s">
        <v>87</v>
      </c>
    </row>
    <row r="15" spans="2:69" ht="43.95" customHeight="1" x14ac:dyDescent="0.3">
      <c r="C15" s="11"/>
      <c r="E15" s="11" t="str" cm="1">
        <f t="array" ref="E15">_xlfn.IFS(
    COUNTIF(Herramientas_eléctricas1862106149192235[Herramientas_eléctricas], B15) &gt; 0, Herramientas_eléctricas1862106149192235[[#Headers],[Herramientas_eléctricas]],
    COUNTIF(Herramientas_neumáticas1963107150193236[Herramientas_neumáticas], B15) &gt; 0, Herramientas_neumáticas1963107150193236[[#Headers],[Herramientas_neumáticas]],
    COUNTIF(Herramientas_de_medición2064108151194237[Herramientas_de_medición], B15) &gt; 0, Herramientas_de_medición2064108151194237[[#Headers],[Herramientas_de_medición]],
    COUNTIF(Herrramientas_mecánicas2165109152195238[Herramientas_mecánicas], B15) &gt; 0, Herrramientas_mecánicas2165109152195238[[#Headers],[Herramientas_mecánicas]],
    COUNTIF(AJ15:AJ21, B15) &gt; 0, Herramientas_hidráulicas2266110153196239[[#Headers],[Herramientas_hidráulicas]],
    COUNTIF(EPP_2367111154197240[SPCC], B15) &gt; 0, EPP_2367111154197240[[#Headers],[SPCC]],
   COUNTIF(Herramientas_de_izaje2468112155198241[Herramientas_de_izaje], B15) &gt; 0, Herramientas_de_izaje2468112155198241[[#Headers],[Herramientas_de_izaje]],
COUNTIF(Tabla162670114157200243[Equipos], B15) &gt; 0, Tabla162670114157200243[[#Headers],[Equipos]],
    TRUE, "Sin clasificación"
)</f>
        <v>Sin clasificación</v>
      </c>
      <c r="F15" s="15"/>
      <c r="G15" s="15"/>
      <c r="H15" s="15"/>
      <c r="I15" s="15"/>
      <c r="J15" s="15"/>
      <c r="K15" s="15"/>
      <c r="L15" s="47"/>
      <c r="N15" s="47"/>
      <c r="O15" s="47" t="str">
        <f>_xlfn.LET(
    _xlpm.itemBuscado, B15,
    _xlpm.areaBuscada, C15,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TEXT(COUNTIF($C$2:C15, _xlpm.areaBuscada), "0000"),
    _xlpm.codItem &amp; "-" &amp; _xlpm.codArea &amp; "-" &amp; _xlpm.secuencia
)</f>
        <v>-SinArea-0000</v>
      </c>
      <c r="Q15" s="15"/>
      <c r="S15" s="48"/>
      <c r="AF15" t="s">
        <v>88</v>
      </c>
      <c r="AH15" t="s">
        <v>89</v>
      </c>
      <c r="AI15" t="s">
        <v>90</v>
      </c>
      <c r="AO15" s="21" t="s">
        <v>91</v>
      </c>
      <c r="AR15" s="11"/>
    </row>
    <row r="16" spans="2:69" x14ac:dyDescent="0.3">
      <c r="C16" s="11"/>
      <c r="E16" s="11" t="str" cm="1">
        <f t="array" ref="E16">_xlfn.IFS(
    COUNTIF(Herramientas_eléctricas1862106149192235[Herramientas_eléctricas], B16) &gt; 0, Herramientas_eléctricas1862106149192235[[#Headers],[Herramientas_eléctricas]],
    COUNTIF(Herramientas_neumáticas1963107150193236[Herramientas_neumáticas], B16) &gt; 0, Herramientas_neumáticas1963107150193236[[#Headers],[Herramientas_neumáticas]],
    COUNTIF(Herramientas_de_medición2064108151194237[Herramientas_de_medición], B16) &gt; 0, Herramientas_de_medición2064108151194237[[#Headers],[Herramientas_de_medición]],
    COUNTIF(Herrramientas_mecánicas2165109152195238[Herramientas_mecánicas], B16) &gt; 0, Herrramientas_mecánicas2165109152195238[[#Headers],[Herramientas_mecánicas]],
    COUNTIF(AJ16:AJ22, B16) &gt; 0, Herramientas_hidráulicas2266110153196239[[#Headers],[Herramientas_hidráulicas]],
    COUNTIF(EPP_2367111154197240[SPCC], B16) &gt; 0, EPP_2367111154197240[[#Headers],[SPCC]],
   COUNTIF(Herramientas_de_izaje2468112155198241[Herramientas_de_izaje], B16) &gt; 0, Herramientas_de_izaje2468112155198241[[#Headers],[Herramientas_de_izaje]],
COUNTIF(Tabla162670114157200243[Equipos], B16) &gt; 0, Tabla162670114157200243[[#Headers],[Equipos]],
    TRUE, "Sin clasificación"
)</f>
        <v>Sin clasificación</v>
      </c>
      <c r="F16" s="15"/>
      <c r="G16" s="15"/>
      <c r="H16" s="15"/>
      <c r="I16" s="15"/>
      <c r="J16" s="15"/>
      <c r="K16" s="15"/>
      <c r="L16" s="47"/>
      <c r="N16" s="47"/>
      <c r="O16" s="47" t="str">
        <f>_xlfn.LET(
    _xlpm.itemBuscado, B16,
    _xlpm.areaBuscada, C16,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TEXT(COUNTIF($C$2:C16, _xlpm.areaBuscada), "0000"),
    _xlpm.codItem &amp; "-" &amp; _xlpm.codArea &amp; "-" &amp; _xlpm.secuencia
)</f>
        <v>-SinArea-0000</v>
      </c>
      <c r="Q16" s="15"/>
      <c r="S16" s="48"/>
      <c r="AF16" t="s">
        <v>41</v>
      </c>
      <c r="AH16" t="s">
        <v>62</v>
      </c>
      <c r="AI16" s="11" t="s">
        <v>92</v>
      </c>
      <c r="AJ16" s="22"/>
      <c r="AO16" s="23" t="s">
        <v>93</v>
      </c>
    </row>
    <row r="17" spans="3:44" x14ac:dyDescent="0.3">
      <c r="C17" s="11"/>
      <c r="E17" s="11" t="str" cm="1">
        <f t="array" ref="E17">_xlfn.IFS(
    COUNTIF(Herramientas_eléctricas1862106149192235[Herramientas_eléctricas], B17) &gt; 0, Herramientas_eléctricas1862106149192235[[#Headers],[Herramientas_eléctricas]],
    COUNTIF(Herramientas_neumáticas1963107150193236[Herramientas_neumáticas], B17) &gt; 0, Herramientas_neumáticas1963107150193236[[#Headers],[Herramientas_neumáticas]],
    COUNTIF(Herramientas_de_medición2064108151194237[Herramientas_de_medición], B17) &gt; 0, Herramientas_de_medición2064108151194237[[#Headers],[Herramientas_de_medición]],
    COUNTIF(Herrramientas_mecánicas2165109152195238[Herramientas_mecánicas], B17) &gt; 0, Herrramientas_mecánicas2165109152195238[[#Headers],[Herramientas_mecánicas]],
    COUNTIF(AJ17:AJ23, B17) &gt; 0, Herramientas_hidráulicas2266110153196239[[#Headers],[Herramientas_hidráulicas]],
    COUNTIF(EPP_2367111154197240[SPCC], B17) &gt; 0, EPP_2367111154197240[[#Headers],[SPCC]],
   COUNTIF(Herramientas_de_izaje2468112155198241[Herramientas_de_izaje], B17) &gt; 0, Herramientas_de_izaje2468112155198241[[#Headers],[Herramientas_de_izaje]],
COUNTIF(Tabla162670114157200243[Equipos], B17) &gt; 0, Tabla162670114157200243[[#Headers],[Equipos]],
    TRUE, "Sin clasificación"
)</f>
        <v>Sin clasificación</v>
      </c>
      <c r="F17" s="15"/>
      <c r="G17" s="15"/>
      <c r="H17" s="15"/>
      <c r="I17" s="15"/>
      <c r="J17" s="15"/>
      <c r="K17" s="15"/>
      <c r="L17" s="47"/>
      <c r="N17" s="47"/>
      <c r="O17" s="47" t="str">
        <f>_xlfn.LET(
    _xlpm.itemBuscado, B17,
    _xlpm.areaBuscada, C17,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TEXT(COUNTIF($C$2:C17, _xlpm.areaBuscada), "0000"),
    _xlpm.codItem &amp; "-" &amp; _xlpm.codArea &amp; "-" &amp; _xlpm.secuencia
)</f>
        <v>-SinArea-0000</v>
      </c>
      <c r="Q17" s="15"/>
      <c r="S17" s="48"/>
      <c r="AF17" s="24" t="s">
        <v>94</v>
      </c>
      <c r="AI17" s="15" t="s">
        <v>95</v>
      </c>
      <c r="AJ17" s="14"/>
      <c r="AO17" s="25" t="s">
        <v>96</v>
      </c>
      <c r="AR17" s="11"/>
    </row>
    <row r="18" spans="3:44" x14ac:dyDescent="0.3">
      <c r="C18" s="11"/>
      <c r="E18" s="11" t="str" cm="1">
        <f t="array" ref="E18">_xlfn.IFS(
    COUNTIF(Herramientas_eléctricas1862106149192235[Herramientas_eléctricas], B18) &gt; 0, Herramientas_eléctricas1862106149192235[[#Headers],[Herramientas_eléctricas]],
    COUNTIF(Herramientas_neumáticas1963107150193236[Herramientas_neumáticas], B18) &gt; 0, Herramientas_neumáticas1963107150193236[[#Headers],[Herramientas_neumáticas]],
    COUNTIF(Herramientas_de_medición2064108151194237[Herramientas_de_medición], B18) &gt; 0, Herramientas_de_medición2064108151194237[[#Headers],[Herramientas_de_medición]],
    COUNTIF(Herrramientas_mecánicas2165109152195238[Herramientas_mecánicas], B18) &gt; 0, Herrramientas_mecánicas2165109152195238[[#Headers],[Herramientas_mecánicas]],
    COUNTIF(AJ18:AJ24, B18) &gt; 0, Herramientas_hidráulicas2266110153196239[[#Headers],[Herramientas_hidráulicas]],
    COUNTIF(EPP_2367111154197240[SPCC], B18) &gt; 0, EPP_2367111154197240[[#Headers],[SPCC]],
   COUNTIF(Herramientas_de_izaje2468112155198241[Herramientas_de_izaje], B18) &gt; 0, Herramientas_de_izaje2468112155198241[[#Headers],[Herramientas_de_izaje]],
COUNTIF(Tabla162670114157200243[Equipos], B18) &gt; 0, Tabla162670114157200243[[#Headers],[Equipos]],
    TRUE, "Sin clasificación"
)</f>
        <v>Sin clasificación</v>
      </c>
      <c r="F18" s="15"/>
      <c r="G18" s="15"/>
      <c r="H18" s="15"/>
      <c r="I18" s="15"/>
      <c r="J18" s="15"/>
      <c r="K18" s="15"/>
      <c r="L18" s="47"/>
      <c r="N18" s="47"/>
      <c r="O18" s="47" t="str">
        <f>_xlfn.LET(
    _xlpm.itemBuscado, B18,
    _xlpm.areaBuscada, C18,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TEXT(COUNTIF($C$2:C18, _xlpm.areaBuscada), "0000"),
    _xlpm.codItem &amp; "-" &amp; _xlpm.codArea &amp; "-" &amp; _xlpm.secuencia
)</f>
        <v>-SinArea-0000</v>
      </c>
      <c r="Q18" s="15"/>
      <c r="S18" s="48"/>
      <c r="AF18" t="s">
        <v>97</v>
      </c>
      <c r="AI18" t="s">
        <v>98</v>
      </c>
      <c r="AO18" s="25" t="s">
        <v>99</v>
      </c>
    </row>
    <row r="19" spans="3:44" x14ac:dyDescent="0.3">
      <c r="C19" s="11"/>
      <c r="E19" s="11" t="str" cm="1">
        <f t="array" ref="E19">_xlfn.IFS(
    COUNTIF(Herramientas_eléctricas1862106149192235[Herramientas_eléctricas], B19) &gt; 0, Herramientas_eléctricas1862106149192235[[#Headers],[Herramientas_eléctricas]],
    COUNTIF(Herramientas_neumáticas1963107150193236[Herramientas_neumáticas], B19) &gt; 0, Herramientas_neumáticas1963107150193236[[#Headers],[Herramientas_neumáticas]],
    COUNTIF(Herramientas_de_medición2064108151194237[Herramientas_de_medición], B19) &gt; 0, Herramientas_de_medición2064108151194237[[#Headers],[Herramientas_de_medición]],
    COUNTIF(Herrramientas_mecánicas2165109152195238[Herramientas_mecánicas], B19) &gt; 0, Herrramientas_mecánicas2165109152195238[[#Headers],[Herramientas_mecánicas]],
    COUNTIF(AJ19:AJ25, B19) &gt; 0, Herramientas_hidráulicas2266110153196239[[#Headers],[Herramientas_hidráulicas]],
    COUNTIF(EPP_2367111154197240[SPCC], B19) &gt; 0, EPP_2367111154197240[[#Headers],[SPCC]],
   COUNTIF(Herramientas_de_izaje2468112155198241[Herramientas_de_izaje], B19) &gt; 0, Herramientas_de_izaje2468112155198241[[#Headers],[Herramientas_de_izaje]],
COUNTIF(Tabla162670114157200243[Equipos], B19) &gt; 0, Tabla162670114157200243[[#Headers],[Equipos]],
    TRUE, "Sin clasificación"
)</f>
        <v>Sin clasificación</v>
      </c>
      <c r="F19" s="15"/>
      <c r="G19" s="15"/>
      <c r="H19" s="15"/>
      <c r="I19" s="15"/>
      <c r="J19" s="15"/>
      <c r="K19" s="15"/>
      <c r="L19" s="47"/>
      <c r="N19" s="47"/>
      <c r="O19" s="47" t="str">
        <f>_xlfn.LET(
    _xlpm.itemBuscado, B19,
    _xlpm.areaBuscada, C19,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TEXT(COUNTIF($C$2:C19, _xlpm.areaBuscada), "0000"),
    _xlpm.codItem &amp; "-" &amp; _xlpm.codArea &amp; "-" &amp; _xlpm.secuencia
)</f>
        <v>-SinArea-0000</v>
      </c>
      <c r="Q19" s="15"/>
      <c r="S19" s="48"/>
      <c r="AF19" t="s">
        <v>42</v>
      </c>
      <c r="AI19" s="11" t="s">
        <v>41</v>
      </c>
      <c r="AO19" t="s">
        <v>100</v>
      </c>
    </row>
    <row r="20" spans="3:44" x14ac:dyDescent="0.3">
      <c r="C20" s="11"/>
      <c r="E20" s="11" t="str" cm="1">
        <f t="array" ref="E20">_xlfn.IFS(
    COUNTIF(Herramientas_eléctricas1862106149192235[Herramientas_eléctricas], B20) &gt; 0, Herramientas_eléctricas1862106149192235[[#Headers],[Herramientas_eléctricas]],
    COUNTIF(Herramientas_neumáticas1963107150193236[Herramientas_neumáticas], B20) &gt; 0, Herramientas_neumáticas1963107150193236[[#Headers],[Herramientas_neumáticas]],
    COUNTIF(Herramientas_de_medición2064108151194237[Herramientas_de_medición], B20) &gt; 0, Herramientas_de_medición2064108151194237[[#Headers],[Herramientas_de_medición]],
    COUNTIF(Herrramientas_mecánicas2165109152195238[Herramientas_mecánicas], B20) &gt; 0, Herrramientas_mecánicas2165109152195238[[#Headers],[Herramientas_mecánicas]],
    COUNTIF(AJ20:AJ26, B20) &gt; 0, Herramientas_hidráulicas2266110153196239[[#Headers],[Herramientas_hidráulicas]],
    COUNTIF(EPP_2367111154197240[SPCC], B20) &gt; 0, EPP_2367111154197240[[#Headers],[SPCC]],
   COUNTIF(Herramientas_de_izaje2468112155198241[Herramientas_de_izaje], B20) &gt; 0, Herramientas_de_izaje2468112155198241[[#Headers],[Herramientas_de_izaje]],
COUNTIF(Tabla162670114157200243[Equipos], B20) &gt; 0, Tabla162670114157200243[[#Headers],[Equipos]],
    TRUE, "Sin clasificación"
)</f>
        <v>Sin clasificación</v>
      </c>
      <c r="F20" s="15"/>
      <c r="G20" s="15"/>
      <c r="H20" s="15"/>
      <c r="I20" s="15"/>
      <c r="J20" s="15"/>
      <c r="K20" s="15"/>
      <c r="L20" s="47"/>
      <c r="N20" s="47"/>
      <c r="O20" s="47" t="str">
        <f>_xlfn.LET(
    _xlpm.itemBuscado, B20,
    _xlpm.areaBuscada, C20,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TEXT(COUNTIF($C$2:C20, _xlpm.areaBuscada), "0000"),
    _xlpm.codItem &amp; "-" &amp; _xlpm.codArea &amp; "-" &amp; _xlpm.secuencia
)</f>
        <v>-SinArea-0000</v>
      </c>
      <c r="Q20" s="15"/>
      <c r="S20" s="48" t="s">
        <v>224</v>
      </c>
      <c r="AF20" t="s">
        <v>101</v>
      </c>
      <c r="AI20" t="s">
        <v>102</v>
      </c>
      <c r="AO20" s="26" t="s">
        <v>103</v>
      </c>
    </row>
    <row r="21" spans="3:44" x14ac:dyDescent="0.3">
      <c r="C21" s="11"/>
      <c r="E21" s="11" t="str" cm="1">
        <f t="array" ref="E21">_xlfn.IFS(
    COUNTIF(Herramientas_eléctricas1862106149192235[Herramientas_eléctricas], B21) &gt; 0, Herramientas_eléctricas1862106149192235[[#Headers],[Herramientas_eléctricas]],
    COUNTIF(Herramientas_neumáticas1963107150193236[Herramientas_neumáticas], B21) &gt; 0, Herramientas_neumáticas1963107150193236[[#Headers],[Herramientas_neumáticas]],
    COUNTIF(Herramientas_de_medición2064108151194237[Herramientas_de_medición], B21) &gt; 0, Herramientas_de_medición2064108151194237[[#Headers],[Herramientas_de_medición]],
    COUNTIF(Herrramientas_mecánicas2165109152195238[Herramientas_mecánicas], B21) &gt; 0, Herrramientas_mecánicas2165109152195238[[#Headers],[Herramientas_mecánicas]],
    COUNTIF(AJ21:AJ27, B21) &gt; 0, Herramientas_hidráulicas2266110153196239[[#Headers],[Herramientas_hidráulicas]],
    COUNTIF(EPP_2367111154197240[SPCC], B21) &gt; 0, EPP_2367111154197240[[#Headers],[SPCC]],
   COUNTIF(Herramientas_de_izaje2468112155198241[Herramientas_de_izaje], B21) &gt; 0, Herramientas_de_izaje2468112155198241[[#Headers],[Herramientas_de_izaje]],
COUNTIF(Tabla162670114157200243[Equipos], B21) &gt; 0, Tabla162670114157200243[[#Headers],[Equipos]],
    TRUE, "Sin clasificación"
)</f>
        <v>Sin clasificación</v>
      </c>
      <c r="F21" s="15"/>
      <c r="G21" s="15"/>
      <c r="H21" s="15"/>
      <c r="I21" s="15"/>
      <c r="J21" s="15"/>
      <c r="K21" s="15"/>
      <c r="L21" s="47"/>
      <c r="N21" s="47"/>
      <c r="O21" s="47" t="str">
        <f>_xlfn.LET(
    _xlpm.itemBuscado, B21,
    _xlpm.areaBuscada, C21,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TEXT(COUNTIF($C$2:C21, _xlpm.areaBuscada), "0000"),
    _xlpm.codItem &amp; "-" &amp; _xlpm.codArea &amp; "-" &amp; _xlpm.secuencia
)</f>
        <v>-SinArea-0000</v>
      </c>
      <c r="Q21" s="15"/>
      <c r="S21" s="48"/>
      <c r="AF21" s="6"/>
      <c r="AI21" s="6" t="s">
        <v>20</v>
      </c>
    </row>
    <row r="22" spans="3:44" x14ac:dyDescent="0.3">
      <c r="C22" s="11"/>
      <c r="E22" s="11" t="str" cm="1">
        <f t="array" ref="E22">_xlfn.IFS(
    COUNTIF(Herramientas_eléctricas1862106149192235[Herramientas_eléctricas], B22) &gt; 0, Herramientas_eléctricas1862106149192235[[#Headers],[Herramientas_eléctricas]],
    COUNTIF(Herramientas_neumáticas1963107150193236[Herramientas_neumáticas], B22) &gt; 0, Herramientas_neumáticas1963107150193236[[#Headers],[Herramientas_neumáticas]],
    COUNTIF(Herramientas_de_medición2064108151194237[Herramientas_de_medición], B22) &gt; 0, Herramientas_de_medición2064108151194237[[#Headers],[Herramientas_de_medición]],
    COUNTIF(Herrramientas_mecánicas2165109152195238[Herramientas_mecánicas], B22) &gt; 0, Herrramientas_mecánicas2165109152195238[[#Headers],[Herramientas_mecánicas]],
    COUNTIF(AJ22:AJ28, B22) &gt; 0, Herramientas_hidráulicas2266110153196239[[#Headers],[Herramientas_hidráulicas]],
    COUNTIF(EPP_2367111154197240[SPCC], B22) &gt; 0, EPP_2367111154197240[[#Headers],[SPCC]],
   COUNTIF(Herramientas_de_izaje2468112155198241[Herramientas_de_izaje], B22) &gt; 0, Herramientas_de_izaje2468112155198241[[#Headers],[Herramientas_de_izaje]],
COUNTIF(Tabla162670114157200243[Equipos], B22) &gt; 0, Tabla162670114157200243[[#Headers],[Equipos]],
    TRUE, "Sin clasificación"
)</f>
        <v>Sin clasificación</v>
      </c>
      <c r="F22" s="15"/>
      <c r="G22" s="15"/>
      <c r="H22" s="15"/>
      <c r="I22" s="15"/>
      <c r="J22" s="15"/>
      <c r="K22" s="15"/>
      <c r="L22" s="47"/>
      <c r="N22" s="47"/>
      <c r="O22" s="47" t="str">
        <f>_xlfn.LET(
    _xlpm.itemBuscado, B22,
    _xlpm.areaBuscada, C22,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TEXT(COUNTIF($C$2:C22, _xlpm.areaBuscada), "0000"),
    _xlpm.codItem &amp; "-" &amp; _xlpm.codArea &amp; "-" &amp; _xlpm.secuencia
)</f>
        <v>-SinArea-0000</v>
      </c>
      <c r="Q22" s="15"/>
      <c r="S22" s="48"/>
    </row>
    <row r="23" spans="3:44" x14ac:dyDescent="0.3">
      <c r="C23" s="11"/>
      <c r="E23" s="11" t="str" cm="1">
        <f t="array" ref="E23">_xlfn.IFS(
    COUNTIF(Herramientas_eléctricas1862106149192235[Herramientas_eléctricas], B23) &gt; 0, Herramientas_eléctricas1862106149192235[[#Headers],[Herramientas_eléctricas]],
    COUNTIF(Herramientas_neumáticas1963107150193236[Herramientas_neumáticas], B23) &gt; 0, Herramientas_neumáticas1963107150193236[[#Headers],[Herramientas_neumáticas]],
    COUNTIF(Herramientas_de_medición2064108151194237[Herramientas_de_medición], B23) &gt; 0, Herramientas_de_medición2064108151194237[[#Headers],[Herramientas_de_medición]],
    COUNTIF(Herrramientas_mecánicas2165109152195238[Herramientas_mecánicas], B23) &gt; 0, Herrramientas_mecánicas2165109152195238[[#Headers],[Herramientas_mecánicas]],
    COUNTIF(AJ23:AJ29, B23) &gt; 0, Herramientas_hidráulicas2266110153196239[[#Headers],[Herramientas_hidráulicas]],
    COUNTIF(EPP_2367111154197240[SPCC], B23) &gt; 0, EPP_2367111154197240[[#Headers],[SPCC]],
   COUNTIF(Herramientas_de_izaje2468112155198241[Herramientas_de_izaje], B23) &gt; 0, Herramientas_de_izaje2468112155198241[[#Headers],[Herramientas_de_izaje]],
COUNTIF(Tabla162670114157200243[Equipos], B23) &gt; 0, Tabla162670114157200243[[#Headers],[Equipos]],
    TRUE, "Sin clasificación"
)</f>
        <v>Sin clasificación</v>
      </c>
      <c r="F23" s="15"/>
      <c r="G23" s="15"/>
      <c r="H23" s="15"/>
      <c r="I23" s="15"/>
      <c r="J23" s="15"/>
      <c r="K23" s="15"/>
      <c r="L23" s="47"/>
      <c r="N23" s="47"/>
      <c r="O23" s="47" t="str">
        <f>_xlfn.LET(
    _xlpm.itemBuscado, B23,
    _xlpm.areaBuscada, C23,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TEXT(COUNTIF($C$2:C23, _xlpm.areaBuscada), "0000"),
    _xlpm.codItem &amp; "-" &amp; _xlpm.codArea &amp; "-" &amp; _xlpm.secuencia
)</f>
        <v>-SinArea-0000</v>
      </c>
      <c r="Q23" s="15"/>
      <c r="S23" s="48"/>
    </row>
    <row r="24" spans="3:44" x14ac:dyDescent="0.3">
      <c r="C24" s="11"/>
      <c r="E24" s="11" t="str" cm="1">
        <f t="array" ref="E24">_xlfn.IFS(
    COUNTIF(Herramientas_eléctricas1862106149192235[Herramientas_eléctricas], B24) &gt; 0, Herramientas_eléctricas1862106149192235[[#Headers],[Herramientas_eléctricas]],
    COUNTIF(Herramientas_neumáticas1963107150193236[Herramientas_neumáticas], B24) &gt; 0, Herramientas_neumáticas1963107150193236[[#Headers],[Herramientas_neumáticas]],
    COUNTIF(Herramientas_de_medición2064108151194237[Herramientas_de_medición], B24) &gt; 0, Herramientas_de_medición2064108151194237[[#Headers],[Herramientas_de_medición]],
    COUNTIF(Herrramientas_mecánicas2165109152195238[Herramientas_mecánicas], B24) &gt; 0, Herrramientas_mecánicas2165109152195238[[#Headers],[Herramientas_mecánicas]],
    COUNTIF(AJ24:AJ30, B24) &gt; 0, Herramientas_hidráulicas2266110153196239[[#Headers],[Herramientas_hidráulicas]],
    COUNTIF(EPP_2367111154197240[SPCC], B24) &gt; 0, EPP_2367111154197240[[#Headers],[SPCC]],
   COUNTIF(Herramientas_de_izaje2468112155198241[Herramientas_de_izaje], B24) &gt; 0, Herramientas_de_izaje2468112155198241[[#Headers],[Herramientas_de_izaje]],
COUNTIF(Tabla162670114157200243[Equipos], B24) &gt; 0, Tabla162670114157200243[[#Headers],[Equipos]],
    TRUE, "Sin clasificación"
)</f>
        <v>Sin clasificación</v>
      </c>
      <c r="F24" s="15"/>
      <c r="G24" s="15"/>
      <c r="H24" s="15"/>
      <c r="I24" s="15"/>
      <c r="J24" s="15"/>
      <c r="K24" s="15"/>
      <c r="L24" s="47"/>
      <c r="N24" s="47"/>
      <c r="O24" s="47" t="str">
        <f>_xlfn.LET(
    _xlpm.itemBuscado, B24,
    _xlpm.areaBuscada, C24,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TEXT(COUNTIF($C$2:C24, _xlpm.areaBuscada), "0000"),
    _xlpm.codItem &amp; "-" &amp; _xlpm.codArea &amp; "-" &amp; _xlpm.secuencia
)</f>
        <v>-SinArea-0000</v>
      </c>
      <c r="Q24" s="15"/>
      <c r="S24" s="48" t="s">
        <v>224</v>
      </c>
      <c r="AP24" s="18"/>
    </row>
    <row r="25" spans="3:44" x14ac:dyDescent="0.3">
      <c r="C25" s="11"/>
      <c r="E25" s="11" t="str" cm="1">
        <f t="array" ref="E25">_xlfn.IFS(
    COUNTIF(Herramientas_eléctricas1862106149192235[Herramientas_eléctricas], B25) &gt; 0, Herramientas_eléctricas1862106149192235[[#Headers],[Herramientas_eléctricas]],
    COUNTIF(Herramientas_neumáticas1963107150193236[Herramientas_neumáticas], B25) &gt; 0, Herramientas_neumáticas1963107150193236[[#Headers],[Herramientas_neumáticas]],
    COUNTIF(Herramientas_de_medición2064108151194237[Herramientas_de_medición], B25) &gt; 0, Herramientas_de_medición2064108151194237[[#Headers],[Herramientas_de_medición]],
    COUNTIF(Herrramientas_mecánicas2165109152195238[Herramientas_mecánicas], B25) &gt; 0, Herrramientas_mecánicas2165109152195238[[#Headers],[Herramientas_mecánicas]],
    COUNTIF(AJ25:AJ31, B25) &gt; 0, Herramientas_hidráulicas2266110153196239[[#Headers],[Herramientas_hidráulicas]],
    COUNTIF(EPP_2367111154197240[SPCC], B25) &gt; 0, EPP_2367111154197240[[#Headers],[SPCC]],
   COUNTIF(Herramientas_de_izaje2468112155198241[Herramientas_de_izaje], B25) &gt; 0, Herramientas_de_izaje2468112155198241[[#Headers],[Herramientas_de_izaje]],
COUNTIF(Tabla162670114157200243[Equipos], B25) &gt; 0, Tabla162670114157200243[[#Headers],[Equipos]],
    TRUE, "Sin clasificación"
)</f>
        <v>Sin clasificación</v>
      </c>
      <c r="F25" s="15"/>
      <c r="G25" s="15"/>
      <c r="H25" s="15"/>
      <c r="I25" s="15"/>
      <c r="J25" s="15"/>
      <c r="K25" s="15"/>
      <c r="L25" s="47"/>
      <c r="N25" s="47"/>
      <c r="O25" s="47" t="str">
        <f>_xlfn.LET(
    _xlpm.itemBuscado, B25,
    _xlpm.areaBuscada, C25,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TEXT(COUNTIF($C$2:C25, _xlpm.areaBuscada), "0000"),
    _xlpm.codItem &amp; "-" &amp; _xlpm.codArea &amp; "-" &amp; _xlpm.secuencia
)</f>
        <v>-SinArea-0000</v>
      </c>
      <c r="Q25" s="15"/>
      <c r="S25" s="48"/>
      <c r="AP25" s="22"/>
    </row>
    <row r="26" spans="3:44" x14ac:dyDescent="0.3">
      <c r="C26" s="11"/>
      <c r="E26" s="11" t="str" cm="1">
        <f t="array" ref="E26">_xlfn.IFS(
    COUNTIF(Herramientas_eléctricas1862106149192235[Herramientas_eléctricas], B26) &gt; 0, Herramientas_eléctricas1862106149192235[[#Headers],[Herramientas_eléctricas]],
    COUNTIF(Herramientas_neumáticas1963107150193236[Herramientas_neumáticas], B26) &gt; 0, Herramientas_neumáticas1963107150193236[[#Headers],[Herramientas_neumáticas]],
    COUNTIF(Herramientas_de_medición2064108151194237[Herramientas_de_medición], B26) &gt; 0, Herramientas_de_medición2064108151194237[[#Headers],[Herramientas_de_medición]],
    COUNTIF(Herrramientas_mecánicas2165109152195238[Herramientas_mecánicas], B26) &gt; 0, Herrramientas_mecánicas2165109152195238[[#Headers],[Herramientas_mecánicas]],
    COUNTIF(AJ26:AJ32, B26) &gt; 0, Herramientas_hidráulicas2266110153196239[[#Headers],[Herramientas_hidráulicas]],
    COUNTIF(EPP_2367111154197240[SPCC], B26) &gt; 0, EPP_2367111154197240[[#Headers],[SPCC]],
   COUNTIF(Herramientas_de_izaje2468112155198241[Herramientas_de_izaje], B26) &gt; 0, Herramientas_de_izaje2468112155198241[[#Headers],[Herramientas_de_izaje]],
COUNTIF(Tabla162670114157200243[Equipos], B26) &gt; 0, Tabla162670114157200243[[#Headers],[Equipos]],
    TRUE, "Sin clasificación"
)</f>
        <v>Sin clasificación</v>
      </c>
      <c r="F26" s="15"/>
      <c r="G26" s="15"/>
      <c r="H26" s="15"/>
      <c r="I26" s="15"/>
      <c r="J26" s="15"/>
      <c r="K26" s="15"/>
      <c r="L26" s="47"/>
      <c r="N26" s="47"/>
      <c r="O26" s="47" t="str">
        <f>_xlfn.LET(
    _xlpm.itemBuscado, B26,
    _xlpm.areaBuscada, C26,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TEXT(COUNTIF($C$2:C26, _xlpm.areaBuscada), "0000"),
    _xlpm.codItem &amp; "-" &amp; _xlpm.codArea &amp; "-" &amp; _xlpm.secuencia
)</f>
        <v>-SinArea-0000</v>
      </c>
      <c r="Q26" s="15"/>
      <c r="S26" s="48" t="s">
        <v>224</v>
      </c>
      <c r="AG26" s="18"/>
      <c r="AQ26" t="s">
        <v>235</v>
      </c>
    </row>
    <row r="27" spans="3:44" ht="28.8" x14ac:dyDescent="0.3">
      <c r="C27" s="11"/>
      <c r="E27" s="11" t="str" cm="1">
        <f t="array" ref="E27">_xlfn.IFS(
    COUNTIF(Herramientas_eléctricas1862106149192235[Herramientas_eléctricas], B27) &gt; 0, Herramientas_eléctricas1862106149192235[[#Headers],[Herramientas_eléctricas]],
    COUNTIF(Herramientas_neumáticas1963107150193236[Herramientas_neumáticas], B27) &gt; 0, Herramientas_neumáticas1963107150193236[[#Headers],[Herramientas_neumáticas]],
    COUNTIF(Herramientas_de_medición2064108151194237[Herramientas_de_medición], B27) &gt; 0, Herramientas_de_medición2064108151194237[[#Headers],[Herramientas_de_medición]],
    COUNTIF(Herrramientas_mecánicas2165109152195238[Herramientas_mecánicas], B27) &gt; 0, Herrramientas_mecánicas2165109152195238[[#Headers],[Herramientas_mecánicas]],
    COUNTIF(AJ27:AJ33, B27) &gt; 0, Herramientas_hidráulicas2266110153196239[[#Headers],[Herramientas_hidráulicas]],
    COUNTIF(EPP_2367111154197240[SPCC], B27) &gt; 0, EPP_2367111154197240[[#Headers],[SPCC]],
   COUNTIF(Herramientas_de_izaje2468112155198241[Herramientas_de_izaje], B27) &gt; 0, Herramientas_de_izaje2468112155198241[[#Headers],[Herramientas_de_izaje]],
COUNTIF(Tabla162670114157200243[Equipos], B27) &gt; 0, Tabla162670114157200243[[#Headers],[Equipos]],
    TRUE, "Sin clasificación"
)</f>
        <v>Sin clasificación</v>
      </c>
      <c r="F27" s="15"/>
      <c r="G27" s="15"/>
      <c r="H27" s="15"/>
      <c r="I27" s="15"/>
      <c r="J27" s="15"/>
      <c r="K27" s="15"/>
      <c r="L27" s="47"/>
      <c r="N27" s="47"/>
      <c r="O27" s="47" t="str">
        <f>_xlfn.LET(
    _xlpm.itemBuscado, B27,
    _xlpm.areaBuscada, C27,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TEXT(COUNTIF($C$2:C27, _xlpm.areaBuscada), "0000"),
    _xlpm.codItem &amp; "-" &amp; _xlpm.codArea &amp; "-" &amp; _xlpm.secuencia
)</f>
        <v>-SinArea-0000</v>
      </c>
      <c r="Q27" s="15"/>
      <c r="S27" s="48"/>
      <c r="AF27" s="11" t="s">
        <v>236</v>
      </c>
      <c r="AG27" s="11" t="s">
        <v>237</v>
      </c>
      <c r="AH27" s="11" t="s">
        <v>238</v>
      </c>
      <c r="AI27" s="11" t="s">
        <v>239</v>
      </c>
      <c r="AJ27" s="11" t="s">
        <v>240</v>
      </c>
      <c r="AK27" s="11" t="s">
        <v>241</v>
      </c>
      <c r="AL27" s="11" t="s">
        <v>242</v>
      </c>
      <c r="AM27" s="11" t="s">
        <v>243</v>
      </c>
      <c r="AN27" s="11" t="s">
        <v>244</v>
      </c>
      <c r="AO27" s="11" t="s">
        <v>245</v>
      </c>
    </row>
    <row r="28" spans="3:44" x14ac:dyDescent="0.3">
      <c r="C28" s="11"/>
      <c r="E28" s="11" t="str" cm="1">
        <f t="array" ref="E28">_xlfn.IFS(
    COUNTIF(Herramientas_eléctricas1862106149192235[Herramientas_eléctricas], B28) &gt; 0, Herramientas_eléctricas1862106149192235[[#Headers],[Herramientas_eléctricas]],
    COUNTIF(Herramientas_neumáticas1963107150193236[Herramientas_neumáticas], B28) &gt; 0, Herramientas_neumáticas1963107150193236[[#Headers],[Herramientas_neumáticas]],
    COUNTIF(Herramientas_de_medición2064108151194237[Herramientas_de_medición], B28) &gt; 0, Herramientas_de_medición2064108151194237[[#Headers],[Herramientas_de_medición]],
    COUNTIF(Herrramientas_mecánicas2165109152195238[Herramientas_mecánicas], B28) &gt; 0, Herrramientas_mecánicas2165109152195238[[#Headers],[Herramientas_mecánicas]],
    COUNTIF(AJ28:AJ34, B28) &gt; 0, Herramientas_hidráulicas2266110153196239[[#Headers],[Herramientas_hidráulicas]],
    COUNTIF(EPP_2367111154197240[SPCC], B28) &gt; 0, EPP_2367111154197240[[#Headers],[SPCC]],
   COUNTIF(Herramientas_de_izaje2468112155198241[Herramientas_de_izaje], B28) &gt; 0, Herramientas_de_izaje2468112155198241[[#Headers],[Herramientas_de_izaje]],
COUNTIF(Tabla162670114157200243[Equipos], B28) &gt; 0, Tabla162670114157200243[[#Headers],[Equipos]],
    TRUE, "Sin clasificación"
)</f>
        <v>Sin clasificación</v>
      </c>
      <c r="F28" s="15"/>
      <c r="G28" s="15"/>
      <c r="H28" s="15"/>
      <c r="I28" s="15"/>
      <c r="J28" s="15"/>
      <c r="K28" s="15"/>
      <c r="L28" s="47"/>
      <c r="N28" s="47"/>
      <c r="O28" s="47" t="str">
        <f>_xlfn.LET(
    _xlpm.itemBuscado, B28,
    _xlpm.areaBuscada, C28,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TEXT(COUNTIF($C$2:C28, _xlpm.areaBuscada), "0000"),
    _xlpm.codItem &amp; "-" &amp; _xlpm.codArea &amp; "-" &amp; _xlpm.secuencia
)</f>
        <v>-SinArea-0000</v>
      </c>
      <c r="Q28" s="15"/>
      <c r="S28" s="48"/>
    </row>
    <row r="29" spans="3:44" x14ac:dyDescent="0.3">
      <c r="C29" s="11"/>
      <c r="E29" s="11" t="str" cm="1">
        <f t="array" ref="E29">_xlfn.IFS(
    COUNTIF(Herramientas_eléctricas1862106149192235[Herramientas_eléctricas], B29) &gt; 0, Herramientas_eléctricas1862106149192235[[#Headers],[Herramientas_eléctricas]],
    COUNTIF(Herramientas_neumáticas1963107150193236[Herramientas_neumáticas], B29) &gt; 0, Herramientas_neumáticas1963107150193236[[#Headers],[Herramientas_neumáticas]],
    COUNTIF(Herramientas_de_medición2064108151194237[Herramientas_de_medición], B29) &gt; 0, Herramientas_de_medición2064108151194237[[#Headers],[Herramientas_de_medición]],
    COUNTIF(Herrramientas_mecánicas2165109152195238[Herramientas_mecánicas], B29) &gt; 0, Herrramientas_mecánicas2165109152195238[[#Headers],[Herramientas_mecánicas]],
    COUNTIF(AJ29:AJ35, B29) &gt; 0, Herramientas_hidráulicas2266110153196239[[#Headers],[Herramientas_hidráulicas]],
    COUNTIF(EPP_2367111154197240[SPCC], B29) &gt; 0, EPP_2367111154197240[[#Headers],[SPCC]],
   COUNTIF(Herramientas_de_izaje2468112155198241[Herramientas_de_izaje], B29) &gt; 0, Herramientas_de_izaje2468112155198241[[#Headers],[Herramientas_de_izaje]],
COUNTIF(Tabla162670114157200243[Equipos], B29) &gt; 0, Tabla162670114157200243[[#Headers],[Equipos]],
    TRUE, "Sin clasificación"
)</f>
        <v>Sin clasificación</v>
      </c>
      <c r="F29" s="15"/>
      <c r="G29" s="15"/>
      <c r="H29" s="15"/>
      <c r="I29" s="15"/>
      <c r="J29" s="15"/>
      <c r="K29" s="15"/>
      <c r="L29" s="47"/>
      <c r="N29" s="47"/>
      <c r="O29" s="47" t="str">
        <f>_xlfn.LET(
    _xlpm.itemBuscado, B29,
    _xlpm.areaBuscada, C29,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TEXT(COUNTIF($C$2:C29, _xlpm.areaBuscada), "0000"),
    _xlpm.codItem &amp; "-" &amp; _xlpm.codArea &amp; "-" &amp; _xlpm.secuencia
)</f>
        <v>-SinArea-0000</v>
      </c>
      <c r="Q29" s="15"/>
      <c r="S29" s="48"/>
      <c r="AF29" t="s">
        <v>246</v>
      </c>
      <c r="AG29" t="s">
        <v>97</v>
      </c>
      <c r="AH29" t="s">
        <v>34</v>
      </c>
      <c r="AI29" t="s">
        <v>66</v>
      </c>
      <c r="AJ29" s="63" t="s">
        <v>247</v>
      </c>
      <c r="AL29" t="s">
        <v>19</v>
      </c>
      <c r="AO29" t="s">
        <v>75</v>
      </c>
    </row>
    <row r="30" spans="3:44" x14ac:dyDescent="0.3">
      <c r="C30" s="11"/>
      <c r="E30" s="11" t="str" cm="1">
        <f t="array" ref="E30">_xlfn.IFS(
    COUNTIF(Herramientas_eléctricas1862106149192235[Herramientas_eléctricas], B30) &gt; 0, Herramientas_eléctricas1862106149192235[[#Headers],[Herramientas_eléctricas]],
    COUNTIF(Herramientas_neumáticas1963107150193236[Herramientas_neumáticas], B30) &gt; 0, Herramientas_neumáticas1963107150193236[[#Headers],[Herramientas_neumáticas]],
    COUNTIF(Herramientas_de_medición2064108151194237[Herramientas_de_medición], B30) &gt; 0, Herramientas_de_medición2064108151194237[[#Headers],[Herramientas_de_medición]],
    COUNTIF(Herrramientas_mecánicas2165109152195238[Herramientas_mecánicas], B30) &gt; 0, Herrramientas_mecánicas2165109152195238[[#Headers],[Herramientas_mecánicas]],
    COUNTIF(AJ30:AJ36, B30) &gt; 0, Herramientas_hidráulicas2266110153196239[[#Headers],[Herramientas_hidráulicas]],
    COUNTIF(EPP_2367111154197240[SPCC], B30) &gt; 0, EPP_2367111154197240[[#Headers],[SPCC]],
   COUNTIF(Herramientas_de_izaje2468112155198241[Herramientas_de_izaje], B30) &gt; 0, Herramientas_de_izaje2468112155198241[[#Headers],[Herramientas_de_izaje]],
COUNTIF(Tabla162670114157200243[Equipos], B30) &gt; 0, Tabla162670114157200243[[#Headers],[Equipos]],
    TRUE, "Sin clasificación"
)</f>
        <v>Sin clasificación</v>
      </c>
      <c r="F30" s="15"/>
      <c r="G30" s="15"/>
      <c r="H30" s="15"/>
      <c r="I30" s="15"/>
      <c r="J30" s="15"/>
      <c r="K30" s="15"/>
      <c r="L30" s="47"/>
      <c r="N30" s="47"/>
      <c r="O30" s="47" t="str">
        <f>_xlfn.LET(
    _xlpm.itemBuscado, B30,
    _xlpm.areaBuscada, C30,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TEXT(COUNTIF($C$2:C30, _xlpm.areaBuscada), "0000"),
    _xlpm.codItem &amp; "-" &amp; _xlpm.codArea &amp; "-" &amp; _xlpm.secuencia
)</f>
        <v>-SinArea-0000</v>
      </c>
      <c r="Q30" s="15"/>
      <c r="S30" s="48" t="s">
        <v>224</v>
      </c>
      <c r="AF30" s="22" t="s">
        <v>248</v>
      </c>
      <c r="AG30" t="s">
        <v>17</v>
      </c>
      <c r="AH30" s="18" t="s">
        <v>249</v>
      </c>
      <c r="AI30" t="s">
        <v>250</v>
      </c>
      <c r="AJ30" s="64" t="s">
        <v>251</v>
      </c>
      <c r="AL30" t="s">
        <v>252</v>
      </c>
      <c r="AO30" s="18" t="s">
        <v>253</v>
      </c>
    </row>
    <row r="31" spans="3:44" x14ac:dyDescent="0.3">
      <c r="C31" s="11"/>
      <c r="E31" s="11" t="str" cm="1">
        <f t="array" ref="E31">_xlfn.IFS(
    COUNTIF(Herramientas_eléctricas1862106149192235[Herramientas_eléctricas], B31) &gt; 0, Herramientas_eléctricas1862106149192235[[#Headers],[Herramientas_eléctricas]],
    COUNTIF(Herramientas_neumáticas1963107150193236[Herramientas_neumáticas], B31) &gt; 0, Herramientas_neumáticas1963107150193236[[#Headers],[Herramientas_neumáticas]],
    COUNTIF(Herramientas_de_medición2064108151194237[Herramientas_de_medición], B31) &gt; 0, Herramientas_de_medición2064108151194237[[#Headers],[Herramientas_de_medición]],
    COUNTIF(Herrramientas_mecánicas2165109152195238[Herramientas_mecánicas], B31) &gt; 0, Herrramientas_mecánicas2165109152195238[[#Headers],[Herramientas_mecánicas]],
    COUNTIF(AJ31:AJ37, B31) &gt; 0, Herramientas_hidráulicas2266110153196239[[#Headers],[Herramientas_hidráulicas]],
    COUNTIF(EPP_2367111154197240[SPCC], B31) &gt; 0, EPP_2367111154197240[[#Headers],[SPCC]],
   COUNTIF(Herramientas_de_izaje2468112155198241[Herramientas_de_izaje], B31) &gt; 0, Herramientas_de_izaje2468112155198241[[#Headers],[Herramientas_de_izaje]],
COUNTIF(Tabla162670114157200243[Equipos], B31) &gt; 0, Tabla162670114157200243[[#Headers],[Equipos]],
    TRUE, "Sin clasificación"
)</f>
        <v>Sin clasificación</v>
      </c>
      <c r="F31" s="15"/>
      <c r="G31" s="15"/>
      <c r="H31" s="15"/>
      <c r="I31" s="15"/>
      <c r="J31" s="15"/>
      <c r="K31" s="15"/>
      <c r="L31" s="47"/>
      <c r="N31" s="47"/>
      <c r="O31" s="47" t="str">
        <f>_xlfn.LET(
    _xlpm.itemBuscado, B31,
    _xlpm.areaBuscada, C31,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TEXT(COUNTIF($C$2:C31, _xlpm.areaBuscada), "0000"),
    _xlpm.codItem &amp; "-" &amp; _xlpm.codArea &amp; "-" &amp; _xlpm.secuencia
)</f>
        <v>-SinArea-0000</v>
      </c>
      <c r="Q31" s="15"/>
      <c r="S31" s="48"/>
      <c r="AF31" s="65" t="s">
        <v>254</v>
      </c>
      <c r="AH31" t="s">
        <v>255</v>
      </c>
      <c r="AO31" s="26" t="s">
        <v>256</v>
      </c>
    </row>
    <row r="32" spans="3:44" ht="28.5" customHeight="1" x14ac:dyDescent="0.3">
      <c r="C32" s="11"/>
      <c r="E32" s="11" t="str" cm="1">
        <f t="array" ref="E32">_xlfn.IFS(
    COUNTIF(Herramientas_eléctricas1862106149192235[Herramientas_eléctricas], B32) &gt; 0, Herramientas_eléctricas1862106149192235[[#Headers],[Herramientas_eléctricas]],
    COUNTIF(Herramientas_neumáticas1963107150193236[Herramientas_neumáticas], B32) &gt; 0, Herramientas_neumáticas1963107150193236[[#Headers],[Herramientas_neumáticas]],
    COUNTIF(Herramientas_de_medición2064108151194237[Herramientas_de_medición], B32) &gt; 0, Herramientas_de_medición2064108151194237[[#Headers],[Herramientas_de_medición]],
    COUNTIF(Herrramientas_mecánicas2165109152195238[Herramientas_mecánicas], B32) &gt; 0, Herrramientas_mecánicas2165109152195238[[#Headers],[Herramientas_mecánicas]],
    COUNTIF(AJ32:AJ38, B32) &gt; 0, Herramientas_hidráulicas2266110153196239[[#Headers],[Herramientas_hidráulicas]],
    COUNTIF(EPP_2367111154197240[SPCC], B32) &gt; 0, EPP_2367111154197240[[#Headers],[SPCC]],
   COUNTIF(Herramientas_de_izaje2468112155198241[Herramientas_de_izaje], B32) &gt; 0, Herramientas_de_izaje2468112155198241[[#Headers],[Herramientas_de_izaje]],
COUNTIF(Tabla162670114157200243[Equipos], B32) &gt; 0, Tabla162670114157200243[[#Headers],[Equipos]],
    TRUE, "Sin clasificación"
)</f>
        <v>Sin clasificación</v>
      </c>
      <c r="F32" s="15"/>
      <c r="G32" s="15"/>
      <c r="H32" s="15"/>
      <c r="I32" s="15"/>
      <c r="J32" s="15"/>
      <c r="K32" s="15"/>
      <c r="L32" s="47"/>
      <c r="N32" s="47"/>
      <c r="O32" s="47" t="str">
        <f>_xlfn.LET(
    _xlpm.itemBuscado, B32,
    _xlpm.areaBuscada, C32,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TEXT(COUNTIF($C$2:C32, _xlpm.areaBuscada), "0000"),
    _xlpm.codItem &amp; "-" &amp; _xlpm.codArea &amp; "-" &amp; _xlpm.secuencia
)</f>
        <v>-SinArea-0000</v>
      </c>
      <c r="Q32" s="15"/>
      <c r="S32" s="48"/>
    </row>
    <row r="33" spans="3:44" x14ac:dyDescent="0.3">
      <c r="C33" s="11"/>
      <c r="E33" s="11" t="str" cm="1">
        <f t="array" ref="E33">_xlfn.IFS(
    COUNTIF(Herramientas_eléctricas1862106149192235[Herramientas_eléctricas], B33) &gt; 0, Herramientas_eléctricas1862106149192235[[#Headers],[Herramientas_eléctricas]],
    COUNTIF(Herramientas_neumáticas1963107150193236[Herramientas_neumáticas], B33) &gt; 0, Herramientas_neumáticas1963107150193236[[#Headers],[Herramientas_neumáticas]],
    COUNTIF(Herramientas_de_medición2064108151194237[Herramientas_de_medición], B33) &gt; 0, Herramientas_de_medición2064108151194237[[#Headers],[Herramientas_de_medición]],
    COUNTIF(Herrramientas_mecánicas2165109152195238[Herramientas_mecánicas], B33) &gt; 0, Herrramientas_mecánicas2165109152195238[[#Headers],[Herramientas_mecánicas]],
    COUNTIF(AJ33:AJ39, B33) &gt; 0, Herramientas_hidráulicas2266110153196239[[#Headers],[Herramientas_hidráulicas]],
    COUNTIF(EPP_2367111154197240[SPCC], B33) &gt; 0, EPP_2367111154197240[[#Headers],[SPCC]],
   COUNTIF(Herramientas_de_izaje2468112155198241[Herramientas_de_izaje], B33) &gt; 0, Herramientas_de_izaje2468112155198241[[#Headers],[Herramientas_de_izaje]],
COUNTIF(Tabla162670114157200243[Equipos], B33) &gt; 0, Tabla162670114157200243[[#Headers],[Equipos]],
    TRUE, "Sin clasificación"
)</f>
        <v>Sin clasificación</v>
      </c>
      <c r="F33" s="15"/>
      <c r="G33" s="15"/>
      <c r="H33" s="15"/>
      <c r="I33" s="15"/>
      <c r="J33" s="15"/>
      <c r="K33" s="15"/>
      <c r="L33" s="47"/>
      <c r="N33" s="47"/>
      <c r="O33" s="47" t="str">
        <f>_xlfn.LET(
    _xlpm.itemBuscado, B33,
    _xlpm.areaBuscada, C33,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TEXT(COUNTIF($C$2:C33, _xlpm.areaBuscada), "0000"),
    _xlpm.codItem &amp; "-" &amp; _xlpm.codArea &amp; "-" &amp; _xlpm.secuencia
)</f>
        <v>-SinArea-0000</v>
      </c>
      <c r="Q33" s="15"/>
      <c r="S33" s="48"/>
      <c r="AF33" t="s">
        <v>68</v>
      </c>
      <c r="AG33" t="s">
        <v>36</v>
      </c>
      <c r="AH33" t="s">
        <v>257</v>
      </c>
      <c r="AI33" t="s">
        <v>258</v>
      </c>
    </row>
    <row r="34" spans="3:44" x14ac:dyDescent="0.3">
      <c r="C34" s="11"/>
      <c r="E34" s="11" t="str" cm="1">
        <f t="array" ref="E34">_xlfn.IFS(
    COUNTIF(Herramientas_eléctricas1862106149192235[Herramientas_eléctricas], B34) &gt; 0, Herramientas_eléctricas1862106149192235[[#Headers],[Herramientas_eléctricas]],
    COUNTIF(Herramientas_neumáticas1963107150193236[Herramientas_neumáticas], B34) &gt; 0, Herramientas_neumáticas1963107150193236[[#Headers],[Herramientas_neumáticas]],
    COUNTIF(Herramientas_de_medición2064108151194237[Herramientas_de_medición], B34) &gt; 0, Herramientas_de_medición2064108151194237[[#Headers],[Herramientas_de_medición]],
    COUNTIF(Herrramientas_mecánicas2165109152195238[Herramientas_mecánicas], B34) &gt; 0, Herrramientas_mecánicas2165109152195238[[#Headers],[Herramientas_mecánicas]],
    COUNTIF(AJ34:AJ40, B34) &gt; 0, Herramientas_hidráulicas2266110153196239[[#Headers],[Herramientas_hidráulicas]],
    COUNTIF(EPP_2367111154197240[SPCC], B34) &gt; 0, EPP_2367111154197240[[#Headers],[SPCC]],
   COUNTIF(Herramientas_de_izaje2468112155198241[Herramientas_de_izaje], B34) &gt; 0, Herramientas_de_izaje2468112155198241[[#Headers],[Herramientas_de_izaje]],
COUNTIF(Tabla162670114157200243[Equipos], B34) &gt; 0, Tabla162670114157200243[[#Headers],[Equipos]],
    TRUE, "Sin clasificación"
)</f>
        <v>Sin clasificación</v>
      </c>
      <c r="F34" s="15"/>
      <c r="G34" s="15"/>
      <c r="H34" s="15"/>
      <c r="I34" s="15"/>
      <c r="J34" s="15"/>
      <c r="K34" s="15"/>
      <c r="L34" s="47"/>
      <c r="N34" s="47"/>
      <c r="O34" s="47" t="str">
        <f>_xlfn.LET(
    _xlpm.itemBuscado, B34,
    _xlpm.areaBuscada, C34,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TEXT(COUNTIF($C$2:C34, _xlpm.areaBuscada), "0000"),
    _xlpm.codItem &amp; "-" &amp; _xlpm.codArea &amp; "-" &amp; _xlpm.secuencia
)</f>
        <v>-SinArea-0000</v>
      </c>
      <c r="Q34" s="15"/>
      <c r="S34" s="48"/>
      <c r="AF34" s="20" t="s">
        <v>259</v>
      </c>
      <c r="AG34" t="s">
        <v>260</v>
      </c>
      <c r="AH34" s="19" t="s">
        <v>261</v>
      </c>
      <c r="AI34" s="22" t="s">
        <v>262</v>
      </c>
    </row>
    <row r="35" spans="3:44" ht="28.8" x14ac:dyDescent="0.3">
      <c r="C35" s="11"/>
      <c r="E35" s="11" t="str" cm="1">
        <f t="array" ref="E35">_xlfn.IFS(
    COUNTIF(Herramientas_eléctricas1862106149192235[Herramientas_eléctricas], B35) &gt; 0, Herramientas_eléctricas1862106149192235[[#Headers],[Herramientas_eléctricas]],
    COUNTIF(Herramientas_neumáticas1963107150193236[Herramientas_neumáticas], B35) &gt; 0, Herramientas_neumáticas1963107150193236[[#Headers],[Herramientas_neumáticas]],
    COUNTIF(Herramientas_de_medición2064108151194237[Herramientas_de_medición], B35) &gt; 0, Herramientas_de_medición2064108151194237[[#Headers],[Herramientas_de_medición]],
    COUNTIF(Herrramientas_mecánicas2165109152195238[Herramientas_mecánicas], B35) &gt; 0, Herrramientas_mecánicas2165109152195238[[#Headers],[Herramientas_mecánicas]],
    COUNTIF(AJ35:AJ41, B35) &gt; 0, Herramientas_hidráulicas2266110153196239[[#Headers],[Herramientas_hidráulicas]],
    COUNTIF(EPP_2367111154197240[SPCC], B35) &gt; 0, EPP_2367111154197240[[#Headers],[SPCC]],
   COUNTIF(Herramientas_de_izaje2468112155198241[Herramientas_de_izaje], B35) &gt; 0, Herramientas_de_izaje2468112155198241[[#Headers],[Herramientas_de_izaje]],
COUNTIF(Tabla162670114157200243[Equipos], B35) &gt; 0, Tabla162670114157200243[[#Headers],[Equipos]],
    TRUE, "Sin clasificación"
)</f>
        <v>Sin clasificación</v>
      </c>
      <c r="F35" s="15"/>
      <c r="G35" s="15"/>
      <c r="H35" s="15"/>
      <c r="I35" s="15"/>
      <c r="J35" s="15"/>
      <c r="K35" s="15"/>
      <c r="L35" s="47"/>
      <c r="N35" s="47"/>
      <c r="O35" s="47" t="str">
        <f>_xlfn.LET(
    _xlpm.itemBuscado, B35,
    _xlpm.areaBuscada, C35,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TEXT(COUNTIF($C$2:C35, _xlpm.areaBuscada), "0000"),
    _xlpm.codItem &amp; "-" &amp; _xlpm.codArea &amp; "-" &amp; _xlpm.secuencia
)</f>
        <v>-SinArea-0000</v>
      </c>
      <c r="Q35" s="15"/>
      <c r="S35" s="48"/>
      <c r="AF35" s="66" t="s">
        <v>263</v>
      </c>
      <c r="AH35" s="13" t="s">
        <v>264</v>
      </c>
      <c r="AI35" s="67" t="s">
        <v>265</v>
      </c>
    </row>
    <row r="36" spans="3:44" x14ac:dyDescent="0.3">
      <c r="C36" s="11"/>
      <c r="E36" s="11"/>
      <c r="F36" s="15"/>
      <c r="G36" s="15"/>
      <c r="H36" s="15"/>
      <c r="I36" s="15"/>
      <c r="J36" s="15"/>
      <c r="K36" s="15"/>
      <c r="L36" s="47"/>
      <c r="N36" s="47"/>
      <c r="O36" s="47" t="str">
        <f>_xlfn.LET(
    _xlpm.itemBuscado, B36,
    _xlpm.areaBuscada, C36,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TEXT(COUNTIF($C$2:C36, _xlpm.areaBuscada), "0000"),
    _xlpm.codItem &amp; "-" &amp; _xlpm.codArea &amp; "-" &amp; _xlpm.secuencia
)</f>
        <v>-SinArea-0000</v>
      </c>
      <c r="Q36" s="15"/>
      <c r="S36" s="48"/>
      <c r="AH36" s="68" t="s">
        <v>266</v>
      </c>
      <c r="AI36" s="22" t="s">
        <v>267</v>
      </c>
    </row>
    <row r="37" spans="3:44" x14ac:dyDescent="0.3">
      <c r="C37" s="11"/>
      <c r="E37" s="11"/>
      <c r="F37" s="15"/>
      <c r="G37" s="15"/>
      <c r="H37" s="15"/>
      <c r="I37" s="15"/>
      <c r="J37" s="15"/>
      <c r="K37" s="15"/>
      <c r="L37" s="47"/>
      <c r="N37" s="47"/>
      <c r="O37" s="47" t="str">
        <f>_xlfn.LET(
    _xlpm.itemBuscado, B37,
    _xlpm.areaBuscada, C37,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TEXT(COUNTIF($C$2:C37, _xlpm.areaBuscada), "0000"),
    _xlpm.codItem &amp; "-" &amp; _xlpm.codArea &amp; "-" &amp; _xlpm.secuencia
)</f>
        <v>-SinArea-0000</v>
      </c>
      <c r="Q37" s="15"/>
      <c r="S37" s="48"/>
      <c r="AI37" s="18" t="s">
        <v>268</v>
      </c>
    </row>
    <row r="38" spans="3:44" x14ac:dyDescent="0.3">
      <c r="C38" s="11"/>
      <c r="E38" s="11"/>
      <c r="F38" s="15"/>
      <c r="G38" s="15"/>
      <c r="H38" s="15"/>
      <c r="I38" s="15"/>
      <c r="J38" s="15"/>
      <c r="K38" s="15"/>
      <c r="L38" s="47"/>
      <c r="N38" s="47"/>
      <c r="O38" s="47" t="str">
        <f>_xlfn.LET(
    _xlpm.itemBuscado, B38,
    _xlpm.areaBuscada, C38,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TEXT(COUNTIF($C$2:C38, _xlpm.areaBuscada), "0000"),
    _xlpm.codItem &amp; "-" &amp; _xlpm.codArea &amp; "-" &amp; _xlpm.secuencia
)</f>
        <v>-SinArea-0000</v>
      </c>
      <c r="Q38" s="15"/>
      <c r="S38" s="48"/>
      <c r="AF38" s="69" t="s">
        <v>24</v>
      </c>
      <c r="AH38" t="s">
        <v>269</v>
      </c>
      <c r="AI38" s="18" t="s">
        <v>270</v>
      </c>
    </row>
    <row r="39" spans="3:44" ht="22.8" x14ac:dyDescent="0.3">
      <c r="C39" s="11"/>
      <c r="E39" s="11"/>
      <c r="F39" s="15"/>
      <c r="G39" s="15"/>
      <c r="H39" s="15"/>
      <c r="I39" s="15"/>
      <c r="J39" s="15"/>
      <c r="K39" s="15"/>
      <c r="L39" s="47"/>
      <c r="N39" s="47"/>
      <c r="O39" s="47" t="str">
        <f>_xlfn.LET(
    _xlpm.itemBuscado, B39,
    _xlpm.areaBuscada, C39,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TEXT(COUNTIF($C$2:C39, _xlpm.areaBuscada), "0000"),
    _xlpm.codItem &amp; "-" &amp; _xlpm.codArea &amp; "-" &amp; _xlpm.secuencia
)</f>
        <v>-SinArea-0000</v>
      </c>
      <c r="Q39" s="15"/>
      <c r="S39" s="48"/>
      <c r="AF39" s="62" t="s">
        <v>271</v>
      </c>
      <c r="AH39" s="68" t="s">
        <v>272</v>
      </c>
      <c r="AI39" s="22" t="s">
        <v>273</v>
      </c>
    </row>
    <row r="40" spans="3:44" x14ac:dyDescent="0.3">
      <c r="C40" s="11"/>
      <c r="E40" s="11"/>
      <c r="F40" s="15"/>
      <c r="G40" s="15"/>
      <c r="H40" s="15"/>
      <c r="I40" s="15"/>
      <c r="J40" s="15"/>
      <c r="K40" s="15"/>
      <c r="L40" s="47"/>
      <c r="N40" s="47"/>
      <c r="O40" s="47" t="str">
        <f>_xlfn.LET(
    _xlpm.itemBuscado, B40,
    _xlpm.areaBuscada, C40,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TEXT(COUNTIF($C$2:C40, _xlpm.areaBuscada), "0000"),
    _xlpm.codItem &amp; "-" &amp; _xlpm.codArea &amp; "-" &amp; _xlpm.secuencia
)</f>
        <v>-SinArea-0000</v>
      </c>
      <c r="Q40" s="15"/>
      <c r="S40" s="48"/>
      <c r="AF40" s="70" t="s">
        <v>17</v>
      </c>
      <c r="AI40" t="s">
        <v>274</v>
      </c>
    </row>
    <row r="41" spans="3:44" x14ac:dyDescent="0.3">
      <c r="C41" s="11"/>
      <c r="E41" s="11"/>
      <c r="F41" s="15"/>
      <c r="G41" s="15"/>
      <c r="H41" s="15"/>
      <c r="I41" s="15"/>
      <c r="J41" s="15"/>
      <c r="K41" s="15"/>
      <c r="L41" s="47"/>
      <c r="N41" s="47"/>
      <c r="O41" s="47" t="str">
        <f>_xlfn.LET(
    _xlpm.itemBuscado, B41,
    _xlpm.areaBuscada, C41,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TEXT(COUNTIF($C$2:C41, _xlpm.areaBuscada), "0000"),
    _xlpm.codItem &amp; "-" &amp; _xlpm.codArea &amp; "-" &amp; _xlpm.secuencia
)</f>
        <v>-SinArea-0000</v>
      </c>
      <c r="Q41" s="15"/>
      <c r="S41" s="48"/>
      <c r="AH41" t="s">
        <v>61</v>
      </c>
    </row>
    <row r="42" spans="3:44" x14ac:dyDescent="0.3">
      <c r="C42" s="11"/>
      <c r="E42" s="11"/>
      <c r="F42" s="15"/>
      <c r="G42" s="15"/>
      <c r="H42" s="15"/>
      <c r="I42" s="15"/>
      <c r="J42" s="15"/>
      <c r="K42" s="15"/>
      <c r="L42" s="47"/>
      <c r="N42" s="47"/>
      <c r="O42" s="47" t="str">
        <f>_xlfn.LET(
    _xlpm.itemBuscado, B42,
    _xlpm.areaBuscada, C42,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TEXT(COUNTIF($C$2:C42, _xlpm.areaBuscada), "0000"),
    _xlpm.codItem &amp; "-" &amp; _xlpm.codArea &amp; "-" &amp; _xlpm.secuencia
)</f>
        <v>-SinArea-0000</v>
      </c>
      <c r="Q42" s="15"/>
      <c r="S42" s="48"/>
      <c r="AF42" s="71" t="s">
        <v>94</v>
      </c>
      <c r="AH42" t="s">
        <v>275</v>
      </c>
    </row>
    <row r="43" spans="3:44" x14ac:dyDescent="0.3">
      <c r="C43" s="11"/>
      <c r="E43" s="11"/>
      <c r="F43" s="15"/>
      <c r="G43" s="15"/>
      <c r="H43" s="15"/>
      <c r="I43" s="15"/>
      <c r="J43" s="15"/>
      <c r="K43" s="15"/>
      <c r="L43" s="47"/>
      <c r="N43" s="47"/>
      <c r="O43" s="47" t="str">
        <f>_xlfn.LET(
    _xlpm.itemBuscado, B43,
    _xlpm.areaBuscada, C43,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TEXT(COUNTIF($C$2:C43, _xlpm.areaBuscada), "0000"),
    _xlpm.codItem &amp; "-" &amp; _xlpm.codArea &amp; "-" &amp; _xlpm.secuencia
)</f>
        <v>-SinArea-0000</v>
      </c>
      <c r="Q43" s="15"/>
      <c r="S43" s="48"/>
      <c r="AF43" s="72" t="s">
        <v>276</v>
      </c>
      <c r="AH43" s="20" t="s">
        <v>277</v>
      </c>
      <c r="AI43" t="s">
        <v>98</v>
      </c>
    </row>
    <row r="44" spans="3:44" x14ac:dyDescent="0.3">
      <c r="C44" s="11"/>
      <c r="E44" s="11"/>
      <c r="F44" s="15"/>
      <c r="G44" s="15"/>
      <c r="H44" s="15"/>
      <c r="I44" s="15"/>
      <c r="J44" s="15"/>
      <c r="K44" s="15"/>
      <c r="L44" s="47"/>
      <c r="N44" s="47"/>
      <c r="O44" s="47" t="str">
        <f>_xlfn.LET(
    _xlpm.itemBuscado, B44,
    _xlpm.areaBuscada, C44,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TEXT(COUNTIF($C$2:C44, _xlpm.areaBuscada), "0000"),
    _xlpm.codItem &amp; "-" &amp; _xlpm.codArea &amp; "-" &amp; _xlpm.secuencia
)</f>
        <v>-SinArea-0000</v>
      </c>
      <c r="Q44" s="15"/>
      <c r="S44" s="48"/>
      <c r="AF44" s="73" t="s">
        <v>278</v>
      </c>
      <c r="AH44" s="18" t="s">
        <v>279</v>
      </c>
      <c r="AI44" s="26" t="s">
        <v>280</v>
      </c>
    </row>
    <row r="45" spans="3:44" x14ac:dyDescent="0.3">
      <c r="C45" s="11"/>
      <c r="E45" s="11"/>
      <c r="F45" s="15"/>
      <c r="G45" s="15"/>
      <c r="H45" s="15"/>
      <c r="I45" s="15"/>
      <c r="J45" s="15"/>
      <c r="K45" s="15"/>
      <c r="L45" s="47"/>
      <c r="N45" s="47"/>
      <c r="O45" s="47" t="str">
        <f>_xlfn.LET(
    _xlpm.itemBuscado, B45,
    _xlpm.areaBuscada, C45,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TEXT(COUNTIF($C$2:C45, _xlpm.areaBuscada), "0000"),
    _xlpm.codItem &amp; "-" &amp; _xlpm.codArea &amp; "-" &amp; _xlpm.secuencia
)</f>
        <v>-SinArea-0000</v>
      </c>
      <c r="Q45" s="15"/>
      <c r="S45" s="48"/>
      <c r="AF45" t="s">
        <v>42</v>
      </c>
      <c r="AH45" s="26" t="s">
        <v>281</v>
      </c>
    </row>
    <row r="46" spans="3:44" x14ac:dyDescent="0.3">
      <c r="C46" s="11"/>
      <c r="E46" s="11"/>
      <c r="F46" s="15"/>
      <c r="G46" s="15"/>
      <c r="H46" s="15"/>
      <c r="I46" s="15"/>
      <c r="J46" s="15"/>
      <c r="K46" s="15"/>
      <c r="L46" s="47"/>
      <c r="N46" s="47"/>
      <c r="O46" s="47" t="str">
        <f>_xlfn.LET(
    _xlpm.itemBuscado, B46,
    _xlpm.areaBuscada, C46,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TEXT(COUNTIF($C$2:C46, _xlpm.areaBuscada), "0000"),
    _xlpm.codItem &amp; "-" &amp; _xlpm.codArea &amp; "-" &amp; _xlpm.secuencia
)</f>
        <v>-SinArea-0000</v>
      </c>
      <c r="Q46" s="15"/>
      <c r="S46" s="48"/>
    </row>
    <row r="47" spans="3:44" x14ac:dyDescent="0.3">
      <c r="C47" s="11"/>
      <c r="E47" s="11"/>
      <c r="F47" s="15"/>
      <c r="G47" s="15"/>
      <c r="H47" s="15"/>
      <c r="I47" s="15"/>
      <c r="J47" s="15"/>
      <c r="K47" s="15"/>
      <c r="L47" s="47"/>
      <c r="N47" s="47"/>
      <c r="O47" s="47" t="str">
        <f>_xlfn.LET(
    _xlpm.itemBuscado, B47,
    _xlpm.areaBuscada, C47,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TEXT(COUNTIF($C$2:C47, _xlpm.areaBuscada), "0000"),
    _xlpm.codItem &amp; "-" &amp; _xlpm.codArea &amp; "-" &amp; _xlpm.secuencia
)</f>
        <v>-SinArea-0000</v>
      </c>
      <c r="Q47" s="15"/>
      <c r="S47" s="48"/>
      <c r="AF47" t="s">
        <v>41</v>
      </c>
      <c r="AI47" t="s">
        <v>282</v>
      </c>
    </row>
    <row r="48" spans="3:44" ht="28.8" x14ac:dyDescent="0.3">
      <c r="C48" s="11"/>
      <c r="E48" s="11"/>
      <c r="F48" s="15"/>
      <c r="G48" s="15"/>
      <c r="H48" s="15"/>
      <c r="I48" s="15"/>
      <c r="J48" s="15"/>
      <c r="K48" s="15"/>
      <c r="L48" s="47"/>
      <c r="N48" s="47"/>
      <c r="O48" s="47" t="str">
        <f>_xlfn.LET(
    _xlpm.itemBuscado, B48,
    _xlpm.areaBuscada, C48,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TEXT(COUNTIF($C$2:C48, _xlpm.areaBuscada), "0000"),
    _xlpm.codItem &amp; "-" &amp; _xlpm.codArea &amp; "-" &amp; _xlpm.secuencia
)</f>
        <v>-SinArea-0000</v>
      </c>
      <c r="Q48" s="15"/>
      <c r="S48" s="48"/>
      <c r="AF48" t="s">
        <v>41</v>
      </c>
      <c r="AH48" t="s">
        <v>283</v>
      </c>
      <c r="AI48" s="74" t="s">
        <v>284</v>
      </c>
      <c r="AR48" t="s">
        <v>74</v>
      </c>
    </row>
    <row r="49" spans="3:44" x14ac:dyDescent="0.3">
      <c r="C49" s="11"/>
      <c r="E49" s="11"/>
      <c r="F49" s="15"/>
      <c r="G49" s="15"/>
      <c r="H49" s="15"/>
      <c r="I49" s="15"/>
      <c r="J49" s="15"/>
      <c r="K49" s="15"/>
      <c r="L49" s="47"/>
      <c r="N49" s="47"/>
      <c r="O49" s="47" t="str">
        <f>_xlfn.LET(
    _xlpm.itemBuscado, B49,
    _xlpm.areaBuscada, C49,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TEXT(COUNTIF($C$2:C49, _xlpm.areaBuscada), "0000"),
    _xlpm.codItem &amp; "-" &amp; _xlpm.codArea &amp; "-" &amp; _xlpm.secuencia
)</f>
        <v>-SinArea-0000</v>
      </c>
      <c r="Q49" s="15"/>
      <c r="S49" s="48"/>
      <c r="AF49" t="s">
        <v>285</v>
      </c>
      <c r="AH49" t="s">
        <v>286</v>
      </c>
      <c r="AR49" s="22" t="s">
        <v>74</v>
      </c>
    </row>
    <row r="50" spans="3:44" x14ac:dyDescent="0.3">
      <c r="C50" s="11"/>
      <c r="E50" s="11"/>
      <c r="F50" s="15"/>
      <c r="G50" s="15"/>
      <c r="H50" s="15"/>
      <c r="I50" s="15"/>
      <c r="J50" s="15"/>
      <c r="K50" s="15"/>
      <c r="L50" s="47"/>
      <c r="N50" s="47"/>
      <c r="O50" s="47" t="str">
        <f>_xlfn.LET(
    _xlpm.itemBuscado, B50,
    _xlpm.areaBuscada, C50,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TEXT(COUNTIF($C$2:C50, _xlpm.areaBuscada), "0000"),
    _xlpm.codItem &amp; "-" &amp; _xlpm.codArea &amp; "-" &amp; _xlpm.secuencia
)</f>
        <v>-SinArea-0000</v>
      </c>
      <c r="Q50" s="15"/>
      <c r="S50" s="48"/>
      <c r="AF50" t="s">
        <v>287</v>
      </c>
      <c r="AH50" t="s">
        <v>288</v>
      </c>
      <c r="AI50" t="s">
        <v>289</v>
      </c>
      <c r="AR50" s="18" t="s">
        <v>290</v>
      </c>
    </row>
    <row r="51" spans="3:44" x14ac:dyDescent="0.3">
      <c r="C51" s="11"/>
      <c r="E51" s="11"/>
      <c r="F51" s="15"/>
      <c r="G51" s="15"/>
      <c r="H51" s="15"/>
      <c r="I51" s="15"/>
      <c r="J51" s="15"/>
      <c r="K51" s="15"/>
      <c r="L51" s="47"/>
      <c r="N51" s="47"/>
      <c r="O51" s="47" t="str">
        <f>_xlfn.LET(
    _xlpm.itemBuscado, B51,
    _xlpm.areaBuscada, C51,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TEXT(COUNTIF($C$2:C51, _xlpm.areaBuscada), "0000"),
    _xlpm.codItem &amp; "-" &amp; _xlpm.codArea &amp; "-" &amp; _xlpm.secuencia
)</f>
        <v>-SinArea-0000</v>
      </c>
      <c r="Q51" s="15"/>
      <c r="S51" s="48"/>
      <c r="AI51" s="22" t="s">
        <v>291</v>
      </c>
    </row>
    <row r="52" spans="3:44" x14ac:dyDescent="0.3">
      <c r="C52" s="11"/>
      <c r="E52" s="11"/>
      <c r="F52" s="15"/>
      <c r="G52" s="15"/>
      <c r="H52" s="15"/>
      <c r="I52" s="15"/>
      <c r="J52" s="15"/>
      <c r="K52" s="15"/>
      <c r="L52" s="47"/>
      <c r="N52" s="47"/>
      <c r="O52" s="47" t="str">
        <f>_xlfn.LET(
    _xlpm.itemBuscado, B52,
    _xlpm.areaBuscada, C52,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TEXT(COUNTIF($C$2:C52, _xlpm.areaBuscada), "0000"),
    _xlpm.codItem &amp; "-" &amp; _xlpm.codArea &amp; "-" &amp; _xlpm.secuencia
)</f>
        <v>-SinArea-0000</v>
      </c>
      <c r="Q52" s="15"/>
      <c r="S52" s="48"/>
      <c r="AF52" t="s">
        <v>60</v>
      </c>
      <c r="AI52" s="67" t="s">
        <v>292</v>
      </c>
    </row>
    <row r="53" spans="3:44" x14ac:dyDescent="0.3">
      <c r="C53" s="11"/>
      <c r="E53" s="11"/>
      <c r="F53" s="15"/>
      <c r="G53" s="15"/>
      <c r="H53" s="15"/>
      <c r="I53" s="15"/>
      <c r="J53" s="15"/>
      <c r="K53" s="15"/>
      <c r="L53" s="47"/>
      <c r="N53" s="47"/>
      <c r="O53" s="47" t="str">
        <f>_xlfn.LET(
    _xlpm.itemBuscado, B53,
    _xlpm.areaBuscada, C53,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TEXT(COUNTIF($C$2:C53, _xlpm.areaBuscada), "0000"),
    _xlpm.codItem &amp; "-" &amp; _xlpm.codArea &amp; "-" &amp; _xlpm.secuencia
)</f>
        <v>-SinArea-0000</v>
      </c>
      <c r="Q53" s="15"/>
      <c r="S53" s="48"/>
      <c r="AF53" s="70" t="s">
        <v>293</v>
      </c>
      <c r="AI53" s="22" t="s">
        <v>294</v>
      </c>
    </row>
    <row r="54" spans="3:44" x14ac:dyDescent="0.3">
      <c r="C54" s="11"/>
      <c r="E54" s="11"/>
      <c r="F54" s="15"/>
      <c r="G54" s="15"/>
      <c r="H54" s="15"/>
      <c r="I54" s="15"/>
      <c r="J54" s="15"/>
      <c r="K54" s="15"/>
      <c r="L54" s="47"/>
      <c r="N54" s="47"/>
      <c r="O54" s="47" t="str">
        <f>_xlfn.LET(
    _xlpm.itemBuscado, B54,
    _xlpm.areaBuscada, C54,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TEXT(COUNTIF($C$2:C54, _xlpm.areaBuscada), "0000"),
    _xlpm.codItem &amp; "-" &amp; _xlpm.codArea &amp; "-" &amp; _xlpm.secuencia
)</f>
        <v>-SinArea-0000</v>
      </c>
      <c r="Q54" s="15"/>
      <c r="S54" s="48"/>
      <c r="AI54" s="22" t="s">
        <v>295</v>
      </c>
    </row>
    <row r="55" spans="3:44" x14ac:dyDescent="0.3">
      <c r="C55" s="11"/>
      <c r="E55" s="11"/>
      <c r="F55" s="15"/>
      <c r="G55" s="15"/>
      <c r="H55" s="15"/>
      <c r="I55" s="15"/>
      <c r="J55" s="15"/>
      <c r="K55" s="15"/>
      <c r="L55" s="47"/>
      <c r="N55" s="47"/>
      <c r="O55" s="47" t="str">
        <f>_xlfn.LET(
    _xlpm.itemBuscado, B55,
    _xlpm.areaBuscada, C55,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TEXT(COUNTIF($C$2:C55, _xlpm.areaBuscada), "0000"),
    _xlpm.codItem &amp; "-" &amp; _xlpm.codArea &amp; "-" &amp; _xlpm.secuencia
)</f>
        <v>-SinArea-0000</v>
      </c>
      <c r="Q55" s="15"/>
      <c r="S55" s="48"/>
      <c r="AI55" s="22" t="s">
        <v>296</v>
      </c>
    </row>
    <row r="56" spans="3:44" x14ac:dyDescent="0.3">
      <c r="C56" s="11"/>
      <c r="E56" s="11"/>
      <c r="F56" s="15"/>
      <c r="G56" s="15"/>
      <c r="H56" s="15"/>
      <c r="I56" s="15"/>
      <c r="J56" s="15"/>
      <c r="K56" s="15"/>
      <c r="L56" s="47"/>
      <c r="N56" s="47"/>
      <c r="O56" s="47" t="str">
        <f>_xlfn.LET(
    _xlpm.itemBuscado, B56,
    _xlpm.areaBuscada, C56,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TEXT(COUNTIF($C$2:C56, _xlpm.areaBuscada), "0000"),
    _xlpm.codItem &amp; "-" &amp; _xlpm.codArea &amp; "-" &amp; _xlpm.secuencia
)</f>
        <v>-SinArea-0000</v>
      </c>
      <c r="Q56" s="15"/>
      <c r="S56" s="48"/>
      <c r="AH56" t="s">
        <v>297</v>
      </c>
      <c r="AI56" s="18" t="s">
        <v>298</v>
      </c>
    </row>
    <row r="57" spans="3:44" x14ac:dyDescent="0.3">
      <c r="C57" s="11"/>
      <c r="E57" s="11"/>
      <c r="F57" s="15"/>
      <c r="G57" s="15"/>
      <c r="H57" s="15"/>
      <c r="I57" s="15"/>
      <c r="J57" s="15"/>
      <c r="K57" s="15"/>
      <c r="L57" s="47"/>
      <c r="N57" s="47"/>
      <c r="O57" s="47" t="str">
        <f>_xlfn.LET(
    _xlpm.itemBuscado, B57,
    _xlpm.areaBuscada, C57,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TEXT(COUNTIF($C$2:C57, _xlpm.areaBuscada), "0000"),
    _xlpm.codItem &amp; "-" &amp; _xlpm.codArea &amp; "-" &amp; _xlpm.secuencia
)</f>
        <v>-SinArea-0000</v>
      </c>
      <c r="Q57" s="15"/>
      <c r="S57" s="48"/>
      <c r="AH57" t="s">
        <v>299</v>
      </c>
      <c r="AI57" s="22" t="s">
        <v>300</v>
      </c>
    </row>
    <row r="58" spans="3:44" x14ac:dyDescent="0.3">
      <c r="C58" s="11"/>
      <c r="E58" s="11"/>
      <c r="F58" s="15"/>
      <c r="G58" s="15"/>
      <c r="H58" s="15"/>
      <c r="I58" s="15"/>
      <c r="J58" s="15"/>
      <c r="K58" s="15"/>
      <c r="L58" s="47"/>
      <c r="N58" s="47"/>
      <c r="O58" s="47" t="str">
        <f>_xlfn.LET(
    _xlpm.itemBuscado, B58,
    _xlpm.areaBuscada, C58,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TEXT(COUNTIF($C$2:C58, _xlpm.areaBuscada), "0000"),
    _xlpm.codItem &amp; "-" &amp; _xlpm.codArea &amp; "-" &amp; _xlpm.secuencia
)</f>
        <v>-SinArea-0000</v>
      </c>
      <c r="Q58" s="15"/>
      <c r="S58" s="48"/>
      <c r="AF58" t="s">
        <v>23</v>
      </c>
      <c r="AI58" s="18" t="s">
        <v>301</v>
      </c>
    </row>
    <row r="59" spans="3:44" x14ac:dyDescent="0.3">
      <c r="C59" s="11"/>
      <c r="E59" s="11"/>
      <c r="F59" s="15"/>
      <c r="G59" s="15"/>
      <c r="H59" s="15"/>
      <c r="I59" s="15"/>
      <c r="J59" s="15"/>
      <c r="K59" s="15"/>
      <c r="L59" s="47"/>
      <c r="N59" s="47"/>
      <c r="O59" s="47" t="str">
        <f>_xlfn.LET(
    _xlpm.itemBuscado, B59,
    _xlpm.areaBuscada, C59,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TEXT(COUNTIF($C$2:C59, _xlpm.areaBuscada), "0000"),
    _xlpm.codItem &amp; "-" &amp; _xlpm.codArea &amp; "-" &amp; _xlpm.secuencia
)</f>
        <v>-SinArea-0000</v>
      </c>
      <c r="Q59" s="15"/>
      <c r="S59" s="48"/>
      <c r="AF59" t="s">
        <v>302</v>
      </c>
      <c r="AI59" s="70" t="s">
        <v>303</v>
      </c>
    </row>
    <row r="60" spans="3:44" x14ac:dyDescent="0.3">
      <c r="C60" s="11"/>
      <c r="E60" s="11"/>
      <c r="F60" s="15"/>
      <c r="G60" s="15"/>
      <c r="H60" s="15"/>
      <c r="I60" s="15"/>
      <c r="J60" s="15"/>
      <c r="K60" s="15"/>
      <c r="L60" s="47"/>
      <c r="N60" s="47"/>
      <c r="O60" s="47" t="str">
        <f>_xlfn.LET(
    _xlpm.itemBuscado, B60,
    _xlpm.areaBuscada, C60,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TEXT(COUNTIF($C$2:C60, _xlpm.areaBuscada), "0000"),
    _xlpm.codItem &amp; "-" &amp; _xlpm.codArea &amp; "-" &amp; _xlpm.secuencia
)</f>
        <v>-SinArea-0000</v>
      </c>
      <c r="Q60" s="15"/>
      <c r="S60" s="48"/>
      <c r="AH60" t="s">
        <v>62</v>
      </c>
    </row>
    <row r="61" spans="3:44" x14ac:dyDescent="0.3">
      <c r="C61" s="11"/>
      <c r="E61" s="11"/>
      <c r="F61" s="15"/>
      <c r="G61" s="15"/>
      <c r="H61" s="15"/>
      <c r="I61" s="15"/>
      <c r="J61" s="15"/>
      <c r="K61" s="15"/>
      <c r="L61" s="47"/>
      <c r="N61" s="47"/>
      <c r="O61" s="47" t="str">
        <f>_xlfn.LET(
    _xlpm.itemBuscado, B61,
    _xlpm.areaBuscada, C61,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TEXT(COUNTIF($C$2:C61, _xlpm.areaBuscada), "0000"),
    _xlpm.codItem &amp; "-" &amp; _xlpm.codArea &amp; "-" &amp; _xlpm.secuencia
)</f>
        <v>-SinArea-0000</v>
      </c>
      <c r="Q61" s="15"/>
      <c r="S61" s="48"/>
      <c r="AH61" s="70" t="s">
        <v>304</v>
      </c>
      <c r="AI61" t="s">
        <v>305</v>
      </c>
    </row>
    <row r="62" spans="3:44" x14ac:dyDescent="0.3">
      <c r="C62" s="11"/>
      <c r="E62" s="11"/>
      <c r="F62" s="15"/>
      <c r="G62" s="15"/>
      <c r="H62" s="15"/>
      <c r="I62" s="15"/>
      <c r="J62" s="15"/>
      <c r="K62" s="15"/>
      <c r="L62" s="47"/>
      <c r="N62" s="47"/>
      <c r="O62" s="47" t="str">
        <f>_xlfn.LET(
    _xlpm.itemBuscado, B62,
    _xlpm.areaBuscada, C62,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TEXT(COUNTIF($C$2:C62, _xlpm.areaBuscada), "0000"),
    _xlpm.codItem &amp; "-" &amp; _xlpm.codArea &amp; "-" &amp; _xlpm.secuencia
)</f>
        <v>-SinArea-0000</v>
      </c>
      <c r="Q62" s="15"/>
      <c r="S62" s="48"/>
      <c r="AF62" t="s">
        <v>64</v>
      </c>
      <c r="AI62" t="s">
        <v>306</v>
      </c>
    </row>
    <row r="63" spans="3:44" x14ac:dyDescent="0.3">
      <c r="C63" s="11"/>
      <c r="E63" s="11"/>
      <c r="F63" s="15"/>
      <c r="G63" s="15"/>
      <c r="H63" s="15"/>
      <c r="I63" s="15"/>
      <c r="J63" s="15"/>
      <c r="K63" s="15"/>
      <c r="L63" s="47"/>
      <c r="N63" s="47"/>
      <c r="O63" s="47" t="str">
        <f>_xlfn.LET(
    _xlpm.itemBuscado, B63,
    _xlpm.areaBuscada, C63,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TEXT(COUNTIF($C$2:C63, _xlpm.areaBuscada), "0000"),
    _xlpm.codItem &amp; "-" &amp; _xlpm.codArea &amp; "-" &amp; _xlpm.secuencia
)</f>
        <v>-SinArea-0000</v>
      </c>
      <c r="Q63" s="15"/>
      <c r="S63" s="48"/>
      <c r="AF63" s="75" t="s">
        <v>307</v>
      </c>
      <c r="AH63" t="s">
        <v>89</v>
      </c>
    </row>
    <row r="64" spans="3:44" ht="28.8" x14ac:dyDescent="0.3">
      <c r="C64" s="11"/>
      <c r="E64" s="11"/>
      <c r="F64" s="15"/>
      <c r="G64" s="15"/>
      <c r="H64" s="15"/>
      <c r="I64" s="15"/>
      <c r="J64" s="15"/>
      <c r="K64" s="15"/>
      <c r="L64" s="47"/>
      <c r="N64" s="47"/>
      <c r="O64" s="47" t="str">
        <f>_xlfn.LET(
    _xlpm.itemBuscado, B64,
    _xlpm.areaBuscada, C64,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TEXT(COUNTIF($C$2:C64, _xlpm.areaBuscada), "0000"),
    _xlpm.codItem &amp; "-" &amp; _xlpm.codArea &amp; "-" &amp; _xlpm.secuencia
)</f>
        <v>-SinArea-0000</v>
      </c>
      <c r="Q64" s="15"/>
      <c r="S64" s="48"/>
      <c r="AF64" s="70" t="s">
        <v>308</v>
      </c>
      <c r="AH64" s="12" t="s">
        <v>309</v>
      </c>
      <c r="AI64" t="s">
        <v>102</v>
      </c>
    </row>
    <row r="65" spans="3:35" x14ac:dyDescent="0.3">
      <c r="C65" s="11"/>
      <c r="E65" s="11"/>
      <c r="F65" s="15"/>
      <c r="G65" s="15"/>
      <c r="H65" s="15"/>
      <c r="I65" s="15"/>
      <c r="J65" s="15"/>
      <c r="K65" s="15"/>
      <c r="L65" s="47"/>
      <c r="N65" s="47"/>
      <c r="O65" s="47" t="str">
        <f>_xlfn.LET(
    _xlpm.itemBuscado, B65,
    _xlpm.areaBuscada, C65,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TEXT(COUNTIF($C$2:C65, _xlpm.areaBuscada), "0000"),
    _xlpm.codItem &amp; "-" &amp; _xlpm.codArea &amp; "-" &amp; _xlpm.secuencia
)</f>
        <v>-SinArea-0000</v>
      </c>
      <c r="Q65" s="15"/>
      <c r="S65" s="48"/>
      <c r="AI65" t="s">
        <v>310</v>
      </c>
    </row>
    <row r="66" spans="3:35" x14ac:dyDescent="0.3">
      <c r="C66" s="11"/>
      <c r="E66" s="11"/>
      <c r="F66" s="15"/>
      <c r="G66" s="15"/>
      <c r="H66" s="15"/>
      <c r="I66" s="15"/>
      <c r="J66" s="15"/>
      <c r="K66" s="15"/>
      <c r="L66" s="47"/>
      <c r="N66" s="47"/>
      <c r="O66" s="47" t="str">
        <f>_xlfn.LET(
    _xlpm.itemBuscado, B66,
    _xlpm.areaBuscada, C66,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TEXT(COUNTIF($C$2:C66, _xlpm.areaBuscada), "0000"),
    _xlpm.codItem &amp; "-" &amp; _xlpm.codArea &amp; "-" &amp; _xlpm.secuencia
)</f>
        <v>-SinArea-0000</v>
      </c>
      <c r="Q66" s="15"/>
      <c r="S66" s="48"/>
      <c r="AF66" t="s">
        <v>101</v>
      </c>
      <c r="AH66" s="34" t="s">
        <v>73</v>
      </c>
    </row>
    <row r="67" spans="3:35" x14ac:dyDescent="0.3">
      <c r="C67" s="11"/>
      <c r="E67" s="11"/>
      <c r="F67" s="15"/>
      <c r="G67" s="15"/>
      <c r="H67" s="15"/>
      <c r="I67" s="15"/>
      <c r="J67" s="15"/>
      <c r="K67" s="15"/>
      <c r="L67" s="47"/>
      <c r="N67" s="47"/>
      <c r="O67" s="47" t="str">
        <f>_xlfn.LET(
    _xlpm.itemBuscado, B67,
    _xlpm.areaBuscada, C67,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TEXT(COUNTIF($C$2:C67, _xlpm.areaBuscada), "0000"),
    _xlpm.codItem &amp; "-" &amp; _xlpm.codArea &amp; "-" &amp; _xlpm.secuencia
)</f>
        <v>-SinArea-0000</v>
      </c>
      <c r="Q67" s="15"/>
      <c r="S67" s="48"/>
      <c r="AF67" t="s">
        <v>311</v>
      </c>
      <c r="AH67" s="22" t="s">
        <v>312</v>
      </c>
      <c r="AI67" t="s">
        <v>313</v>
      </c>
    </row>
    <row r="68" spans="3:35" x14ac:dyDescent="0.3">
      <c r="C68" s="11"/>
      <c r="E68" s="11"/>
      <c r="F68" s="15"/>
      <c r="G68" s="15"/>
      <c r="H68" s="15"/>
      <c r="I68" s="15"/>
      <c r="J68" s="15"/>
      <c r="K68" s="15"/>
      <c r="L68" s="47"/>
      <c r="N68" s="47"/>
      <c r="O68" s="47" t="str">
        <f>_xlfn.LET(
    _xlpm.itemBuscado, B68,
    _xlpm.areaBuscada, C68,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TEXT(COUNTIF($C$2:C68, _xlpm.areaBuscada), "0000"),
    _xlpm.codItem &amp; "-" &amp; _xlpm.codArea &amp; "-" &amp; _xlpm.secuencia
)</f>
        <v>-SinArea-0000</v>
      </c>
      <c r="Q68" s="15"/>
      <c r="S68" s="48"/>
      <c r="AI68" s="21" t="s">
        <v>314</v>
      </c>
    </row>
    <row r="69" spans="3:35" x14ac:dyDescent="0.3">
      <c r="C69" s="11"/>
      <c r="E69" s="11"/>
      <c r="F69" s="15"/>
      <c r="G69" s="15"/>
      <c r="H69" s="15"/>
      <c r="I69" s="15"/>
      <c r="J69" s="15"/>
      <c r="K69" s="15"/>
      <c r="L69" s="47"/>
      <c r="N69" s="47"/>
      <c r="O69" s="47" t="str">
        <f>_xlfn.LET(
    _xlpm.itemBuscado, B69,
    _xlpm.areaBuscada, C69,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TEXT(COUNTIF($C$2:C69, _xlpm.areaBuscada), "0000"),
    _xlpm.codItem &amp; "-" &amp; _xlpm.codArea &amp; "-" &amp; _xlpm.secuencia
)</f>
        <v>-SinArea-0000</v>
      </c>
      <c r="Q69" s="15"/>
      <c r="S69" s="48"/>
      <c r="AI69" s="70" t="s">
        <v>315</v>
      </c>
    </row>
    <row r="70" spans="3:35" x14ac:dyDescent="0.3">
      <c r="C70" s="11"/>
      <c r="E70" s="11"/>
      <c r="F70" s="15"/>
      <c r="G70" s="15"/>
      <c r="H70" s="15"/>
      <c r="I70" s="15"/>
      <c r="J70" s="15"/>
      <c r="K70" s="15"/>
      <c r="L70" s="47"/>
      <c r="N70" s="47"/>
      <c r="O70" s="47" t="str">
        <f>_xlfn.LET(
    _xlpm.itemBuscado, B70,
    _xlpm.areaBuscada, C70,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TEXT(COUNTIF($C$2:C70, _xlpm.areaBuscada), "0000"),
    _xlpm.codItem &amp; "-" &amp; _xlpm.codArea &amp; "-" &amp; _xlpm.secuencia
)</f>
        <v>-SinArea-0000</v>
      </c>
      <c r="Q70" s="15"/>
      <c r="S70" s="48"/>
    </row>
    <row r="71" spans="3:35" x14ac:dyDescent="0.3">
      <c r="C71" s="11"/>
      <c r="E71" s="11"/>
      <c r="F71" s="15"/>
      <c r="G71" s="15"/>
      <c r="H71" s="15"/>
      <c r="I71" s="15"/>
      <c r="J71" s="15"/>
      <c r="K71" s="15"/>
      <c r="L71" s="47"/>
      <c r="N71" s="47"/>
      <c r="O71" s="47" t="str">
        <f>_xlfn.LET(
    _xlpm.itemBuscado, B71,
    _xlpm.areaBuscada, C71,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TEXT(COUNTIF($C$2:C71, _xlpm.areaBuscada), "0000"),
    _xlpm.codItem &amp; "-" &amp; _xlpm.codArea &amp; "-" &amp; _xlpm.secuencia
)</f>
        <v>-SinArea-0000</v>
      </c>
      <c r="Q71" s="15"/>
      <c r="S71" s="48"/>
    </row>
    <row r="72" spans="3:35" x14ac:dyDescent="0.3">
      <c r="C72" s="11"/>
      <c r="E72" s="11"/>
      <c r="F72" s="15"/>
      <c r="G72" s="15"/>
      <c r="H72" s="15"/>
      <c r="I72" s="15"/>
      <c r="J72" s="15"/>
      <c r="K72" s="15"/>
      <c r="L72" s="47"/>
      <c r="N72" s="47"/>
      <c r="O72" s="47" t="str">
        <f>_xlfn.LET(
    _xlpm.itemBuscado, B72,
    _xlpm.areaBuscada, C72,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TEXT(COUNTIF($C$2:C72, _xlpm.areaBuscada), "0000"),
    _xlpm.codItem &amp; "-" &amp; _xlpm.codArea &amp; "-" &amp; _xlpm.secuencia
)</f>
        <v>-SinArea-0000</v>
      </c>
      <c r="Q72" s="15"/>
      <c r="S72" s="48"/>
    </row>
    <row r="73" spans="3:35" x14ac:dyDescent="0.3">
      <c r="C73" s="11"/>
      <c r="E73" s="11"/>
      <c r="F73" s="15"/>
      <c r="G73" s="15"/>
      <c r="H73" s="15"/>
      <c r="I73" s="15"/>
      <c r="J73" s="15"/>
      <c r="K73" s="15"/>
      <c r="L73" s="47"/>
      <c r="N73" s="47"/>
      <c r="O73" s="47" t="str">
        <f>_xlfn.LET(
    _xlpm.itemBuscado, B73,
    _xlpm.areaBuscada, C73,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TEXT(COUNTIF($C$2:C73, _xlpm.areaBuscada), "0000"),
    _xlpm.codItem &amp; "-" &amp; _xlpm.codArea &amp; "-" &amp; _xlpm.secuencia
)</f>
        <v>-SinArea-0000</v>
      </c>
      <c r="Q73" s="15"/>
      <c r="S73" s="48"/>
    </row>
    <row r="74" spans="3:35" x14ac:dyDescent="0.3">
      <c r="C74" s="11"/>
      <c r="E74" s="11"/>
      <c r="F74" s="15"/>
      <c r="G74" s="15"/>
      <c r="H74" s="15"/>
      <c r="I74" s="15"/>
      <c r="J74" s="15"/>
      <c r="K74" s="15"/>
      <c r="L74" s="47"/>
      <c r="N74" s="47"/>
      <c r="O74" s="47" t="str">
        <f>_xlfn.LET(
    _xlpm.itemBuscado, B74,
    _xlpm.areaBuscada, C74,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TEXT(COUNTIF($C$2:C74, _xlpm.areaBuscada), "0000"),
    _xlpm.codItem &amp; "-" &amp; _xlpm.codArea &amp; "-" &amp; _xlpm.secuencia
)</f>
        <v>-SinArea-0000</v>
      </c>
      <c r="Q74" s="15"/>
      <c r="S74" s="48"/>
    </row>
    <row r="75" spans="3:35" ht="43.2" x14ac:dyDescent="0.3">
      <c r="C75" s="11"/>
      <c r="E75" s="11"/>
      <c r="F75" s="15"/>
      <c r="G75" s="15"/>
      <c r="H75" s="15"/>
      <c r="I75" s="15"/>
      <c r="J75" s="15"/>
      <c r="K75" s="15"/>
      <c r="L75" s="47"/>
      <c r="N75" s="47"/>
      <c r="O75" s="47" t="str">
        <f>_xlfn.LET(
    _xlpm.itemBuscado, B75,
    _xlpm.areaBuscada, C75,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TEXT(COUNTIF($C$2:C75, _xlpm.areaBuscada), "0000"),
    _xlpm.codItem &amp; "-" &amp; _xlpm.codArea &amp; "-" &amp; _xlpm.secuencia
)</f>
        <v>-SinArea-0000</v>
      </c>
      <c r="Q75" s="15"/>
      <c r="S75" s="48"/>
      <c r="AF75" s="11" t="s">
        <v>316</v>
      </c>
    </row>
    <row r="76" spans="3:35" x14ac:dyDescent="0.3">
      <c r="C76" s="11"/>
      <c r="E76" s="11"/>
      <c r="F76" s="15"/>
      <c r="G76" s="15"/>
      <c r="H76" s="15"/>
      <c r="I76" s="15"/>
      <c r="J76" s="15"/>
      <c r="K76" s="15"/>
      <c r="L76" s="47"/>
      <c r="N76" s="47"/>
      <c r="O76" s="47" t="str">
        <f>_xlfn.LET(
    _xlpm.itemBuscado, B76,
    _xlpm.areaBuscada, C76,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TEXT(COUNTIF($C$2:C76, _xlpm.areaBuscada), "0000"),
    _xlpm.codItem &amp; "-" &amp; _xlpm.codArea &amp; "-" &amp; _xlpm.secuencia
)</f>
        <v>-SinArea-0000</v>
      </c>
      <c r="Q76" s="15"/>
      <c r="S76" s="48"/>
    </row>
    <row r="77" spans="3:35" x14ac:dyDescent="0.3">
      <c r="C77" s="11"/>
      <c r="E77" s="11"/>
      <c r="F77" s="15"/>
      <c r="G77" s="15"/>
      <c r="H77" s="15"/>
      <c r="I77" s="15"/>
      <c r="J77" s="15"/>
      <c r="K77" s="15"/>
      <c r="L77" s="47"/>
      <c r="N77" s="47"/>
      <c r="O77" s="47" t="str">
        <f>_xlfn.LET(
    _xlpm.itemBuscado, B77,
    _xlpm.areaBuscada, C77,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TEXT(COUNTIF($C$2:C77, _xlpm.areaBuscada), "0000"),
    _xlpm.codItem &amp; "-" &amp; _xlpm.codArea &amp; "-" &amp; _xlpm.secuencia
)</f>
        <v>-SinArea-0000</v>
      </c>
      <c r="Q77" s="15"/>
      <c r="S77" s="48"/>
    </row>
    <row r="78" spans="3:35" x14ac:dyDescent="0.3">
      <c r="C78" s="11"/>
      <c r="E78" s="11"/>
      <c r="F78" s="15"/>
      <c r="G78" s="15"/>
      <c r="H78" s="15"/>
      <c r="I78" s="15"/>
      <c r="J78" s="15"/>
      <c r="K78" s="15"/>
      <c r="L78" s="47"/>
      <c r="N78" s="47"/>
      <c r="O78" s="47" t="str">
        <f>_xlfn.LET(
    _xlpm.itemBuscado, B78,
    _xlpm.areaBuscada, C78,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TEXT(COUNTIF($C$2:C78, _xlpm.areaBuscada), "0000"),
    _xlpm.codItem &amp; "-" &amp; _xlpm.codArea &amp; "-" &amp; _xlpm.secuencia
)</f>
        <v>-SinArea-0000</v>
      </c>
      <c r="Q78" s="15"/>
      <c r="S78" s="48"/>
    </row>
    <row r="79" spans="3:35" x14ac:dyDescent="0.3">
      <c r="C79" s="11"/>
      <c r="E79" s="11"/>
      <c r="F79" s="15"/>
      <c r="G79" s="15"/>
      <c r="H79" s="15"/>
      <c r="I79" s="15"/>
      <c r="J79" s="15"/>
      <c r="K79" s="15"/>
      <c r="L79" s="47"/>
      <c r="N79" s="47"/>
      <c r="O79" s="47" t="str">
        <f>_xlfn.LET(
    _xlpm.itemBuscado, B79,
    _xlpm.areaBuscada, C79,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TEXT(COUNTIF($C$2:C79, _xlpm.areaBuscada), "0000"),
    _xlpm.codItem &amp; "-" &amp; _xlpm.codArea &amp; "-" &amp; _xlpm.secuencia
)</f>
        <v>-SinArea-0000</v>
      </c>
      <c r="Q79" s="15"/>
      <c r="S79" s="48"/>
    </row>
    <row r="80" spans="3:35" x14ac:dyDescent="0.3">
      <c r="C80" s="11"/>
      <c r="E80" s="11"/>
      <c r="F80" s="15"/>
      <c r="G80" s="15"/>
      <c r="H80" s="15"/>
      <c r="I80" s="15"/>
      <c r="J80" s="15"/>
      <c r="K80" s="15"/>
      <c r="L80" s="47"/>
      <c r="N80" s="47"/>
      <c r="O80" s="47" t="str">
        <f>_xlfn.LET(
    _xlpm.itemBuscado, B80,
    _xlpm.areaBuscada, C80,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TEXT(COUNTIF($C$2:C80, _xlpm.areaBuscada), "0000"),
    _xlpm.codItem &amp; "-" &amp; _xlpm.codArea &amp; "-" &amp; _xlpm.secuencia
)</f>
        <v>-SinArea-0000</v>
      </c>
      <c r="Q80" s="15"/>
      <c r="S80" s="48"/>
    </row>
    <row r="81" spans="3:19" x14ac:dyDescent="0.3">
      <c r="C81" s="11"/>
      <c r="E81" s="11"/>
      <c r="F81" s="15"/>
      <c r="G81" s="15"/>
      <c r="H81" s="15"/>
      <c r="I81" s="15"/>
      <c r="J81" s="15"/>
      <c r="K81" s="15"/>
      <c r="L81" s="47"/>
      <c r="N81" s="47"/>
      <c r="O81" s="47" t="str">
        <f>_xlfn.LET(
    _xlpm.itemBuscado, B81,
    _xlpm.areaBuscada, C81,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TEXT(COUNTIF($C$2:C81, _xlpm.areaBuscada), "0000"),
    _xlpm.codItem &amp; "-" &amp; _xlpm.codArea &amp; "-" &amp; _xlpm.secuencia
)</f>
        <v>-SinArea-0000</v>
      </c>
      <c r="Q81" s="15"/>
      <c r="S81" s="48"/>
    </row>
    <row r="82" spans="3:19" x14ac:dyDescent="0.3">
      <c r="C82" s="11"/>
      <c r="E82" s="11"/>
      <c r="F82" s="15"/>
      <c r="G82" s="15"/>
      <c r="H82" s="15"/>
      <c r="I82" s="15"/>
      <c r="J82" s="15"/>
      <c r="K82" s="15"/>
      <c r="L82" s="47"/>
      <c r="N82" s="47"/>
      <c r="O82" s="47" t="str">
        <f>_xlfn.LET(
    _xlpm.itemBuscado, B82,
    _xlpm.areaBuscada, C82,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TEXT(COUNTIF($C$2:C82, _xlpm.areaBuscada), "0000"),
    _xlpm.codItem &amp; "-" &amp; _xlpm.codArea &amp; "-" &amp; _xlpm.secuencia
)</f>
        <v>-SinArea-0000</v>
      </c>
      <c r="Q82" s="15"/>
      <c r="S82" s="48"/>
    </row>
    <row r="83" spans="3:19" x14ac:dyDescent="0.3">
      <c r="C83" s="11"/>
      <c r="E83" s="11"/>
      <c r="F83" s="15"/>
      <c r="G83" s="15"/>
      <c r="H83" s="15"/>
      <c r="I83" s="15"/>
      <c r="J83" s="15"/>
      <c r="K83" s="15"/>
      <c r="L83" s="47"/>
      <c r="N83" s="47"/>
      <c r="O83" s="47" t="str">
        <f>_xlfn.LET(
    _xlpm.itemBuscado, B83,
    _xlpm.areaBuscada, C83,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TEXT(COUNTIF($C$2:C83, _xlpm.areaBuscada), "0000"),
    _xlpm.codItem &amp; "-" &amp; _xlpm.codArea &amp; "-" &amp; _xlpm.secuencia
)</f>
        <v>-SinArea-0000</v>
      </c>
      <c r="Q83" s="15"/>
      <c r="S83" s="48"/>
    </row>
    <row r="84" spans="3:19" x14ac:dyDescent="0.3">
      <c r="C84" s="11"/>
      <c r="E84" s="11"/>
      <c r="F84" s="15"/>
      <c r="G84" s="15"/>
      <c r="H84" s="15"/>
      <c r="I84" s="15"/>
      <c r="J84" s="15"/>
      <c r="K84" s="15"/>
      <c r="L84" s="47"/>
      <c r="N84" s="47"/>
      <c r="O84" s="47" t="str">
        <f>_xlfn.LET(
    _xlpm.itemBuscado, B84,
    _xlpm.areaBuscada, C84,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TEXT(COUNTIF($C$2:C84, _xlpm.areaBuscada), "0000"),
    _xlpm.codItem &amp; "-" &amp; _xlpm.codArea &amp; "-" &amp; _xlpm.secuencia
)</f>
        <v>-SinArea-0000</v>
      </c>
      <c r="Q84" s="15"/>
      <c r="S84" s="48"/>
    </row>
    <row r="85" spans="3:19" x14ac:dyDescent="0.3">
      <c r="C85" s="11"/>
      <c r="E85" s="11"/>
      <c r="F85" s="15"/>
      <c r="G85" s="15"/>
      <c r="H85" s="15"/>
      <c r="I85" s="15"/>
      <c r="J85" s="15"/>
      <c r="K85" s="15"/>
      <c r="L85" s="47"/>
      <c r="N85" s="47"/>
      <c r="O85" s="47" t="str">
        <f>_xlfn.LET(
    _xlpm.itemBuscado, B85,
    _xlpm.areaBuscada, C85,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TEXT(COUNTIF($C$2:C85, _xlpm.areaBuscada), "0000"),
    _xlpm.codItem &amp; "-" &amp; _xlpm.codArea &amp; "-" &amp; _xlpm.secuencia
)</f>
        <v>-SinArea-0000</v>
      </c>
      <c r="Q85" s="15"/>
      <c r="S85" s="48"/>
    </row>
    <row r="86" spans="3:19" x14ac:dyDescent="0.3">
      <c r="C86" s="11"/>
      <c r="E86" s="11"/>
      <c r="F86" s="15"/>
      <c r="G86" s="15"/>
      <c r="H86" s="15"/>
      <c r="I86" s="15"/>
      <c r="J86" s="15"/>
      <c r="K86" s="15"/>
      <c r="L86" s="47"/>
      <c r="N86" s="47"/>
      <c r="O86" s="47" t="str">
        <f>_xlfn.LET(
    _xlpm.itemBuscado, B86,
    _xlpm.areaBuscada, C86,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TEXT(COUNTIF($C$2:C86, _xlpm.areaBuscada), "0000"),
    _xlpm.codItem &amp; "-" &amp; _xlpm.codArea &amp; "-" &amp; _xlpm.secuencia
)</f>
        <v>-SinArea-0000</v>
      </c>
      <c r="Q86" s="15"/>
      <c r="S86" s="48"/>
    </row>
    <row r="87" spans="3:19" x14ac:dyDescent="0.3">
      <c r="C87" s="11"/>
      <c r="E87" s="11"/>
      <c r="F87" s="15"/>
      <c r="G87" s="15"/>
      <c r="H87" s="15"/>
      <c r="I87" s="15"/>
      <c r="J87" s="15"/>
      <c r="K87" s="15"/>
      <c r="L87" s="47"/>
      <c r="N87" s="47"/>
      <c r="O87" s="47" t="str">
        <f>_xlfn.LET(
    _xlpm.itemBuscado, B87,
    _xlpm.areaBuscada, C87,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TEXT(COUNTIF($C$2:C87, _xlpm.areaBuscada), "0000"),
    _xlpm.codItem &amp; "-" &amp; _xlpm.codArea &amp; "-" &amp; _xlpm.secuencia
)</f>
        <v>-SinArea-0000</v>
      </c>
      <c r="Q87" s="15"/>
      <c r="S87" s="48"/>
    </row>
    <row r="88" spans="3:19" x14ac:dyDescent="0.3">
      <c r="C88" s="11"/>
      <c r="E88" s="11"/>
      <c r="F88" s="15"/>
      <c r="G88" s="15"/>
      <c r="H88" s="15"/>
      <c r="I88" s="15"/>
      <c r="J88" s="15"/>
      <c r="K88" s="15"/>
      <c r="L88" s="47"/>
      <c r="N88" s="47"/>
      <c r="O88" s="47" t="str">
        <f>_xlfn.LET(
    _xlpm.itemBuscado, B88,
    _xlpm.areaBuscada, C88,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TEXT(COUNTIF($C$2:C88, _xlpm.areaBuscada), "0000"),
    _xlpm.codItem &amp; "-" &amp; _xlpm.codArea &amp; "-" &amp; _xlpm.secuencia
)</f>
        <v>-SinArea-0000</v>
      </c>
      <c r="Q88" s="15"/>
      <c r="S88" s="48"/>
    </row>
    <row r="89" spans="3:19" x14ac:dyDescent="0.3">
      <c r="C89" s="11"/>
      <c r="E89" s="11"/>
      <c r="F89" s="15"/>
      <c r="G89" s="15"/>
      <c r="H89" s="15"/>
      <c r="I89" s="15"/>
      <c r="J89" s="15"/>
      <c r="K89" s="15"/>
      <c r="L89" s="47"/>
      <c r="N89" s="47"/>
      <c r="O89" s="47" t="str">
        <f>_xlfn.LET(
    _xlpm.itemBuscado, B89,
    _xlpm.areaBuscada, C89,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TEXT(COUNTIF($C$2:C89, _xlpm.areaBuscada), "0000"),
    _xlpm.codItem &amp; "-" &amp; _xlpm.codArea &amp; "-" &amp; _xlpm.secuencia
)</f>
        <v>-SinArea-0000</v>
      </c>
      <c r="Q89" s="15"/>
      <c r="S89" s="48"/>
    </row>
    <row r="90" spans="3:19" x14ac:dyDescent="0.3">
      <c r="C90" s="11"/>
      <c r="E90" s="11"/>
      <c r="F90" s="15"/>
      <c r="G90" s="15"/>
      <c r="H90" s="15"/>
      <c r="I90" s="15"/>
      <c r="J90" s="15"/>
      <c r="K90" s="15"/>
      <c r="L90" s="47"/>
      <c r="N90" s="47"/>
      <c r="O90" s="47" t="str">
        <f>_xlfn.LET(
    _xlpm.itemBuscado, B90,
    _xlpm.areaBuscada, C90,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TEXT(COUNTIF($C$2:C90, _xlpm.areaBuscada), "0000"),
    _xlpm.codItem &amp; "-" &amp; _xlpm.codArea &amp; "-" &amp; _xlpm.secuencia
)</f>
        <v>-SinArea-0000</v>
      </c>
      <c r="Q90" s="15"/>
      <c r="S90" s="48"/>
    </row>
    <row r="91" spans="3:19" x14ac:dyDescent="0.3">
      <c r="C91" s="11"/>
      <c r="E91" s="11"/>
      <c r="F91" s="15"/>
      <c r="G91" s="15"/>
      <c r="H91" s="15"/>
      <c r="I91" s="15"/>
      <c r="J91" s="15"/>
      <c r="K91" s="15"/>
      <c r="L91" s="47"/>
      <c r="N91" s="47"/>
      <c r="O91" s="47" t="str">
        <f>_xlfn.LET(
    _xlpm.itemBuscado, B91,
    _xlpm.areaBuscada, C91,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TEXT(COUNTIF($C$2:C91, _xlpm.areaBuscada), "0000"),
    _xlpm.codItem &amp; "-" &amp; _xlpm.codArea &amp; "-" &amp; _xlpm.secuencia
)</f>
        <v>-SinArea-0000</v>
      </c>
      <c r="Q91" s="15"/>
      <c r="S91" s="48"/>
    </row>
    <row r="92" spans="3:19" x14ac:dyDescent="0.3">
      <c r="C92" s="11"/>
      <c r="E92" s="11"/>
      <c r="F92" s="15"/>
      <c r="G92" s="15"/>
      <c r="H92" s="15"/>
      <c r="I92" s="15"/>
      <c r="J92" s="15"/>
      <c r="K92" s="15"/>
      <c r="L92" s="47"/>
      <c r="N92" s="47"/>
      <c r="O92" s="47" t="str">
        <f>_xlfn.LET(
    _xlpm.itemBuscado, B92,
    _xlpm.areaBuscada, C92,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TEXT(COUNTIF($C$2:C92, _xlpm.areaBuscada), "0000"),
    _xlpm.codItem &amp; "-" &amp; _xlpm.codArea &amp; "-" &amp; _xlpm.secuencia
)</f>
        <v>-SinArea-0000</v>
      </c>
      <c r="Q92" s="15"/>
      <c r="S92" s="48"/>
    </row>
    <row r="93" spans="3:19" x14ac:dyDescent="0.3">
      <c r="C93" s="11"/>
      <c r="E93" s="11"/>
      <c r="F93" s="15"/>
      <c r="G93" s="15"/>
      <c r="H93" s="15"/>
      <c r="I93" s="15"/>
      <c r="J93" s="15"/>
      <c r="K93" s="15"/>
      <c r="L93" s="47"/>
      <c r="N93" s="47"/>
      <c r="O93" s="47" t="str">
        <f>_xlfn.LET(
    _xlpm.itemBuscado, B93,
    _xlpm.areaBuscada, C93,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TEXT(COUNTIF($C$2:C93, _xlpm.areaBuscada), "0000"),
    _xlpm.codItem &amp; "-" &amp; _xlpm.codArea &amp; "-" &amp; _xlpm.secuencia
)</f>
        <v>-SinArea-0000</v>
      </c>
      <c r="Q93" s="15"/>
      <c r="S93" s="48"/>
    </row>
    <row r="94" spans="3:19" x14ac:dyDescent="0.3">
      <c r="C94" s="11"/>
      <c r="E94" s="11"/>
      <c r="F94" s="15"/>
      <c r="G94" s="15"/>
      <c r="H94" s="15"/>
      <c r="I94" s="15"/>
      <c r="J94" s="15"/>
      <c r="K94" s="15"/>
      <c r="L94" s="47"/>
      <c r="N94" s="47"/>
      <c r="O94" s="47" t="str">
        <f>_xlfn.LET(
    _xlpm.itemBuscado, B94,
    _xlpm.areaBuscada, C94,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TEXT(COUNTIF($C$2:C94, _xlpm.areaBuscada), "0000"),
    _xlpm.codItem &amp; "-" &amp; _xlpm.codArea &amp; "-" &amp; _xlpm.secuencia
)</f>
        <v>-SinArea-0000</v>
      </c>
      <c r="Q94" s="15"/>
      <c r="S94" s="48"/>
    </row>
    <row r="95" spans="3:19" x14ac:dyDescent="0.3">
      <c r="C95" s="11"/>
      <c r="E95" s="11"/>
      <c r="F95" s="15"/>
      <c r="G95" s="15"/>
      <c r="H95" s="15"/>
      <c r="I95" s="15"/>
      <c r="J95" s="15"/>
      <c r="K95" s="15"/>
      <c r="L95" s="47"/>
      <c r="N95" s="47"/>
      <c r="O95" s="47" t="str">
        <f>_xlfn.LET(
    _xlpm.itemBuscado, B95,
    _xlpm.areaBuscada, C95,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TEXT(COUNTIF($C$2:C95, _xlpm.areaBuscada), "0000"),
    _xlpm.codItem &amp; "-" &amp; _xlpm.codArea &amp; "-" &amp; _xlpm.secuencia
)</f>
        <v>-SinArea-0000</v>
      </c>
      <c r="Q95" s="15"/>
      <c r="S95" s="48"/>
    </row>
    <row r="96" spans="3:19" x14ac:dyDescent="0.3">
      <c r="C96" s="11"/>
      <c r="E96" s="11"/>
      <c r="F96" s="15"/>
      <c r="G96" s="15"/>
      <c r="H96" s="15"/>
      <c r="I96" s="15"/>
      <c r="J96" s="15"/>
      <c r="K96" s="15"/>
      <c r="L96" s="47"/>
      <c r="N96" s="47"/>
      <c r="O96" s="47" t="str">
        <f>_xlfn.LET(
    _xlpm.itemBuscado, B96,
    _xlpm.areaBuscada, C96,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TEXT(COUNTIF($C$2:C96, _xlpm.areaBuscada), "0000"),
    _xlpm.codItem &amp; "-" &amp; _xlpm.codArea &amp; "-" &amp; _xlpm.secuencia
)</f>
        <v>-SinArea-0000</v>
      </c>
      <c r="Q96" s="15"/>
      <c r="S96" s="48"/>
    </row>
    <row r="97" spans="3:19" x14ac:dyDescent="0.3">
      <c r="C97" s="11"/>
      <c r="E97" s="11"/>
      <c r="F97" s="15"/>
      <c r="G97" s="15"/>
      <c r="H97" s="15"/>
      <c r="I97" s="15"/>
      <c r="J97" s="15"/>
      <c r="K97" s="15"/>
      <c r="L97" s="47"/>
      <c r="N97" s="47"/>
      <c r="O97" s="47" t="str">
        <f>_xlfn.LET(
    _xlpm.itemBuscado, B97,
    _xlpm.areaBuscada, C97,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TEXT(COUNTIF($C$2:C97, _xlpm.areaBuscada), "0000"),
    _xlpm.codItem &amp; "-" &amp; _xlpm.codArea &amp; "-" &amp; _xlpm.secuencia
)</f>
        <v>-SinArea-0000</v>
      </c>
      <c r="Q97" s="15"/>
      <c r="S97" s="48"/>
    </row>
    <row r="98" spans="3:19" x14ac:dyDescent="0.3">
      <c r="C98" s="11"/>
      <c r="E98" s="11"/>
      <c r="F98" s="15"/>
      <c r="G98" s="15"/>
      <c r="H98" s="15"/>
      <c r="I98" s="15"/>
      <c r="J98" s="15"/>
      <c r="K98" s="15"/>
      <c r="L98" s="47"/>
      <c r="N98" s="47"/>
      <c r="O98" s="47" t="str">
        <f>_xlfn.LET(
    _xlpm.itemBuscado, B98,
    _xlpm.areaBuscada, C98,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TEXT(COUNTIF($C$2:C98, _xlpm.areaBuscada), "0000"),
    _xlpm.codItem &amp; "-" &amp; _xlpm.codArea &amp; "-" &amp; _xlpm.secuencia
)</f>
        <v>-SinArea-0000</v>
      </c>
      <c r="Q98" s="15"/>
      <c r="S98" s="48"/>
    </row>
    <row r="99" spans="3:19" x14ac:dyDescent="0.3">
      <c r="C99" s="11"/>
      <c r="E99" s="11"/>
      <c r="F99" s="15"/>
      <c r="G99" s="15"/>
      <c r="H99" s="15"/>
      <c r="I99" s="15"/>
      <c r="J99" s="15"/>
      <c r="K99" s="15"/>
      <c r="L99" s="47"/>
      <c r="N99" s="47"/>
      <c r="O99" s="47" t="str">
        <f>_xlfn.LET(
    _xlpm.itemBuscado, B99,
    _xlpm.areaBuscada, C99,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TEXT(COUNTIF($C$2:C99, _xlpm.areaBuscada), "0000"),
    _xlpm.codItem &amp; "-" &amp; _xlpm.codArea &amp; "-" &amp; _xlpm.secuencia
)</f>
        <v>-SinArea-0000</v>
      </c>
      <c r="Q99" s="15"/>
      <c r="S99" s="48"/>
    </row>
    <row r="100" spans="3:19" x14ac:dyDescent="0.3">
      <c r="C100" s="11"/>
      <c r="E100" s="11"/>
      <c r="F100" s="15"/>
      <c r="G100" s="15"/>
      <c r="H100" s="15"/>
      <c r="I100" s="15"/>
      <c r="J100" s="15"/>
      <c r="K100" s="15"/>
      <c r="L100" s="47"/>
      <c r="N100" s="47"/>
      <c r="O100" s="47" t="str">
        <f>_xlfn.LET(
    _xlpm.itemBuscado, B100,
    _xlpm.areaBuscada, C100,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TEXT(COUNTIF($C$2:C100, _xlpm.areaBuscada), "0000"),
    _xlpm.codItem &amp; "-" &amp; _xlpm.codArea &amp; "-" &amp; _xlpm.secuencia
)</f>
        <v>-SinArea-0000</v>
      </c>
      <c r="Q100" s="15"/>
      <c r="S100" s="48"/>
    </row>
    <row r="101" spans="3:19" x14ac:dyDescent="0.3">
      <c r="C101" s="11"/>
      <c r="E101" s="11"/>
      <c r="F101" s="15"/>
      <c r="G101" s="15"/>
      <c r="H101" s="15"/>
      <c r="I101" s="15"/>
      <c r="J101" s="15"/>
      <c r="K101" s="15"/>
      <c r="L101" s="47"/>
      <c r="N101" s="47"/>
      <c r="O101" s="47" t="str">
        <f>_xlfn.LET(
    _xlpm.itemBuscado, B101,
    _xlpm.areaBuscada, C101,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TEXT(COUNTIF($C$2:C101, _xlpm.areaBuscada), "0000"),
    _xlpm.codItem &amp; "-" &amp; _xlpm.codArea &amp; "-" &amp; _xlpm.secuencia
)</f>
        <v>-SinArea-0000</v>
      </c>
      <c r="Q101" s="15"/>
      <c r="S101" s="48"/>
    </row>
    <row r="102" spans="3:19" x14ac:dyDescent="0.3">
      <c r="C102" s="11"/>
      <c r="E102" s="11"/>
      <c r="F102" s="15"/>
      <c r="G102" s="15"/>
      <c r="H102" s="15"/>
      <c r="I102" s="15"/>
      <c r="J102" s="15"/>
      <c r="K102" s="15"/>
      <c r="L102" s="47"/>
      <c r="N102" s="47"/>
      <c r="O102" s="47" t="str">
        <f>_xlfn.LET(
    _xlpm.itemBuscado, B102,
    _xlpm.areaBuscada, C102,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TEXT(COUNTIF($C$2:C102, _xlpm.areaBuscada), "0000"),
    _xlpm.codItem &amp; "-" &amp; _xlpm.codArea &amp; "-" &amp; _xlpm.secuencia
)</f>
        <v>-SinArea-0000</v>
      </c>
      <c r="Q102" s="15"/>
      <c r="S102" s="48"/>
    </row>
    <row r="103" spans="3:19" x14ac:dyDescent="0.3">
      <c r="C103" s="11"/>
      <c r="E103" s="11"/>
      <c r="F103" s="15"/>
      <c r="G103" s="15"/>
      <c r="H103" s="15"/>
      <c r="I103" s="15"/>
      <c r="J103" s="15"/>
      <c r="K103" s="15"/>
      <c r="L103" s="47"/>
      <c r="N103" s="47"/>
      <c r="O103" s="47" t="str">
        <f>_xlfn.LET(
    _xlpm.itemBuscado, B103,
    _xlpm.areaBuscada, C103,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TEXT(COUNTIF($C$2:C103, _xlpm.areaBuscada), "0000"),
    _xlpm.codItem &amp; "-" &amp; _xlpm.codArea &amp; "-" &amp; _xlpm.secuencia
)</f>
        <v>-SinArea-0000</v>
      </c>
      <c r="Q103" s="15"/>
      <c r="S103" s="48"/>
    </row>
    <row r="104" spans="3:19" x14ac:dyDescent="0.3">
      <c r="C104" s="11"/>
      <c r="E104" s="11"/>
      <c r="F104" s="15"/>
      <c r="G104" s="15"/>
      <c r="H104" s="15"/>
      <c r="I104" s="15"/>
      <c r="J104" s="15"/>
      <c r="K104" s="15"/>
      <c r="L104" s="47"/>
      <c r="N104" s="47"/>
      <c r="O104" s="47" t="str">
        <f>_xlfn.LET(
    _xlpm.itemBuscado, B104,
    _xlpm.areaBuscada, C104,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TEXT(COUNTIF($C$2:C104, _xlpm.areaBuscada), "0000"),
    _xlpm.codItem &amp; "-" &amp; _xlpm.codArea &amp; "-" &amp; _xlpm.secuencia
)</f>
        <v>-SinArea-0000</v>
      </c>
      <c r="Q104" s="15"/>
      <c r="S104" s="48"/>
    </row>
    <row r="105" spans="3:19" x14ac:dyDescent="0.3">
      <c r="C105" s="11"/>
      <c r="E105" s="11"/>
      <c r="F105" s="15"/>
      <c r="G105" s="15"/>
      <c r="H105" s="15"/>
      <c r="I105" s="15"/>
      <c r="J105" s="15"/>
      <c r="K105" s="15"/>
      <c r="L105" s="47"/>
      <c r="N105" s="47"/>
      <c r="O105" s="47" t="str">
        <f>_xlfn.LET(
    _xlpm.itemBuscado, B105,
    _xlpm.areaBuscada, C105,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TEXT(COUNTIF($C$2:C105, _xlpm.areaBuscada), "0000"),
    _xlpm.codItem &amp; "-" &amp; _xlpm.codArea &amp; "-" &amp; _xlpm.secuencia
)</f>
        <v>-SinArea-0000</v>
      </c>
      <c r="Q105" s="15"/>
      <c r="S105" s="48"/>
    </row>
    <row r="106" spans="3:19" x14ac:dyDescent="0.3">
      <c r="C106" s="11"/>
      <c r="E106" s="11"/>
      <c r="F106" s="15"/>
      <c r="G106" s="15"/>
      <c r="H106" s="15"/>
      <c r="I106" s="15"/>
      <c r="J106" s="15"/>
      <c r="K106" s="15"/>
      <c r="L106" s="47"/>
      <c r="N106" s="47"/>
      <c r="O106" s="47" t="str">
        <f>_xlfn.LET(
    _xlpm.itemBuscado, B106,
    _xlpm.areaBuscada, C106,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TEXT(COUNTIF($C$2:C106, _xlpm.areaBuscada), "0000"),
    _xlpm.codItem &amp; "-" &amp; _xlpm.codArea &amp; "-" &amp; _xlpm.secuencia
)</f>
        <v>-SinArea-0000</v>
      </c>
      <c r="Q106" s="15"/>
      <c r="S106" s="48"/>
    </row>
    <row r="107" spans="3:19" x14ac:dyDescent="0.3">
      <c r="C107" s="11"/>
      <c r="E107" s="11"/>
      <c r="F107" s="15"/>
      <c r="G107" s="15"/>
      <c r="H107" s="15"/>
      <c r="I107" s="15"/>
      <c r="J107" s="15"/>
      <c r="K107" s="15"/>
      <c r="L107" s="47"/>
      <c r="N107" s="47"/>
      <c r="O107" s="47" t="str">
        <f>_xlfn.LET(
    _xlpm.itemBuscado, B107,
    _xlpm.areaBuscada, C107,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TEXT(COUNTIF($C$2:C107, _xlpm.areaBuscada), "0000"),
    _xlpm.codItem &amp; "-" &amp; _xlpm.codArea &amp; "-" &amp; _xlpm.secuencia
)</f>
        <v>-SinArea-0000</v>
      </c>
      <c r="Q107" s="15"/>
      <c r="S107" s="48"/>
    </row>
    <row r="108" spans="3:19" x14ac:dyDescent="0.3">
      <c r="C108" s="11"/>
      <c r="E108" s="11"/>
      <c r="F108" s="15"/>
      <c r="G108" s="15"/>
      <c r="H108" s="15"/>
      <c r="I108" s="15"/>
      <c r="J108" s="15"/>
      <c r="K108" s="15"/>
      <c r="L108" s="47"/>
      <c r="N108" s="47"/>
      <c r="O108" s="47" t="str">
        <f>_xlfn.LET(
    _xlpm.itemBuscado, B108,
    _xlpm.areaBuscada, C108,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TEXT(COUNTIF($C$2:C108, _xlpm.areaBuscada), "0000"),
    _xlpm.codItem &amp; "-" &amp; _xlpm.codArea &amp; "-" &amp; _xlpm.secuencia
)</f>
        <v>-SinArea-0000</v>
      </c>
      <c r="Q108" s="15"/>
      <c r="S108" s="48"/>
    </row>
    <row r="109" spans="3:19" x14ac:dyDescent="0.3">
      <c r="C109" s="11"/>
      <c r="E109" s="11"/>
      <c r="F109" s="15"/>
      <c r="G109" s="15"/>
      <c r="H109" s="15"/>
      <c r="I109" s="15"/>
      <c r="J109" s="15"/>
      <c r="K109" s="15"/>
      <c r="L109" s="47"/>
      <c r="N109" s="47"/>
      <c r="O109" s="47" t="str">
        <f>_xlfn.LET(
    _xlpm.itemBuscado, B109,
    _xlpm.areaBuscada, C109,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TEXT(COUNTIF($C$2:C109, _xlpm.areaBuscada), "0000"),
    _xlpm.codItem &amp; "-" &amp; _xlpm.codArea &amp; "-" &amp; _xlpm.secuencia
)</f>
        <v>-SinArea-0000</v>
      </c>
      <c r="Q109" s="15"/>
      <c r="S109" s="48"/>
    </row>
    <row r="110" spans="3:19" x14ac:dyDescent="0.3">
      <c r="C110" s="11"/>
      <c r="E110" s="11"/>
      <c r="F110" s="15"/>
      <c r="G110" s="15"/>
      <c r="H110" s="15"/>
      <c r="I110" s="15"/>
      <c r="J110" s="15"/>
      <c r="K110" s="15"/>
      <c r="L110" s="47"/>
      <c r="N110" s="47"/>
      <c r="O110" s="47" t="str">
        <f>_xlfn.LET(
    _xlpm.itemBuscado, B110,
    _xlpm.areaBuscada, C110,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TEXT(COUNTIF($C$2:C110, _xlpm.areaBuscada), "0000"),
    _xlpm.codItem &amp; "-" &amp; _xlpm.codArea &amp; "-" &amp; _xlpm.secuencia
)</f>
        <v>-SinArea-0000</v>
      </c>
      <c r="Q110" s="15"/>
      <c r="S110" s="48"/>
    </row>
    <row r="111" spans="3:19" x14ac:dyDescent="0.3">
      <c r="C111" s="11"/>
      <c r="E111" s="11"/>
      <c r="F111" s="15"/>
      <c r="G111" s="15"/>
      <c r="H111" s="15"/>
      <c r="I111" s="15"/>
      <c r="J111" s="15"/>
      <c r="K111" s="15"/>
      <c r="L111" s="47"/>
      <c r="N111" s="47"/>
      <c r="O111" s="47" t="str">
        <f>_xlfn.LET(
    _xlpm.itemBuscado, B111,
    _xlpm.areaBuscada, C111,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TEXT(COUNTIF($C$2:C111, _xlpm.areaBuscada), "0000"),
    _xlpm.codItem &amp; "-" &amp; _xlpm.codArea &amp; "-" &amp; _xlpm.secuencia
)</f>
        <v>-SinArea-0000</v>
      </c>
      <c r="Q111" s="15"/>
      <c r="S111" s="48"/>
    </row>
    <row r="112" spans="3:19" x14ac:dyDescent="0.3">
      <c r="C112" s="11"/>
      <c r="E112" s="11"/>
      <c r="F112" s="15"/>
      <c r="G112" s="15"/>
      <c r="H112" s="15"/>
      <c r="I112" s="15"/>
      <c r="J112" s="15"/>
      <c r="K112" s="15"/>
      <c r="L112" s="47"/>
      <c r="N112" s="47"/>
      <c r="O112" s="47" t="str">
        <f>_xlfn.LET(
    _xlpm.itemBuscado, B112,
    _xlpm.areaBuscada, C112,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TEXT(COUNTIF($C$2:C112, _xlpm.areaBuscada), "0000"),
    _xlpm.codItem &amp; "-" &amp; _xlpm.codArea &amp; "-" &amp; _xlpm.secuencia
)</f>
        <v>-SinArea-0000</v>
      </c>
      <c r="Q112" s="15"/>
      <c r="S112" s="48"/>
    </row>
    <row r="113" spans="3:19" x14ac:dyDescent="0.3">
      <c r="C113" s="11"/>
      <c r="E113" s="11"/>
      <c r="F113" s="15"/>
      <c r="G113" s="15"/>
      <c r="H113" s="15"/>
      <c r="I113" s="15"/>
      <c r="J113" s="15"/>
      <c r="K113" s="15"/>
      <c r="L113" s="47"/>
      <c r="N113" s="47"/>
      <c r="O113" s="47" t="str">
        <f>_xlfn.LET(
    _xlpm.itemBuscado, B113,
    _xlpm.areaBuscada, C113,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TEXT(COUNTIF($C$2:C113, _xlpm.areaBuscada), "0000"),
    _xlpm.codItem &amp; "-" &amp; _xlpm.codArea &amp; "-" &amp; _xlpm.secuencia
)</f>
        <v>-SinArea-0000</v>
      </c>
      <c r="Q113" s="15"/>
      <c r="S113" s="48"/>
    </row>
    <row r="114" spans="3:19" x14ac:dyDescent="0.3">
      <c r="C114" s="11"/>
      <c r="E114" s="11"/>
      <c r="F114" s="15"/>
      <c r="G114" s="15"/>
      <c r="H114" s="15"/>
      <c r="I114" s="15"/>
      <c r="J114" s="15"/>
      <c r="K114" s="15"/>
      <c r="L114" s="47"/>
      <c r="N114" s="47"/>
      <c r="O114" s="47" t="str">
        <f>_xlfn.LET(
    _xlpm.itemBuscado, B114,
    _xlpm.areaBuscada, C114,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TEXT(COUNTIF($C$2:C114, _xlpm.areaBuscada), "0000"),
    _xlpm.codItem &amp; "-" &amp; _xlpm.codArea &amp; "-" &amp; _xlpm.secuencia
)</f>
        <v>-SinArea-0000</v>
      </c>
      <c r="Q114" s="15"/>
      <c r="S114" s="48"/>
    </row>
    <row r="115" spans="3:19" x14ac:dyDescent="0.3">
      <c r="C115" s="11"/>
      <c r="E115" s="11"/>
      <c r="F115" s="15"/>
      <c r="G115" s="15"/>
      <c r="H115" s="15"/>
      <c r="I115" s="15"/>
      <c r="J115" s="15"/>
      <c r="K115" s="15"/>
      <c r="L115" s="47"/>
      <c r="N115" s="47"/>
      <c r="O115" s="47" t="str">
        <f>_xlfn.LET(
    _xlpm.itemBuscado, B115,
    _xlpm.areaBuscada, C115,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TEXT(COUNTIF($C$2:C115, _xlpm.areaBuscada), "0000"),
    _xlpm.codItem &amp; "-" &amp; _xlpm.codArea &amp; "-" &amp; _xlpm.secuencia
)</f>
        <v>-SinArea-0000</v>
      </c>
      <c r="Q115" s="15"/>
      <c r="S115" s="48"/>
    </row>
    <row r="116" spans="3:19" x14ac:dyDescent="0.3">
      <c r="C116" s="11"/>
      <c r="E116" s="11"/>
      <c r="F116" s="15"/>
      <c r="G116" s="15"/>
      <c r="H116" s="15"/>
      <c r="I116" s="15"/>
      <c r="J116" s="15"/>
      <c r="K116" s="15"/>
      <c r="L116" s="47"/>
      <c r="N116" s="47"/>
      <c r="O116" s="47" t="str">
        <f>_xlfn.LET(
    _xlpm.itemBuscado, B116,
    _xlpm.areaBuscada, C116,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TEXT(COUNTIF($C$2:C116, _xlpm.areaBuscada), "0000"),
    _xlpm.codItem &amp; "-" &amp; _xlpm.codArea &amp; "-" &amp; _xlpm.secuencia
)</f>
        <v>-SinArea-0000</v>
      </c>
      <c r="Q116" s="15"/>
      <c r="S116" s="48"/>
    </row>
    <row r="117" spans="3:19" x14ac:dyDescent="0.3">
      <c r="C117" s="11"/>
      <c r="E117" s="11"/>
      <c r="F117" s="15"/>
      <c r="G117" s="15"/>
      <c r="H117" s="15"/>
      <c r="I117" s="15"/>
      <c r="J117" s="15"/>
      <c r="K117" s="15"/>
      <c r="L117" s="47"/>
      <c r="N117" s="47"/>
      <c r="O117" s="47" t="str">
        <f>_xlfn.LET(
    _xlpm.itemBuscado, B117,
    _xlpm.areaBuscada, C117,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TEXT(COUNTIF($C$2:C117, _xlpm.areaBuscada), "0000"),
    _xlpm.codItem &amp; "-" &amp; _xlpm.codArea &amp; "-" &amp; _xlpm.secuencia
)</f>
        <v>-SinArea-0000</v>
      </c>
      <c r="Q117" s="15"/>
      <c r="S117" s="48"/>
    </row>
    <row r="118" spans="3:19" x14ac:dyDescent="0.3">
      <c r="C118" s="11"/>
      <c r="E118" s="11"/>
      <c r="F118" s="15"/>
      <c r="G118" s="15"/>
      <c r="H118" s="15"/>
      <c r="I118" s="15"/>
      <c r="J118" s="15"/>
      <c r="K118" s="15"/>
      <c r="L118" s="47"/>
      <c r="N118" s="47"/>
      <c r="O118" s="47" t="str">
        <f>_xlfn.LET(
    _xlpm.itemBuscado, B118,
    _xlpm.areaBuscada, C118,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TEXT(COUNTIF($C$2:C118, _xlpm.areaBuscada), "0000"),
    _xlpm.codItem &amp; "-" &amp; _xlpm.codArea &amp; "-" &amp; _xlpm.secuencia
)</f>
        <v>-SinArea-0000</v>
      </c>
      <c r="Q118" s="15"/>
      <c r="S118" s="48"/>
    </row>
    <row r="119" spans="3:19" x14ac:dyDescent="0.3">
      <c r="C119" s="11"/>
      <c r="E119" s="11"/>
      <c r="F119" s="15"/>
      <c r="G119" s="15"/>
      <c r="H119" s="15"/>
      <c r="I119" s="15"/>
      <c r="J119" s="15"/>
      <c r="K119" s="15"/>
      <c r="L119" s="47"/>
      <c r="N119" s="47"/>
      <c r="O119" s="47" t="str">
        <f>_xlfn.LET(
    _xlpm.itemBuscado, B119,
    _xlpm.areaBuscada, C119,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TEXT(COUNTIF($C$2:C119, _xlpm.areaBuscada), "0000"),
    _xlpm.codItem &amp; "-" &amp; _xlpm.codArea &amp; "-" &amp; _xlpm.secuencia
)</f>
        <v>-SinArea-0000</v>
      </c>
      <c r="Q119" s="15"/>
      <c r="S119" s="48"/>
    </row>
    <row r="120" spans="3:19" x14ac:dyDescent="0.3">
      <c r="C120" s="11"/>
      <c r="E120" s="11"/>
      <c r="F120" s="15"/>
      <c r="G120" s="15"/>
      <c r="H120" s="15"/>
      <c r="I120" s="15"/>
      <c r="J120" s="15"/>
      <c r="K120" s="15"/>
      <c r="L120" s="47"/>
      <c r="N120" s="47"/>
      <c r="O120" s="47" t="str">
        <f>_xlfn.LET(
    _xlpm.itemBuscado, B120,
    _xlpm.areaBuscada, C120,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TEXT(COUNTIF($C$2:C120, _xlpm.areaBuscada), "0000"),
    _xlpm.codItem &amp; "-" &amp; _xlpm.codArea &amp; "-" &amp; _xlpm.secuencia
)</f>
        <v>-SinArea-0000</v>
      </c>
      <c r="Q120" s="15"/>
      <c r="S120" s="48"/>
    </row>
    <row r="121" spans="3:19" x14ac:dyDescent="0.3">
      <c r="C121" s="11"/>
      <c r="E121" s="11"/>
      <c r="F121" s="15"/>
      <c r="G121" s="15"/>
      <c r="H121" s="15"/>
      <c r="I121" s="15"/>
      <c r="J121" s="15"/>
      <c r="K121" s="15"/>
      <c r="L121" s="47"/>
      <c r="N121" s="47"/>
      <c r="O121" s="47" t="str">
        <f>_xlfn.LET(
    _xlpm.itemBuscado, B121,
    _xlpm.areaBuscada, C121,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TEXT(COUNTIF($C$2:C121, _xlpm.areaBuscada), "0000"),
    _xlpm.codItem &amp; "-" &amp; _xlpm.codArea &amp; "-" &amp; _xlpm.secuencia
)</f>
        <v>-SinArea-0000</v>
      </c>
      <c r="Q121" s="15"/>
      <c r="S121" s="48"/>
    </row>
    <row r="122" spans="3:19" x14ac:dyDescent="0.3">
      <c r="C122" s="11"/>
      <c r="E122" s="11"/>
      <c r="F122" s="15"/>
      <c r="G122" s="15"/>
      <c r="H122" s="15"/>
      <c r="I122" s="15"/>
      <c r="J122" s="15"/>
      <c r="K122" s="15"/>
      <c r="L122" s="47"/>
      <c r="N122" s="47"/>
      <c r="O122" s="47" t="str">
        <f>_xlfn.LET(
    _xlpm.itemBuscado, B122,
    _xlpm.areaBuscada, C122,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TEXT(COUNTIF($C$2:C122, _xlpm.areaBuscada), "0000"),
    _xlpm.codItem &amp; "-" &amp; _xlpm.codArea &amp; "-" &amp; _xlpm.secuencia
)</f>
        <v>-SinArea-0000</v>
      </c>
      <c r="Q122" s="15"/>
      <c r="S122" s="48"/>
    </row>
    <row r="123" spans="3:19" x14ac:dyDescent="0.3">
      <c r="C123" s="11"/>
      <c r="E123" s="11"/>
      <c r="F123" s="15"/>
      <c r="G123" s="15"/>
      <c r="H123" s="15"/>
      <c r="I123" s="15"/>
      <c r="J123" s="15"/>
      <c r="K123" s="15"/>
      <c r="L123" s="47"/>
      <c r="N123" s="47"/>
      <c r="O123" s="47" t="str">
        <f>_xlfn.LET(
    _xlpm.itemBuscado, B123,
    _xlpm.areaBuscada, C123,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TEXT(COUNTIF($C$2:C123, _xlpm.areaBuscada), "0000"),
    _xlpm.codItem &amp; "-" &amp; _xlpm.codArea &amp; "-" &amp; _xlpm.secuencia
)</f>
        <v>-SinArea-0000</v>
      </c>
      <c r="Q123" s="15"/>
      <c r="S123" s="48"/>
    </row>
    <row r="124" spans="3:19" x14ac:dyDescent="0.3">
      <c r="C124" s="11"/>
      <c r="E124" s="11"/>
      <c r="F124" s="15"/>
      <c r="G124" s="15"/>
      <c r="H124" s="15"/>
      <c r="I124" s="15"/>
      <c r="J124" s="15"/>
      <c r="K124" s="15"/>
      <c r="L124" s="47"/>
      <c r="N124" s="47"/>
      <c r="O124" s="47" t="str">
        <f>_xlfn.LET(
    _xlpm.itemBuscado, B124,
    _xlpm.areaBuscada, C124,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TEXT(COUNTIF($C$2:C124, _xlpm.areaBuscada), "0000"),
    _xlpm.codItem &amp; "-" &amp; _xlpm.codArea &amp; "-" &amp; _xlpm.secuencia
)</f>
        <v>-SinArea-0000</v>
      </c>
      <c r="Q124" s="15"/>
      <c r="S124" s="48"/>
    </row>
    <row r="125" spans="3:19" x14ac:dyDescent="0.3">
      <c r="C125" s="11"/>
      <c r="E125" s="11"/>
      <c r="F125" s="15"/>
      <c r="G125" s="15"/>
      <c r="H125" s="15"/>
      <c r="I125" s="15"/>
      <c r="J125" s="15"/>
      <c r="K125" s="15"/>
      <c r="L125" s="47"/>
      <c r="N125" s="47"/>
      <c r="O125" s="47" t="str">
        <f>_xlfn.LET(
    _xlpm.itemBuscado, B125,
    _xlpm.areaBuscada, C125,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TEXT(COUNTIF($C$2:C125, _xlpm.areaBuscada), "0000"),
    _xlpm.codItem &amp; "-" &amp; _xlpm.codArea &amp; "-" &amp; _xlpm.secuencia
)</f>
        <v>-SinArea-0000</v>
      </c>
      <c r="Q125" s="15"/>
      <c r="S125" s="48"/>
    </row>
    <row r="126" spans="3:19" x14ac:dyDescent="0.3">
      <c r="C126" s="11"/>
      <c r="E126" s="11"/>
      <c r="F126" s="15"/>
      <c r="G126" s="15"/>
      <c r="H126" s="15"/>
      <c r="I126" s="15"/>
      <c r="J126" s="15"/>
      <c r="K126" s="15"/>
      <c r="L126" s="47"/>
      <c r="N126" s="47"/>
      <c r="O126" s="47" t="str">
        <f>_xlfn.LET(
    _xlpm.itemBuscado, B126,
    _xlpm.areaBuscada, C126,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TEXT(COUNTIF($C$2:C126, _xlpm.areaBuscada), "0000"),
    _xlpm.codItem &amp; "-" &amp; _xlpm.codArea &amp; "-" &amp; _xlpm.secuencia
)</f>
        <v>-SinArea-0000</v>
      </c>
      <c r="Q126" s="15"/>
      <c r="S126" s="48"/>
    </row>
    <row r="127" spans="3:19" x14ac:dyDescent="0.3">
      <c r="C127" s="11"/>
      <c r="E127" s="11"/>
      <c r="F127" s="15"/>
      <c r="G127" s="15"/>
      <c r="H127" s="15"/>
      <c r="I127" s="15"/>
      <c r="J127" s="15"/>
      <c r="K127" s="15"/>
      <c r="L127" s="47"/>
      <c r="N127" s="47"/>
      <c r="O127" s="47" t="str">
        <f>_xlfn.LET(
    _xlpm.itemBuscado, B127,
    _xlpm.areaBuscada, C127,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TEXT(COUNTIF($C$2:C127, _xlpm.areaBuscada), "0000"),
    _xlpm.codItem &amp; "-" &amp; _xlpm.codArea &amp; "-" &amp; _xlpm.secuencia
)</f>
        <v>-SinArea-0000</v>
      </c>
      <c r="Q127" s="15"/>
      <c r="S127" s="48"/>
    </row>
    <row r="128" spans="3:19" x14ac:dyDescent="0.3">
      <c r="C128" s="11"/>
      <c r="E128" s="11"/>
      <c r="F128" s="15"/>
      <c r="G128" s="15"/>
      <c r="H128" s="15"/>
      <c r="I128" s="15"/>
      <c r="J128" s="15"/>
      <c r="K128" s="15"/>
      <c r="L128" s="47"/>
      <c r="N128" s="47"/>
      <c r="O128" s="47" t="str">
        <f>_xlfn.LET(
    _xlpm.itemBuscado, B128,
    _xlpm.areaBuscada, C128,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TEXT(COUNTIF($C$2:C128, _xlpm.areaBuscada), "0000"),
    _xlpm.codItem &amp; "-" &amp; _xlpm.codArea &amp; "-" &amp; _xlpm.secuencia
)</f>
        <v>-SinArea-0000</v>
      </c>
      <c r="Q128" s="15"/>
      <c r="S128" s="48"/>
    </row>
    <row r="129" spans="3:20" x14ac:dyDescent="0.3">
      <c r="C129" s="11"/>
      <c r="E129" s="11"/>
      <c r="F129" s="15"/>
      <c r="G129" s="15"/>
      <c r="H129" s="15"/>
      <c r="I129" s="15"/>
      <c r="J129" s="15"/>
      <c r="K129" s="15"/>
      <c r="L129" s="47"/>
      <c r="N129" s="47"/>
      <c r="O129" s="47" t="str">
        <f>_xlfn.LET(
    _xlpm.itemBuscado, B129,
    _xlpm.areaBuscada, C129,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TEXT(COUNTIF($C$2:C129, _xlpm.areaBuscada), "0000"),
    _xlpm.codItem &amp; "-" &amp; _xlpm.codArea &amp; "-" &amp; _xlpm.secuencia
)</f>
        <v>-SinArea-0000</v>
      </c>
      <c r="Q129" s="15"/>
      <c r="S129" s="48"/>
    </row>
    <row r="130" spans="3:20" x14ac:dyDescent="0.3">
      <c r="C130" s="11"/>
      <c r="E130" s="11"/>
      <c r="F130" s="15"/>
      <c r="G130" s="15"/>
      <c r="H130" s="15"/>
      <c r="I130" s="15"/>
      <c r="J130" s="15"/>
      <c r="K130" s="15"/>
      <c r="L130" s="47"/>
      <c r="N130" s="47"/>
      <c r="O130" s="47" t="str">
        <f>_xlfn.LET(
    _xlpm.itemBuscado, B130,
    _xlpm.areaBuscada, C130,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TEXT(COUNTIF($C$2:C130, _xlpm.areaBuscada), "0000"),
    _xlpm.codItem &amp; "-" &amp; _xlpm.codArea &amp; "-" &amp; _xlpm.secuencia
)</f>
        <v>-SinArea-0000</v>
      </c>
      <c r="Q130" s="15"/>
      <c r="S130" s="48"/>
    </row>
    <row r="131" spans="3:20" x14ac:dyDescent="0.3">
      <c r="C131" s="11"/>
      <c r="E131" s="11"/>
      <c r="F131" s="15"/>
      <c r="G131" s="15"/>
      <c r="H131" s="15"/>
      <c r="I131" s="15"/>
      <c r="J131" s="15"/>
      <c r="K131" s="15"/>
      <c r="L131" s="47"/>
      <c r="N131" s="47"/>
      <c r="O131" s="47" t="str">
        <f>_xlfn.LET(
    _xlpm.itemBuscado, B131,
    _xlpm.areaBuscada, C131,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TEXT(COUNTIF($C$2:C131, _xlpm.areaBuscada), "0000"),
    _xlpm.codItem &amp; "-" &amp; _xlpm.codArea &amp; "-" &amp; _xlpm.secuencia
)</f>
        <v>-SinArea-0000</v>
      </c>
      <c r="Q131" s="15"/>
      <c r="S131" s="48"/>
    </row>
    <row r="132" spans="3:20" x14ac:dyDescent="0.3">
      <c r="C132" s="11"/>
      <c r="E132" s="11"/>
      <c r="F132" s="15"/>
      <c r="G132" s="15"/>
      <c r="H132" s="15"/>
      <c r="I132" s="15"/>
      <c r="J132" s="15"/>
      <c r="K132" s="15"/>
      <c r="L132" s="47"/>
      <c r="N132" s="47"/>
      <c r="O132" s="47" t="str">
        <f>_xlfn.LET(
    _xlpm.itemBuscado, B132,
    _xlpm.areaBuscada, C132,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TEXT(COUNTIF($C$2:C132, _xlpm.areaBuscada), "0000"),
    _xlpm.codItem &amp; "-" &amp; _xlpm.codArea &amp; "-" &amp; _xlpm.secuencia
)</f>
        <v>-SinArea-0000</v>
      </c>
      <c r="Q132" s="15"/>
      <c r="S132" s="48"/>
    </row>
    <row r="133" spans="3:20" x14ac:dyDescent="0.3">
      <c r="C133" s="11"/>
      <c r="E133" s="11"/>
      <c r="F133" s="15"/>
      <c r="G133" s="15"/>
      <c r="H133" s="15"/>
      <c r="I133" s="15"/>
      <c r="J133" s="15"/>
      <c r="K133" s="15"/>
      <c r="L133" s="47"/>
      <c r="N133" s="47"/>
      <c r="O133" s="47" t="str">
        <f>_xlfn.LET(
    _xlpm.itemBuscado, B133,
    _xlpm.areaBuscada, C133,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TEXT(COUNTIF($C$2:C133, _xlpm.areaBuscada), "0000"),
    _xlpm.codItem &amp; "-" &amp; _xlpm.codArea &amp; "-" &amp; _xlpm.secuencia
)</f>
        <v>-SinArea-0000</v>
      </c>
      <c r="Q133" s="15"/>
      <c r="S133" s="48"/>
    </row>
    <row r="134" spans="3:20" x14ac:dyDescent="0.3">
      <c r="C134" s="11"/>
      <c r="E134" s="11"/>
      <c r="F134" s="15"/>
      <c r="G134" s="15"/>
      <c r="H134" s="15"/>
      <c r="I134" s="15"/>
      <c r="J134" s="15"/>
      <c r="K134" s="15"/>
      <c r="L134" s="47"/>
      <c r="N134" s="47"/>
      <c r="O134" s="47" t="str">
        <f>_xlfn.LET(
    _xlpm.itemBuscado, B134,
    _xlpm.areaBuscada, C134,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TEXT(COUNTIF($C$2:C134, _xlpm.areaBuscada), "0000"),
    _xlpm.codItem &amp; "-" &amp; _xlpm.codArea &amp; "-" &amp; _xlpm.secuencia
)</f>
        <v>-SinArea-0000</v>
      </c>
      <c r="Q134" s="15"/>
      <c r="S134" s="48"/>
    </row>
    <row r="135" spans="3:20" x14ac:dyDescent="0.3">
      <c r="C135" s="11"/>
      <c r="E135" s="11"/>
      <c r="F135" s="15"/>
      <c r="G135" s="15"/>
      <c r="H135" s="15"/>
      <c r="I135" s="15"/>
      <c r="J135" s="15"/>
      <c r="K135" s="15"/>
      <c r="L135" s="47"/>
      <c r="N135" s="47"/>
      <c r="O135" s="47" t="str">
        <f>_xlfn.LET(
    _xlpm.itemBuscado, B135,
    _xlpm.areaBuscada, C135,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TEXT(COUNTIF($C$2:C135, _xlpm.areaBuscada), "0000"),
    _xlpm.codItem &amp; "-" &amp; _xlpm.codArea &amp; "-" &amp; _xlpm.secuencia
)</f>
        <v>-SinArea-0000</v>
      </c>
      <c r="Q135" s="15"/>
      <c r="S135" s="48"/>
    </row>
    <row r="136" spans="3:20" x14ac:dyDescent="0.3">
      <c r="C136" s="11"/>
      <c r="E136" s="11"/>
      <c r="F136" s="15"/>
      <c r="G136" s="15"/>
      <c r="H136" s="15"/>
      <c r="I136" s="15"/>
      <c r="J136" s="15"/>
      <c r="K136" s="15"/>
      <c r="L136" s="47"/>
      <c r="N136" s="47"/>
      <c r="O136" s="47" t="str">
        <f>_xlfn.LET(
    _xlpm.itemBuscado, B136,
    _xlpm.areaBuscada, C136,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TEXT(COUNTIF($C$2:C136, _xlpm.areaBuscada), "0000"),
    _xlpm.codItem &amp; "-" &amp; _xlpm.codArea &amp; "-" &amp; _xlpm.secuencia
)</f>
        <v>-SinArea-0000</v>
      </c>
      <c r="Q136" s="15"/>
      <c r="S136" s="48"/>
    </row>
    <row r="137" spans="3:20" x14ac:dyDescent="0.3">
      <c r="C137" s="11"/>
      <c r="E137" s="11"/>
      <c r="F137" s="15"/>
      <c r="G137" s="15"/>
      <c r="H137" s="15"/>
      <c r="I137" s="15"/>
      <c r="J137" s="15"/>
      <c r="K137" s="15"/>
      <c r="L137" s="47"/>
      <c r="N137" s="47"/>
      <c r="O137" s="47" t="str">
        <f>_xlfn.LET(
    _xlpm.itemBuscado, B137,
    _xlpm.areaBuscada, C137,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TEXT(COUNTIF($C$2:C137, _xlpm.areaBuscada), "0000"),
    _xlpm.codItem &amp; "-" &amp; _xlpm.codArea &amp; "-" &amp; _xlpm.secuencia
)</f>
        <v>-SinArea-0000</v>
      </c>
      <c r="Q137" s="15"/>
      <c r="S137" s="48"/>
    </row>
    <row r="138" spans="3:20" x14ac:dyDescent="0.3">
      <c r="C138" s="11"/>
      <c r="E138" s="11"/>
      <c r="F138" s="15"/>
      <c r="G138" s="15"/>
      <c r="H138" s="15"/>
      <c r="I138" s="15"/>
      <c r="J138" s="15"/>
      <c r="K138" s="15"/>
      <c r="L138" s="47"/>
      <c r="N138" s="47"/>
      <c r="O138" s="47" t="str">
        <f>_xlfn.LET(
    _xlpm.itemBuscado, B138,
    _xlpm.areaBuscada, C138,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TEXT(COUNTIF($C$2:C138, _xlpm.areaBuscada), "0000"),
    _xlpm.codItem &amp; "-" &amp; _xlpm.codArea &amp; "-" &amp; _xlpm.secuencia
)</f>
        <v>-SinArea-0000</v>
      </c>
      <c r="Q138" s="15"/>
      <c r="S138" s="48"/>
    </row>
    <row r="139" spans="3:20" x14ac:dyDescent="0.3">
      <c r="C139" s="11"/>
      <c r="E139" s="11"/>
      <c r="F139" s="15"/>
      <c r="G139" s="15"/>
      <c r="H139" s="15"/>
      <c r="I139" s="15"/>
      <c r="J139" s="15"/>
      <c r="K139" s="15"/>
      <c r="L139" s="47"/>
      <c r="N139" s="47"/>
      <c r="O139" s="47" t="str">
        <f>_xlfn.LET(
    _xlpm.itemBuscado, B139,
    _xlpm.areaBuscada, C139,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TEXT(COUNTIF($C$2:C139, _xlpm.areaBuscada), "0000"),
    _xlpm.codItem &amp; "-" &amp; _xlpm.codArea &amp; "-" &amp; _xlpm.secuencia
)</f>
        <v>-SinArea-0000</v>
      </c>
      <c r="Q139" s="15"/>
      <c r="S139" s="48"/>
    </row>
    <row r="140" spans="3:20" x14ac:dyDescent="0.3">
      <c r="C140" s="11"/>
      <c r="D140" s="32"/>
      <c r="E140" s="11"/>
      <c r="F140" s="15"/>
      <c r="G140" s="15"/>
      <c r="H140" s="15"/>
      <c r="I140" s="15"/>
      <c r="J140" s="15"/>
      <c r="K140" s="15"/>
      <c r="L140" s="47"/>
      <c r="M140" s="76"/>
      <c r="N140" s="47"/>
      <c r="O140" s="47" t="str">
        <f>_xlfn.LET(
    _xlpm.itemBuscado, B140,
    _xlpm.areaBuscada, C140,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TEXT(COUNTIF($C$2:C140, _xlpm.areaBuscada), "0000"),
    _xlpm.codItem &amp; "-" &amp; _xlpm.codArea &amp; "-" &amp; _xlpm.secuencia
)</f>
        <v>-SinArea-0000</v>
      </c>
      <c r="P140" s="77"/>
      <c r="Q140" s="15"/>
      <c r="R140" s="32"/>
      <c r="S140" s="48"/>
    </row>
    <row r="141" spans="3:20" x14ac:dyDescent="0.3">
      <c r="C141" s="11"/>
      <c r="D141" s="32"/>
      <c r="E141" s="11"/>
      <c r="K141" s="15"/>
      <c r="L141" s="47"/>
      <c r="M141" s="76"/>
      <c r="N141" s="76"/>
      <c r="O141" s="78" t="str">
        <f>_xlfn.LET(
    _xlpm.itemBuscado, B141,
    _xlpm.areaBuscada, C141,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TEXT(COUNTIF($C$2:C141, _xlpm.areaBuscada), "0000"),
    _xlpm.codItem &amp; "-" &amp; _xlpm.codArea &amp; "-" &amp; _xlpm.secuencia
)</f>
        <v>-SinArea-0000</v>
      </c>
      <c r="P141" s="77"/>
      <c r="Q141" s="32"/>
      <c r="R141" s="32"/>
      <c r="S141" s="32"/>
      <c r="T141" s="32"/>
    </row>
    <row r="142" spans="3:20" x14ac:dyDescent="0.3">
      <c r="C142" s="11"/>
      <c r="D142" s="32"/>
      <c r="E142" s="11"/>
      <c r="K142" s="15"/>
      <c r="L142" s="47"/>
      <c r="M142" s="76"/>
      <c r="N142" s="76"/>
      <c r="O142" s="78" t="str">
        <f>_xlfn.LET(
    _xlpm.itemBuscado, B142,
    _xlpm.areaBuscada, C142,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TEXT(COUNTIF($C$2:C142, _xlpm.areaBuscada), "0000"),
    _xlpm.codItem &amp; "-" &amp; _xlpm.codArea &amp; "-" &amp; _xlpm.secuencia
)</f>
        <v>-SinArea-0000</v>
      </c>
      <c r="P142" s="77"/>
      <c r="Q142" s="32"/>
      <c r="R142" s="32"/>
      <c r="S142" s="32"/>
      <c r="T142" s="32"/>
    </row>
    <row r="143" spans="3:20" x14ac:dyDescent="0.3">
      <c r="C143" s="11"/>
      <c r="D143" s="32"/>
      <c r="E143" s="11"/>
      <c r="K143" s="15"/>
      <c r="L143" s="47"/>
      <c r="M143" s="76"/>
      <c r="N143" s="76"/>
      <c r="O143" s="78" t="str">
        <f>_xlfn.LET(
    _xlpm.itemBuscado, B143,
    _xlpm.areaBuscada, C143,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TEXT(COUNTIF($C$2:C143, _xlpm.areaBuscada), "0000"),
    _xlpm.codItem &amp; "-" &amp; _xlpm.codArea &amp; "-" &amp; _xlpm.secuencia
)</f>
        <v>-SinArea-0000</v>
      </c>
      <c r="P143" s="77"/>
      <c r="Q143" s="32"/>
      <c r="R143" s="32"/>
      <c r="S143" s="32"/>
      <c r="T143" s="32"/>
    </row>
    <row r="144" spans="3:20" x14ac:dyDescent="0.3">
      <c r="C144" s="11"/>
      <c r="D144" s="32"/>
      <c r="E144" s="11"/>
      <c r="K144" s="15"/>
      <c r="L144" s="47"/>
      <c r="M144" s="76"/>
      <c r="N144" s="76"/>
      <c r="O144" s="78" t="str">
        <f>_xlfn.LET(
    _xlpm.itemBuscado, B144,
    _xlpm.areaBuscada, C144,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TEXT(COUNTIF($C$2:C144, _xlpm.areaBuscada), "0000"),
    _xlpm.codItem &amp; "-" &amp; _xlpm.codArea &amp; "-" &amp; _xlpm.secuencia
)</f>
        <v>-SinArea-0000</v>
      </c>
      <c r="P144" s="77"/>
      <c r="Q144" s="32"/>
      <c r="R144" s="32"/>
      <c r="S144" s="32"/>
      <c r="T144" s="32"/>
    </row>
    <row r="145" spans="3:20" x14ac:dyDescent="0.3">
      <c r="C145" s="11"/>
      <c r="D145" s="32"/>
      <c r="E145" s="11"/>
      <c r="K145" s="15"/>
      <c r="L145" s="47"/>
      <c r="M145" s="76"/>
      <c r="N145" s="76"/>
      <c r="O145" s="78" t="str">
        <f>_xlfn.LET(
    _xlpm.itemBuscado, B145,
    _xlpm.areaBuscada, C145,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TEXT(COUNTIF($C$2:C145, _xlpm.areaBuscada), "0000"),
    _xlpm.codItem &amp; "-" &amp; _xlpm.codArea &amp; "-" &amp; _xlpm.secuencia
)</f>
        <v>-SinArea-0000</v>
      </c>
      <c r="P145" s="77"/>
      <c r="Q145" s="32"/>
      <c r="R145" s="32"/>
      <c r="S145" s="32"/>
      <c r="T145" s="32"/>
    </row>
    <row r="146" spans="3:20" x14ac:dyDescent="0.3">
      <c r="C146" s="11"/>
      <c r="D146" s="32"/>
      <c r="E146" s="11"/>
      <c r="K146" s="15"/>
      <c r="L146" s="47"/>
      <c r="M146" s="76"/>
      <c r="N146" s="76"/>
      <c r="O146" s="78" t="str">
        <f>_xlfn.LET(
    _xlpm.itemBuscado, B146,
    _xlpm.areaBuscada, C146,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TEXT(COUNTIF($C$2:C146, _xlpm.areaBuscada), "0000"),
    _xlpm.codItem &amp; "-" &amp; _xlpm.codArea &amp; "-" &amp; _xlpm.secuencia
)</f>
        <v>-SinArea-0000</v>
      </c>
      <c r="P146" s="77"/>
      <c r="Q146" s="32"/>
      <c r="R146" s="32"/>
      <c r="S146" s="32"/>
      <c r="T146" s="32"/>
    </row>
    <row r="147" spans="3:20" x14ac:dyDescent="0.3">
      <c r="C147" s="11"/>
      <c r="D147" s="32"/>
      <c r="E147" s="11"/>
      <c r="K147" s="15"/>
      <c r="L147" s="47"/>
      <c r="M147" s="76"/>
      <c r="N147" s="76"/>
      <c r="O147" s="78" t="str">
        <f>_xlfn.LET(
    _xlpm.itemBuscado, B147,
    _xlpm.areaBuscada, C147,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TEXT(COUNTIF($C$2:C147, _xlpm.areaBuscada), "0000"),
    _xlpm.codItem &amp; "-" &amp; _xlpm.codArea &amp; "-" &amp; _xlpm.secuencia
)</f>
        <v>-SinArea-0000</v>
      </c>
      <c r="P147" s="77"/>
      <c r="Q147" s="32"/>
      <c r="R147" s="32"/>
      <c r="S147" s="32"/>
      <c r="T147" s="32"/>
    </row>
    <row r="148" spans="3:20" x14ac:dyDescent="0.3">
      <c r="C148" s="11"/>
      <c r="D148" s="32"/>
      <c r="E148" s="11"/>
      <c r="K148" s="15"/>
      <c r="L148" s="47"/>
      <c r="M148" s="76"/>
      <c r="N148" s="76"/>
      <c r="O148" s="78" t="str">
        <f>_xlfn.LET(
    _xlpm.itemBuscado, B148,
    _xlpm.areaBuscada, C148,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TEXT(COUNTIF($C$2:C148, _xlpm.areaBuscada), "0000"),
    _xlpm.codItem &amp; "-" &amp; _xlpm.codArea &amp; "-" &amp; _xlpm.secuencia
)</f>
        <v>-SinArea-0000</v>
      </c>
      <c r="P148" s="77"/>
      <c r="Q148" s="32"/>
      <c r="R148" s="32"/>
      <c r="S148" s="32"/>
      <c r="T148" s="32"/>
    </row>
    <row r="149" spans="3:20" x14ac:dyDescent="0.3">
      <c r="C149" s="11"/>
      <c r="D149" s="32"/>
      <c r="E149" s="11"/>
      <c r="K149" s="15"/>
      <c r="L149" s="47"/>
      <c r="M149" s="76"/>
      <c r="N149" s="76"/>
      <c r="O149" s="78" t="str">
        <f>_xlfn.LET(
    _xlpm.itemBuscado, B149,
    _xlpm.areaBuscada, C149,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TEXT(COUNTIF($C$2:C149, _xlpm.areaBuscada), "0000"),
    _xlpm.codItem &amp; "-" &amp; _xlpm.codArea &amp; "-" &amp; _xlpm.secuencia
)</f>
        <v>-SinArea-0000</v>
      </c>
      <c r="P149" s="77"/>
      <c r="Q149" s="32"/>
      <c r="R149" s="32"/>
      <c r="S149" s="32"/>
      <c r="T149" s="32"/>
    </row>
    <row r="150" spans="3:20" x14ac:dyDescent="0.3">
      <c r="C150" s="11"/>
      <c r="D150" s="32"/>
      <c r="E150" s="11"/>
      <c r="K150" s="15"/>
      <c r="L150" s="47"/>
      <c r="M150" s="76"/>
      <c r="N150" s="76"/>
      <c r="O150" s="78" t="str">
        <f>_xlfn.LET(
    _xlpm.itemBuscado, B150,
    _xlpm.areaBuscada, C150,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TEXT(COUNTIF($C$2:C150, _xlpm.areaBuscada), "0000"),
    _xlpm.codItem &amp; "-" &amp; _xlpm.codArea &amp; "-" &amp; _xlpm.secuencia
)</f>
        <v>-SinArea-0000</v>
      </c>
      <c r="P150" s="77"/>
      <c r="Q150" s="32"/>
      <c r="R150" s="32"/>
      <c r="S150" s="32"/>
      <c r="T150" s="32"/>
    </row>
    <row r="151" spans="3:20" x14ac:dyDescent="0.3">
      <c r="C151" s="11"/>
      <c r="D151" s="32"/>
      <c r="E151" s="11"/>
      <c r="K151" s="15"/>
      <c r="L151" s="47"/>
      <c r="M151" s="76"/>
      <c r="N151" s="76"/>
      <c r="O151" s="78" t="str">
        <f>_xlfn.LET(
    _xlpm.itemBuscado, B151,
    _xlpm.areaBuscada, C151,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TEXT(COUNTIF($C$2:C151, _xlpm.areaBuscada), "0000"),
    _xlpm.codItem &amp; "-" &amp; _xlpm.codArea &amp; "-" &amp; _xlpm.secuencia
)</f>
        <v>-SinArea-0000</v>
      </c>
      <c r="P151" s="77"/>
      <c r="Q151" s="32"/>
      <c r="R151" s="32"/>
      <c r="S151" s="32"/>
      <c r="T151" s="32"/>
    </row>
    <row r="152" spans="3:20" x14ac:dyDescent="0.3">
      <c r="C152" s="11"/>
      <c r="D152" s="32"/>
      <c r="E152" s="11"/>
      <c r="K152" s="15"/>
      <c r="L152" s="47"/>
      <c r="M152" s="76"/>
      <c r="N152" s="76"/>
      <c r="O152" s="78" t="str">
        <f>_xlfn.LET(
    _xlpm.itemBuscado, B152,
    _xlpm.areaBuscada, C152,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TEXT(COUNTIF($C$2:C152, _xlpm.areaBuscada), "0000"),
    _xlpm.codItem &amp; "-" &amp; _xlpm.codArea &amp; "-" &amp; _xlpm.secuencia
)</f>
        <v>-SinArea-0000</v>
      </c>
      <c r="P152" s="77"/>
      <c r="Q152" s="32"/>
      <c r="R152" s="32"/>
      <c r="S152" s="32"/>
      <c r="T152" s="32"/>
    </row>
    <row r="153" spans="3:20" x14ac:dyDescent="0.3">
      <c r="C153" s="11"/>
      <c r="D153" s="32"/>
      <c r="E153" s="11"/>
      <c r="K153" s="15"/>
      <c r="L153" s="47"/>
      <c r="M153" s="76"/>
      <c r="N153" s="76"/>
      <c r="O153" s="78" t="str">
        <f>_xlfn.LET(
    _xlpm.itemBuscado, B153,
    _xlpm.areaBuscada, C153,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TEXT(COUNTIF($C$2:C153, _xlpm.areaBuscada), "0000"),
    _xlpm.codItem &amp; "-" &amp; _xlpm.codArea &amp; "-" &amp; _xlpm.secuencia
)</f>
        <v>-SinArea-0000</v>
      </c>
      <c r="P153" s="77"/>
      <c r="Q153" s="32"/>
      <c r="R153" s="32"/>
      <c r="S153" s="32"/>
      <c r="T153" s="32"/>
    </row>
    <row r="154" spans="3:20" x14ac:dyDescent="0.3">
      <c r="C154" s="11"/>
      <c r="D154" s="32"/>
      <c r="E154" s="11"/>
      <c r="K154" s="15"/>
      <c r="L154" s="47"/>
      <c r="M154" s="76"/>
      <c r="N154" s="76"/>
      <c r="O154" s="78" t="str">
        <f>_xlfn.LET(
    _xlpm.itemBuscado, B154,
    _xlpm.areaBuscada, C154,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TEXT(COUNTIF($C$2:C154, _xlpm.areaBuscada), "0000"),
    _xlpm.codItem &amp; "-" &amp; _xlpm.codArea &amp; "-" &amp; _xlpm.secuencia
)</f>
        <v>-SinArea-0000</v>
      </c>
      <c r="P154" s="77"/>
      <c r="Q154" s="32"/>
      <c r="R154" s="32"/>
      <c r="S154" s="32"/>
      <c r="T154" s="32"/>
    </row>
    <row r="155" spans="3:20" x14ac:dyDescent="0.3">
      <c r="C155" s="11"/>
      <c r="D155" s="32"/>
      <c r="E155" s="11"/>
      <c r="K155" s="15"/>
      <c r="L155" s="47"/>
      <c r="M155" s="76"/>
      <c r="N155" s="76"/>
      <c r="O155" s="78" t="str">
        <f>_xlfn.LET(
    _xlpm.itemBuscado, B155,
    _xlpm.areaBuscada, C155,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TEXT(COUNTIF($C$2:C155, _xlpm.areaBuscada), "0000"),
    _xlpm.codItem &amp; "-" &amp; _xlpm.codArea &amp; "-" &amp; _xlpm.secuencia
)</f>
        <v>-SinArea-0000</v>
      </c>
      <c r="P155" s="77"/>
      <c r="Q155" s="32"/>
      <c r="R155" s="32"/>
      <c r="S155" s="32"/>
      <c r="T155" s="32"/>
    </row>
    <row r="156" spans="3:20" x14ac:dyDescent="0.3">
      <c r="C156" s="11"/>
      <c r="D156" s="32"/>
      <c r="E156" s="11"/>
      <c r="K156" s="15"/>
      <c r="L156" s="47"/>
      <c r="M156" s="76"/>
      <c r="N156" s="76"/>
      <c r="O156" s="78" t="str">
        <f>_xlfn.LET(
    _xlpm.itemBuscado, B156,
    _xlpm.areaBuscada, C156,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TEXT(COUNTIF($C$2:C156, _xlpm.areaBuscada), "0000"),
    _xlpm.codItem &amp; "-" &amp; _xlpm.codArea &amp; "-" &amp; _xlpm.secuencia
)</f>
        <v>-SinArea-0000</v>
      </c>
      <c r="P156" s="77"/>
      <c r="Q156" s="32"/>
      <c r="R156" s="32"/>
      <c r="S156" s="32"/>
      <c r="T156" s="32"/>
    </row>
    <row r="157" spans="3:20" x14ac:dyDescent="0.3">
      <c r="C157" s="11"/>
      <c r="D157" s="32"/>
      <c r="E157" s="11"/>
      <c r="K157" s="15"/>
      <c r="L157" s="47"/>
      <c r="M157" s="76"/>
      <c r="N157" s="76"/>
      <c r="O157" s="78" t="str">
        <f>_xlfn.LET(
    _xlpm.itemBuscado, B157,
    _xlpm.areaBuscada, C157,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TEXT(COUNTIF($C$2:C157, _xlpm.areaBuscada), "0000"),
    _xlpm.codItem &amp; "-" &amp; _xlpm.codArea &amp; "-" &amp; _xlpm.secuencia
)</f>
        <v>-SinArea-0000</v>
      </c>
      <c r="P157" s="77"/>
      <c r="Q157" s="32"/>
      <c r="R157" s="32"/>
      <c r="S157" s="32"/>
      <c r="T157" s="32"/>
    </row>
    <row r="158" spans="3:20" x14ac:dyDescent="0.3">
      <c r="C158" s="11"/>
      <c r="D158" s="32"/>
      <c r="E158" s="11"/>
      <c r="K158" s="15"/>
      <c r="L158" s="47"/>
      <c r="M158" s="76"/>
      <c r="N158" s="76"/>
      <c r="O158" s="78" t="str">
        <f>_xlfn.LET(
    _xlpm.itemBuscado, B158,
    _xlpm.areaBuscada, C158,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TEXT(COUNTIF($C$2:C158, _xlpm.areaBuscada), "0000"),
    _xlpm.codItem &amp; "-" &amp; _xlpm.codArea &amp; "-" &amp; _xlpm.secuencia
)</f>
        <v>-SinArea-0000</v>
      </c>
      <c r="P158" s="77"/>
      <c r="Q158" s="32"/>
      <c r="R158" s="32"/>
      <c r="S158" s="32"/>
      <c r="T158" s="32"/>
    </row>
    <row r="159" spans="3:20" x14ac:dyDescent="0.3">
      <c r="C159" s="11"/>
      <c r="D159" s="32"/>
      <c r="E159" s="11"/>
      <c r="K159" s="15"/>
      <c r="L159" s="47"/>
      <c r="M159" s="76"/>
      <c r="N159" s="76"/>
      <c r="O159" s="78" t="str">
        <f>_xlfn.LET(
    _xlpm.itemBuscado, B159,
    _xlpm.areaBuscada, C159,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TEXT(COUNTIF($C$2:C159, _xlpm.areaBuscada), "0000"),
    _xlpm.codItem &amp; "-" &amp; _xlpm.codArea &amp; "-" &amp; _xlpm.secuencia
)</f>
        <v>-SinArea-0000</v>
      </c>
      <c r="P159" s="77"/>
      <c r="Q159" s="32"/>
      <c r="R159" s="32"/>
      <c r="S159" s="32"/>
      <c r="T159" s="32"/>
    </row>
    <row r="160" spans="3:20" x14ac:dyDescent="0.3">
      <c r="C160" s="11"/>
      <c r="D160" s="32"/>
      <c r="E160" s="11"/>
      <c r="K160" s="15"/>
      <c r="L160" s="47"/>
      <c r="M160" s="76"/>
      <c r="N160" s="76"/>
      <c r="O160" s="78" t="str">
        <f>_xlfn.LET(
    _xlpm.itemBuscado, B160,
    _xlpm.areaBuscada, C160,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TEXT(COUNTIF($C$2:C160, _xlpm.areaBuscada), "0000"),
    _xlpm.codItem &amp; "-" &amp; _xlpm.codArea &amp; "-" &amp; _xlpm.secuencia
)</f>
        <v>-SinArea-0000</v>
      </c>
      <c r="P160" s="77"/>
      <c r="Q160" s="32"/>
      <c r="R160" s="32"/>
      <c r="S160" s="32"/>
      <c r="T160" s="32"/>
    </row>
    <row r="161" spans="3:20" x14ac:dyDescent="0.3">
      <c r="C161" s="11"/>
      <c r="D161" s="32"/>
      <c r="E161" s="11"/>
      <c r="K161" s="15"/>
      <c r="L161" s="47"/>
      <c r="M161" s="76"/>
      <c r="N161" s="76"/>
      <c r="O161" s="78" t="str">
        <f>_xlfn.LET(
    _xlpm.itemBuscado, B161,
    _xlpm.areaBuscada, C161,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TEXT(COUNTIF($C$2:C161, _xlpm.areaBuscada), "0000"),
    _xlpm.codItem &amp; "-" &amp; _xlpm.codArea &amp; "-" &amp; _xlpm.secuencia
)</f>
        <v>-SinArea-0000</v>
      </c>
      <c r="P161" s="77"/>
      <c r="Q161" s="32"/>
      <c r="R161" s="32"/>
      <c r="S161" s="32"/>
      <c r="T161" s="32"/>
    </row>
    <row r="162" spans="3:20" x14ac:dyDescent="0.3">
      <c r="C162" s="11"/>
      <c r="D162" s="32"/>
      <c r="E162" s="11"/>
      <c r="K162" s="15"/>
      <c r="L162" s="47"/>
      <c r="M162" s="76"/>
      <c r="N162" s="76"/>
      <c r="O162" s="78" t="str">
        <f>_xlfn.LET(
    _xlpm.itemBuscado, B162,
    _xlpm.areaBuscada, C162,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TEXT(COUNTIF($C$2:C162, _xlpm.areaBuscada), "0000"),
    _xlpm.codItem &amp; "-" &amp; _xlpm.codArea &amp; "-" &amp; _xlpm.secuencia
)</f>
        <v>-SinArea-0000</v>
      </c>
      <c r="P162" s="77"/>
      <c r="Q162" s="32"/>
      <c r="R162" s="32"/>
      <c r="S162" s="32"/>
      <c r="T162" s="32"/>
    </row>
    <row r="163" spans="3:20" x14ac:dyDescent="0.3">
      <c r="C163" s="11"/>
      <c r="D163" s="32"/>
      <c r="E163" s="11"/>
      <c r="K163" s="15"/>
      <c r="L163" s="47"/>
      <c r="M163" s="76"/>
      <c r="N163" s="76"/>
      <c r="O163" s="78" t="str">
        <f>_xlfn.LET(
    _xlpm.itemBuscado, B163,
    _xlpm.areaBuscada, C163,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TEXT(COUNTIF($C$2:C163, _xlpm.areaBuscada), "0000"),
    _xlpm.codItem &amp; "-" &amp; _xlpm.codArea &amp; "-" &amp; _xlpm.secuencia
)</f>
        <v>-SinArea-0000</v>
      </c>
      <c r="P163" s="77"/>
      <c r="Q163" s="32"/>
      <c r="R163" s="32"/>
      <c r="S163" s="32"/>
      <c r="T163" s="32"/>
    </row>
    <row r="164" spans="3:20" x14ac:dyDescent="0.3">
      <c r="C164" s="11"/>
      <c r="D164" s="32"/>
      <c r="E164" s="11"/>
      <c r="K164" s="15"/>
      <c r="L164" s="47"/>
      <c r="M164" s="76"/>
      <c r="N164" s="76"/>
      <c r="O164" s="78" t="str">
        <f>_xlfn.LET(
    _xlpm.itemBuscado, B164,
    _xlpm.areaBuscada, C164,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TEXT(COUNTIF($C$2:C164, _xlpm.areaBuscada), "0000"),
    _xlpm.codItem &amp; "-" &amp; _xlpm.codArea &amp; "-" &amp; _xlpm.secuencia
)</f>
        <v>-SinArea-0000</v>
      </c>
      <c r="P164" s="77"/>
      <c r="Q164" s="32"/>
      <c r="R164" s="32"/>
      <c r="S164" s="32"/>
      <c r="T164" s="32"/>
    </row>
    <row r="165" spans="3:20" x14ac:dyDescent="0.3">
      <c r="C165" s="11"/>
      <c r="D165" s="32"/>
      <c r="E165" s="11"/>
      <c r="K165" s="15"/>
      <c r="L165" s="47"/>
      <c r="M165" s="76"/>
      <c r="N165" s="76"/>
      <c r="O165" s="78" t="str">
        <f>_xlfn.LET(
    _xlpm.itemBuscado, B165,
    _xlpm.areaBuscada, C165,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TEXT(COUNTIF($C$2:C165, _xlpm.areaBuscada), "0000"),
    _xlpm.codItem &amp; "-" &amp; _xlpm.codArea &amp; "-" &amp; _xlpm.secuencia
)</f>
        <v>-SinArea-0000</v>
      </c>
      <c r="P165" s="77"/>
      <c r="Q165" s="32"/>
      <c r="R165" s="32"/>
      <c r="S165" s="32"/>
      <c r="T165" s="32"/>
    </row>
    <row r="166" spans="3:20" x14ac:dyDescent="0.3">
      <c r="C166" s="11"/>
      <c r="D166" s="32"/>
      <c r="E166" s="11"/>
      <c r="K166" s="15"/>
      <c r="L166" s="47"/>
      <c r="M166" s="76"/>
      <c r="N166" s="76"/>
      <c r="O166" s="78" t="str">
        <f>_xlfn.LET(
    _xlpm.itemBuscado, B166,
    _xlpm.areaBuscada, C166,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TEXT(COUNTIF($C$2:C166, _xlpm.areaBuscada), "0000"),
    _xlpm.codItem &amp; "-" &amp; _xlpm.codArea &amp; "-" &amp; _xlpm.secuencia
)</f>
        <v>-SinArea-0000</v>
      </c>
      <c r="P166" s="77"/>
      <c r="Q166" s="32"/>
      <c r="R166" s="32"/>
      <c r="S166" s="32"/>
      <c r="T166" s="32"/>
    </row>
    <row r="167" spans="3:20" x14ac:dyDescent="0.3">
      <c r="C167" s="11"/>
      <c r="D167" s="32"/>
      <c r="E167" s="11"/>
      <c r="K167" s="15"/>
      <c r="L167" s="47"/>
      <c r="M167" s="76"/>
      <c r="N167" s="76"/>
      <c r="O167" s="78" t="str">
        <f>_xlfn.LET(
    _xlpm.itemBuscado, B167,
    _xlpm.areaBuscada, C167,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TEXT(COUNTIF($C$2:C167, _xlpm.areaBuscada), "0000"),
    _xlpm.codItem &amp; "-" &amp; _xlpm.codArea &amp; "-" &amp; _xlpm.secuencia
)</f>
        <v>-SinArea-0000</v>
      </c>
      <c r="P167" s="77"/>
      <c r="Q167" s="32"/>
      <c r="R167" s="32"/>
      <c r="S167" s="32"/>
      <c r="T167" s="32"/>
    </row>
    <row r="168" spans="3:20" x14ac:dyDescent="0.3">
      <c r="C168" s="11"/>
      <c r="D168" s="32"/>
      <c r="E168" s="11"/>
      <c r="K168" s="15"/>
      <c r="L168" s="47"/>
      <c r="M168" s="76"/>
      <c r="N168" s="76"/>
      <c r="O168" s="78" t="str">
        <f>_xlfn.LET(
    _xlpm.itemBuscado, B168,
    _xlpm.areaBuscada, C168,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TEXT(COUNTIF($C$2:C168, _xlpm.areaBuscada), "0000"),
    _xlpm.codItem &amp; "-" &amp; _xlpm.codArea &amp; "-" &amp; _xlpm.secuencia
)</f>
        <v>-SinArea-0000</v>
      </c>
      <c r="P168" s="77"/>
      <c r="Q168" s="32"/>
      <c r="R168" s="32"/>
      <c r="S168" s="32"/>
      <c r="T168" s="32"/>
    </row>
    <row r="169" spans="3:20" x14ac:dyDescent="0.3">
      <c r="C169" s="11"/>
      <c r="D169" s="32"/>
      <c r="E169" s="11"/>
      <c r="K169" s="15"/>
      <c r="L169" s="47"/>
      <c r="M169" s="76"/>
      <c r="N169" s="76"/>
      <c r="O169" s="78" t="str">
        <f>_xlfn.LET(
    _xlpm.itemBuscado, B169,
    _xlpm.areaBuscada, C169,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TEXT(COUNTIF($C$2:C169, _xlpm.areaBuscada), "0000"),
    _xlpm.codItem &amp; "-" &amp; _xlpm.codArea &amp; "-" &amp; _xlpm.secuencia
)</f>
        <v>-SinArea-0000</v>
      </c>
      <c r="P169" s="77"/>
      <c r="Q169" s="32"/>
      <c r="R169" s="32"/>
      <c r="S169" s="32"/>
      <c r="T169" s="32"/>
    </row>
    <row r="170" spans="3:20" x14ac:dyDescent="0.3">
      <c r="C170" s="11"/>
      <c r="D170" s="32"/>
      <c r="E170" s="11"/>
      <c r="K170" s="15"/>
      <c r="L170" s="47"/>
      <c r="M170" s="76"/>
      <c r="N170" s="76"/>
      <c r="O170" s="78" t="str">
        <f>_xlfn.LET(
    _xlpm.itemBuscado, B170,
    _xlpm.areaBuscada, C170,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TEXT(COUNTIF($C$2:C170, _xlpm.areaBuscada), "0000"),
    _xlpm.codItem &amp; "-" &amp; _xlpm.codArea &amp; "-" &amp; _xlpm.secuencia
)</f>
        <v>-SinArea-0000</v>
      </c>
      <c r="P170" s="77"/>
      <c r="Q170" s="32"/>
      <c r="R170" s="32"/>
      <c r="S170" s="32"/>
      <c r="T170" s="32"/>
    </row>
    <row r="171" spans="3:20" x14ac:dyDescent="0.3">
      <c r="C171" s="11"/>
      <c r="D171" s="32"/>
      <c r="E171" s="11"/>
      <c r="K171" s="15"/>
      <c r="L171" s="47"/>
      <c r="M171" s="76"/>
      <c r="N171" s="76"/>
      <c r="O171" s="78" t="str">
        <f>_xlfn.LET(
    _xlpm.itemBuscado, B171,
    _xlpm.areaBuscada, C171,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TEXT(COUNTIF($C$2:C171, _xlpm.areaBuscada), "0000"),
    _xlpm.codItem &amp; "-" &amp; _xlpm.codArea &amp; "-" &amp; _xlpm.secuencia
)</f>
        <v>-SinArea-0000</v>
      </c>
      <c r="P171" s="77"/>
      <c r="Q171" s="32"/>
      <c r="R171" s="32"/>
      <c r="S171" s="32"/>
      <c r="T171" s="32"/>
    </row>
    <row r="172" spans="3:20" x14ac:dyDescent="0.3">
      <c r="C172" s="11"/>
      <c r="D172" s="32"/>
      <c r="E172" s="11"/>
      <c r="K172" s="15"/>
      <c r="L172" s="47"/>
      <c r="M172" s="76"/>
      <c r="N172" s="76"/>
      <c r="O172" s="78" t="str">
        <f>_xlfn.LET(
    _xlpm.itemBuscado, B172,
    _xlpm.areaBuscada, C172,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TEXT(COUNTIF($C$2:C172, _xlpm.areaBuscada), "0000"),
    _xlpm.codItem &amp; "-" &amp; _xlpm.codArea &amp; "-" &amp; _xlpm.secuencia
)</f>
        <v>-SinArea-0000</v>
      </c>
      <c r="P172" s="77"/>
      <c r="Q172" s="32"/>
      <c r="R172" s="32"/>
      <c r="S172" s="32"/>
      <c r="T172" s="32"/>
    </row>
    <row r="173" spans="3:20" x14ac:dyDescent="0.3">
      <c r="C173" s="11"/>
      <c r="D173" s="32"/>
      <c r="E173" s="11"/>
      <c r="K173" s="15"/>
      <c r="L173" s="47"/>
      <c r="M173" s="76"/>
      <c r="N173" s="76"/>
      <c r="O173" s="78" t="str">
        <f>_xlfn.LET(
    _xlpm.itemBuscado, B173,
    _xlpm.areaBuscada, C173,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TEXT(COUNTIF($C$2:C173, _xlpm.areaBuscada), "0000"),
    _xlpm.codItem &amp; "-" &amp; _xlpm.codArea &amp; "-" &amp; _xlpm.secuencia
)</f>
        <v>-SinArea-0000</v>
      </c>
      <c r="P173" s="77"/>
      <c r="Q173" s="32"/>
      <c r="R173" s="32"/>
      <c r="S173" s="32"/>
      <c r="T173" s="32"/>
    </row>
    <row r="174" spans="3:20" x14ac:dyDescent="0.3">
      <c r="C174" s="11"/>
      <c r="D174" s="32"/>
      <c r="E174" s="11"/>
      <c r="K174" s="15"/>
      <c r="L174" s="47"/>
      <c r="M174" s="76"/>
      <c r="N174" s="76"/>
      <c r="O174" s="78" t="str">
        <f>_xlfn.LET(
    _xlpm.itemBuscado, B174,
    _xlpm.areaBuscada, C174,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TEXT(COUNTIF($C$2:C174, _xlpm.areaBuscada), "0000"),
    _xlpm.codItem &amp; "-" &amp; _xlpm.codArea &amp; "-" &amp; _xlpm.secuencia
)</f>
        <v>-SinArea-0000</v>
      </c>
      <c r="P174" s="77"/>
      <c r="Q174" s="32"/>
      <c r="R174" s="32"/>
      <c r="S174" s="32"/>
      <c r="T174" s="32"/>
    </row>
    <row r="175" spans="3:20" x14ac:dyDescent="0.3">
      <c r="C175" s="11"/>
      <c r="D175" s="32"/>
      <c r="E175" s="11"/>
      <c r="K175" s="15"/>
      <c r="L175" s="47"/>
      <c r="M175" s="76"/>
      <c r="N175" s="76"/>
      <c r="O175" s="78" t="str">
        <f>_xlfn.LET(
    _xlpm.itemBuscado, B175,
    _xlpm.areaBuscada, C175,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TEXT(COUNTIF($C$2:C175, _xlpm.areaBuscada), "0000"),
    _xlpm.codItem &amp; "-" &amp; _xlpm.codArea &amp; "-" &amp; _xlpm.secuencia
)</f>
        <v>-SinArea-0000</v>
      </c>
      <c r="P175" s="77"/>
      <c r="Q175" s="32"/>
      <c r="R175" s="32"/>
      <c r="S175" s="32"/>
      <c r="T175" s="32"/>
    </row>
    <row r="176" spans="3:20" x14ac:dyDescent="0.3">
      <c r="C176" s="11"/>
      <c r="D176" s="32"/>
      <c r="E176" s="11"/>
      <c r="K176" s="15"/>
      <c r="L176" s="47"/>
      <c r="M176" s="76"/>
      <c r="N176" s="76"/>
      <c r="O176" s="78" t="str">
        <f>_xlfn.LET(
    _xlpm.itemBuscado, B176,
    _xlpm.areaBuscada, C176,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TEXT(COUNTIF($C$2:C176, _xlpm.areaBuscada), "0000"),
    _xlpm.codItem &amp; "-" &amp; _xlpm.codArea &amp; "-" &amp; _xlpm.secuencia
)</f>
        <v>-SinArea-0000</v>
      </c>
      <c r="P176" s="77"/>
      <c r="Q176" s="32"/>
      <c r="R176" s="32"/>
      <c r="S176" s="32"/>
      <c r="T176" s="32"/>
    </row>
    <row r="177" spans="3:20" x14ac:dyDescent="0.3">
      <c r="C177" s="11"/>
      <c r="D177" s="32"/>
      <c r="E177" s="11"/>
      <c r="K177" s="15"/>
      <c r="L177" s="47"/>
      <c r="M177" s="76"/>
      <c r="N177" s="76"/>
      <c r="O177" s="78" t="str">
        <f>_xlfn.LET(
    _xlpm.itemBuscado, B177,
    _xlpm.areaBuscada, C177,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TEXT(COUNTIF($C$2:C177, _xlpm.areaBuscada), "0000"),
    _xlpm.codItem &amp; "-" &amp; _xlpm.codArea &amp; "-" &amp; _xlpm.secuencia
)</f>
        <v>-SinArea-0000</v>
      </c>
      <c r="P177" s="77"/>
      <c r="Q177" s="32"/>
      <c r="R177" s="32"/>
      <c r="S177" s="32"/>
      <c r="T177" s="32"/>
    </row>
    <row r="178" spans="3:20" x14ac:dyDescent="0.3">
      <c r="C178" s="11"/>
      <c r="D178" s="32"/>
      <c r="E178" s="11"/>
      <c r="K178" s="15"/>
      <c r="L178" s="47"/>
      <c r="M178" s="76"/>
      <c r="N178" s="76"/>
      <c r="O178" s="78" t="str">
        <f>_xlfn.LET(
    _xlpm.itemBuscado, B178,
    _xlpm.areaBuscada, C178,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TEXT(COUNTIF($C$2:C178, _xlpm.areaBuscada), "0000"),
    _xlpm.codItem &amp; "-" &amp; _xlpm.codArea &amp; "-" &amp; _xlpm.secuencia
)</f>
        <v>-SinArea-0000</v>
      </c>
      <c r="P178" s="77"/>
      <c r="Q178" s="32"/>
      <c r="R178" s="32"/>
      <c r="S178" s="32"/>
      <c r="T178" s="32"/>
    </row>
    <row r="179" spans="3:20" x14ac:dyDescent="0.3">
      <c r="C179" s="11"/>
      <c r="D179" s="32"/>
      <c r="E179" s="11"/>
      <c r="K179" s="15"/>
      <c r="L179" s="47"/>
      <c r="M179" s="76"/>
      <c r="N179" s="76"/>
      <c r="O179" s="78" t="str">
        <f>_xlfn.LET(
    _xlpm.itemBuscado, B179,
    _xlpm.areaBuscada, C179,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TEXT(COUNTIF($C$2:C179, _xlpm.areaBuscada), "0000"),
    _xlpm.codItem &amp; "-" &amp; _xlpm.codArea &amp; "-" &amp; _xlpm.secuencia
)</f>
        <v>-SinArea-0000</v>
      </c>
      <c r="P179" s="77"/>
      <c r="Q179" s="32"/>
      <c r="R179" s="32"/>
      <c r="S179" s="32"/>
      <c r="T179" s="32"/>
    </row>
    <row r="180" spans="3:20" x14ac:dyDescent="0.3">
      <c r="C180" s="11"/>
      <c r="D180" s="32"/>
      <c r="E180" s="11"/>
      <c r="K180" s="15"/>
      <c r="L180" s="47"/>
      <c r="M180" s="76"/>
      <c r="N180" s="76"/>
      <c r="O180" s="78" t="str">
        <f>_xlfn.LET(
    _xlpm.itemBuscado, B180,
    _xlpm.areaBuscada, C180,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TEXT(COUNTIF($C$2:C180, _xlpm.areaBuscada), "0000"),
    _xlpm.codItem &amp; "-" &amp; _xlpm.codArea &amp; "-" &amp; _xlpm.secuencia
)</f>
        <v>-SinArea-0000</v>
      </c>
      <c r="P180" s="77"/>
      <c r="Q180" s="32"/>
      <c r="R180" s="32"/>
      <c r="S180" s="32"/>
      <c r="T180" s="32"/>
    </row>
    <row r="181" spans="3:20" x14ac:dyDescent="0.3">
      <c r="C181" s="11"/>
      <c r="D181" s="32"/>
      <c r="E181" s="11"/>
      <c r="K181" s="15"/>
      <c r="L181" s="47"/>
      <c r="M181" s="76"/>
      <c r="N181" s="76"/>
      <c r="O181" s="78" t="str">
        <f>_xlfn.LET(
    _xlpm.itemBuscado, B181,
    _xlpm.areaBuscada, C181,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TEXT(COUNTIF($C$2:C181, _xlpm.areaBuscada), "0000"),
    _xlpm.codItem &amp; "-" &amp; _xlpm.codArea &amp; "-" &amp; _xlpm.secuencia
)</f>
        <v>-SinArea-0000</v>
      </c>
      <c r="P181" s="77"/>
      <c r="Q181" s="32"/>
      <c r="R181" s="32"/>
      <c r="S181" s="32"/>
      <c r="T181" s="32"/>
    </row>
    <row r="182" spans="3:20" x14ac:dyDescent="0.3">
      <c r="C182" s="11"/>
      <c r="D182" s="32"/>
      <c r="E182" s="11"/>
      <c r="K182" s="15"/>
      <c r="L182" s="47"/>
      <c r="M182" s="76"/>
      <c r="N182" s="76"/>
      <c r="O182" s="78" t="str">
        <f>_xlfn.LET(
    _xlpm.itemBuscado, B182,
    _xlpm.areaBuscada, C182,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TEXT(COUNTIF($C$2:C182, _xlpm.areaBuscada), "0000"),
    _xlpm.codItem &amp; "-" &amp; _xlpm.codArea &amp; "-" &amp; _xlpm.secuencia
)</f>
        <v>-SinArea-0000</v>
      </c>
      <c r="P182" s="77"/>
      <c r="Q182" s="32"/>
      <c r="R182" s="32"/>
      <c r="S182" s="32"/>
      <c r="T182" s="32"/>
    </row>
    <row r="183" spans="3:20" x14ac:dyDescent="0.3">
      <c r="C183" s="11"/>
      <c r="D183" s="32"/>
      <c r="E183" s="11"/>
      <c r="K183" s="15"/>
      <c r="L183" s="47"/>
      <c r="M183" s="76"/>
      <c r="N183" s="76"/>
      <c r="O183" s="78" t="str">
        <f>_xlfn.LET(
    _xlpm.itemBuscado, B183,
    _xlpm.areaBuscada, C183,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TEXT(COUNTIF($C$2:C183, _xlpm.areaBuscada), "0000"),
    _xlpm.codItem &amp; "-" &amp; _xlpm.codArea &amp; "-" &amp; _xlpm.secuencia
)</f>
        <v>-SinArea-0000</v>
      </c>
      <c r="P183" s="77"/>
      <c r="Q183" s="32"/>
      <c r="R183" s="32"/>
      <c r="S183" s="32"/>
      <c r="T183" s="32"/>
    </row>
    <row r="184" spans="3:20" x14ac:dyDescent="0.3">
      <c r="C184" s="11"/>
      <c r="D184" s="32"/>
      <c r="E184" s="11"/>
      <c r="K184" s="15"/>
      <c r="L184" s="47"/>
      <c r="M184" s="76"/>
      <c r="N184" s="76"/>
      <c r="O184" s="78" t="str">
        <f>_xlfn.LET(
    _xlpm.itemBuscado, B184,
    _xlpm.areaBuscada, C184,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TEXT(COUNTIF($C$2:C184, _xlpm.areaBuscada), "0000"),
    _xlpm.codItem &amp; "-" &amp; _xlpm.codArea &amp; "-" &amp; _xlpm.secuencia
)</f>
        <v>-SinArea-0000</v>
      </c>
      <c r="P184" s="77"/>
      <c r="Q184" s="32"/>
      <c r="R184" s="32"/>
      <c r="S184" s="32"/>
      <c r="T184" s="32"/>
    </row>
    <row r="185" spans="3:20" x14ac:dyDescent="0.3">
      <c r="C185" s="11"/>
      <c r="D185" s="32"/>
      <c r="E185" s="11"/>
      <c r="K185" s="15"/>
      <c r="L185" s="47"/>
      <c r="M185" s="76"/>
      <c r="N185" s="76"/>
      <c r="O185" s="78" t="str">
        <f>_xlfn.LET(
    _xlpm.itemBuscado, B185,
    _xlpm.areaBuscada, C185,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TEXT(COUNTIF($C$2:C185, _xlpm.areaBuscada), "0000"),
    _xlpm.codItem &amp; "-" &amp; _xlpm.codArea &amp; "-" &amp; _xlpm.secuencia
)</f>
        <v>-SinArea-0000</v>
      </c>
      <c r="P185" s="77"/>
      <c r="Q185" s="32"/>
      <c r="R185" s="32"/>
      <c r="S185" s="32"/>
      <c r="T185" s="32"/>
    </row>
    <row r="186" spans="3:20" x14ac:dyDescent="0.3">
      <c r="C186" s="11"/>
      <c r="D186" s="32"/>
      <c r="E186" s="11"/>
      <c r="K186" s="15"/>
      <c r="L186" s="47"/>
      <c r="M186" s="76"/>
      <c r="N186" s="76"/>
      <c r="O186" s="78" t="str">
        <f>_xlfn.LET(
    _xlpm.itemBuscado, B186,
    _xlpm.areaBuscada, C186,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TEXT(COUNTIF($C$2:C186, _xlpm.areaBuscada), "0000"),
    _xlpm.codItem &amp; "-" &amp; _xlpm.codArea &amp; "-" &amp; _xlpm.secuencia
)</f>
        <v>-SinArea-0000</v>
      </c>
      <c r="P186" s="77"/>
      <c r="Q186" s="32"/>
      <c r="R186" s="32"/>
      <c r="S186" s="32"/>
      <c r="T186" s="32"/>
    </row>
    <row r="187" spans="3:20" x14ac:dyDescent="0.3">
      <c r="C187" s="11"/>
      <c r="D187" s="32"/>
      <c r="E187" s="11"/>
      <c r="K187" s="15"/>
      <c r="L187" s="47"/>
      <c r="M187" s="76"/>
      <c r="N187" s="76"/>
      <c r="O187" s="78" t="str">
        <f>_xlfn.LET(
    _xlpm.itemBuscado, B187,
    _xlpm.areaBuscada, C187,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TEXT(COUNTIF($C$2:C187, _xlpm.areaBuscada), "0000"),
    _xlpm.codItem &amp; "-" &amp; _xlpm.codArea &amp; "-" &amp; _xlpm.secuencia
)</f>
        <v>-SinArea-0000</v>
      </c>
      <c r="P187" s="77"/>
      <c r="Q187" s="32"/>
      <c r="R187" s="32"/>
      <c r="S187" s="32"/>
      <c r="T187" s="32"/>
    </row>
    <row r="188" spans="3:20" x14ac:dyDescent="0.3">
      <c r="C188" s="11"/>
      <c r="D188" s="32"/>
      <c r="E188" s="11"/>
      <c r="K188" s="15"/>
      <c r="L188" s="47"/>
      <c r="M188" s="76"/>
      <c r="N188" s="76"/>
      <c r="O188" s="78" t="str">
        <f>_xlfn.LET(
    _xlpm.itemBuscado, B188,
    _xlpm.areaBuscada, C188,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TEXT(COUNTIF($C$2:C188, _xlpm.areaBuscada), "0000"),
    _xlpm.codItem &amp; "-" &amp; _xlpm.codArea &amp; "-" &amp; _xlpm.secuencia
)</f>
        <v>-SinArea-0000</v>
      </c>
      <c r="P188" s="77"/>
      <c r="Q188" s="32"/>
      <c r="R188" s="32"/>
      <c r="S188" s="32"/>
      <c r="T188" s="32"/>
    </row>
    <row r="189" spans="3:20" x14ac:dyDescent="0.3">
      <c r="C189" s="11"/>
      <c r="D189" s="32"/>
      <c r="E189" s="11"/>
      <c r="K189" s="15"/>
      <c r="L189" s="47"/>
      <c r="M189" s="76"/>
      <c r="N189" s="76"/>
      <c r="O189" s="78" t="str">
        <f>_xlfn.LET(
    _xlpm.itemBuscado, B189,
    _xlpm.areaBuscada, C189,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TEXT(COUNTIF($C$2:C189, _xlpm.areaBuscada), "0000"),
    _xlpm.codItem &amp; "-" &amp; _xlpm.codArea &amp; "-" &amp; _xlpm.secuencia
)</f>
        <v>-SinArea-0000</v>
      </c>
      <c r="P189" s="77"/>
      <c r="Q189" s="32"/>
      <c r="R189" s="32"/>
      <c r="S189" s="32"/>
      <c r="T189" s="32"/>
    </row>
    <row r="190" spans="3:20" x14ac:dyDescent="0.3">
      <c r="C190" s="11"/>
      <c r="D190" s="32"/>
      <c r="E190" s="11"/>
      <c r="K190" s="15"/>
      <c r="L190" s="47"/>
      <c r="M190" s="76"/>
      <c r="N190" s="76"/>
      <c r="O190" s="78" t="str">
        <f>_xlfn.LET(
    _xlpm.itemBuscado, B190,
    _xlpm.areaBuscada, C190,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TEXT(COUNTIF($C$2:C190, _xlpm.areaBuscada), "0000"),
    _xlpm.codItem &amp; "-" &amp; _xlpm.codArea &amp; "-" &amp; _xlpm.secuencia
)</f>
        <v>-SinArea-0000</v>
      </c>
      <c r="P190" s="77"/>
      <c r="Q190" s="32"/>
      <c r="R190" s="32"/>
      <c r="S190" s="32"/>
      <c r="T190" s="32"/>
    </row>
    <row r="191" spans="3:20" x14ac:dyDescent="0.3">
      <c r="C191" s="11"/>
      <c r="D191" s="32"/>
      <c r="E191" s="11"/>
      <c r="K191" s="15"/>
      <c r="L191" s="47"/>
      <c r="M191" s="76"/>
      <c r="N191" s="76"/>
      <c r="O191" s="78" t="str">
        <f>_xlfn.LET(
    _xlpm.itemBuscado, B191,
    _xlpm.areaBuscada, C191,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TEXT(COUNTIF($C$2:C191, _xlpm.areaBuscada), "0000"),
    _xlpm.codItem &amp; "-" &amp; _xlpm.codArea &amp; "-" &amp; _xlpm.secuencia
)</f>
        <v>-SinArea-0000</v>
      </c>
      <c r="P191" s="77"/>
      <c r="Q191" s="32"/>
      <c r="R191" s="32"/>
      <c r="S191" s="32"/>
      <c r="T191" s="32"/>
    </row>
    <row r="192" spans="3:20" x14ac:dyDescent="0.3">
      <c r="C192" s="11"/>
      <c r="D192" s="32"/>
      <c r="E192" s="11"/>
      <c r="K192" s="15"/>
      <c r="L192" s="47"/>
      <c r="M192" s="76"/>
      <c r="N192" s="76"/>
      <c r="O192" s="78" t="str">
        <f>_xlfn.LET(
    _xlpm.itemBuscado, B192,
    _xlpm.areaBuscada, C192,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TEXT(COUNTIF($C$2:C192, _xlpm.areaBuscada), "0000"),
    _xlpm.codItem &amp; "-" &amp; _xlpm.codArea &amp; "-" &amp; _xlpm.secuencia
)</f>
        <v>-SinArea-0000</v>
      </c>
      <c r="P192" s="77"/>
      <c r="Q192" s="32"/>
      <c r="R192" s="32"/>
      <c r="S192" s="32"/>
      <c r="T192" s="32"/>
    </row>
    <row r="193" spans="3:20" x14ac:dyDescent="0.3">
      <c r="C193" s="11"/>
      <c r="D193" s="32"/>
      <c r="E193" s="11"/>
      <c r="K193" s="15"/>
      <c r="L193" s="47"/>
      <c r="M193" s="76"/>
      <c r="N193" s="76"/>
      <c r="O193" s="78" t="str">
        <f>_xlfn.LET(
    _xlpm.itemBuscado, B193,
    _xlpm.areaBuscada, C193,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TEXT(COUNTIF($C$2:C193, _xlpm.areaBuscada), "0000"),
    _xlpm.codItem &amp; "-" &amp; _xlpm.codArea &amp; "-" &amp; _xlpm.secuencia
)</f>
        <v>-SinArea-0000</v>
      </c>
      <c r="P193" s="77"/>
      <c r="Q193" s="32"/>
      <c r="R193" s="32"/>
      <c r="S193" s="32"/>
      <c r="T193" s="32"/>
    </row>
    <row r="194" spans="3:20" x14ac:dyDescent="0.3">
      <c r="C194" s="11"/>
      <c r="D194" s="32"/>
      <c r="E194" s="11"/>
      <c r="K194" s="15"/>
      <c r="L194" s="47"/>
      <c r="M194" s="76"/>
      <c r="N194" s="76"/>
      <c r="O194" s="78" t="str">
        <f>_xlfn.LET(
    _xlpm.itemBuscado, B194,
    _xlpm.areaBuscada, C194,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TEXT(COUNTIF($C$2:C194, _xlpm.areaBuscada), "0000"),
    _xlpm.codItem &amp; "-" &amp; _xlpm.codArea &amp; "-" &amp; _xlpm.secuencia
)</f>
        <v>-SinArea-0000</v>
      </c>
      <c r="P194" s="77"/>
      <c r="Q194" s="32"/>
      <c r="R194" s="32"/>
      <c r="S194" s="32"/>
      <c r="T194" s="32"/>
    </row>
    <row r="195" spans="3:20" x14ac:dyDescent="0.3">
      <c r="C195" s="11"/>
      <c r="D195" s="32"/>
      <c r="E195" s="11"/>
      <c r="K195" s="15"/>
      <c r="L195" s="47"/>
      <c r="M195" s="76"/>
      <c r="N195" s="76"/>
      <c r="O195" s="78" t="str">
        <f>_xlfn.LET(
    _xlpm.itemBuscado, B195,
    _xlpm.areaBuscada, C195,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TEXT(COUNTIF($C$2:C195, _xlpm.areaBuscada), "0000"),
    _xlpm.codItem &amp; "-" &amp; _xlpm.codArea &amp; "-" &amp; _xlpm.secuencia
)</f>
        <v>-SinArea-0000</v>
      </c>
      <c r="P195" s="77"/>
      <c r="Q195" s="32"/>
      <c r="R195" s="32"/>
      <c r="S195" s="32"/>
      <c r="T195" s="32"/>
    </row>
    <row r="196" spans="3:20" x14ac:dyDescent="0.3">
      <c r="C196" s="11"/>
      <c r="D196" s="32"/>
      <c r="E196" s="11"/>
      <c r="K196" s="15"/>
      <c r="L196" s="47"/>
      <c r="M196" s="76"/>
      <c r="N196" s="76"/>
      <c r="O196" s="78" t="str">
        <f>_xlfn.LET(
    _xlpm.itemBuscado, B196,
    _xlpm.areaBuscada, C196,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TEXT(COUNTIF($C$2:C196, _xlpm.areaBuscada), "0000"),
    _xlpm.codItem &amp; "-" &amp; _xlpm.codArea &amp; "-" &amp; _xlpm.secuencia
)</f>
        <v>-SinArea-0000</v>
      </c>
      <c r="P196" s="77"/>
      <c r="Q196" s="32"/>
      <c r="R196" s="32"/>
      <c r="S196" s="32"/>
      <c r="T196" s="32"/>
    </row>
    <row r="197" spans="3:20" x14ac:dyDescent="0.3">
      <c r="C197" s="11"/>
      <c r="D197" s="32"/>
      <c r="E197" s="11"/>
      <c r="K197" s="15"/>
      <c r="L197" s="47"/>
      <c r="M197" s="76"/>
      <c r="N197" s="76"/>
      <c r="O197" s="78" t="str">
        <f>_xlfn.LET(
    _xlpm.itemBuscado, B197,
    _xlpm.areaBuscada, C197,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TEXT(COUNTIF($C$2:C197, _xlpm.areaBuscada), "0000"),
    _xlpm.codItem &amp; "-" &amp; _xlpm.codArea &amp; "-" &amp; _xlpm.secuencia
)</f>
        <v>-SinArea-0000</v>
      </c>
      <c r="P197" s="77"/>
      <c r="Q197" s="32"/>
      <c r="R197" s="32"/>
      <c r="S197" s="32"/>
      <c r="T197" s="32"/>
    </row>
    <row r="198" spans="3:20" x14ac:dyDescent="0.3">
      <c r="C198" s="11"/>
      <c r="D198" s="32"/>
      <c r="E198" s="11"/>
      <c r="K198" s="15"/>
      <c r="L198" s="47"/>
      <c r="M198" s="76"/>
      <c r="N198" s="76"/>
      <c r="O198" s="78" t="str">
        <f>_xlfn.LET(
    _xlpm.itemBuscado, B198,
    _xlpm.areaBuscada, C198,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TEXT(COUNTIF($C$2:C198, _xlpm.areaBuscada), "0000"),
    _xlpm.codItem &amp; "-" &amp; _xlpm.codArea &amp; "-" &amp; _xlpm.secuencia
)</f>
        <v>-SinArea-0000</v>
      </c>
      <c r="P198" s="77"/>
      <c r="Q198" s="32"/>
      <c r="R198" s="32"/>
      <c r="S198" s="32"/>
      <c r="T198" s="32"/>
    </row>
    <row r="199" spans="3:20" x14ac:dyDescent="0.3">
      <c r="C199" s="11"/>
      <c r="D199" s="32"/>
      <c r="E199" s="11"/>
      <c r="K199" s="15"/>
      <c r="L199" s="47"/>
      <c r="M199" s="76"/>
      <c r="N199" s="76"/>
      <c r="O199" s="78" t="str">
        <f>_xlfn.LET(
    _xlpm.itemBuscado, B199,
    _xlpm.areaBuscada, C199,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TEXT(COUNTIF($C$2:C199, _xlpm.areaBuscada), "0000"),
    _xlpm.codItem &amp; "-" &amp; _xlpm.codArea &amp; "-" &amp; _xlpm.secuencia
)</f>
        <v>-SinArea-0000</v>
      </c>
      <c r="P199" s="77"/>
      <c r="Q199" s="32"/>
      <c r="R199" s="32"/>
      <c r="S199" s="32"/>
      <c r="T199" s="32"/>
    </row>
    <row r="200" spans="3:20" x14ac:dyDescent="0.3">
      <c r="C200" s="11"/>
      <c r="D200" s="32"/>
      <c r="E200" s="11"/>
      <c r="K200" s="15"/>
      <c r="L200" s="47"/>
      <c r="M200" s="76"/>
      <c r="N200" s="76"/>
      <c r="O200" s="78" t="str">
        <f>_xlfn.LET(
    _xlpm.itemBuscado, B200,
    _xlpm.areaBuscada, C200,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TEXT(COUNTIF($C$2:C200, _xlpm.areaBuscada), "0000"),
    _xlpm.codItem &amp; "-" &amp; _xlpm.codArea &amp; "-" &amp; _xlpm.secuencia
)</f>
        <v>-SinArea-0000</v>
      </c>
      <c r="P200" s="77"/>
      <c r="Q200" s="32"/>
      <c r="R200" s="32"/>
      <c r="S200" s="32"/>
      <c r="T200" s="32"/>
    </row>
    <row r="201" spans="3:20" x14ac:dyDescent="0.3">
      <c r="C201" s="11"/>
      <c r="D201" s="32"/>
      <c r="E201" s="11"/>
      <c r="K201" s="15"/>
      <c r="L201" s="47"/>
      <c r="M201" s="76"/>
      <c r="N201" s="76"/>
      <c r="O201" s="78" t="str">
        <f>_xlfn.LET(
    _xlpm.itemBuscado, B201,
    _xlpm.areaBuscada, C201,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TEXT(COUNTIF($C$2:C201, _xlpm.areaBuscada), "0000"),
    _xlpm.codItem &amp; "-" &amp; _xlpm.codArea &amp; "-" &amp; _xlpm.secuencia
)</f>
        <v>-SinArea-0000</v>
      </c>
      <c r="P201" s="77"/>
      <c r="Q201" s="32"/>
      <c r="R201" s="32"/>
      <c r="S201" s="32"/>
      <c r="T201" s="32"/>
    </row>
    <row r="202" spans="3:20" x14ac:dyDescent="0.3">
      <c r="C202" s="11"/>
      <c r="D202" s="32"/>
      <c r="E202" s="11"/>
      <c r="K202" s="15"/>
      <c r="L202" s="47"/>
      <c r="M202" s="76"/>
      <c r="N202" s="76"/>
      <c r="O202" s="78" t="str">
        <f>_xlfn.LET(
    _xlpm.itemBuscado, B202,
    _xlpm.areaBuscada, C202,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TEXT(COUNTIF($C$2:C202, _xlpm.areaBuscada), "0000"),
    _xlpm.codItem &amp; "-" &amp; _xlpm.codArea &amp; "-" &amp; _xlpm.secuencia
)</f>
        <v>-SinArea-0000</v>
      </c>
      <c r="P202" s="77"/>
      <c r="Q202" s="32"/>
      <c r="R202" s="32"/>
      <c r="S202" s="32"/>
      <c r="T202" s="32"/>
    </row>
    <row r="203" spans="3:20" x14ac:dyDescent="0.3">
      <c r="C203" s="11"/>
      <c r="D203" s="32"/>
      <c r="E203" s="11"/>
      <c r="K203" s="15"/>
      <c r="L203" s="47"/>
      <c r="M203" s="76"/>
      <c r="N203" s="76"/>
      <c r="O203" s="78" t="str">
        <f>_xlfn.LET(
    _xlpm.itemBuscado, B203,
    _xlpm.areaBuscada, C203,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TEXT(COUNTIF($C$2:C203, _xlpm.areaBuscada), "0000"),
    _xlpm.codItem &amp; "-" &amp; _xlpm.codArea &amp; "-" &amp; _xlpm.secuencia
)</f>
        <v>-SinArea-0000</v>
      </c>
      <c r="P203" s="77"/>
      <c r="Q203" s="32"/>
      <c r="R203" s="32"/>
      <c r="S203" s="32"/>
      <c r="T203" s="32"/>
    </row>
    <row r="204" spans="3:20" x14ac:dyDescent="0.3">
      <c r="C204" s="11"/>
      <c r="D204" s="32"/>
      <c r="E204" s="11"/>
      <c r="K204" s="15"/>
      <c r="L204" s="47"/>
      <c r="M204" s="76"/>
      <c r="N204" s="76"/>
      <c r="O204" s="78" t="str">
        <f>_xlfn.LET(
    _xlpm.itemBuscado, B204,
    _xlpm.areaBuscada, C204,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TEXT(COUNTIF($C$2:C204, _xlpm.areaBuscada), "0000"),
    _xlpm.codItem &amp; "-" &amp; _xlpm.codArea &amp; "-" &amp; _xlpm.secuencia
)</f>
        <v>-SinArea-0000</v>
      </c>
      <c r="P204" s="77"/>
      <c r="Q204" s="32"/>
      <c r="R204" s="32"/>
      <c r="S204" s="32"/>
      <c r="T204" s="32"/>
    </row>
    <row r="205" spans="3:20" x14ac:dyDescent="0.3">
      <c r="C205" s="11"/>
      <c r="D205" s="32"/>
      <c r="E205" s="11"/>
      <c r="K205" s="15"/>
      <c r="L205" s="47"/>
      <c r="M205" s="76"/>
      <c r="N205" s="76"/>
      <c r="O205" s="78" t="str">
        <f>_xlfn.LET(
    _xlpm.itemBuscado, B205,
    _xlpm.areaBuscada, C205,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TEXT(COUNTIF($C$2:C205, _xlpm.areaBuscada), "0000"),
    _xlpm.codItem &amp; "-" &amp; _xlpm.codArea &amp; "-" &amp; _xlpm.secuencia
)</f>
        <v>-SinArea-0000</v>
      </c>
      <c r="P205" s="77"/>
      <c r="Q205" s="32"/>
      <c r="R205" s="32"/>
      <c r="S205" s="32"/>
      <c r="T205" s="32"/>
    </row>
    <row r="206" spans="3:20" x14ac:dyDescent="0.3">
      <c r="C206" s="11"/>
      <c r="D206" s="32"/>
      <c r="E206" s="11"/>
      <c r="K206" s="15"/>
      <c r="L206" s="47"/>
      <c r="M206" s="76"/>
      <c r="N206" s="76"/>
      <c r="O206" s="78" t="str">
        <f>_xlfn.LET(
    _xlpm.itemBuscado, B206,
    _xlpm.areaBuscada, C206,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TEXT(COUNTIF($C$2:C206, _xlpm.areaBuscada), "0000"),
    _xlpm.codItem &amp; "-" &amp; _xlpm.codArea &amp; "-" &amp; _xlpm.secuencia
)</f>
        <v>-SinArea-0000</v>
      </c>
      <c r="P206" s="77"/>
      <c r="Q206" s="32"/>
      <c r="R206" s="32"/>
      <c r="S206" s="32"/>
      <c r="T206" s="32"/>
    </row>
    <row r="207" spans="3:20" x14ac:dyDescent="0.3">
      <c r="C207" s="11"/>
      <c r="D207" s="32"/>
      <c r="E207" s="11"/>
      <c r="K207" s="15"/>
      <c r="L207" s="47"/>
      <c r="M207" s="76"/>
      <c r="N207" s="76"/>
      <c r="O207" s="78" t="str">
        <f>_xlfn.LET(
    _xlpm.itemBuscado, B207,
    _xlpm.areaBuscada, C207,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TEXT(COUNTIF($C$2:C207, _xlpm.areaBuscada), "0000"),
    _xlpm.codItem &amp; "-" &amp; _xlpm.codArea &amp; "-" &amp; _xlpm.secuencia
)</f>
        <v>-SinArea-0000</v>
      </c>
      <c r="P207" s="77"/>
      <c r="Q207" s="32"/>
      <c r="R207" s="32"/>
      <c r="S207" s="32"/>
      <c r="T207" s="32"/>
    </row>
    <row r="208" spans="3:20" x14ac:dyDescent="0.3">
      <c r="C208" s="11"/>
      <c r="D208" s="32"/>
      <c r="E208" s="11"/>
      <c r="K208" s="15"/>
      <c r="L208" s="47"/>
      <c r="M208" s="76"/>
      <c r="N208" s="76"/>
      <c r="O208" s="78" t="str">
        <f>_xlfn.LET(
    _xlpm.itemBuscado, B208,
    _xlpm.areaBuscada, C208,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TEXT(COUNTIF($C$2:C208, _xlpm.areaBuscada), "0000"),
    _xlpm.codItem &amp; "-" &amp; _xlpm.codArea &amp; "-" &amp; _xlpm.secuencia
)</f>
        <v>-SinArea-0000</v>
      </c>
      <c r="P208" s="77"/>
      <c r="Q208" s="32"/>
      <c r="R208" s="32"/>
      <c r="S208" s="32"/>
      <c r="T208" s="32"/>
    </row>
    <row r="209" spans="3:20" x14ac:dyDescent="0.3">
      <c r="C209" s="11"/>
      <c r="D209" s="32"/>
      <c r="E209" s="11"/>
      <c r="K209" s="15"/>
      <c r="L209" s="47"/>
      <c r="M209" s="76"/>
      <c r="N209" s="76"/>
      <c r="O209" s="78" t="str">
        <f>_xlfn.LET(
    _xlpm.itemBuscado, B209,
    _xlpm.areaBuscada, C209,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TEXT(COUNTIF($C$2:C209, _xlpm.areaBuscada), "0000"),
    _xlpm.codItem &amp; "-" &amp; _xlpm.codArea &amp; "-" &amp; _xlpm.secuencia
)</f>
        <v>-SinArea-0000</v>
      </c>
      <c r="P209" s="77"/>
      <c r="Q209" s="32"/>
      <c r="R209" s="32"/>
      <c r="S209" s="32"/>
      <c r="T209" s="32"/>
    </row>
    <row r="210" spans="3:20" x14ac:dyDescent="0.3">
      <c r="C210" s="11"/>
      <c r="D210" s="32"/>
      <c r="E210" s="11"/>
      <c r="K210" s="15"/>
      <c r="L210" s="47"/>
      <c r="M210" s="76"/>
      <c r="N210" s="76"/>
      <c r="O210" s="78" t="str">
        <f>_xlfn.LET(
    _xlpm.itemBuscado, B210,
    _xlpm.areaBuscada, C210,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TEXT(COUNTIF($C$2:C210, _xlpm.areaBuscada), "0000"),
    _xlpm.codItem &amp; "-" &amp; _xlpm.codArea &amp; "-" &amp; _xlpm.secuencia
)</f>
        <v>-SinArea-0000</v>
      </c>
      <c r="P210" s="77"/>
      <c r="Q210" s="32"/>
      <c r="R210" s="32"/>
      <c r="S210" s="32"/>
      <c r="T210" s="32"/>
    </row>
    <row r="211" spans="3:20" x14ac:dyDescent="0.3">
      <c r="C211" s="11"/>
      <c r="D211" s="32"/>
      <c r="E211" s="11"/>
      <c r="K211" s="15"/>
      <c r="L211" s="47"/>
      <c r="M211" s="76"/>
      <c r="N211" s="76"/>
      <c r="O211" s="78" t="str">
        <f>_xlfn.LET(
    _xlpm.itemBuscado, B211,
    _xlpm.areaBuscada, C211,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TEXT(COUNTIF($C$2:C211, _xlpm.areaBuscada), "0000"),
    _xlpm.codItem &amp; "-" &amp; _xlpm.codArea &amp; "-" &amp; _xlpm.secuencia
)</f>
        <v>-SinArea-0000</v>
      </c>
      <c r="P211" s="77"/>
      <c r="Q211" s="32"/>
      <c r="R211" s="32"/>
      <c r="S211" s="32"/>
      <c r="T211" s="32"/>
    </row>
    <row r="212" spans="3:20" x14ac:dyDescent="0.3">
      <c r="C212" s="11"/>
      <c r="D212" s="32"/>
      <c r="E212" s="11"/>
      <c r="K212" s="15"/>
      <c r="L212" s="47"/>
      <c r="M212" s="76"/>
      <c r="N212" s="76"/>
      <c r="O212" s="78" t="str">
        <f>_xlfn.LET(
    _xlpm.itemBuscado, B212,
    _xlpm.areaBuscada, C212,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TEXT(COUNTIF($C$2:C212, _xlpm.areaBuscada), "0000"),
    _xlpm.codItem &amp; "-" &amp; _xlpm.codArea &amp; "-" &amp; _xlpm.secuencia
)</f>
        <v>-SinArea-0000</v>
      </c>
      <c r="P212" s="77"/>
      <c r="Q212" s="32"/>
      <c r="R212" s="32"/>
      <c r="S212" s="32"/>
      <c r="T212" s="32"/>
    </row>
    <row r="213" spans="3:20" x14ac:dyDescent="0.3">
      <c r="C213" s="11"/>
      <c r="D213" s="32"/>
      <c r="E213" s="11"/>
      <c r="K213" s="15"/>
      <c r="L213" s="47"/>
      <c r="M213" s="76"/>
      <c r="N213" s="76"/>
      <c r="O213" s="78" t="str">
        <f>_xlfn.LET(
    _xlpm.itemBuscado, B213,
    _xlpm.areaBuscada, C213,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TEXT(COUNTIF($C$2:C213, _xlpm.areaBuscada), "0000"),
    _xlpm.codItem &amp; "-" &amp; _xlpm.codArea &amp; "-" &amp; _xlpm.secuencia
)</f>
        <v>-SinArea-0000</v>
      </c>
      <c r="P213" s="77"/>
      <c r="Q213" s="32"/>
      <c r="R213" s="32"/>
      <c r="S213" s="32"/>
      <c r="T213" s="32"/>
    </row>
    <row r="214" spans="3:20" x14ac:dyDescent="0.3">
      <c r="C214" s="11"/>
      <c r="D214" s="32"/>
      <c r="E214" s="11"/>
      <c r="K214" s="15"/>
      <c r="L214" s="47"/>
      <c r="M214" s="76"/>
      <c r="N214" s="76"/>
      <c r="O214" s="78" t="str">
        <f>_xlfn.LET(
    _xlpm.itemBuscado, B214,
    _xlpm.areaBuscada, C214,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TEXT(COUNTIF($C$2:C214, _xlpm.areaBuscada), "0000"),
    _xlpm.codItem &amp; "-" &amp; _xlpm.codArea &amp; "-" &amp; _xlpm.secuencia
)</f>
        <v>-SinArea-0000</v>
      </c>
      <c r="P214" s="77"/>
      <c r="Q214" s="32"/>
      <c r="R214" s="32"/>
      <c r="S214" s="32"/>
      <c r="T214" s="32"/>
    </row>
    <row r="215" spans="3:20" x14ac:dyDescent="0.3">
      <c r="C215" s="11"/>
      <c r="D215" s="32"/>
      <c r="E215" s="11"/>
      <c r="K215" s="15"/>
      <c r="L215" s="47"/>
      <c r="M215" s="76"/>
      <c r="N215" s="76"/>
      <c r="O215" s="78" t="str">
        <f>_xlfn.LET(
    _xlpm.itemBuscado, B215,
    _xlpm.areaBuscada, C215,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TEXT(COUNTIF($C$2:C215, _xlpm.areaBuscada), "0000"),
    _xlpm.codItem &amp; "-" &amp; _xlpm.codArea &amp; "-" &amp; _xlpm.secuencia
)</f>
        <v>-SinArea-0000</v>
      </c>
      <c r="P215" s="77"/>
      <c r="Q215" s="32"/>
      <c r="R215" s="32"/>
      <c r="S215" s="32"/>
      <c r="T215" s="32"/>
    </row>
    <row r="216" spans="3:20" x14ac:dyDescent="0.3">
      <c r="C216" s="11"/>
      <c r="D216" s="32"/>
      <c r="E216" s="11"/>
      <c r="K216" s="15"/>
      <c r="L216" s="47"/>
      <c r="M216" s="76"/>
      <c r="N216" s="76"/>
      <c r="O216" s="78" t="str">
        <f>_xlfn.LET(
    _xlpm.itemBuscado, B216,
    _xlpm.areaBuscada, C216,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TEXT(COUNTIF($C$2:C216, _xlpm.areaBuscada), "0000"),
    _xlpm.codItem &amp; "-" &amp; _xlpm.codArea &amp; "-" &amp; _xlpm.secuencia
)</f>
        <v>-SinArea-0000</v>
      </c>
      <c r="P216" s="77"/>
      <c r="Q216" s="32"/>
      <c r="R216" s="32"/>
      <c r="S216" s="32"/>
      <c r="T216" s="32"/>
    </row>
    <row r="217" spans="3:20" x14ac:dyDescent="0.3">
      <c r="C217" s="11"/>
      <c r="D217" s="32"/>
      <c r="E217" s="11"/>
      <c r="K217" s="15"/>
      <c r="L217" s="47"/>
      <c r="M217" s="76"/>
      <c r="N217" s="76"/>
      <c r="O217" s="78" t="str">
        <f>_xlfn.LET(
    _xlpm.itemBuscado, B217,
    _xlpm.areaBuscada, C217,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TEXT(COUNTIF($C$2:C217, _xlpm.areaBuscada), "0000"),
    _xlpm.codItem &amp; "-" &amp; _xlpm.codArea &amp; "-" &amp; _xlpm.secuencia
)</f>
        <v>-SinArea-0000</v>
      </c>
      <c r="P217" s="77"/>
      <c r="Q217" s="32"/>
      <c r="R217" s="32"/>
      <c r="S217" s="32"/>
      <c r="T217" s="32"/>
    </row>
    <row r="218" spans="3:20" x14ac:dyDescent="0.3">
      <c r="C218" s="11"/>
      <c r="D218" s="32"/>
      <c r="E218" s="11"/>
      <c r="K218" s="15"/>
      <c r="L218" s="47"/>
      <c r="M218" s="76"/>
      <c r="N218" s="76"/>
      <c r="O218" s="78" t="str">
        <f>_xlfn.LET(
    _xlpm.itemBuscado, B218,
    _xlpm.areaBuscada, C218,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TEXT(COUNTIF($C$2:C218, _xlpm.areaBuscada), "0000"),
    _xlpm.codItem &amp; "-" &amp; _xlpm.codArea &amp; "-" &amp; _xlpm.secuencia
)</f>
        <v>-SinArea-0000</v>
      </c>
      <c r="P218" s="77"/>
      <c r="Q218" s="32"/>
      <c r="R218" s="32"/>
      <c r="S218" s="32"/>
      <c r="T218" s="32"/>
    </row>
    <row r="219" spans="3:20" x14ac:dyDescent="0.3">
      <c r="C219" s="11"/>
      <c r="D219" s="32"/>
      <c r="E219" s="11"/>
      <c r="K219" s="15"/>
      <c r="L219" s="47"/>
      <c r="M219" s="76"/>
      <c r="N219" s="76"/>
      <c r="O219" s="78" t="str">
        <f>_xlfn.LET(
    _xlpm.itemBuscado, B219,
    _xlpm.areaBuscada, C219,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TEXT(COUNTIF($C$2:C219, _xlpm.areaBuscada), "0000"),
    _xlpm.codItem &amp; "-" &amp; _xlpm.codArea &amp; "-" &amp; _xlpm.secuencia
)</f>
        <v>-SinArea-0000</v>
      </c>
      <c r="P219" s="77"/>
      <c r="Q219" s="32"/>
      <c r="R219" s="32"/>
      <c r="S219" s="32"/>
      <c r="T219" s="32"/>
    </row>
    <row r="220" spans="3:20" x14ac:dyDescent="0.3">
      <c r="C220" s="11"/>
      <c r="D220" s="32"/>
      <c r="E220" s="11"/>
      <c r="K220" s="15"/>
      <c r="L220" s="47"/>
      <c r="M220" s="76"/>
      <c r="N220" s="76"/>
      <c r="O220" s="78" t="str">
        <f>_xlfn.LET(
    _xlpm.itemBuscado, B220,
    _xlpm.areaBuscada, C220,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TEXT(COUNTIF($C$2:C220, _xlpm.areaBuscada), "0000"),
    _xlpm.codItem &amp; "-" &amp; _xlpm.codArea &amp; "-" &amp; _xlpm.secuencia
)</f>
        <v>-SinArea-0000</v>
      </c>
      <c r="P220" s="77"/>
      <c r="Q220" s="32"/>
      <c r="R220" s="32"/>
      <c r="S220" s="32"/>
      <c r="T220" s="32"/>
    </row>
    <row r="221" spans="3:20" x14ac:dyDescent="0.3">
      <c r="C221" s="11"/>
      <c r="D221" s="32"/>
      <c r="E221" s="11"/>
      <c r="K221" s="15"/>
      <c r="L221" s="47"/>
      <c r="M221" s="76"/>
      <c r="N221" s="76"/>
      <c r="O221" s="78" t="str">
        <f>_xlfn.LET(
    _xlpm.itemBuscado, B221,
    _xlpm.areaBuscada, C221,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TEXT(COUNTIF($C$2:C221, _xlpm.areaBuscada), "0000"),
    _xlpm.codItem &amp; "-" &amp; _xlpm.codArea &amp; "-" &amp; _xlpm.secuencia
)</f>
        <v>-SinArea-0000</v>
      </c>
      <c r="P221" s="77"/>
      <c r="Q221" s="32"/>
      <c r="R221" s="32"/>
      <c r="S221" s="32"/>
      <c r="T221" s="32"/>
    </row>
    <row r="222" spans="3:20" x14ac:dyDescent="0.3">
      <c r="C222" s="11"/>
      <c r="D222" s="32"/>
      <c r="E222" s="11"/>
      <c r="K222" s="15"/>
      <c r="L222" s="47"/>
      <c r="M222" s="76"/>
      <c r="N222" s="76"/>
      <c r="O222" s="78" t="str">
        <f>_xlfn.LET(
    _xlpm.itemBuscado, B222,
    _xlpm.areaBuscada, C222,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TEXT(COUNTIF($C$2:C222, _xlpm.areaBuscada), "0000"),
    _xlpm.codItem &amp; "-" &amp; _xlpm.codArea &amp; "-" &amp; _xlpm.secuencia
)</f>
        <v>-SinArea-0000</v>
      </c>
      <c r="P222" s="77"/>
      <c r="Q222" s="32"/>
      <c r="R222" s="32"/>
      <c r="S222" s="32"/>
      <c r="T222" s="32"/>
    </row>
    <row r="223" spans="3:20" x14ac:dyDescent="0.3">
      <c r="C223" s="11"/>
      <c r="D223" s="32"/>
      <c r="E223" s="11"/>
      <c r="K223" s="15"/>
      <c r="L223" s="47"/>
      <c r="M223" s="76"/>
      <c r="N223" s="76"/>
      <c r="O223" s="78" t="str">
        <f>_xlfn.LET(
    _xlpm.itemBuscado, B223,
    _xlpm.areaBuscada, C223,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TEXT(COUNTIF($C$2:C223, _xlpm.areaBuscada), "0000"),
    _xlpm.codItem &amp; "-" &amp; _xlpm.codArea &amp; "-" &amp; _xlpm.secuencia
)</f>
        <v>-SinArea-0000</v>
      </c>
      <c r="P223" s="77"/>
      <c r="Q223" s="32"/>
      <c r="R223" s="32"/>
      <c r="S223" s="32"/>
      <c r="T223" s="32"/>
    </row>
    <row r="224" spans="3:20" x14ac:dyDescent="0.3">
      <c r="C224" s="11"/>
      <c r="D224" s="32"/>
      <c r="E224" s="11"/>
      <c r="K224" s="15"/>
      <c r="L224" s="47"/>
      <c r="M224" s="76"/>
      <c r="N224" s="76"/>
      <c r="O224" s="78" t="str">
        <f>_xlfn.LET(
    _xlpm.itemBuscado, B224,
    _xlpm.areaBuscada, C224,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TEXT(COUNTIF($C$2:C224, _xlpm.areaBuscada), "0000"),
    _xlpm.codItem &amp; "-" &amp; _xlpm.codArea &amp; "-" &amp; _xlpm.secuencia
)</f>
        <v>-SinArea-0000</v>
      </c>
      <c r="P224" s="77"/>
      <c r="Q224" s="32"/>
      <c r="R224" s="32"/>
      <c r="S224" s="32"/>
      <c r="T224" s="32"/>
    </row>
    <row r="225" spans="3:20" x14ac:dyDescent="0.3">
      <c r="C225" s="11"/>
      <c r="D225" s="32"/>
      <c r="E225" s="11"/>
      <c r="K225" s="15"/>
      <c r="L225" s="47"/>
      <c r="M225" s="76"/>
      <c r="N225" s="76"/>
      <c r="O225" s="78" t="str">
        <f>_xlfn.LET(
    _xlpm.itemBuscado, B225,
    _xlpm.areaBuscada, C225,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TEXT(COUNTIF($C$2:C225, _xlpm.areaBuscada), "0000"),
    _xlpm.codItem &amp; "-" &amp; _xlpm.codArea &amp; "-" &amp; _xlpm.secuencia
)</f>
        <v>-SinArea-0000</v>
      </c>
      <c r="P225" s="77"/>
      <c r="Q225" s="32"/>
      <c r="R225" s="32"/>
      <c r="S225" s="32"/>
      <c r="T225" s="32"/>
    </row>
    <row r="226" spans="3:20" x14ac:dyDescent="0.3">
      <c r="C226" s="11"/>
      <c r="D226" s="32"/>
      <c r="E226" s="11"/>
      <c r="K226" s="15"/>
      <c r="L226" s="47"/>
      <c r="M226" s="76"/>
      <c r="N226" s="76"/>
      <c r="O226" s="78" t="str">
        <f>_xlfn.LET(
    _xlpm.itemBuscado, B226,
    _xlpm.areaBuscada, C226,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TEXT(COUNTIF($C$2:C226, _xlpm.areaBuscada), "0000"),
    _xlpm.codItem &amp; "-" &amp; _xlpm.codArea &amp; "-" &amp; _xlpm.secuencia
)</f>
        <v>-SinArea-0000</v>
      </c>
      <c r="P226" s="77"/>
      <c r="Q226" s="32"/>
      <c r="R226" s="32"/>
      <c r="S226" s="32"/>
      <c r="T226" s="32"/>
    </row>
    <row r="227" spans="3:20" x14ac:dyDescent="0.3">
      <c r="C227" s="11"/>
      <c r="D227" s="32"/>
      <c r="E227" s="11"/>
      <c r="K227" s="15"/>
      <c r="L227" s="47"/>
      <c r="M227" s="76"/>
      <c r="N227" s="76"/>
      <c r="O227" s="78" t="str">
        <f>_xlfn.LET(
    _xlpm.itemBuscado, B227,
    _xlpm.areaBuscada, C227,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TEXT(COUNTIF($C$2:C227, _xlpm.areaBuscada), "0000"),
    _xlpm.codItem &amp; "-" &amp; _xlpm.codArea &amp; "-" &amp; _xlpm.secuencia
)</f>
        <v>-SinArea-0000</v>
      </c>
      <c r="P227" s="77"/>
      <c r="Q227" s="32"/>
      <c r="R227" s="32"/>
      <c r="S227" s="32"/>
      <c r="T227" s="32"/>
    </row>
    <row r="228" spans="3:20" x14ac:dyDescent="0.3">
      <c r="C228" s="11"/>
      <c r="D228" s="32"/>
      <c r="E228" s="11"/>
      <c r="K228" s="15"/>
      <c r="L228" s="47"/>
      <c r="M228" s="76"/>
      <c r="N228" s="76"/>
      <c r="O228" s="78" t="str">
        <f>_xlfn.LET(
    _xlpm.itemBuscado, B228,
    _xlpm.areaBuscada, C228,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TEXT(COUNTIF($C$2:C228, _xlpm.areaBuscada), "0000"),
    _xlpm.codItem &amp; "-" &amp; _xlpm.codArea &amp; "-" &amp; _xlpm.secuencia
)</f>
        <v>-SinArea-0000</v>
      </c>
      <c r="P228" s="77"/>
      <c r="Q228" s="32"/>
      <c r="R228" s="32"/>
      <c r="S228" s="32"/>
      <c r="T228" s="32"/>
    </row>
    <row r="229" spans="3:20" x14ac:dyDescent="0.3">
      <c r="C229" s="11"/>
      <c r="D229" s="32"/>
      <c r="E229" s="11"/>
      <c r="K229" s="15"/>
      <c r="L229" s="47"/>
      <c r="M229" s="76"/>
      <c r="N229" s="76"/>
      <c r="O229" s="78" t="str">
        <f>_xlfn.LET(
    _xlpm.itemBuscado, B229,
    _xlpm.areaBuscada, C229,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TEXT(COUNTIF($C$2:C229, _xlpm.areaBuscada), "0000"),
    _xlpm.codItem &amp; "-" &amp; _xlpm.codArea &amp; "-" &amp; _xlpm.secuencia
)</f>
        <v>-SinArea-0000</v>
      </c>
      <c r="P229" s="77"/>
      <c r="Q229" s="32"/>
      <c r="R229" s="32"/>
      <c r="S229" s="32"/>
      <c r="T229" s="32"/>
    </row>
    <row r="230" spans="3:20" x14ac:dyDescent="0.3">
      <c r="C230" s="11"/>
      <c r="D230" s="32"/>
      <c r="E230" s="11"/>
      <c r="K230" s="15"/>
      <c r="L230" s="47"/>
      <c r="M230" s="76"/>
      <c r="N230" s="76"/>
      <c r="O230" s="78" t="str">
        <f>_xlfn.LET(
    _xlpm.itemBuscado, B230,
    _xlpm.areaBuscada, C230,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TEXT(COUNTIF($C$2:C230, _xlpm.areaBuscada), "0000"),
    _xlpm.codItem &amp; "-" &amp; _xlpm.codArea &amp; "-" &amp; _xlpm.secuencia
)</f>
        <v>-SinArea-0000</v>
      </c>
      <c r="P230" s="77"/>
      <c r="Q230" s="32"/>
      <c r="R230" s="32"/>
      <c r="S230" s="32"/>
      <c r="T230" s="32"/>
    </row>
    <row r="231" spans="3:20" x14ac:dyDescent="0.3">
      <c r="C231" s="11"/>
      <c r="D231" s="32"/>
      <c r="E231" s="11"/>
      <c r="K231" s="15"/>
      <c r="L231" s="47"/>
      <c r="M231" s="76"/>
      <c r="N231" s="76"/>
      <c r="O231" s="78" t="str">
        <f>_xlfn.LET(
    _xlpm.itemBuscado, B231,
    _xlpm.areaBuscada, C231,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TEXT(COUNTIF($C$2:C231, _xlpm.areaBuscada), "0000"),
    _xlpm.codItem &amp; "-" &amp; _xlpm.codArea &amp; "-" &amp; _xlpm.secuencia
)</f>
        <v>-SinArea-0000</v>
      </c>
      <c r="P231" s="77"/>
      <c r="Q231" s="32"/>
      <c r="R231" s="32"/>
      <c r="S231" s="32"/>
      <c r="T231" s="32"/>
    </row>
    <row r="232" spans="3:20" x14ac:dyDescent="0.3">
      <c r="C232" s="11"/>
      <c r="D232" s="32"/>
      <c r="E232" s="11"/>
      <c r="K232" s="15"/>
      <c r="L232" s="47"/>
      <c r="M232" s="76"/>
      <c r="N232" s="76"/>
      <c r="O232" s="78" t="str">
        <f>_xlfn.LET(
    _xlpm.itemBuscado, B232,
    _xlpm.areaBuscada, C232,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TEXT(COUNTIF($C$2:C232, _xlpm.areaBuscada), "0000"),
    _xlpm.codItem &amp; "-" &amp; _xlpm.codArea &amp; "-" &amp; _xlpm.secuencia
)</f>
        <v>-SinArea-0000</v>
      </c>
      <c r="P232" s="77"/>
      <c r="Q232" s="32"/>
      <c r="R232" s="32"/>
      <c r="S232" s="32"/>
      <c r="T232" s="32"/>
    </row>
    <row r="233" spans="3:20" x14ac:dyDescent="0.3">
      <c r="C233" s="11"/>
      <c r="D233" s="32"/>
      <c r="E233" s="11"/>
      <c r="K233" s="15"/>
      <c r="L233" s="47"/>
      <c r="M233" s="76"/>
      <c r="N233" s="76"/>
      <c r="O233" s="78" t="str">
        <f>_xlfn.LET(
    _xlpm.itemBuscado, B233,
    _xlpm.areaBuscada, C233,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TEXT(COUNTIF($C$2:C233, _xlpm.areaBuscada), "0000"),
    _xlpm.codItem &amp; "-" &amp; _xlpm.codArea &amp; "-" &amp; _xlpm.secuencia
)</f>
        <v>-SinArea-0000</v>
      </c>
      <c r="P233" s="77"/>
      <c r="Q233" s="32"/>
      <c r="R233" s="32"/>
      <c r="S233" s="32"/>
      <c r="T233" s="32"/>
    </row>
    <row r="234" spans="3:20" x14ac:dyDescent="0.3">
      <c r="C234" s="11"/>
      <c r="D234" s="32"/>
      <c r="E234" s="11"/>
      <c r="K234" s="15"/>
      <c r="L234" s="47"/>
      <c r="M234" s="76"/>
      <c r="N234" s="76"/>
      <c r="O234" s="78" t="str">
        <f>_xlfn.LET(
    _xlpm.itemBuscado, B234,
    _xlpm.areaBuscada, C234,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TEXT(COUNTIF($C$2:C234, _xlpm.areaBuscada), "0000"),
    _xlpm.codItem &amp; "-" &amp; _xlpm.codArea &amp; "-" &amp; _xlpm.secuencia
)</f>
        <v>-SinArea-0000</v>
      </c>
      <c r="P234" s="77"/>
      <c r="Q234" s="32"/>
      <c r="R234" s="32"/>
      <c r="S234" s="32"/>
      <c r="T234" s="32"/>
    </row>
    <row r="235" spans="3:20" x14ac:dyDescent="0.3">
      <c r="C235" s="11"/>
      <c r="D235" s="32"/>
      <c r="E235" s="11"/>
      <c r="K235" s="15"/>
      <c r="L235" s="47"/>
      <c r="M235" s="76"/>
      <c r="N235" s="76"/>
      <c r="O235" s="78" t="str">
        <f>_xlfn.LET(
    _xlpm.itemBuscado, B235,
    _xlpm.areaBuscada, C235,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TEXT(COUNTIF($C$2:C235, _xlpm.areaBuscada), "0000"),
    _xlpm.codItem &amp; "-" &amp; _xlpm.codArea &amp; "-" &amp; _xlpm.secuencia
)</f>
        <v>-SinArea-0000</v>
      </c>
      <c r="P235" s="77"/>
      <c r="Q235" s="32"/>
      <c r="R235" s="32"/>
      <c r="S235" s="32"/>
      <c r="T235" s="32"/>
    </row>
    <row r="236" spans="3:20" x14ac:dyDescent="0.3">
      <c r="C236" s="11"/>
      <c r="D236" s="32"/>
      <c r="E236" s="11"/>
      <c r="K236" s="15"/>
      <c r="L236" s="47"/>
      <c r="M236" s="76"/>
      <c r="N236" s="76"/>
      <c r="O236" s="78" t="str">
        <f>_xlfn.LET(
    _xlpm.itemBuscado, B236,
    _xlpm.areaBuscada, C236,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TEXT(COUNTIF($C$2:C236, _xlpm.areaBuscada), "0000"),
    _xlpm.codItem &amp; "-" &amp; _xlpm.codArea &amp; "-" &amp; _xlpm.secuencia
)</f>
        <v>-SinArea-0000</v>
      </c>
      <c r="P236" s="77"/>
      <c r="Q236" s="32"/>
      <c r="R236" s="32"/>
      <c r="S236" s="32"/>
      <c r="T236" s="32"/>
    </row>
    <row r="237" spans="3:20" x14ac:dyDescent="0.3">
      <c r="C237" s="11"/>
      <c r="D237" s="32"/>
      <c r="E237" s="11"/>
      <c r="K237" s="15"/>
      <c r="L237" s="47"/>
      <c r="M237" s="76"/>
      <c r="N237" s="76"/>
      <c r="O237" s="78" t="str">
        <f>_xlfn.LET(
    _xlpm.itemBuscado, B237,
    _xlpm.areaBuscada, C237,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TEXT(COUNTIF($C$2:C237, _xlpm.areaBuscada), "0000"),
    _xlpm.codItem &amp; "-" &amp; _xlpm.codArea &amp; "-" &amp; _xlpm.secuencia
)</f>
        <v>-SinArea-0000</v>
      </c>
      <c r="P237" s="77"/>
      <c r="Q237" s="32"/>
      <c r="R237" s="32"/>
      <c r="S237" s="32"/>
      <c r="T237" s="32"/>
    </row>
    <row r="238" spans="3:20" x14ac:dyDescent="0.3">
      <c r="C238" s="11"/>
      <c r="D238" s="32"/>
      <c r="E238" s="11"/>
      <c r="K238" s="15"/>
      <c r="L238" s="47"/>
      <c r="M238" s="76"/>
      <c r="N238" s="76"/>
      <c r="O238" s="78" t="str">
        <f>_xlfn.LET(
    _xlpm.itemBuscado, B238,
    _xlpm.areaBuscada, C238,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TEXT(COUNTIF($C$2:C238, _xlpm.areaBuscada), "0000"),
    _xlpm.codItem &amp; "-" &amp; _xlpm.codArea &amp; "-" &amp; _xlpm.secuencia
)</f>
        <v>-SinArea-0000</v>
      </c>
      <c r="P238" s="77"/>
      <c r="Q238" s="32"/>
      <c r="R238" s="32"/>
      <c r="S238" s="32"/>
      <c r="T238" s="32"/>
    </row>
    <row r="239" spans="3:20" x14ac:dyDescent="0.3">
      <c r="C239" s="11"/>
      <c r="D239" s="32"/>
      <c r="E239" s="11"/>
      <c r="K239" s="15"/>
      <c r="L239" s="47"/>
      <c r="M239" s="76"/>
      <c r="N239" s="76"/>
      <c r="O239" s="78" t="str">
        <f>_xlfn.LET(
    _xlpm.itemBuscado, B239,
    _xlpm.areaBuscada, C239,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TEXT(COUNTIF($C$2:C239, _xlpm.areaBuscada), "0000"),
    _xlpm.codItem &amp; "-" &amp; _xlpm.codArea &amp; "-" &amp; _xlpm.secuencia
)</f>
        <v>-SinArea-0000</v>
      </c>
      <c r="P239" s="77"/>
      <c r="Q239" s="32"/>
      <c r="R239" s="32"/>
      <c r="S239" s="32"/>
      <c r="T239" s="32"/>
    </row>
    <row r="240" spans="3:20" x14ac:dyDescent="0.3">
      <c r="C240" s="11"/>
      <c r="D240" s="32"/>
      <c r="E240" s="11"/>
      <c r="K240" s="15"/>
      <c r="L240" s="47"/>
      <c r="M240" s="76"/>
      <c r="N240" s="76"/>
      <c r="O240" s="78" t="str">
        <f>_xlfn.LET(
    _xlpm.itemBuscado, B240,
    _xlpm.areaBuscada, C240,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TEXT(COUNTIF($C$2:C240, _xlpm.areaBuscada), "0000"),
    _xlpm.codItem &amp; "-" &amp; _xlpm.codArea &amp; "-" &amp; _xlpm.secuencia
)</f>
        <v>-SinArea-0000</v>
      </c>
      <c r="P240" s="77"/>
      <c r="Q240" s="32"/>
      <c r="R240" s="32"/>
      <c r="S240" s="32"/>
      <c r="T240" s="32"/>
    </row>
    <row r="241" spans="3:20" x14ac:dyDescent="0.3">
      <c r="C241" s="11"/>
      <c r="D241" s="32"/>
      <c r="E241" s="11"/>
      <c r="K241" s="15"/>
      <c r="L241" s="47"/>
      <c r="M241" s="76"/>
      <c r="N241" s="76"/>
      <c r="O241" s="78" t="str">
        <f>_xlfn.LET(
    _xlpm.itemBuscado, B241,
    _xlpm.areaBuscada, C241,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TEXT(COUNTIF($C$2:C241, _xlpm.areaBuscada), "0000"),
    _xlpm.codItem &amp; "-" &amp; _xlpm.codArea &amp; "-" &amp; _xlpm.secuencia
)</f>
        <v>-SinArea-0000</v>
      </c>
      <c r="P241" s="77"/>
      <c r="Q241" s="32"/>
      <c r="R241" s="32"/>
      <c r="S241" s="32"/>
      <c r="T241" s="32"/>
    </row>
    <row r="242" spans="3:20" x14ac:dyDescent="0.3">
      <c r="C242" s="11"/>
      <c r="D242" s="32"/>
      <c r="E242" s="11"/>
      <c r="K242" s="15"/>
      <c r="L242" s="47"/>
      <c r="M242" s="76"/>
      <c r="N242" s="76"/>
      <c r="O242" s="78" t="str">
        <f>_xlfn.LET(
    _xlpm.itemBuscado, B242,
    _xlpm.areaBuscada, C242,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TEXT(COUNTIF($C$2:C242, _xlpm.areaBuscada), "0000"),
    _xlpm.codItem &amp; "-" &amp; _xlpm.codArea &amp; "-" &amp; _xlpm.secuencia
)</f>
        <v>-SinArea-0000</v>
      </c>
      <c r="P242" s="77"/>
      <c r="Q242" s="32"/>
      <c r="R242" s="32"/>
      <c r="S242" s="32"/>
      <c r="T242" s="32"/>
    </row>
    <row r="243" spans="3:20" x14ac:dyDescent="0.3">
      <c r="C243" s="11"/>
      <c r="D243" s="32"/>
      <c r="E243" s="11"/>
      <c r="K243" s="15"/>
      <c r="L243" s="47"/>
      <c r="M243" s="76"/>
      <c r="N243" s="76"/>
      <c r="O243" s="78" t="str">
        <f>_xlfn.LET(
    _xlpm.itemBuscado, B243,
    _xlpm.areaBuscada, C243,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TEXT(COUNTIF($C$2:C243, _xlpm.areaBuscada), "0000"),
    _xlpm.codItem &amp; "-" &amp; _xlpm.codArea &amp; "-" &amp; _xlpm.secuencia
)</f>
        <v>-SinArea-0000</v>
      </c>
      <c r="P243" s="77"/>
      <c r="Q243" s="32"/>
      <c r="R243" s="32"/>
      <c r="S243" s="32"/>
      <c r="T243" s="32"/>
    </row>
    <row r="244" spans="3:20" x14ac:dyDescent="0.3">
      <c r="C244" s="11"/>
      <c r="D244" s="32"/>
      <c r="E244" s="11"/>
      <c r="K244" s="15"/>
      <c r="L244" s="47"/>
      <c r="M244" s="76"/>
      <c r="N244" s="76"/>
      <c r="O244" s="78" t="str">
        <f>_xlfn.LET(
    _xlpm.itemBuscado, B244,
    _xlpm.areaBuscada, C244,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TEXT(COUNTIF($C$2:C244, _xlpm.areaBuscada), "0000"),
    _xlpm.codItem &amp; "-" &amp; _xlpm.codArea &amp; "-" &amp; _xlpm.secuencia
)</f>
        <v>-SinArea-0000</v>
      </c>
      <c r="P244" s="77"/>
      <c r="Q244" s="32"/>
      <c r="R244" s="32"/>
      <c r="S244" s="32"/>
      <c r="T244" s="32"/>
    </row>
    <row r="245" spans="3:20" x14ac:dyDescent="0.3">
      <c r="C245" s="11"/>
      <c r="D245" s="32"/>
      <c r="E245" s="11"/>
      <c r="K245" s="15"/>
      <c r="L245" s="47"/>
      <c r="M245" s="76"/>
      <c r="N245" s="76"/>
      <c r="O245" s="78" t="str">
        <f>_xlfn.LET(
    _xlpm.itemBuscado, B245,
    _xlpm.areaBuscada, C245,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TEXT(COUNTIF($C$2:C245, _xlpm.areaBuscada), "0000"),
    _xlpm.codItem &amp; "-" &amp; _xlpm.codArea &amp; "-" &amp; _xlpm.secuencia
)</f>
        <v>-SinArea-0000</v>
      </c>
      <c r="P245" s="77"/>
      <c r="Q245" s="32"/>
      <c r="R245" s="32"/>
      <c r="S245" s="32"/>
      <c r="T245" s="32"/>
    </row>
    <row r="246" spans="3:20" x14ac:dyDescent="0.3">
      <c r="C246" s="11"/>
      <c r="D246" s="32"/>
      <c r="E246" s="11"/>
      <c r="K246" s="15"/>
      <c r="L246" s="47"/>
      <c r="M246" s="76"/>
      <c r="N246" s="76"/>
      <c r="O246" s="78" t="str">
        <f>_xlfn.LET(
    _xlpm.itemBuscado, B246,
    _xlpm.areaBuscada, C246,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TEXT(COUNTIF($C$2:C246, _xlpm.areaBuscada), "0000"),
    _xlpm.codItem &amp; "-" &amp; _xlpm.codArea &amp; "-" &amp; _xlpm.secuencia
)</f>
        <v>-SinArea-0000</v>
      </c>
      <c r="P246" s="77"/>
      <c r="Q246" s="32"/>
      <c r="R246" s="32"/>
      <c r="S246" s="32"/>
      <c r="T246" s="32"/>
    </row>
    <row r="247" spans="3:20" x14ac:dyDescent="0.3">
      <c r="C247" s="11"/>
      <c r="D247" s="32"/>
      <c r="E247" s="11"/>
      <c r="K247" s="15"/>
      <c r="L247" s="47"/>
      <c r="M247" s="76"/>
      <c r="N247" s="76"/>
      <c r="O247" s="78" t="str">
        <f>_xlfn.LET(
    _xlpm.itemBuscado, B247,
    _xlpm.areaBuscada, C247,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TEXT(COUNTIF($C$2:C247, _xlpm.areaBuscada), "0000"),
    _xlpm.codItem &amp; "-" &amp; _xlpm.codArea &amp; "-" &amp; _xlpm.secuencia
)</f>
        <v>-SinArea-0000</v>
      </c>
      <c r="P247" s="77"/>
      <c r="Q247" s="32"/>
      <c r="R247" s="32"/>
      <c r="S247" s="32"/>
      <c r="T247" s="32"/>
    </row>
    <row r="248" spans="3:20" x14ac:dyDescent="0.3">
      <c r="C248" s="11"/>
      <c r="D248" s="32"/>
      <c r="E248" s="11"/>
      <c r="K248" s="15"/>
      <c r="L248" s="47"/>
      <c r="M248" s="76"/>
      <c r="N248" s="76"/>
      <c r="O248" s="78" t="str">
        <f>_xlfn.LET(
    _xlpm.itemBuscado, B248,
    _xlpm.areaBuscada, C248,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TEXT(COUNTIF($C$2:C248, _xlpm.areaBuscada), "0000"),
    _xlpm.codItem &amp; "-" &amp; _xlpm.codArea &amp; "-" &amp; _xlpm.secuencia
)</f>
        <v>-SinArea-0000</v>
      </c>
      <c r="P248" s="77"/>
      <c r="Q248" s="32"/>
      <c r="R248" s="32"/>
      <c r="S248" s="32"/>
      <c r="T248" s="32"/>
    </row>
    <row r="249" spans="3:20" x14ac:dyDescent="0.3">
      <c r="C249" s="11"/>
      <c r="D249" s="32"/>
      <c r="E249" s="11"/>
      <c r="K249" s="15"/>
      <c r="L249" s="47"/>
      <c r="M249" s="76"/>
      <c r="N249" s="76"/>
      <c r="O249" s="78" t="str">
        <f>_xlfn.LET(
    _xlpm.itemBuscado, B249,
    _xlpm.areaBuscada, C249,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TEXT(COUNTIF($C$2:C249, _xlpm.areaBuscada), "0000"),
    _xlpm.codItem &amp; "-" &amp; _xlpm.codArea &amp; "-" &amp; _xlpm.secuencia
)</f>
        <v>-SinArea-0000</v>
      </c>
      <c r="P249" s="77"/>
      <c r="Q249" s="32"/>
      <c r="R249" s="32"/>
      <c r="S249" s="32"/>
      <c r="T249" s="32"/>
    </row>
    <row r="250" spans="3:20" x14ac:dyDescent="0.3">
      <c r="C250" s="11"/>
      <c r="D250" s="32"/>
      <c r="E250" s="11"/>
      <c r="K250" s="15"/>
      <c r="L250" s="47"/>
      <c r="M250" s="76"/>
      <c r="N250" s="76"/>
      <c r="O250" s="78" t="str">
        <f>_xlfn.LET(
    _xlpm.itemBuscado, B250,
    _xlpm.areaBuscada, C250,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TEXT(COUNTIF($C$2:C250, _xlpm.areaBuscada), "0000"),
    _xlpm.codItem &amp; "-" &amp; _xlpm.codArea &amp; "-" &amp; _xlpm.secuencia
)</f>
        <v>-SinArea-0000</v>
      </c>
      <c r="P250" s="77"/>
      <c r="Q250" s="32"/>
      <c r="R250" s="32"/>
      <c r="S250" s="32"/>
      <c r="T250" s="32"/>
    </row>
    <row r="251" spans="3:20" x14ac:dyDescent="0.3">
      <c r="C251" s="11"/>
      <c r="D251" s="32"/>
      <c r="E251" s="11"/>
      <c r="K251" s="15"/>
      <c r="L251" s="47"/>
      <c r="M251" s="76"/>
      <c r="N251" s="76"/>
      <c r="O251" s="78" t="str">
        <f>_xlfn.LET(
    _xlpm.itemBuscado, B251,
    _xlpm.areaBuscada, C251,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TEXT(COUNTIF($C$2:C251, _xlpm.areaBuscada), "0000"),
    _xlpm.codItem &amp; "-" &amp; _xlpm.codArea &amp; "-" &amp; _xlpm.secuencia
)</f>
        <v>-SinArea-0000</v>
      </c>
      <c r="P251" s="77"/>
      <c r="Q251" s="32"/>
      <c r="R251" s="32"/>
      <c r="S251" s="32"/>
      <c r="T251" s="32"/>
    </row>
    <row r="252" spans="3:20" x14ac:dyDescent="0.3">
      <c r="C252" s="11"/>
      <c r="D252" s="32"/>
      <c r="E252" s="11"/>
      <c r="K252" s="15"/>
      <c r="L252" s="47"/>
      <c r="M252" s="76"/>
      <c r="N252" s="76"/>
      <c r="O252" s="78" t="str">
        <f>_xlfn.LET(
    _xlpm.itemBuscado, B252,
    _xlpm.areaBuscada, C252,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TEXT(COUNTIF($C$2:C252, _xlpm.areaBuscada), "0000"),
    _xlpm.codItem &amp; "-" &amp; _xlpm.codArea &amp; "-" &amp; _xlpm.secuencia
)</f>
        <v>-SinArea-0000</v>
      </c>
      <c r="P252" s="77"/>
      <c r="Q252" s="32"/>
      <c r="R252" s="32"/>
      <c r="S252" s="32"/>
      <c r="T252" s="32"/>
    </row>
    <row r="253" spans="3:20" x14ac:dyDescent="0.3">
      <c r="C253" s="11"/>
      <c r="D253" s="32"/>
      <c r="E253" s="11"/>
      <c r="K253" s="15"/>
      <c r="L253" s="47"/>
      <c r="M253" s="76"/>
      <c r="N253" s="76"/>
      <c r="O253" s="78" t="str">
        <f>_xlfn.LET(
    _xlpm.itemBuscado, B253,
    _xlpm.areaBuscada, C253,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TEXT(COUNTIF($C$2:C253, _xlpm.areaBuscada), "0000"),
    _xlpm.codItem &amp; "-" &amp; _xlpm.codArea &amp; "-" &amp; _xlpm.secuencia
)</f>
        <v>-SinArea-0000</v>
      </c>
      <c r="P253" s="77"/>
      <c r="Q253" s="32"/>
      <c r="R253" s="32"/>
      <c r="S253" s="32"/>
      <c r="T253" s="32"/>
    </row>
    <row r="254" spans="3:20" x14ac:dyDescent="0.3">
      <c r="C254" s="11"/>
      <c r="D254" s="32"/>
      <c r="E254" s="11"/>
      <c r="K254" s="15"/>
      <c r="L254" s="47"/>
      <c r="M254" s="76"/>
      <c r="N254" s="76"/>
      <c r="O254" s="78" t="str">
        <f>_xlfn.LET(
    _xlpm.itemBuscado, B254,
    _xlpm.areaBuscada, C254,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TEXT(COUNTIF($C$2:C254, _xlpm.areaBuscada), "0000"),
    _xlpm.codItem &amp; "-" &amp; _xlpm.codArea &amp; "-" &amp; _xlpm.secuencia
)</f>
        <v>-SinArea-0000</v>
      </c>
      <c r="P254" s="77"/>
      <c r="Q254" s="32"/>
      <c r="R254" s="32"/>
      <c r="S254" s="32"/>
      <c r="T254" s="32"/>
    </row>
    <row r="255" spans="3:20" x14ac:dyDescent="0.3">
      <c r="C255" s="11"/>
      <c r="D255" s="32"/>
      <c r="E255" s="11"/>
      <c r="K255" s="15"/>
      <c r="L255" s="47"/>
      <c r="M255" s="76"/>
      <c r="N255" s="76"/>
      <c r="O255" s="78" t="str">
        <f>_xlfn.LET(
    _xlpm.itemBuscado, B255,
    _xlpm.areaBuscada, C255,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TEXT(COUNTIF($C$2:C255, _xlpm.areaBuscada), "0000"),
    _xlpm.codItem &amp; "-" &amp; _xlpm.codArea &amp; "-" &amp; _xlpm.secuencia
)</f>
        <v>-SinArea-0000</v>
      </c>
      <c r="P255" s="77"/>
      <c r="Q255" s="32"/>
      <c r="R255" s="32"/>
      <c r="S255" s="32"/>
      <c r="T255" s="32"/>
    </row>
    <row r="256" spans="3:20" x14ac:dyDescent="0.3">
      <c r="C256" s="11"/>
      <c r="D256" s="32"/>
      <c r="E256" s="11"/>
      <c r="K256" s="15"/>
      <c r="L256" s="47"/>
      <c r="M256" s="76"/>
      <c r="N256" s="76"/>
      <c r="O256" s="78" t="str">
        <f>_xlfn.LET(
    _xlpm.itemBuscado, B256,
    _xlpm.areaBuscada, C256,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TEXT(COUNTIF($C$2:C256, _xlpm.areaBuscada), "0000"),
    _xlpm.codItem &amp; "-" &amp; _xlpm.codArea &amp; "-" &amp; _xlpm.secuencia
)</f>
        <v>-SinArea-0000</v>
      </c>
      <c r="P256" s="77"/>
      <c r="Q256" s="32"/>
      <c r="R256" s="32"/>
      <c r="S256" s="32"/>
      <c r="T256" s="32"/>
    </row>
    <row r="257" spans="3:20" x14ac:dyDescent="0.3">
      <c r="C257" s="11"/>
      <c r="D257" s="32"/>
      <c r="E257" s="11"/>
      <c r="K257" s="15"/>
      <c r="L257" s="47"/>
      <c r="M257" s="76"/>
      <c r="N257" s="76"/>
      <c r="O257" s="78" t="str">
        <f>_xlfn.LET(
    _xlpm.itemBuscado, B257,
    _xlpm.areaBuscada, C257,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TEXT(COUNTIF($C$2:C257, _xlpm.areaBuscada), "0000"),
    _xlpm.codItem &amp; "-" &amp; _xlpm.codArea &amp; "-" &amp; _xlpm.secuencia
)</f>
        <v>-SinArea-0000</v>
      </c>
      <c r="P257" s="77"/>
      <c r="Q257" s="32"/>
      <c r="R257" s="32"/>
      <c r="S257" s="32"/>
      <c r="T257" s="32"/>
    </row>
    <row r="258" spans="3:20" x14ac:dyDescent="0.3">
      <c r="C258" s="11"/>
      <c r="D258" s="32"/>
      <c r="E258" s="11"/>
      <c r="K258" s="15"/>
      <c r="L258" s="47"/>
      <c r="M258" s="76"/>
      <c r="N258" s="76"/>
      <c r="O258" s="78" t="str">
        <f>_xlfn.LET(
    _xlpm.itemBuscado, B258,
    _xlpm.areaBuscada, C258,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TEXT(COUNTIF($C$2:C258, _xlpm.areaBuscada), "0000"),
    _xlpm.codItem &amp; "-" &amp; _xlpm.codArea &amp; "-" &amp; _xlpm.secuencia
)</f>
        <v>-SinArea-0000</v>
      </c>
      <c r="P258" s="77"/>
      <c r="Q258" s="32"/>
      <c r="R258" s="32"/>
      <c r="S258" s="32"/>
      <c r="T258" s="32"/>
    </row>
    <row r="259" spans="3:20" x14ac:dyDescent="0.3">
      <c r="C259" s="11"/>
      <c r="D259" s="32"/>
      <c r="E259" s="11"/>
      <c r="K259" s="15"/>
      <c r="L259" s="47"/>
      <c r="M259" s="76"/>
      <c r="N259" s="76"/>
      <c r="O259" s="78" t="str">
        <f>_xlfn.LET(
    _xlpm.itemBuscado, B259,
    _xlpm.areaBuscada, C259,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TEXT(COUNTIF($C$2:C259, _xlpm.areaBuscada), "0000"),
    _xlpm.codItem &amp; "-" &amp; _xlpm.codArea &amp; "-" &amp; _xlpm.secuencia
)</f>
        <v>-SinArea-0000</v>
      </c>
      <c r="P259" s="77"/>
      <c r="Q259" s="32"/>
      <c r="R259" s="32"/>
      <c r="S259" s="32"/>
      <c r="T259" s="32"/>
    </row>
    <row r="260" spans="3:20" x14ac:dyDescent="0.3">
      <c r="C260" s="11"/>
      <c r="D260" s="32"/>
      <c r="E260" s="11"/>
      <c r="K260" s="15"/>
      <c r="L260" s="47"/>
      <c r="M260" s="76"/>
      <c r="N260" s="76"/>
      <c r="O260" s="78" t="str">
        <f>_xlfn.LET(
    _xlpm.itemBuscado, B260,
    _xlpm.areaBuscada, C260,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TEXT(COUNTIF($C$2:C260, _xlpm.areaBuscada), "0000"),
    _xlpm.codItem &amp; "-" &amp; _xlpm.codArea &amp; "-" &amp; _xlpm.secuencia
)</f>
        <v>-SinArea-0000</v>
      </c>
      <c r="P260" s="77"/>
      <c r="Q260" s="32"/>
      <c r="R260" s="32"/>
      <c r="S260" s="32"/>
      <c r="T260" s="32"/>
    </row>
    <row r="261" spans="3:20" x14ac:dyDescent="0.3">
      <c r="C261" s="11"/>
      <c r="D261" s="32"/>
      <c r="E261" s="11"/>
      <c r="K261" s="15"/>
      <c r="L261" s="47"/>
      <c r="M261" s="76"/>
      <c r="N261" s="76"/>
      <c r="O261" s="78" t="str">
        <f>_xlfn.LET(
    _xlpm.itemBuscado, B261,
    _xlpm.areaBuscada, C261,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TEXT(COUNTIF($C$2:C261, _xlpm.areaBuscada), "0000"),
    _xlpm.codItem &amp; "-" &amp; _xlpm.codArea &amp; "-" &amp; _xlpm.secuencia
)</f>
        <v>-SinArea-0000</v>
      </c>
      <c r="P261" s="77"/>
      <c r="Q261" s="32"/>
      <c r="R261" s="32"/>
      <c r="S261" s="32"/>
      <c r="T261" s="32"/>
    </row>
    <row r="262" spans="3:20" x14ac:dyDescent="0.3">
      <c r="C262" s="11"/>
      <c r="D262" s="32"/>
      <c r="E262" s="11"/>
      <c r="K262" s="15"/>
      <c r="L262" s="47"/>
      <c r="M262" s="76"/>
      <c r="N262" s="76"/>
      <c r="O262" s="78" t="str">
        <f>_xlfn.LET(
    _xlpm.itemBuscado, B262,
    _xlpm.areaBuscada, C262,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TEXT(COUNTIF($C$2:C262, _xlpm.areaBuscada), "0000"),
    _xlpm.codItem &amp; "-" &amp; _xlpm.codArea &amp; "-" &amp; _xlpm.secuencia
)</f>
        <v>-SinArea-0000</v>
      </c>
      <c r="P262" s="77"/>
      <c r="Q262" s="32"/>
      <c r="R262" s="32"/>
      <c r="S262" s="32"/>
      <c r="T262" s="32"/>
    </row>
    <row r="263" spans="3:20" x14ac:dyDescent="0.3">
      <c r="C263" s="11"/>
      <c r="D263" s="32"/>
      <c r="E263" s="11"/>
      <c r="K263" s="15"/>
      <c r="L263" s="47"/>
      <c r="M263" s="76"/>
      <c r="N263" s="76"/>
      <c r="O263" s="78" t="str">
        <f>_xlfn.LET(
    _xlpm.itemBuscado, B263,
    _xlpm.areaBuscada, C263,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TEXT(COUNTIF($C$2:C263, _xlpm.areaBuscada), "0000"),
    _xlpm.codItem &amp; "-" &amp; _xlpm.codArea &amp; "-" &amp; _xlpm.secuencia
)</f>
        <v>-SinArea-0000</v>
      </c>
      <c r="P263" s="77"/>
      <c r="Q263" s="32"/>
      <c r="R263" s="32"/>
      <c r="S263" s="32"/>
      <c r="T263" s="32"/>
    </row>
    <row r="264" spans="3:20" x14ac:dyDescent="0.3">
      <c r="C264" s="11"/>
      <c r="D264" s="32"/>
      <c r="E264" s="11"/>
      <c r="K264" s="15"/>
      <c r="L264" s="47"/>
      <c r="M264" s="76"/>
      <c r="N264" s="76"/>
      <c r="O264" s="78" t="str">
        <f>_xlfn.LET(
    _xlpm.itemBuscado, B264,
    _xlpm.areaBuscada, C264,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TEXT(COUNTIF($C$2:C264, _xlpm.areaBuscada), "0000"),
    _xlpm.codItem &amp; "-" &amp; _xlpm.codArea &amp; "-" &amp; _xlpm.secuencia
)</f>
        <v>-SinArea-0000</v>
      </c>
      <c r="P264" s="77"/>
      <c r="Q264" s="32"/>
      <c r="R264" s="32"/>
      <c r="S264" s="32"/>
      <c r="T264" s="32"/>
    </row>
    <row r="265" spans="3:20" x14ac:dyDescent="0.3">
      <c r="C265" s="11"/>
      <c r="D265" s="32"/>
      <c r="E265" s="11"/>
      <c r="K265" s="15"/>
      <c r="L265" s="47"/>
      <c r="M265" s="76"/>
      <c r="N265" s="76"/>
      <c r="O265" s="78" t="str">
        <f>_xlfn.LET(
    _xlpm.itemBuscado, B265,
    _xlpm.areaBuscada, C265,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TEXT(COUNTIF($C$2:C265, _xlpm.areaBuscada), "0000"),
    _xlpm.codItem &amp; "-" &amp; _xlpm.codArea &amp; "-" &amp; _xlpm.secuencia
)</f>
        <v>-SinArea-0000</v>
      </c>
      <c r="P265" s="77"/>
      <c r="Q265" s="32"/>
      <c r="R265" s="32"/>
      <c r="S265" s="32"/>
      <c r="T265" s="32"/>
    </row>
    <row r="266" spans="3:20" x14ac:dyDescent="0.3">
      <c r="C266" s="11"/>
      <c r="D266" s="32"/>
      <c r="E266" s="11"/>
      <c r="K266" s="15"/>
      <c r="L266" s="47"/>
      <c r="M266" s="76"/>
      <c r="N266" s="76"/>
      <c r="O266" s="78" t="str">
        <f>_xlfn.LET(
    _xlpm.itemBuscado, B266,
    _xlpm.areaBuscada, C266,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TEXT(COUNTIF($C$2:C266, _xlpm.areaBuscada), "0000"),
    _xlpm.codItem &amp; "-" &amp; _xlpm.codArea &amp; "-" &amp; _xlpm.secuencia
)</f>
        <v>-SinArea-0000</v>
      </c>
      <c r="P266" s="77"/>
      <c r="Q266" s="32"/>
      <c r="R266" s="32"/>
      <c r="S266" s="32"/>
      <c r="T266" s="32"/>
    </row>
    <row r="267" spans="3:20" x14ac:dyDescent="0.3">
      <c r="C267" s="11"/>
      <c r="D267" s="32"/>
      <c r="E267" s="11"/>
      <c r="K267" s="15"/>
      <c r="L267" s="47"/>
      <c r="M267" s="76"/>
      <c r="N267" s="76"/>
      <c r="O267" s="78" t="str">
        <f>_xlfn.LET(
    _xlpm.itemBuscado, B267,
    _xlpm.areaBuscada, C267,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TEXT(COUNTIF($C$2:C267, _xlpm.areaBuscada), "0000"),
    _xlpm.codItem &amp; "-" &amp; _xlpm.codArea &amp; "-" &amp; _xlpm.secuencia
)</f>
        <v>-SinArea-0000</v>
      </c>
      <c r="P267" s="77"/>
      <c r="Q267" s="32"/>
      <c r="R267" s="32"/>
      <c r="S267" s="32"/>
      <c r="T267" s="32"/>
    </row>
    <row r="268" spans="3:20" x14ac:dyDescent="0.3">
      <c r="C268" s="11"/>
      <c r="D268" s="32"/>
      <c r="E268" s="11"/>
      <c r="K268" s="15"/>
      <c r="L268" s="47"/>
      <c r="M268" s="76"/>
      <c r="N268" s="76"/>
      <c r="O268" s="78" t="str">
        <f>_xlfn.LET(
    _xlpm.itemBuscado, B268,
    _xlpm.areaBuscada, C268,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TEXT(COUNTIF($C$2:C268, _xlpm.areaBuscada), "0000"),
    _xlpm.codItem &amp; "-" &amp; _xlpm.codArea &amp; "-" &amp; _xlpm.secuencia
)</f>
        <v>-SinArea-0000</v>
      </c>
      <c r="P268" s="77"/>
      <c r="Q268" s="32"/>
      <c r="R268" s="32"/>
      <c r="S268" s="32"/>
      <c r="T268" s="32"/>
    </row>
    <row r="269" spans="3:20" x14ac:dyDescent="0.3">
      <c r="C269" s="11"/>
      <c r="D269" s="32"/>
      <c r="E269" s="11"/>
      <c r="K269" s="15"/>
      <c r="L269" s="47"/>
      <c r="M269" s="76"/>
      <c r="N269" s="76"/>
      <c r="O269" s="78" t="str">
        <f>_xlfn.LET(
    _xlpm.itemBuscado, B269,
    _xlpm.areaBuscada, C269,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TEXT(COUNTIF($C$2:C269, _xlpm.areaBuscada), "0000"),
    _xlpm.codItem &amp; "-" &amp; _xlpm.codArea &amp; "-" &amp; _xlpm.secuencia
)</f>
        <v>-SinArea-0000</v>
      </c>
      <c r="P269" s="77"/>
      <c r="Q269" s="32"/>
      <c r="R269" s="32"/>
      <c r="S269" s="32"/>
      <c r="T269" s="32"/>
    </row>
    <row r="270" spans="3:20" x14ac:dyDescent="0.3">
      <c r="C270" s="11"/>
      <c r="D270" s="32"/>
      <c r="E270" s="11"/>
      <c r="K270" s="15"/>
      <c r="L270" s="47"/>
      <c r="M270" s="76"/>
      <c r="N270" s="76"/>
      <c r="O270" s="78" t="str">
        <f>_xlfn.LET(
    _xlpm.itemBuscado, B270,
    _xlpm.areaBuscada, C270,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TEXT(COUNTIF($C$2:C270, _xlpm.areaBuscada), "0000"),
    _xlpm.codItem &amp; "-" &amp; _xlpm.codArea &amp; "-" &amp; _xlpm.secuencia
)</f>
        <v>-SinArea-0000</v>
      </c>
      <c r="P270" s="77"/>
      <c r="Q270" s="32"/>
      <c r="R270" s="32"/>
      <c r="S270" s="32"/>
      <c r="T270" s="32"/>
    </row>
    <row r="271" spans="3:20" x14ac:dyDescent="0.3">
      <c r="C271" s="11"/>
      <c r="D271" s="32"/>
      <c r="E271" s="11"/>
      <c r="K271" s="15"/>
      <c r="L271" s="47"/>
      <c r="M271" s="76"/>
      <c r="N271" s="76"/>
      <c r="O271" s="78" t="str">
        <f>_xlfn.LET(
    _xlpm.itemBuscado, B271,
    _xlpm.areaBuscada, C271,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TEXT(COUNTIF($C$2:C271, _xlpm.areaBuscada), "0000"),
    _xlpm.codItem &amp; "-" &amp; _xlpm.codArea &amp; "-" &amp; _xlpm.secuencia
)</f>
        <v>-SinArea-0000</v>
      </c>
      <c r="P271" s="77"/>
      <c r="Q271" s="32"/>
      <c r="R271" s="32"/>
      <c r="S271" s="32"/>
      <c r="T271" s="32"/>
    </row>
    <row r="272" spans="3:20" x14ac:dyDescent="0.3">
      <c r="C272" s="11"/>
      <c r="D272" s="32"/>
      <c r="E272" s="11"/>
      <c r="K272" s="15"/>
      <c r="L272" s="47"/>
      <c r="M272" s="76"/>
      <c r="N272" s="76"/>
      <c r="O272" s="78" t="str">
        <f>_xlfn.LET(
    _xlpm.itemBuscado, B272,
    _xlpm.areaBuscada, C272,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TEXT(COUNTIF($C$2:C272, _xlpm.areaBuscada), "0000"),
    _xlpm.codItem &amp; "-" &amp; _xlpm.codArea &amp; "-" &amp; _xlpm.secuencia
)</f>
        <v>-SinArea-0000</v>
      </c>
      <c r="P272" s="77"/>
      <c r="Q272" s="32"/>
      <c r="R272" s="32"/>
      <c r="S272" s="32"/>
      <c r="T272" s="32"/>
    </row>
    <row r="273" spans="3:20" x14ac:dyDescent="0.3">
      <c r="C273" s="11"/>
      <c r="D273" s="32"/>
      <c r="E273" s="11"/>
      <c r="K273" s="15"/>
      <c r="L273" s="47"/>
      <c r="M273" s="76"/>
      <c r="N273" s="76"/>
      <c r="O273" s="78" t="str">
        <f>_xlfn.LET(
    _xlpm.itemBuscado, B273,
    _xlpm.areaBuscada, C273,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TEXT(COUNTIF($C$2:C273, _xlpm.areaBuscada), "0000"),
    _xlpm.codItem &amp; "-" &amp; _xlpm.codArea &amp; "-" &amp; _xlpm.secuencia
)</f>
        <v>-SinArea-0000</v>
      </c>
      <c r="P273" s="77"/>
      <c r="Q273" s="32"/>
      <c r="R273" s="32"/>
      <c r="S273" s="32"/>
      <c r="T273" s="32"/>
    </row>
    <row r="274" spans="3:20" x14ac:dyDescent="0.3">
      <c r="C274" s="11"/>
      <c r="D274" s="32"/>
      <c r="E274" s="11"/>
      <c r="K274" s="15"/>
      <c r="L274" s="47"/>
      <c r="M274" s="76"/>
      <c r="N274" s="76"/>
      <c r="O274" s="78" t="str">
        <f>_xlfn.LET(
    _xlpm.itemBuscado, B274,
    _xlpm.areaBuscada, C274,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TEXT(COUNTIF($C$2:C274, _xlpm.areaBuscada), "0000"),
    _xlpm.codItem &amp; "-" &amp; _xlpm.codArea &amp; "-" &amp; _xlpm.secuencia
)</f>
        <v>-SinArea-0000</v>
      </c>
      <c r="P274" s="77"/>
      <c r="Q274" s="32"/>
      <c r="R274" s="32"/>
      <c r="S274" s="32"/>
      <c r="T274" s="32"/>
    </row>
    <row r="275" spans="3:20" x14ac:dyDescent="0.3">
      <c r="C275" s="11"/>
      <c r="D275" s="32"/>
      <c r="E275" s="11"/>
      <c r="K275" s="15"/>
      <c r="L275" s="47"/>
      <c r="M275" s="76"/>
      <c r="N275" s="76"/>
      <c r="O275" s="78" t="str">
        <f>_xlfn.LET(
    _xlpm.itemBuscado, B275,
    _xlpm.areaBuscada, C275,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TEXT(COUNTIF($C$2:C275, _xlpm.areaBuscada), "0000"),
    _xlpm.codItem &amp; "-" &amp; _xlpm.codArea &amp; "-" &amp; _xlpm.secuencia
)</f>
        <v>-SinArea-0000</v>
      </c>
      <c r="P275" s="77"/>
      <c r="Q275" s="32"/>
      <c r="R275" s="32"/>
      <c r="S275" s="32"/>
      <c r="T275" s="32"/>
    </row>
    <row r="276" spans="3:20" x14ac:dyDescent="0.3">
      <c r="C276" s="11"/>
      <c r="D276" s="32"/>
      <c r="E276" s="11"/>
      <c r="K276" s="15"/>
      <c r="L276" s="47"/>
      <c r="M276" s="76"/>
      <c r="N276" s="76"/>
      <c r="O276" s="78" t="str">
        <f>_xlfn.LET(
    _xlpm.itemBuscado, B276,
    _xlpm.areaBuscada, C276,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TEXT(COUNTIF($C$2:C276, _xlpm.areaBuscada), "0000"),
    _xlpm.codItem &amp; "-" &amp; _xlpm.codArea &amp; "-" &amp; _xlpm.secuencia
)</f>
        <v>-SinArea-0000</v>
      </c>
      <c r="P276" s="77"/>
      <c r="Q276" s="32"/>
      <c r="R276" s="32"/>
      <c r="S276" s="32"/>
      <c r="T276" s="32"/>
    </row>
    <row r="277" spans="3:20" x14ac:dyDescent="0.3">
      <c r="C277" s="11"/>
      <c r="D277" s="32"/>
      <c r="E277" s="11"/>
      <c r="K277" s="15"/>
      <c r="L277" s="47"/>
      <c r="M277" s="76"/>
      <c r="N277" s="76"/>
      <c r="O277" s="78" t="str">
        <f>_xlfn.LET(
    _xlpm.itemBuscado, B277,
    _xlpm.areaBuscada, C277,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TEXT(COUNTIF($C$2:C277, _xlpm.areaBuscada), "0000"),
    _xlpm.codItem &amp; "-" &amp; _xlpm.codArea &amp; "-" &amp; _xlpm.secuencia
)</f>
        <v>-SinArea-0000</v>
      </c>
      <c r="P277" s="77"/>
      <c r="Q277" s="32"/>
      <c r="R277" s="32"/>
      <c r="S277" s="32"/>
      <c r="T277" s="32"/>
    </row>
    <row r="278" spans="3:20" x14ac:dyDescent="0.3">
      <c r="C278" s="11"/>
      <c r="D278" s="32"/>
      <c r="E278" s="11"/>
      <c r="K278" s="15"/>
      <c r="L278" s="47"/>
      <c r="M278" s="76"/>
      <c r="N278" s="76"/>
      <c r="O278" s="78" t="str">
        <f>_xlfn.LET(
    _xlpm.itemBuscado, B278,
    _xlpm.areaBuscada, C278,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TEXT(COUNTIF($C$2:C278, _xlpm.areaBuscada), "0000"),
    _xlpm.codItem &amp; "-" &amp; _xlpm.codArea &amp; "-" &amp; _xlpm.secuencia
)</f>
        <v>-SinArea-0000</v>
      </c>
      <c r="P278" s="77"/>
      <c r="Q278" s="32"/>
      <c r="R278" s="32"/>
      <c r="S278" s="32"/>
      <c r="T278" s="32"/>
    </row>
    <row r="279" spans="3:20" x14ac:dyDescent="0.3">
      <c r="C279" s="11"/>
      <c r="D279" s="32"/>
      <c r="E279" s="11"/>
      <c r="K279" s="15"/>
      <c r="L279" s="47"/>
      <c r="M279" s="76"/>
      <c r="N279" s="76"/>
      <c r="O279" s="78" t="str">
        <f>_xlfn.LET(
    _xlpm.itemBuscado, B279,
    _xlpm.areaBuscada, C279,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TEXT(COUNTIF($C$2:C279, _xlpm.areaBuscada), "0000"),
    _xlpm.codItem &amp; "-" &amp; _xlpm.codArea &amp; "-" &amp; _xlpm.secuencia
)</f>
        <v>-SinArea-0000</v>
      </c>
      <c r="P279" s="77"/>
      <c r="Q279" s="32"/>
      <c r="R279" s="32"/>
      <c r="S279" s="32"/>
      <c r="T279" s="32"/>
    </row>
    <row r="280" spans="3:20" x14ac:dyDescent="0.3">
      <c r="C280" s="11"/>
      <c r="D280" s="32"/>
      <c r="E280" s="11"/>
      <c r="K280" s="15"/>
      <c r="L280" s="47"/>
      <c r="M280" s="76"/>
      <c r="N280" s="76"/>
      <c r="O280" s="78" t="str">
        <f>_xlfn.LET(
    _xlpm.itemBuscado, B280,
    _xlpm.areaBuscada, C280,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TEXT(COUNTIF($C$2:C280, _xlpm.areaBuscada), "0000"),
    _xlpm.codItem &amp; "-" &amp; _xlpm.codArea &amp; "-" &amp; _xlpm.secuencia
)</f>
        <v>-SinArea-0000</v>
      </c>
      <c r="P280" s="77"/>
      <c r="Q280" s="32"/>
      <c r="R280" s="32"/>
      <c r="S280" s="32"/>
      <c r="T280" s="32"/>
    </row>
    <row r="281" spans="3:20" x14ac:dyDescent="0.3">
      <c r="C281" s="11"/>
      <c r="D281" s="32"/>
      <c r="E281" s="11"/>
      <c r="K281" s="15"/>
      <c r="L281" s="47"/>
      <c r="M281" s="76"/>
      <c r="N281" s="76"/>
      <c r="O281" s="78" t="str">
        <f>_xlfn.LET(
    _xlpm.itemBuscado, B281,
    _xlpm.areaBuscada, C281,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TEXT(COUNTIF($C$2:C281, _xlpm.areaBuscada), "0000"),
    _xlpm.codItem &amp; "-" &amp; _xlpm.codArea &amp; "-" &amp; _xlpm.secuencia
)</f>
        <v>-SinArea-0000</v>
      </c>
      <c r="P281" s="77"/>
      <c r="Q281" s="32"/>
      <c r="R281" s="32"/>
      <c r="S281" s="32"/>
      <c r="T281" s="32"/>
    </row>
    <row r="282" spans="3:20" x14ac:dyDescent="0.3">
      <c r="C282" s="11"/>
      <c r="D282" s="32"/>
      <c r="E282" s="11"/>
      <c r="K282" s="15"/>
      <c r="L282" s="47"/>
      <c r="M282" s="76"/>
      <c r="N282" s="76"/>
      <c r="O282" s="78" t="str">
        <f>_xlfn.LET(
    _xlpm.itemBuscado, B282,
    _xlpm.areaBuscada, C282,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TEXT(COUNTIF($C$2:C282, _xlpm.areaBuscada), "0000"),
    _xlpm.codItem &amp; "-" &amp; _xlpm.codArea &amp; "-" &amp; _xlpm.secuencia
)</f>
        <v>-SinArea-0000</v>
      </c>
      <c r="P282" s="77"/>
      <c r="Q282" s="32"/>
      <c r="R282" s="32"/>
      <c r="S282" s="32"/>
      <c r="T282" s="32"/>
    </row>
    <row r="283" spans="3:20" x14ac:dyDescent="0.3">
      <c r="C283" s="11"/>
      <c r="D283" s="32"/>
      <c r="E283" s="11"/>
      <c r="K283" s="15"/>
      <c r="L283" s="47"/>
      <c r="M283" s="76"/>
      <c r="N283" s="76"/>
      <c r="O283" s="78" t="str">
        <f>_xlfn.LET(
    _xlpm.itemBuscado, B283,
    _xlpm.areaBuscada, C283,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TEXT(COUNTIF($C$2:C283, _xlpm.areaBuscada), "0000"),
    _xlpm.codItem &amp; "-" &amp; _xlpm.codArea &amp; "-" &amp; _xlpm.secuencia
)</f>
        <v>-SinArea-0000</v>
      </c>
      <c r="P283" s="77"/>
      <c r="Q283" s="32"/>
      <c r="R283" s="32"/>
      <c r="S283" s="32"/>
      <c r="T283" s="32"/>
    </row>
    <row r="284" spans="3:20" x14ac:dyDescent="0.3">
      <c r="C284" s="11"/>
      <c r="D284" s="32"/>
      <c r="E284" s="11"/>
      <c r="K284" s="15"/>
      <c r="L284" s="47"/>
      <c r="M284" s="76"/>
      <c r="N284" s="76"/>
      <c r="O284" s="78" t="str">
        <f>_xlfn.LET(
    _xlpm.itemBuscado, B284,
    _xlpm.areaBuscada, C284,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TEXT(COUNTIF($C$2:C284, _xlpm.areaBuscada), "0000"),
    _xlpm.codItem &amp; "-" &amp; _xlpm.codArea &amp; "-" &amp; _xlpm.secuencia
)</f>
        <v>-SinArea-0000</v>
      </c>
      <c r="P284" s="77"/>
      <c r="Q284" s="32"/>
      <c r="R284" s="32"/>
      <c r="S284" s="32"/>
      <c r="T284" s="32"/>
    </row>
    <row r="285" spans="3:20" x14ac:dyDescent="0.3">
      <c r="C285" s="11"/>
      <c r="D285" s="32"/>
      <c r="E285" s="11"/>
      <c r="K285" s="15"/>
      <c r="L285" s="47"/>
      <c r="M285" s="76"/>
      <c r="N285" s="76"/>
      <c r="O285" s="78" t="str">
        <f>_xlfn.LET(
    _xlpm.itemBuscado, B285,
    _xlpm.areaBuscada, C285,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TEXT(COUNTIF($C$2:C285, _xlpm.areaBuscada), "0000"),
    _xlpm.codItem &amp; "-" &amp; _xlpm.codArea &amp; "-" &amp; _xlpm.secuencia
)</f>
        <v>-SinArea-0000</v>
      </c>
      <c r="P285" s="77"/>
      <c r="Q285" s="32"/>
      <c r="R285" s="32"/>
      <c r="S285" s="32"/>
      <c r="T285" s="32"/>
    </row>
    <row r="286" spans="3:20" x14ac:dyDescent="0.3">
      <c r="C286" s="11"/>
      <c r="D286" s="32"/>
      <c r="E286" s="11"/>
      <c r="K286" s="15"/>
      <c r="L286" s="47"/>
      <c r="M286" s="76"/>
      <c r="N286" s="76"/>
      <c r="O286" s="78" t="str">
        <f>_xlfn.LET(
    _xlpm.itemBuscado, B286,
    _xlpm.areaBuscada, C286,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TEXT(COUNTIF($C$2:C286, _xlpm.areaBuscada), "0000"),
    _xlpm.codItem &amp; "-" &amp; _xlpm.codArea &amp; "-" &amp; _xlpm.secuencia
)</f>
        <v>-SinArea-0000</v>
      </c>
      <c r="P286" s="77"/>
      <c r="Q286" s="32"/>
      <c r="R286" s="32"/>
      <c r="S286" s="32"/>
      <c r="T286" s="32"/>
    </row>
    <row r="287" spans="3:20" x14ac:dyDescent="0.3">
      <c r="C287" s="11"/>
      <c r="D287" s="32"/>
      <c r="E287" s="11"/>
      <c r="K287" s="15"/>
      <c r="L287" s="47"/>
      <c r="M287" s="76"/>
      <c r="N287" s="76"/>
      <c r="O287" s="78" t="str">
        <f>_xlfn.LET(
    _xlpm.itemBuscado, B287,
    _xlpm.areaBuscada, C287,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TEXT(COUNTIF($C$2:C287, _xlpm.areaBuscada), "0000"),
    _xlpm.codItem &amp; "-" &amp; _xlpm.codArea &amp; "-" &amp; _xlpm.secuencia
)</f>
        <v>-SinArea-0000</v>
      </c>
      <c r="P287" s="77"/>
      <c r="Q287" s="32"/>
      <c r="R287" s="32"/>
      <c r="S287" s="32"/>
      <c r="T287" s="32"/>
    </row>
    <row r="288" spans="3:20" x14ac:dyDescent="0.3">
      <c r="C288" s="11"/>
      <c r="D288" s="32"/>
      <c r="E288" s="11"/>
      <c r="K288" s="15"/>
      <c r="L288" s="47"/>
      <c r="M288" s="76"/>
      <c r="N288" s="76"/>
      <c r="O288" s="78" t="str">
        <f>_xlfn.LET(
    _xlpm.itemBuscado, B288,
    _xlpm.areaBuscada, C288,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TEXT(COUNTIF($C$2:C288, _xlpm.areaBuscada), "0000"),
    _xlpm.codItem &amp; "-" &amp; _xlpm.codArea &amp; "-" &amp; _xlpm.secuencia
)</f>
        <v>-SinArea-0000</v>
      </c>
      <c r="P288" s="77"/>
      <c r="Q288" s="32"/>
      <c r="R288" s="32"/>
      <c r="S288" s="32"/>
      <c r="T288" s="32"/>
    </row>
    <row r="289" spans="3:20" x14ac:dyDescent="0.3">
      <c r="C289" s="11"/>
      <c r="D289" s="32"/>
      <c r="E289" s="11"/>
      <c r="K289" s="15"/>
      <c r="L289" s="47"/>
      <c r="M289" s="76"/>
      <c r="N289" s="76"/>
      <c r="O289" s="78" t="str">
        <f>_xlfn.LET(
    _xlpm.itemBuscado, B289,
    _xlpm.areaBuscada, C289,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TEXT(COUNTIF($C$2:C289, _xlpm.areaBuscada), "0000"),
    _xlpm.codItem &amp; "-" &amp; _xlpm.codArea &amp; "-" &amp; _xlpm.secuencia
)</f>
        <v>-SinArea-0000</v>
      </c>
      <c r="P289" s="77"/>
      <c r="Q289" s="32"/>
      <c r="R289" s="32"/>
      <c r="S289" s="32"/>
      <c r="T289" s="32"/>
    </row>
    <row r="290" spans="3:20" x14ac:dyDescent="0.3">
      <c r="C290" s="11"/>
      <c r="D290" s="32"/>
      <c r="E290" s="11"/>
      <c r="K290" s="15"/>
      <c r="L290" s="47"/>
      <c r="M290" s="76"/>
      <c r="N290" s="76"/>
      <c r="O290" s="78" t="str">
        <f>_xlfn.LET(
    _xlpm.itemBuscado, B290,
    _xlpm.areaBuscada, C290,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TEXT(COUNTIF($C$2:C290, _xlpm.areaBuscada), "0000"),
    _xlpm.codItem &amp; "-" &amp; _xlpm.codArea &amp; "-" &amp; _xlpm.secuencia
)</f>
        <v>-SinArea-0000</v>
      </c>
      <c r="P290" s="77"/>
      <c r="Q290" s="32"/>
      <c r="R290" s="32"/>
      <c r="S290" s="32"/>
      <c r="T290" s="32"/>
    </row>
    <row r="291" spans="3:20" x14ac:dyDescent="0.3">
      <c r="C291" s="11"/>
      <c r="D291" s="32"/>
      <c r="E291" s="11"/>
      <c r="K291" s="15"/>
      <c r="L291" s="47"/>
      <c r="M291" s="76"/>
      <c r="N291" s="76"/>
      <c r="O291" s="78" t="str">
        <f>_xlfn.LET(
    _xlpm.itemBuscado, B291,
    _xlpm.areaBuscada, C291,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TEXT(COUNTIF($C$2:C291, _xlpm.areaBuscada), "0000"),
    _xlpm.codItem &amp; "-" &amp; _xlpm.codArea &amp; "-" &amp; _xlpm.secuencia
)</f>
        <v>-SinArea-0000</v>
      </c>
      <c r="P291" s="77"/>
      <c r="Q291" s="32"/>
      <c r="R291" s="32"/>
      <c r="S291" s="32"/>
      <c r="T291" s="32"/>
    </row>
    <row r="292" spans="3:20" x14ac:dyDescent="0.3">
      <c r="C292" s="11"/>
      <c r="D292" s="32"/>
      <c r="E292" s="11"/>
      <c r="K292" s="15"/>
      <c r="L292" s="47"/>
      <c r="M292" s="76"/>
      <c r="N292" s="76"/>
      <c r="O292" s="78" t="str">
        <f>_xlfn.LET(
    _xlpm.itemBuscado, B292,
    _xlpm.areaBuscada, C292,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TEXT(COUNTIF($C$2:C292, _xlpm.areaBuscada), "0000"),
    _xlpm.codItem &amp; "-" &amp; _xlpm.codArea &amp; "-" &amp; _xlpm.secuencia
)</f>
        <v>-SinArea-0000</v>
      </c>
      <c r="P292" s="77"/>
      <c r="Q292" s="32"/>
      <c r="R292" s="32"/>
      <c r="S292" s="32"/>
      <c r="T292" s="32"/>
    </row>
    <row r="293" spans="3:20" x14ac:dyDescent="0.3">
      <c r="C293" s="11"/>
      <c r="D293" s="32"/>
      <c r="E293" s="11"/>
      <c r="K293" s="15"/>
      <c r="L293" s="47"/>
      <c r="M293" s="76"/>
      <c r="N293" s="76"/>
      <c r="O293" s="78" t="str">
        <f>_xlfn.LET(
    _xlpm.itemBuscado, B293,
    _xlpm.areaBuscada, C293,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TEXT(COUNTIF($C$2:C293, _xlpm.areaBuscada), "0000"),
    _xlpm.codItem &amp; "-" &amp; _xlpm.codArea &amp; "-" &amp; _xlpm.secuencia
)</f>
        <v>-SinArea-0000</v>
      </c>
      <c r="P293" s="77"/>
      <c r="Q293" s="32"/>
      <c r="R293" s="32"/>
      <c r="S293" s="32"/>
      <c r="T293" s="32"/>
    </row>
    <row r="294" spans="3:20" x14ac:dyDescent="0.3">
      <c r="C294" s="11"/>
      <c r="D294" s="32"/>
      <c r="E294" s="11"/>
      <c r="K294" s="15"/>
      <c r="L294" s="47"/>
      <c r="M294" s="76"/>
      <c r="N294" s="76"/>
      <c r="O294" s="78" t="str">
        <f>_xlfn.LET(
    _xlpm.itemBuscado, B294,
    _xlpm.areaBuscada, C294,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TEXT(COUNTIF($C$2:C294, _xlpm.areaBuscada), "0000"),
    _xlpm.codItem &amp; "-" &amp; _xlpm.codArea &amp; "-" &amp; _xlpm.secuencia
)</f>
        <v>-SinArea-0000</v>
      </c>
      <c r="P294" s="77"/>
      <c r="Q294" s="32"/>
      <c r="R294" s="32"/>
      <c r="S294" s="32"/>
      <c r="T294" s="32"/>
    </row>
    <row r="295" spans="3:20" x14ac:dyDescent="0.3">
      <c r="C295" s="11"/>
      <c r="D295" s="32"/>
      <c r="E295" s="11"/>
      <c r="K295" s="15"/>
      <c r="L295" s="47"/>
      <c r="M295" s="76"/>
      <c r="N295" s="76"/>
      <c r="O295" s="78" t="str">
        <f>_xlfn.LET(
    _xlpm.itemBuscado, B295,
    _xlpm.areaBuscada, C295,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TEXT(COUNTIF($C$2:C295, _xlpm.areaBuscada), "0000"),
    _xlpm.codItem &amp; "-" &amp; _xlpm.codArea &amp; "-" &amp; _xlpm.secuencia
)</f>
        <v>-SinArea-0000</v>
      </c>
      <c r="P295" s="77"/>
      <c r="Q295" s="32"/>
      <c r="R295" s="32"/>
      <c r="S295" s="32"/>
      <c r="T295" s="32"/>
    </row>
    <row r="296" spans="3:20" x14ac:dyDescent="0.3">
      <c r="C296" s="11"/>
      <c r="D296" s="32"/>
      <c r="E296" s="11"/>
      <c r="K296" s="15"/>
      <c r="L296" s="47"/>
      <c r="M296" s="76"/>
      <c r="N296" s="76"/>
      <c r="O296" s="78" t="str">
        <f>_xlfn.LET(
    _xlpm.itemBuscado, B296,
    _xlpm.areaBuscada, C296,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TEXT(COUNTIF($C$2:C296, _xlpm.areaBuscada), "0000"),
    _xlpm.codItem &amp; "-" &amp; _xlpm.codArea &amp; "-" &amp; _xlpm.secuencia
)</f>
        <v>-SinArea-0000</v>
      </c>
      <c r="P296" s="77"/>
      <c r="Q296" s="32"/>
      <c r="R296" s="32"/>
      <c r="S296" s="32"/>
      <c r="T296" s="32"/>
    </row>
    <row r="297" spans="3:20" x14ac:dyDescent="0.3">
      <c r="C297" s="11"/>
      <c r="D297" s="32"/>
      <c r="E297" s="11"/>
      <c r="K297" s="15"/>
      <c r="L297" s="47"/>
      <c r="M297" s="76"/>
      <c r="N297" s="76"/>
      <c r="O297" s="78" t="str">
        <f>_xlfn.LET(
    _xlpm.itemBuscado, B297,
    _xlpm.areaBuscada, C297,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TEXT(COUNTIF($C$2:C297, _xlpm.areaBuscada), "0000"),
    _xlpm.codItem &amp; "-" &amp; _xlpm.codArea &amp; "-" &amp; _xlpm.secuencia
)</f>
        <v>-SinArea-0000</v>
      </c>
      <c r="P297" s="77"/>
      <c r="Q297" s="32"/>
      <c r="R297" s="32"/>
      <c r="S297" s="32"/>
      <c r="T297" s="32"/>
    </row>
    <row r="298" spans="3:20" x14ac:dyDescent="0.3">
      <c r="C298" s="11"/>
      <c r="D298" s="32"/>
      <c r="E298" s="11"/>
      <c r="K298" s="15"/>
      <c r="L298" s="47"/>
      <c r="M298" s="76"/>
      <c r="N298" s="76"/>
      <c r="O298" s="78" t="str">
        <f>_xlfn.LET(
    _xlpm.itemBuscado, B298,
    _xlpm.areaBuscada, C298,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TEXT(COUNTIF($C$2:C298, _xlpm.areaBuscada), "0000"),
    _xlpm.codItem &amp; "-" &amp; _xlpm.codArea &amp; "-" &amp; _xlpm.secuencia
)</f>
        <v>-SinArea-0000</v>
      </c>
      <c r="P298" s="77"/>
      <c r="Q298" s="32"/>
      <c r="R298" s="32"/>
      <c r="S298" s="32"/>
      <c r="T298" s="32"/>
    </row>
    <row r="299" spans="3:20" x14ac:dyDescent="0.3">
      <c r="C299" s="11"/>
      <c r="D299" s="32"/>
      <c r="E299" s="11"/>
      <c r="K299" s="15"/>
      <c r="L299" s="47"/>
      <c r="M299" s="76"/>
      <c r="N299" s="76"/>
      <c r="O299" s="78" t="str">
        <f>_xlfn.LET(
    _xlpm.itemBuscado, B299,
    _xlpm.areaBuscada, C299,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TEXT(COUNTIF($C$2:C299, _xlpm.areaBuscada), "0000"),
    _xlpm.codItem &amp; "-" &amp; _xlpm.codArea &amp; "-" &amp; _xlpm.secuencia
)</f>
        <v>-SinArea-0000</v>
      </c>
      <c r="P299" s="77"/>
      <c r="Q299" s="32"/>
      <c r="R299" s="32"/>
      <c r="S299" s="32"/>
      <c r="T299" s="32"/>
    </row>
    <row r="300" spans="3:20" x14ac:dyDescent="0.3">
      <c r="C300" s="11"/>
      <c r="D300" s="32"/>
      <c r="E300" s="11"/>
      <c r="K300" s="15"/>
      <c r="L300" s="47"/>
      <c r="M300" s="76"/>
      <c r="N300" s="76"/>
      <c r="O300" s="78" t="str">
        <f>_xlfn.LET(
    _xlpm.itemBuscado, B300,
    _xlpm.areaBuscada, C300,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TEXT(COUNTIF($C$2:C300, _xlpm.areaBuscada), "0000"),
    _xlpm.codItem &amp; "-" &amp; _xlpm.codArea &amp; "-" &amp; _xlpm.secuencia
)</f>
        <v>-SinArea-0000</v>
      </c>
      <c r="P300" s="77"/>
      <c r="Q300" s="32"/>
      <c r="R300" s="32"/>
      <c r="S300" s="32"/>
      <c r="T300" s="32"/>
    </row>
    <row r="301" spans="3:20" x14ac:dyDescent="0.3">
      <c r="C301" s="11"/>
      <c r="D301" s="32"/>
      <c r="E301" s="11"/>
      <c r="K301" s="15"/>
      <c r="L301" s="47"/>
      <c r="M301" s="76"/>
      <c r="N301" s="76"/>
      <c r="O301" s="78" t="str">
        <f>_xlfn.LET(
    _xlpm.itemBuscado, B301,
    _xlpm.areaBuscada, C301,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TEXT(COUNTIF($C$2:C301, _xlpm.areaBuscada), "0000"),
    _xlpm.codItem &amp; "-" &amp; _xlpm.codArea &amp; "-" &amp; _xlpm.secuencia
)</f>
        <v>-SinArea-0000</v>
      </c>
      <c r="P301" s="77"/>
      <c r="Q301" s="32"/>
      <c r="R301" s="32"/>
      <c r="S301" s="32"/>
      <c r="T301" s="32"/>
    </row>
    <row r="302" spans="3:20" x14ac:dyDescent="0.3">
      <c r="C302" s="11"/>
      <c r="D302" s="32"/>
      <c r="E302" s="11"/>
      <c r="K302" s="15"/>
      <c r="L302" s="47"/>
      <c r="M302" s="76"/>
      <c r="N302" s="76"/>
      <c r="O302" s="78" t="str">
        <f>_xlfn.LET(
    _xlpm.itemBuscado, B302,
    _xlpm.areaBuscada, C302,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TEXT(COUNTIF($C$2:C302, _xlpm.areaBuscada), "0000"),
    _xlpm.codItem &amp; "-" &amp; _xlpm.codArea &amp; "-" &amp; _xlpm.secuencia
)</f>
        <v>-SinArea-0000</v>
      </c>
      <c r="P302" s="77"/>
      <c r="Q302" s="32"/>
      <c r="R302" s="32"/>
      <c r="S302" s="32"/>
      <c r="T302" s="32"/>
    </row>
    <row r="303" spans="3:20" x14ac:dyDescent="0.3">
      <c r="C303" s="11"/>
      <c r="D303" s="32"/>
      <c r="E303" s="11"/>
      <c r="K303" s="15"/>
      <c r="L303" s="47"/>
      <c r="M303" s="76"/>
      <c r="N303" s="76"/>
      <c r="O303" s="78" t="str">
        <f>_xlfn.LET(
    _xlpm.itemBuscado, B303,
    _xlpm.areaBuscada, C303,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TEXT(COUNTIF($C$2:C303, _xlpm.areaBuscada), "0000"),
    _xlpm.codItem &amp; "-" &amp; _xlpm.codArea &amp; "-" &amp; _xlpm.secuencia
)</f>
        <v>-SinArea-0000</v>
      </c>
      <c r="P303" s="77"/>
      <c r="Q303" s="32"/>
      <c r="R303" s="32"/>
      <c r="S303" s="32"/>
      <c r="T303" s="32"/>
    </row>
    <row r="304" spans="3:20" x14ac:dyDescent="0.3">
      <c r="C304" s="11"/>
      <c r="D304" s="32"/>
      <c r="E304" s="11"/>
      <c r="K304" s="15"/>
      <c r="L304" s="47"/>
      <c r="M304" s="76"/>
      <c r="N304" s="76"/>
      <c r="O304" s="78" t="str">
        <f>_xlfn.LET(
    _xlpm.itemBuscado, B304,
    _xlpm.areaBuscada, C304,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TEXT(COUNTIF($C$2:C304, _xlpm.areaBuscada), "0000"),
    _xlpm.codItem &amp; "-" &amp; _xlpm.codArea &amp; "-" &amp; _xlpm.secuencia
)</f>
        <v>-SinArea-0000</v>
      </c>
      <c r="P304" s="77"/>
      <c r="Q304" s="32"/>
      <c r="R304" s="32"/>
      <c r="S304" s="32"/>
      <c r="T304" s="32"/>
    </row>
    <row r="305" spans="3:20" x14ac:dyDescent="0.3">
      <c r="C305" s="11"/>
      <c r="D305" s="32"/>
      <c r="E305" s="11"/>
      <c r="K305" s="15"/>
      <c r="L305" s="47"/>
      <c r="M305" s="76"/>
      <c r="N305" s="76"/>
      <c r="O305" s="78" t="str">
        <f>_xlfn.LET(
    _xlpm.itemBuscado, B305,
    _xlpm.areaBuscada, C305,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TEXT(COUNTIF($C$2:C305, _xlpm.areaBuscada), "0000"),
    _xlpm.codItem &amp; "-" &amp; _xlpm.codArea &amp; "-" &amp; _xlpm.secuencia
)</f>
        <v>-SinArea-0000</v>
      </c>
      <c r="P305" s="77"/>
      <c r="Q305" s="32"/>
      <c r="R305" s="32"/>
      <c r="S305" s="32"/>
      <c r="T305" s="32"/>
    </row>
    <row r="306" spans="3:20" x14ac:dyDescent="0.3">
      <c r="C306" s="11"/>
      <c r="D306" s="32"/>
      <c r="E306" s="11"/>
      <c r="K306" s="15"/>
      <c r="L306" s="47"/>
      <c r="M306" s="76"/>
      <c r="N306" s="76"/>
      <c r="O306" s="78" t="str">
        <f>_xlfn.LET(
    _xlpm.itemBuscado, B306,
    _xlpm.areaBuscada, C306,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TEXT(COUNTIF($C$2:C306, _xlpm.areaBuscada), "0000"),
    _xlpm.codItem &amp; "-" &amp; _xlpm.codArea &amp; "-" &amp; _xlpm.secuencia
)</f>
        <v>-SinArea-0000</v>
      </c>
      <c r="P306" s="77"/>
      <c r="Q306" s="32"/>
      <c r="R306" s="32"/>
      <c r="S306" s="32"/>
      <c r="T306" s="32"/>
    </row>
    <row r="307" spans="3:20" x14ac:dyDescent="0.3">
      <c r="C307" s="11"/>
      <c r="D307" s="32"/>
      <c r="E307" s="11"/>
      <c r="K307" s="15"/>
      <c r="L307" s="47"/>
      <c r="M307" s="76"/>
      <c r="N307" s="76"/>
      <c r="O307" s="78" t="str">
        <f>_xlfn.LET(
    _xlpm.itemBuscado, B307,
    _xlpm.areaBuscada, C307,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TEXT(COUNTIF($C$2:C307, _xlpm.areaBuscada), "0000"),
    _xlpm.codItem &amp; "-" &amp; _xlpm.codArea &amp; "-" &amp; _xlpm.secuencia
)</f>
        <v>-SinArea-0000</v>
      </c>
      <c r="P307" s="77"/>
      <c r="Q307" s="32"/>
      <c r="R307" s="32"/>
      <c r="S307" s="32"/>
      <c r="T307" s="32"/>
    </row>
    <row r="308" spans="3:20" x14ac:dyDescent="0.3">
      <c r="C308" s="11"/>
      <c r="D308" s="32"/>
      <c r="E308" s="11"/>
      <c r="K308" s="15"/>
      <c r="L308" s="47"/>
      <c r="M308" s="76"/>
      <c r="N308" s="76"/>
      <c r="O308" s="78" t="str">
        <f>_xlfn.LET(
    _xlpm.itemBuscado, B308,
    _xlpm.areaBuscada, C308,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TEXT(COUNTIF($C$2:C308, _xlpm.areaBuscada), "0000"),
    _xlpm.codItem &amp; "-" &amp; _xlpm.codArea &amp; "-" &amp; _xlpm.secuencia
)</f>
        <v>-SinArea-0000</v>
      </c>
      <c r="P308" s="77"/>
      <c r="Q308" s="32"/>
      <c r="R308" s="32"/>
      <c r="S308" s="32"/>
      <c r="T308" s="32"/>
    </row>
    <row r="309" spans="3:20" x14ac:dyDescent="0.3">
      <c r="C309" s="11"/>
      <c r="D309" s="32"/>
      <c r="E309" s="11"/>
      <c r="K309" s="15"/>
      <c r="L309" s="47"/>
      <c r="M309" s="76"/>
      <c r="N309" s="76"/>
      <c r="O309" s="78" t="str">
        <f>_xlfn.LET(
    _xlpm.itemBuscado, B309,
    _xlpm.areaBuscada, C309,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TEXT(COUNTIF($C$2:C309, _xlpm.areaBuscada), "0000"),
    _xlpm.codItem &amp; "-" &amp; _xlpm.codArea &amp; "-" &amp; _xlpm.secuencia
)</f>
        <v>-SinArea-0000</v>
      </c>
      <c r="P309" s="77"/>
      <c r="Q309" s="32"/>
      <c r="R309" s="32"/>
      <c r="S309" s="32"/>
      <c r="T309" s="32"/>
    </row>
    <row r="310" spans="3:20" x14ac:dyDescent="0.3">
      <c r="C310" s="11"/>
      <c r="D310" s="32"/>
      <c r="E310" s="11"/>
      <c r="K310" s="15"/>
      <c r="L310" s="47"/>
      <c r="M310" s="76"/>
      <c r="N310" s="76"/>
      <c r="O310" s="78" t="str">
        <f>_xlfn.LET(
    _xlpm.itemBuscado, B310,
    _xlpm.areaBuscada, C310,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TEXT(COUNTIF($C$2:C310, _xlpm.areaBuscada), "0000"),
    _xlpm.codItem &amp; "-" &amp; _xlpm.codArea &amp; "-" &amp; _xlpm.secuencia
)</f>
        <v>-SinArea-0000</v>
      </c>
      <c r="P310" s="77"/>
      <c r="Q310" s="32"/>
      <c r="R310" s="32"/>
      <c r="S310" s="32"/>
      <c r="T310" s="32"/>
    </row>
    <row r="311" spans="3:20" x14ac:dyDescent="0.3">
      <c r="C311" s="11"/>
      <c r="D311" s="32"/>
      <c r="E311" s="11"/>
      <c r="K311" s="15"/>
      <c r="L311" s="47"/>
      <c r="M311" s="76"/>
      <c r="N311" s="76"/>
      <c r="O311" s="78" t="str">
        <f>_xlfn.LET(
    _xlpm.itemBuscado, B311,
    _xlpm.areaBuscada, C311,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TEXT(COUNTIF($C$2:C311, _xlpm.areaBuscada), "0000"),
    _xlpm.codItem &amp; "-" &amp; _xlpm.codArea &amp; "-" &amp; _xlpm.secuencia
)</f>
        <v>-SinArea-0000</v>
      </c>
      <c r="P311" s="77"/>
      <c r="Q311" s="32"/>
      <c r="R311" s="32"/>
      <c r="S311" s="32"/>
      <c r="T311" s="32"/>
    </row>
    <row r="312" spans="3:20" x14ac:dyDescent="0.3">
      <c r="C312" s="11"/>
      <c r="D312" s="32"/>
      <c r="E312" s="11"/>
      <c r="K312" s="15"/>
      <c r="L312" s="47"/>
      <c r="M312" s="76"/>
      <c r="N312" s="76"/>
      <c r="O312" s="78" t="str">
        <f>_xlfn.LET(
    _xlpm.itemBuscado, B312,
    _xlpm.areaBuscada, C312,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TEXT(COUNTIF($C$2:C312, _xlpm.areaBuscada), "0000"),
    _xlpm.codItem &amp; "-" &amp; _xlpm.codArea &amp; "-" &amp; _xlpm.secuencia
)</f>
        <v>-SinArea-0000</v>
      </c>
      <c r="P312" s="77"/>
      <c r="Q312" s="32"/>
      <c r="R312" s="32"/>
      <c r="S312" s="32"/>
      <c r="T312" s="32"/>
    </row>
    <row r="313" spans="3:20" x14ac:dyDescent="0.3">
      <c r="C313" s="11"/>
      <c r="D313" s="32"/>
      <c r="E313" s="11"/>
      <c r="K313" s="15"/>
      <c r="L313" s="47"/>
      <c r="M313" s="76"/>
      <c r="N313" s="76"/>
      <c r="O313" s="78" t="str">
        <f>_xlfn.LET(
    _xlpm.itemBuscado, B313,
    _xlpm.areaBuscada, C313,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TEXT(COUNTIF($C$2:C313, _xlpm.areaBuscada), "0000"),
    _xlpm.codItem &amp; "-" &amp; _xlpm.codArea &amp; "-" &amp; _xlpm.secuencia
)</f>
        <v>-SinArea-0000</v>
      </c>
      <c r="P313" s="77"/>
      <c r="Q313" s="32"/>
      <c r="R313" s="32"/>
      <c r="S313" s="32"/>
      <c r="T313" s="32"/>
    </row>
    <row r="314" spans="3:20" x14ac:dyDescent="0.3">
      <c r="C314" s="11"/>
      <c r="D314" s="32"/>
      <c r="E314" s="11"/>
      <c r="K314" s="15"/>
      <c r="L314" s="47"/>
      <c r="M314" s="76"/>
      <c r="N314" s="76"/>
      <c r="O314" s="78" t="str">
        <f>_xlfn.LET(
    _xlpm.itemBuscado, B314,
    _xlpm.areaBuscada, C314,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TEXT(COUNTIF($C$2:C314, _xlpm.areaBuscada), "0000"),
    _xlpm.codItem &amp; "-" &amp; _xlpm.codArea &amp; "-" &amp; _xlpm.secuencia
)</f>
        <v>-SinArea-0000</v>
      </c>
      <c r="P314" s="77"/>
      <c r="Q314" s="32"/>
      <c r="R314" s="32"/>
      <c r="S314" s="32"/>
      <c r="T314" s="32"/>
    </row>
    <row r="315" spans="3:20" x14ac:dyDescent="0.3">
      <c r="C315" s="11"/>
      <c r="D315" s="32"/>
      <c r="E315" s="11"/>
      <c r="K315" s="15"/>
      <c r="L315" s="47"/>
      <c r="M315" s="76"/>
      <c r="N315" s="76"/>
      <c r="O315" s="78" t="str">
        <f>_xlfn.LET(
    _xlpm.itemBuscado, B315,
    _xlpm.areaBuscada, C315,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TEXT(COUNTIF($C$2:C315, _xlpm.areaBuscada), "0000"),
    _xlpm.codItem &amp; "-" &amp; _xlpm.codArea &amp; "-" &amp; _xlpm.secuencia
)</f>
        <v>-SinArea-0000</v>
      </c>
      <c r="P315" s="77"/>
      <c r="Q315" s="32"/>
      <c r="R315" s="32"/>
      <c r="S315" s="32"/>
      <c r="T315" s="32"/>
    </row>
    <row r="316" spans="3:20" x14ac:dyDescent="0.3">
      <c r="C316" s="11"/>
      <c r="D316" s="32"/>
      <c r="E316" s="11"/>
      <c r="K316" s="15"/>
      <c r="L316" s="47"/>
      <c r="M316" s="76"/>
      <c r="N316" s="76"/>
      <c r="O316" s="78" t="str">
        <f>_xlfn.LET(
    _xlpm.itemBuscado, B316,
    _xlpm.areaBuscada, C316,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TEXT(COUNTIF($C$2:C316, _xlpm.areaBuscada), "0000"),
    _xlpm.codItem &amp; "-" &amp; _xlpm.codArea &amp; "-" &amp; _xlpm.secuencia
)</f>
        <v>-SinArea-0000</v>
      </c>
      <c r="P316" s="77"/>
      <c r="Q316" s="32"/>
      <c r="R316" s="32"/>
      <c r="S316" s="32"/>
      <c r="T316" s="32"/>
    </row>
    <row r="317" spans="3:20" x14ac:dyDescent="0.3">
      <c r="C317" s="11"/>
      <c r="D317" s="32"/>
      <c r="E317" s="11"/>
      <c r="K317" s="15"/>
      <c r="L317" s="47"/>
      <c r="M317" s="76"/>
      <c r="N317" s="76"/>
      <c r="O317" s="78" t="str">
        <f>_xlfn.LET(
    _xlpm.itemBuscado, B317,
    _xlpm.areaBuscada, C317,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TEXT(COUNTIF($C$2:C317, _xlpm.areaBuscada), "0000"),
    _xlpm.codItem &amp; "-" &amp; _xlpm.codArea &amp; "-" &amp; _xlpm.secuencia
)</f>
        <v>-SinArea-0000</v>
      </c>
      <c r="P317" s="77"/>
      <c r="Q317" s="32"/>
      <c r="R317" s="32"/>
      <c r="S317" s="32"/>
      <c r="T317" s="32"/>
    </row>
    <row r="318" spans="3:20" x14ac:dyDescent="0.3">
      <c r="C318" s="11"/>
      <c r="D318" s="32"/>
      <c r="E318" s="11"/>
      <c r="K318" s="15"/>
      <c r="L318" s="47"/>
      <c r="M318" s="76"/>
      <c r="N318" s="76"/>
      <c r="O318" s="78" t="str">
        <f>_xlfn.LET(
    _xlpm.itemBuscado, B318,
    _xlpm.areaBuscada, C318,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TEXT(COUNTIF($C$2:C318, _xlpm.areaBuscada), "0000"),
    _xlpm.codItem &amp; "-" &amp; _xlpm.codArea &amp; "-" &amp; _xlpm.secuencia
)</f>
        <v>-SinArea-0000</v>
      </c>
      <c r="P318" s="77"/>
      <c r="Q318" s="32"/>
      <c r="R318" s="32"/>
      <c r="S318" s="32"/>
      <c r="T318" s="32"/>
    </row>
    <row r="319" spans="3:20" x14ac:dyDescent="0.3">
      <c r="C319" s="11"/>
      <c r="D319" s="32"/>
      <c r="E319" s="11"/>
      <c r="K319" s="15"/>
      <c r="L319" s="47"/>
      <c r="M319" s="76"/>
      <c r="N319" s="76"/>
      <c r="O319" s="78" t="str">
        <f>_xlfn.LET(
    _xlpm.itemBuscado, B319,
    _xlpm.areaBuscada, C319,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TEXT(COUNTIF($C$2:C319, _xlpm.areaBuscada), "0000"),
    _xlpm.codItem &amp; "-" &amp; _xlpm.codArea &amp; "-" &amp; _xlpm.secuencia
)</f>
        <v>-SinArea-0000</v>
      </c>
      <c r="P319" s="77"/>
      <c r="Q319" s="32"/>
      <c r="R319" s="32"/>
      <c r="S319" s="32"/>
      <c r="T319" s="32"/>
    </row>
    <row r="320" spans="3:20" x14ac:dyDescent="0.3">
      <c r="C320" s="11"/>
      <c r="D320" s="32"/>
      <c r="E320" s="11"/>
      <c r="K320" s="15"/>
      <c r="L320" s="47"/>
      <c r="M320" s="76"/>
      <c r="N320" s="76"/>
      <c r="O320" s="78" t="str">
        <f>_xlfn.LET(
    _xlpm.itemBuscado, B320,
    _xlpm.areaBuscada, C320,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TEXT(COUNTIF($C$2:C320, _xlpm.areaBuscada), "0000"),
    _xlpm.codItem &amp; "-" &amp; _xlpm.codArea &amp; "-" &amp; _xlpm.secuencia
)</f>
        <v>-SinArea-0000</v>
      </c>
      <c r="P320" s="77"/>
      <c r="Q320" s="32"/>
      <c r="R320" s="32"/>
      <c r="S320" s="32"/>
      <c r="T320" s="32"/>
    </row>
    <row r="321" spans="3:20" x14ac:dyDescent="0.3">
      <c r="C321" s="11"/>
      <c r="D321" s="32"/>
      <c r="E321" s="11"/>
      <c r="K321" s="15"/>
      <c r="L321" s="47"/>
      <c r="M321" s="76"/>
      <c r="N321" s="76"/>
      <c r="O321" s="78" t="str">
        <f>_xlfn.LET(
    _xlpm.itemBuscado, B321,
    _xlpm.areaBuscada, C321,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TEXT(COUNTIF($C$2:C321, _xlpm.areaBuscada), "0000"),
    _xlpm.codItem &amp; "-" &amp; _xlpm.codArea &amp; "-" &amp; _xlpm.secuencia
)</f>
        <v>-SinArea-0000</v>
      </c>
      <c r="P321" s="77"/>
      <c r="Q321" s="32"/>
      <c r="R321" s="32"/>
      <c r="S321" s="32"/>
      <c r="T321" s="32"/>
    </row>
    <row r="322" spans="3:20" x14ac:dyDescent="0.3">
      <c r="C322" s="11"/>
      <c r="D322" s="32"/>
      <c r="E322" s="11"/>
      <c r="K322" s="15"/>
      <c r="L322" s="47"/>
      <c r="M322" s="76"/>
      <c r="N322" s="76"/>
      <c r="O322" s="78" t="str">
        <f>_xlfn.LET(
    _xlpm.itemBuscado, B322,
    _xlpm.areaBuscada, C322,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TEXT(COUNTIF($C$2:C322, _xlpm.areaBuscada), "0000"),
    _xlpm.codItem &amp; "-" &amp; _xlpm.codArea &amp; "-" &amp; _xlpm.secuencia
)</f>
        <v>-SinArea-0000</v>
      </c>
      <c r="P322" s="77"/>
      <c r="Q322" s="32"/>
      <c r="R322" s="32"/>
      <c r="S322" s="32"/>
      <c r="T322" s="32"/>
    </row>
    <row r="323" spans="3:20" x14ac:dyDescent="0.3">
      <c r="C323" s="11"/>
      <c r="D323" s="32"/>
      <c r="E323" s="11"/>
      <c r="K323" s="15"/>
      <c r="L323" s="47"/>
      <c r="M323" s="76"/>
      <c r="N323" s="76"/>
      <c r="O323" s="78" t="str">
        <f>_xlfn.LET(
    _xlpm.itemBuscado, B323,
    _xlpm.areaBuscada, C323,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TEXT(COUNTIF($C$2:C323, _xlpm.areaBuscada), "0000"),
    _xlpm.codItem &amp; "-" &amp; _xlpm.codArea &amp; "-" &amp; _xlpm.secuencia
)</f>
        <v>-SinArea-0000</v>
      </c>
      <c r="P323" s="77"/>
      <c r="Q323" s="32"/>
      <c r="R323" s="32"/>
      <c r="S323" s="32"/>
      <c r="T323" s="32"/>
    </row>
    <row r="324" spans="3:20" x14ac:dyDescent="0.3">
      <c r="C324" s="11"/>
      <c r="D324" s="32"/>
      <c r="E324" s="11"/>
      <c r="K324" s="15"/>
      <c r="L324" s="47"/>
      <c r="M324" s="76"/>
      <c r="N324" s="76"/>
      <c r="O324" s="78" t="str">
        <f>_xlfn.LET(
    _xlpm.itemBuscado, B324,
    _xlpm.areaBuscada, C324,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TEXT(COUNTIF($C$2:C324, _xlpm.areaBuscada), "0000"),
    _xlpm.codItem &amp; "-" &amp; _xlpm.codArea &amp; "-" &amp; _xlpm.secuencia
)</f>
        <v>-SinArea-0000</v>
      </c>
      <c r="P324" s="77"/>
      <c r="Q324" s="32"/>
      <c r="R324" s="32"/>
      <c r="S324" s="32"/>
      <c r="T324" s="32"/>
    </row>
    <row r="325" spans="3:20" x14ac:dyDescent="0.3">
      <c r="C325" s="11"/>
      <c r="D325" s="32"/>
      <c r="E325" s="11"/>
      <c r="K325" s="15"/>
      <c r="L325" s="47"/>
      <c r="M325" s="76"/>
      <c r="N325" s="76"/>
      <c r="O325" s="78" t="str">
        <f>_xlfn.LET(
    _xlpm.itemBuscado, B325,
    _xlpm.areaBuscada, C325,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TEXT(COUNTIF($C$2:C325, _xlpm.areaBuscada), "0000"),
    _xlpm.codItem &amp; "-" &amp; _xlpm.codArea &amp; "-" &amp; _xlpm.secuencia
)</f>
        <v>-SinArea-0000</v>
      </c>
      <c r="P325" s="77"/>
      <c r="Q325" s="32"/>
      <c r="R325" s="32"/>
      <c r="S325" s="32"/>
      <c r="T325" s="32"/>
    </row>
    <row r="326" spans="3:20" x14ac:dyDescent="0.3">
      <c r="C326" s="11"/>
      <c r="D326" s="32"/>
      <c r="E326" s="11"/>
      <c r="K326" s="15"/>
      <c r="L326" s="47"/>
      <c r="M326" s="76"/>
      <c r="N326" s="76"/>
      <c r="O326" s="78" t="str">
        <f>_xlfn.LET(
    _xlpm.itemBuscado, B326,
    _xlpm.areaBuscada, C326,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TEXT(COUNTIF($C$2:C326, _xlpm.areaBuscada), "0000"),
    _xlpm.codItem &amp; "-" &amp; _xlpm.codArea &amp; "-" &amp; _xlpm.secuencia
)</f>
        <v>-SinArea-0000</v>
      </c>
      <c r="P326" s="77"/>
      <c r="Q326" s="32"/>
      <c r="R326" s="32"/>
      <c r="S326" s="32"/>
      <c r="T326" s="32"/>
    </row>
    <row r="327" spans="3:20" x14ac:dyDescent="0.3">
      <c r="C327" s="11"/>
      <c r="D327" s="32"/>
      <c r="E327" s="11"/>
      <c r="K327" s="15"/>
      <c r="L327" s="47"/>
      <c r="M327" s="76"/>
      <c r="N327" s="76"/>
      <c r="O327" s="78" t="str">
        <f>_xlfn.LET(
    _xlpm.itemBuscado, B327,
    _xlpm.areaBuscada, C327,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TEXT(COUNTIF($C$2:C327, _xlpm.areaBuscada), "0000"),
    _xlpm.codItem &amp; "-" &amp; _xlpm.codArea &amp; "-" &amp; _xlpm.secuencia
)</f>
        <v>-SinArea-0000</v>
      </c>
      <c r="P327" s="77"/>
      <c r="Q327" s="32"/>
      <c r="R327" s="32"/>
      <c r="S327" s="32"/>
      <c r="T327" s="32"/>
    </row>
    <row r="328" spans="3:20" x14ac:dyDescent="0.3">
      <c r="C328" s="11"/>
      <c r="D328" s="32"/>
      <c r="E328" s="11"/>
      <c r="K328" s="15"/>
      <c r="L328" s="47"/>
      <c r="M328" s="76"/>
      <c r="N328" s="76"/>
      <c r="O328" s="78" t="str">
        <f>_xlfn.LET(
    _xlpm.itemBuscado, B328,
    _xlpm.areaBuscada, C328,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TEXT(COUNTIF($C$2:C328, _xlpm.areaBuscada), "0000"),
    _xlpm.codItem &amp; "-" &amp; _xlpm.codArea &amp; "-" &amp; _xlpm.secuencia
)</f>
        <v>-SinArea-0000</v>
      </c>
      <c r="P328" s="77"/>
      <c r="Q328" s="32"/>
      <c r="R328" s="32"/>
      <c r="S328" s="32"/>
      <c r="T328" s="32"/>
    </row>
    <row r="329" spans="3:20" x14ac:dyDescent="0.3">
      <c r="C329" s="11"/>
      <c r="D329" s="32"/>
      <c r="E329" s="11"/>
      <c r="K329" s="15"/>
      <c r="L329" s="47"/>
      <c r="M329" s="76"/>
      <c r="N329" s="76"/>
      <c r="O329" s="78" t="str">
        <f>_xlfn.LET(
    _xlpm.itemBuscado, B329,
    _xlpm.areaBuscada, C329,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TEXT(COUNTIF($C$2:C329, _xlpm.areaBuscada), "0000"),
    _xlpm.codItem &amp; "-" &amp; _xlpm.codArea &amp; "-" &amp; _xlpm.secuencia
)</f>
        <v>-SinArea-0000</v>
      </c>
      <c r="P329" s="77"/>
      <c r="Q329" s="32"/>
      <c r="R329" s="32"/>
      <c r="S329" s="32"/>
      <c r="T329" s="32"/>
    </row>
    <row r="330" spans="3:20" x14ac:dyDescent="0.3">
      <c r="C330" s="11"/>
      <c r="D330" s="32"/>
      <c r="E330" s="11"/>
      <c r="K330" s="15"/>
      <c r="L330" s="47"/>
      <c r="M330" s="76"/>
      <c r="N330" s="76"/>
      <c r="O330" s="78" t="str">
        <f>_xlfn.LET(
    _xlpm.itemBuscado, B330,
    _xlpm.areaBuscada, C330,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TEXT(COUNTIF($C$2:C330, _xlpm.areaBuscada), "0000"),
    _xlpm.codItem &amp; "-" &amp; _xlpm.codArea &amp; "-" &amp; _xlpm.secuencia
)</f>
        <v>-SinArea-0000</v>
      </c>
      <c r="P330" s="77"/>
      <c r="Q330" s="32"/>
      <c r="R330" s="32"/>
      <c r="S330" s="32"/>
      <c r="T330" s="32"/>
    </row>
    <row r="331" spans="3:20" x14ac:dyDescent="0.3">
      <c r="C331" s="11"/>
      <c r="D331" s="32"/>
      <c r="E331" s="11"/>
      <c r="K331" s="15"/>
      <c r="L331" s="47"/>
      <c r="M331" s="76"/>
      <c r="N331" s="76"/>
      <c r="O331" s="78" t="str">
        <f>_xlfn.LET(
    _xlpm.itemBuscado, B331,
    _xlpm.areaBuscada, C331,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TEXT(COUNTIF($C$2:C331, _xlpm.areaBuscada), "0000"),
    _xlpm.codItem &amp; "-" &amp; _xlpm.codArea &amp; "-" &amp; _xlpm.secuencia
)</f>
        <v>-SinArea-0000</v>
      </c>
      <c r="P331" s="77"/>
      <c r="Q331" s="32"/>
      <c r="R331" s="32"/>
      <c r="S331" s="32"/>
      <c r="T331" s="32"/>
    </row>
    <row r="332" spans="3:20" x14ac:dyDescent="0.3">
      <c r="C332" s="11"/>
      <c r="D332" s="32"/>
      <c r="E332" s="11"/>
      <c r="K332" s="15"/>
      <c r="L332" s="47"/>
      <c r="M332" s="76"/>
      <c r="N332" s="76"/>
      <c r="O332" s="78" t="str">
        <f>_xlfn.LET(
    _xlpm.itemBuscado, B332,
    _xlpm.areaBuscada, C332,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TEXT(COUNTIF($C$2:C332, _xlpm.areaBuscada), "0000"),
    _xlpm.codItem &amp; "-" &amp; _xlpm.codArea &amp; "-" &amp; _xlpm.secuencia
)</f>
        <v>-SinArea-0000</v>
      </c>
      <c r="P332" s="77"/>
      <c r="Q332" s="32"/>
      <c r="R332" s="32"/>
      <c r="S332" s="32"/>
      <c r="T332" s="32"/>
    </row>
    <row r="333" spans="3:20" x14ac:dyDescent="0.3">
      <c r="C333" s="11"/>
      <c r="D333" s="32"/>
      <c r="E333" s="11"/>
      <c r="K333" s="15"/>
      <c r="L333" s="47"/>
      <c r="M333" s="76"/>
      <c r="N333" s="76"/>
      <c r="O333" s="78" t="str">
        <f>_xlfn.LET(
    _xlpm.itemBuscado, B333,
    _xlpm.areaBuscada, C333,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TEXT(COUNTIF($C$2:C333, _xlpm.areaBuscada), "0000"),
    _xlpm.codItem &amp; "-" &amp; _xlpm.codArea &amp; "-" &amp; _xlpm.secuencia
)</f>
        <v>-SinArea-0000</v>
      </c>
      <c r="P333" s="77"/>
      <c r="Q333" s="32"/>
      <c r="R333" s="32"/>
      <c r="S333" s="32"/>
      <c r="T333" s="32"/>
    </row>
    <row r="334" spans="3:20" x14ac:dyDescent="0.3">
      <c r="C334" s="11"/>
      <c r="D334" s="32"/>
      <c r="E334" s="11"/>
      <c r="K334" s="15"/>
      <c r="L334" s="47"/>
      <c r="M334" s="76"/>
      <c r="N334" s="76"/>
      <c r="O334" s="78" t="str">
        <f>_xlfn.LET(
    _xlpm.itemBuscado, B334,
    _xlpm.areaBuscada, C334,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TEXT(COUNTIF($C$2:C334, _xlpm.areaBuscada), "0000"),
    _xlpm.codItem &amp; "-" &amp; _xlpm.codArea &amp; "-" &amp; _xlpm.secuencia
)</f>
        <v>-SinArea-0000</v>
      </c>
      <c r="P334" s="77"/>
      <c r="Q334" s="32"/>
      <c r="R334" s="32"/>
      <c r="S334" s="32"/>
      <c r="T334" s="32"/>
    </row>
    <row r="335" spans="3:20" x14ac:dyDescent="0.3">
      <c r="C335" s="11"/>
      <c r="D335" s="32"/>
      <c r="E335" s="11"/>
      <c r="K335" s="15"/>
      <c r="L335" s="47"/>
      <c r="M335" s="76"/>
      <c r="N335" s="76"/>
      <c r="O335" s="78" t="str">
        <f>_xlfn.LET(
    _xlpm.itemBuscado, B335,
    _xlpm.areaBuscada, C335,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TEXT(COUNTIF($C$2:C335, _xlpm.areaBuscada), "0000"),
    _xlpm.codItem &amp; "-" &amp; _xlpm.codArea &amp; "-" &amp; _xlpm.secuencia
)</f>
        <v>-SinArea-0000</v>
      </c>
      <c r="P335" s="77"/>
      <c r="Q335" s="32"/>
      <c r="R335" s="32"/>
      <c r="S335" s="32"/>
      <c r="T335" s="32"/>
    </row>
    <row r="336" spans="3:20" x14ac:dyDescent="0.3">
      <c r="C336" s="11"/>
      <c r="D336" s="32"/>
      <c r="E336" s="11"/>
      <c r="K336" s="15"/>
      <c r="L336" s="47"/>
      <c r="M336" s="76"/>
      <c r="N336" s="76"/>
      <c r="O336" s="78" t="str">
        <f>_xlfn.LET(
    _xlpm.itemBuscado, B336,
    _xlpm.areaBuscada, C336,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TEXT(COUNTIF($C$2:C336, _xlpm.areaBuscada), "0000"),
    _xlpm.codItem &amp; "-" &amp; _xlpm.codArea &amp; "-" &amp; _xlpm.secuencia
)</f>
        <v>-SinArea-0000</v>
      </c>
      <c r="P336" s="77"/>
      <c r="Q336" s="32"/>
      <c r="R336" s="32"/>
      <c r="S336" s="32"/>
      <c r="T336" s="32"/>
    </row>
    <row r="337" spans="3:20" x14ac:dyDescent="0.3">
      <c r="C337" s="11"/>
      <c r="D337" s="32"/>
      <c r="E337" s="11"/>
      <c r="K337" s="15"/>
      <c r="L337" s="47"/>
      <c r="M337" s="76"/>
      <c r="N337" s="76"/>
      <c r="O337" s="78" t="str">
        <f>_xlfn.LET(
    _xlpm.itemBuscado, B337,
    _xlpm.areaBuscada, C337,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TEXT(COUNTIF($C$2:C337, _xlpm.areaBuscada), "0000"),
    _xlpm.codItem &amp; "-" &amp; _xlpm.codArea &amp; "-" &amp; _xlpm.secuencia
)</f>
        <v>-SinArea-0000</v>
      </c>
      <c r="P337" s="77"/>
      <c r="Q337" s="32"/>
      <c r="R337" s="32"/>
      <c r="S337" s="32"/>
      <c r="T337" s="32"/>
    </row>
    <row r="338" spans="3:20" x14ac:dyDescent="0.3">
      <c r="C338" s="11"/>
      <c r="D338" s="32"/>
      <c r="E338" s="11"/>
      <c r="K338" s="15"/>
      <c r="L338" s="47"/>
      <c r="M338" s="76"/>
      <c r="N338" s="76"/>
      <c r="O338" s="78" t="str">
        <f>_xlfn.LET(
    _xlpm.itemBuscado, B338,
    _xlpm.areaBuscada, C338,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TEXT(COUNTIF($C$2:C338, _xlpm.areaBuscada), "0000"),
    _xlpm.codItem &amp; "-" &amp; _xlpm.codArea &amp; "-" &amp; _xlpm.secuencia
)</f>
        <v>-SinArea-0000</v>
      </c>
      <c r="P338" s="77"/>
      <c r="Q338" s="32"/>
      <c r="R338" s="32"/>
      <c r="S338" s="32"/>
      <c r="T338" s="32"/>
    </row>
    <row r="339" spans="3:20" x14ac:dyDescent="0.3">
      <c r="C339" s="11"/>
      <c r="D339" s="32"/>
      <c r="E339" s="11"/>
      <c r="K339" s="15"/>
      <c r="L339" s="47"/>
      <c r="M339" s="76"/>
      <c r="N339" s="76"/>
      <c r="O339" s="78" t="str">
        <f>_xlfn.LET(
    _xlpm.itemBuscado, B339,
    _xlpm.areaBuscada, C339,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TEXT(COUNTIF($C$2:C339, _xlpm.areaBuscada), "0000"),
    _xlpm.codItem &amp; "-" &amp; _xlpm.codArea &amp; "-" &amp; _xlpm.secuencia
)</f>
        <v>-SinArea-0000</v>
      </c>
      <c r="P339" s="77"/>
      <c r="Q339" s="32"/>
      <c r="R339" s="32"/>
      <c r="S339" s="32"/>
      <c r="T339" s="32"/>
    </row>
    <row r="340" spans="3:20" x14ac:dyDescent="0.3">
      <c r="C340" s="11"/>
      <c r="D340" s="32"/>
      <c r="E340" s="11"/>
      <c r="K340" s="15"/>
      <c r="L340" s="47"/>
      <c r="M340" s="76"/>
      <c r="N340" s="76"/>
      <c r="O340" s="78" t="str">
        <f>_xlfn.LET(
    _xlpm.itemBuscado, B340,
    _xlpm.areaBuscada, C340,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TEXT(COUNTIF($C$2:C340, _xlpm.areaBuscada), "0000"),
    _xlpm.codItem &amp; "-" &amp; _xlpm.codArea &amp; "-" &amp; _xlpm.secuencia
)</f>
        <v>-SinArea-0000</v>
      </c>
      <c r="P340" s="77"/>
      <c r="Q340" s="32"/>
      <c r="R340" s="32"/>
      <c r="S340" s="32"/>
      <c r="T340" s="32"/>
    </row>
    <row r="341" spans="3:20" x14ac:dyDescent="0.3">
      <c r="C341" s="11"/>
      <c r="D341" s="32"/>
      <c r="E341" s="11"/>
      <c r="K341" s="15"/>
      <c r="L341" s="47"/>
      <c r="M341" s="76"/>
      <c r="N341" s="76"/>
      <c r="O341" s="78" t="str">
        <f>_xlfn.LET(
    _xlpm.itemBuscado, B341,
    _xlpm.areaBuscada, C341,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TEXT(COUNTIF($C$2:C341, _xlpm.areaBuscada), "0000"),
    _xlpm.codItem &amp; "-" &amp; _xlpm.codArea &amp; "-" &amp; _xlpm.secuencia
)</f>
        <v>-SinArea-0000</v>
      </c>
      <c r="P341" s="77"/>
      <c r="Q341" s="32"/>
      <c r="R341" s="32"/>
      <c r="S341" s="32"/>
      <c r="T341" s="32"/>
    </row>
    <row r="342" spans="3:20" x14ac:dyDescent="0.3">
      <c r="C342" s="11"/>
      <c r="D342" s="32"/>
      <c r="E342" s="11"/>
      <c r="K342" s="15"/>
      <c r="L342" s="47"/>
      <c r="M342" s="76"/>
      <c r="N342" s="76"/>
      <c r="O342" s="78" t="str">
        <f>_xlfn.LET(
    _xlpm.itemBuscado, B342,
    _xlpm.areaBuscada, C342,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TEXT(COUNTIF($C$2:C342, _xlpm.areaBuscada), "0000"),
    _xlpm.codItem &amp; "-" &amp; _xlpm.codArea &amp; "-" &amp; _xlpm.secuencia
)</f>
        <v>-SinArea-0000</v>
      </c>
      <c r="P342" s="77"/>
      <c r="Q342" s="32"/>
      <c r="R342" s="32"/>
      <c r="S342" s="32"/>
      <c r="T342" s="32"/>
    </row>
    <row r="343" spans="3:20" x14ac:dyDescent="0.3">
      <c r="C343" s="11"/>
      <c r="D343" s="32"/>
      <c r="E343" s="11"/>
      <c r="K343" s="15"/>
      <c r="L343" s="47"/>
      <c r="M343" s="76"/>
      <c r="N343" s="76"/>
      <c r="O343" s="78" t="str">
        <f>_xlfn.LET(
    _xlpm.itemBuscado, B343,
    _xlpm.areaBuscada, C343,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TEXT(COUNTIF($C$2:C343, _xlpm.areaBuscada), "0000"),
    _xlpm.codItem &amp; "-" &amp; _xlpm.codArea &amp; "-" &amp; _xlpm.secuencia
)</f>
        <v>-SinArea-0000</v>
      </c>
      <c r="P343" s="77"/>
      <c r="Q343" s="32"/>
      <c r="R343" s="32"/>
      <c r="S343" s="32"/>
      <c r="T343" s="32"/>
    </row>
    <row r="344" spans="3:20" x14ac:dyDescent="0.3">
      <c r="C344" s="11"/>
      <c r="D344" s="32"/>
      <c r="E344" s="11"/>
      <c r="K344" s="15"/>
      <c r="L344" s="47"/>
      <c r="M344" s="76"/>
      <c r="N344" s="76"/>
      <c r="O344" s="78" t="str">
        <f>_xlfn.LET(
    _xlpm.itemBuscado, B344,
    _xlpm.areaBuscada, C344,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TEXT(COUNTIF($C$2:C344, _xlpm.areaBuscada), "0000"),
    _xlpm.codItem &amp; "-" &amp; _xlpm.codArea &amp; "-" &amp; _xlpm.secuencia
)</f>
        <v>-SinArea-0000</v>
      </c>
      <c r="P344" s="77"/>
      <c r="Q344" s="32"/>
      <c r="R344" s="32"/>
      <c r="S344" s="32"/>
      <c r="T344" s="32"/>
    </row>
    <row r="345" spans="3:20" x14ac:dyDescent="0.3">
      <c r="C345" s="11"/>
      <c r="D345" s="32"/>
      <c r="E345" s="11"/>
      <c r="K345" s="15"/>
      <c r="L345" s="47"/>
      <c r="M345" s="76"/>
      <c r="N345" s="76"/>
      <c r="O345" s="78" t="str">
        <f>_xlfn.LET(
    _xlpm.itemBuscado, B345,
    _xlpm.areaBuscada, C345,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TEXT(COUNTIF($C$2:C345, _xlpm.areaBuscada), "0000"),
    _xlpm.codItem &amp; "-" &amp; _xlpm.codArea &amp; "-" &amp; _xlpm.secuencia
)</f>
        <v>-SinArea-0000</v>
      </c>
      <c r="P345" s="77"/>
      <c r="Q345" s="32"/>
      <c r="R345" s="32"/>
      <c r="S345" s="32"/>
      <c r="T345" s="32"/>
    </row>
    <row r="346" spans="3:20" x14ac:dyDescent="0.3">
      <c r="C346" s="11"/>
      <c r="D346" s="32"/>
      <c r="E346" s="11"/>
      <c r="K346" s="15"/>
      <c r="L346" s="47"/>
      <c r="M346" s="76"/>
      <c r="N346" s="76"/>
      <c r="O346" s="78" t="str">
        <f>_xlfn.LET(
    _xlpm.itemBuscado, B346,
    _xlpm.areaBuscada, C346,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TEXT(COUNTIF($C$2:C346, _xlpm.areaBuscada), "0000"),
    _xlpm.codItem &amp; "-" &amp; _xlpm.codArea &amp; "-" &amp; _xlpm.secuencia
)</f>
        <v>-SinArea-0000</v>
      </c>
      <c r="P346" s="77"/>
      <c r="Q346" s="32"/>
      <c r="R346" s="32"/>
      <c r="S346" s="32"/>
      <c r="T346" s="32"/>
    </row>
    <row r="347" spans="3:20" x14ac:dyDescent="0.3">
      <c r="C347" s="11"/>
      <c r="D347" s="32"/>
      <c r="E347" s="11"/>
      <c r="K347" s="15"/>
      <c r="L347" s="47"/>
      <c r="M347" s="76"/>
      <c r="N347" s="76"/>
      <c r="O347" s="78" t="str">
        <f>_xlfn.LET(
    _xlpm.itemBuscado, B347,
    _xlpm.areaBuscada, C347,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TEXT(COUNTIF($C$2:C347, _xlpm.areaBuscada), "0000"),
    _xlpm.codItem &amp; "-" &amp; _xlpm.codArea &amp; "-" &amp; _xlpm.secuencia
)</f>
        <v>-SinArea-0000</v>
      </c>
      <c r="P347" s="77"/>
      <c r="Q347" s="32"/>
      <c r="R347" s="32"/>
      <c r="S347" s="32"/>
      <c r="T347" s="32"/>
    </row>
    <row r="348" spans="3:20" x14ac:dyDescent="0.3">
      <c r="C348" s="11"/>
      <c r="D348" s="32"/>
      <c r="E348" s="11"/>
      <c r="K348" s="15"/>
      <c r="L348" s="47"/>
      <c r="M348" s="76"/>
      <c r="N348" s="76"/>
      <c r="O348" s="78" t="str">
        <f>_xlfn.LET(
    _xlpm.itemBuscado, B348,
    _xlpm.areaBuscada, C348,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TEXT(COUNTIF($C$2:C348, _xlpm.areaBuscada), "0000"),
    _xlpm.codItem &amp; "-" &amp; _xlpm.codArea &amp; "-" &amp; _xlpm.secuencia
)</f>
        <v>-SinArea-0000</v>
      </c>
      <c r="P348" s="77"/>
      <c r="Q348" s="32"/>
      <c r="R348" s="32"/>
      <c r="S348" s="32"/>
      <c r="T348" s="32"/>
    </row>
    <row r="349" spans="3:20" x14ac:dyDescent="0.3">
      <c r="C349" s="11"/>
      <c r="D349" s="32"/>
      <c r="E349" s="11"/>
      <c r="K349" s="15"/>
      <c r="L349" s="47"/>
      <c r="M349" s="76"/>
      <c r="N349" s="76"/>
      <c r="O349" s="78" t="str">
        <f>_xlfn.LET(
    _xlpm.itemBuscado, B349,
    _xlpm.areaBuscada, C349,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TEXT(COUNTIF($C$2:C349, _xlpm.areaBuscada), "0000"),
    _xlpm.codItem &amp; "-" &amp; _xlpm.codArea &amp; "-" &amp; _xlpm.secuencia
)</f>
        <v>-SinArea-0000</v>
      </c>
      <c r="P349" s="77"/>
      <c r="Q349" s="32"/>
      <c r="R349" s="32"/>
      <c r="S349" s="32"/>
      <c r="T349" s="32"/>
    </row>
    <row r="350" spans="3:20" x14ac:dyDescent="0.3">
      <c r="C350" s="11"/>
      <c r="D350" s="32"/>
      <c r="E350" s="11"/>
      <c r="K350" s="15"/>
      <c r="L350" s="47"/>
      <c r="M350" s="76"/>
      <c r="N350" s="76"/>
      <c r="O350" s="78" t="str">
        <f>_xlfn.LET(
    _xlpm.itemBuscado, B350,
    _xlpm.areaBuscada, C350,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TEXT(COUNTIF($C$2:C350, _xlpm.areaBuscada), "0000"),
    _xlpm.codItem &amp; "-" &amp; _xlpm.codArea &amp; "-" &amp; _xlpm.secuencia
)</f>
        <v>-SinArea-0000</v>
      </c>
      <c r="P350" s="77"/>
      <c r="Q350" s="32"/>
      <c r="R350" s="32"/>
      <c r="S350" s="32"/>
      <c r="T350" s="32"/>
    </row>
    <row r="351" spans="3:20" x14ac:dyDescent="0.3">
      <c r="C351" s="11"/>
      <c r="D351" s="32"/>
      <c r="E351" s="11"/>
      <c r="K351" s="15"/>
      <c r="L351" s="47"/>
      <c r="M351" s="76"/>
      <c r="N351" s="76"/>
      <c r="O351" s="78" t="str">
        <f>_xlfn.LET(
    _xlpm.itemBuscado, B351,
    _xlpm.areaBuscada, C351,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TEXT(COUNTIF($C$2:C351, _xlpm.areaBuscada), "0000"),
    _xlpm.codItem &amp; "-" &amp; _xlpm.codArea &amp; "-" &amp; _xlpm.secuencia
)</f>
        <v>-SinArea-0000</v>
      </c>
      <c r="P351" s="77"/>
      <c r="Q351" s="32"/>
      <c r="R351" s="32"/>
      <c r="S351" s="32"/>
      <c r="T351" s="32"/>
    </row>
    <row r="352" spans="3:20" x14ac:dyDescent="0.3">
      <c r="C352" s="11"/>
      <c r="D352" s="32"/>
      <c r="E352" s="11"/>
      <c r="K352" s="15"/>
      <c r="L352" s="47"/>
      <c r="M352" s="76"/>
      <c r="N352" s="76"/>
      <c r="O352" s="78" t="str">
        <f>_xlfn.LET(
    _xlpm.itemBuscado, B352,
    _xlpm.areaBuscada, C352,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TEXT(COUNTIF($C$2:C352, _xlpm.areaBuscada), "0000"),
    _xlpm.codItem &amp; "-" &amp; _xlpm.codArea &amp; "-" &amp; _xlpm.secuencia
)</f>
        <v>-SinArea-0000</v>
      </c>
      <c r="P352" s="77"/>
      <c r="Q352" s="32"/>
      <c r="R352" s="32"/>
      <c r="S352" s="32"/>
      <c r="T352" s="32"/>
    </row>
    <row r="353" spans="3:20" x14ac:dyDescent="0.3">
      <c r="C353" s="11"/>
      <c r="D353" s="32"/>
      <c r="E353" s="11"/>
      <c r="K353" s="15"/>
      <c r="L353" s="47"/>
      <c r="M353" s="76"/>
      <c r="N353" s="76"/>
      <c r="O353" s="78" t="str">
        <f>_xlfn.LET(
    _xlpm.itemBuscado, B353,
    _xlpm.areaBuscada, C353,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TEXT(COUNTIF($C$2:C353, _xlpm.areaBuscada), "0000"),
    _xlpm.codItem &amp; "-" &amp; _xlpm.codArea &amp; "-" &amp; _xlpm.secuencia
)</f>
        <v>-SinArea-0000</v>
      </c>
      <c r="P353" s="77"/>
      <c r="Q353" s="32"/>
      <c r="R353" s="32"/>
      <c r="S353" s="32"/>
      <c r="T353" s="32"/>
    </row>
    <row r="354" spans="3:20" x14ac:dyDescent="0.3">
      <c r="C354" s="11"/>
      <c r="D354" s="32"/>
      <c r="E354" s="11"/>
      <c r="K354" s="15"/>
      <c r="L354" s="47"/>
      <c r="M354" s="76"/>
      <c r="N354" s="76"/>
      <c r="O354" s="78" t="str">
        <f>_xlfn.LET(
    _xlpm.itemBuscado, B354,
    _xlpm.areaBuscada, C354,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TEXT(COUNTIF($C$2:C354, _xlpm.areaBuscada), "0000"),
    _xlpm.codItem &amp; "-" &amp; _xlpm.codArea &amp; "-" &amp; _xlpm.secuencia
)</f>
        <v>-SinArea-0000</v>
      </c>
      <c r="P354" s="77"/>
      <c r="Q354" s="32"/>
      <c r="R354" s="32"/>
      <c r="S354" s="32"/>
      <c r="T354" s="32"/>
    </row>
    <row r="355" spans="3:20" x14ac:dyDescent="0.3">
      <c r="C355" s="11"/>
      <c r="D355" s="32"/>
      <c r="E355" s="11"/>
      <c r="K355" s="15"/>
      <c r="L355" s="47"/>
      <c r="M355" s="76"/>
      <c r="N355" s="76"/>
      <c r="O355" s="78" t="str">
        <f>_xlfn.LET(
    _xlpm.itemBuscado, B355,
    _xlpm.areaBuscada, C355,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TEXT(COUNTIF($C$2:C355, _xlpm.areaBuscada), "0000"),
    _xlpm.codItem &amp; "-" &amp; _xlpm.codArea &amp; "-" &amp; _xlpm.secuencia
)</f>
        <v>-SinArea-0000</v>
      </c>
      <c r="P355" s="77"/>
      <c r="Q355" s="32"/>
      <c r="R355" s="32"/>
      <c r="S355" s="32"/>
      <c r="T355" s="32"/>
    </row>
    <row r="356" spans="3:20" x14ac:dyDescent="0.3">
      <c r="C356" s="11"/>
      <c r="D356" s="32"/>
      <c r="E356" s="11"/>
      <c r="K356" s="15"/>
      <c r="L356" s="47"/>
      <c r="M356" s="76"/>
      <c r="N356" s="76"/>
      <c r="O356" s="78" t="str">
        <f>_xlfn.LET(
    _xlpm.itemBuscado, B356,
    _xlpm.areaBuscada, C356,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TEXT(COUNTIF($C$2:C356, _xlpm.areaBuscada), "0000"),
    _xlpm.codItem &amp; "-" &amp; _xlpm.codArea &amp; "-" &amp; _xlpm.secuencia
)</f>
        <v>-SinArea-0000</v>
      </c>
      <c r="P356" s="77"/>
      <c r="Q356" s="32"/>
      <c r="R356" s="32"/>
      <c r="S356" s="32"/>
      <c r="T356" s="32"/>
    </row>
    <row r="357" spans="3:20" x14ac:dyDescent="0.3">
      <c r="C357" s="11"/>
      <c r="D357" s="32"/>
      <c r="E357" s="11"/>
      <c r="K357" s="15"/>
      <c r="L357" s="47"/>
      <c r="M357" s="76"/>
      <c r="N357" s="76"/>
      <c r="O357" s="78" t="str">
        <f>_xlfn.LET(
    _xlpm.itemBuscado, B357,
    _xlpm.areaBuscada, C357,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TEXT(COUNTIF($C$2:C357, _xlpm.areaBuscada), "0000"),
    _xlpm.codItem &amp; "-" &amp; _xlpm.codArea &amp; "-" &amp; _xlpm.secuencia
)</f>
        <v>-SinArea-0000</v>
      </c>
      <c r="P357" s="77"/>
      <c r="Q357" s="32"/>
      <c r="R357" s="32"/>
      <c r="S357" s="32"/>
      <c r="T357" s="32"/>
    </row>
    <row r="358" spans="3:20" x14ac:dyDescent="0.3">
      <c r="C358" s="11"/>
      <c r="D358" s="32"/>
      <c r="E358" s="11"/>
      <c r="K358" s="15"/>
      <c r="L358" s="47"/>
      <c r="M358" s="76"/>
      <c r="N358" s="76"/>
      <c r="O358" s="78" t="str">
        <f>_xlfn.LET(
    _xlpm.itemBuscado, B358,
    _xlpm.areaBuscada, C358,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TEXT(COUNTIF($C$2:C358, _xlpm.areaBuscada), "0000"),
    _xlpm.codItem &amp; "-" &amp; _xlpm.codArea &amp; "-" &amp; _xlpm.secuencia
)</f>
        <v>-SinArea-0000</v>
      </c>
      <c r="P358" s="77"/>
      <c r="Q358" s="32"/>
      <c r="R358" s="32"/>
      <c r="S358" s="32"/>
      <c r="T358" s="32"/>
    </row>
    <row r="359" spans="3:20" x14ac:dyDescent="0.3">
      <c r="C359" s="11"/>
      <c r="D359" s="32"/>
      <c r="E359" s="11"/>
      <c r="K359" s="15"/>
      <c r="L359" s="47"/>
      <c r="M359" s="76"/>
      <c r="N359" s="76"/>
      <c r="O359" s="78" t="str">
        <f>_xlfn.LET(
    _xlpm.itemBuscado, B359,
    _xlpm.areaBuscada, C359,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TEXT(COUNTIF($C$2:C359, _xlpm.areaBuscada), "0000"),
    _xlpm.codItem &amp; "-" &amp; _xlpm.codArea &amp; "-" &amp; _xlpm.secuencia
)</f>
        <v>-SinArea-0000</v>
      </c>
      <c r="P359" s="77"/>
      <c r="Q359" s="32"/>
      <c r="R359" s="32"/>
      <c r="S359" s="32"/>
      <c r="T359" s="32"/>
    </row>
    <row r="360" spans="3:20" x14ac:dyDescent="0.3">
      <c r="C360" s="11"/>
      <c r="D360" s="32"/>
      <c r="E360" s="11"/>
      <c r="K360" s="15"/>
      <c r="L360" s="47"/>
      <c r="M360" s="76"/>
      <c r="N360" s="76"/>
      <c r="O360" s="78" t="str">
        <f>_xlfn.LET(
    _xlpm.itemBuscado, B360,
    _xlpm.areaBuscada, C360,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TEXT(COUNTIF($C$2:C360, _xlpm.areaBuscada), "0000"),
    _xlpm.codItem &amp; "-" &amp; _xlpm.codArea &amp; "-" &amp; _xlpm.secuencia
)</f>
        <v>-SinArea-0000</v>
      </c>
      <c r="P360" s="77"/>
      <c r="Q360" s="32"/>
      <c r="R360" s="32"/>
      <c r="S360" s="32"/>
      <c r="T360" s="32"/>
    </row>
    <row r="361" spans="3:20" x14ac:dyDescent="0.3">
      <c r="C361" s="11"/>
      <c r="D361" s="32"/>
      <c r="E361" s="11"/>
      <c r="K361" s="15"/>
      <c r="L361" s="47"/>
      <c r="M361" s="76"/>
      <c r="N361" s="76"/>
      <c r="O361" s="78" t="str">
        <f>_xlfn.LET(
    _xlpm.itemBuscado, B361,
    _xlpm.areaBuscada, C361,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TEXT(COUNTIF($C$2:C361, _xlpm.areaBuscada), "0000"),
    _xlpm.codItem &amp; "-" &amp; _xlpm.codArea &amp; "-" &amp; _xlpm.secuencia
)</f>
        <v>-SinArea-0000</v>
      </c>
      <c r="P361" s="77"/>
      <c r="Q361" s="32"/>
      <c r="R361" s="32"/>
      <c r="S361" s="32"/>
      <c r="T361" s="32"/>
    </row>
    <row r="362" spans="3:20" x14ac:dyDescent="0.3">
      <c r="C362" s="11"/>
      <c r="D362" s="32"/>
      <c r="E362" s="11"/>
      <c r="K362" s="15"/>
      <c r="L362" s="47"/>
      <c r="M362" s="76"/>
      <c r="N362" s="76"/>
      <c r="O362" s="78" t="str">
        <f>_xlfn.LET(
    _xlpm.itemBuscado, B362,
    _xlpm.areaBuscada, C362,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TEXT(COUNTIF($C$2:C362, _xlpm.areaBuscada), "0000"),
    _xlpm.codItem &amp; "-" &amp; _xlpm.codArea &amp; "-" &amp; _xlpm.secuencia
)</f>
        <v>-SinArea-0000</v>
      </c>
      <c r="P362" s="77"/>
      <c r="Q362" s="32"/>
      <c r="R362" s="32"/>
      <c r="S362" s="32"/>
      <c r="T362" s="32"/>
    </row>
    <row r="363" spans="3:20" x14ac:dyDescent="0.3">
      <c r="C363" s="11"/>
      <c r="D363" s="32"/>
      <c r="E363" s="11"/>
      <c r="K363" s="15"/>
      <c r="L363" s="47"/>
      <c r="M363" s="76"/>
      <c r="N363" s="76"/>
      <c r="O363" s="78" t="str">
        <f>_xlfn.LET(
    _xlpm.itemBuscado, B363,
    _xlpm.areaBuscada, C363,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TEXT(COUNTIF($C$2:C363, _xlpm.areaBuscada), "0000"),
    _xlpm.codItem &amp; "-" &amp; _xlpm.codArea &amp; "-" &amp; _xlpm.secuencia
)</f>
        <v>-SinArea-0000</v>
      </c>
      <c r="P363" s="77"/>
      <c r="Q363" s="32"/>
      <c r="R363" s="32"/>
      <c r="S363" s="32"/>
      <c r="T363" s="32"/>
    </row>
    <row r="364" spans="3:20" x14ac:dyDescent="0.3">
      <c r="C364" s="11"/>
      <c r="D364" s="32"/>
      <c r="E364" s="11"/>
      <c r="K364" s="15"/>
      <c r="L364" s="47"/>
      <c r="M364" s="76"/>
      <c r="N364" s="76"/>
      <c r="O364" s="78" t="str">
        <f>_xlfn.LET(
    _xlpm.itemBuscado, B364,
    _xlpm.areaBuscada, C364,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TEXT(COUNTIF($C$2:C364, _xlpm.areaBuscada), "0000"),
    _xlpm.codItem &amp; "-" &amp; _xlpm.codArea &amp; "-" &amp; _xlpm.secuencia
)</f>
        <v>-SinArea-0000</v>
      </c>
      <c r="P364" s="77"/>
      <c r="Q364" s="32"/>
      <c r="R364" s="32"/>
      <c r="S364" s="32"/>
      <c r="T364" s="32"/>
    </row>
    <row r="365" spans="3:20" x14ac:dyDescent="0.3">
      <c r="C365" s="11"/>
      <c r="D365" s="32"/>
      <c r="E365" s="11"/>
      <c r="K365" s="15"/>
      <c r="L365" s="47"/>
      <c r="M365" s="76"/>
      <c r="N365" s="76"/>
      <c r="O365" s="78" t="str">
        <f>_xlfn.LET(
    _xlpm.itemBuscado, B365,
    _xlpm.areaBuscada, C365,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TEXT(COUNTIF($C$2:C365, _xlpm.areaBuscada), "0000"),
    _xlpm.codItem &amp; "-" &amp; _xlpm.codArea &amp; "-" &amp; _xlpm.secuencia
)</f>
        <v>-SinArea-0000</v>
      </c>
      <c r="P365" s="77"/>
      <c r="Q365" s="32"/>
      <c r="R365" s="32"/>
      <c r="S365" s="32"/>
      <c r="T365" s="32"/>
    </row>
    <row r="366" spans="3:20" x14ac:dyDescent="0.3">
      <c r="C366" s="11"/>
      <c r="D366" s="32"/>
      <c r="E366" s="11"/>
      <c r="K366" s="15"/>
      <c r="L366" s="47"/>
      <c r="M366" s="76"/>
      <c r="N366" s="76"/>
      <c r="O366" s="78" t="str">
        <f>_xlfn.LET(
    _xlpm.itemBuscado, B366,
    _xlpm.areaBuscada, C366,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TEXT(COUNTIF($C$2:C366, _xlpm.areaBuscada), "0000"),
    _xlpm.codItem &amp; "-" &amp; _xlpm.codArea &amp; "-" &amp; _xlpm.secuencia
)</f>
        <v>-SinArea-0000</v>
      </c>
      <c r="P366" s="77"/>
      <c r="Q366" s="32"/>
      <c r="R366" s="32"/>
      <c r="S366" s="32"/>
      <c r="T366" s="32"/>
    </row>
    <row r="367" spans="3:20" x14ac:dyDescent="0.3">
      <c r="C367" s="11"/>
      <c r="D367" s="32"/>
      <c r="E367" s="11"/>
      <c r="K367" s="15"/>
      <c r="L367" s="47"/>
      <c r="M367" s="76"/>
      <c r="N367" s="76"/>
      <c r="O367" s="78" t="str">
        <f>_xlfn.LET(
    _xlpm.itemBuscado, B367,
    _xlpm.areaBuscada, C367,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TEXT(COUNTIF($C$2:C367, _xlpm.areaBuscada), "0000"),
    _xlpm.codItem &amp; "-" &amp; _xlpm.codArea &amp; "-" &amp; _xlpm.secuencia
)</f>
        <v>-SinArea-0000</v>
      </c>
      <c r="P367" s="77"/>
      <c r="Q367" s="32"/>
      <c r="R367" s="32"/>
      <c r="S367" s="32"/>
      <c r="T367" s="32"/>
    </row>
    <row r="368" spans="3:20" x14ac:dyDescent="0.3">
      <c r="C368" s="11"/>
      <c r="D368" s="32"/>
      <c r="E368" s="11"/>
      <c r="K368" s="15"/>
      <c r="L368" s="47"/>
      <c r="M368" s="76"/>
      <c r="N368" s="76"/>
      <c r="O368" s="78" t="str">
        <f>_xlfn.LET(
    _xlpm.itemBuscado, B368,
    _xlpm.areaBuscada, C368,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TEXT(COUNTIF($C$2:C368, _xlpm.areaBuscada), "0000"),
    _xlpm.codItem &amp; "-" &amp; _xlpm.codArea &amp; "-" &amp; _xlpm.secuencia
)</f>
        <v>-SinArea-0000</v>
      </c>
      <c r="P368" s="77"/>
      <c r="Q368" s="32"/>
      <c r="R368" s="32"/>
      <c r="S368" s="32"/>
      <c r="T368" s="32"/>
    </row>
    <row r="369" spans="3:20" x14ac:dyDescent="0.3">
      <c r="C369" s="11"/>
      <c r="D369" s="32"/>
      <c r="E369" s="11"/>
      <c r="K369" s="15"/>
      <c r="L369" s="47"/>
      <c r="M369" s="76"/>
      <c r="N369" s="76"/>
      <c r="O369" s="78" t="str">
        <f>_xlfn.LET(
    _xlpm.itemBuscado, B369,
    _xlpm.areaBuscada, C369,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TEXT(COUNTIF($C$2:C369, _xlpm.areaBuscada), "0000"),
    _xlpm.codItem &amp; "-" &amp; _xlpm.codArea &amp; "-" &amp; _xlpm.secuencia
)</f>
        <v>-SinArea-0000</v>
      </c>
      <c r="P369" s="77"/>
      <c r="Q369" s="32"/>
      <c r="R369" s="32"/>
      <c r="S369" s="32"/>
      <c r="T369" s="32"/>
    </row>
    <row r="370" spans="3:20" x14ac:dyDescent="0.3">
      <c r="C370" s="11"/>
      <c r="D370" s="32"/>
      <c r="E370" s="11"/>
      <c r="K370" s="15"/>
      <c r="L370" s="47"/>
      <c r="M370" s="76"/>
      <c r="N370" s="76"/>
      <c r="O370" s="78" t="str">
        <f>_xlfn.LET(
    _xlpm.itemBuscado, B370,
    _xlpm.areaBuscada, C370,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TEXT(COUNTIF($C$2:C370, _xlpm.areaBuscada), "0000"),
    _xlpm.codItem &amp; "-" &amp; _xlpm.codArea &amp; "-" &amp; _xlpm.secuencia
)</f>
        <v>-SinArea-0000</v>
      </c>
      <c r="P370" s="77"/>
      <c r="Q370" s="32"/>
      <c r="R370" s="32"/>
      <c r="S370" s="32"/>
      <c r="T370" s="32"/>
    </row>
    <row r="371" spans="3:20" x14ac:dyDescent="0.3">
      <c r="C371" s="11"/>
      <c r="D371" s="32"/>
      <c r="E371" s="11"/>
      <c r="K371" s="15"/>
      <c r="L371" s="47"/>
      <c r="M371" s="76"/>
      <c r="N371" s="76"/>
      <c r="O371" s="78" t="str">
        <f>_xlfn.LET(
    _xlpm.itemBuscado, B371,
    _xlpm.areaBuscada, C371,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TEXT(COUNTIF($C$2:C371, _xlpm.areaBuscada), "0000"),
    _xlpm.codItem &amp; "-" &amp; _xlpm.codArea &amp; "-" &amp; _xlpm.secuencia
)</f>
        <v>-SinArea-0000</v>
      </c>
      <c r="P371" s="77"/>
      <c r="Q371" s="32"/>
      <c r="R371" s="32"/>
      <c r="S371" s="32"/>
      <c r="T371" s="32"/>
    </row>
    <row r="372" spans="3:20" x14ac:dyDescent="0.3">
      <c r="C372" s="11"/>
      <c r="D372" s="32"/>
      <c r="E372" s="11"/>
      <c r="K372" s="15"/>
      <c r="L372" s="47"/>
      <c r="M372" s="76"/>
      <c r="N372" s="76"/>
      <c r="O372" s="78" t="str">
        <f>_xlfn.LET(
    _xlpm.itemBuscado, B372,
    _xlpm.areaBuscada, C372,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TEXT(COUNTIF($C$2:C372, _xlpm.areaBuscada), "0000"),
    _xlpm.codItem &amp; "-" &amp; _xlpm.codArea &amp; "-" &amp; _xlpm.secuencia
)</f>
        <v>-SinArea-0000</v>
      </c>
      <c r="P372" s="77"/>
      <c r="Q372" s="32"/>
      <c r="R372" s="32"/>
      <c r="S372" s="32"/>
      <c r="T372" s="32"/>
    </row>
    <row r="373" spans="3:20" x14ac:dyDescent="0.3">
      <c r="C373" s="11"/>
      <c r="D373" s="32"/>
      <c r="E373" s="11"/>
      <c r="K373" s="15"/>
      <c r="L373" s="47"/>
      <c r="M373" s="76"/>
      <c r="N373" s="76"/>
      <c r="O373" s="78" t="str">
        <f>_xlfn.LET(
    _xlpm.itemBuscado, B373,
    _xlpm.areaBuscada, C373,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TEXT(COUNTIF($C$2:C373, _xlpm.areaBuscada), "0000"),
    _xlpm.codItem &amp; "-" &amp; _xlpm.codArea &amp; "-" &amp; _xlpm.secuencia
)</f>
        <v>-SinArea-0000</v>
      </c>
      <c r="P373" s="77"/>
      <c r="Q373" s="32"/>
      <c r="R373" s="32"/>
      <c r="S373" s="32"/>
      <c r="T373" s="32"/>
    </row>
    <row r="374" spans="3:20" x14ac:dyDescent="0.3">
      <c r="C374" s="11"/>
      <c r="D374" s="32"/>
      <c r="E374" s="11"/>
      <c r="K374" s="15"/>
      <c r="L374" s="47"/>
      <c r="M374" s="76"/>
      <c r="N374" s="76"/>
      <c r="O374" s="78" t="str">
        <f>_xlfn.LET(
    _xlpm.itemBuscado, B374,
    _xlpm.areaBuscada, C374,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TEXT(COUNTIF($C$2:C374, _xlpm.areaBuscada), "0000"),
    _xlpm.codItem &amp; "-" &amp; _xlpm.codArea &amp; "-" &amp; _xlpm.secuencia
)</f>
        <v>-SinArea-0000</v>
      </c>
      <c r="P374" s="77"/>
      <c r="Q374" s="32"/>
      <c r="R374" s="32"/>
      <c r="S374" s="32"/>
      <c r="T374" s="32"/>
    </row>
    <row r="375" spans="3:20" x14ac:dyDescent="0.3">
      <c r="C375" s="11"/>
      <c r="D375" s="32"/>
      <c r="E375" s="11"/>
      <c r="K375" s="15"/>
      <c r="L375" s="47"/>
      <c r="M375" s="76"/>
      <c r="N375" s="76"/>
      <c r="O375" s="78" t="str">
        <f>_xlfn.LET(
    _xlpm.itemBuscado, B375,
    _xlpm.areaBuscada, C375,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TEXT(COUNTIF($C$2:C375, _xlpm.areaBuscada), "0000"),
    _xlpm.codItem &amp; "-" &amp; _xlpm.codArea &amp; "-" &amp; _xlpm.secuencia
)</f>
        <v>-SinArea-0000</v>
      </c>
      <c r="P375" s="77"/>
      <c r="Q375" s="32"/>
      <c r="R375" s="32"/>
      <c r="S375" s="32"/>
      <c r="T375" s="32"/>
    </row>
    <row r="376" spans="3:20" x14ac:dyDescent="0.3">
      <c r="C376" s="11"/>
      <c r="D376" s="32"/>
      <c r="E376" s="11"/>
      <c r="K376" s="15"/>
      <c r="L376" s="47"/>
      <c r="M376" s="76"/>
      <c r="N376" s="76"/>
      <c r="O376" s="78" t="str">
        <f>_xlfn.LET(
    _xlpm.itemBuscado, B376,
    _xlpm.areaBuscada, C376,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TEXT(COUNTIF($C$2:C376, _xlpm.areaBuscada), "0000"),
    _xlpm.codItem &amp; "-" &amp; _xlpm.codArea &amp; "-" &amp; _xlpm.secuencia
)</f>
        <v>-SinArea-0000</v>
      </c>
      <c r="P376" s="77"/>
      <c r="Q376" s="32"/>
      <c r="R376" s="32"/>
      <c r="S376" s="32"/>
      <c r="T376" s="32"/>
    </row>
    <row r="377" spans="3:20" x14ac:dyDescent="0.3">
      <c r="C377" s="11"/>
      <c r="D377" s="32"/>
      <c r="E377" s="11"/>
      <c r="K377" s="15"/>
      <c r="L377" s="47"/>
      <c r="M377" s="76"/>
      <c r="N377" s="76"/>
      <c r="O377" s="78" t="str">
        <f>_xlfn.LET(
    _xlpm.itemBuscado, B377,
    _xlpm.areaBuscada, C377,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TEXT(COUNTIF($C$2:C377, _xlpm.areaBuscada), "0000"),
    _xlpm.codItem &amp; "-" &amp; _xlpm.codArea &amp; "-" &amp; _xlpm.secuencia
)</f>
        <v>-SinArea-0000</v>
      </c>
      <c r="P377" s="77"/>
      <c r="Q377" s="32"/>
      <c r="R377" s="32"/>
      <c r="S377" s="32"/>
      <c r="T377" s="32"/>
    </row>
    <row r="378" spans="3:20" x14ac:dyDescent="0.3">
      <c r="C378" s="11"/>
      <c r="D378" s="32"/>
      <c r="E378" s="11"/>
      <c r="K378" s="15"/>
      <c r="L378" s="47"/>
      <c r="M378" s="76"/>
      <c r="N378" s="76"/>
      <c r="O378" s="78" t="str">
        <f>_xlfn.LET(
    _xlpm.itemBuscado, B378,
    _xlpm.areaBuscada, C378,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TEXT(COUNTIF($C$2:C378, _xlpm.areaBuscada), "0000"),
    _xlpm.codItem &amp; "-" &amp; _xlpm.codArea &amp; "-" &amp; _xlpm.secuencia
)</f>
        <v>-SinArea-0000</v>
      </c>
      <c r="P378" s="77"/>
      <c r="Q378" s="32"/>
      <c r="R378" s="32"/>
      <c r="S378" s="32"/>
      <c r="T378" s="32"/>
    </row>
    <row r="379" spans="3:20" x14ac:dyDescent="0.3">
      <c r="C379" s="11"/>
      <c r="D379" s="32"/>
      <c r="E379" s="11"/>
      <c r="K379" s="15"/>
      <c r="L379" s="47"/>
      <c r="M379" s="76"/>
      <c r="N379" s="76"/>
      <c r="O379" s="78" t="str">
        <f>_xlfn.LET(
    _xlpm.itemBuscado, B379,
    _xlpm.areaBuscada, C379,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TEXT(COUNTIF($C$2:C379, _xlpm.areaBuscada), "0000"),
    _xlpm.codItem &amp; "-" &amp; _xlpm.codArea &amp; "-" &amp; _xlpm.secuencia
)</f>
        <v>-SinArea-0000</v>
      </c>
      <c r="P379" s="77"/>
      <c r="Q379" s="32"/>
      <c r="R379" s="32"/>
      <c r="S379" s="32"/>
      <c r="T379" s="32"/>
    </row>
    <row r="380" spans="3:20" x14ac:dyDescent="0.3">
      <c r="C380" s="11"/>
      <c r="D380" s="32"/>
      <c r="E380" s="11"/>
      <c r="K380" s="15"/>
      <c r="L380" s="47"/>
      <c r="M380" s="76"/>
      <c r="N380" s="76"/>
      <c r="O380" s="78" t="str">
        <f>_xlfn.LET(
    _xlpm.itemBuscado, B380,
    _xlpm.areaBuscada, C380,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TEXT(COUNTIF($C$2:C380, _xlpm.areaBuscada), "0000"),
    _xlpm.codItem &amp; "-" &amp; _xlpm.codArea &amp; "-" &amp; _xlpm.secuencia
)</f>
        <v>-SinArea-0000</v>
      </c>
      <c r="P380" s="77"/>
      <c r="Q380" s="32"/>
      <c r="R380" s="32"/>
      <c r="S380" s="32"/>
      <c r="T380" s="32"/>
    </row>
    <row r="381" spans="3:20" x14ac:dyDescent="0.3">
      <c r="C381" s="11"/>
      <c r="D381" s="32"/>
      <c r="E381" s="11"/>
      <c r="K381" s="15"/>
      <c r="L381" s="47"/>
      <c r="M381" s="76"/>
      <c r="N381" s="76"/>
      <c r="O381" s="78" t="str">
        <f>_xlfn.LET(
    _xlpm.itemBuscado, B381,
    _xlpm.areaBuscada, C381,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TEXT(COUNTIF($C$2:C381, _xlpm.areaBuscada), "0000"),
    _xlpm.codItem &amp; "-" &amp; _xlpm.codArea &amp; "-" &amp; _xlpm.secuencia
)</f>
        <v>-SinArea-0000</v>
      </c>
      <c r="P381" s="77"/>
      <c r="Q381" s="32"/>
      <c r="R381" s="32"/>
      <c r="S381" s="32"/>
      <c r="T381" s="32"/>
    </row>
    <row r="382" spans="3:20" x14ac:dyDescent="0.3">
      <c r="C382" s="11"/>
      <c r="D382" s="32"/>
      <c r="E382" s="11"/>
      <c r="K382" s="15"/>
      <c r="L382" s="47"/>
      <c r="M382" s="76"/>
      <c r="N382" s="76"/>
      <c r="O382" s="78" t="str">
        <f>_xlfn.LET(
    _xlpm.itemBuscado, B382,
    _xlpm.areaBuscada, C382,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TEXT(COUNTIF($C$2:C382, _xlpm.areaBuscada), "0000"),
    _xlpm.codItem &amp; "-" &amp; _xlpm.codArea &amp; "-" &amp; _xlpm.secuencia
)</f>
        <v>-SinArea-0000</v>
      </c>
      <c r="P382" s="77"/>
      <c r="Q382" s="32"/>
      <c r="R382" s="32"/>
      <c r="S382" s="32"/>
      <c r="T382" s="32"/>
    </row>
    <row r="383" spans="3:20" x14ac:dyDescent="0.3">
      <c r="C383" s="11"/>
      <c r="D383" s="32"/>
      <c r="E383" s="11"/>
      <c r="K383" s="15"/>
      <c r="L383" s="47"/>
      <c r="M383" s="76"/>
      <c r="N383" s="76"/>
      <c r="O383" s="78" t="str">
        <f>_xlfn.LET(
    _xlpm.itemBuscado, B383,
    _xlpm.areaBuscada, C383,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TEXT(COUNTIF($C$2:C383, _xlpm.areaBuscada), "0000"),
    _xlpm.codItem &amp; "-" &amp; _xlpm.codArea &amp; "-" &amp; _xlpm.secuencia
)</f>
        <v>-SinArea-0000</v>
      </c>
      <c r="P383" s="77"/>
      <c r="Q383" s="32"/>
      <c r="R383" s="32"/>
      <c r="S383" s="32"/>
      <c r="T383" s="32"/>
    </row>
    <row r="384" spans="3:20" x14ac:dyDescent="0.3">
      <c r="C384" s="11"/>
      <c r="D384" s="32"/>
      <c r="E384" s="11"/>
      <c r="K384" s="15"/>
      <c r="L384" s="47"/>
      <c r="M384" s="76"/>
      <c r="N384" s="76"/>
      <c r="O384" s="78" t="str">
        <f>_xlfn.LET(
    _xlpm.itemBuscado, B384,
    _xlpm.areaBuscada, C384,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TEXT(COUNTIF($C$2:C384, _xlpm.areaBuscada), "0000"),
    _xlpm.codItem &amp; "-" &amp; _xlpm.codArea &amp; "-" &amp; _xlpm.secuencia
)</f>
        <v>-SinArea-0000</v>
      </c>
      <c r="P384" s="77"/>
      <c r="Q384" s="32"/>
      <c r="R384" s="32"/>
      <c r="S384" s="32"/>
      <c r="T384" s="32"/>
    </row>
    <row r="385" spans="3:20" x14ac:dyDescent="0.3">
      <c r="C385" s="11"/>
      <c r="D385" s="32"/>
      <c r="E385" s="11"/>
      <c r="K385" s="15"/>
      <c r="L385" s="47"/>
      <c r="M385" s="76"/>
      <c r="N385" s="76"/>
      <c r="O385" s="78" t="str">
        <f>_xlfn.LET(
    _xlpm.itemBuscado, B385,
    _xlpm.areaBuscada, C385,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TEXT(COUNTIF($C$2:C385, _xlpm.areaBuscada), "0000"),
    _xlpm.codItem &amp; "-" &amp; _xlpm.codArea &amp; "-" &amp; _xlpm.secuencia
)</f>
        <v>-SinArea-0000</v>
      </c>
      <c r="P385" s="77"/>
      <c r="Q385" s="32"/>
      <c r="R385" s="32"/>
      <c r="S385" s="32"/>
      <c r="T385" s="32"/>
    </row>
    <row r="386" spans="3:20" x14ac:dyDescent="0.3">
      <c r="C386" s="11"/>
      <c r="D386" s="32"/>
      <c r="E386" s="11"/>
      <c r="K386" s="15"/>
      <c r="L386" s="47"/>
      <c r="M386" s="76"/>
      <c r="N386" s="76"/>
      <c r="O386" s="78" t="str">
        <f>_xlfn.LET(
    _xlpm.itemBuscado, B386,
    _xlpm.areaBuscada, C386,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TEXT(COUNTIF($C$2:C386, _xlpm.areaBuscada), "0000"),
    _xlpm.codItem &amp; "-" &amp; _xlpm.codArea &amp; "-" &amp; _xlpm.secuencia
)</f>
        <v>-SinArea-0000</v>
      </c>
      <c r="P386" s="77"/>
      <c r="Q386" s="32"/>
      <c r="R386" s="32"/>
      <c r="S386" s="32"/>
      <c r="T386" s="32"/>
    </row>
    <row r="387" spans="3:20" x14ac:dyDescent="0.3">
      <c r="C387" s="11"/>
      <c r="D387" s="32"/>
      <c r="E387" s="11"/>
      <c r="K387" s="15"/>
      <c r="L387" s="47"/>
      <c r="M387" s="76"/>
      <c r="N387" s="76"/>
      <c r="O387" s="78" t="str">
        <f>_xlfn.LET(
    _xlpm.itemBuscado, B387,
    _xlpm.areaBuscada, C387,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TEXT(COUNTIF($C$2:C387, _xlpm.areaBuscada), "0000"),
    _xlpm.codItem &amp; "-" &amp; _xlpm.codArea &amp; "-" &amp; _xlpm.secuencia
)</f>
        <v>-SinArea-0000</v>
      </c>
      <c r="P387" s="77"/>
      <c r="Q387" s="32"/>
      <c r="R387" s="32"/>
      <c r="S387" s="32"/>
      <c r="T387" s="32"/>
    </row>
    <row r="388" spans="3:20" x14ac:dyDescent="0.3">
      <c r="C388" s="11"/>
      <c r="D388" s="32"/>
      <c r="E388" s="11"/>
      <c r="K388" s="15"/>
      <c r="L388" s="47"/>
      <c r="M388" s="76"/>
      <c r="N388" s="76"/>
      <c r="O388" s="78" t="str">
        <f>_xlfn.LET(
    _xlpm.itemBuscado, B388,
    _xlpm.areaBuscada, C388,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TEXT(COUNTIF($C$2:C388, _xlpm.areaBuscada), "0000"),
    _xlpm.codItem &amp; "-" &amp; _xlpm.codArea &amp; "-" &amp; _xlpm.secuencia
)</f>
        <v>-SinArea-0000</v>
      </c>
      <c r="P388" s="77"/>
      <c r="Q388" s="32"/>
      <c r="R388" s="32"/>
      <c r="S388" s="32"/>
      <c r="T388" s="32"/>
    </row>
    <row r="389" spans="3:20" x14ac:dyDescent="0.3">
      <c r="C389" s="11"/>
      <c r="D389" s="32"/>
      <c r="E389" s="11"/>
      <c r="K389" s="15"/>
      <c r="L389" s="47"/>
      <c r="M389" s="76"/>
      <c r="N389" s="76"/>
      <c r="O389" s="78" t="str">
        <f>_xlfn.LET(
    _xlpm.itemBuscado, B389,
    _xlpm.areaBuscada, C389,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TEXT(COUNTIF($C$2:C389, _xlpm.areaBuscada), "0000"),
    _xlpm.codItem &amp; "-" &amp; _xlpm.codArea &amp; "-" &amp; _xlpm.secuencia
)</f>
        <v>-SinArea-0000</v>
      </c>
      <c r="P389" s="77"/>
      <c r="Q389" s="32"/>
      <c r="R389" s="32"/>
      <c r="S389" s="32"/>
      <c r="T389" s="32"/>
    </row>
    <row r="390" spans="3:20" x14ac:dyDescent="0.3">
      <c r="C390" s="11"/>
      <c r="D390" s="32"/>
      <c r="E390" s="11"/>
      <c r="K390" s="15"/>
      <c r="L390" s="47"/>
      <c r="M390" s="76"/>
      <c r="N390" s="76"/>
      <c r="O390" s="78" t="str">
        <f>_xlfn.LET(
    _xlpm.itemBuscado, B390,
    _xlpm.areaBuscada, C390,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TEXT(COUNTIF($C$2:C390, _xlpm.areaBuscada), "0000"),
    _xlpm.codItem &amp; "-" &amp; _xlpm.codArea &amp; "-" &amp; _xlpm.secuencia
)</f>
        <v>-SinArea-0000</v>
      </c>
      <c r="P390" s="77"/>
      <c r="Q390" s="32"/>
      <c r="R390" s="32"/>
      <c r="S390" s="32"/>
      <c r="T390" s="32"/>
    </row>
    <row r="391" spans="3:20" x14ac:dyDescent="0.3">
      <c r="C391" s="11"/>
      <c r="D391" s="32"/>
      <c r="E391" s="11"/>
      <c r="K391" s="15"/>
      <c r="L391" s="47"/>
      <c r="M391" s="76"/>
      <c r="N391" s="76"/>
      <c r="O391" s="78" t="str">
        <f>_xlfn.LET(
    _xlpm.itemBuscado, B391,
    _xlpm.areaBuscada, C391,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TEXT(COUNTIF($C$2:C391, _xlpm.areaBuscada), "0000"),
    _xlpm.codItem &amp; "-" &amp; _xlpm.codArea &amp; "-" &amp; _xlpm.secuencia
)</f>
        <v>-SinArea-0000</v>
      </c>
      <c r="P391" s="77"/>
      <c r="Q391" s="32"/>
      <c r="R391" s="32"/>
      <c r="S391" s="32"/>
      <c r="T391" s="32"/>
    </row>
    <row r="392" spans="3:20" x14ac:dyDescent="0.3">
      <c r="C392" s="11"/>
      <c r="D392" s="32"/>
      <c r="E392" s="11"/>
      <c r="K392" s="15"/>
      <c r="L392" s="47"/>
      <c r="M392" s="76"/>
      <c r="N392" s="76"/>
      <c r="O392" s="78" t="str">
        <f>_xlfn.LET(
    _xlpm.itemBuscado, B392,
    _xlpm.areaBuscada, C392,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TEXT(COUNTIF($C$2:C392, _xlpm.areaBuscada), "0000"),
    _xlpm.codItem &amp; "-" &amp; _xlpm.codArea &amp; "-" &amp; _xlpm.secuencia
)</f>
        <v>-SinArea-0000</v>
      </c>
      <c r="P392" s="77"/>
      <c r="Q392" s="32"/>
      <c r="R392" s="32"/>
      <c r="S392" s="32"/>
      <c r="T392" s="32"/>
    </row>
    <row r="393" spans="3:20" x14ac:dyDescent="0.3">
      <c r="C393" s="11"/>
      <c r="D393" s="32"/>
      <c r="E393" s="11"/>
      <c r="K393" s="15"/>
      <c r="L393" s="47"/>
      <c r="M393" s="76"/>
      <c r="N393" s="76"/>
      <c r="O393" s="78" t="str">
        <f>_xlfn.LET(
    _xlpm.itemBuscado, B393,
    _xlpm.areaBuscada, C393,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TEXT(COUNTIF($C$2:C393, _xlpm.areaBuscada), "0000"),
    _xlpm.codItem &amp; "-" &amp; _xlpm.codArea &amp; "-" &amp; _xlpm.secuencia
)</f>
        <v>-SinArea-0000</v>
      </c>
      <c r="P393" s="77"/>
      <c r="Q393" s="32"/>
      <c r="R393" s="32"/>
      <c r="S393" s="32"/>
      <c r="T393" s="32"/>
    </row>
    <row r="394" spans="3:20" x14ac:dyDescent="0.3">
      <c r="C394" s="11"/>
      <c r="D394" s="32"/>
      <c r="E394" s="11"/>
      <c r="K394" s="15"/>
      <c r="L394" s="47"/>
      <c r="M394" s="76"/>
      <c r="N394" s="76"/>
      <c r="O394" s="78" t="str">
        <f>_xlfn.LET(
    _xlpm.itemBuscado, B394,
    _xlpm.areaBuscada, C394,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TEXT(COUNTIF($C$2:C394, _xlpm.areaBuscada), "0000"),
    _xlpm.codItem &amp; "-" &amp; _xlpm.codArea &amp; "-" &amp; _xlpm.secuencia
)</f>
        <v>-SinArea-0000</v>
      </c>
      <c r="P394" s="77"/>
      <c r="Q394" s="32"/>
      <c r="R394" s="32"/>
      <c r="S394" s="32"/>
      <c r="T394" s="32"/>
    </row>
    <row r="395" spans="3:20" x14ac:dyDescent="0.3">
      <c r="C395" s="11"/>
      <c r="D395" s="32"/>
      <c r="E395" s="11"/>
      <c r="K395" s="15"/>
      <c r="L395" s="47"/>
      <c r="M395" s="76"/>
      <c r="N395" s="76"/>
      <c r="O395" s="78" t="str">
        <f>_xlfn.LET(
    _xlpm.itemBuscado, B395,
    _xlpm.areaBuscada, C395,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TEXT(COUNTIF($C$2:C395, _xlpm.areaBuscada), "0000"),
    _xlpm.codItem &amp; "-" &amp; _xlpm.codArea &amp; "-" &amp; _xlpm.secuencia
)</f>
        <v>-SinArea-0000</v>
      </c>
      <c r="P395" s="77"/>
      <c r="Q395" s="32"/>
      <c r="R395" s="32"/>
      <c r="S395" s="32"/>
      <c r="T395" s="32"/>
    </row>
    <row r="396" spans="3:20" x14ac:dyDescent="0.3">
      <c r="C396" s="11"/>
      <c r="D396" s="32"/>
      <c r="E396" s="11"/>
      <c r="K396" s="15"/>
      <c r="L396" s="47"/>
      <c r="M396" s="76"/>
      <c r="N396" s="76"/>
      <c r="O396" s="78" t="str">
        <f>_xlfn.LET(
    _xlpm.itemBuscado, B396,
    _xlpm.areaBuscada, C396,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TEXT(COUNTIF($C$2:C396, _xlpm.areaBuscada), "0000"),
    _xlpm.codItem &amp; "-" &amp; _xlpm.codArea &amp; "-" &amp; _xlpm.secuencia
)</f>
        <v>-SinArea-0000</v>
      </c>
      <c r="P396" s="77"/>
      <c r="Q396" s="32"/>
      <c r="R396" s="32"/>
      <c r="S396" s="32"/>
      <c r="T396" s="32"/>
    </row>
    <row r="397" spans="3:20" x14ac:dyDescent="0.3">
      <c r="C397" s="11"/>
      <c r="D397" s="32"/>
      <c r="E397" s="11"/>
      <c r="K397" s="15"/>
      <c r="L397" s="47"/>
      <c r="M397" s="76"/>
      <c r="N397" s="76"/>
      <c r="O397" s="78" t="str">
        <f>_xlfn.LET(
    _xlpm.itemBuscado, B397,
    _xlpm.areaBuscada, C397,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TEXT(COUNTIF($C$2:C397, _xlpm.areaBuscada), "0000"),
    _xlpm.codItem &amp; "-" &amp; _xlpm.codArea &amp; "-" &amp; _xlpm.secuencia
)</f>
        <v>-SinArea-0000</v>
      </c>
      <c r="P397" s="77"/>
      <c r="Q397" s="32"/>
      <c r="R397" s="32"/>
      <c r="S397" s="32"/>
      <c r="T397" s="32"/>
    </row>
    <row r="398" spans="3:20" x14ac:dyDescent="0.3">
      <c r="C398" s="11"/>
      <c r="D398" s="32"/>
      <c r="E398" s="11"/>
      <c r="K398" s="15"/>
      <c r="L398" s="47"/>
      <c r="M398" s="76"/>
      <c r="N398" s="76"/>
      <c r="O398" s="78" t="str">
        <f>_xlfn.LET(
    _xlpm.itemBuscado, B398,
    _xlpm.areaBuscada, C398,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TEXT(COUNTIF($C$2:C398, _xlpm.areaBuscada), "0000"),
    _xlpm.codItem &amp; "-" &amp; _xlpm.codArea &amp; "-" &amp; _xlpm.secuencia
)</f>
        <v>-SinArea-0000</v>
      </c>
      <c r="P398" s="77"/>
      <c r="Q398" s="32"/>
      <c r="R398" s="32"/>
      <c r="S398" s="32"/>
      <c r="T398" s="32"/>
    </row>
    <row r="399" spans="3:20" x14ac:dyDescent="0.3">
      <c r="C399" s="11"/>
      <c r="D399" s="32"/>
      <c r="E399" s="11"/>
      <c r="K399" s="15"/>
      <c r="L399" s="47"/>
      <c r="M399" s="76"/>
      <c r="N399" s="76"/>
      <c r="O399" s="78" t="str">
        <f>_xlfn.LET(
    _xlpm.itemBuscado, B399,
    _xlpm.areaBuscada, C399,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TEXT(COUNTIF($C$2:C399, _xlpm.areaBuscada), "0000"),
    _xlpm.codItem &amp; "-" &amp; _xlpm.codArea &amp; "-" &amp; _xlpm.secuencia
)</f>
        <v>-SinArea-0000</v>
      </c>
      <c r="P399" s="77"/>
      <c r="Q399" s="32"/>
      <c r="R399" s="32"/>
      <c r="S399" s="32"/>
      <c r="T399" s="32"/>
    </row>
    <row r="400" spans="3:20" x14ac:dyDescent="0.3">
      <c r="C400" s="11"/>
      <c r="D400" s="32"/>
      <c r="E400" s="11"/>
      <c r="K400" s="15"/>
      <c r="L400" s="47"/>
      <c r="M400" s="76"/>
      <c r="N400" s="76"/>
      <c r="O400" s="78" t="str">
        <f>_xlfn.LET(
    _xlpm.itemBuscado, B400,
    _xlpm.areaBuscada, C400,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TEXT(COUNTIF($C$2:C400, _xlpm.areaBuscada), "0000"),
    _xlpm.codItem &amp; "-" &amp; _xlpm.codArea &amp; "-" &amp; _xlpm.secuencia
)</f>
        <v>-SinArea-0000</v>
      </c>
      <c r="P400" s="77"/>
      <c r="Q400" s="32"/>
      <c r="R400" s="32"/>
      <c r="S400" s="32"/>
      <c r="T400" s="32"/>
    </row>
    <row r="401" spans="3:20" x14ac:dyDescent="0.3">
      <c r="C401" s="11"/>
      <c r="D401" s="32"/>
      <c r="E401" s="11"/>
      <c r="K401" s="15"/>
      <c r="L401" s="47"/>
      <c r="M401" s="76"/>
      <c r="N401" s="76"/>
      <c r="O401" s="78" t="str">
        <f>_xlfn.LET(
    _xlpm.itemBuscado, B401,
    _xlpm.areaBuscada, C401,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TEXT(COUNTIF($C$2:C401, _xlpm.areaBuscada), "0000"),
    _xlpm.codItem &amp; "-" &amp; _xlpm.codArea &amp; "-" &amp; _xlpm.secuencia
)</f>
        <v>-SinArea-0000</v>
      </c>
      <c r="P401" s="77"/>
      <c r="Q401" s="32"/>
      <c r="R401" s="32"/>
      <c r="S401" s="32"/>
      <c r="T401" s="32"/>
    </row>
    <row r="402" spans="3:20" x14ac:dyDescent="0.3">
      <c r="C402" s="11"/>
      <c r="D402" s="32"/>
      <c r="E402" s="11"/>
      <c r="K402" s="15"/>
      <c r="L402" s="47"/>
      <c r="M402" s="76"/>
      <c r="N402" s="76"/>
      <c r="O402" s="78" t="str">
        <f>_xlfn.LET(
    _xlpm.itemBuscado, B402,
    _xlpm.areaBuscada, C402,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TEXT(COUNTIF($C$2:C402, _xlpm.areaBuscada), "0000"),
    _xlpm.codItem &amp; "-" &amp; _xlpm.codArea &amp; "-" &amp; _xlpm.secuencia
)</f>
        <v>-SinArea-0000</v>
      </c>
      <c r="P402" s="77"/>
      <c r="Q402" s="32"/>
      <c r="R402" s="32"/>
      <c r="S402" s="32"/>
      <c r="T402" s="32"/>
    </row>
    <row r="403" spans="3:20" x14ac:dyDescent="0.3">
      <c r="C403" s="11"/>
      <c r="D403" s="32"/>
      <c r="E403" s="11"/>
      <c r="K403" s="15"/>
      <c r="L403" s="47"/>
      <c r="M403" s="76"/>
      <c r="N403" s="76"/>
      <c r="O403" s="78" t="str">
        <f>_xlfn.LET(
    _xlpm.itemBuscado, B403,
    _xlpm.areaBuscada, C403,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TEXT(COUNTIF($C$2:C403, _xlpm.areaBuscada), "0000"),
    _xlpm.codItem &amp; "-" &amp; _xlpm.codArea &amp; "-" &amp; _xlpm.secuencia
)</f>
        <v>-SinArea-0000</v>
      </c>
      <c r="P403" s="77"/>
      <c r="Q403" s="32"/>
      <c r="R403" s="32"/>
      <c r="S403" s="32"/>
      <c r="T403" s="32"/>
    </row>
    <row r="404" spans="3:20" x14ac:dyDescent="0.3">
      <c r="C404" s="11"/>
      <c r="D404" s="32"/>
      <c r="E404" s="11"/>
      <c r="K404" s="15"/>
      <c r="L404" s="47"/>
      <c r="M404" s="76"/>
      <c r="N404" s="76"/>
      <c r="O404" s="78" t="str">
        <f>_xlfn.LET(
    _xlpm.itemBuscado, B404,
    _xlpm.areaBuscada, C404,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TEXT(COUNTIF($C$2:C404, _xlpm.areaBuscada), "0000"),
    _xlpm.codItem &amp; "-" &amp; _xlpm.codArea &amp; "-" &amp; _xlpm.secuencia
)</f>
        <v>-SinArea-0000</v>
      </c>
      <c r="P404" s="77"/>
      <c r="Q404" s="32"/>
      <c r="R404" s="32"/>
      <c r="S404" s="32"/>
      <c r="T404" s="32"/>
    </row>
    <row r="405" spans="3:20" x14ac:dyDescent="0.3">
      <c r="C405" s="11"/>
      <c r="D405" s="32"/>
      <c r="E405" s="11"/>
      <c r="K405" s="15"/>
      <c r="L405" s="47"/>
      <c r="M405" s="76"/>
      <c r="N405" s="76"/>
      <c r="O405" s="78" t="str">
        <f>_xlfn.LET(
    _xlpm.itemBuscado, B405,
    _xlpm.areaBuscada, C405,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TEXT(COUNTIF($C$2:C405, _xlpm.areaBuscada), "0000"),
    _xlpm.codItem &amp; "-" &amp; _xlpm.codArea &amp; "-" &amp; _xlpm.secuencia
)</f>
        <v>-SinArea-0000</v>
      </c>
      <c r="P405" s="77"/>
      <c r="Q405" s="32"/>
      <c r="R405" s="32"/>
      <c r="S405" s="32"/>
      <c r="T405" s="32"/>
    </row>
    <row r="406" spans="3:20" x14ac:dyDescent="0.3">
      <c r="C406" s="11"/>
      <c r="D406" s="32"/>
      <c r="E406" s="11"/>
      <c r="K406" s="15"/>
      <c r="L406" s="47"/>
      <c r="M406" s="76"/>
      <c r="N406" s="76"/>
      <c r="O406" s="78" t="str">
        <f>_xlfn.LET(
    _xlpm.itemBuscado, B406,
    _xlpm.areaBuscada, C406,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TEXT(COUNTIF($C$2:C406, _xlpm.areaBuscada), "0000"),
    _xlpm.codItem &amp; "-" &amp; _xlpm.codArea &amp; "-" &amp; _xlpm.secuencia
)</f>
        <v>-SinArea-0000</v>
      </c>
      <c r="P406" s="77"/>
      <c r="Q406" s="32"/>
      <c r="R406" s="32"/>
      <c r="S406" s="32"/>
      <c r="T406" s="32"/>
    </row>
    <row r="407" spans="3:20" x14ac:dyDescent="0.3">
      <c r="C407" s="11"/>
      <c r="D407" s="32"/>
      <c r="E407" s="11"/>
      <c r="K407" s="15"/>
      <c r="L407" s="47"/>
      <c r="M407" s="76"/>
      <c r="N407" s="76"/>
      <c r="O407" s="78" t="str">
        <f>_xlfn.LET(
    _xlpm.itemBuscado, B407,
    _xlpm.areaBuscada, C407,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TEXT(COUNTIF($C$2:C407, _xlpm.areaBuscada), "0000"),
    _xlpm.codItem &amp; "-" &amp; _xlpm.codArea &amp; "-" &amp; _xlpm.secuencia
)</f>
        <v>-SinArea-0000</v>
      </c>
      <c r="P407" s="77"/>
      <c r="Q407" s="32"/>
      <c r="R407" s="32"/>
      <c r="S407" s="32"/>
      <c r="T407" s="32"/>
    </row>
    <row r="408" spans="3:20" x14ac:dyDescent="0.3">
      <c r="C408" s="11"/>
      <c r="D408" s="32"/>
      <c r="E408" s="11"/>
      <c r="K408" s="15"/>
      <c r="L408" s="47"/>
      <c r="M408" s="76"/>
      <c r="N408" s="76"/>
      <c r="O408" s="78" t="str">
        <f>_xlfn.LET(
    _xlpm.itemBuscado, B408,
    _xlpm.areaBuscada, C408,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TEXT(COUNTIF($C$2:C408, _xlpm.areaBuscada), "0000"),
    _xlpm.codItem &amp; "-" &amp; _xlpm.codArea &amp; "-" &amp; _xlpm.secuencia
)</f>
        <v>-SinArea-0000</v>
      </c>
      <c r="P408" s="77"/>
      <c r="Q408" s="32"/>
      <c r="R408" s="32"/>
      <c r="S408" s="32"/>
      <c r="T408" s="32"/>
    </row>
    <row r="409" spans="3:20" x14ac:dyDescent="0.3">
      <c r="C409" s="11"/>
      <c r="D409" s="32"/>
      <c r="E409" s="11"/>
      <c r="K409" s="15"/>
      <c r="L409" s="47"/>
      <c r="M409" s="76"/>
      <c r="N409" s="76"/>
      <c r="O409" s="78" t="str">
        <f>_xlfn.LET(
    _xlpm.itemBuscado, B409,
    _xlpm.areaBuscada, C409,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TEXT(COUNTIF($C$2:C409, _xlpm.areaBuscada), "0000"),
    _xlpm.codItem &amp; "-" &amp; _xlpm.codArea &amp; "-" &amp; _xlpm.secuencia
)</f>
        <v>-SinArea-0000</v>
      </c>
      <c r="P409" s="77"/>
      <c r="Q409" s="32"/>
      <c r="R409" s="32"/>
      <c r="S409" s="32"/>
      <c r="T409" s="32"/>
    </row>
    <row r="410" spans="3:20" x14ac:dyDescent="0.3">
      <c r="C410" s="11"/>
      <c r="D410" s="32"/>
      <c r="E410" s="11"/>
      <c r="K410" s="15"/>
      <c r="L410" s="47"/>
      <c r="M410" s="76"/>
      <c r="N410" s="76"/>
      <c r="O410" s="78" t="str">
        <f>_xlfn.LET(
    _xlpm.itemBuscado, B410,
    _xlpm.areaBuscada, C410,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TEXT(COUNTIF($C$2:C410, _xlpm.areaBuscada), "0000"),
    _xlpm.codItem &amp; "-" &amp; _xlpm.codArea &amp; "-" &amp; _xlpm.secuencia
)</f>
        <v>-SinArea-0000</v>
      </c>
      <c r="P410" s="77"/>
      <c r="Q410" s="32"/>
      <c r="R410" s="32"/>
      <c r="S410" s="32"/>
      <c r="T410" s="32"/>
    </row>
    <row r="411" spans="3:20" x14ac:dyDescent="0.3">
      <c r="C411" s="11"/>
      <c r="D411" s="32"/>
      <c r="E411" s="11"/>
      <c r="K411" s="15"/>
      <c r="L411" s="47"/>
      <c r="M411" s="76"/>
      <c r="N411" s="76"/>
      <c r="O411" s="78" t="str">
        <f>_xlfn.LET(
    _xlpm.itemBuscado, B411,
    _xlpm.areaBuscada, C411,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TEXT(COUNTIF($C$2:C411, _xlpm.areaBuscada), "0000"),
    _xlpm.codItem &amp; "-" &amp; _xlpm.codArea &amp; "-" &amp; _xlpm.secuencia
)</f>
        <v>-SinArea-0000</v>
      </c>
      <c r="P411" s="77"/>
      <c r="Q411" s="32"/>
      <c r="R411" s="32"/>
      <c r="S411" s="32"/>
      <c r="T411" s="32"/>
    </row>
    <row r="412" spans="3:20" x14ac:dyDescent="0.3">
      <c r="C412" s="11"/>
      <c r="D412" s="32"/>
      <c r="E412" s="11"/>
      <c r="K412" s="15"/>
      <c r="L412" s="47"/>
      <c r="M412" s="76"/>
      <c r="N412" s="76"/>
      <c r="O412" s="78" t="str">
        <f>_xlfn.LET(
    _xlpm.itemBuscado, B412,
    _xlpm.areaBuscada, C412,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TEXT(COUNTIF($C$2:C412, _xlpm.areaBuscada), "0000"),
    _xlpm.codItem &amp; "-" &amp; _xlpm.codArea &amp; "-" &amp; _xlpm.secuencia
)</f>
        <v>-SinArea-0000</v>
      </c>
      <c r="P412" s="77"/>
      <c r="Q412" s="32"/>
      <c r="R412" s="32"/>
      <c r="S412" s="32"/>
      <c r="T412" s="32"/>
    </row>
    <row r="413" spans="3:20" x14ac:dyDescent="0.3">
      <c r="C413" s="11"/>
      <c r="D413" s="32"/>
      <c r="E413" s="11"/>
      <c r="K413" s="15"/>
      <c r="L413" s="47"/>
      <c r="M413" s="76"/>
      <c r="N413" s="76"/>
      <c r="O413" s="78" t="str">
        <f>_xlfn.LET(
    _xlpm.itemBuscado, B413,
    _xlpm.areaBuscada, C413,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TEXT(COUNTIF($C$2:C413, _xlpm.areaBuscada), "0000"),
    _xlpm.codItem &amp; "-" &amp; _xlpm.codArea &amp; "-" &amp; _xlpm.secuencia
)</f>
        <v>-SinArea-0000</v>
      </c>
      <c r="P413" s="77"/>
      <c r="Q413" s="32"/>
      <c r="R413" s="32"/>
      <c r="S413" s="32"/>
      <c r="T413" s="32"/>
    </row>
    <row r="414" spans="3:20" x14ac:dyDescent="0.3">
      <c r="C414" s="11"/>
      <c r="D414" s="32"/>
      <c r="E414" s="11"/>
      <c r="K414" s="15"/>
      <c r="L414" s="47"/>
      <c r="M414" s="76"/>
      <c r="N414" s="76"/>
      <c r="O414" s="78" t="str">
        <f>_xlfn.LET(
    _xlpm.itemBuscado, B414,
    _xlpm.areaBuscada, C414,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TEXT(COUNTIF($C$2:C414, _xlpm.areaBuscada), "0000"),
    _xlpm.codItem &amp; "-" &amp; _xlpm.codArea &amp; "-" &amp; _xlpm.secuencia
)</f>
        <v>-SinArea-0000</v>
      </c>
      <c r="P414" s="77"/>
      <c r="Q414" s="32"/>
      <c r="R414" s="32"/>
      <c r="S414" s="32"/>
      <c r="T414" s="32"/>
    </row>
    <row r="415" spans="3:20" x14ac:dyDescent="0.3">
      <c r="C415" s="11"/>
      <c r="D415" s="32"/>
      <c r="E415" s="11"/>
      <c r="K415" s="15"/>
      <c r="L415" s="47"/>
      <c r="M415" s="76"/>
      <c r="N415" s="76"/>
      <c r="O415" s="78" t="str">
        <f>_xlfn.LET(
    _xlpm.itemBuscado, B415,
    _xlpm.areaBuscada, C415,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TEXT(COUNTIF($C$2:C415, _xlpm.areaBuscada), "0000"),
    _xlpm.codItem &amp; "-" &amp; _xlpm.codArea &amp; "-" &amp; _xlpm.secuencia
)</f>
        <v>-SinArea-0000</v>
      </c>
      <c r="P415" s="77"/>
      <c r="Q415" s="32"/>
      <c r="R415" s="32"/>
      <c r="S415" s="32"/>
      <c r="T415" s="32"/>
    </row>
    <row r="416" spans="3:20" x14ac:dyDescent="0.3">
      <c r="C416" s="11"/>
      <c r="D416" s="32"/>
      <c r="E416" s="11"/>
      <c r="K416" s="15"/>
      <c r="L416" s="47"/>
      <c r="M416" s="76"/>
      <c r="N416" s="76"/>
      <c r="O416" s="78" t="str">
        <f>_xlfn.LET(
    _xlpm.itemBuscado, B416,
    _xlpm.areaBuscada, C416,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TEXT(COUNTIF($C$2:C416, _xlpm.areaBuscada), "0000"),
    _xlpm.codItem &amp; "-" &amp; _xlpm.codArea &amp; "-" &amp; _xlpm.secuencia
)</f>
        <v>-SinArea-0000</v>
      </c>
      <c r="P416" s="77"/>
      <c r="Q416" s="32"/>
      <c r="R416" s="32"/>
      <c r="S416" s="32"/>
      <c r="T416" s="32"/>
    </row>
    <row r="417" spans="3:20" x14ac:dyDescent="0.3">
      <c r="C417" s="11"/>
      <c r="D417" s="32"/>
      <c r="E417" s="11"/>
      <c r="K417" s="15"/>
      <c r="L417" s="47"/>
      <c r="M417" s="76"/>
      <c r="N417" s="76"/>
      <c r="O417" s="78" t="str">
        <f>_xlfn.LET(
    _xlpm.itemBuscado, B417,
    _xlpm.areaBuscada, C417,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TEXT(COUNTIF($C$2:C417, _xlpm.areaBuscada), "0000"),
    _xlpm.codItem &amp; "-" &amp; _xlpm.codArea &amp; "-" &amp; _xlpm.secuencia
)</f>
        <v>-SinArea-0000</v>
      </c>
      <c r="P417" s="77"/>
      <c r="Q417" s="32"/>
      <c r="R417" s="32"/>
      <c r="S417" s="32"/>
      <c r="T417" s="32"/>
    </row>
    <row r="418" spans="3:20" x14ac:dyDescent="0.3">
      <c r="C418" s="11"/>
      <c r="D418" s="32"/>
      <c r="E418" s="11"/>
      <c r="K418" s="15"/>
      <c r="L418" s="47"/>
      <c r="M418" s="76"/>
      <c r="N418" s="76"/>
      <c r="O418" s="78" t="str">
        <f>_xlfn.LET(
    _xlpm.itemBuscado, B418,
    _xlpm.areaBuscada, C418,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TEXT(COUNTIF($C$2:C418, _xlpm.areaBuscada), "0000"),
    _xlpm.codItem &amp; "-" &amp; _xlpm.codArea &amp; "-" &amp; _xlpm.secuencia
)</f>
        <v>-SinArea-0000</v>
      </c>
      <c r="P418" s="77"/>
      <c r="Q418" s="32"/>
      <c r="R418" s="32"/>
      <c r="S418" s="32"/>
      <c r="T418" s="32"/>
    </row>
    <row r="419" spans="3:20" x14ac:dyDescent="0.3">
      <c r="C419" s="11"/>
      <c r="D419" s="32"/>
      <c r="E419" s="11"/>
      <c r="K419" s="15"/>
      <c r="L419" s="47"/>
      <c r="M419" s="76"/>
      <c r="N419" s="76"/>
      <c r="O419" s="78" t="str">
        <f>_xlfn.LET(
    _xlpm.itemBuscado, B419,
    _xlpm.areaBuscada, C419,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TEXT(COUNTIF($C$2:C419, _xlpm.areaBuscada), "0000"),
    _xlpm.codItem &amp; "-" &amp; _xlpm.codArea &amp; "-" &amp; _xlpm.secuencia
)</f>
        <v>-SinArea-0000</v>
      </c>
      <c r="P419" s="77"/>
      <c r="Q419" s="32"/>
      <c r="R419" s="32"/>
      <c r="S419" s="32"/>
      <c r="T419" s="32"/>
    </row>
    <row r="420" spans="3:20" x14ac:dyDescent="0.3">
      <c r="C420" s="11"/>
      <c r="D420" s="32"/>
      <c r="E420" s="11"/>
      <c r="K420" s="15"/>
      <c r="L420" s="47"/>
      <c r="M420" s="76"/>
      <c r="N420" s="76"/>
      <c r="O420" s="78" t="str">
        <f>_xlfn.LET(
    _xlpm.itemBuscado, B420,
    _xlpm.areaBuscada, C420,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TEXT(COUNTIF($C$2:C420, _xlpm.areaBuscada), "0000"),
    _xlpm.codItem &amp; "-" &amp; _xlpm.codArea &amp; "-" &amp; _xlpm.secuencia
)</f>
        <v>-SinArea-0000</v>
      </c>
      <c r="P420" s="77"/>
      <c r="Q420" s="32"/>
      <c r="R420" s="32"/>
      <c r="S420" s="32"/>
      <c r="T420" s="32"/>
    </row>
    <row r="421" spans="3:20" x14ac:dyDescent="0.3">
      <c r="C421" s="11"/>
      <c r="D421" s="32"/>
      <c r="E421" s="11"/>
      <c r="K421" s="15"/>
      <c r="L421" s="47"/>
      <c r="M421" s="76"/>
      <c r="N421" s="76"/>
      <c r="O421" s="78" t="str">
        <f>_xlfn.LET(
    _xlpm.itemBuscado, B421,
    _xlpm.areaBuscada, C421,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TEXT(COUNTIF($C$2:C421, _xlpm.areaBuscada), "0000"),
    _xlpm.codItem &amp; "-" &amp; _xlpm.codArea &amp; "-" &amp; _xlpm.secuencia
)</f>
        <v>-SinArea-0000</v>
      </c>
      <c r="P421" s="77"/>
      <c r="Q421" s="32"/>
      <c r="R421" s="32"/>
      <c r="S421" s="32"/>
      <c r="T421" s="32"/>
    </row>
    <row r="422" spans="3:20" x14ac:dyDescent="0.3">
      <c r="C422" s="11"/>
      <c r="D422" s="32"/>
      <c r="E422" s="11"/>
      <c r="K422" s="15"/>
      <c r="L422" s="47"/>
      <c r="M422" s="76"/>
      <c r="N422" s="76"/>
      <c r="O422" s="78" t="str">
        <f>_xlfn.LET(
    _xlpm.itemBuscado, B422,
    _xlpm.areaBuscada, C422,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TEXT(COUNTIF($C$2:C422, _xlpm.areaBuscada), "0000"),
    _xlpm.codItem &amp; "-" &amp; _xlpm.codArea &amp; "-" &amp; _xlpm.secuencia
)</f>
        <v>-SinArea-0000</v>
      </c>
      <c r="P422" s="77"/>
      <c r="Q422" s="32"/>
      <c r="R422" s="32"/>
      <c r="S422" s="32"/>
      <c r="T422" s="32"/>
    </row>
    <row r="423" spans="3:20" x14ac:dyDescent="0.3">
      <c r="C423" s="11"/>
      <c r="D423" s="32"/>
      <c r="E423" s="11"/>
      <c r="K423" s="15"/>
      <c r="L423" s="47"/>
      <c r="M423" s="76"/>
      <c r="N423" s="76"/>
      <c r="O423" s="78" t="str">
        <f>_xlfn.LET(
    _xlpm.itemBuscado, B423,
    _xlpm.areaBuscada, C423,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TEXT(COUNTIF($C$2:C423, _xlpm.areaBuscada), "0000"),
    _xlpm.codItem &amp; "-" &amp; _xlpm.codArea &amp; "-" &amp; _xlpm.secuencia
)</f>
        <v>-SinArea-0000</v>
      </c>
      <c r="P423" s="77"/>
      <c r="Q423" s="32"/>
      <c r="R423" s="32"/>
      <c r="S423" s="32"/>
      <c r="T423" s="32"/>
    </row>
    <row r="424" spans="3:20" x14ac:dyDescent="0.3">
      <c r="C424" s="11"/>
      <c r="D424" s="32"/>
      <c r="E424" s="11"/>
      <c r="K424" s="15"/>
      <c r="L424" s="47"/>
      <c r="M424" s="76"/>
      <c r="N424" s="76"/>
      <c r="O424" s="78" t="str">
        <f>_xlfn.LET(
    _xlpm.itemBuscado, B424,
    _xlpm.areaBuscada, C424,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TEXT(COUNTIF($C$2:C424, _xlpm.areaBuscada), "0000"),
    _xlpm.codItem &amp; "-" &amp; _xlpm.codArea &amp; "-" &amp; _xlpm.secuencia
)</f>
        <v>-SinArea-0000</v>
      </c>
      <c r="P424" s="77"/>
      <c r="Q424" s="32"/>
      <c r="R424" s="32"/>
      <c r="S424" s="32"/>
      <c r="T424" s="32"/>
    </row>
    <row r="425" spans="3:20" x14ac:dyDescent="0.3">
      <c r="C425" s="11"/>
      <c r="D425" s="32"/>
      <c r="E425" s="11"/>
      <c r="K425" s="15"/>
      <c r="L425" s="47"/>
      <c r="M425" s="76"/>
      <c r="N425" s="76"/>
      <c r="O425" s="78" t="str">
        <f>_xlfn.LET(
    _xlpm.itemBuscado, B425,
    _xlpm.areaBuscada, C425,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TEXT(COUNTIF($C$2:C425, _xlpm.areaBuscada), "0000"),
    _xlpm.codItem &amp; "-" &amp; _xlpm.codArea &amp; "-" &amp; _xlpm.secuencia
)</f>
        <v>-SinArea-0000</v>
      </c>
      <c r="P425" s="77"/>
      <c r="Q425" s="32"/>
      <c r="R425" s="32"/>
      <c r="S425" s="32"/>
      <c r="T425" s="32"/>
    </row>
    <row r="426" spans="3:20" x14ac:dyDescent="0.3">
      <c r="C426" s="11"/>
      <c r="D426" s="32"/>
      <c r="E426" s="11"/>
      <c r="K426" s="15"/>
      <c r="L426" s="47"/>
      <c r="M426" s="76"/>
      <c r="N426" s="76"/>
      <c r="O426" s="78" t="str">
        <f>_xlfn.LET(
    _xlpm.itemBuscado, B426,
    _xlpm.areaBuscada, C426,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TEXT(COUNTIF($C$2:C426, _xlpm.areaBuscada), "0000"),
    _xlpm.codItem &amp; "-" &amp; _xlpm.codArea &amp; "-" &amp; _xlpm.secuencia
)</f>
        <v>-SinArea-0000</v>
      </c>
      <c r="P426" s="77"/>
      <c r="Q426" s="32"/>
      <c r="R426" s="32"/>
      <c r="S426" s="32"/>
      <c r="T426" s="32"/>
    </row>
    <row r="427" spans="3:20" x14ac:dyDescent="0.3">
      <c r="C427" s="11"/>
      <c r="D427" s="32"/>
      <c r="E427" s="11"/>
      <c r="K427" s="15"/>
      <c r="L427" s="47"/>
      <c r="M427" s="76"/>
      <c r="N427" s="76"/>
      <c r="O427" s="78" t="str">
        <f>_xlfn.LET(
    _xlpm.itemBuscado, B427,
    _xlpm.areaBuscada, C427,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TEXT(COUNTIF($C$2:C427, _xlpm.areaBuscada), "0000"),
    _xlpm.codItem &amp; "-" &amp; _xlpm.codArea &amp; "-" &amp; _xlpm.secuencia
)</f>
        <v>-SinArea-0000</v>
      </c>
      <c r="P427" s="77"/>
      <c r="Q427" s="32"/>
      <c r="R427" s="32"/>
      <c r="S427" s="32"/>
      <c r="T427" s="32"/>
    </row>
    <row r="428" spans="3:20" x14ac:dyDescent="0.3">
      <c r="C428" s="11"/>
      <c r="D428" s="32"/>
      <c r="E428" s="11"/>
      <c r="K428" s="15"/>
      <c r="L428" s="47"/>
      <c r="M428" s="76"/>
      <c r="N428" s="76"/>
      <c r="O428" s="78" t="str">
        <f>_xlfn.LET(
    _xlpm.itemBuscado, B428,
    _xlpm.areaBuscada, C428,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TEXT(COUNTIF($C$2:C428, _xlpm.areaBuscada), "0000"),
    _xlpm.codItem &amp; "-" &amp; _xlpm.codArea &amp; "-" &amp; _xlpm.secuencia
)</f>
        <v>-SinArea-0000</v>
      </c>
      <c r="P428" s="77"/>
      <c r="Q428" s="32"/>
      <c r="R428" s="32"/>
      <c r="S428" s="32"/>
      <c r="T428" s="32"/>
    </row>
    <row r="429" spans="3:20" x14ac:dyDescent="0.3">
      <c r="C429" s="11"/>
      <c r="D429" s="32"/>
      <c r="E429" s="11"/>
      <c r="K429" s="15"/>
      <c r="L429" s="47"/>
      <c r="M429" s="76"/>
      <c r="N429" s="76"/>
      <c r="O429" s="78" t="str">
        <f>_xlfn.LET(
    _xlpm.itemBuscado, B429,
    _xlpm.areaBuscada, C429,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TEXT(COUNTIF($C$2:C429, _xlpm.areaBuscada), "0000"),
    _xlpm.codItem &amp; "-" &amp; _xlpm.codArea &amp; "-" &amp; _xlpm.secuencia
)</f>
        <v>-SinArea-0000</v>
      </c>
      <c r="P429" s="77"/>
      <c r="Q429" s="32"/>
      <c r="R429" s="32"/>
      <c r="S429" s="32"/>
      <c r="T429" s="32"/>
    </row>
    <row r="430" spans="3:20" x14ac:dyDescent="0.3">
      <c r="C430" s="11"/>
      <c r="D430" s="32"/>
      <c r="E430" s="11"/>
      <c r="K430" s="15"/>
      <c r="L430" s="47"/>
      <c r="M430" s="76"/>
      <c r="N430" s="76"/>
      <c r="O430" s="78" t="str">
        <f>_xlfn.LET(
    _xlpm.itemBuscado, B430,
    _xlpm.areaBuscada, C430,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TEXT(COUNTIF($C$2:C430, _xlpm.areaBuscada), "0000"),
    _xlpm.codItem &amp; "-" &amp; _xlpm.codArea &amp; "-" &amp; _xlpm.secuencia
)</f>
        <v>-SinArea-0000</v>
      </c>
      <c r="P430" s="77"/>
      <c r="Q430" s="32"/>
      <c r="R430" s="32"/>
      <c r="S430" s="32"/>
      <c r="T430" s="32"/>
    </row>
    <row r="431" spans="3:20" x14ac:dyDescent="0.3">
      <c r="C431" s="11"/>
      <c r="D431" s="32"/>
      <c r="E431" s="11"/>
      <c r="K431" s="15"/>
      <c r="L431" s="47"/>
      <c r="M431" s="76"/>
      <c r="N431" s="76"/>
      <c r="O431" s="78" t="str">
        <f>_xlfn.LET(
    _xlpm.itemBuscado, B431,
    _xlpm.areaBuscada, C431,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TEXT(COUNTIF($C$2:C431, _xlpm.areaBuscada), "0000"),
    _xlpm.codItem &amp; "-" &amp; _xlpm.codArea &amp; "-" &amp; _xlpm.secuencia
)</f>
        <v>-SinArea-0000</v>
      </c>
      <c r="P431" s="77"/>
      <c r="Q431" s="32"/>
      <c r="R431" s="32"/>
      <c r="S431" s="32"/>
      <c r="T431" s="32"/>
    </row>
    <row r="432" spans="3:20" x14ac:dyDescent="0.3">
      <c r="C432" s="11"/>
      <c r="D432" s="32"/>
      <c r="E432" s="11"/>
      <c r="K432" s="15"/>
      <c r="L432" s="47"/>
      <c r="M432" s="76"/>
      <c r="N432" s="76"/>
      <c r="O432" s="78" t="str">
        <f>_xlfn.LET(
    _xlpm.itemBuscado, B432,
    _xlpm.areaBuscada, C432,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TEXT(COUNTIF($C$2:C432, _xlpm.areaBuscada), "0000"),
    _xlpm.codItem &amp; "-" &amp; _xlpm.codArea &amp; "-" &amp; _xlpm.secuencia
)</f>
        <v>-SinArea-0000</v>
      </c>
      <c r="P432" s="77"/>
      <c r="Q432" s="32"/>
      <c r="R432" s="32"/>
      <c r="S432" s="32"/>
      <c r="T432" s="32"/>
    </row>
    <row r="433" spans="3:20" x14ac:dyDescent="0.3">
      <c r="C433" s="11"/>
      <c r="D433" s="32"/>
      <c r="E433" s="11"/>
      <c r="K433" s="15"/>
      <c r="L433" s="47"/>
      <c r="M433" s="76"/>
      <c r="N433" s="76"/>
      <c r="O433" s="78" t="str">
        <f>_xlfn.LET(
    _xlpm.itemBuscado, B433,
    _xlpm.areaBuscada, C433,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TEXT(COUNTIF($C$2:C433, _xlpm.areaBuscada), "0000"),
    _xlpm.codItem &amp; "-" &amp; _xlpm.codArea &amp; "-" &amp; _xlpm.secuencia
)</f>
        <v>-SinArea-0000</v>
      </c>
      <c r="P433" s="77"/>
      <c r="Q433" s="32"/>
      <c r="R433" s="32"/>
      <c r="S433" s="32"/>
      <c r="T433" s="32"/>
    </row>
    <row r="434" spans="3:20" x14ac:dyDescent="0.3">
      <c r="C434" s="11"/>
      <c r="D434" s="32"/>
      <c r="E434" s="11"/>
      <c r="K434" s="15"/>
      <c r="L434" s="47"/>
      <c r="M434" s="76"/>
      <c r="N434" s="76"/>
      <c r="O434" s="78" t="str">
        <f>_xlfn.LET(
    _xlpm.itemBuscado, B434,
    _xlpm.areaBuscada, C434,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TEXT(COUNTIF($C$2:C434, _xlpm.areaBuscada), "0000"),
    _xlpm.codItem &amp; "-" &amp; _xlpm.codArea &amp; "-" &amp; _xlpm.secuencia
)</f>
        <v>-SinArea-0000</v>
      </c>
      <c r="P434" s="77"/>
      <c r="Q434" s="32"/>
      <c r="R434" s="32"/>
      <c r="S434" s="32"/>
      <c r="T434" s="32"/>
    </row>
    <row r="435" spans="3:20" x14ac:dyDescent="0.3">
      <c r="C435" s="11"/>
      <c r="D435" s="32"/>
      <c r="E435" s="11"/>
      <c r="K435" s="15"/>
      <c r="L435" s="47"/>
      <c r="M435" s="76"/>
      <c r="N435" s="76"/>
      <c r="O435" s="78" t="str">
        <f>_xlfn.LET(
    _xlpm.itemBuscado, B435,
    _xlpm.areaBuscada, C435,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TEXT(COUNTIF($C$2:C435, _xlpm.areaBuscada), "0000"),
    _xlpm.codItem &amp; "-" &amp; _xlpm.codArea &amp; "-" &amp; _xlpm.secuencia
)</f>
        <v>-SinArea-0000</v>
      </c>
      <c r="P435" s="77"/>
      <c r="Q435" s="32"/>
      <c r="R435" s="32"/>
      <c r="S435" s="32"/>
      <c r="T435" s="32"/>
    </row>
    <row r="436" spans="3:20" x14ac:dyDescent="0.3">
      <c r="C436" s="11"/>
      <c r="D436" s="32"/>
      <c r="E436" s="11"/>
      <c r="K436" s="15"/>
      <c r="L436" s="47"/>
      <c r="M436" s="76"/>
      <c r="N436" s="76"/>
      <c r="O436" s="78" t="str">
        <f>_xlfn.LET(
    _xlpm.itemBuscado, B436,
    _xlpm.areaBuscada, C436,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TEXT(COUNTIF($C$2:C436, _xlpm.areaBuscada), "0000"),
    _xlpm.codItem &amp; "-" &amp; _xlpm.codArea &amp; "-" &amp; _xlpm.secuencia
)</f>
        <v>-SinArea-0000</v>
      </c>
      <c r="P436" s="77"/>
      <c r="Q436" s="32"/>
      <c r="R436" s="32"/>
      <c r="S436" s="32"/>
      <c r="T436" s="32"/>
    </row>
    <row r="437" spans="3:20" x14ac:dyDescent="0.3">
      <c r="C437" s="11"/>
      <c r="D437" s="32"/>
      <c r="E437" s="11"/>
      <c r="K437" s="15"/>
      <c r="L437" s="47"/>
      <c r="M437" s="76"/>
      <c r="N437" s="76"/>
      <c r="O437" s="78" t="str">
        <f>_xlfn.LET(
    _xlpm.itemBuscado, B437,
    _xlpm.areaBuscada, C437,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TEXT(COUNTIF($C$2:C437, _xlpm.areaBuscada), "0000"),
    _xlpm.codItem &amp; "-" &amp; _xlpm.codArea &amp; "-" &amp; _xlpm.secuencia
)</f>
        <v>-SinArea-0000</v>
      </c>
      <c r="P437" s="77"/>
      <c r="Q437" s="32"/>
      <c r="R437" s="32"/>
      <c r="S437" s="32"/>
      <c r="T437" s="32"/>
    </row>
    <row r="438" spans="3:20" x14ac:dyDescent="0.3">
      <c r="C438" s="11"/>
      <c r="D438" s="32"/>
      <c r="E438" s="11"/>
      <c r="K438" s="15"/>
      <c r="L438" s="47"/>
      <c r="M438" s="76"/>
      <c r="N438" s="76"/>
      <c r="O438" s="78" t="str">
        <f>_xlfn.LET(
    _xlpm.itemBuscado, B438,
    _xlpm.areaBuscada, C438,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TEXT(COUNTIF($C$2:C438, _xlpm.areaBuscada), "0000"),
    _xlpm.codItem &amp; "-" &amp; _xlpm.codArea &amp; "-" &amp; _xlpm.secuencia
)</f>
        <v>-SinArea-0000</v>
      </c>
      <c r="P438" s="77"/>
      <c r="Q438" s="32"/>
      <c r="R438" s="32"/>
      <c r="S438" s="32"/>
      <c r="T438" s="32"/>
    </row>
    <row r="439" spans="3:20" x14ac:dyDescent="0.3">
      <c r="C439" s="11"/>
      <c r="D439" s="32"/>
      <c r="E439" s="11"/>
      <c r="K439" s="15"/>
      <c r="L439" s="47"/>
      <c r="M439" s="76"/>
      <c r="N439" s="76"/>
      <c r="O439" s="78" t="str">
        <f>_xlfn.LET(
    _xlpm.itemBuscado, B439,
    _xlpm.areaBuscada, C439,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TEXT(COUNTIF($C$2:C439, _xlpm.areaBuscada), "0000"),
    _xlpm.codItem &amp; "-" &amp; _xlpm.codArea &amp; "-" &amp; _xlpm.secuencia
)</f>
        <v>-SinArea-0000</v>
      </c>
      <c r="P439" s="77"/>
      <c r="Q439" s="32"/>
      <c r="R439" s="32"/>
      <c r="S439" s="32"/>
      <c r="T439" s="32"/>
    </row>
    <row r="440" spans="3:20" x14ac:dyDescent="0.3">
      <c r="C440" s="11"/>
      <c r="D440" s="32"/>
      <c r="E440" s="11"/>
      <c r="K440" s="15"/>
      <c r="L440" s="47"/>
      <c r="M440" s="76"/>
      <c r="N440" s="76"/>
      <c r="O440" s="78" t="str">
        <f>_xlfn.LET(
    _xlpm.itemBuscado, B440,
    _xlpm.areaBuscada, C440,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TEXT(COUNTIF($C$2:C440, _xlpm.areaBuscada), "0000"),
    _xlpm.codItem &amp; "-" &amp; _xlpm.codArea &amp; "-" &amp; _xlpm.secuencia
)</f>
        <v>-SinArea-0000</v>
      </c>
      <c r="P440" s="77"/>
      <c r="Q440" s="32"/>
      <c r="R440" s="32"/>
      <c r="S440" s="32"/>
      <c r="T440" s="32"/>
    </row>
    <row r="441" spans="3:20" x14ac:dyDescent="0.3">
      <c r="C441" s="11"/>
      <c r="D441" s="32"/>
      <c r="E441" s="11"/>
      <c r="K441" s="15"/>
      <c r="L441" s="47"/>
      <c r="M441" s="76"/>
      <c r="N441" s="76"/>
      <c r="O441" s="78" t="str">
        <f>_xlfn.LET(
    _xlpm.itemBuscado, B441,
    _xlpm.areaBuscada, C441,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TEXT(COUNTIF($C$2:C441, _xlpm.areaBuscada), "0000"),
    _xlpm.codItem &amp; "-" &amp; _xlpm.codArea &amp; "-" &amp; _xlpm.secuencia
)</f>
        <v>-SinArea-0000</v>
      </c>
      <c r="P441" s="77"/>
      <c r="Q441" s="32"/>
      <c r="R441" s="32"/>
      <c r="S441" s="32"/>
      <c r="T441" s="32"/>
    </row>
    <row r="442" spans="3:20" x14ac:dyDescent="0.3">
      <c r="C442" s="11"/>
      <c r="D442" s="32"/>
      <c r="E442" s="11"/>
      <c r="K442" s="15"/>
      <c r="L442" s="47"/>
      <c r="M442" s="76"/>
      <c r="N442" s="76"/>
      <c r="O442" s="78" t="str">
        <f>_xlfn.LET(
    _xlpm.itemBuscado, B442,
    _xlpm.areaBuscada, C442,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TEXT(COUNTIF($C$2:C442, _xlpm.areaBuscada), "0000"),
    _xlpm.codItem &amp; "-" &amp; _xlpm.codArea &amp; "-" &amp; _xlpm.secuencia
)</f>
        <v>-SinArea-0000</v>
      </c>
      <c r="P442" s="77"/>
      <c r="Q442" s="32"/>
      <c r="R442" s="32"/>
      <c r="S442" s="32"/>
      <c r="T442" s="32"/>
    </row>
    <row r="443" spans="3:20" x14ac:dyDescent="0.3">
      <c r="C443" s="11"/>
      <c r="D443" s="32"/>
      <c r="E443" s="11"/>
      <c r="K443" s="15"/>
      <c r="L443" s="47"/>
      <c r="M443" s="76"/>
      <c r="N443" s="76"/>
      <c r="O443" s="78" t="str">
        <f>_xlfn.LET(
    _xlpm.itemBuscado, B443,
    _xlpm.areaBuscada, C443,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TEXT(COUNTIF($C$2:C443, _xlpm.areaBuscada), "0000"),
    _xlpm.codItem &amp; "-" &amp; _xlpm.codArea &amp; "-" &amp; _xlpm.secuencia
)</f>
        <v>-SinArea-0000</v>
      </c>
      <c r="P443" s="77"/>
      <c r="Q443" s="32"/>
      <c r="R443" s="32"/>
      <c r="S443" s="32"/>
      <c r="T443" s="32"/>
    </row>
    <row r="444" spans="3:20" x14ac:dyDescent="0.3">
      <c r="C444" s="11"/>
      <c r="D444" s="32"/>
      <c r="E444" s="11"/>
      <c r="K444" s="15"/>
      <c r="L444" s="47"/>
      <c r="M444" s="76"/>
      <c r="N444" s="76"/>
      <c r="O444" s="78" t="str">
        <f>_xlfn.LET(
    _xlpm.itemBuscado, B444,
    _xlpm.areaBuscada, C444,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TEXT(COUNTIF($C$2:C444, _xlpm.areaBuscada), "0000"),
    _xlpm.codItem &amp; "-" &amp; _xlpm.codArea &amp; "-" &amp; _xlpm.secuencia
)</f>
        <v>-SinArea-0000</v>
      </c>
      <c r="P444" s="77"/>
      <c r="Q444" s="32"/>
      <c r="R444" s="32"/>
      <c r="S444" s="32"/>
      <c r="T444" s="32"/>
    </row>
    <row r="445" spans="3:20" x14ac:dyDescent="0.3">
      <c r="C445" s="11"/>
      <c r="D445" s="32"/>
      <c r="E445" s="11"/>
      <c r="K445" s="15"/>
      <c r="L445" s="47"/>
      <c r="M445" s="76"/>
      <c r="N445" s="76"/>
      <c r="O445" s="78" t="str">
        <f>_xlfn.LET(
    _xlpm.itemBuscado, B445,
    _xlpm.areaBuscada, C445,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TEXT(COUNTIF($C$2:C445, _xlpm.areaBuscada), "0000"),
    _xlpm.codItem &amp; "-" &amp; _xlpm.codArea &amp; "-" &amp; _xlpm.secuencia
)</f>
        <v>-SinArea-0000</v>
      </c>
      <c r="P445" s="77"/>
      <c r="Q445" s="32"/>
      <c r="R445" s="32"/>
      <c r="S445" s="32"/>
      <c r="T445" s="32"/>
    </row>
    <row r="446" spans="3:20" x14ac:dyDescent="0.3">
      <c r="C446" s="11"/>
      <c r="D446" s="32"/>
      <c r="E446" s="11"/>
      <c r="K446" s="15"/>
      <c r="L446" s="47"/>
      <c r="M446" s="76"/>
      <c r="N446" s="76"/>
      <c r="O446" s="78" t="str">
        <f>_xlfn.LET(
    _xlpm.itemBuscado, B446,
    _xlpm.areaBuscada, C446,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TEXT(COUNTIF($C$2:C446, _xlpm.areaBuscada), "0000"),
    _xlpm.codItem &amp; "-" &amp; _xlpm.codArea &amp; "-" &amp; _xlpm.secuencia
)</f>
        <v>-SinArea-0000</v>
      </c>
      <c r="P446" s="77"/>
      <c r="Q446" s="32"/>
      <c r="R446" s="32"/>
      <c r="S446" s="32"/>
      <c r="T446" s="32"/>
    </row>
    <row r="447" spans="3:20" x14ac:dyDescent="0.3">
      <c r="C447" s="11"/>
      <c r="D447" s="32"/>
      <c r="E447" s="11"/>
      <c r="K447" s="15"/>
      <c r="L447" s="47"/>
      <c r="M447" s="76"/>
      <c r="N447" s="76"/>
      <c r="O447" s="78" t="str">
        <f>_xlfn.LET(
    _xlpm.itemBuscado, B447,
    _xlpm.areaBuscada, C447,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TEXT(COUNTIF($C$2:C447, _xlpm.areaBuscada), "0000"),
    _xlpm.codItem &amp; "-" &amp; _xlpm.codArea &amp; "-" &amp; _xlpm.secuencia
)</f>
        <v>-SinArea-0000</v>
      </c>
      <c r="P447" s="77"/>
      <c r="Q447" s="32"/>
      <c r="R447" s="32"/>
      <c r="S447" s="32"/>
      <c r="T447" s="32"/>
    </row>
    <row r="448" spans="3:20" x14ac:dyDescent="0.3">
      <c r="C448" s="11"/>
      <c r="D448" s="32"/>
      <c r="E448" s="11"/>
      <c r="K448" s="15"/>
      <c r="L448" s="47"/>
      <c r="M448" s="76"/>
      <c r="N448" s="76"/>
      <c r="O448" s="78" t="str">
        <f>_xlfn.LET(
    _xlpm.itemBuscado, B448,
    _xlpm.areaBuscada, C448,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TEXT(COUNTIF($C$2:C448, _xlpm.areaBuscada), "0000"),
    _xlpm.codItem &amp; "-" &amp; _xlpm.codArea &amp; "-" &amp; _xlpm.secuencia
)</f>
        <v>-SinArea-0000</v>
      </c>
      <c r="P448" s="77"/>
      <c r="Q448" s="32"/>
      <c r="R448" s="32"/>
      <c r="S448" s="32"/>
      <c r="T448" s="32"/>
    </row>
    <row r="449" spans="3:20" x14ac:dyDescent="0.3">
      <c r="C449" s="11"/>
      <c r="D449" s="32"/>
      <c r="E449" s="11"/>
      <c r="K449" s="15"/>
      <c r="L449" s="47"/>
      <c r="M449" s="76"/>
      <c r="N449" s="76"/>
      <c r="O449" s="78" t="str">
        <f>_xlfn.LET(
    _xlpm.itemBuscado, B449,
    _xlpm.areaBuscada, C449,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TEXT(COUNTIF($C$2:C449, _xlpm.areaBuscada), "0000"),
    _xlpm.codItem &amp; "-" &amp; _xlpm.codArea &amp; "-" &amp; _xlpm.secuencia
)</f>
        <v>-SinArea-0000</v>
      </c>
      <c r="P449" s="77"/>
      <c r="Q449" s="32"/>
      <c r="R449" s="32"/>
      <c r="S449" s="32"/>
      <c r="T449" s="32"/>
    </row>
    <row r="450" spans="3:20" x14ac:dyDescent="0.3">
      <c r="C450" s="11"/>
      <c r="D450" s="32"/>
      <c r="E450" s="11"/>
      <c r="K450" s="15"/>
      <c r="L450" s="47"/>
      <c r="M450" s="76"/>
      <c r="N450" s="76"/>
      <c r="O450" s="78" t="str">
        <f>_xlfn.LET(
    _xlpm.itemBuscado, B450,
    _xlpm.areaBuscada, C450,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TEXT(COUNTIF($C$2:C450, _xlpm.areaBuscada), "0000"),
    _xlpm.codItem &amp; "-" &amp; _xlpm.codArea &amp; "-" &amp; _xlpm.secuencia
)</f>
        <v>-SinArea-0000</v>
      </c>
      <c r="P450" s="77"/>
      <c r="Q450" s="32"/>
      <c r="R450" s="32"/>
      <c r="S450" s="32"/>
      <c r="T450" s="32"/>
    </row>
    <row r="451" spans="3:20" x14ac:dyDescent="0.3">
      <c r="C451" s="11"/>
      <c r="D451" s="32"/>
      <c r="E451" s="11"/>
      <c r="K451" s="15"/>
      <c r="L451" s="47"/>
      <c r="M451" s="76"/>
      <c r="N451" s="76"/>
      <c r="O451" s="78" t="str">
        <f>_xlfn.LET(
    _xlpm.itemBuscado, B451,
    _xlpm.areaBuscada, C451,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TEXT(COUNTIF($C$2:C451, _xlpm.areaBuscada), "0000"),
    _xlpm.codItem &amp; "-" &amp; _xlpm.codArea &amp; "-" &amp; _xlpm.secuencia
)</f>
        <v>-SinArea-0000</v>
      </c>
      <c r="P451" s="77"/>
      <c r="Q451" s="32"/>
      <c r="R451" s="32"/>
      <c r="S451" s="32"/>
      <c r="T451" s="32"/>
    </row>
    <row r="452" spans="3:20" x14ac:dyDescent="0.3">
      <c r="C452" s="11"/>
      <c r="D452" s="32"/>
      <c r="E452" s="11"/>
      <c r="K452" s="15"/>
      <c r="L452" s="47"/>
      <c r="M452" s="76"/>
      <c r="N452" s="76"/>
      <c r="O452" s="78" t="str">
        <f>_xlfn.LET(
    _xlpm.itemBuscado, B452,
    _xlpm.areaBuscada, C452,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TEXT(COUNTIF($C$2:C452, _xlpm.areaBuscada), "0000"),
    _xlpm.codItem &amp; "-" &amp; _xlpm.codArea &amp; "-" &amp; _xlpm.secuencia
)</f>
        <v>-SinArea-0000</v>
      </c>
      <c r="P452" s="77"/>
      <c r="Q452" s="32"/>
      <c r="R452" s="32"/>
      <c r="S452" s="32"/>
      <c r="T452" s="32"/>
    </row>
    <row r="453" spans="3:20" x14ac:dyDescent="0.3">
      <c r="C453" s="11"/>
      <c r="D453" s="32"/>
      <c r="E453" s="11"/>
      <c r="K453" s="15"/>
      <c r="L453" s="47"/>
      <c r="M453" s="76"/>
      <c r="N453" s="76"/>
      <c r="O453" s="78" t="str">
        <f>_xlfn.LET(
    _xlpm.itemBuscado, B453,
    _xlpm.areaBuscada, C453,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TEXT(COUNTIF($C$2:C453, _xlpm.areaBuscada), "0000"),
    _xlpm.codItem &amp; "-" &amp; _xlpm.codArea &amp; "-" &amp; _xlpm.secuencia
)</f>
        <v>-SinArea-0000</v>
      </c>
      <c r="P453" s="77"/>
      <c r="Q453" s="32"/>
      <c r="R453" s="32"/>
      <c r="S453" s="32"/>
      <c r="T453" s="32"/>
    </row>
    <row r="454" spans="3:20" x14ac:dyDescent="0.3">
      <c r="C454" s="11"/>
      <c r="D454" s="32"/>
      <c r="E454" s="11"/>
      <c r="K454" s="15"/>
      <c r="L454" s="47"/>
      <c r="M454" s="76"/>
      <c r="N454" s="76"/>
      <c r="O454" s="78" t="str">
        <f>_xlfn.LET(
    _xlpm.itemBuscado, B454,
    _xlpm.areaBuscada, C454,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TEXT(COUNTIF($C$2:C454, _xlpm.areaBuscada), "0000"),
    _xlpm.codItem &amp; "-" &amp; _xlpm.codArea &amp; "-" &amp; _xlpm.secuencia
)</f>
        <v>-SinArea-0000</v>
      </c>
      <c r="P454" s="77"/>
      <c r="Q454" s="32"/>
      <c r="R454" s="32"/>
      <c r="S454" s="32"/>
      <c r="T454" s="32"/>
    </row>
    <row r="455" spans="3:20" x14ac:dyDescent="0.3">
      <c r="C455" s="11"/>
      <c r="D455" s="32"/>
      <c r="E455" s="11"/>
      <c r="K455" s="15"/>
      <c r="L455" s="47"/>
      <c r="M455" s="76"/>
      <c r="N455" s="76"/>
      <c r="O455" s="78" t="str">
        <f>_xlfn.LET(
    _xlpm.itemBuscado, B455,
    _xlpm.areaBuscada, C455,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TEXT(COUNTIF($C$2:C455, _xlpm.areaBuscada), "0000"),
    _xlpm.codItem &amp; "-" &amp; _xlpm.codArea &amp; "-" &amp; _xlpm.secuencia
)</f>
        <v>-SinArea-0000</v>
      </c>
      <c r="P455" s="77"/>
      <c r="Q455" s="32"/>
      <c r="R455" s="32"/>
      <c r="S455" s="32"/>
      <c r="T455" s="32"/>
    </row>
    <row r="456" spans="3:20" x14ac:dyDescent="0.3">
      <c r="C456" s="11"/>
      <c r="D456" s="32"/>
      <c r="E456" s="11"/>
      <c r="K456" s="15"/>
      <c r="L456" s="47"/>
      <c r="M456" s="76"/>
      <c r="N456" s="76"/>
      <c r="O456" s="78" t="str">
        <f>_xlfn.LET(
    _xlpm.itemBuscado, B456,
    _xlpm.areaBuscada, C456,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TEXT(COUNTIF($C$2:C456, _xlpm.areaBuscada), "0000"),
    _xlpm.codItem &amp; "-" &amp; _xlpm.codArea &amp; "-" &amp; _xlpm.secuencia
)</f>
        <v>-SinArea-0000</v>
      </c>
      <c r="P456" s="77"/>
      <c r="Q456" s="32"/>
      <c r="R456" s="32"/>
      <c r="S456" s="32"/>
      <c r="T456" s="32"/>
    </row>
    <row r="457" spans="3:20" x14ac:dyDescent="0.3">
      <c r="C457" s="11"/>
      <c r="D457" s="32"/>
      <c r="E457" s="11"/>
      <c r="K457" s="15"/>
      <c r="L457" s="47"/>
      <c r="M457" s="76"/>
      <c r="N457" s="76"/>
      <c r="O457" s="78" t="str">
        <f>_xlfn.LET(
    _xlpm.itemBuscado, B457,
    _xlpm.areaBuscada, C457,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TEXT(COUNTIF($C$2:C457, _xlpm.areaBuscada), "0000"),
    _xlpm.codItem &amp; "-" &amp; _xlpm.codArea &amp; "-" &amp; _xlpm.secuencia
)</f>
        <v>-SinArea-0000</v>
      </c>
      <c r="P457" s="77"/>
      <c r="Q457" s="32"/>
      <c r="R457" s="32"/>
      <c r="S457" s="32"/>
      <c r="T457" s="32"/>
    </row>
    <row r="458" spans="3:20" x14ac:dyDescent="0.3">
      <c r="C458" s="11"/>
      <c r="D458" s="32"/>
      <c r="E458" s="11"/>
      <c r="K458" s="15"/>
      <c r="L458" s="47"/>
      <c r="M458" s="76"/>
      <c r="N458" s="76"/>
      <c r="O458" s="78" t="str">
        <f>_xlfn.LET(
    _xlpm.itemBuscado, B458,
    _xlpm.areaBuscada, C458,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TEXT(COUNTIF($C$2:C458, _xlpm.areaBuscada), "0000"),
    _xlpm.codItem &amp; "-" &amp; _xlpm.codArea &amp; "-" &amp; _xlpm.secuencia
)</f>
        <v>-SinArea-0000</v>
      </c>
      <c r="P458" s="77"/>
      <c r="Q458" s="32"/>
      <c r="R458" s="32"/>
      <c r="S458" s="32"/>
      <c r="T458" s="32"/>
    </row>
    <row r="459" spans="3:20" x14ac:dyDescent="0.3">
      <c r="C459" s="11"/>
      <c r="D459" s="32"/>
      <c r="E459" s="11"/>
      <c r="K459" s="15"/>
      <c r="L459" s="47"/>
      <c r="M459" s="76"/>
      <c r="N459" s="76"/>
      <c r="O459" s="78" t="str">
        <f>_xlfn.LET(
    _xlpm.itemBuscado, B459,
    _xlpm.areaBuscada, C459,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TEXT(COUNTIF($C$2:C459, _xlpm.areaBuscada), "0000"),
    _xlpm.codItem &amp; "-" &amp; _xlpm.codArea &amp; "-" &amp; _xlpm.secuencia
)</f>
        <v>-SinArea-0000</v>
      </c>
      <c r="P459" s="77"/>
      <c r="Q459" s="32"/>
      <c r="R459" s="32"/>
      <c r="S459" s="32"/>
      <c r="T459" s="32"/>
    </row>
    <row r="460" spans="3:20" x14ac:dyDescent="0.3">
      <c r="C460" s="11"/>
      <c r="D460" s="32"/>
      <c r="E460" s="11"/>
      <c r="K460" s="15"/>
      <c r="L460" s="47"/>
      <c r="M460" s="76"/>
      <c r="N460" s="76"/>
      <c r="O460" s="78" t="str">
        <f>_xlfn.LET(
    _xlpm.itemBuscado, B460,
    _xlpm.areaBuscada, C460,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TEXT(COUNTIF($C$2:C460, _xlpm.areaBuscada), "0000"),
    _xlpm.codItem &amp; "-" &amp; _xlpm.codArea &amp; "-" &amp; _xlpm.secuencia
)</f>
        <v>-SinArea-0000</v>
      </c>
      <c r="P460" s="77"/>
      <c r="Q460" s="32"/>
      <c r="R460" s="32"/>
      <c r="S460" s="32"/>
      <c r="T460" s="32"/>
    </row>
    <row r="461" spans="3:20" x14ac:dyDescent="0.3">
      <c r="C461" s="11"/>
      <c r="D461" s="32"/>
      <c r="E461" s="11"/>
      <c r="K461" s="15"/>
      <c r="L461" s="47"/>
      <c r="M461" s="76"/>
      <c r="N461" s="76"/>
      <c r="O461" s="78" t="str">
        <f>_xlfn.LET(
    _xlpm.itemBuscado, B461,
    _xlpm.areaBuscada, C461,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TEXT(COUNTIF($C$2:C461, _xlpm.areaBuscada), "0000"),
    _xlpm.codItem &amp; "-" &amp; _xlpm.codArea &amp; "-" &amp; _xlpm.secuencia
)</f>
        <v>-SinArea-0000</v>
      </c>
      <c r="P461" s="77"/>
      <c r="Q461" s="32"/>
      <c r="R461" s="32"/>
      <c r="S461" s="32"/>
      <c r="T461" s="32"/>
    </row>
    <row r="462" spans="3:20" x14ac:dyDescent="0.3">
      <c r="C462" s="11"/>
      <c r="D462" s="32"/>
      <c r="E462" s="11"/>
      <c r="K462" s="15"/>
      <c r="L462" s="47"/>
      <c r="M462" s="76"/>
      <c r="N462" s="76"/>
      <c r="O462" s="78" t="str">
        <f>_xlfn.LET(
    _xlpm.itemBuscado, B462,
    _xlpm.areaBuscada, C462,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TEXT(COUNTIF($C$2:C462, _xlpm.areaBuscada), "0000"),
    _xlpm.codItem &amp; "-" &amp; _xlpm.codArea &amp; "-" &amp; _xlpm.secuencia
)</f>
        <v>-SinArea-0000</v>
      </c>
      <c r="P462" s="77"/>
      <c r="Q462" s="32"/>
      <c r="R462" s="32"/>
      <c r="S462" s="32"/>
      <c r="T462" s="32"/>
    </row>
    <row r="463" spans="3:20" x14ac:dyDescent="0.3">
      <c r="C463" s="11"/>
      <c r="D463" s="32"/>
      <c r="E463" s="11"/>
      <c r="K463" s="15"/>
      <c r="L463" s="47"/>
      <c r="M463" s="76"/>
      <c r="N463" s="76"/>
      <c r="O463" s="78" t="str">
        <f>_xlfn.LET(
    _xlpm.itemBuscado, B463,
    _xlpm.areaBuscada, C463,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TEXT(COUNTIF($C$2:C463, _xlpm.areaBuscada), "0000"),
    _xlpm.codItem &amp; "-" &amp; _xlpm.codArea &amp; "-" &amp; _xlpm.secuencia
)</f>
        <v>-SinArea-0000</v>
      </c>
      <c r="P463" s="77"/>
      <c r="Q463" s="32"/>
      <c r="R463" s="32"/>
      <c r="S463" s="32"/>
      <c r="T463" s="32"/>
    </row>
    <row r="464" spans="3:20" x14ac:dyDescent="0.3">
      <c r="C464" s="11"/>
      <c r="D464" s="32"/>
      <c r="E464" s="11"/>
      <c r="K464" s="15"/>
      <c r="L464" s="47"/>
      <c r="M464" s="76"/>
      <c r="N464" s="76"/>
      <c r="O464" s="78" t="str">
        <f>_xlfn.LET(
    _xlpm.itemBuscado, B464,
    _xlpm.areaBuscada, C464,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TEXT(COUNTIF($C$2:C464, _xlpm.areaBuscada), "0000"),
    _xlpm.codItem &amp; "-" &amp; _xlpm.codArea &amp; "-" &amp; _xlpm.secuencia
)</f>
        <v>-SinArea-0000</v>
      </c>
      <c r="P464" s="77"/>
      <c r="Q464" s="32"/>
      <c r="R464" s="32"/>
      <c r="S464" s="32"/>
      <c r="T464" s="32"/>
    </row>
    <row r="465" spans="3:20" x14ac:dyDescent="0.3">
      <c r="C465" s="11"/>
      <c r="D465" s="32"/>
      <c r="E465" s="11"/>
      <c r="K465" s="15"/>
      <c r="L465" s="47"/>
      <c r="M465" s="76"/>
      <c r="N465" s="76"/>
      <c r="O465" s="78" t="str">
        <f>_xlfn.LET(
    _xlpm.itemBuscado, B465,
    _xlpm.areaBuscada, C465,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TEXT(COUNTIF($C$2:C465, _xlpm.areaBuscada), "0000"),
    _xlpm.codItem &amp; "-" &amp; _xlpm.codArea &amp; "-" &amp; _xlpm.secuencia
)</f>
        <v>-SinArea-0000</v>
      </c>
      <c r="P465" s="77"/>
      <c r="Q465" s="32"/>
      <c r="R465" s="32"/>
      <c r="S465" s="32"/>
      <c r="T465" s="32"/>
    </row>
    <row r="466" spans="3:20" x14ac:dyDescent="0.3">
      <c r="C466" s="11"/>
      <c r="D466" s="32"/>
      <c r="E466" s="11"/>
      <c r="K466" s="15"/>
      <c r="L466" s="47"/>
      <c r="M466" s="76"/>
      <c r="N466" s="76"/>
      <c r="O466" s="78" t="str">
        <f>_xlfn.LET(
    _xlpm.itemBuscado, B466,
    _xlpm.areaBuscada, C466,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TEXT(COUNTIF($C$2:C466, _xlpm.areaBuscada), "0000"),
    _xlpm.codItem &amp; "-" &amp; _xlpm.codArea &amp; "-" &amp; _xlpm.secuencia
)</f>
        <v>-SinArea-0000</v>
      </c>
      <c r="P466" s="77"/>
      <c r="Q466" s="32"/>
      <c r="R466" s="32"/>
      <c r="S466" s="32"/>
      <c r="T466" s="32"/>
    </row>
    <row r="467" spans="3:20" x14ac:dyDescent="0.3">
      <c r="C467" s="11"/>
      <c r="D467" s="32"/>
      <c r="E467" s="11"/>
      <c r="K467" s="15"/>
      <c r="L467" s="47"/>
      <c r="M467" s="76"/>
      <c r="N467" s="76"/>
      <c r="O467" s="78" t="str">
        <f>_xlfn.LET(
    _xlpm.itemBuscado, B467,
    _xlpm.areaBuscada, C467,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TEXT(COUNTIF($C$2:C467, _xlpm.areaBuscada), "0000"),
    _xlpm.codItem &amp; "-" &amp; _xlpm.codArea &amp; "-" &amp; _xlpm.secuencia
)</f>
        <v>-SinArea-0000</v>
      </c>
      <c r="P467" s="77"/>
      <c r="Q467" s="32"/>
      <c r="R467" s="32"/>
      <c r="S467" s="32"/>
      <c r="T467" s="32"/>
    </row>
    <row r="468" spans="3:20" x14ac:dyDescent="0.3">
      <c r="C468" s="11"/>
      <c r="D468" s="32"/>
      <c r="E468" s="11"/>
      <c r="K468" s="15"/>
      <c r="L468" s="47"/>
      <c r="M468" s="76"/>
      <c r="N468" s="76"/>
      <c r="O468" s="78" t="str">
        <f>_xlfn.LET(
    _xlpm.itemBuscado, B468,
    _xlpm.areaBuscada, C468,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TEXT(COUNTIF($C$2:C468, _xlpm.areaBuscada), "0000"),
    _xlpm.codItem &amp; "-" &amp; _xlpm.codArea &amp; "-" &amp; _xlpm.secuencia
)</f>
        <v>-SinArea-0000</v>
      </c>
      <c r="P468" s="77"/>
      <c r="Q468" s="32"/>
      <c r="R468" s="32"/>
      <c r="S468" s="32"/>
      <c r="T468" s="32"/>
    </row>
    <row r="469" spans="3:20" x14ac:dyDescent="0.3">
      <c r="C469" s="11"/>
      <c r="D469" s="32"/>
      <c r="E469" s="11"/>
      <c r="K469" s="15"/>
      <c r="L469" s="47"/>
      <c r="M469" s="76"/>
      <c r="N469" s="76"/>
      <c r="O469" s="78" t="str">
        <f>_xlfn.LET(
    _xlpm.itemBuscado, B469,
    _xlpm.areaBuscada, C469,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TEXT(COUNTIF($C$2:C469, _xlpm.areaBuscada), "0000"),
    _xlpm.codItem &amp; "-" &amp; _xlpm.codArea &amp; "-" &amp; _xlpm.secuencia
)</f>
        <v>-SinArea-0000</v>
      </c>
      <c r="P469" s="77"/>
      <c r="Q469" s="32"/>
      <c r="R469" s="32"/>
      <c r="S469" s="32"/>
      <c r="T469" s="32"/>
    </row>
    <row r="470" spans="3:20" x14ac:dyDescent="0.3">
      <c r="C470" s="11"/>
      <c r="D470" s="32"/>
      <c r="E470" s="11"/>
      <c r="K470" s="15"/>
      <c r="L470" s="47"/>
      <c r="M470" s="76"/>
      <c r="N470" s="76"/>
      <c r="O470" s="78" t="str">
        <f>_xlfn.LET(
    _xlpm.itemBuscado, B470,
    _xlpm.areaBuscada, C470,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TEXT(COUNTIF($C$2:C470, _xlpm.areaBuscada), "0000"),
    _xlpm.codItem &amp; "-" &amp; _xlpm.codArea &amp; "-" &amp; _xlpm.secuencia
)</f>
        <v>-SinArea-0000</v>
      </c>
      <c r="P470" s="77"/>
      <c r="Q470" s="32"/>
      <c r="R470" s="32"/>
      <c r="S470" s="32"/>
      <c r="T470" s="32"/>
    </row>
    <row r="471" spans="3:20" x14ac:dyDescent="0.3">
      <c r="C471" s="11"/>
      <c r="D471" s="32"/>
      <c r="E471" s="11"/>
      <c r="K471" s="15"/>
      <c r="L471" s="47"/>
      <c r="M471" s="76"/>
      <c r="N471" s="76"/>
      <c r="O471" s="78" t="str">
        <f>_xlfn.LET(
    _xlpm.itemBuscado, B471,
    _xlpm.areaBuscada, C471,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TEXT(COUNTIF($C$2:C471, _xlpm.areaBuscada), "0000"),
    _xlpm.codItem &amp; "-" &amp; _xlpm.codArea &amp; "-" &amp; _xlpm.secuencia
)</f>
        <v>-SinArea-0000</v>
      </c>
      <c r="P471" s="77"/>
      <c r="Q471" s="32"/>
      <c r="R471" s="32"/>
      <c r="S471" s="32"/>
      <c r="T471" s="32"/>
    </row>
    <row r="472" spans="3:20" x14ac:dyDescent="0.3">
      <c r="C472" s="11"/>
      <c r="D472" s="32"/>
      <c r="E472" s="11"/>
      <c r="K472" s="15"/>
      <c r="L472" s="47"/>
      <c r="M472" s="76"/>
      <c r="N472" s="76"/>
      <c r="O472" s="78" t="str">
        <f>_xlfn.LET(
    _xlpm.itemBuscado, B472,
    _xlpm.areaBuscada, C472,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TEXT(COUNTIF($C$2:C472, _xlpm.areaBuscada), "0000"),
    _xlpm.codItem &amp; "-" &amp; _xlpm.codArea &amp; "-" &amp; _xlpm.secuencia
)</f>
        <v>-SinArea-0000</v>
      </c>
      <c r="P472" s="77"/>
      <c r="Q472" s="32"/>
      <c r="R472" s="32"/>
      <c r="S472" s="32"/>
      <c r="T472" s="32"/>
    </row>
    <row r="473" spans="3:20" x14ac:dyDescent="0.3">
      <c r="C473" s="11"/>
      <c r="D473" s="32"/>
      <c r="E473" s="11"/>
      <c r="K473" s="15"/>
      <c r="L473" s="47"/>
      <c r="M473" s="76"/>
      <c r="N473" s="76"/>
      <c r="O473" s="78" t="str">
        <f>_xlfn.LET(
    _xlpm.itemBuscado, B473,
    _xlpm.areaBuscada, C473,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TEXT(COUNTIF($C$2:C473, _xlpm.areaBuscada), "0000"),
    _xlpm.codItem &amp; "-" &amp; _xlpm.codArea &amp; "-" &amp; _xlpm.secuencia
)</f>
        <v>-SinArea-0000</v>
      </c>
      <c r="P473" s="77"/>
      <c r="Q473" s="32"/>
      <c r="R473" s="32"/>
      <c r="S473" s="32"/>
      <c r="T473" s="32"/>
    </row>
    <row r="474" spans="3:20" x14ac:dyDescent="0.3">
      <c r="C474" s="11"/>
      <c r="D474" s="32"/>
      <c r="E474" s="11"/>
      <c r="K474" s="15"/>
      <c r="L474" s="47"/>
      <c r="M474" s="76"/>
      <c r="N474" s="76"/>
      <c r="O474" s="78" t="str">
        <f>_xlfn.LET(
    _xlpm.itemBuscado, B474,
    _xlpm.areaBuscada, C474,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TEXT(COUNTIF($C$2:C474, _xlpm.areaBuscada), "0000"),
    _xlpm.codItem &amp; "-" &amp; _xlpm.codArea &amp; "-" &amp; _xlpm.secuencia
)</f>
        <v>-SinArea-0000</v>
      </c>
      <c r="P474" s="77"/>
      <c r="Q474" s="32"/>
      <c r="R474" s="32"/>
      <c r="S474" s="32"/>
      <c r="T474" s="32"/>
    </row>
    <row r="475" spans="3:20" x14ac:dyDescent="0.3">
      <c r="C475" s="11"/>
      <c r="D475" s="32"/>
      <c r="E475" s="11"/>
      <c r="K475" s="15"/>
      <c r="L475" s="47"/>
      <c r="M475" s="76"/>
      <c r="N475" s="76"/>
      <c r="O475" s="78" t="str">
        <f>_xlfn.LET(
    _xlpm.itemBuscado, B475,
    _xlpm.areaBuscada, C475,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TEXT(COUNTIF($C$2:C475, _xlpm.areaBuscada), "0000"),
    _xlpm.codItem &amp; "-" &amp; _xlpm.codArea &amp; "-" &amp; _xlpm.secuencia
)</f>
        <v>-SinArea-0000</v>
      </c>
      <c r="P475" s="77"/>
      <c r="Q475" s="32"/>
      <c r="R475" s="32"/>
      <c r="S475" s="32"/>
      <c r="T475" s="32"/>
    </row>
    <row r="476" spans="3:20" x14ac:dyDescent="0.3">
      <c r="C476" s="11"/>
      <c r="D476" s="32"/>
      <c r="E476" s="11"/>
      <c r="K476" s="15"/>
      <c r="L476" s="47"/>
      <c r="M476" s="76"/>
      <c r="N476" s="76"/>
      <c r="O476" s="78" t="str">
        <f>_xlfn.LET(
    _xlpm.itemBuscado, B476,
    _xlpm.areaBuscada, C476,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TEXT(COUNTIF($C$2:C476, _xlpm.areaBuscada), "0000"),
    _xlpm.codItem &amp; "-" &amp; _xlpm.codArea &amp; "-" &amp; _xlpm.secuencia
)</f>
        <v>-SinArea-0000</v>
      </c>
      <c r="P476" s="77"/>
      <c r="Q476" s="32"/>
      <c r="R476" s="32"/>
      <c r="S476" s="32"/>
      <c r="T476" s="32"/>
    </row>
    <row r="477" spans="3:20" x14ac:dyDescent="0.3">
      <c r="C477" s="11"/>
      <c r="D477" s="32"/>
      <c r="E477" s="11"/>
      <c r="K477" s="15"/>
      <c r="L477" s="47"/>
      <c r="M477" s="76"/>
      <c r="N477" s="76"/>
      <c r="O477" s="78" t="str">
        <f>_xlfn.LET(
    _xlpm.itemBuscado, B477,
    _xlpm.areaBuscada, C477,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TEXT(COUNTIF($C$2:C477, _xlpm.areaBuscada), "0000"),
    _xlpm.codItem &amp; "-" &amp; _xlpm.codArea &amp; "-" &amp; _xlpm.secuencia
)</f>
        <v>-SinArea-0000</v>
      </c>
      <c r="P477" s="77"/>
      <c r="Q477" s="32"/>
      <c r="R477" s="32"/>
      <c r="S477" s="32"/>
      <c r="T477" s="32"/>
    </row>
    <row r="478" spans="3:20" x14ac:dyDescent="0.3">
      <c r="C478" s="11"/>
      <c r="D478" s="32"/>
      <c r="E478" s="11"/>
      <c r="K478" s="15"/>
      <c r="L478" s="47"/>
      <c r="M478" s="76"/>
      <c r="N478" s="76"/>
      <c r="O478" s="78" t="str">
        <f>_xlfn.LET(
    _xlpm.itemBuscado, B478,
    _xlpm.areaBuscada, C478,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TEXT(COUNTIF($C$2:C478, _xlpm.areaBuscada), "0000"),
    _xlpm.codItem &amp; "-" &amp; _xlpm.codArea &amp; "-" &amp; _xlpm.secuencia
)</f>
        <v>-SinArea-0000</v>
      </c>
      <c r="P478" s="77"/>
      <c r="Q478" s="32"/>
      <c r="R478" s="32"/>
      <c r="S478" s="32"/>
      <c r="T478" s="32"/>
    </row>
    <row r="479" spans="3:20" x14ac:dyDescent="0.3">
      <c r="C479" s="11"/>
      <c r="D479" s="32"/>
      <c r="E479" s="11"/>
      <c r="K479" s="15"/>
      <c r="L479" s="47"/>
      <c r="M479" s="76"/>
      <c r="N479" s="76"/>
      <c r="O479" s="78" t="str">
        <f>_xlfn.LET(
    _xlpm.itemBuscado, B479,
    _xlpm.areaBuscada, C479,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TEXT(COUNTIF($C$2:C479, _xlpm.areaBuscada), "0000"),
    _xlpm.codItem &amp; "-" &amp; _xlpm.codArea &amp; "-" &amp; _xlpm.secuencia
)</f>
        <v>-SinArea-0000</v>
      </c>
      <c r="P479" s="77"/>
      <c r="Q479" s="32"/>
      <c r="R479" s="32"/>
      <c r="S479" s="32"/>
      <c r="T479" s="32"/>
    </row>
    <row r="480" spans="3:20" x14ac:dyDescent="0.3">
      <c r="C480" s="11"/>
      <c r="D480" s="32"/>
      <c r="E480" s="11"/>
      <c r="K480" s="15"/>
      <c r="L480" s="47"/>
      <c r="M480" s="76"/>
      <c r="N480" s="76"/>
      <c r="O480" s="78" t="str">
        <f>_xlfn.LET(
    _xlpm.itemBuscado, B480,
    _xlpm.areaBuscada, C480,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TEXT(COUNTIF($C$2:C480, _xlpm.areaBuscada), "0000"),
    _xlpm.codItem &amp; "-" &amp; _xlpm.codArea &amp; "-" &amp; _xlpm.secuencia
)</f>
        <v>-SinArea-0000</v>
      </c>
      <c r="P480" s="77"/>
      <c r="Q480" s="32"/>
      <c r="R480" s="32"/>
      <c r="S480" s="32"/>
      <c r="T480" s="32"/>
    </row>
    <row r="481" spans="3:20" x14ac:dyDescent="0.3">
      <c r="C481" s="11"/>
      <c r="D481" s="32"/>
      <c r="E481" s="11"/>
      <c r="K481" s="15"/>
      <c r="L481" s="47"/>
      <c r="M481" s="76"/>
      <c r="N481" s="76"/>
      <c r="O481" s="78" t="str">
        <f>_xlfn.LET(
    _xlpm.itemBuscado, B481,
    _xlpm.areaBuscada, C481,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TEXT(COUNTIF($C$2:C481, _xlpm.areaBuscada), "0000"),
    _xlpm.codItem &amp; "-" &amp; _xlpm.codArea &amp; "-" &amp; _xlpm.secuencia
)</f>
        <v>-SinArea-0000</v>
      </c>
      <c r="P481" s="77"/>
      <c r="Q481" s="32"/>
      <c r="R481" s="32"/>
      <c r="S481" s="32"/>
      <c r="T481" s="32"/>
    </row>
    <row r="482" spans="3:20" x14ac:dyDescent="0.3">
      <c r="C482" s="11"/>
      <c r="D482" s="32"/>
      <c r="E482" s="11"/>
      <c r="K482" s="15"/>
      <c r="L482" s="47"/>
      <c r="M482" s="76"/>
      <c r="N482" s="76"/>
      <c r="O482" s="78" t="str">
        <f>_xlfn.LET(
    _xlpm.itemBuscado, B482,
    _xlpm.areaBuscada, C482,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TEXT(COUNTIF($C$2:C482, _xlpm.areaBuscada), "0000"),
    _xlpm.codItem &amp; "-" &amp; _xlpm.codArea &amp; "-" &amp; _xlpm.secuencia
)</f>
        <v>-SinArea-0000</v>
      </c>
      <c r="P482" s="77"/>
      <c r="Q482" s="32"/>
      <c r="R482" s="32"/>
      <c r="S482" s="32"/>
      <c r="T482" s="32"/>
    </row>
    <row r="483" spans="3:20" x14ac:dyDescent="0.3">
      <c r="C483" s="11"/>
      <c r="D483" s="32"/>
      <c r="E483" s="11"/>
      <c r="K483" s="15"/>
      <c r="L483" s="47"/>
      <c r="M483" s="76"/>
      <c r="N483" s="76"/>
      <c r="O483" s="78" t="str">
        <f>_xlfn.LET(
    _xlpm.itemBuscado, B483,
    _xlpm.areaBuscada, C483,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TEXT(COUNTIF($C$2:C483, _xlpm.areaBuscada), "0000"),
    _xlpm.codItem &amp; "-" &amp; _xlpm.codArea &amp; "-" &amp; _xlpm.secuencia
)</f>
        <v>-SinArea-0000</v>
      </c>
      <c r="P483" s="77"/>
      <c r="Q483" s="32"/>
      <c r="R483" s="32"/>
      <c r="S483" s="32"/>
      <c r="T483" s="32"/>
    </row>
    <row r="484" spans="3:20" x14ac:dyDescent="0.3">
      <c r="C484" s="11"/>
      <c r="D484" s="32"/>
      <c r="E484" s="11"/>
      <c r="K484" s="15"/>
      <c r="L484" s="47"/>
      <c r="M484" s="76"/>
      <c r="N484" s="76"/>
      <c r="O484" s="78" t="str">
        <f>_xlfn.LET(
    _xlpm.itemBuscado, B484,
    _xlpm.areaBuscada, C484,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TEXT(COUNTIF($C$2:C484, _xlpm.areaBuscada), "0000"),
    _xlpm.codItem &amp; "-" &amp; _xlpm.codArea &amp; "-" &amp; _xlpm.secuencia
)</f>
        <v>-SinArea-0000</v>
      </c>
      <c r="P484" s="77"/>
      <c r="Q484" s="32"/>
      <c r="R484" s="32"/>
      <c r="S484" s="32"/>
      <c r="T484" s="32"/>
    </row>
    <row r="485" spans="3:20" x14ac:dyDescent="0.3">
      <c r="C485" s="11"/>
      <c r="D485" s="32"/>
      <c r="E485" s="11"/>
      <c r="K485" s="15"/>
      <c r="L485" s="47"/>
      <c r="M485" s="76"/>
      <c r="N485" s="76"/>
      <c r="O485" s="78" t="str">
        <f>_xlfn.LET(
    _xlpm.itemBuscado, B485,
    _xlpm.areaBuscada, C485,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TEXT(COUNTIF($C$2:C485, _xlpm.areaBuscada), "0000"),
    _xlpm.codItem &amp; "-" &amp; _xlpm.codArea &amp; "-" &amp; _xlpm.secuencia
)</f>
        <v>-SinArea-0000</v>
      </c>
      <c r="P485" s="77"/>
      <c r="Q485" s="32"/>
      <c r="R485" s="32"/>
      <c r="S485" s="32"/>
      <c r="T485" s="32"/>
    </row>
    <row r="486" spans="3:20" x14ac:dyDescent="0.3">
      <c r="C486" s="11"/>
      <c r="D486" s="32"/>
      <c r="E486" s="11"/>
      <c r="K486" s="15"/>
      <c r="L486" s="47"/>
      <c r="M486" s="76"/>
      <c r="N486" s="76"/>
      <c r="O486" s="78" t="str">
        <f>_xlfn.LET(
    _xlpm.itemBuscado, B486,
    _xlpm.areaBuscada, C486,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TEXT(COUNTIF($C$2:C486, _xlpm.areaBuscada), "0000"),
    _xlpm.codItem &amp; "-" &amp; _xlpm.codArea &amp; "-" &amp; _xlpm.secuencia
)</f>
        <v>-SinArea-0000</v>
      </c>
      <c r="P486" s="77"/>
      <c r="Q486" s="32"/>
      <c r="R486" s="32"/>
      <c r="S486" s="32"/>
      <c r="T486" s="32"/>
    </row>
    <row r="487" spans="3:20" x14ac:dyDescent="0.3">
      <c r="C487" s="11"/>
      <c r="D487" s="32"/>
      <c r="E487" s="11"/>
      <c r="K487" s="15"/>
      <c r="L487" s="47"/>
      <c r="M487" s="76"/>
      <c r="N487" s="76"/>
      <c r="O487" s="78" t="str">
        <f>_xlfn.LET(
    _xlpm.itemBuscado, B487,
    _xlpm.areaBuscada, C487,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TEXT(COUNTIF($C$2:C487, _xlpm.areaBuscada), "0000"),
    _xlpm.codItem &amp; "-" &amp; _xlpm.codArea &amp; "-" &amp; _xlpm.secuencia
)</f>
        <v>-SinArea-0000</v>
      </c>
      <c r="P487" s="77"/>
      <c r="Q487" s="32"/>
      <c r="R487" s="32"/>
      <c r="S487" s="32"/>
      <c r="T487" s="32"/>
    </row>
    <row r="488" spans="3:20" x14ac:dyDescent="0.3">
      <c r="C488" s="11"/>
      <c r="D488" s="32"/>
      <c r="E488" s="11"/>
      <c r="K488" s="15"/>
      <c r="L488" s="47"/>
      <c r="M488" s="76"/>
      <c r="N488" s="76"/>
      <c r="O488" s="78" t="str">
        <f>_xlfn.LET(
    _xlpm.itemBuscado, B488,
    _xlpm.areaBuscada, C488,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TEXT(COUNTIF($C$2:C488, _xlpm.areaBuscada), "0000"),
    _xlpm.codItem &amp; "-" &amp; _xlpm.codArea &amp; "-" &amp; _xlpm.secuencia
)</f>
        <v>-SinArea-0000</v>
      </c>
      <c r="P488" s="77"/>
      <c r="Q488" s="32"/>
      <c r="R488" s="32"/>
      <c r="S488" s="32"/>
      <c r="T488" s="32"/>
    </row>
    <row r="489" spans="3:20" x14ac:dyDescent="0.3">
      <c r="C489" s="11"/>
      <c r="D489" s="32"/>
      <c r="E489" s="11"/>
      <c r="K489" s="15"/>
      <c r="L489" s="47"/>
      <c r="M489" s="76"/>
      <c r="N489" s="76"/>
      <c r="O489" s="78" t="str">
        <f>_xlfn.LET(
    _xlpm.itemBuscado, B489,
    _xlpm.areaBuscada, C489,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TEXT(COUNTIF($C$2:C489, _xlpm.areaBuscada), "0000"),
    _xlpm.codItem &amp; "-" &amp; _xlpm.codArea &amp; "-" &amp; _xlpm.secuencia
)</f>
        <v>-SinArea-0000</v>
      </c>
      <c r="P489" s="77"/>
      <c r="Q489" s="32"/>
      <c r="R489" s="32"/>
      <c r="S489" s="32"/>
      <c r="T489" s="32"/>
    </row>
    <row r="490" spans="3:20" x14ac:dyDescent="0.3">
      <c r="C490" s="11"/>
      <c r="D490" s="32"/>
      <c r="E490" s="11"/>
      <c r="K490" s="15"/>
      <c r="L490" s="47"/>
      <c r="M490" s="76"/>
      <c r="N490" s="76"/>
      <c r="O490" s="78" t="str">
        <f>_xlfn.LET(
    _xlpm.itemBuscado, B490,
    _xlpm.areaBuscada, C490,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TEXT(COUNTIF($C$2:C490, _xlpm.areaBuscada), "0000"),
    _xlpm.codItem &amp; "-" &amp; _xlpm.codArea &amp; "-" &amp; _xlpm.secuencia
)</f>
        <v>-SinArea-0000</v>
      </c>
      <c r="P490" s="77"/>
      <c r="Q490" s="32"/>
      <c r="R490" s="32"/>
      <c r="S490" s="32"/>
      <c r="T490" s="32"/>
    </row>
    <row r="491" spans="3:20" x14ac:dyDescent="0.3">
      <c r="C491" s="11"/>
      <c r="D491" s="32"/>
      <c r="E491" s="11"/>
      <c r="K491" s="15"/>
      <c r="L491" s="47"/>
      <c r="M491" s="76"/>
      <c r="N491" s="76"/>
      <c r="O491" s="78" t="str">
        <f>_xlfn.LET(
    _xlpm.itemBuscado, B491,
    _xlpm.areaBuscada, C491,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TEXT(COUNTIF($C$2:C491, _xlpm.areaBuscada), "0000"),
    _xlpm.codItem &amp; "-" &amp; _xlpm.codArea &amp; "-" &amp; _xlpm.secuencia
)</f>
        <v>-SinArea-0000</v>
      </c>
      <c r="P491" s="77"/>
      <c r="Q491" s="32"/>
      <c r="R491" s="32"/>
      <c r="S491" s="32"/>
      <c r="T491" s="32"/>
    </row>
    <row r="492" spans="3:20" x14ac:dyDescent="0.3">
      <c r="C492" s="11"/>
      <c r="D492" s="32"/>
      <c r="E492" s="11"/>
      <c r="K492" s="15"/>
      <c r="L492" s="47"/>
      <c r="M492" s="76"/>
      <c r="N492" s="76"/>
      <c r="O492" s="78" t="str">
        <f>_xlfn.LET(
    _xlpm.itemBuscado, B492,
    _xlpm.areaBuscada, C492,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TEXT(COUNTIF($C$2:C492, _xlpm.areaBuscada), "0000"),
    _xlpm.codItem &amp; "-" &amp; _xlpm.codArea &amp; "-" &amp; _xlpm.secuencia
)</f>
        <v>-SinArea-0000</v>
      </c>
      <c r="P492" s="77"/>
      <c r="Q492" s="32"/>
      <c r="R492" s="32"/>
      <c r="S492" s="32"/>
      <c r="T492" s="32"/>
    </row>
    <row r="493" spans="3:20" x14ac:dyDescent="0.3">
      <c r="C493" s="11"/>
      <c r="D493" s="32"/>
      <c r="E493" s="11"/>
      <c r="K493" s="15"/>
      <c r="L493" s="47"/>
      <c r="M493" s="76"/>
      <c r="N493" s="76"/>
      <c r="O493" s="78" t="str">
        <f>_xlfn.LET(
    _xlpm.itemBuscado, B493,
    _xlpm.areaBuscada, C493,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TEXT(COUNTIF($C$2:C493, _xlpm.areaBuscada), "0000"),
    _xlpm.codItem &amp; "-" &amp; _xlpm.codArea &amp; "-" &amp; _xlpm.secuencia
)</f>
        <v>-SinArea-0000</v>
      </c>
      <c r="P493" s="77"/>
      <c r="Q493" s="32"/>
      <c r="R493" s="32"/>
      <c r="S493" s="32"/>
      <c r="T493" s="32"/>
    </row>
    <row r="494" spans="3:20" x14ac:dyDescent="0.3">
      <c r="C494" s="11"/>
      <c r="D494" s="32"/>
      <c r="E494" s="11"/>
      <c r="K494" s="15"/>
      <c r="L494" s="47"/>
      <c r="M494" s="76"/>
      <c r="N494" s="76"/>
      <c r="O494" s="78" t="str">
        <f>_xlfn.LET(
    _xlpm.itemBuscado, B494,
    _xlpm.areaBuscada, C494,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TEXT(COUNTIF($C$2:C494, _xlpm.areaBuscada), "0000"),
    _xlpm.codItem &amp; "-" &amp; _xlpm.codArea &amp; "-" &amp; _xlpm.secuencia
)</f>
        <v>-SinArea-0000</v>
      </c>
      <c r="P494" s="77"/>
      <c r="Q494" s="32"/>
      <c r="R494" s="32"/>
      <c r="S494" s="32"/>
      <c r="T494" s="32"/>
    </row>
    <row r="495" spans="3:20" x14ac:dyDescent="0.3">
      <c r="C495" s="11"/>
      <c r="D495" s="32"/>
      <c r="E495" s="11"/>
      <c r="K495" s="15"/>
      <c r="L495" s="47"/>
      <c r="M495" s="76"/>
      <c r="N495" s="76"/>
      <c r="O495" s="78" t="str">
        <f>_xlfn.LET(
    _xlpm.itemBuscado, B495,
    _xlpm.areaBuscada, C495,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TEXT(COUNTIF($C$2:C495, _xlpm.areaBuscada), "0000"),
    _xlpm.codItem &amp; "-" &amp; _xlpm.codArea &amp; "-" &amp; _xlpm.secuencia
)</f>
        <v>-SinArea-0000</v>
      </c>
      <c r="P495" s="77"/>
      <c r="Q495" s="32"/>
      <c r="R495" s="32"/>
      <c r="S495" s="32"/>
      <c r="T495" s="32"/>
    </row>
    <row r="496" spans="3:20" x14ac:dyDescent="0.3">
      <c r="C496" s="11"/>
      <c r="D496" s="32"/>
      <c r="E496" s="11"/>
      <c r="K496" s="15"/>
      <c r="L496" s="47"/>
      <c r="M496" s="76"/>
      <c r="N496" s="76"/>
      <c r="O496" s="78" t="str">
        <f>_xlfn.LET(
    _xlpm.itemBuscado, B496,
    _xlpm.areaBuscada, C496,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TEXT(COUNTIF($C$2:C496, _xlpm.areaBuscada), "0000"),
    _xlpm.codItem &amp; "-" &amp; _xlpm.codArea &amp; "-" &amp; _xlpm.secuencia
)</f>
        <v>-SinArea-0000</v>
      </c>
      <c r="P496" s="77"/>
      <c r="Q496" s="32"/>
      <c r="R496" s="32"/>
      <c r="S496" s="32"/>
      <c r="T496" s="32"/>
    </row>
    <row r="497" spans="3:20" x14ac:dyDescent="0.3">
      <c r="C497" s="11"/>
      <c r="D497" s="32"/>
      <c r="E497" s="11"/>
      <c r="K497" s="15"/>
      <c r="L497" s="47"/>
      <c r="M497" s="76"/>
      <c r="N497" s="76"/>
      <c r="O497" s="78" t="str">
        <f>_xlfn.LET(
    _xlpm.itemBuscado, B497,
    _xlpm.areaBuscada, C497,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TEXT(COUNTIF($C$2:C497, _xlpm.areaBuscada), "0000"),
    _xlpm.codItem &amp; "-" &amp; _xlpm.codArea &amp; "-" &amp; _xlpm.secuencia
)</f>
        <v>-SinArea-0000</v>
      </c>
      <c r="P497" s="77"/>
      <c r="Q497" s="32"/>
      <c r="R497" s="32"/>
      <c r="S497" s="32"/>
      <c r="T497" s="32"/>
    </row>
    <row r="498" spans="3:20" x14ac:dyDescent="0.3">
      <c r="C498" s="11"/>
      <c r="D498" s="32"/>
      <c r="E498" s="11"/>
      <c r="K498" s="15"/>
      <c r="L498" s="47"/>
      <c r="M498" s="76"/>
      <c r="N498" s="76"/>
      <c r="O498" s="78" t="str">
        <f>_xlfn.LET(
    _xlpm.itemBuscado, B498,
    _xlpm.areaBuscada, C498,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TEXT(COUNTIF($C$2:C498, _xlpm.areaBuscada), "0000"),
    _xlpm.codItem &amp; "-" &amp; _xlpm.codArea &amp; "-" &amp; _xlpm.secuencia
)</f>
        <v>-SinArea-0000</v>
      </c>
      <c r="P498" s="77"/>
      <c r="Q498" s="32"/>
      <c r="R498" s="32"/>
      <c r="S498" s="32"/>
      <c r="T498" s="32"/>
    </row>
    <row r="499" spans="3:20" x14ac:dyDescent="0.3">
      <c r="C499" s="11"/>
      <c r="D499" s="32"/>
      <c r="E499" s="11"/>
      <c r="K499" s="15"/>
      <c r="L499" s="47"/>
      <c r="M499" s="76"/>
      <c r="N499" s="76"/>
      <c r="O499" s="78" t="str">
        <f>_xlfn.LET(
    _xlpm.itemBuscado, B499,
    _xlpm.areaBuscada, C499,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TEXT(COUNTIF($C$2:C499, _xlpm.areaBuscada), "0000"),
    _xlpm.codItem &amp; "-" &amp; _xlpm.codArea &amp; "-" &amp; _xlpm.secuencia
)</f>
        <v>-SinArea-0000</v>
      </c>
      <c r="P499" s="77"/>
      <c r="Q499" s="32"/>
      <c r="R499" s="32"/>
      <c r="S499" s="32"/>
      <c r="T499" s="32"/>
    </row>
    <row r="500" spans="3:20" x14ac:dyDescent="0.3">
      <c r="C500" s="11"/>
      <c r="D500" s="32"/>
      <c r="E500" s="11"/>
      <c r="K500" s="15"/>
      <c r="L500" s="47"/>
      <c r="M500" s="76"/>
      <c r="N500" s="76"/>
      <c r="O500" s="78" t="str">
        <f>_xlfn.LET(
    _xlpm.itemBuscado, B500,
    _xlpm.areaBuscada, C500,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TEXT(COUNTIF($C$2:C500, _xlpm.areaBuscada), "0000"),
    _xlpm.codItem &amp; "-" &amp; _xlpm.codArea &amp; "-" &amp; _xlpm.secuencia
)</f>
        <v>-SinArea-0000</v>
      </c>
      <c r="P500" s="77"/>
      <c r="Q500" s="32"/>
      <c r="R500" s="32"/>
      <c r="S500" s="32"/>
      <c r="T500" s="32"/>
    </row>
    <row r="501" spans="3:20" x14ac:dyDescent="0.3">
      <c r="C501" s="11"/>
      <c r="D501" s="32"/>
      <c r="E501" s="11"/>
      <c r="K501" s="15"/>
      <c r="L501" s="47"/>
      <c r="M501" s="76"/>
      <c r="N501" s="76"/>
      <c r="O501" s="78" t="str">
        <f>_xlfn.LET(
    _xlpm.itemBuscado, B501,
    _xlpm.areaBuscada, C501,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TEXT(COUNTIF($C$2:C501, _xlpm.areaBuscada), "0000"),
    _xlpm.codItem &amp; "-" &amp; _xlpm.codArea &amp; "-" &amp; _xlpm.secuencia
)</f>
        <v>-SinArea-0000</v>
      </c>
      <c r="P501" s="77"/>
      <c r="Q501" s="32"/>
      <c r="R501" s="32"/>
      <c r="S501" s="32"/>
      <c r="T501" s="32"/>
    </row>
    <row r="502" spans="3:20" x14ac:dyDescent="0.3">
      <c r="C502" s="11"/>
      <c r="D502" s="32"/>
      <c r="E502" s="11"/>
      <c r="K502" s="15"/>
      <c r="L502" s="47"/>
      <c r="M502" s="76"/>
      <c r="N502" s="76"/>
      <c r="O502" s="78" t="str">
        <f>_xlfn.LET(
    _xlpm.itemBuscado, B502,
    _xlpm.areaBuscada, C502,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TEXT(COUNTIF($C$2:C502, _xlpm.areaBuscada), "0000"),
    _xlpm.codItem &amp; "-" &amp; _xlpm.codArea &amp; "-" &amp; _xlpm.secuencia
)</f>
        <v>-SinArea-0000</v>
      </c>
      <c r="P502" s="77"/>
      <c r="Q502" s="32"/>
      <c r="R502" s="32"/>
      <c r="S502" s="32"/>
      <c r="T502" s="32"/>
    </row>
    <row r="503" spans="3:20" x14ac:dyDescent="0.3">
      <c r="C503" s="11"/>
      <c r="D503" s="32"/>
      <c r="E503" s="11"/>
      <c r="K503" s="15"/>
      <c r="L503" s="47"/>
      <c r="M503" s="76"/>
      <c r="N503" s="76"/>
      <c r="O503" s="78" t="str">
        <f>_xlfn.LET(
    _xlpm.itemBuscado, B503,
    _xlpm.areaBuscada, C503,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TEXT(COUNTIF($C$2:C503, _xlpm.areaBuscada), "0000"),
    _xlpm.codItem &amp; "-" &amp; _xlpm.codArea &amp; "-" &amp; _xlpm.secuencia
)</f>
        <v>-SinArea-0000</v>
      </c>
      <c r="P503" s="77"/>
      <c r="Q503" s="32"/>
      <c r="R503" s="32"/>
      <c r="S503" s="32"/>
      <c r="T503" s="32"/>
    </row>
    <row r="504" spans="3:20" x14ac:dyDescent="0.3">
      <c r="C504" s="11"/>
      <c r="D504" s="32"/>
      <c r="E504" s="11"/>
      <c r="K504" s="15"/>
      <c r="L504" s="47"/>
      <c r="M504" s="76"/>
      <c r="N504" s="76"/>
      <c r="O504" s="78" t="str">
        <f>_xlfn.LET(
    _xlpm.itemBuscado, B504,
    _xlpm.areaBuscada, C504,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TEXT(COUNTIF($C$2:C504, _xlpm.areaBuscada), "0000"),
    _xlpm.codItem &amp; "-" &amp; _xlpm.codArea &amp; "-" &amp; _xlpm.secuencia
)</f>
        <v>-SinArea-0000</v>
      </c>
      <c r="P504" s="77"/>
      <c r="Q504" s="32"/>
      <c r="R504" s="32"/>
      <c r="S504" s="32"/>
      <c r="T504" s="32"/>
    </row>
    <row r="505" spans="3:20" x14ac:dyDescent="0.3">
      <c r="C505" s="11"/>
      <c r="D505" s="32"/>
      <c r="E505" s="11"/>
      <c r="K505" s="15"/>
      <c r="L505" s="47"/>
      <c r="M505" s="76"/>
      <c r="N505" s="76"/>
      <c r="O505" s="78" t="str">
        <f>_xlfn.LET(
    _xlpm.itemBuscado, B505,
    _xlpm.areaBuscada, C505,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TEXT(COUNTIF($C$2:C505, _xlpm.areaBuscada), "0000"),
    _xlpm.codItem &amp; "-" &amp; _xlpm.codArea &amp; "-" &amp; _xlpm.secuencia
)</f>
        <v>-SinArea-0000</v>
      </c>
      <c r="P505" s="77"/>
      <c r="Q505" s="32"/>
      <c r="R505" s="32"/>
      <c r="S505" s="32"/>
      <c r="T505" s="32"/>
    </row>
    <row r="506" spans="3:20" x14ac:dyDescent="0.3">
      <c r="C506" s="11"/>
      <c r="D506" s="32"/>
      <c r="E506" s="11"/>
      <c r="K506" s="15"/>
      <c r="L506" s="47"/>
      <c r="M506" s="76"/>
      <c r="N506" s="76"/>
      <c r="O506" s="78" t="str">
        <f>_xlfn.LET(
    _xlpm.itemBuscado, B506,
    _xlpm.areaBuscada, C506,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TEXT(COUNTIF($C$2:C506, _xlpm.areaBuscada), "0000"),
    _xlpm.codItem &amp; "-" &amp; _xlpm.codArea &amp; "-" &amp; _xlpm.secuencia
)</f>
        <v>-SinArea-0000</v>
      </c>
      <c r="P506" s="77"/>
      <c r="Q506" s="32"/>
      <c r="R506" s="32"/>
      <c r="S506" s="32"/>
      <c r="T506" s="32"/>
    </row>
    <row r="507" spans="3:20" x14ac:dyDescent="0.3">
      <c r="C507" s="11"/>
      <c r="D507" s="32"/>
      <c r="E507" s="11"/>
      <c r="K507" s="15"/>
      <c r="L507" s="47"/>
      <c r="M507" s="76"/>
      <c r="N507" s="76"/>
      <c r="O507" s="78" t="str">
        <f>_xlfn.LET(
    _xlpm.itemBuscado, B507,
    _xlpm.areaBuscada, C507,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TEXT(COUNTIF($C$2:C507, _xlpm.areaBuscada), "0000"),
    _xlpm.codItem &amp; "-" &amp; _xlpm.codArea &amp; "-" &amp; _xlpm.secuencia
)</f>
        <v>-SinArea-0000</v>
      </c>
      <c r="P507" s="77"/>
      <c r="Q507" s="32"/>
      <c r="R507" s="32"/>
      <c r="S507" s="32"/>
      <c r="T507" s="32"/>
    </row>
    <row r="508" spans="3:20" x14ac:dyDescent="0.3">
      <c r="C508" s="11"/>
      <c r="D508" s="32"/>
      <c r="E508" s="11"/>
      <c r="K508" s="15"/>
      <c r="L508" s="47"/>
      <c r="M508" s="76"/>
      <c r="N508" s="76"/>
      <c r="O508" s="78" t="str">
        <f>_xlfn.LET(
    _xlpm.itemBuscado, B508,
    _xlpm.areaBuscada, C508,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TEXT(COUNTIF($C$2:C508, _xlpm.areaBuscada), "0000"),
    _xlpm.codItem &amp; "-" &amp; _xlpm.codArea &amp; "-" &amp; _xlpm.secuencia
)</f>
        <v>-SinArea-0000</v>
      </c>
      <c r="P508" s="77"/>
      <c r="Q508" s="32"/>
      <c r="R508" s="32"/>
      <c r="S508" s="32"/>
      <c r="T508" s="32"/>
    </row>
    <row r="509" spans="3:20" x14ac:dyDescent="0.3">
      <c r="C509" s="11"/>
      <c r="D509" s="32"/>
      <c r="E509" s="11"/>
      <c r="K509" s="15"/>
      <c r="L509" s="47"/>
      <c r="M509" s="76"/>
      <c r="N509" s="76"/>
      <c r="O509" s="78" t="str">
        <f>_xlfn.LET(
    _xlpm.itemBuscado, B509,
    _xlpm.areaBuscada, C509,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TEXT(COUNTIF($C$2:C509, _xlpm.areaBuscada), "0000"),
    _xlpm.codItem &amp; "-" &amp; _xlpm.codArea &amp; "-" &amp; _xlpm.secuencia
)</f>
        <v>-SinArea-0000</v>
      </c>
      <c r="P509" s="77"/>
      <c r="Q509" s="32"/>
      <c r="R509" s="32"/>
      <c r="S509" s="32"/>
      <c r="T509" s="32"/>
    </row>
    <row r="510" spans="3:20" x14ac:dyDescent="0.3">
      <c r="C510" s="11"/>
      <c r="D510" s="32"/>
      <c r="E510" s="11"/>
      <c r="K510" s="15"/>
      <c r="L510" s="47"/>
      <c r="M510" s="76"/>
      <c r="N510" s="76"/>
      <c r="O510" s="78" t="str">
        <f>_xlfn.LET(
    _xlpm.itemBuscado, B510,
    _xlpm.areaBuscada, C510,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TEXT(COUNTIF($C$2:C510, _xlpm.areaBuscada), "0000"),
    _xlpm.codItem &amp; "-" &amp; _xlpm.codArea &amp; "-" &amp; _xlpm.secuencia
)</f>
        <v>-SinArea-0000</v>
      </c>
      <c r="P510" s="77"/>
      <c r="Q510" s="32"/>
      <c r="R510" s="32"/>
      <c r="S510" s="32"/>
      <c r="T510" s="32"/>
    </row>
    <row r="511" spans="3:20" x14ac:dyDescent="0.3">
      <c r="C511" s="11"/>
      <c r="D511" s="32"/>
      <c r="E511" s="11"/>
      <c r="K511" s="15"/>
      <c r="L511" s="47"/>
      <c r="M511" s="76"/>
      <c r="N511" s="76"/>
      <c r="O511" s="78" t="str">
        <f>_xlfn.LET(
    _xlpm.itemBuscado, B511,
    _xlpm.areaBuscada, C511,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TEXT(COUNTIF($C$2:C511, _xlpm.areaBuscada), "0000"),
    _xlpm.codItem &amp; "-" &amp; _xlpm.codArea &amp; "-" &amp; _xlpm.secuencia
)</f>
        <v>-SinArea-0000</v>
      </c>
      <c r="P511" s="77"/>
      <c r="Q511" s="32"/>
      <c r="R511" s="32"/>
      <c r="S511" s="32"/>
      <c r="T511" s="32"/>
    </row>
    <row r="512" spans="3:20" x14ac:dyDescent="0.3">
      <c r="C512" s="11"/>
      <c r="D512" s="32"/>
      <c r="E512" s="11"/>
      <c r="K512" s="15"/>
      <c r="L512" s="47"/>
      <c r="M512" s="76"/>
      <c r="N512" s="76"/>
      <c r="O512" s="78" t="str">
        <f>_xlfn.LET(
    _xlpm.itemBuscado, B512,
    _xlpm.areaBuscada, C512,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TEXT(COUNTIF($C$2:C512, _xlpm.areaBuscada), "0000"),
    _xlpm.codItem &amp; "-" &amp; _xlpm.codArea &amp; "-" &amp; _xlpm.secuencia
)</f>
        <v>-SinArea-0000</v>
      </c>
      <c r="P512" s="77"/>
      <c r="Q512" s="32"/>
      <c r="R512" s="32"/>
      <c r="S512" s="32"/>
      <c r="T512" s="32"/>
    </row>
    <row r="513" spans="3:20" x14ac:dyDescent="0.3">
      <c r="C513" s="11"/>
      <c r="D513" s="32"/>
      <c r="E513" s="11"/>
      <c r="K513" s="15"/>
      <c r="L513" s="47"/>
      <c r="M513" s="76"/>
      <c r="N513" s="76"/>
      <c r="O513" s="78" t="str">
        <f>_xlfn.LET(
    _xlpm.itemBuscado, B513,
    _xlpm.areaBuscada, C513,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TEXT(COUNTIF($C$2:C513, _xlpm.areaBuscada), "0000"),
    _xlpm.codItem &amp; "-" &amp; _xlpm.codArea &amp; "-" &amp; _xlpm.secuencia
)</f>
        <v>-SinArea-0000</v>
      </c>
      <c r="P513" s="77"/>
      <c r="Q513" s="32"/>
      <c r="R513" s="32"/>
      <c r="S513" s="32"/>
      <c r="T513" s="32"/>
    </row>
    <row r="514" spans="3:20" x14ac:dyDescent="0.3">
      <c r="C514" s="11"/>
      <c r="D514" s="32"/>
      <c r="E514" s="11"/>
      <c r="K514" s="15"/>
      <c r="L514" s="47"/>
      <c r="M514" s="76"/>
      <c r="N514" s="76"/>
      <c r="O514" s="78" t="str">
        <f>_xlfn.LET(
    _xlpm.itemBuscado, B514,
    _xlpm.areaBuscada, C514,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TEXT(COUNTIF($C$2:C514, _xlpm.areaBuscada), "0000"),
    _xlpm.codItem &amp; "-" &amp; _xlpm.codArea &amp; "-" &amp; _xlpm.secuencia
)</f>
        <v>-SinArea-0000</v>
      </c>
      <c r="P514" s="77"/>
      <c r="Q514" s="32"/>
      <c r="R514" s="32"/>
      <c r="S514" s="32"/>
      <c r="T514" s="32"/>
    </row>
    <row r="515" spans="3:20" x14ac:dyDescent="0.3">
      <c r="C515" s="11"/>
      <c r="D515" s="32"/>
      <c r="E515" s="11"/>
      <c r="K515" s="15"/>
      <c r="L515" s="47"/>
      <c r="M515" s="76"/>
      <c r="N515" s="76"/>
      <c r="O515" s="78" t="str">
        <f>_xlfn.LET(
    _xlpm.itemBuscado, B515,
    _xlpm.areaBuscada, C515,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TEXT(COUNTIF($C$2:C515, _xlpm.areaBuscada), "0000"),
    _xlpm.codItem &amp; "-" &amp; _xlpm.codArea &amp; "-" &amp; _xlpm.secuencia
)</f>
        <v>-SinArea-0000</v>
      </c>
      <c r="P515" s="77"/>
      <c r="Q515" s="32"/>
      <c r="R515" s="32"/>
      <c r="S515" s="32"/>
      <c r="T515" s="32"/>
    </row>
    <row r="516" spans="3:20" x14ac:dyDescent="0.3">
      <c r="C516" s="11"/>
      <c r="D516" s="32"/>
      <c r="E516" s="11"/>
      <c r="K516" s="15"/>
      <c r="L516" s="47"/>
      <c r="M516" s="76"/>
      <c r="N516" s="76"/>
      <c r="O516" s="78" t="str">
        <f>_xlfn.LET(
    _xlpm.itemBuscado, B516,
    _xlpm.areaBuscada, C516,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TEXT(COUNTIF($C$2:C516, _xlpm.areaBuscada), "0000"),
    _xlpm.codItem &amp; "-" &amp; _xlpm.codArea &amp; "-" &amp; _xlpm.secuencia
)</f>
        <v>-SinArea-0000</v>
      </c>
      <c r="P516" s="77"/>
      <c r="Q516" s="32"/>
      <c r="R516" s="32"/>
      <c r="S516" s="32"/>
      <c r="T516" s="32"/>
    </row>
    <row r="517" spans="3:20" x14ac:dyDescent="0.3">
      <c r="C517" s="11"/>
      <c r="D517" s="32"/>
      <c r="E517" s="11"/>
      <c r="K517" s="15"/>
      <c r="L517" s="47"/>
      <c r="M517" s="76"/>
      <c r="N517" s="76"/>
      <c r="O517" s="78" t="str">
        <f>_xlfn.LET(
    _xlpm.itemBuscado, B517,
    _xlpm.areaBuscada, C517,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TEXT(COUNTIF($C$2:C517, _xlpm.areaBuscada), "0000"),
    _xlpm.codItem &amp; "-" &amp; _xlpm.codArea &amp; "-" &amp; _xlpm.secuencia
)</f>
        <v>-SinArea-0000</v>
      </c>
      <c r="P517" s="77"/>
      <c r="Q517" s="32"/>
      <c r="R517" s="32"/>
      <c r="S517" s="32"/>
      <c r="T517" s="32"/>
    </row>
    <row r="518" spans="3:20" x14ac:dyDescent="0.3">
      <c r="C518" s="11"/>
      <c r="D518" s="32"/>
      <c r="E518" s="11"/>
      <c r="K518" s="15"/>
      <c r="L518" s="47"/>
      <c r="M518" s="76"/>
      <c r="N518" s="76"/>
      <c r="O518" s="78" t="str">
        <f>_xlfn.LET(
    _xlpm.itemBuscado, B518,
    _xlpm.areaBuscada, C518,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TEXT(COUNTIF($C$2:C518, _xlpm.areaBuscada), "0000"),
    _xlpm.codItem &amp; "-" &amp; _xlpm.codArea &amp; "-" &amp; _xlpm.secuencia
)</f>
        <v>-SinArea-0000</v>
      </c>
      <c r="P518" s="77"/>
      <c r="Q518" s="32"/>
      <c r="R518" s="32"/>
      <c r="S518" s="32"/>
      <c r="T518" s="32"/>
    </row>
    <row r="519" spans="3:20" x14ac:dyDescent="0.3">
      <c r="C519" s="11"/>
      <c r="D519" s="32"/>
      <c r="E519" s="11"/>
      <c r="K519" s="15"/>
      <c r="L519" s="47"/>
      <c r="M519" s="76"/>
      <c r="N519" s="76"/>
      <c r="O519" s="78" t="str">
        <f>_xlfn.LET(
    _xlpm.itemBuscado, B519,
    _xlpm.areaBuscada, C519,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TEXT(COUNTIF($C$2:C519, _xlpm.areaBuscada), "0000"),
    _xlpm.codItem &amp; "-" &amp; _xlpm.codArea &amp; "-" &amp; _xlpm.secuencia
)</f>
        <v>-SinArea-0000</v>
      </c>
      <c r="P519" s="77"/>
      <c r="Q519" s="32"/>
      <c r="R519" s="32"/>
      <c r="S519" s="32"/>
      <c r="T519" s="32"/>
    </row>
    <row r="520" spans="3:20" x14ac:dyDescent="0.3">
      <c r="C520" s="11"/>
      <c r="D520" s="32"/>
      <c r="E520" s="11"/>
      <c r="K520" s="15"/>
      <c r="L520" s="47"/>
      <c r="M520" s="76"/>
      <c r="N520" s="76"/>
      <c r="O520" s="78" t="str">
        <f>_xlfn.LET(
    _xlpm.itemBuscado, B520,
    _xlpm.areaBuscada, C520,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TEXT(COUNTIF($C$2:C520, _xlpm.areaBuscada), "0000"),
    _xlpm.codItem &amp; "-" &amp; _xlpm.codArea &amp; "-" &amp; _xlpm.secuencia
)</f>
        <v>-SinArea-0000</v>
      </c>
      <c r="P520" s="77"/>
      <c r="Q520" s="32"/>
      <c r="R520" s="32"/>
      <c r="S520" s="32"/>
      <c r="T520" s="32"/>
    </row>
    <row r="521" spans="3:20" x14ac:dyDescent="0.3">
      <c r="C521" s="11"/>
      <c r="D521" s="32"/>
      <c r="E521" s="11"/>
      <c r="K521" s="15"/>
      <c r="L521" s="47"/>
      <c r="M521" s="76"/>
      <c r="N521" s="76"/>
      <c r="O521" s="78" t="str">
        <f>_xlfn.LET(
    _xlpm.itemBuscado, B521,
    _xlpm.areaBuscada, C521,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TEXT(COUNTIF($C$2:C521, _xlpm.areaBuscada), "0000"),
    _xlpm.codItem &amp; "-" &amp; _xlpm.codArea &amp; "-" &amp; _xlpm.secuencia
)</f>
        <v>-SinArea-0000</v>
      </c>
      <c r="P521" s="77"/>
      <c r="Q521" s="32"/>
      <c r="R521" s="32"/>
      <c r="S521" s="32"/>
      <c r="T521" s="32"/>
    </row>
    <row r="522" spans="3:20" x14ac:dyDescent="0.3">
      <c r="C522" s="11"/>
      <c r="D522" s="32"/>
      <c r="E522" s="11"/>
      <c r="K522" s="15"/>
      <c r="L522" s="47"/>
      <c r="M522" s="76"/>
      <c r="N522" s="76"/>
      <c r="O522" s="78" t="str">
        <f>_xlfn.LET(
    _xlpm.itemBuscado, B522,
    _xlpm.areaBuscada, C522,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TEXT(COUNTIF($C$2:C522, _xlpm.areaBuscada), "0000"),
    _xlpm.codItem &amp; "-" &amp; _xlpm.codArea &amp; "-" &amp; _xlpm.secuencia
)</f>
        <v>-SinArea-0000</v>
      </c>
      <c r="P522" s="77"/>
      <c r="Q522" s="32"/>
      <c r="R522" s="32"/>
      <c r="S522" s="32"/>
      <c r="T522" s="32"/>
    </row>
    <row r="523" spans="3:20" x14ac:dyDescent="0.3">
      <c r="C523" s="11"/>
      <c r="D523" s="32"/>
      <c r="E523" s="11"/>
      <c r="K523" s="15"/>
      <c r="L523" s="47"/>
      <c r="M523" s="76"/>
      <c r="N523" s="76"/>
      <c r="O523" s="78" t="str">
        <f>_xlfn.LET(
    _xlpm.itemBuscado, B523,
    _xlpm.areaBuscada, C523,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TEXT(COUNTIF($C$2:C523, _xlpm.areaBuscada), "0000"),
    _xlpm.codItem &amp; "-" &amp; _xlpm.codArea &amp; "-" &amp; _xlpm.secuencia
)</f>
        <v>-SinArea-0000</v>
      </c>
      <c r="P523" s="77"/>
      <c r="Q523" s="32"/>
      <c r="R523" s="32"/>
      <c r="S523" s="32"/>
      <c r="T523" s="32"/>
    </row>
    <row r="524" spans="3:20" x14ac:dyDescent="0.3">
      <c r="C524" s="11"/>
      <c r="D524" s="32"/>
      <c r="E524" s="11"/>
      <c r="K524" s="15"/>
      <c r="L524" s="47"/>
      <c r="M524" s="76"/>
      <c r="N524" s="76"/>
      <c r="O524" s="78" t="str">
        <f>_xlfn.LET(
    _xlpm.itemBuscado, B524,
    _xlpm.areaBuscada, C524,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TEXT(COUNTIF($C$2:C524, _xlpm.areaBuscada), "0000"),
    _xlpm.codItem &amp; "-" &amp; _xlpm.codArea &amp; "-" &amp; _xlpm.secuencia
)</f>
        <v>-SinArea-0000</v>
      </c>
      <c r="P524" s="77"/>
      <c r="Q524" s="32"/>
      <c r="R524" s="32"/>
      <c r="S524" s="32"/>
      <c r="T524" s="32"/>
    </row>
    <row r="525" spans="3:20" x14ac:dyDescent="0.3">
      <c r="C525" s="11"/>
      <c r="D525" s="32"/>
      <c r="E525" s="11"/>
      <c r="K525" s="15"/>
      <c r="L525" s="47"/>
      <c r="M525" s="76"/>
      <c r="N525" s="76"/>
      <c r="O525" s="78" t="str">
        <f>_xlfn.LET(
    _xlpm.itemBuscado, B525,
    _xlpm.areaBuscada, C525,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TEXT(COUNTIF($C$2:C525, _xlpm.areaBuscada), "0000"),
    _xlpm.codItem &amp; "-" &amp; _xlpm.codArea &amp; "-" &amp; _xlpm.secuencia
)</f>
        <v>-SinArea-0000</v>
      </c>
      <c r="P525" s="77"/>
      <c r="Q525" s="32"/>
      <c r="R525" s="32"/>
      <c r="S525" s="32"/>
      <c r="T525" s="32"/>
    </row>
    <row r="526" spans="3:20" x14ac:dyDescent="0.3">
      <c r="C526" s="11"/>
      <c r="D526" s="32"/>
      <c r="E526" s="11"/>
      <c r="K526" s="15"/>
      <c r="L526" s="47"/>
      <c r="M526" s="76"/>
      <c r="N526" s="76"/>
      <c r="O526" s="78" t="str">
        <f>_xlfn.LET(
    _xlpm.itemBuscado, B526,
    _xlpm.areaBuscada, C526,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TEXT(COUNTIF($C$2:C526, _xlpm.areaBuscada), "0000"),
    _xlpm.codItem &amp; "-" &amp; _xlpm.codArea &amp; "-" &amp; _xlpm.secuencia
)</f>
        <v>-SinArea-0000</v>
      </c>
      <c r="P526" s="77"/>
      <c r="Q526" s="32"/>
      <c r="R526" s="32"/>
      <c r="S526" s="32"/>
      <c r="T526" s="32"/>
    </row>
    <row r="527" spans="3:20" x14ac:dyDescent="0.3">
      <c r="C527" s="11"/>
      <c r="D527" s="32"/>
      <c r="E527" s="11"/>
      <c r="K527" s="15"/>
      <c r="L527" s="47"/>
      <c r="M527" s="76"/>
      <c r="N527" s="76"/>
      <c r="O527" s="78" t="str">
        <f>_xlfn.LET(
    _xlpm.itemBuscado, B527,
    _xlpm.areaBuscada, C527,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TEXT(COUNTIF($C$2:C527, _xlpm.areaBuscada), "0000"),
    _xlpm.codItem &amp; "-" &amp; _xlpm.codArea &amp; "-" &amp; _xlpm.secuencia
)</f>
        <v>-SinArea-0000</v>
      </c>
      <c r="P527" s="77"/>
      <c r="Q527" s="32"/>
      <c r="R527" s="32"/>
      <c r="S527" s="32"/>
      <c r="T527" s="32"/>
    </row>
    <row r="528" spans="3:20" x14ac:dyDescent="0.3">
      <c r="C528" s="11"/>
      <c r="D528" s="32"/>
      <c r="E528" s="11"/>
      <c r="K528" s="15"/>
      <c r="L528" s="47"/>
      <c r="M528" s="76"/>
      <c r="N528" s="76"/>
      <c r="O528" s="78" t="str">
        <f>_xlfn.LET(
    _xlpm.itemBuscado, B528,
    _xlpm.areaBuscada, C528,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TEXT(COUNTIF($C$2:C528, _xlpm.areaBuscada), "0000"),
    _xlpm.codItem &amp; "-" &amp; _xlpm.codArea &amp; "-" &amp; _xlpm.secuencia
)</f>
        <v>-SinArea-0000</v>
      </c>
      <c r="P528" s="77"/>
      <c r="Q528" s="32"/>
      <c r="R528" s="32"/>
      <c r="S528" s="32"/>
      <c r="T528" s="32"/>
    </row>
    <row r="529" spans="3:20" x14ac:dyDescent="0.3">
      <c r="C529" s="11"/>
      <c r="D529" s="32"/>
      <c r="E529" s="11"/>
      <c r="K529" s="15"/>
      <c r="L529" s="47"/>
      <c r="M529" s="76"/>
      <c r="N529" s="76"/>
      <c r="O529" s="78" t="str">
        <f>_xlfn.LET(
    _xlpm.itemBuscado, B529,
    _xlpm.areaBuscada, C529,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TEXT(COUNTIF($C$2:C529, _xlpm.areaBuscada), "0000"),
    _xlpm.codItem &amp; "-" &amp; _xlpm.codArea &amp; "-" &amp; _xlpm.secuencia
)</f>
        <v>-SinArea-0000</v>
      </c>
      <c r="P529" s="77"/>
      <c r="Q529" s="32"/>
      <c r="R529" s="32"/>
      <c r="S529" s="32"/>
      <c r="T529" s="32"/>
    </row>
    <row r="530" spans="3:20" x14ac:dyDescent="0.3">
      <c r="C530" s="11"/>
      <c r="D530" s="32"/>
      <c r="E530" s="11"/>
      <c r="K530" s="15"/>
      <c r="L530" s="47"/>
      <c r="M530" s="76"/>
      <c r="N530" s="76"/>
      <c r="O530" s="78" t="str">
        <f>_xlfn.LET(
    _xlpm.itemBuscado, B530,
    _xlpm.areaBuscada, C530,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TEXT(COUNTIF($C$2:C530, _xlpm.areaBuscada), "0000"),
    _xlpm.codItem &amp; "-" &amp; _xlpm.codArea &amp; "-" &amp; _xlpm.secuencia
)</f>
        <v>-SinArea-0000</v>
      </c>
      <c r="P530" s="77"/>
      <c r="Q530" s="32"/>
      <c r="R530" s="32"/>
      <c r="S530" s="32"/>
      <c r="T530" s="32"/>
    </row>
    <row r="531" spans="3:20" x14ac:dyDescent="0.3">
      <c r="C531" s="11"/>
      <c r="D531" s="32"/>
      <c r="E531" s="11"/>
      <c r="K531" s="15"/>
      <c r="L531" s="47"/>
      <c r="M531" s="76"/>
      <c r="N531" s="76"/>
      <c r="O531" s="78" t="str">
        <f>_xlfn.LET(
    _xlpm.itemBuscado, B531,
    _xlpm.areaBuscada, C531,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TEXT(COUNTIF($C$2:C531, _xlpm.areaBuscada), "0000"),
    _xlpm.codItem &amp; "-" &amp; _xlpm.codArea &amp; "-" &amp; _xlpm.secuencia
)</f>
        <v>-SinArea-0000</v>
      </c>
      <c r="P531" s="77"/>
      <c r="Q531" s="32"/>
      <c r="R531" s="32"/>
      <c r="S531" s="32"/>
      <c r="T531" s="32"/>
    </row>
    <row r="532" spans="3:20" x14ac:dyDescent="0.3">
      <c r="C532" s="11"/>
      <c r="D532" s="32"/>
      <c r="E532" s="11"/>
      <c r="K532" s="15"/>
      <c r="L532" s="47"/>
      <c r="M532" s="76"/>
      <c r="N532" s="76"/>
      <c r="O532" s="78" t="str">
        <f>_xlfn.LET(
    _xlpm.itemBuscado, B532,
    _xlpm.areaBuscada, C532,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TEXT(COUNTIF($C$2:C532, _xlpm.areaBuscada), "0000"),
    _xlpm.codItem &amp; "-" &amp; _xlpm.codArea &amp; "-" &amp; _xlpm.secuencia
)</f>
        <v>-SinArea-0000</v>
      </c>
      <c r="P532" s="77"/>
      <c r="Q532" s="32"/>
      <c r="R532" s="32"/>
      <c r="S532" s="32"/>
      <c r="T532" s="32"/>
    </row>
    <row r="533" spans="3:20" x14ac:dyDescent="0.3">
      <c r="C533" s="11"/>
      <c r="D533" s="32"/>
      <c r="E533" s="11"/>
      <c r="K533" s="15"/>
      <c r="L533" s="47"/>
      <c r="M533" s="76"/>
      <c r="N533" s="76"/>
      <c r="O533" s="78" t="str">
        <f>_xlfn.LET(
    _xlpm.itemBuscado, B533,
    _xlpm.areaBuscada, C533,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TEXT(COUNTIF($C$2:C533, _xlpm.areaBuscada), "0000"),
    _xlpm.codItem &amp; "-" &amp; _xlpm.codArea &amp; "-" &amp; _xlpm.secuencia
)</f>
        <v>-SinArea-0000</v>
      </c>
      <c r="P533" s="77"/>
      <c r="Q533" s="32"/>
      <c r="R533" s="32"/>
      <c r="S533" s="32"/>
      <c r="T533" s="32"/>
    </row>
    <row r="534" spans="3:20" x14ac:dyDescent="0.3">
      <c r="C534" s="11"/>
      <c r="D534" s="32"/>
      <c r="E534" s="11"/>
      <c r="K534" s="15"/>
      <c r="L534" s="78"/>
      <c r="M534" s="76"/>
      <c r="N534" s="76"/>
      <c r="O534" s="78" t="str">
        <f>_xlfn.LET(
    _xlpm.itemBuscado, B534,
    _xlpm.areaBuscada, C534,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TEXT(COUNTIF($C$2:C534, _xlpm.areaBuscada), "0000"),
    _xlpm.codItem &amp; "-" &amp; _xlpm.codArea &amp; "-" &amp; _xlpm.secuencia
)</f>
        <v>-SinArea-0000</v>
      </c>
      <c r="P534" s="77"/>
      <c r="Q534" s="32"/>
      <c r="R534" s="32"/>
      <c r="S534" s="32"/>
      <c r="T534" s="32"/>
    </row>
    <row r="535" spans="3:20" x14ac:dyDescent="0.3">
      <c r="C535" s="11"/>
      <c r="D535" s="32"/>
      <c r="E535" s="11"/>
      <c r="K535" s="15"/>
      <c r="L535" s="47"/>
      <c r="M535" s="76"/>
      <c r="N535" s="76"/>
      <c r="O535" s="78" t="str">
        <f>_xlfn.LET(
    _xlpm.itemBuscado, B535,
    _xlpm.areaBuscada, C535,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TEXT(COUNTIF($C$2:C535, _xlpm.areaBuscada), "0000"),
    _xlpm.codItem &amp; "-" &amp; _xlpm.codArea &amp; "-" &amp; _xlpm.secuencia
)</f>
        <v>-SinArea-0000</v>
      </c>
      <c r="P535" s="77"/>
      <c r="Q535" s="32"/>
      <c r="R535" s="32"/>
      <c r="S535" s="32"/>
      <c r="T535" s="32"/>
    </row>
    <row r="536" spans="3:20" x14ac:dyDescent="0.3">
      <c r="C536" s="11"/>
      <c r="D536" s="32"/>
      <c r="E536" s="11"/>
      <c r="K536" s="15"/>
      <c r="L536" s="47"/>
      <c r="M536" s="76"/>
      <c r="N536" s="76"/>
      <c r="O536" s="78" t="str">
        <f>_xlfn.LET(
    _xlpm.itemBuscado, B536,
    _xlpm.areaBuscada, C536,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TEXT(COUNTIF($C$2:C536, _xlpm.areaBuscada), "0000"),
    _xlpm.codItem &amp; "-" &amp; _xlpm.codArea &amp; "-" &amp; _xlpm.secuencia
)</f>
        <v>-SinArea-0000</v>
      </c>
      <c r="P536" s="77"/>
      <c r="Q536" s="32"/>
      <c r="R536" s="32"/>
      <c r="S536" s="32"/>
      <c r="T536" s="32"/>
    </row>
    <row r="537" spans="3:20" x14ac:dyDescent="0.3">
      <c r="C537" s="11"/>
      <c r="D537" s="32"/>
      <c r="E537" s="11"/>
      <c r="K537" s="15"/>
      <c r="L537" s="47"/>
      <c r="M537" s="76"/>
      <c r="N537" s="76"/>
      <c r="O537" s="78" t="str">
        <f>_xlfn.LET(
    _xlpm.itemBuscado, B537,
    _xlpm.areaBuscada, C537,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TEXT(COUNTIF($C$2:C537, _xlpm.areaBuscada), "0000"),
    _xlpm.codItem &amp; "-" &amp; _xlpm.codArea &amp; "-" &amp; _xlpm.secuencia
)</f>
        <v>-SinArea-0000</v>
      </c>
      <c r="P537" s="77"/>
      <c r="Q537" s="32"/>
      <c r="R537" s="32"/>
      <c r="S537" s="32"/>
      <c r="T537" s="32"/>
    </row>
    <row r="538" spans="3:20" x14ac:dyDescent="0.3">
      <c r="C538" s="11"/>
      <c r="D538" s="32"/>
      <c r="E538" s="11"/>
      <c r="K538" s="15"/>
      <c r="L538" s="47"/>
      <c r="M538" s="76"/>
      <c r="N538" s="76"/>
      <c r="O538" s="78" t="str">
        <f>_xlfn.LET(
    _xlpm.itemBuscado, B538,
    _xlpm.areaBuscada, C538,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TEXT(COUNTIF($C$2:C538, _xlpm.areaBuscada), "0000"),
    _xlpm.codItem &amp; "-" &amp; _xlpm.codArea &amp; "-" &amp; _xlpm.secuencia
)</f>
        <v>-SinArea-0000</v>
      </c>
      <c r="P538" s="77"/>
      <c r="Q538" s="32"/>
      <c r="R538" s="32"/>
      <c r="S538" s="32"/>
      <c r="T538" s="32"/>
    </row>
    <row r="539" spans="3:20" x14ac:dyDescent="0.3">
      <c r="C539" s="11"/>
      <c r="D539" s="32"/>
      <c r="E539" s="11"/>
      <c r="K539" s="15"/>
      <c r="L539" s="47"/>
      <c r="M539" s="76"/>
      <c r="N539" s="76"/>
      <c r="O539" s="78" t="str">
        <f>_xlfn.LET(
    _xlpm.itemBuscado, B539,
    _xlpm.areaBuscada, C539,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TEXT(COUNTIF($C$2:C539, _xlpm.areaBuscada), "0000"),
    _xlpm.codItem &amp; "-" &amp; _xlpm.codArea &amp; "-" &amp; _xlpm.secuencia
)</f>
        <v>-SinArea-0000</v>
      </c>
      <c r="P539" s="77"/>
      <c r="Q539" s="32"/>
      <c r="R539" s="32"/>
      <c r="S539" s="32"/>
      <c r="T539" s="32"/>
    </row>
    <row r="540" spans="3:20" x14ac:dyDescent="0.3">
      <c r="C540" s="11"/>
      <c r="D540" s="32"/>
      <c r="E540" s="11"/>
      <c r="K540" s="15"/>
      <c r="L540" s="47"/>
      <c r="M540" s="76"/>
      <c r="N540" s="76"/>
      <c r="O540" s="78" t="str">
        <f>_xlfn.LET(
    _xlpm.itemBuscado, B540,
    _xlpm.areaBuscada, C540,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TEXT(COUNTIF($C$2:C540, _xlpm.areaBuscada), "0000"),
    _xlpm.codItem &amp; "-" &amp; _xlpm.codArea &amp; "-" &amp; _xlpm.secuencia
)</f>
        <v>-SinArea-0000</v>
      </c>
      <c r="P540" s="77"/>
      <c r="Q540" s="32"/>
      <c r="R540" s="32"/>
      <c r="S540" s="32"/>
      <c r="T540" s="32"/>
    </row>
    <row r="541" spans="3:20" x14ac:dyDescent="0.3">
      <c r="C541" s="11"/>
      <c r="D541" s="32"/>
      <c r="E541" s="11"/>
      <c r="K541" s="15"/>
      <c r="L541" s="47"/>
      <c r="M541" s="76"/>
      <c r="N541" s="76"/>
      <c r="O541" s="78" t="str">
        <f>_xlfn.LET(
    _xlpm.itemBuscado, B541,
    _xlpm.areaBuscada, C541,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TEXT(COUNTIF($C$2:C541, _xlpm.areaBuscada), "0000"),
    _xlpm.codItem &amp; "-" &amp; _xlpm.codArea &amp; "-" &amp; _xlpm.secuencia
)</f>
        <v>-SinArea-0000</v>
      </c>
      <c r="P541" s="77"/>
      <c r="Q541" s="32"/>
      <c r="R541" s="32"/>
      <c r="S541" s="32"/>
      <c r="T541" s="32"/>
    </row>
    <row r="542" spans="3:20" x14ac:dyDescent="0.3">
      <c r="C542" s="11"/>
      <c r="D542" s="32"/>
      <c r="E542" s="11"/>
      <c r="K542" s="15"/>
      <c r="L542" s="47"/>
      <c r="M542" s="76"/>
      <c r="N542" s="76"/>
      <c r="O542" s="78" t="str">
        <f>_xlfn.LET(
    _xlpm.itemBuscado, B542,
    _xlpm.areaBuscada, C542,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TEXT(COUNTIF($C$2:C542, _xlpm.areaBuscada), "0000"),
    _xlpm.codItem &amp; "-" &amp; _xlpm.codArea &amp; "-" &amp; _xlpm.secuencia
)</f>
        <v>-SinArea-0000</v>
      </c>
      <c r="P542" s="77"/>
      <c r="Q542" s="32"/>
      <c r="R542" s="32"/>
      <c r="S542" s="32"/>
      <c r="T542" s="32"/>
    </row>
    <row r="543" spans="3:20" x14ac:dyDescent="0.3">
      <c r="C543" s="11"/>
      <c r="D543" s="32"/>
      <c r="E543" s="11"/>
      <c r="K543" s="15"/>
      <c r="L543" s="47"/>
      <c r="M543" s="76"/>
      <c r="N543" s="76"/>
      <c r="O543" s="78" t="str">
        <f>_xlfn.LET(
    _xlpm.itemBuscado, B543,
    _xlpm.areaBuscada, C543,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TEXT(COUNTIF($C$2:C543, _xlpm.areaBuscada), "0000"),
    _xlpm.codItem &amp; "-" &amp; _xlpm.codArea &amp; "-" &amp; _xlpm.secuencia
)</f>
        <v>-SinArea-0000</v>
      </c>
      <c r="P543" s="77"/>
      <c r="Q543" s="32"/>
      <c r="R543" s="32"/>
      <c r="S543" s="32"/>
      <c r="T543" s="32"/>
    </row>
    <row r="544" spans="3:20" x14ac:dyDescent="0.3">
      <c r="C544" s="11"/>
      <c r="D544" s="32"/>
      <c r="E544" s="11"/>
      <c r="K544" s="15"/>
      <c r="L544" s="47"/>
      <c r="M544" s="76"/>
      <c r="N544" s="76"/>
      <c r="O544" s="78" t="str">
        <f>_xlfn.LET(
    _xlpm.itemBuscado, B544,
    _xlpm.areaBuscada, C544,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TEXT(COUNTIF($C$2:C544, _xlpm.areaBuscada), "0000"),
    _xlpm.codItem &amp; "-" &amp; _xlpm.codArea &amp; "-" &amp; _xlpm.secuencia
)</f>
        <v>-SinArea-0000</v>
      </c>
      <c r="P544" s="77"/>
      <c r="Q544" s="32"/>
      <c r="R544" s="32"/>
      <c r="S544" s="32"/>
      <c r="T544" s="32"/>
    </row>
    <row r="545" spans="3:20" x14ac:dyDescent="0.3">
      <c r="C545" s="11"/>
      <c r="D545" s="32"/>
      <c r="E545" s="11"/>
      <c r="K545" s="15"/>
      <c r="L545" s="47"/>
      <c r="M545" s="76"/>
      <c r="N545" s="76"/>
      <c r="O545" s="78" t="str">
        <f>_xlfn.LET(
    _xlpm.itemBuscado, B545,
    _xlpm.areaBuscada, C545,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TEXT(COUNTIF($C$2:C545, _xlpm.areaBuscada), "0000"),
    _xlpm.codItem &amp; "-" &amp; _xlpm.codArea &amp; "-" &amp; _xlpm.secuencia
)</f>
        <v>-SinArea-0000</v>
      </c>
      <c r="P545" s="77"/>
      <c r="Q545" s="32"/>
      <c r="R545" s="32"/>
      <c r="S545" s="32"/>
      <c r="T545" s="32"/>
    </row>
    <row r="546" spans="3:20" x14ac:dyDescent="0.3">
      <c r="C546" s="11"/>
      <c r="D546" s="32"/>
      <c r="E546" s="11"/>
      <c r="K546" s="15"/>
      <c r="L546" s="47"/>
      <c r="M546" s="76"/>
      <c r="N546" s="76"/>
      <c r="O546" s="78" t="str">
        <f>_xlfn.LET(
    _xlpm.itemBuscado, B546,
    _xlpm.areaBuscada, C546,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TEXT(COUNTIF($C$2:C546, _xlpm.areaBuscada), "0000"),
    _xlpm.codItem &amp; "-" &amp; _xlpm.codArea &amp; "-" &amp; _xlpm.secuencia
)</f>
        <v>-SinArea-0000</v>
      </c>
      <c r="P546" s="77"/>
      <c r="Q546" s="32"/>
      <c r="R546" s="32"/>
      <c r="S546" s="32"/>
      <c r="T546" s="32"/>
    </row>
    <row r="547" spans="3:20" x14ac:dyDescent="0.3">
      <c r="C547" s="11"/>
      <c r="D547" s="32"/>
      <c r="E547" s="11"/>
      <c r="K547" s="15"/>
      <c r="L547" s="47"/>
      <c r="M547" s="76"/>
      <c r="N547" s="76"/>
      <c r="O547" s="78" t="str">
        <f>_xlfn.LET(
    _xlpm.itemBuscado, B547,
    _xlpm.areaBuscada, C547,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TEXT(COUNTIF($C$2:C547, _xlpm.areaBuscada), "0000"),
    _xlpm.codItem &amp; "-" &amp; _xlpm.codArea &amp; "-" &amp; _xlpm.secuencia
)</f>
        <v>-SinArea-0000</v>
      </c>
      <c r="P547" s="77"/>
      <c r="Q547" s="32"/>
      <c r="R547" s="32"/>
      <c r="S547" s="32"/>
      <c r="T547" s="32"/>
    </row>
    <row r="548" spans="3:20" x14ac:dyDescent="0.3">
      <c r="C548" s="11"/>
      <c r="D548" s="32"/>
      <c r="E548" s="11"/>
      <c r="K548" s="15"/>
      <c r="L548" s="47"/>
      <c r="M548" s="76"/>
      <c r="N548" s="76"/>
      <c r="O548" s="78" t="str">
        <f>_xlfn.LET(
    _xlpm.itemBuscado, B548,
    _xlpm.areaBuscada, C548,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TEXT(COUNTIF($C$2:C548, _xlpm.areaBuscada), "0000"),
    _xlpm.codItem &amp; "-" &amp; _xlpm.codArea &amp; "-" &amp; _xlpm.secuencia
)</f>
        <v>-SinArea-0000</v>
      </c>
      <c r="P548" s="77"/>
      <c r="Q548" s="32"/>
      <c r="R548" s="32"/>
      <c r="S548" s="32"/>
      <c r="T548" s="32"/>
    </row>
    <row r="549" spans="3:20" x14ac:dyDescent="0.3">
      <c r="C549" s="11"/>
      <c r="D549" s="32"/>
      <c r="E549" s="11"/>
      <c r="K549" s="15"/>
      <c r="L549" s="47"/>
      <c r="M549" s="76"/>
      <c r="N549" s="76"/>
      <c r="O549" s="78" t="str">
        <f>_xlfn.LET(
    _xlpm.itemBuscado, B549,
    _xlpm.areaBuscada, C549,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TEXT(COUNTIF($C$2:C549, _xlpm.areaBuscada), "0000"),
    _xlpm.codItem &amp; "-" &amp; _xlpm.codArea &amp; "-" &amp; _xlpm.secuencia
)</f>
        <v>-SinArea-0000</v>
      </c>
      <c r="P549" s="77"/>
      <c r="Q549" s="32"/>
      <c r="R549" s="32"/>
      <c r="S549" s="32"/>
      <c r="T549" s="32"/>
    </row>
    <row r="550" spans="3:20" x14ac:dyDescent="0.3">
      <c r="C550" s="11"/>
      <c r="D550" s="32"/>
      <c r="E550" s="11"/>
      <c r="K550" s="15"/>
      <c r="L550" s="47"/>
      <c r="M550" s="76"/>
      <c r="N550" s="76"/>
      <c r="O550" s="78" t="str">
        <f>_xlfn.LET(
    _xlpm.itemBuscado, B550,
    _xlpm.areaBuscada, C550,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TEXT(COUNTIF($C$2:C550, _xlpm.areaBuscada), "0000"),
    _xlpm.codItem &amp; "-" &amp; _xlpm.codArea &amp; "-" &amp; _xlpm.secuencia
)</f>
        <v>-SinArea-0000</v>
      </c>
      <c r="P550" s="77"/>
      <c r="Q550" s="32"/>
      <c r="R550" s="32"/>
      <c r="S550" s="32"/>
      <c r="T550" s="32"/>
    </row>
    <row r="551" spans="3:20" x14ac:dyDescent="0.3">
      <c r="C551" s="11"/>
      <c r="D551" s="32"/>
      <c r="E551" s="11"/>
      <c r="K551" s="15"/>
      <c r="L551" s="47"/>
      <c r="M551" s="76"/>
      <c r="N551" s="76"/>
      <c r="O551" s="78" t="str">
        <f>_xlfn.LET(
    _xlpm.itemBuscado, B551,
    _xlpm.areaBuscada, C551,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TEXT(COUNTIF($C$2:C551, _xlpm.areaBuscada), "0000"),
    _xlpm.codItem &amp; "-" &amp; _xlpm.codArea &amp; "-" &amp; _xlpm.secuencia
)</f>
        <v>-SinArea-0000</v>
      </c>
      <c r="P551" s="77"/>
      <c r="Q551" s="32"/>
      <c r="R551" s="32"/>
      <c r="S551" s="32"/>
      <c r="T551" s="32"/>
    </row>
    <row r="552" spans="3:20" x14ac:dyDescent="0.3">
      <c r="C552" s="11"/>
      <c r="D552" s="32"/>
      <c r="E552" s="11"/>
      <c r="K552" s="15"/>
      <c r="L552" s="47"/>
      <c r="M552" s="76"/>
      <c r="N552" s="76"/>
      <c r="O552" s="78" t="str">
        <f>_xlfn.LET(
    _xlpm.itemBuscado, B552,
    _xlpm.areaBuscada, C552,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TEXT(COUNTIF($C$2:C552, _xlpm.areaBuscada), "0000"),
    _xlpm.codItem &amp; "-" &amp; _xlpm.codArea &amp; "-" &amp; _xlpm.secuencia
)</f>
        <v>-SinArea-0000</v>
      </c>
      <c r="P552" s="77"/>
      <c r="Q552" s="32"/>
      <c r="R552" s="32"/>
      <c r="S552" s="32"/>
      <c r="T552" s="32"/>
    </row>
    <row r="553" spans="3:20" x14ac:dyDescent="0.3">
      <c r="C553" s="11"/>
      <c r="D553" s="32"/>
      <c r="E553" s="11"/>
      <c r="K553" s="15"/>
      <c r="L553" s="47"/>
      <c r="M553" s="76"/>
      <c r="N553" s="76"/>
      <c r="O553" s="78" t="str">
        <f>_xlfn.LET(
    _xlpm.itemBuscado, B553,
    _xlpm.areaBuscada, C553,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TEXT(COUNTIF($C$2:C553, _xlpm.areaBuscada), "0000"),
    _xlpm.codItem &amp; "-" &amp; _xlpm.codArea &amp; "-" &amp; _xlpm.secuencia
)</f>
        <v>-SinArea-0000</v>
      </c>
      <c r="P553" s="77"/>
      <c r="Q553" s="32"/>
      <c r="R553" s="32"/>
      <c r="S553" s="32"/>
      <c r="T553" s="32"/>
    </row>
    <row r="554" spans="3:20" x14ac:dyDescent="0.3">
      <c r="C554" s="11"/>
      <c r="D554" s="32"/>
      <c r="E554" s="11"/>
      <c r="K554" s="15"/>
      <c r="L554" s="47"/>
      <c r="M554" s="76"/>
      <c r="N554" s="76"/>
      <c r="O554" s="78" t="str">
        <f>_xlfn.LET(
    _xlpm.itemBuscado, B554,
    _xlpm.areaBuscada, C554,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TEXT(COUNTIF($C$2:C554, _xlpm.areaBuscada), "0000"),
    _xlpm.codItem &amp; "-" &amp; _xlpm.codArea &amp; "-" &amp; _xlpm.secuencia
)</f>
        <v>-SinArea-0000</v>
      </c>
      <c r="P554" s="77"/>
      <c r="Q554" s="32"/>
      <c r="R554" s="32"/>
      <c r="S554" s="32"/>
      <c r="T554" s="32"/>
    </row>
    <row r="555" spans="3:20" x14ac:dyDescent="0.3">
      <c r="C555" s="11"/>
      <c r="D555" s="32"/>
      <c r="E555" s="11"/>
      <c r="K555" s="15"/>
      <c r="L555" s="47"/>
      <c r="M555" s="76"/>
      <c r="N555" s="76"/>
      <c r="O555" s="78" t="str">
        <f>_xlfn.LET(
    _xlpm.itemBuscado, B555,
    _xlpm.areaBuscada, C555,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TEXT(COUNTIF($C$2:C555, _xlpm.areaBuscada), "0000"),
    _xlpm.codItem &amp; "-" &amp; _xlpm.codArea &amp; "-" &amp; _xlpm.secuencia
)</f>
        <v>-SinArea-0000</v>
      </c>
      <c r="P555" s="77"/>
      <c r="Q555" s="32"/>
      <c r="R555" s="32"/>
      <c r="S555" s="32"/>
      <c r="T555" s="32"/>
    </row>
    <row r="556" spans="3:20" x14ac:dyDescent="0.3">
      <c r="C556" s="11"/>
      <c r="D556" s="32"/>
      <c r="E556" s="11"/>
      <c r="K556" s="15"/>
      <c r="L556" s="47"/>
      <c r="M556" s="76"/>
      <c r="N556" s="76"/>
      <c r="O556" s="78" t="str">
        <f>_xlfn.LET(
    _xlpm.itemBuscado, B556,
    _xlpm.areaBuscada, C556,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TEXT(COUNTIF($C$2:C556, _xlpm.areaBuscada), "0000"),
    _xlpm.codItem &amp; "-" &amp; _xlpm.codArea &amp; "-" &amp; _xlpm.secuencia
)</f>
        <v>-SinArea-0000</v>
      </c>
      <c r="P556" s="77"/>
      <c r="Q556" s="32"/>
      <c r="R556" s="32"/>
      <c r="S556" s="32"/>
      <c r="T556" s="32"/>
    </row>
    <row r="557" spans="3:20" x14ac:dyDescent="0.3">
      <c r="C557" s="11"/>
      <c r="D557" s="32"/>
      <c r="E557" s="11"/>
      <c r="K557" s="15"/>
      <c r="L557" s="47"/>
      <c r="M557" s="76"/>
      <c r="N557" s="76"/>
      <c r="O557" s="78" t="str">
        <f>_xlfn.LET(
    _xlpm.itemBuscado, B557,
    _xlpm.areaBuscada, C557,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TEXT(COUNTIF($C$2:C557, _xlpm.areaBuscada), "0000"),
    _xlpm.codItem &amp; "-" &amp; _xlpm.codArea &amp; "-" &amp; _xlpm.secuencia
)</f>
        <v>-SinArea-0000</v>
      </c>
      <c r="P557" s="77"/>
      <c r="Q557" s="32"/>
      <c r="R557" s="32"/>
      <c r="S557" s="32"/>
      <c r="T557" s="32"/>
    </row>
    <row r="558" spans="3:20" x14ac:dyDescent="0.3">
      <c r="C558" s="11"/>
      <c r="D558" s="32"/>
      <c r="E558" s="11"/>
      <c r="K558" s="15"/>
      <c r="L558" s="47"/>
      <c r="M558" s="76"/>
      <c r="N558" s="76"/>
      <c r="O558" s="78" t="str">
        <f>_xlfn.LET(
    _xlpm.itemBuscado, B558,
    _xlpm.areaBuscada, C558,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TEXT(COUNTIF($C$2:C558, _xlpm.areaBuscada), "0000"),
    _xlpm.codItem &amp; "-" &amp; _xlpm.codArea &amp; "-" &amp; _xlpm.secuencia
)</f>
        <v>-SinArea-0000</v>
      </c>
      <c r="P558" s="77"/>
      <c r="Q558" s="32"/>
      <c r="R558" s="32"/>
      <c r="S558" s="32"/>
      <c r="T558" s="32"/>
    </row>
    <row r="559" spans="3:20" x14ac:dyDescent="0.3">
      <c r="C559" s="11"/>
      <c r="D559" s="32"/>
      <c r="E559" s="11"/>
      <c r="K559" s="15"/>
      <c r="L559" s="47"/>
      <c r="M559" s="76"/>
      <c r="N559" s="76"/>
      <c r="O559" s="78" t="str">
        <f>_xlfn.LET(
    _xlpm.itemBuscado, B559,
    _xlpm.areaBuscada, C559,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TEXT(COUNTIF($C$2:C559, _xlpm.areaBuscada), "0000"),
    _xlpm.codItem &amp; "-" &amp; _xlpm.codArea &amp; "-" &amp; _xlpm.secuencia
)</f>
        <v>-SinArea-0000</v>
      </c>
      <c r="P559" s="77"/>
      <c r="Q559" s="32"/>
      <c r="R559" s="32"/>
      <c r="S559" s="32"/>
      <c r="T559" s="32"/>
    </row>
    <row r="560" spans="3:20" x14ac:dyDescent="0.3">
      <c r="C560" s="11"/>
      <c r="D560" s="32"/>
      <c r="E560" s="11"/>
      <c r="K560" s="15"/>
      <c r="L560" s="47"/>
      <c r="M560" s="76"/>
      <c r="N560" s="76"/>
      <c r="O560" s="78" t="str">
        <f>_xlfn.LET(
    _xlpm.itemBuscado, B560,
    _xlpm.areaBuscada, C560,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TEXT(COUNTIF($C$2:C560, _xlpm.areaBuscada), "0000"),
    _xlpm.codItem &amp; "-" &amp; _xlpm.codArea &amp; "-" &amp; _xlpm.secuencia
)</f>
        <v>-SinArea-0000</v>
      </c>
      <c r="P560" s="77"/>
      <c r="Q560" s="32"/>
      <c r="R560" s="32"/>
      <c r="S560" s="32"/>
      <c r="T560" s="32"/>
    </row>
    <row r="561" spans="3:20" x14ac:dyDescent="0.3">
      <c r="C561" s="11"/>
      <c r="D561" s="32"/>
      <c r="E561" s="11"/>
      <c r="K561" s="15"/>
      <c r="L561" s="47"/>
      <c r="M561" s="76"/>
      <c r="N561" s="76"/>
      <c r="O561" s="78" t="str">
        <f>_xlfn.LET(
    _xlpm.itemBuscado, B561,
    _xlpm.areaBuscada, C561,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TEXT(COUNTIF($C$2:C561, _xlpm.areaBuscada), "0000"),
    _xlpm.codItem &amp; "-" &amp; _xlpm.codArea &amp; "-" &amp; _xlpm.secuencia
)</f>
        <v>-SinArea-0000</v>
      </c>
      <c r="P561" s="77"/>
      <c r="Q561" s="32"/>
      <c r="R561" s="32"/>
      <c r="S561" s="32"/>
      <c r="T561" s="32"/>
    </row>
    <row r="562" spans="3:20" x14ac:dyDescent="0.3">
      <c r="C562" s="11"/>
      <c r="D562" s="32"/>
      <c r="E562" s="11"/>
      <c r="K562" s="15"/>
      <c r="L562" s="47"/>
      <c r="M562" s="76"/>
      <c r="N562" s="76"/>
      <c r="O562" s="78" t="str">
        <f>_xlfn.LET(
    _xlpm.itemBuscado, B562,
    _xlpm.areaBuscada, C562,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TEXT(COUNTIF($C$2:C562, _xlpm.areaBuscada), "0000"),
    _xlpm.codItem &amp; "-" &amp; _xlpm.codArea &amp; "-" &amp; _xlpm.secuencia
)</f>
        <v>-SinArea-0000</v>
      </c>
      <c r="P562" s="77"/>
      <c r="Q562" s="32"/>
      <c r="R562" s="32"/>
      <c r="S562" s="32"/>
      <c r="T562" s="32"/>
    </row>
    <row r="563" spans="3:20" x14ac:dyDescent="0.3">
      <c r="C563" s="11"/>
      <c r="D563" s="32"/>
      <c r="E563" s="11"/>
      <c r="K563" s="15"/>
      <c r="L563" s="47"/>
      <c r="M563" s="76"/>
      <c r="N563" s="76"/>
      <c r="O563" s="78" t="str">
        <f>_xlfn.LET(
    _xlpm.itemBuscado, B563,
    _xlpm.areaBuscada, C563,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TEXT(COUNTIF($C$2:C563, _xlpm.areaBuscada), "0000"),
    _xlpm.codItem &amp; "-" &amp; _xlpm.codArea &amp; "-" &amp; _xlpm.secuencia
)</f>
        <v>-SinArea-0000</v>
      </c>
      <c r="P563" s="77"/>
      <c r="Q563" s="32"/>
      <c r="R563" s="32"/>
      <c r="S563" s="32"/>
      <c r="T563" s="32"/>
    </row>
    <row r="564" spans="3:20" x14ac:dyDescent="0.3">
      <c r="C564" s="11"/>
      <c r="D564" s="32"/>
      <c r="E564" s="11"/>
      <c r="K564" s="15"/>
      <c r="L564" s="47"/>
      <c r="M564" s="76"/>
      <c r="N564" s="76"/>
      <c r="O564" s="78" t="str">
        <f>_xlfn.LET(
    _xlpm.itemBuscado, B564,
    _xlpm.areaBuscada, C564,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TEXT(COUNTIF($C$2:C564, _xlpm.areaBuscada), "0000"),
    _xlpm.codItem &amp; "-" &amp; _xlpm.codArea &amp; "-" &amp; _xlpm.secuencia
)</f>
        <v>-SinArea-0000</v>
      </c>
      <c r="P564" s="77"/>
      <c r="Q564" s="32"/>
      <c r="R564" s="32"/>
      <c r="S564" s="32"/>
      <c r="T564" s="32"/>
    </row>
    <row r="565" spans="3:20" x14ac:dyDescent="0.3">
      <c r="C565" s="11"/>
      <c r="D565" s="32"/>
      <c r="E565" s="11"/>
      <c r="K565" s="15"/>
      <c r="L565" s="47"/>
      <c r="M565" s="76"/>
      <c r="N565" s="76"/>
      <c r="O565" s="78" t="str">
        <f>_xlfn.LET(
    _xlpm.itemBuscado, B565,
    _xlpm.areaBuscada, C565,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TEXT(COUNTIF($C$2:C565, _xlpm.areaBuscada), "0000"),
    _xlpm.codItem &amp; "-" &amp; _xlpm.codArea &amp; "-" &amp; _xlpm.secuencia
)</f>
        <v>-SinArea-0000</v>
      </c>
      <c r="P565" s="77"/>
      <c r="Q565" s="32"/>
      <c r="R565" s="32"/>
      <c r="S565" s="32"/>
      <c r="T565" s="32"/>
    </row>
    <row r="566" spans="3:20" x14ac:dyDescent="0.3">
      <c r="C566" s="11"/>
      <c r="D566" s="32"/>
      <c r="E566" s="11"/>
      <c r="K566" s="15"/>
      <c r="L566" s="47"/>
      <c r="M566" s="76"/>
      <c r="N566" s="76"/>
      <c r="O566" s="78" t="str">
        <f>_xlfn.LET(
    _xlpm.itemBuscado, B566,
    _xlpm.areaBuscada, C566,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TEXT(COUNTIF($C$2:C566, _xlpm.areaBuscada), "0000"),
    _xlpm.codItem &amp; "-" &amp; _xlpm.codArea &amp; "-" &amp; _xlpm.secuencia
)</f>
        <v>-SinArea-0000</v>
      </c>
      <c r="P566" s="77"/>
      <c r="Q566" s="32"/>
      <c r="R566" s="32"/>
      <c r="S566" s="32"/>
      <c r="T566" s="32"/>
    </row>
    <row r="567" spans="3:20" x14ac:dyDescent="0.3">
      <c r="C567" s="11"/>
      <c r="D567" s="32"/>
      <c r="E567" s="11"/>
      <c r="K567" s="15"/>
      <c r="L567" s="47"/>
      <c r="M567" s="76"/>
      <c r="N567" s="76"/>
      <c r="O567" s="78" t="str">
        <f>_xlfn.LET(
    _xlpm.itemBuscado, B567,
    _xlpm.areaBuscada, C567,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TEXT(COUNTIF($C$2:C567, _xlpm.areaBuscada), "0000"),
    _xlpm.codItem &amp; "-" &amp; _xlpm.codArea &amp; "-" &amp; _xlpm.secuencia
)</f>
        <v>-SinArea-0000</v>
      </c>
      <c r="P567" s="77"/>
      <c r="Q567" s="32"/>
      <c r="R567" s="32"/>
      <c r="S567" s="32"/>
      <c r="T567" s="32"/>
    </row>
    <row r="568" spans="3:20" x14ac:dyDescent="0.3">
      <c r="C568" s="11"/>
      <c r="D568" s="32"/>
      <c r="E568" s="11"/>
      <c r="K568" s="15"/>
      <c r="L568" s="47"/>
      <c r="M568" s="76"/>
      <c r="N568" s="76"/>
      <c r="O568" s="78" t="str">
        <f>_xlfn.LET(
    _xlpm.itemBuscado, B568,
    _xlpm.areaBuscada, C568,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TEXT(COUNTIF($C$2:C568, _xlpm.areaBuscada), "0000"),
    _xlpm.codItem &amp; "-" &amp; _xlpm.codArea &amp; "-" &amp; _xlpm.secuencia
)</f>
        <v>-SinArea-0000</v>
      </c>
      <c r="P568" s="77"/>
      <c r="Q568" s="32"/>
      <c r="R568" s="32"/>
      <c r="S568" s="32"/>
      <c r="T568" s="32"/>
    </row>
    <row r="569" spans="3:20" x14ac:dyDescent="0.3">
      <c r="C569" s="11"/>
      <c r="D569" s="32"/>
      <c r="E569" s="11"/>
      <c r="K569" s="15"/>
      <c r="L569" s="47"/>
      <c r="M569" s="76"/>
      <c r="N569" s="76"/>
      <c r="O569" s="78" t="str">
        <f>_xlfn.LET(
    _xlpm.itemBuscado, B569,
    _xlpm.areaBuscada, C569,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TEXT(COUNTIF($C$2:C569, _xlpm.areaBuscada), "0000"),
    _xlpm.codItem &amp; "-" &amp; _xlpm.codArea &amp; "-" &amp; _xlpm.secuencia
)</f>
        <v>-SinArea-0000</v>
      </c>
      <c r="P569" s="77"/>
      <c r="Q569" s="32"/>
      <c r="R569" s="32"/>
      <c r="S569" s="32"/>
      <c r="T569" s="32"/>
    </row>
    <row r="570" spans="3:20" x14ac:dyDescent="0.3">
      <c r="C570" s="11"/>
      <c r="D570" s="32"/>
      <c r="E570" s="11"/>
      <c r="K570" s="15"/>
      <c r="L570" s="47"/>
      <c r="M570" s="76"/>
      <c r="N570" s="76"/>
      <c r="O570" s="78" t="str">
        <f>_xlfn.LET(
    _xlpm.itemBuscado, B570,
    _xlpm.areaBuscada, C570,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TEXT(COUNTIF($C$2:C570, _xlpm.areaBuscada), "0000"),
    _xlpm.codItem &amp; "-" &amp; _xlpm.codArea &amp; "-" &amp; _xlpm.secuencia
)</f>
        <v>-SinArea-0000</v>
      </c>
      <c r="P570" s="77"/>
      <c r="Q570" s="32"/>
      <c r="R570" s="32"/>
      <c r="S570" s="32"/>
      <c r="T570" s="32"/>
    </row>
    <row r="571" spans="3:20" x14ac:dyDescent="0.3">
      <c r="C571" s="11"/>
      <c r="D571" s="32"/>
      <c r="E571" s="11"/>
      <c r="K571" s="15"/>
      <c r="L571" s="47"/>
      <c r="M571" s="76"/>
      <c r="N571" s="76"/>
      <c r="O571" s="78" t="str">
        <f>_xlfn.LET(
    _xlpm.itemBuscado, B571,
    _xlpm.areaBuscada, C571,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TEXT(COUNTIF($C$2:C571, _xlpm.areaBuscada), "0000"),
    _xlpm.codItem &amp; "-" &amp; _xlpm.codArea &amp; "-" &amp; _xlpm.secuencia
)</f>
        <v>-SinArea-0000</v>
      </c>
      <c r="P571" s="77"/>
      <c r="Q571" s="32"/>
      <c r="R571" s="32"/>
      <c r="S571" s="32"/>
      <c r="T571" s="32"/>
    </row>
    <row r="572" spans="3:20" x14ac:dyDescent="0.3">
      <c r="C572" s="11"/>
      <c r="D572" s="32"/>
      <c r="E572" s="11"/>
      <c r="K572" s="15"/>
      <c r="L572" s="47"/>
      <c r="M572" s="76"/>
      <c r="N572" s="76"/>
      <c r="O572" s="78" t="str">
        <f>_xlfn.LET(
    _xlpm.itemBuscado, B572,
    _xlpm.areaBuscada, C572,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TEXT(COUNTIF($C$2:C572, _xlpm.areaBuscada), "0000"),
    _xlpm.codItem &amp; "-" &amp; _xlpm.codArea &amp; "-" &amp; _xlpm.secuencia
)</f>
        <v>-SinArea-0000</v>
      </c>
      <c r="P572" s="77"/>
      <c r="Q572" s="32"/>
      <c r="R572" s="32"/>
      <c r="S572" s="32"/>
      <c r="T572" s="32"/>
    </row>
    <row r="573" spans="3:20" x14ac:dyDescent="0.3">
      <c r="C573" s="11"/>
      <c r="D573" s="32"/>
      <c r="E573" s="11"/>
      <c r="K573" s="15"/>
      <c r="L573" s="47"/>
      <c r="M573" s="76"/>
      <c r="N573" s="76"/>
      <c r="O573" s="78" t="str">
        <f>_xlfn.LET(
    _xlpm.itemBuscado, B573,
    _xlpm.areaBuscada, C573,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TEXT(COUNTIF($C$2:C573, _xlpm.areaBuscada), "0000"),
    _xlpm.codItem &amp; "-" &amp; _xlpm.codArea &amp; "-" &amp; _xlpm.secuencia
)</f>
        <v>-SinArea-0000</v>
      </c>
      <c r="P573" s="77"/>
      <c r="Q573" s="32"/>
      <c r="R573" s="32"/>
      <c r="S573" s="32"/>
      <c r="T573" s="32"/>
    </row>
    <row r="574" spans="3:20" x14ac:dyDescent="0.3">
      <c r="C574" s="11"/>
      <c r="D574" s="32"/>
      <c r="E574" s="11"/>
      <c r="K574" s="15"/>
      <c r="L574" s="47"/>
      <c r="M574" s="76"/>
      <c r="N574" s="76"/>
      <c r="O574" s="78" t="str">
        <f>_xlfn.LET(
    _xlpm.itemBuscado, B574,
    _xlpm.areaBuscada, C574,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TEXT(COUNTIF($C$2:C574, _xlpm.areaBuscada), "0000"),
    _xlpm.codItem &amp; "-" &amp; _xlpm.codArea &amp; "-" &amp; _xlpm.secuencia
)</f>
        <v>-SinArea-0000</v>
      </c>
      <c r="P574" s="77"/>
      <c r="Q574" s="32"/>
      <c r="R574" s="32"/>
      <c r="S574" s="32"/>
      <c r="T574" s="32"/>
    </row>
    <row r="575" spans="3:20" x14ac:dyDescent="0.3">
      <c r="C575" s="11"/>
      <c r="D575" s="32"/>
      <c r="E575" s="11"/>
      <c r="K575" s="15"/>
      <c r="L575" s="47"/>
      <c r="M575" s="76"/>
      <c r="N575" s="76"/>
      <c r="O575" s="78" t="str">
        <f>_xlfn.LET(
    _xlpm.itemBuscado, B575,
    _xlpm.areaBuscada, C575,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TEXT(COUNTIF($C$2:C575, _xlpm.areaBuscada), "0000"),
    _xlpm.codItem &amp; "-" &amp; _xlpm.codArea &amp; "-" &amp; _xlpm.secuencia
)</f>
        <v>-SinArea-0000</v>
      </c>
      <c r="P575" s="77"/>
      <c r="Q575" s="32"/>
      <c r="R575" s="32"/>
      <c r="S575" s="32"/>
      <c r="T575" s="32"/>
    </row>
    <row r="576" spans="3:20" x14ac:dyDescent="0.3">
      <c r="C576" s="11"/>
      <c r="D576" s="32"/>
      <c r="E576" s="11"/>
      <c r="K576" s="15"/>
      <c r="L576" s="47"/>
      <c r="M576" s="76"/>
      <c r="N576" s="76"/>
      <c r="O576" s="78" t="str">
        <f>_xlfn.LET(
    _xlpm.itemBuscado, B576,
    _xlpm.areaBuscada, C576,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TEXT(COUNTIF($C$2:C576, _xlpm.areaBuscada), "0000"),
    _xlpm.codItem &amp; "-" &amp; _xlpm.codArea &amp; "-" &amp; _xlpm.secuencia
)</f>
        <v>-SinArea-0000</v>
      </c>
      <c r="P576" s="77"/>
      <c r="Q576" s="32"/>
      <c r="R576" s="32"/>
      <c r="S576" s="32"/>
      <c r="T576" s="32"/>
    </row>
    <row r="577" spans="3:20" x14ac:dyDescent="0.3">
      <c r="C577" s="11"/>
      <c r="D577" s="32"/>
      <c r="E577" s="11"/>
      <c r="K577" s="15"/>
      <c r="L577" s="47"/>
      <c r="M577" s="76"/>
      <c r="N577" s="76"/>
      <c r="O577" s="78" t="str">
        <f>_xlfn.LET(
    _xlpm.itemBuscado, B577,
    _xlpm.areaBuscada, C577,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TEXT(COUNTIF($C$2:C577, _xlpm.areaBuscada), "0000"),
    _xlpm.codItem &amp; "-" &amp; _xlpm.codArea &amp; "-" &amp; _xlpm.secuencia
)</f>
        <v>-SinArea-0000</v>
      </c>
      <c r="P577" s="77"/>
      <c r="Q577" s="32"/>
      <c r="R577" s="32"/>
      <c r="S577" s="32"/>
      <c r="T577" s="32"/>
    </row>
    <row r="578" spans="3:20" x14ac:dyDescent="0.3">
      <c r="C578" s="11"/>
      <c r="D578" s="32"/>
      <c r="E578" s="11"/>
      <c r="K578" s="15"/>
      <c r="L578" s="47"/>
      <c r="M578" s="76"/>
      <c r="N578" s="76"/>
      <c r="O578" s="78" t="str">
        <f>_xlfn.LET(
    _xlpm.itemBuscado, B578,
    _xlpm.areaBuscada, C578,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TEXT(COUNTIF($C$2:C578, _xlpm.areaBuscada), "0000"),
    _xlpm.codItem &amp; "-" &amp; _xlpm.codArea &amp; "-" &amp; _xlpm.secuencia
)</f>
        <v>-SinArea-0000</v>
      </c>
      <c r="P578" s="77"/>
      <c r="Q578" s="32"/>
      <c r="R578" s="32"/>
      <c r="S578" s="32"/>
      <c r="T578" s="32"/>
    </row>
    <row r="579" spans="3:20" x14ac:dyDescent="0.3">
      <c r="C579" s="11"/>
      <c r="D579" s="32"/>
      <c r="E579" s="11"/>
      <c r="K579" s="15"/>
      <c r="L579" s="47"/>
      <c r="M579" s="76"/>
      <c r="N579" s="76"/>
      <c r="O579" s="78" t="str">
        <f>_xlfn.LET(
    _xlpm.itemBuscado, B579,
    _xlpm.areaBuscada, C579,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TEXT(COUNTIF($C$2:C579, _xlpm.areaBuscada), "0000"),
    _xlpm.codItem &amp; "-" &amp; _xlpm.codArea &amp; "-" &amp; _xlpm.secuencia
)</f>
        <v>-SinArea-0000</v>
      </c>
      <c r="P579" s="77"/>
      <c r="Q579" s="32"/>
      <c r="R579" s="32"/>
      <c r="S579" s="32"/>
      <c r="T579" s="32"/>
    </row>
    <row r="580" spans="3:20" x14ac:dyDescent="0.3">
      <c r="C580" s="11"/>
      <c r="D580" s="32"/>
      <c r="E580" s="11"/>
      <c r="K580" s="15"/>
      <c r="L580" s="47"/>
      <c r="M580" s="76"/>
      <c r="N580" s="76"/>
      <c r="O580" s="78" t="str">
        <f>_xlfn.LET(
    _xlpm.itemBuscado, B580,
    _xlpm.areaBuscada, C580,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TEXT(COUNTIF($C$2:C580, _xlpm.areaBuscada), "0000"),
    _xlpm.codItem &amp; "-" &amp; _xlpm.codArea &amp; "-" &amp; _xlpm.secuencia
)</f>
        <v>-SinArea-0000</v>
      </c>
      <c r="P580" s="77"/>
      <c r="Q580" s="32"/>
      <c r="R580" s="32"/>
      <c r="S580" s="32"/>
      <c r="T580" s="32"/>
    </row>
    <row r="581" spans="3:20" x14ac:dyDescent="0.3">
      <c r="C581" s="11"/>
      <c r="D581" s="32"/>
      <c r="E581" s="11"/>
      <c r="K581" s="15"/>
      <c r="L581" s="47"/>
      <c r="M581" s="76"/>
      <c r="N581" s="76"/>
      <c r="O581" s="78" t="str">
        <f>_xlfn.LET(
    _xlpm.itemBuscado, B581,
    _xlpm.areaBuscada, C581,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TEXT(COUNTIF($C$2:C581, _xlpm.areaBuscada), "0000"),
    _xlpm.codItem &amp; "-" &amp; _xlpm.codArea &amp; "-" &amp; _xlpm.secuencia
)</f>
        <v>-SinArea-0000</v>
      </c>
      <c r="P581" s="77"/>
      <c r="Q581" s="32"/>
      <c r="R581" s="32"/>
      <c r="S581" s="32"/>
      <c r="T581" s="32"/>
    </row>
    <row r="582" spans="3:20" x14ac:dyDescent="0.3">
      <c r="C582" s="11"/>
      <c r="D582" s="32"/>
      <c r="E582" s="11"/>
      <c r="K582" s="15"/>
      <c r="L582" s="47"/>
      <c r="M582" s="76"/>
      <c r="N582" s="76"/>
      <c r="O582" s="78" t="str">
        <f>_xlfn.LET(
    _xlpm.itemBuscado, B582,
    _xlpm.areaBuscada, C582,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TEXT(COUNTIF($C$2:C582, _xlpm.areaBuscada), "0000"),
    _xlpm.codItem &amp; "-" &amp; _xlpm.codArea &amp; "-" &amp; _xlpm.secuencia
)</f>
        <v>-SinArea-0000</v>
      </c>
      <c r="P582" s="77"/>
      <c r="Q582" s="32"/>
      <c r="R582" s="32"/>
      <c r="S582" s="32"/>
      <c r="T582" s="32"/>
    </row>
    <row r="583" spans="3:20" x14ac:dyDescent="0.3">
      <c r="C583" s="11"/>
      <c r="D583" s="32"/>
      <c r="E583" s="11"/>
      <c r="K583" s="15"/>
      <c r="L583" s="47"/>
      <c r="M583" s="76"/>
      <c r="N583" s="76"/>
      <c r="O583" s="78" t="str">
        <f>_xlfn.LET(
    _xlpm.itemBuscado, B583,
    _xlpm.areaBuscada, C583,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TEXT(COUNTIF($C$2:C583, _xlpm.areaBuscada), "0000"),
    _xlpm.codItem &amp; "-" &amp; _xlpm.codArea &amp; "-" &amp; _xlpm.secuencia
)</f>
        <v>-SinArea-0000</v>
      </c>
      <c r="P583" s="77"/>
      <c r="Q583" s="32"/>
      <c r="R583" s="32"/>
      <c r="S583" s="32"/>
      <c r="T583" s="32"/>
    </row>
    <row r="584" spans="3:20" x14ac:dyDescent="0.3">
      <c r="C584" s="11"/>
      <c r="D584" s="32"/>
      <c r="E584" s="11"/>
      <c r="K584" s="15"/>
      <c r="L584" s="47"/>
      <c r="M584" s="76"/>
      <c r="N584" s="76"/>
      <c r="O584" s="78" t="str">
        <f>_xlfn.LET(
    _xlpm.itemBuscado, B584,
    _xlpm.areaBuscada, C584,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TEXT(COUNTIF($C$2:C584, _xlpm.areaBuscada), "0000"),
    _xlpm.codItem &amp; "-" &amp; _xlpm.codArea &amp; "-" &amp; _xlpm.secuencia
)</f>
        <v>-SinArea-0000</v>
      </c>
      <c r="P584" s="77"/>
      <c r="Q584" s="32"/>
      <c r="R584" s="32"/>
      <c r="S584" s="32"/>
      <c r="T584" s="32"/>
    </row>
    <row r="585" spans="3:20" x14ac:dyDescent="0.3">
      <c r="C585" s="11"/>
      <c r="D585" s="32"/>
      <c r="E585" s="11"/>
      <c r="K585" s="15"/>
      <c r="L585" s="47"/>
      <c r="M585" s="76"/>
      <c r="N585" s="76"/>
      <c r="O585" s="78" t="str">
        <f>_xlfn.LET(
    _xlpm.itemBuscado, B585,
    _xlpm.areaBuscada, C585,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TEXT(COUNTIF($C$2:C585, _xlpm.areaBuscada), "0000"),
    _xlpm.codItem &amp; "-" &amp; _xlpm.codArea &amp; "-" &amp; _xlpm.secuencia
)</f>
        <v>-SinArea-0000</v>
      </c>
      <c r="P585" s="77"/>
      <c r="Q585" s="32"/>
      <c r="R585" s="32"/>
      <c r="S585" s="32"/>
      <c r="T585" s="32"/>
    </row>
    <row r="586" spans="3:20" x14ac:dyDescent="0.3">
      <c r="C586" s="11"/>
      <c r="D586" s="32"/>
      <c r="E586" s="11"/>
      <c r="K586" s="15"/>
      <c r="L586" s="47"/>
      <c r="M586" s="76"/>
      <c r="N586" s="76"/>
      <c r="O586" s="78" t="str">
        <f>_xlfn.LET(
    _xlpm.itemBuscado, B586,
    _xlpm.areaBuscada, C586,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TEXT(COUNTIF($C$2:C586, _xlpm.areaBuscada), "0000"),
    _xlpm.codItem &amp; "-" &amp; _xlpm.codArea &amp; "-" &amp; _xlpm.secuencia
)</f>
        <v>-SinArea-0000</v>
      </c>
      <c r="P586" s="77"/>
      <c r="Q586" s="32"/>
      <c r="R586" s="32"/>
      <c r="S586" s="32"/>
      <c r="T586" s="32"/>
    </row>
    <row r="587" spans="3:20" x14ac:dyDescent="0.3">
      <c r="C587" s="11"/>
      <c r="D587" s="32"/>
      <c r="E587" s="11"/>
      <c r="K587" s="15"/>
      <c r="L587" s="47"/>
      <c r="M587" s="76"/>
      <c r="N587" s="76"/>
      <c r="O587" s="78" t="str">
        <f>_xlfn.LET(
    _xlpm.itemBuscado, B587,
    _xlpm.areaBuscada, C587,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TEXT(COUNTIF($C$2:C587, _xlpm.areaBuscada), "0000"),
    _xlpm.codItem &amp; "-" &amp; _xlpm.codArea &amp; "-" &amp; _xlpm.secuencia
)</f>
        <v>-SinArea-0000</v>
      </c>
      <c r="P587" s="77"/>
      <c r="Q587" s="32"/>
      <c r="R587" s="32"/>
      <c r="S587" s="32"/>
      <c r="T587" s="32"/>
    </row>
    <row r="588" spans="3:20" x14ac:dyDescent="0.3">
      <c r="C588" s="11"/>
      <c r="D588" s="32"/>
      <c r="E588" s="11"/>
      <c r="K588" s="15"/>
      <c r="L588" s="47"/>
      <c r="M588" s="76"/>
      <c r="N588" s="76"/>
      <c r="O588" s="78" t="str">
        <f>_xlfn.LET(
    _xlpm.itemBuscado, B588,
    _xlpm.areaBuscada, C588,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TEXT(COUNTIF($C$2:C588, _xlpm.areaBuscada), "0000"),
    _xlpm.codItem &amp; "-" &amp; _xlpm.codArea &amp; "-" &amp; _xlpm.secuencia
)</f>
        <v>-SinArea-0000</v>
      </c>
      <c r="P588" s="77"/>
      <c r="Q588" s="32"/>
      <c r="R588" s="32"/>
      <c r="S588" s="32"/>
      <c r="T588" s="32"/>
    </row>
    <row r="589" spans="3:20" x14ac:dyDescent="0.3">
      <c r="C589" s="11"/>
      <c r="D589" s="32"/>
      <c r="E589" s="11"/>
      <c r="K589" s="15"/>
      <c r="L589" s="47"/>
      <c r="M589" s="76"/>
      <c r="N589" s="76"/>
      <c r="O589" s="78" t="str">
        <f>_xlfn.LET(
    _xlpm.itemBuscado, B589,
    _xlpm.areaBuscada, C589,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TEXT(COUNTIF($C$2:C589, _xlpm.areaBuscada), "0000"),
    _xlpm.codItem &amp; "-" &amp; _xlpm.codArea &amp; "-" &amp; _xlpm.secuencia
)</f>
        <v>-SinArea-0000</v>
      </c>
      <c r="P589" s="77"/>
      <c r="Q589" s="32"/>
      <c r="R589" s="32"/>
      <c r="S589" s="32"/>
      <c r="T589" s="32"/>
    </row>
    <row r="590" spans="3:20" x14ac:dyDescent="0.3">
      <c r="C590" s="11"/>
      <c r="D590" s="32"/>
      <c r="E590" s="11"/>
      <c r="K590" s="15"/>
      <c r="L590" s="47"/>
      <c r="M590" s="76"/>
      <c r="N590" s="76"/>
      <c r="O590" s="78" t="str">
        <f>_xlfn.LET(
    _xlpm.itemBuscado, B590,
    _xlpm.areaBuscada, C590,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TEXT(COUNTIF($C$2:C590, _xlpm.areaBuscada), "0000"),
    _xlpm.codItem &amp; "-" &amp; _xlpm.codArea &amp; "-" &amp; _xlpm.secuencia
)</f>
        <v>-SinArea-0000</v>
      </c>
      <c r="P590" s="77"/>
      <c r="Q590" s="32"/>
      <c r="R590" s="32"/>
      <c r="S590" s="32"/>
      <c r="T590" s="32"/>
    </row>
    <row r="591" spans="3:20" x14ac:dyDescent="0.3">
      <c r="C591" s="11"/>
      <c r="D591" s="32"/>
      <c r="E591" s="11"/>
      <c r="K591" s="15"/>
      <c r="L591" s="47"/>
      <c r="M591" s="76"/>
      <c r="N591" s="76"/>
      <c r="O591" s="78" t="str">
        <f>_xlfn.LET(
    _xlpm.itemBuscado, B591,
    _xlpm.areaBuscada, C591,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TEXT(COUNTIF($C$2:C591, _xlpm.areaBuscada), "0000"),
    _xlpm.codItem &amp; "-" &amp; _xlpm.codArea &amp; "-" &amp; _xlpm.secuencia
)</f>
        <v>-SinArea-0000</v>
      </c>
      <c r="P591" s="77"/>
      <c r="Q591" s="32"/>
      <c r="R591" s="32"/>
      <c r="S591" s="32"/>
      <c r="T591" s="32"/>
    </row>
    <row r="592" spans="3:20" x14ac:dyDescent="0.3">
      <c r="C592" s="11"/>
      <c r="D592" s="32"/>
      <c r="E592" s="11"/>
      <c r="K592" s="15"/>
      <c r="L592" s="47"/>
      <c r="M592" s="76"/>
      <c r="N592" s="76"/>
      <c r="O592" s="78" t="str">
        <f>_xlfn.LET(
    _xlpm.itemBuscado, B592,
    _xlpm.areaBuscada, C592,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TEXT(COUNTIF($C$2:C592, _xlpm.areaBuscada), "0000"),
    _xlpm.codItem &amp; "-" &amp; _xlpm.codArea &amp; "-" &amp; _xlpm.secuencia
)</f>
        <v>-SinArea-0000</v>
      </c>
      <c r="P592" s="77"/>
      <c r="Q592" s="32"/>
      <c r="R592" s="32"/>
      <c r="S592" s="32"/>
      <c r="T592" s="32"/>
    </row>
    <row r="593" spans="3:20" x14ac:dyDescent="0.3">
      <c r="C593" s="11"/>
      <c r="D593" s="32"/>
      <c r="E593" s="11"/>
      <c r="K593" s="15"/>
      <c r="L593" s="47"/>
      <c r="M593" s="76"/>
      <c r="N593" s="76"/>
      <c r="O593" s="78" t="str">
        <f>_xlfn.LET(
    _xlpm.itemBuscado, B593,
    _xlpm.areaBuscada, C593,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TEXT(COUNTIF($C$2:C593, _xlpm.areaBuscada), "0000"),
    _xlpm.codItem &amp; "-" &amp; _xlpm.codArea &amp; "-" &amp; _xlpm.secuencia
)</f>
        <v>-SinArea-0000</v>
      </c>
      <c r="P593" s="77"/>
      <c r="Q593" s="32"/>
      <c r="R593" s="32"/>
      <c r="S593" s="32"/>
      <c r="T593" s="32"/>
    </row>
    <row r="594" spans="3:20" x14ac:dyDescent="0.3">
      <c r="C594" s="11"/>
      <c r="D594" s="32"/>
      <c r="E594" s="11"/>
      <c r="K594" s="15"/>
      <c r="L594" s="47"/>
      <c r="M594" s="76"/>
      <c r="N594" s="76"/>
      <c r="O594" s="78" t="str">
        <f>_xlfn.LET(
    _xlpm.itemBuscado, B594,
    _xlpm.areaBuscada, C594,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TEXT(COUNTIF($C$2:C594, _xlpm.areaBuscada), "0000"),
    _xlpm.codItem &amp; "-" &amp; _xlpm.codArea &amp; "-" &amp; _xlpm.secuencia
)</f>
        <v>-SinArea-0000</v>
      </c>
      <c r="P594" s="77"/>
      <c r="Q594" s="32"/>
      <c r="R594" s="32"/>
      <c r="S594" s="32"/>
      <c r="T594" s="32"/>
    </row>
    <row r="595" spans="3:20" x14ac:dyDescent="0.3">
      <c r="C595" s="11"/>
      <c r="D595" s="32"/>
      <c r="E595" s="11"/>
      <c r="K595" s="15"/>
      <c r="L595" s="47"/>
      <c r="M595" s="76"/>
      <c r="N595" s="76"/>
      <c r="O595" s="78" t="str">
        <f>_xlfn.LET(
    _xlpm.itemBuscado, B595,
    _xlpm.areaBuscada, C595,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TEXT(COUNTIF($C$2:C595, _xlpm.areaBuscada), "0000"),
    _xlpm.codItem &amp; "-" &amp; _xlpm.codArea &amp; "-" &amp; _xlpm.secuencia
)</f>
        <v>-SinArea-0000</v>
      </c>
      <c r="P595" s="77"/>
      <c r="Q595" s="32"/>
      <c r="R595" s="32"/>
      <c r="S595" s="32"/>
      <c r="T595" s="32"/>
    </row>
    <row r="596" spans="3:20" x14ac:dyDescent="0.3">
      <c r="C596" s="11"/>
      <c r="D596" s="32"/>
      <c r="E596" s="11"/>
      <c r="K596" s="15"/>
      <c r="L596" s="47"/>
      <c r="M596" s="76"/>
      <c r="N596" s="76"/>
      <c r="O596" s="78" t="str">
        <f>_xlfn.LET(
    _xlpm.itemBuscado, B596,
    _xlpm.areaBuscada, C596,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TEXT(COUNTIF($C$2:C596, _xlpm.areaBuscada), "0000"),
    _xlpm.codItem &amp; "-" &amp; _xlpm.codArea &amp; "-" &amp; _xlpm.secuencia
)</f>
        <v>-SinArea-0000</v>
      </c>
      <c r="P596" s="77"/>
      <c r="Q596" s="32"/>
      <c r="R596" s="32"/>
      <c r="S596" s="32"/>
      <c r="T596" s="32"/>
    </row>
    <row r="597" spans="3:20" x14ac:dyDescent="0.3">
      <c r="C597" s="11"/>
      <c r="D597" s="32"/>
      <c r="E597" s="11"/>
      <c r="K597" s="15"/>
      <c r="L597" s="47"/>
      <c r="M597" s="76"/>
      <c r="N597" s="76"/>
      <c r="O597" s="78" t="str">
        <f>_xlfn.LET(
    _xlpm.itemBuscado, B597,
    _xlpm.areaBuscada, C597,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TEXT(COUNTIF($C$2:C597, _xlpm.areaBuscada), "0000"),
    _xlpm.codItem &amp; "-" &amp; _xlpm.codArea &amp; "-" &amp; _xlpm.secuencia
)</f>
        <v>-SinArea-0000</v>
      </c>
      <c r="P597" s="77"/>
      <c r="Q597" s="32"/>
      <c r="R597" s="32"/>
      <c r="S597" s="32"/>
      <c r="T597" s="32"/>
    </row>
    <row r="598" spans="3:20" x14ac:dyDescent="0.3">
      <c r="C598" s="11"/>
      <c r="D598" s="32"/>
      <c r="E598" s="11"/>
      <c r="K598" s="15"/>
      <c r="L598" s="47"/>
      <c r="M598" s="76"/>
      <c r="N598" s="76"/>
      <c r="O598" s="78" t="str">
        <f>_xlfn.LET(
    _xlpm.itemBuscado, B598,
    _xlpm.areaBuscada, C598,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TEXT(COUNTIF($C$2:C598, _xlpm.areaBuscada), "0000"),
    _xlpm.codItem &amp; "-" &amp; _xlpm.codArea &amp; "-" &amp; _xlpm.secuencia
)</f>
        <v>-SinArea-0000</v>
      </c>
      <c r="P598" s="77"/>
      <c r="Q598" s="32"/>
      <c r="R598" s="32"/>
      <c r="S598" s="32"/>
      <c r="T598" s="32"/>
    </row>
    <row r="599" spans="3:20" x14ac:dyDescent="0.3">
      <c r="C599" s="11"/>
      <c r="D599" s="32"/>
      <c r="E599" s="11"/>
      <c r="K599" s="15"/>
      <c r="L599" s="47"/>
      <c r="M599" s="76"/>
      <c r="N599" s="76"/>
      <c r="O599" s="78" t="str">
        <f>_xlfn.LET(
    _xlpm.itemBuscado, B599,
    _xlpm.areaBuscada, C599,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TEXT(COUNTIF($C$2:C599, _xlpm.areaBuscada), "0000"),
    _xlpm.codItem &amp; "-" &amp; _xlpm.codArea &amp; "-" &amp; _xlpm.secuencia
)</f>
        <v>-SinArea-0000</v>
      </c>
      <c r="P599" s="77"/>
      <c r="Q599" s="32"/>
      <c r="R599" s="32"/>
      <c r="S599" s="32"/>
      <c r="T599" s="32"/>
    </row>
    <row r="600" spans="3:20" x14ac:dyDescent="0.3">
      <c r="C600" s="11"/>
      <c r="D600" s="32"/>
      <c r="E600" s="11"/>
      <c r="K600" s="15"/>
      <c r="L600" s="47"/>
      <c r="M600" s="76"/>
      <c r="N600" s="76"/>
      <c r="O600" s="78" t="str">
        <f>_xlfn.LET(
    _xlpm.itemBuscado, B600,
    _xlpm.areaBuscada, C600,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TEXT(COUNTIF($C$2:C600, _xlpm.areaBuscada), "0000"),
    _xlpm.codItem &amp; "-" &amp; _xlpm.codArea &amp; "-" &amp; _xlpm.secuencia
)</f>
        <v>-SinArea-0000</v>
      </c>
      <c r="P600" s="77"/>
      <c r="Q600" s="32"/>
      <c r="R600" s="32"/>
      <c r="S600" s="32"/>
      <c r="T600" s="32"/>
    </row>
    <row r="601" spans="3:20" x14ac:dyDescent="0.3">
      <c r="C601" s="11"/>
      <c r="D601" s="32"/>
      <c r="E601" s="11"/>
      <c r="K601" s="15"/>
      <c r="L601" s="47"/>
      <c r="M601" s="76"/>
      <c r="N601" s="76"/>
      <c r="O601" s="78" t="str">
        <f>_xlfn.LET(
    _xlpm.itemBuscado, B601,
    _xlpm.areaBuscada, C601,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TEXT(COUNTIF($C$2:C601, _xlpm.areaBuscada), "0000"),
    _xlpm.codItem &amp; "-" &amp; _xlpm.codArea &amp; "-" &amp; _xlpm.secuencia
)</f>
        <v>-SinArea-0000</v>
      </c>
      <c r="P601" s="77"/>
      <c r="Q601" s="32"/>
      <c r="R601" s="32"/>
      <c r="S601" s="32"/>
      <c r="T601" s="32"/>
    </row>
    <row r="602" spans="3:20" x14ac:dyDescent="0.3">
      <c r="C602" s="11"/>
      <c r="D602" s="32"/>
      <c r="E602" s="11"/>
      <c r="K602" s="15"/>
      <c r="L602" s="47"/>
      <c r="M602" s="76"/>
      <c r="N602" s="76"/>
      <c r="O602" s="78" t="str">
        <f>_xlfn.LET(
    _xlpm.itemBuscado, B602,
    _xlpm.areaBuscada, C602,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TEXT(COUNTIF($C$2:C602, _xlpm.areaBuscada), "0000"),
    _xlpm.codItem &amp; "-" &amp; _xlpm.codArea &amp; "-" &amp; _xlpm.secuencia
)</f>
        <v>-SinArea-0000</v>
      </c>
      <c r="P602" s="77"/>
      <c r="Q602" s="32"/>
      <c r="R602" s="32"/>
      <c r="S602" s="32"/>
      <c r="T602" s="32"/>
    </row>
    <row r="603" spans="3:20" x14ac:dyDescent="0.3">
      <c r="C603" s="11"/>
      <c r="D603" s="32"/>
      <c r="E603" s="11"/>
      <c r="K603" s="15"/>
      <c r="L603" s="47"/>
      <c r="M603" s="76"/>
      <c r="N603" s="76"/>
      <c r="O603" s="78" t="str">
        <f>_xlfn.LET(
    _xlpm.itemBuscado, B603,
    _xlpm.areaBuscada, C603,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TEXT(COUNTIF($C$2:C603, _xlpm.areaBuscada), "0000"),
    _xlpm.codItem &amp; "-" &amp; _xlpm.codArea &amp; "-" &amp; _xlpm.secuencia
)</f>
        <v>-SinArea-0000</v>
      </c>
      <c r="P603" s="77"/>
      <c r="Q603" s="32"/>
      <c r="R603" s="32"/>
      <c r="S603" s="32"/>
      <c r="T603" s="32"/>
    </row>
    <row r="604" spans="3:20" x14ac:dyDescent="0.3">
      <c r="C604" s="11"/>
      <c r="D604" s="32"/>
      <c r="E604" s="11"/>
      <c r="K604" s="15"/>
      <c r="L604" s="47"/>
      <c r="M604" s="76"/>
      <c r="N604" s="76"/>
      <c r="O604" s="78" t="str">
        <f>_xlfn.LET(
    _xlpm.itemBuscado, B604,
    _xlpm.areaBuscada, C604,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TEXT(COUNTIF($C$2:C604, _xlpm.areaBuscada), "0000"),
    _xlpm.codItem &amp; "-" &amp; _xlpm.codArea &amp; "-" &amp; _xlpm.secuencia
)</f>
        <v>-SinArea-0000</v>
      </c>
      <c r="P604" s="77"/>
      <c r="Q604" s="32"/>
      <c r="R604" s="32"/>
      <c r="S604" s="32"/>
      <c r="T604" s="32"/>
    </row>
    <row r="605" spans="3:20" x14ac:dyDescent="0.3">
      <c r="C605" s="11"/>
      <c r="D605" s="32"/>
      <c r="E605" s="11"/>
      <c r="K605" s="15"/>
      <c r="L605" s="47"/>
      <c r="M605" s="76"/>
      <c r="N605" s="76"/>
      <c r="O605" s="78" t="str">
        <f>_xlfn.LET(
    _xlpm.itemBuscado, B605,
    _xlpm.areaBuscada, C605,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TEXT(COUNTIF($C$2:C605, _xlpm.areaBuscada), "0000"),
    _xlpm.codItem &amp; "-" &amp; _xlpm.codArea &amp; "-" &amp; _xlpm.secuencia
)</f>
        <v>-SinArea-0000</v>
      </c>
      <c r="P605" s="77"/>
      <c r="Q605" s="32"/>
      <c r="R605" s="32"/>
      <c r="S605" s="32"/>
      <c r="T605" s="32"/>
    </row>
    <row r="606" spans="3:20" x14ac:dyDescent="0.3">
      <c r="C606" s="11"/>
      <c r="D606" s="32"/>
      <c r="E606" s="11"/>
      <c r="K606" s="15"/>
      <c r="L606" s="47"/>
      <c r="M606" s="76"/>
      <c r="N606" s="76"/>
      <c r="O606" s="78" t="str">
        <f>_xlfn.LET(
    _xlpm.itemBuscado, B606,
    _xlpm.areaBuscada, C606,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TEXT(COUNTIF($C$2:C606, _xlpm.areaBuscada), "0000"),
    _xlpm.codItem &amp; "-" &amp; _xlpm.codArea &amp; "-" &amp; _xlpm.secuencia
)</f>
        <v>-SinArea-0000</v>
      </c>
      <c r="P606" s="77"/>
      <c r="Q606" s="32"/>
      <c r="R606" s="32"/>
      <c r="S606" s="32"/>
      <c r="T606" s="32"/>
    </row>
    <row r="607" spans="3:20" x14ac:dyDescent="0.3">
      <c r="C607" s="11"/>
      <c r="D607" s="32"/>
      <c r="E607" s="11"/>
      <c r="K607" s="15"/>
      <c r="L607" s="47"/>
      <c r="M607" s="76"/>
      <c r="N607" s="76"/>
      <c r="O607" s="78" t="str">
        <f>_xlfn.LET(
    _xlpm.itemBuscado, B607,
    _xlpm.areaBuscada, C607,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TEXT(COUNTIF($C$2:C607, _xlpm.areaBuscada), "0000"),
    _xlpm.codItem &amp; "-" &amp; _xlpm.codArea &amp; "-" &amp; _xlpm.secuencia
)</f>
        <v>-SinArea-0000</v>
      </c>
      <c r="P607" s="77"/>
      <c r="Q607" s="32"/>
      <c r="R607" s="32"/>
      <c r="S607" s="32"/>
      <c r="T607" s="32"/>
    </row>
    <row r="608" spans="3:20" x14ac:dyDescent="0.3">
      <c r="C608" s="11"/>
      <c r="D608" s="32"/>
      <c r="E608" s="11"/>
      <c r="K608" s="15"/>
      <c r="L608" s="47"/>
      <c r="M608" s="76"/>
      <c r="N608" s="76"/>
      <c r="O608" s="78" t="str">
        <f>_xlfn.LET(
    _xlpm.itemBuscado, B608,
    _xlpm.areaBuscada, C608,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TEXT(COUNTIF($C$2:C608, _xlpm.areaBuscada), "0000"),
    _xlpm.codItem &amp; "-" &amp; _xlpm.codArea &amp; "-" &amp; _xlpm.secuencia
)</f>
        <v>-SinArea-0000</v>
      </c>
      <c r="P608" s="77"/>
      <c r="Q608" s="32"/>
      <c r="R608" s="32"/>
      <c r="S608" s="32"/>
      <c r="T608" s="32"/>
    </row>
    <row r="609" spans="3:20" x14ac:dyDescent="0.3">
      <c r="C609" s="11"/>
      <c r="D609" s="32"/>
      <c r="E609" s="11"/>
      <c r="K609" s="15"/>
      <c r="L609" s="47"/>
      <c r="M609" s="76"/>
      <c r="N609" s="76"/>
      <c r="O609" s="78" t="str">
        <f>_xlfn.LET(
    _xlpm.itemBuscado, B609,
    _xlpm.areaBuscada, C609,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TEXT(COUNTIF($C$2:C609, _xlpm.areaBuscada), "0000"),
    _xlpm.codItem &amp; "-" &amp; _xlpm.codArea &amp; "-" &amp; _xlpm.secuencia
)</f>
        <v>-SinArea-0000</v>
      </c>
      <c r="P609" s="77"/>
      <c r="Q609" s="32"/>
      <c r="R609" s="32"/>
      <c r="S609" s="32"/>
      <c r="T609" s="32"/>
    </row>
    <row r="610" spans="3:20" x14ac:dyDescent="0.3">
      <c r="C610" s="11"/>
      <c r="D610" s="32"/>
      <c r="E610" s="11"/>
      <c r="K610" s="15"/>
      <c r="L610" s="47"/>
      <c r="M610" s="76"/>
      <c r="N610" s="76"/>
      <c r="O610" s="78" t="str">
        <f>_xlfn.LET(
    _xlpm.itemBuscado, B610,
    _xlpm.areaBuscada, C610,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TEXT(COUNTIF($C$2:C610, _xlpm.areaBuscada), "0000"),
    _xlpm.codItem &amp; "-" &amp; _xlpm.codArea &amp; "-" &amp; _xlpm.secuencia
)</f>
        <v>-SinArea-0000</v>
      </c>
      <c r="P610" s="77"/>
      <c r="Q610" s="32"/>
      <c r="R610" s="32"/>
      <c r="S610" s="32"/>
      <c r="T610" s="32"/>
    </row>
    <row r="611" spans="3:20" x14ac:dyDescent="0.3">
      <c r="C611" s="11"/>
      <c r="D611" s="32"/>
      <c r="E611" s="11"/>
      <c r="K611" s="15"/>
      <c r="L611" s="47"/>
      <c r="M611" s="76"/>
      <c r="N611" s="76"/>
      <c r="O611" s="78" t="str">
        <f>_xlfn.LET(
    _xlpm.itemBuscado, B611,
    _xlpm.areaBuscada, C611,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TEXT(COUNTIF($C$2:C611, _xlpm.areaBuscada), "0000"),
    _xlpm.codItem &amp; "-" &amp; _xlpm.codArea &amp; "-" &amp; _xlpm.secuencia
)</f>
        <v>-SinArea-0000</v>
      </c>
      <c r="P611" s="77"/>
      <c r="Q611" s="32"/>
      <c r="R611" s="32"/>
      <c r="S611" s="32"/>
      <c r="T611" s="32"/>
    </row>
    <row r="612" spans="3:20" x14ac:dyDescent="0.3">
      <c r="C612" s="11"/>
    </row>
    <row r="613" spans="3:20" x14ac:dyDescent="0.3">
      <c r="C613" s="11"/>
    </row>
    <row r="614" spans="3:20" x14ac:dyDescent="0.3">
      <c r="C614" s="11"/>
    </row>
    <row r="615" spans="3:20" x14ac:dyDescent="0.3">
      <c r="C615" s="11"/>
    </row>
    <row r="616" spans="3:20" x14ac:dyDescent="0.3">
      <c r="C616" s="11"/>
    </row>
    <row r="617" spans="3:20" x14ac:dyDescent="0.3">
      <c r="C617" s="11"/>
    </row>
    <row r="618" spans="3:20" x14ac:dyDescent="0.3">
      <c r="C618" s="11"/>
    </row>
  </sheetData>
  <phoneticPr fontId="13" type="noConversion"/>
  <dataValidations count="9">
    <dataValidation type="list" allowBlank="1" showInputMessage="1" showErrorMessage="1" sqref="S2:S611" xr:uid="{9CB9FC40-F991-417D-B3DB-186DB76C23C1}">
      <formula1>$Z$2:$Z$4</formula1>
    </dataValidation>
    <dataValidation type="whole" allowBlank="1" showInputMessage="1" showErrorMessage="1" sqref="D2:D139" xr:uid="{F9443BFA-0AE5-49F5-9748-7EA250C716DF}">
      <formula1>1</formula1>
      <formula2>100</formula2>
    </dataValidation>
    <dataValidation type="list" allowBlank="1" showInputMessage="1" promptTitle="Guia" prompt="Si tiene dudas sobre que dato colocar consulte las siguientes tablas y no olvide revisar los comentarios_x000a__x000a_" sqref="F2:J139" xr:uid="{A550A7F1-9949-4C08-8AF7-C5E7FC6837AE}">
      <formula1>INDIRECT($E$2:$E$611)</formula1>
    </dataValidation>
    <dataValidation type="list" allowBlank="1" showInputMessage="1" showErrorMessage="1" sqref="R2:R611" xr:uid="{7123CE13-1CB8-4141-815D-E55B3B95D05C}">
      <formula1>$AB$10:$AB$12</formula1>
    </dataValidation>
    <dataValidation allowBlank="1" showInputMessage="1" showErrorMessage="1" sqref="D140:D618" xr:uid="{92BE9E2E-AF5E-453D-80B4-5BA0DED22F2D}"/>
    <dataValidation type="list" allowBlank="1" showInputMessage="1" showErrorMessage="1" sqref="C2:C618" xr:uid="{055BF85A-5D7E-4EE2-B707-E67FDF35A95E}">
      <formula1>$W$2:$W$12</formula1>
    </dataValidation>
    <dataValidation type="list" allowBlank="1" showInputMessage="1" showErrorMessage="1" sqref="E204:E615" xr:uid="{36B8803C-E23F-45B2-A01E-84379E32E0D2}">
      <formula1>$AC$2:$AC$7</formula1>
    </dataValidation>
    <dataValidation type="list" allowBlank="1" showInputMessage="1" promptTitle="Guia" prompt="puede realizar Las siguientes opciones_x000a_si eligio electricos tiene las siguientes opciones de una posible sublista_x000a_" sqref="F140:J611" xr:uid="{A76BEC4F-2F5E-4073-811B-E8676135ED79}">
      <formula1>INDIRECT($E$2:$E$611)</formula1>
    </dataValidation>
    <dataValidation type="list" allowBlank="1" showInputMessage="1" showErrorMessage="1" sqref="E2:E203" xr:uid="{D51D082A-871C-4A9F-976C-3B42313D4AF4}">
      <formula1>$AF$1:$AM$1</formula1>
    </dataValidation>
  </dataValidations>
  <pageMargins left="0.7" right="0.7" top="0.75" bottom="0.75" header="0.3" footer="0.3"/>
  <legacyDrawing r:id="rId1"/>
  <tableParts count="43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84DD54E-4448-4C2A-8209-15D36CAD7CF8}">
          <x14:formula1>
            <xm:f>Hoja2!$B$3:$B$80</xm:f>
          </x14:formula1>
          <xm:sqref>B11:B34</xm:sqref>
        </x14:dataValidation>
        <x14:dataValidation type="list" allowBlank="1" showInputMessage="1" showErrorMessage="1" xr:uid="{EB649582-27E8-47F2-8563-CF6F0E079349}">
          <x14:formula1>
            <xm:f>Hoja2!$B$3:$B$79</xm:f>
          </x14:formula1>
          <xm:sqref>B35:B611</xm:sqref>
        </x14:dataValidation>
        <x14:dataValidation type="list" allowBlank="1" showInputMessage="1" showErrorMessage="1" xr:uid="{9613EB08-F1F9-4F96-9772-F3C57ED7A28A}">
          <x14:formula1>
            <xm:f>Hoja2!$B$3:$B$81</xm:f>
          </x14:formula1>
          <xm:sqref>B2:B10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A6762-3E36-47FE-9CD2-AA75073ABC2B}">
  <dimension ref="A1:BP1433"/>
  <sheetViews>
    <sheetView topLeftCell="A1415" zoomScale="85" zoomScaleNormal="85" workbookViewId="0">
      <pane xSplit="3" topLeftCell="D1" activePane="topRight" state="frozen"/>
      <selection pane="topRight" activeCell="E375" sqref="E375:E1426"/>
    </sheetView>
  </sheetViews>
  <sheetFormatPr baseColWidth="10" defaultColWidth="8.88671875" defaultRowHeight="14.4" x14ac:dyDescent="0.3"/>
  <cols>
    <col min="2" max="2" width="10.5546875" customWidth="1"/>
    <col min="3" max="3" width="14.6640625" customWidth="1"/>
    <col min="4" max="4" width="17.33203125" customWidth="1"/>
    <col min="5" max="5" width="25.44140625" customWidth="1"/>
    <col min="6" max="6" width="36.33203125" customWidth="1"/>
    <col min="7" max="7" width="18.88671875" customWidth="1"/>
    <col min="8" max="8" width="13.88671875" customWidth="1"/>
    <col min="9" max="9" width="15.109375" customWidth="1"/>
    <col min="10" max="11" width="22.6640625" customWidth="1"/>
    <col min="12" max="12" width="21.33203125" customWidth="1"/>
    <col min="13" max="13" width="23.109375" customWidth="1"/>
    <col min="14" max="14" width="17.44140625" customWidth="1"/>
    <col min="15" max="15" width="24.109375" customWidth="1"/>
    <col min="16" max="16" width="18.6640625" customWidth="1"/>
    <col min="17" max="17" width="43.6640625" customWidth="1"/>
    <col min="18" max="18" width="15.6640625" customWidth="1"/>
    <col min="19" max="19" width="11.6640625" customWidth="1"/>
    <col min="20" max="20" width="18.6640625" customWidth="1"/>
    <col min="23" max="23" width="11.33203125" customWidth="1"/>
    <col min="25" max="25" width="19.5546875" customWidth="1"/>
    <col min="26" max="26" width="23.44140625" bestFit="1" customWidth="1"/>
    <col min="27" max="27" width="21.33203125" customWidth="1"/>
    <col min="28" max="28" width="22.33203125" customWidth="1"/>
    <col min="29" max="29" width="24" customWidth="1"/>
    <col min="30" max="30" width="24.44140625" customWidth="1"/>
    <col min="31" max="31" width="26.109375" customWidth="1"/>
    <col min="32" max="32" width="23.6640625" customWidth="1"/>
    <col min="33" max="33" width="24" customWidth="1"/>
    <col min="34" max="34" width="21.33203125" customWidth="1"/>
    <col min="35" max="35" width="21.109375" customWidth="1"/>
    <col min="36" max="36" width="19.44140625" bestFit="1" customWidth="1"/>
    <col min="37" max="37" width="22.5546875" customWidth="1"/>
    <col min="38" max="38" width="29.6640625" customWidth="1"/>
    <col min="39" max="39" width="25" customWidth="1"/>
    <col min="40" max="40" width="26.6640625" customWidth="1"/>
    <col min="41" max="41" width="28.33203125" customWidth="1"/>
    <col min="42" max="42" width="27.109375" customWidth="1"/>
    <col min="43" max="45" width="33.6640625" customWidth="1"/>
    <col min="46" max="46" width="22.5546875" customWidth="1"/>
    <col min="47" max="47" width="26.109375" customWidth="1"/>
    <col min="48" max="48" width="25.33203125" customWidth="1"/>
    <col min="49" max="49" width="21.109375" customWidth="1"/>
    <col min="50" max="50" width="19" customWidth="1"/>
    <col min="51" max="51" width="15.5546875" customWidth="1"/>
    <col min="52" max="52" width="18.33203125" customWidth="1"/>
    <col min="53" max="53" width="18.109375" customWidth="1"/>
  </cols>
  <sheetData>
    <row r="1" spans="1:68" ht="21.6" customHeight="1" x14ac:dyDescent="0.3">
      <c r="B1" s="36" t="s">
        <v>200</v>
      </c>
      <c r="C1" s="36" t="s">
        <v>201</v>
      </c>
      <c r="D1" s="36" t="s">
        <v>202</v>
      </c>
      <c r="E1" s="36" t="s">
        <v>203</v>
      </c>
      <c r="F1" s="37" t="s">
        <v>204</v>
      </c>
      <c r="G1" s="36" t="s">
        <v>205</v>
      </c>
      <c r="H1" s="36" t="s">
        <v>206</v>
      </c>
      <c r="I1" s="36" t="s">
        <v>342</v>
      </c>
      <c r="J1" s="37" t="s">
        <v>207</v>
      </c>
      <c r="K1" s="37" t="s">
        <v>4038</v>
      </c>
      <c r="L1" s="37" t="s">
        <v>2612</v>
      </c>
      <c r="M1" s="37" t="s">
        <v>1403</v>
      </c>
      <c r="N1" s="37" t="s">
        <v>343</v>
      </c>
      <c r="O1" s="37" t="s">
        <v>208</v>
      </c>
      <c r="P1" s="37" t="s">
        <v>209</v>
      </c>
      <c r="Q1" s="37" t="s">
        <v>210</v>
      </c>
      <c r="R1" s="38" t="s">
        <v>211</v>
      </c>
      <c r="S1" s="37" t="s">
        <v>212</v>
      </c>
      <c r="T1" s="39"/>
      <c r="U1" s="40" t="s">
        <v>213</v>
      </c>
      <c r="V1" s="41" t="s">
        <v>201</v>
      </c>
      <c r="X1" s="42" t="s">
        <v>213</v>
      </c>
      <c r="Y1" s="43" t="s">
        <v>211</v>
      </c>
      <c r="AA1" s="44" t="s">
        <v>213</v>
      </c>
      <c r="AB1" s="45" t="s">
        <v>214</v>
      </c>
      <c r="AD1" s="46"/>
      <c r="AE1" s="1" t="s">
        <v>4</v>
      </c>
      <c r="AF1" s="2" t="s">
        <v>5</v>
      </c>
      <c r="AG1" s="3" t="s">
        <v>6</v>
      </c>
      <c r="AH1" s="2" t="s">
        <v>7</v>
      </c>
      <c r="AI1" s="3" t="s">
        <v>8</v>
      </c>
      <c r="AJ1" s="3" t="s">
        <v>160</v>
      </c>
      <c r="AK1" s="2" t="s">
        <v>9</v>
      </c>
      <c r="AL1" s="4" t="s">
        <v>10</v>
      </c>
      <c r="AM1" t="s">
        <v>11</v>
      </c>
      <c r="AN1" t="s">
        <v>12</v>
      </c>
      <c r="AQ1" t="s">
        <v>215</v>
      </c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</row>
    <row r="2" spans="1:68" ht="26.4" customHeight="1" x14ac:dyDescent="0.3">
      <c r="B2" t="str">
        <f>LEFT(Tabla3890134177220392[[#This Row],[Descripción del equipo]], FIND(" ", Tabla3890134177220392[[#This Row],[Descripción del equipo]] &amp; " ") - 1)</f>
        <v>Arnes</v>
      </c>
      <c r="C2" s="11" t="s">
        <v>180</v>
      </c>
      <c r="D2">
        <v>1</v>
      </c>
      <c r="E2" s="11" t="s">
        <v>160</v>
      </c>
      <c r="F2" s="91" t="s">
        <v>1062</v>
      </c>
      <c r="G2" s="15" t="str">
        <f>LEFT([1]modificado!$O$2, FIND(" ", [1]modificado!$O$2 &amp; " ") - 1)</f>
        <v>3M</v>
      </c>
      <c r="H2" s="47" t="str">
        <f>RIGHT([1]!Tabla2[[#This Row],[Marca y Modelo]], LEN([1]!Tabla2[[#This Row],[Marca y Modelo]]) - FIND(" ", [1]!Tabla2[[#This Row],[Marca y Modelo]]))</f>
        <v>10955-LOGO</v>
      </c>
      <c r="J2" s="47"/>
      <c r="K2" s="91" t="s">
        <v>4039</v>
      </c>
      <c r="L2" s="91" t="s">
        <v>2613</v>
      </c>
      <c r="M2" s="91" t="s">
        <v>1404</v>
      </c>
      <c r="N2" s="91" t="s">
        <v>1416</v>
      </c>
      <c r="P2" s="91" t="s">
        <v>2527</v>
      </c>
      <c r="R2" s="48" t="s">
        <v>216</v>
      </c>
      <c r="U2" s="49">
        <v>1</v>
      </c>
      <c r="V2" s="50" t="s">
        <v>171</v>
      </c>
      <c r="X2" s="51">
        <v>1</v>
      </c>
      <c r="Y2" s="52" t="s">
        <v>216</v>
      </c>
      <c r="AA2" s="51">
        <v>1</v>
      </c>
      <c r="AB2" s="52" t="s">
        <v>4</v>
      </c>
      <c r="AE2" s="5" t="s">
        <v>13</v>
      </c>
      <c r="AF2" t="s">
        <v>14</v>
      </c>
      <c r="AG2" t="s">
        <v>15</v>
      </c>
      <c r="AH2" t="s">
        <v>16</v>
      </c>
      <c r="AI2" s="6" t="s">
        <v>17</v>
      </c>
      <c r="AJ2" t="s">
        <v>18</v>
      </c>
      <c r="AK2" t="s">
        <v>19</v>
      </c>
      <c r="AL2" s="6" t="s">
        <v>20</v>
      </c>
      <c r="AM2" t="s">
        <v>21</v>
      </c>
      <c r="AN2" s="7" t="s">
        <v>22</v>
      </c>
      <c r="AQ2" s="25" t="s">
        <v>217</v>
      </c>
      <c r="AR2" t="s">
        <v>218</v>
      </c>
      <c r="AS2" t="s">
        <v>219</v>
      </c>
      <c r="AT2" s="25" t="s">
        <v>220</v>
      </c>
      <c r="AU2" t="s">
        <v>221</v>
      </c>
      <c r="BA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</row>
    <row r="3" spans="1:68" ht="29.25" customHeight="1" x14ac:dyDescent="0.3">
      <c r="B3" t="s">
        <v>4348</v>
      </c>
      <c r="C3" s="11" t="s">
        <v>180</v>
      </c>
      <c r="D3">
        <v>1</v>
      </c>
      <c r="E3" s="11" t="s">
        <v>160</v>
      </c>
      <c r="F3" s="92" t="s">
        <v>1060</v>
      </c>
      <c r="G3" s="15" t="str">
        <f>LEFT([1]modificado!$O$2, FIND(" ", [1]modificado!$O$2 &amp; " ") - 1)</f>
        <v>3M</v>
      </c>
      <c r="H3" s="47" t="str">
        <f>RIGHT([1]!Tabla2[[#This Row],[Marca y Modelo]], LEN([1]!Tabla2[[#This Row],[Marca y Modelo]]) - FIND(" ", [1]!Tabla2[[#This Row],[Marca y Modelo]]))</f>
        <v>209550-4-0241</v>
      </c>
      <c r="J3" s="47"/>
      <c r="K3" s="92" t="s">
        <v>4040</v>
      </c>
      <c r="L3" s="92" t="s">
        <v>2614</v>
      </c>
      <c r="M3" s="92" t="s">
        <v>1404</v>
      </c>
      <c r="N3" s="92" t="s">
        <v>1417</v>
      </c>
      <c r="P3" s="92" t="s">
        <v>2527</v>
      </c>
      <c r="R3" s="48" t="s">
        <v>216</v>
      </c>
      <c r="U3" s="49">
        <v>2</v>
      </c>
      <c r="V3" s="50" t="s">
        <v>172</v>
      </c>
      <c r="X3" s="51">
        <v>2</v>
      </c>
      <c r="Y3" s="52" t="s">
        <v>222</v>
      </c>
      <c r="AA3" s="51">
        <v>2</v>
      </c>
      <c r="AB3" s="53" t="s">
        <v>5</v>
      </c>
      <c r="AE3" s="6" t="s">
        <v>23</v>
      </c>
      <c r="AF3" t="s">
        <v>24</v>
      </c>
      <c r="AG3" t="s">
        <v>25</v>
      </c>
      <c r="AH3" t="s">
        <v>26</v>
      </c>
      <c r="AI3" s="6" t="s">
        <v>27</v>
      </c>
      <c r="AJ3" t="s">
        <v>28</v>
      </c>
      <c r="AK3" t="s">
        <v>29</v>
      </c>
      <c r="AM3" s="8" t="s">
        <v>30</v>
      </c>
      <c r="AN3" s="9" t="s">
        <v>31</v>
      </c>
      <c r="AQ3" s="25" t="s">
        <v>223</v>
      </c>
      <c r="AR3" t="s">
        <v>70</v>
      </c>
      <c r="BA3" s="11"/>
      <c r="BB3" s="11"/>
      <c r="BC3" s="11"/>
      <c r="BD3" s="11"/>
      <c r="BE3" s="11"/>
      <c r="BF3" s="11"/>
      <c r="BG3" s="11"/>
      <c r="BH3" s="11"/>
      <c r="BI3" s="54"/>
      <c r="BJ3" s="54"/>
      <c r="BK3" s="11"/>
      <c r="BL3" s="11"/>
      <c r="BM3" s="11"/>
      <c r="BN3" s="11"/>
      <c r="BO3" s="11"/>
      <c r="BP3" s="11"/>
    </row>
    <row r="4" spans="1:68" ht="33" customHeight="1" x14ac:dyDescent="0.3">
      <c r="B4" t="str">
        <f>LEFT(Tabla3890134177220392[[#This Row],[Descripción del equipo]], FIND(" ", Tabla3890134177220392[[#This Row],[Descripción del equipo]] &amp; " ") - 1)</f>
        <v>Arnes</v>
      </c>
      <c r="C4" s="11" t="s">
        <v>180</v>
      </c>
      <c r="D4">
        <v>1</v>
      </c>
      <c r="E4" s="11" t="s">
        <v>160</v>
      </c>
      <c r="F4" s="91" t="s">
        <v>1065</v>
      </c>
      <c r="G4" s="15" t="str">
        <f>LEFT([1]modificado!$O$2, FIND(" ", [1]modificado!$O$2 &amp; " ") - 1)</f>
        <v>3M</v>
      </c>
      <c r="H4" s="47" t="str">
        <f>RIGHT([1]!Tabla2[[#This Row],[Marca y Modelo]], LEN([1]!Tabla2[[#This Row],[Marca y Modelo]]) - FIND(" ", [1]!Tabla2[[#This Row],[Marca y Modelo]]))</f>
        <v>U1620</v>
      </c>
      <c r="J4" s="47"/>
      <c r="K4" s="91" t="s">
        <v>4039</v>
      </c>
      <c r="L4" s="91" t="s">
        <v>2615</v>
      </c>
      <c r="M4" s="91" t="s">
        <v>1404</v>
      </c>
      <c r="N4" s="91" t="s">
        <v>1418</v>
      </c>
      <c r="P4" s="91" t="s">
        <v>2527</v>
      </c>
      <c r="R4" s="48" t="s">
        <v>216</v>
      </c>
      <c r="U4" s="49">
        <v>3</v>
      </c>
      <c r="V4" s="50" t="s">
        <v>173</v>
      </c>
      <c r="X4" s="55">
        <v>3</v>
      </c>
      <c r="Y4" s="56" t="s">
        <v>224</v>
      </c>
      <c r="AA4" s="51">
        <v>3</v>
      </c>
      <c r="AB4" s="53" t="s">
        <v>6</v>
      </c>
      <c r="AE4" s="10" t="s">
        <v>32</v>
      </c>
      <c r="AF4" t="s">
        <v>33</v>
      </c>
      <c r="AG4" t="s">
        <v>34</v>
      </c>
      <c r="AH4" t="s">
        <v>35</v>
      </c>
      <c r="AI4" s="5" t="s">
        <v>36</v>
      </c>
      <c r="AJ4" s="11" t="s">
        <v>1066</v>
      </c>
      <c r="AK4" t="s">
        <v>38</v>
      </c>
      <c r="AM4" s="11" t="s">
        <v>39</v>
      </c>
      <c r="AN4" s="7" t="s">
        <v>40</v>
      </c>
      <c r="AQ4" s="25" t="s">
        <v>225</v>
      </c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</row>
    <row r="5" spans="1:68" x14ac:dyDescent="0.3">
      <c r="B5" t="str">
        <f>LEFT(Tabla3890134177220392[[#This Row],[Descripción del equipo]], FIND(" ", Tabla3890134177220392[[#This Row],[Descripción del equipo]] &amp; " ") - 1)</f>
        <v>Autoretractil</v>
      </c>
      <c r="C5" s="11" t="s">
        <v>180</v>
      </c>
      <c r="D5">
        <v>1</v>
      </c>
      <c r="E5" s="11" t="s">
        <v>160</v>
      </c>
      <c r="F5" s="92" t="s">
        <v>1058</v>
      </c>
      <c r="G5" s="15" t="str">
        <f>LEFT([1]modificado!$O$2, FIND(" ", [1]modificado!$O$2 &amp; " ") - 1)</f>
        <v>3M</v>
      </c>
      <c r="H5" s="47" t="str">
        <f>RIGHT([1]!Tabla2[[#This Row],[Marca y Modelo]], LEN([1]!Tabla2[[#This Row],[Marca y Modelo]]) - FIND(" ", [1]!Tabla2[[#This Row],[Marca y Modelo]]))</f>
        <v>3100425</v>
      </c>
      <c r="J5" s="47"/>
      <c r="K5" s="92" t="s">
        <v>4041</v>
      </c>
      <c r="L5" s="92" t="s">
        <v>2616</v>
      </c>
      <c r="M5" s="92" t="s">
        <v>1404</v>
      </c>
      <c r="N5" s="92" t="s">
        <v>1419</v>
      </c>
      <c r="P5" s="92" t="s">
        <v>2527</v>
      </c>
      <c r="R5" s="48" t="s">
        <v>216</v>
      </c>
      <c r="U5" s="49">
        <v>4</v>
      </c>
      <c r="V5" s="50" t="s">
        <v>174</v>
      </c>
      <c r="AA5" s="51">
        <v>4</v>
      </c>
      <c r="AB5" s="53" t="s">
        <v>7</v>
      </c>
      <c r="AE5" t="s">
        <v>41</v>
      </c>
      <c r="AF5" t="s">
        <v>42</v>
      </c>
      <c r="AG5" t="s">
        <v>43</v>
      </c>
      <c r="AH5" t="s">
        <v>44</v>
      </c>
      <c r="AI5" s="5" t="s">
        <v>45</v>
      </c>
      <c r="AJ5" t="s">
        <v>1058</v>
      </c>
      <c r="AK5" t="s">
        <v>46</v>
      </c>
      <c r="AM5" s="12" t="s">
        <v>47</v>
      </c>
      <c r="AN5" s="9" t="s">
        <v>48</v>
      </c>
      <c r="AQ5" s="25" t="s">
        <v>226</v>
      </c>
      <c r="AR5" t="s">
        <v>80</v>
      </c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</row>
    <row r="6" spans="1:68" ht="30" customHeight="1" x14ac:dyDescent="0.3">
      <c r="B6" t="str">
        <f>LEFT(Tabla3890134177220392[[#This Row],[Descripción del equipo]], FIND(" ", Tabla3890134177220392[[#This Row],[Descripción del equipo]] &amp; " ") - 1)</f>
        <v>Arnes</v>
      </c>
      <c r="C6" s="11" t="s">
        <v>180</v>
      </c>
      <c r="D6">
        <v>1</v>
      </c>
      <c r="E6" s="11" t="s">
        <v>160</v>
      </c>
      <c r="F6" s="91" t="s">
        <v>1062</v>
      </c>
      <c r="G6" s="15" t="str">
        <f>LEFT([1]modificado!$O$2, FIND(" ", [1]modificado!$O$2 &amp; " ") - 1)</f>
        <v>3M</v>
      </c>
      <c r="H6" s="47" t="str">
        <f>RIGHT([1]!Tabla2[[#This Row],[Marca y Modelo]], LEN([1]!Tabla2[[#This Row],[Marca y Modelo]]) - FIND(" ", [1]!Tabla2[[#This Row],[Marca y Modelo]]))</f>
        <v>10955-LOGO</v>
      </c>
      <c r="J6" s="47"/>
      <c r="K6" s="91" t="s">
        <v>4039</v>
      </c>
      <c r="L6" s="91" t="s">
        <v>2617</v>
      </c>
      <c r="M6" s="91" t="s">
        <v>1404</v>
      </c>
      <c r="N6" s="91" t="s">
        <v>1420</v>
      </c>
      <c r="P6" s="91" t="s">
        <v>2527</v>
      </c>
      <c r="R6" s="48" t="s">
        <v>216</v>
      </c>
      <c r="U6" s="49">
        <v>5</v>
      </c>
      <c r="V6" s="50" t="s">
        <v>175</v>
      </c>
      <c r="AA6" s="51">
        <v>5</v>
      </c>
      <c r="AB6" s="53" t="s">
        <v>8</v>
      </c>
      <c r="AE6" t="s">
        <v>49</v>
      </c>
      <c r="AF6" t="s">
        <v>36</v>
      </c>
      <c r="AG6" t="s">
        <v>50</v>
      </c>
      <c r="AH6" t="s">
        <v>51</v>
      </c>
      <c r="AI6" s="5" t="s">
        <v>52</v>
      </c>
      <c r="AJ6" t="s">
        <v>1067</v>
      </c>
      <c r="AM6" t="s">
        <v>53</v>
      </c>
      <c r="AN6" s="7" t="s">
        <v>54</v>
      </c>
      <c r="AQ6" s="25" t="s">
        <v>227</v>
      </c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</row>
    <row r="7" spans="1:68" ht="30" customHeight="1" x14ac:dyDescent="0.3">
      <c r="B7" t="s">
        <v>4348</v>
      </c>
      <c r="C7" s="11" t="s">
        <v>180</v>
      </c>
      <c r="D7">
        <v>1</v>
      </c>
      <c r="E7" s="11" t="s">
        <v>160</v>
      </c>
      <c r="F7" s="92" t="s">
        <v>1060</v>
      </c>
      <c r="G7" s="15" t="str">
        <f>LEFT([1]modificado!$O$2, FIND(" ", [1]modificado!$O$2 &amp; " ") - 1)</f>
        <v>3M</v>
      </c>
      <c r="H7" s="47" t="str">
        <f>RIGHT([1]!Tabla2[[#This Row],[Marca y Modelo]], LEN([1]!Tabla2[[#This Row],[Marca y Modelo]]) - FIND(" ", [1]!Tabla2[[#This Row],[Marca y Modelo]]))</f>
        <v>209550-4-0241</v>
      </c>
      <c r="J7" s="47"/>
      <c r="K7" s="92" t="s">
        <v>4040</v>
      </c>
      <c r="L7" s="92" t="s">
        <v>2618</v>
      </c>
      <c r="M7" s="92" t="s">
        <v>1404</v>
      </c>
      <c r="N7" s="92" t="s">
        <v>1421</v>
      </c>
      <c r="P7" s="92" t="s">
        <v>2527</v>
      </c>
      <c r="R7" s="48" t="s">
        <v>216</v>
      </c>
      <c r="U7" s="49">
        <v>6</v>
      </c>
      <c r="V7" s="50" t="s">
        <v>176</v>
      </c>
      <c r="AA7" s="55">
        <v>6</v>
      </c>
      <c r="AB7" s="56" t="s">
        <v>10</v>
      </c>
      <c r="AE7" t="s">
        <v>55</v>
      </c>
      <c r="AG7" s="11" t="s">
        <v>56</v>
      </c>
      <c r="AH7" s="5" t="s">
        <v>57</v>
      </c>
      <c r="AI7" t="s">
        <v>58</v>
      </c>
      <c r="AN7" s="13" t="s">
        <v>59</v>
      </c>
      <c r="AQ7" s="15" t="s">
        <v>228</v>
      </c>
      <c r="AR7" s="15" t="s">
        <v>229</v>
      </c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</row>
    <row r="8" spans="1:68" ht="33.6" customHeight="1" x14ac:dyDescent="0.3">
      <c r="A8" s="95"/>
      <c r="B8" t="s">
        <v>4348</v>
      </c>
      <c r="C8" s="11" t="s">
        <v>180</v>
      </c>
      <c r="D8">
        <v>1</v>
      </c>
      <c r="E8" s="11" t="s">
        <v>160</v>
      </c>
      <c r="F8" s="91" t="s">
        <v>1057</v>
      </c>
      <c r="G8" s="15" t="str">
        <f>LEFT([1]modificado!$O$2, FIND(" ", [1]modificado!$O$2 &amp; " ") - 1)</f>
        <v>3M</v>
      </c>
      <c r="H8" s="47"/>
      <c r="J8" s="47"/>
      <c r="K8" s="91" t="s">
        <v>4040</v>
      </c>
      <c r="L8" s="91" t="s">
        <v>2619</v>
      </c>
      <c r="M8" s="91" t="s">
        <v>1405</v>
      </c>
      <c r="N8" s="91" t="s">
        <v>1422</v>
      </c>
      <c r="P8" s="91" t="s">
        <v>2527</v>
      </c>
      <c r="R8" s="48" t="s">
        <v>216</v>
      </c>
      <c r="U8" s="49">
        <v>7</v>
      </c>
      <c r="V8" s="50" t="s">
        <v>177</v>
      </c>
      <c r="AE8" t="s">
        <v>60</v>
      </c>
      <c r="AG8" s="11" t="s">
        <v>61</v>
      </c>
      <c r="AH8" t="s">
        <v>62</v>
      </c>
      <c r="AI8" t="s">
        <v>35</v>
      </c>
      <c r="AN8" s="14" t="s">
        <v>63</v>
      </c>
      <c r="AQ8" s="25" t="s">
        <v>230</v>
      </c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</row>
    <row r="9" spans="1:68" ht="30" customHeight="1" x14ac:dyDescent="0.3">
      <c r="B9" t="str">
        <f>LEFT(Tabla3890134177220392[[#This Row],[Descripción del equipo]], FIND(" ", Tabla3890134177220392[[#This Row],[Descripción del equipo]] &amp; " ") - 1)</f>
        <v>Arnes</v>
      </c>
      <c r="C9" s="11" t="s">
        <v>180</v>
      </c>
      <c r="D9">
        <v>1</v>
      </c>
      <c r="E9" s="11" t="s">
        <v>160</v>
      </c>
      <c r="F9" s="92" t="s">
        <v>1056</v>
      </c>
      <c r="G9" s="15" t="str">
        <f>LEFT([1]modificado!$O$2, FIND(" ", [1]modificado!$O$2 &amp; " ") - 1)</f>
        <v>3M</v>
      </c>
      <c r="H9" s="47" t="str">
        <f>RIGHT([1]!Tabla2[[#This Row],[Marca y Modelo]], LEN([1]!Tabla2[[#This Row],[Marca y Modelo]]) - FIND(" ", [1]!Tabla2[[#This Row],[Marca y Modelo]]))</f>
        <v>10911F-LOGO</v>
      </c>
      <c r="J9" s="47"/>
      <c r="K9" s="92" t="s">
        <v>4039</v>
      </c>
      <c r="L9" s="92" t="s">
        <v>2620</v>
      </c>
      <c r="M9" s="92" t="s">
        <v>1404</v>
      </c>
      <c r="N9" s="92" t="s">
        <v>1423</v>
      </c>
      <c r="P9" s="92" t="s">
        <v>2527</v>
      </c>
      <c r="R9" s="48" t="s">
        <v>216</v>
      </c>
      <c r="U9" s="49">
        <v>8</v>
      </c>
      <c r="V9" s="57" t="s">
        <v>178</v>
      </c>
      <c r="AA9" s="58" t="s">
        <v>210</v>
      </c>
      <c r="AE9" t="s">
        <v>64</v>
      </c>
      <c r="AG9" s="15" t="s">
        <v>65</v>
      </c>
      <c r="AH9" t="s">
        <v>66</v>
      </c>
      <c r="AI9" s="16"/>
      <c r="AN9" s="9" t="s">
        <v>67</v>
      </c>
      <c r="AQ9" s="25" t="s">
        <v>231</v>
      </c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</row>
    <row r="10" spans="1:68" ht="26.4" customHeight="1" x14ac:dyDescent="0.3">
      <c r="B10" t="s">
        <v>4348</v>
      </c>
      <c r="C10" s="11" t="s">
        <v>180</v>
      </c>
      <c r="D10">
        <v>1</v>
      </c>
      <c r="E10" s="11" t="s">
        <v>160</v>
      </c>
      <c r="F10" s="91" t="s">
        <v>1060</v>
      </c>
      <c r="G10" s="15" t="str">
        <f>LEFT([1]modificado!$O$2, FIND(" ", [1]modificado!$O$2 &amp; " ") - 1)</f>
        <v>3M</v>
      </c>
      <c r="H10" s="47" t="str">
        <f>RIGHT([1]!Tabla2[[#This Row],[Marca y Modelo]], LEN([1]!Tabla2[[#This Row],[Marca y Modelo]]) - FIND(" ", [1]!Tabla2[[#This Row],[Marca y Modelo]]))</f>
        <v>209550-4-0241</v>
      </c>
      <c r="J10" s="47"/>
      <c r="K10" s="91" t="s">
        <v>4040</v>
      </c>
      <c r="L10" s="91" t="s">
        <v>2621</v>
      </c>
      <c r="M10" s="91" t="s">
        <v>1404</v>
      </c>
      <c r="N10" s="91" t="s">
        <v>1424</v>
      </c>
      <c r="P10" s="91" t="s">
        <v>2527</v>
      </c>
      <c r="R10" s="48" t="s">
        <v>216</v>
      </c>
      <c r="U10" s="49">
        <v>9</v>
      </c>
      <c r="V10" s="57" t="s">
        <v>179</v>
      </c>
      <c r="AA10" s="59" t="s">
        <v>232</v>
      </c>
      <c r="AE10" s="17" t="s">
        <v>68</v>
      </c>
      <c r="AG10" s="15" t="s">
        <v>69</v>
      </c>
      <c r="AH10" t="s">
        <v>70</v>
      </c>
      <c r="AN10" s="18" t="s">
        <v>71</v>
      </c>
      <c r="AQ10" s="15" t="s">
        <v>95</v>
      </c>
    </row>
    <row r="11" spans="1:68" ht="33.6" customHeight="1" x14ac:dyDescent="0.3">
      <c r="B11" t="str">
        <f>LEFT(Tabla3890134177220392[[#This Row],[Descripción del equipo]], FIND(" ", Tabla3890134177220392[[#This Row],[Descripción del equipo]] &amp; " ") - 1)</f>
        <v>Arnes</v>
      </c>
      <c r="C11" s="11" t="s">
        <v>180</v>
      </c>
      <c r="D11">
        <v>1</v>
      </c>
      <c r="E11" s="11" t="s">
        <v>160</v>
      </c>
      <c r="F11" s="92" t="s">
        <v>1062</v>
      </c>
      <c r="G11" s="15" t="str">
        <f>LEFT([1]modificado!$O$2, FIND(" ", [1]modificado!$O$2 &amp; " ") - 1)</f>
        <v>3M</v>
      </c>
      <c r="H11" s="85" t="str">
        <f>RIGHT([1]!Tabla2[[#This Row],[Marca y Modelo]], LEN([1]!Tabla2[[#This Row],[Marca y Modelo]]) - FIND(" ", [1]!Tabla2[[#This Row],[Marca y Modelo]]))</f>
        <v>10955-LOGO</v>
      </c>
      <c r="J11" s="47"/>
      <c r="K11" s="92" t="s">
        <v>4039</v>
      </c>
      <c r="L11" s="92" t="s">
        <v>2622</v>
      </c>
      <c r="M11" s="92" t="s">
        <v>1404</v>
      </c>
      <c r="N11" s="92" t="s">
        <v>1425</v>
      </c>
      <c r="P11" s="92" t="s">
        <v>2527</v>
      </c>
      <c r="R11" s="48" t="s">
        <v>216</v>
      </c>
      <c r="U11" s="60">
        <v>10</v>
      </c>
      <c r="V11" s="61" t="s">
        <v>180</v>
      </c>
      <c r="AA11" s="59" t="s">
        <v>233</v>
      </c>
      <c r="AE11" s="8" t="s">
        <v>72</v>
      </c>
      <c r="AG11" s="15" t="s">
        <v>73</v>
      </c>
      <c r="AH11" t="s">
        <v>74</v>
      </c>
      <c r="AN11" s="18" t="s">
        <v>75</v>
      </c>
      <c r="BB11" s="62"/>
    </row>
    <row r="12" spans="1:68" ht="72" x14ac:dyDescent="0.3">
      <c r="B12" t="str">
        <f>LEFT(Tabla3890134177220392[[#This Row],[Descripción del equipo]], FIND(" ", Tabla3890134177220392[[#This Row],[Descripción del equipo]] &amp; " ") - 1)</f>
        <v>Arnes</v>
      </c>
      <c r="C12" s="11" t="s">
        <v>180</v>
      </c>
      <c r="D12">
        <v>1</v>
      </c>
      <c r="E12" s="11" t="s">
        <v>160</v>
      </c>
      <c r="F12" s="91" t="s">
        <v>1056</v>
      </c>
      <c r="G12" s="15" t="str">
        <f>LEFT([1]modificado!$O$2, FIND(" ", [1]modificado!$O$2 &amp; " ") - 1)</f>
        <v>3M</v>
      </c>
      <c r="H12" s="47" t="str">
        <f>RIGHT([1]!Tabla2[[#This Row],[Marca y Modelo]], LEN([1]!Tabla2[[#This Row],[Marca y Modelo]]) - FIND(" ", [1]!Tabla2[[#This Row],[Marca y Modelo]]))</f>
        <v>Musitani</v>
      </c>
      <c r="J12" s="47"/>
      <c r="K12" s="91" t="s">
        <v>4042</v>
      </c>
      <c r="L12" s="91" t="s">
        <v>2623</v>
      </c>
      <c r="M12" s="91" t="s">
        <v>1405</v>
      </c>
      <c r="N12" s="91" t="s">
        <v>1426</v>
      </c>
      <c r="P12" s="91" t="s">
        <v>2527</v>
      </c>
      <c r="R12" s="48" t="s">
        <v>216</v>
      </c>
      <c r="U12" s="60">
        <v>11</v>
      </c>
      <c r="V12" s="61" t="s">
        <v>181</v>
      </c>
      <c r="AA12" s="33" t="s">
        <v>234</v>
      </c>
      <c r="AE12" t="s">
        <v>19</v>
      </c>
      <c r="AF12" t="s">
        <v>76</v>
      </c>
      <c r="AG12" s="15" t="s">
        <v>77</v>
      </c>
      <c r="AH12" t="s">
        <v>78</v>
      </c>
      <c r="AN12" s="19" t="s">
        <v>79</v>
      </c>
      <c r="AQ12" s="11"/>
    </row>
    <row r="13" spans="1:68" x14ac:dyDescent="0.3">
      <c r="B13" t="str">
        <f>LEFT(Tabla3890134177220392[[#This Row],[Descripción del equipo]], FIND(" ", Tabla3890134177220392[[#This Row],[Descripción del equipo]] &amp; " ") - 1)</f>
        <v>Arnes</v>
      </c>
      <c r="C13" s="11" t="s">
        <v>180</v>
      </c>
      <c r="D13">
        <v>1</v>
      </c>
      <c r="E13" s="11" t="s">
        <v>160</v>
      </c>
      <c r="F13" s="92" t="s">
        <v>1062</v>
      </c>
      <c r="G13" s="15" t="str">
        <f>LEFT([1]modificado!$O$2, FIND(" ", [1]modificado!$O$2 &amp; " ") - 1)</f>
        <v>3M</v>
      </c>
      <c r="H13" s="47" t="str">
        <f>RIGHT([1]!Tabla2[[#This Row],[Marca y Modelo]], LEN([1]!Tabla2[[#This Row],[Marca y Modelo]]) - FIND(" ", [1]!Tabla2[[#This Row],[Marca y Modelo]]))</f>
        <v>10955-LOGO</v>
      </c>
      <c r="J13" s="47"/>
      <c r="K13" s="92" t="s">
        <v>4043</v>
      </c>
      <c r="L13" s="92" t="s">
        <v>2624</v>
      </c>
      <c r="M13" s="92" t="s">
        <v>1404</v>
      </c>
      <c r="N13" s="92" t="s">
        <v>1427</v>
      </c>
      <c r="P13" s="92" t="s">
        <v>2527</v>
      </c>
      <c r="R13" s="48" t="s">
        <v>216</v>
      </c>
      <c r="U13">
        <v>12</v>
      </c>
      <c r="V13" s="61" t="s">
        <v>1092</v>
      </c>
      <c r="AE13" t="s">
        <v>80</v>
      </c>
      <c r="AG13" s="15" t="s">
        <v>81</v>
      </c>
      <c r="AH13" t="s">
        <v>82</v>
      </c>
      <c r="AN13" s="20" t="s">
        <v>83</v>
      </c>
      <c r="AQ13" s="11"/>
      <c r="AV13" s="11"/>
    </row>
    <row r="14" spans="1:68" x14ac:dyDescent="0.3">
      <c r="B14" t="s">
        <v>4348</v>
      </c>
      <c r="C14" s="11" t="s">
        <v>180</v>
      </c>
      <c r="D14">
        <v>1</v>
      </c>
      <c r="E14" s="11" t="s">
        <v>160</v>
      </c>
      <c r="F14" s="91" t="s">
        <v>1060</v>
      </c>
      <c r="G14" s="15" t="str">
        <f>LEFT([1]modificado!$O$2, FIND(" ", [1]modificado!$O$2 &amp; " ") - 1)</f>
        <v>3M</v>
      </c>
      <c r="H14" s="47" t="str">
        <f>RIGHT([1]!Tabla2[[#This Row],[Marca y Modelo]], LEN([1]!Tabla2[[#This Row],[Marca y Modelo]]) - FIND(" ", [1]!Tabla2[[#This Row],[Marca y Modelo]]))</f>
        <v>209550-4-0241</v>
      </c>
      <c r="J14" s="47"/>
      <c r="K14" s="91" t="s">
        <v>4044</v>
      </c>
      <c r="L14" s="91" t="s">
        <v>2625</v>
      </c>
      <c r="M14" s="91" t="s">
        <v>1404</v>
      </c>
      <c r="N14" s="91" t="s">
        <v>1428</v>
      </c>
      <c r="P14" s="91" t="s">
        <v>2527</v>
      </c>
      <c r="R14" s="48" t="s">
        <v>216</v>
      </c>
      <c r="AE14" t="s">
        <v>84</v>
      </c>
      <c r="AG14" s="15" t="s">
        <v>85</v>
      </c>
      <c r="AH14" t="s">
        <v>86</v>
      </c>
      <c r="AN14" s="18" t="s">
        <v>87</v>
      </c>
    </row>
    <row r="15" spans="1:68" ht="43.95" customHeight="1" x14ac:dyDescent="0.3">
      <c r="B15" t="str">
        <f>LEFT(Tabla3890134177220392[[#This Row],[Descripción del equipo]], FIND(" ", Tabla3890134177220392[[#This Row],[Descripción del equipo]] &amp; " ") - 1)</f>
        <v>Arnes</v>
      </c>
      <c r="C15" s="11" t="s">
        <v>180</v>
      </c>
      <c r="D15">
        <v>1</v>
      </c>
      <c r="E15" s="11" t="s">
        <v>160</v>
      </c>
      <c r="F15" s="92" t="s">
        <v>1056</v>
      </c>
      <c r="G15" s="15" t="str">
        <f>LEFT([1]modificado!$O$2, FIND(" ", [1]modificado!$O$2 &amp; " ") - 1)</f>
        <v>3M</v>
      </c>
      <c r="H15" s="47" t="str">
        <f>RIGHT([1]!Tabla2[[#This Row],[Marca y Modelo]], LEN([1]!Tabla2[[#This Row],[Marca y Modelo]]) - FIND(" ", [1]!Tabla2[[#This Row],[Marca y Modelo]]))</f>
        <v>10911F-LOGO</v>
      </c>
      <c r="J15" s="47"/>
      <c r="K15" s="92" t="s">
        <v>4043</v>
      </c>
      <c r="L15" s="92" t="s">
        <v>2626</v>
      </c>
      <c r="M15" s="92" t="s">
        <v>1404</v>
      </c>
      <c r="N15" s="92" t="s">
        <v>1429</v>
      </c>
      <c r="P15" s="92" t="s">
        <v>2527</v>
      </c>
      <c r="R15" s="48" t="s">
        <v>216</v>
      </c>
      <c r="AE15" t="s">
        <v>88</v>
      </c>
      <c r="AG15" t="s">
        <v>89</v>
      </c>
      <c r="AH15" t="s">
        <v>90</v>
      </c>
      <c r="AN15" s="21" t="s">
        <v>91</v>
      </c>
      <c r="AQ15" s="11"/>
    </row>
    <row r="16" spans="1:68" x14ac:dyDescent="0.3">
      <c r="B16" t="str">
        <f>LEFT(Tabla3890134177220392[[#This Row],[Descripción del equipo]], FIND(" ", Tabla3890134177220392[[#This Row],[Descripción del equipo]] &amp; " ") - 1)</f>
        <v>Autoretractil</v>
      </c>
      <c r="C16" s="11" t="s">
        <v>180</v>
      </c>
      <c r="D16">
        <v>1</v>
      </c>
      <c r="E16" s="11" t="s">
        <v>160</v>
      </c>
      <c r="F16" s="91" t="s">
        <v>1058</v>
      </c>
      <c r="G16" s="15" t="str">
        <f>LEFT([1]modificado!$O$2, FIND(" ", [1]modificado!$O$2 &amp; " ") - 1)</f>
        <v>3M</v>
      </c>
      <c r="H16" s="47"/>
      <c r="J16" s="47"/>
      <c r="K16" s="91" t="s">
        <v>4045</v>
      </c>
      <c r="L16" s="91" t="s">
        <v>2627</v>
      </c>
      <c r="M16" s="91" t="s">
        <v>1404</v>
      </c>
      <c r="N16" s="91" t="s">
        <v>1430</v>
      </c>
      <c r="P16" s="91" t="s">
        <v>2527</v>
      </c>
      <c r="R16" s="48" t="s">
        <v>216</v>
      </c>
      <c r="AE16" t="s">
        <v>41</v>
      </c>
      <c r="AG16" t="s">
        <v>62</v>
      </c>
      <c r="AH16" s="11" t="s">
        <v>92</v>
      </c>
      <c r="AI16" s="22"/>
      <c r="AN16" s="23" t="s">
        <v>93</v>
      </c>
    </row>
    <row r="17" spans="2:43" x14ac:dyDescent="0.3">
      <c r="B17" t="str">
        <f>LEFT(Tabla3890134177220392[[#This Row],[Descripción del equipo]], FIND(" ", Tabla3890134177220392[[#This Row],[Descripción del equipo]] &amp; " ") - 1)</f>
        <v>Arnes</v>
      </c>
      <c r="C17" s="11" t="s">
        <v>180</v>
      </c>
      <c r="D17">
        <v>1</v>
      </c>
      <c r="E17" s="11" t="s">
        <v>160</v>
      </c>
      <c r="F17" s="92" t="s">
        <v>1062</v>
      </c>
      <c r="G17" s="15" t="str">
        <f>LEFT([1]modificado!$O$2, FIND(" ", [1]modificado!$O$2 &amp; " ") - 1)</f>
        <v>3M</v>
      </c>
      <c r="H17" s="47" t="str">
        <f>RIGHT([1]!Tabla2[[#This Row],[Marca y Modelo]], LEN([1]!Tabla2[[#This Row],[Marca y Modelo]]) - FIND(" ", [1]!Tabla2[[#This Row],[Marca y Modelo]]))</f>
        <v>10955-LOGO</v>
      </c>
      <c r="J17" s="47"/>
      <c r="K17" s="92" t="s">
        <v>4043</v>
      </c>
      <c r="L17" s="92" t="s">
        <v>2628</v>
      </c>
      <c r="M17" s="92" t="s">
        <v>1404</v>
      </c>
      <c r="N17" s="92" t="s">
        <v>1431</v>
      </c>
      <c r="P17" s="92" t="s">
        <v>2527</v>
      </c>
      <c r="R17" s="48" t="s">
        <v>216</v>
      </c>
      <c r="AE17" s="24" t="s">
        <v>94</v>
      </c>
      <c r="AH17" s="15" t="s">
        <v>95</v>
      </c>
      <c r="AI17" s="14"/>
      <c r="AN17" s="25" t="s">
        <v>96</v>
      </c>
      <c r="AQ17" s="11"/>
    </row>
    <row r="18" spans="2:43" x14ac:dyDescent="0.3">
      <c r="B18" t="s">
        <v>4348</v>
      </c>
      <c r="C18" s="11" t="s">
        <v>180</v>
      </c>
      <c r="D18">
        <v>1</v>
      </c>
      <c r="E18" s="11" t="s">
        <v>160</v>
      </c>
      <c r="F18" s="91" t="s">
        <v>1060</v>
      </c>
      <c r="G18" s="15" t="str">
        <f>LEFT([1]modificado!$O$2, FIND(" ", [1]modificado!$O$2 &amp; " ") - 1)</f>
        <v>3M</v>
      </c>
      <c r="H18" s="47" t="str">
        <f>RIGHT([1]!Tabla2[[#This Row],[Marca y Modelo]], LEN([1]!Tabla2[[#This Row],[Marca y Modelo]]) - FIND(" ", [1]!Tabla2[[#This Row],[Marca y Modelo]]))</f>
        <v>209550-4-0241</v>
      </c>
      <c r="J18" s="47"/>
      <c r="K18" s="91" t="s">
        <v>4044</v>
      </c>
      <c r="L18" s="91" t="s">
        <v>2629</v>
      </c>
      <c r="M18" s="91" t="s">
        <v>1404</v>
      </c>
      <c r="N18" s="91" t="s">
        <v>1432</v>
      </c>
      <c r="P18" s="91" t="s">
        <v>2527</v>
      </c>
      <c r="R18" s="48" t="s">
        <v>216</v>
      </c>
      <c r="AE18" t="s">
        <v>97</v>
      </c>
      <c r="AH18" t="s">
        <v>98</v>
      </c>
      <c r="AN18" s="25" t="s">
        <v>99</v>
      </c>
    </row>
    <row r="19" spans="2:43" x14ac:dyDescent="0.3">
      <c r="B19" t="str">
        <f>LEFT(Tabla3890134177220392[[#This Row],[Descripción del equipo]], FIND(" ", Tabla3890134177220392[[#This Row],[Descripción del equipo]] &amp; " ") - 1)</f>
        <v>Arnes</v>
      </c>
      <c r="C19" s="11" t="s">
        <v>180</v>
      </c>
      <c r="D19">
        <v>1</v>
      </c>
      <c r="E19" s="11" t="s">
        <v>160</v>
      </c>
      <c r="F19" s="92" t="s">
        <v>1065</v>
      </c>
      <c r="G19" s="15" t="str">
        <f>LEFT([1]modificado!$O$2, FIND(" ", [1]modificado!$O$2 &amp; " ") - 1)</f>
        <v>3M</v>
      </c>
      <c r="H19" s="47" t="str">
        <f>RIGHT([1]!Tabla2[[#This Row],[Marca y Modelo]], LEN([1]!Tabla2[[#This Row],[Marca y Modelo]]) - FIND(" ", [1]!Tabla2[[#This Row],[Marca y Modelo]]))</f>
        <v>U1620</v>
      </c>
      <c r="J19" s="47"/>
      <c r="K19" s="92" t="s">
        <v>4043</v>
      </c>
      <c r="L19" s="92" t="s">
        <v>2630</v>
      </c>
      <c r="M19" s="92" t="s">
        <v>1404</v>
      </c>
      <c r="N19" s="92" t="s">
        <v>1433</v>
      </c>
      <c r="P19" s="92" t="s">
        <v>2527</v>
      </c>
      <c r="R19" s="48" t="s">
        <v>216</v>
      </c>
      <c r="AE19" t="s">
        <v>42</v>
      </c>
      <c r="AH19" s="11" t="s">
        <v>41</v>
      </c>
      <c r="AN19" t="s">
        <v>100</v>
      </c>
    </row>
    <row r="20" spans="2:43" x14ac:dyDescent="0.3">
      <c r="B20" t="s">
        <v>4349</v>
      </c>
      <c r="C20" s="11" t="s">
        <v>180</v>
      </c>
      <c r="D20">
        <v>1</v>
      </c>
      <c r="E20" s="11" t="s">
        <v>160</v>
      </c>
      <c r="F20" s="91" t="s">
        <v>1059</v>
      </c>
      <c r="G20" s="15" t="str">
        <f>LEFT([1]modificado!$O$2, FIND(" ", [1]modificado!$O$2 &amp; " ") - 1)</f>
        <v>3M</v>
      </c>
      <c r="H20" s="47" t="str">
        <f>RIGHT([1]!Tabla2[[#This Row],[Marca y Modelo]], LEN([1]!Tabla2[[#This Row],[Marca y Modelo]]) - FIND(" ", [1]!Tabla2[[#This Row],[Marca y Modelo]]))</f>
        <v>1003006</v>
      </c>
      <c r="J20" s="47"/>
      <c r="K20" s="91" t="s">
        <v>4046</v>
      </c>
      <c r="L20" s="91" t="s">
        <v>2631</v>
      </c>
      <c r="M20" s="91" t="s">
        <v>1404</v>
      </c>
      <c r="N20" s="91" t="s">
        <v>1434</v>
      </c>
      <c r="P20" s="91" t="s">
        <v>2527</v>
      </c>
      <c r="R20" s="48" t="s">
        <v>216</v>
      </c>
      <c r="AE20" t="s">
        <v>101</v>
      </c>
      <c r="AH20" t="s">
        <v>102</v>
      </c>
      <c r="AN20" s="26" t="s">
        <v>103</v>
      </c>
    </row>
    <row r="21" spans="2:43" x14ac:dyDescent="0.3">
      <c r="B21" t="str">
        <f>LEFT(Tabla3890134177220392[[#This Row],[Descripción del equipo]], FIND(" ", Tabla3890134177220392[[#This Row],[Descripción del equipo]] &amp; " ") - 1)</f>
        <v>Autoretractil</v>
      </c>
      <c r="C21" s="11" t="s">
        <v>180</v>
      </c>
      <c r="D21">
        <v>1</v>
      </c>
      <c r="E21" s="11" t="s">
        <v>160</v>
      </c>
      <c r="F21" s="92" t="s">
        <v>1058</v>
      </c>
      <c r="G21" s="15" t="str">
        <f>LEFT([1]modificado!$O$2, FIND(" ", [1]modificado!$O$2 &amp; " ") - 1)</f>
        <v>3M</v>
      </c>
      <c r="H21" s="47"/>
      <c r="J21" s="47"/>
      <c r="K21" s="92" t="s">
        <v>4045</v>
      </c>
      <c r="L21" s="92" t="s">
        <v>2632</v>
      </c>
      <c r="M21" s="92" t="s">
        <v>1404</v>
      </c>
      <c r="N21" s="92" t="s">
        <v>1435</v>
      </c>
      <c r="P21" s="92" t="s">
        <v>2527</v>
      </c>
      <c r="R21" s="48" t="s">
        <v>216</v>
      </c>
      <c r="AE21" s="6"/>
      <c r="AH21" s="6" t="s">
        <v>20</v>
      </c>
    </row>
    <row r="22" spans="2:43" x14ac:dyDescent="0.3">
      <c r="B22" t="s">
        <v>4348</v>
      </c>
      <c r="C22" s="11" t="s">
        <v>180</v>
      </c>
      <c r="D22">
        <v>1</v>
      </c>
      <c r="E22" s="11" t="s">
        <v>160</v>
      </c>
      <c r="F22" s="91" t="s">
        <v>1060</v>
      </c>
      <c r="G22" s="15" t="str">
        <f>LEFT([1]modificado!$O$2, FIND(" ", [1]modificado!$O$2 &amp; " ") - 1)</f>
        <v>3M</v>
      </c>
      <c r="H22" s="47" t="str">
        <f>RIGHT([1]!Tabla2[[#This Row],[Marca y Modelo]], LEN([1]!Tabla2[[#This Row],[Marca y Modelo]]) - FIND(" ", [1]!Tabla2[[#This Row],[Marca y Modelo]]))</f>
        <v>209550-4-0241</v>
      </c>
      <c r="J22" s="47"/>
      <c r="K22" s="91" t="s">
        <v>4047</v>
      </c>
      <c r="L22" s="91" t="s">
        <v>2633</v>
      </c>
      <c r="M22" s="91" t="s">
        <v>1404</v>
      </c>
      <c r="N22" s="91" t="s">
        <v>1436</v>
      </c>
      <c r="P22" s="91" t="s">
        <v>2527</v>
      </c>
      <c r="R22" s="48" t="s">
        <v>216</v>
      </c>
    </row>
    <row r="23" spans="2:43" x14ac:dyDescent="0.3">
      <c r="B23" t="str">
        <f>LEFT(Tabla3890134177220392[[#This Row],[Descripción del equipo]], FIND(" ", Tabla3890134177220392[[#This Row],[Descripción del equipo]] &amp; " ") - 1)</f>
        <v>Arnes</v>
      </c>
      <c r="C23" s="11" t="s">
        <v>180</v>
      </c>
      <c r="D23">
        <v>1</v>
      </c>
      <c r="E23" s="11" t="s">
        <v>160</v>
      </c>
      <c r="F23" s="92" t="s">
        <v>1062</v>
      </c>
      <c r="G23" s="15" t="str">
        <f>LEFT([1]modificado!$O$2, FIND(" ", [1]modificado!$O$2 &amp; " ") - 1)</f>
        <v>3M</v>
      </c>
      <c r="H23" s="47" t="str">
        <f>RIGHT([1]!Tabla2[[#This Row],[Marca y Modelo]], LEN([1]!Tabla2[[#This Row],[Marca y Modelo]]) - FIND(" ", [1]!Tabla2[[#This Row],[Marca y Modelo]]))</f>
        <v>10955-LOGO</v>
      </c>
      <c r="J23" s="47"/>
      <c r="K23" s="92" t="s">
        <v>4048</v>
      </c>
      <c r="L23" s="92" t="s">
        <v>2634</v>
      </c>
      <c r="M23" s="92" t="s">
        <v>1404</v>
      </c>
      <c r="N23" s="92" t="s">
        <v>1437</v>
      </c>
      <c r="P23" s="92" t="s">
        <v>2527</v>
      </c>
      <c r="R23" s="48" t="s">
        <v>216</v>
      </c>
    </row>
    <row r="24" spans="2:43" x14ac:dyDescent="0.3">
      <c r="B24" t="str">
        <f>LEFT(Tabla3890134177220392[[#This Row],[Descripción del equipo]], FIND(" ", Tabla3890134177220392[[#This Row],[Descripción del equipo]] &amp; " ") - 1)</f>
        <v>Arnes</v>
      </c>
      <c r="C24" s="11" t="s">
        <v>180</v>
      </c>
      <c r="D24">
        <v>1</v>
      </c>
      <c r="E24" s="11" t="s">
        <v>160</v>
      </c>
      <c r="F24" s="91" t="s">
        <v>1056</v>
      </c>
      <c r="G24" s="15" t="str">
        <f>LEFT([1]modificado!$O$2, FIND(" ", [1]modificado!$O$2 &amp; " ") - 1)</f>
        <v>3M</v>
      </c>
      <c r="H24" s="47" t="str">
        <f>RIGHT([1]!Tabla2[[#This Row],[Marca y Modelo]], LEN([1]!Tabla2[[#This Row],[Marca y Modelo]]) - FIND(" ", [1]!Tabla2[[#This Row],[Marca y Modelo]]))</f>
        <v>Space</v>
      </c>
      <c r="J24" s="47"/>
      <c r="K24" s="91" t="s">
        <v>4048</v>
      </c>
      <c r="L24" s="91" t="s">
        <v>2635</v>
      </c>
      <c r="M24" s="91" t="s">
        <v>1406</v>
      </c>
      <c r="N24" s="91" t="s">
        <v>1438</v>
      </c>
      <c r="P24" s="91" t="s">
        <v>2527</v>
      </c>
      <c r="R24" s="48" t="s">
        <v>216</v>
      </c>
      <c r="AO24" s="18"/>
    </row>
    <row r="25" spans="2:43" x14ac:dyDescent="0.3">
      <c r="B25" t="s">
        <v>4348</v>
      </c>
      <c r="C25" s="11" t="s">
        <v>180</v>
      </c>
      <c r="D25">
        <v>1</v>
      </c>
      <c r="E25" s="11" t="s">
        <v>160</v>
      </c>
      <c r="F25" s="92" t="s">
        <v>1057</v>
      </c>
      <c r="G25" s="15" t="str">
        <f>LEFT([1]modificado!$O$2, FIND(" ", [1]modificado!$O$2 &amp; " ") - 1)</f>
        <v>3M</v>
      </c>
      <c r="H25" s="47"/>
      <c r="J25" s="47"/>
      <c r="K25" s="92" t="s">
        <v>4047</v>
      </c>
      <c r="L25" s="92" t="s">
        <v>2636</v>
      </c>
      <c r="M25" s="92" t="s">
        <v>1404</v>
      </c>
      <c r="N25" s="92" t="s">
        <v>1439</v>
      </c>
      <c r="P25" s="92" t="s">
        <v>2527</v>
      </c>
      <c r="R25" s="48" t="s">
        <v>216</v>
      </c>
      <c r="AO25" s="22"/>
    </row>
    <row r="26" spans="2:43" x14ac:dyDescent="0.3">
      <c r="B26" t="str">
        <f>LEFT(Tabla3890134177220392[[#This Row],[Descripción del equipo]], FIND(" ", Tabla3890134177220392[[#This Row],[Descripción del equipo]] &amp; " ") - 1)</f>
        <v>Autoretractil</v>
      </c>
      <c r="C26" s="11" t="s">
        <v>180</v>
      </c>
      <c r="D26">
        <v>1</v>
      </c>
      <c r="E26" s="11" t="s">
        <v>160</v>
      </c>
      <c r="F26" s="91" t="s">
        <v>1058</v>
      </c>
      <c r="G26" s="15" t="str">
        <f>LEFT([1]modificado!$O$2, FIND(" ", [1]modificado!$O$2 &amp; " ") - 1)</f>
        <v>3M</v>
      </c>
      <c r="H26" s="47" t="str">
        <f>RIGHT([1]!Tabla2[[#This Row],[Marca y Modelo]], LEN([1]!Tabla2[[#This Row],[Marca y Modelo]]) - FIND(" ", [1]!Tabla2[[#This Row],[Marca y Modelo]]))</f>
        <v>3101277</v>
      </c>
      <c r="J26" s="47"/>
      <c r="K26" s="91" t="s">
        <v>4049</v>
      </c>
      <c r="L26" s="91" t="s">
        <v>2637</v>
      </c>
      <c r="M26" s="91" t="s">
        <v>1404</v>
      </c>
      <c r="N26" s="91" t="s">
        <v>1440</v>
      </c>
      <c r="P26" s="91" t="s">
        <v>2527</v>
      </c>
      <c r="R26" s="48" t="s">
        <v>216</v>
      </c>
      <c r="AF26" s="18"/>
      <c r="AP26" t="s">
        <v>235</v>
      </c>
    </row>
    <row r="27" spans="2:43" ht="28.8" x14ac:dyDescent="0.3">
      <c r="B27" t="s">
        <v>4349</v>
      </c>
      <c r="C27" s="11" t="s">
        <v>180</v>
      </c>
      <c r="D27">
        <v>1</v>
      </c>
      <c r="E27" s="11" t="s">
        <v>160</v>
      </c>
      <c r="F27" s="92" t="s">
        <v>1059</v>
      </c>
      <c r="G27" s="15" t="str">
        <f>LEFT([1]modificado!$O$2, FIND(" ", [1]modificado!$O$2 &amp; " ") - 1)</f>
        <v>3M</v>
      </c>
      <c r="H27" s="47" t="str">
        <f>RIGHT([1]!Tabla2[[#This Row],[Marca y Modelo]], LEN([1]!Tabla2[[#This Row],[Marca y Modelo]]) - FIND(" ", [1]!Tabla2[[#This Row],[Marca y Modelo]]))</f>
        <v>AJ450A6</v>
      </c>
      <c r="J27" s="47"/>
      <c r="K27" s="92" t="s">
        <v>4050</v>
      </c>
      <c r="L27" s="92" t="s">
        <v>2638</v>
      </c>
      <c r="M27" s="92" t="s">
        <v>1404</v>
      </c>
      <c r="N27" s="92" t="s">
        <v>1441</v>
      </c>
      <c r="P27" s="92" t="s">
        <v>2527</v>
      </c>
      <c r="R27" s="48" t="s">
        <v>216</v>
      </c>
      <c r="AE27" s="11" t="s">
        <v>236</v>
      </c>
      <c r="AF27" s="11" t="s">
        <v>237</v>
      </c>
      <c r="AG27" s="11" t="s">
        <v>238</v>
      </c>
      <c r="AH27" s="11" t="s">
        <v>239</v>
      </c>
      <c r="AI27" s="11" t="s">
        <v>240</v>
      </c>
      <c r="AJ27" s="11" t="s">
        <v>241</v>
      </c>
      <c r="AK27" s="11" t="s">
        <v>242</v>
      </c>
      <c r="AL27" s="11" t="s">
        <v>243</v>
      </c>
      <c r="AM27" s="11" t="s">
        <v>244</v>
      </c>
      <c r="AN27" s="11" t="s">
        <v>245</v>
      </c>
    </row>
    <row r="28" spans="2:43" x14ac:dyDescent="0.3">
      <c r="B28" t="str">
        <f>LEFT(Tabla3890134177220392[[#This Row],[Descripción del equipo]], FIND(" ", Tabla3890134177220392[[#This Row],[Descripción del equipo]] &amp; " ") - 1)</f>
        <v>Autoretractil</v>
      </c>
      <c r="C28" s="11" t="s">
        <v>180</v>
      </c>
      <c r="D28">
        <v>1</v>
      </c>
      <c r="E28" s="11" t="s">
        <v>160</v>
      </c>
      <c r="F28" s="91" t="s">
        <v>1058</v>
      </c>
      <c r="G28" s="15" t="str">
        <f>LEFT([1]modificado!$O$2, FIND(" ", [1]modificado!$O$2 &amp; " ") - 1)</f>
        <v>3M</v>
      </c>
      <c r="H28" s="47" t="s">
        <v>1402</v>
      </c>
      <c r="J28" s="47"/>
      <c r="K28" s="91" t="s">
        <v>4049</v>
      </c>
      <c r="L28" s="91" t="s">
        <v>2639</v>
      </c>
      <c r="M28" s="91" t="s">
        <v>1404</v>
      </c>
      <c r="N28" s="91" t="s">
        <v>1442</v>
      </c>
      <c r="P28" s="91" t="s">
        <v>2527</v>
      </c>
      <c r="R28" s="48" t="s">
        <v>216</v>
      </c>
    </row>
    <row r="29" spans="2:43" x14ac:dyDescent="0.3">
      <c r="B29" t="str">
        <f>LEFT(Tabla3890134177220392[[#This Row],[Descripción del equipo]], FIND(" ", Tabla3890134177220392[[#This Row],[Descripción del equipo]] &amp; " ") - 1)</f>
        <v>Arnes</v>
      </c>
      <c r="C29" s="11" t="s">
        <v>180</v>
      </c>
      <c r="D29">
        <v>1</v>
      </c>
      <c r="E29" s="11" t="s">
        <v>160</v>
      </c>
      <c r="F29" s="92" t="s">
        <v>1056</v>
      </c>
      <c r="G29" s="15" t="str">
        <f>LEFT([1]modificado!$O$2, FIND(" ", [1]modificado!$O$2 &amp; " ") - 1)</f>
        <v>3M</v>
      </c>
      <c r="H29" s="47" t="str">
        <f>RIGHT([1]!Tabla2[[#This Row],[Marca y Modelo]], LEN([1]!Tabla2[[#This Row],[Marca y Modelo]]) - FIND(" ", [1]!Tabla2[[#This Row],[Marca y Modelo]]))</f>
        <v>452P</v>
      </c>
      <c r="J29" s="47"/>
      <c r="K29" s="92" t="s">
        <v>4051</v>
      </c>
      <c r="L29" s="92" t="s">
        <v>2640</v>
      </c>
      <c r="M29" s="92" t="s">
        <v>1404</v>
      </c>
      <c r="N29" s="92" t="s">
        <v>1443</v>
      </c>
      <c r="P29" s="92" t="s">
        <v>2527</v>
      </c>
      <c r="R29" s="48" t="s">
        <v>216</v>
      </c>
      <c r="AE29" t="s">
        <v>246</v>
      </c>
      <c r="AF29" t="s">
        <v>97</v>
      </c>
      <c r="AG29" t="s">
        <v>34</v>
      </c>
      <c r="AH29" t="s">
        <v>66</v>
      </c>
      <c r="AI29" s="63" t="s">
        <v>247</v>
      </c>
      <c r="AK29" t="s">
        <v>19</v>
      </c>
      <c r="AN29" t="s">
        <v>75</v>
      </c>
    </row>
    <row r="30" spans="2:43" ht="28.8" x14ac:dyDescent="0.3">
      <c r="B30" t="str">
        <f>LEFT(Tabla3890134177220392[[#This Row],[Descripción del equipo]], FIND(" ", Tabla3890134177220392[[#This Row],[Descripción del equipo]] &amp; " ") - 1)</f>
        <v>Arnes</v>
      </c>
      <c r="C30" s="11" t="s">
        <v>180</v>
      </c>
      <c r="D30">
        <v>1</v>
      </c>
      <c r="E30" s="11" t="s">
        <v>160</v>
      </c>
      <c r="F30" s="91" t="s">
        <v>1056</v>
      </c>
      <c r="G30" s="15" t="str">
        <f>LEFT([1]modificado!$O$2, FIND(" ", [1]modificado!$O$2 &amp; " ") - 1)</f>
        <v>3M</v>
      </c>
      <c r="H30" s="47" t="str">
        <f>RIGHT([1]!Tabla2[[#This Row],[Marca y Modelo]], LEN([1]!Tabla2[[#This Row],[Marca y Modelo]]) - FIND(" ", [1]!Tabla2[[#This Row],[Marca y Modelo]]))</f>
        <v>10911F-LOGO</v>
      </c>
      <c r="J30" s="47"/>
      <c r="K30" s="91" t="s">
        <v>4051</v>
      </c>
      <c r="L30" s="91" t="s">
        <v>2641</v>
      </c>
      <c r="M30" s="91" t="s">
        <v>1404</v>
      </c>
      <c r="N30" s="91" t="s">
        <v>1444</v>
      </c>
      <c r="P30" s="91" t="s">
        <v>2527</v>
      </c>
      <c r="R30" s="48" t="s">
        <v>216</v>
      </c>
      <c r="AE30" s="22" t="s">
        <v>248</v>
      </c>
      <c r="AF30" t="s">
        <v>17</v>
      </c>
      <c r="AG30" s="18" t="s">
        <v>249</v>
      </c>
      <c r="AH30" t="s">
        <v>250</v>
      </c>
      <c r="AI30" s="64" t="s">
        <v>251</v>
      </c>
      <c r="AK30" t="s">
        <v>252</v>
      </c>
      <c r="AN30" s="18" t="s">
        <v>253</v>
      </c>
    </row>
    <row r="31" spans="2:43" x14ac:dyDescent="0.3">
      <c r="B31" t="s">
        <v>4348</v>
      </c>
      <c r="C31" s="11" t="s">
        <v>180</v>
      </c>
      <c r="D31">
        <v>1</v>
      </c>
      <c r="E31" s="11" t="s">
        <v>160</v>
      </c>
      <c r="F31" s="92" t="s">
        <v>1057</v>
      </c>
      <c r="G31" s="15" t="str">
        <f>LEFT([1]modificado!$O$2, FIND(" ", [1]modificado!$O$2 &amp; " ") - 1)</f>
        <v>3M</v>
      </c>
      <c r="H31" s="47" t="str">
        <f>RIGHT([1]!Tabla2[[#This Row],[Marca y Modelo]], LEN([1]!Tabla2[[#This Row],[Marca y Modelo]]) - FIND(" ", [1]!Tabla2[[#This Row],[Marca y Modelo]]))</f>
        <v>671EC</v>
      </c>
      <c r="J31" s="47"/>
      <c r="K31" s="92" t="s">
        <v>4052</v>
      </c>
      <c r="L31" s="92" t="s">
        <v>2642</v>
      </c>
      <c r="M31" s="92" t="s">
        <v>1404</v>
      </c>
      <c r="N31" s="92" t="s">
        <v>1445</v>
      </c>
      <c r="P31" s="92" t="s">
        <v>2527</v>
      </c>
      <c r="R31" s="48" t="s">
        <v>216</v>
      </c>
      <c r="AE31" s="65" t="s">
        <v>254</v>
      </c>
      <c r="AG31" t="s">
        <v>255</v>
      </c>
      <c r="AN31" s="26" t="s">
        <v>256</v>
      </c>
    </row>
    <row r="32" spans="2:43" ht="28.5" customHeight="1" x14ac:dyDescent="0.3">
      <c r="B32" t="s">
        <v>4348</v>
      </c>
      <c r="C32" s="11" t="s">
        <v>180</v>
      </c>
      <c r="D32">
        <v>1</v>
      </c>
      <c r="E32" s="11" t="s">
        <v>160</v>
      </c>
      <c r="F32" s="91" t="s">
        <v>1060</v>
      </c>
      <c r="G32" s="15" t="str">
        <f>LEFT([1]modificado!$O$2, FIND(" ", [1]modificado!$O$2 &amp; " ") - 1)</f>
        <v>3M</v>
      </c>
      <c r="H32" s="47" t="str">
        <f>RIGHT([1]!Tabla2[[#This Row],[Marca y Modelo]], LEN([1]!Tabla2[[#This Row],[Marca y Modelo]]) - FIND(" ", [1]!Tabla2[[#This Row],[Marca y Modelo]]))</f>
        <v>209550-4-0241</v>
      </c>
      <c r="J32" s="47"/>
      <c r="K32" s="91" t="s">
        <v>4052</v>
      </c>
      <c r="L32" s="91" t="s">
        <v>2643</v>
      </c>
      <c r="M32" s="91" t="s">
        <v>1404</v>
      </c>
      <c r="N32" s="91" t="s">
        <v>1446</v>
      </c>
      <c r="P32" s="91" t="s">
        <v>2527</v>
      </c>
      <c r="R32" s="48" t="s">
        <v>216</v>
      </c>
    </row>
    <row r="33" spans="2:43" x14ac:dyDescent="0.3">
      <c r="B33" t="s">
        <v>4348</v>
      </c>
      <c r="C33" s="11" t="s">
        <v>180</v>
      </c>
      <c r="D33">
        <v>1</v>
      </c>
      <c r="E33" s="11" t="s">
        <v>160</v>
      </c>
      <c r="F33" s="92" t="s">
        <v>1061</v>
      </c>
      <c r="G33" s="15" t="str">
        <f>LEFT([1]modificado!$O$2, FIND(" ", [1]modificado!$O$2 &amp; " ") - 1)</f>
        <v>3M</v>
      </c>
      <c r="H33" s="47" t="str">
        <f>RIGHT([1]!Tabla2[[#This Row],[Marca y Modelo]], LEN([1]!Tabla2[[#This Row],[Marca y Modelo]]) - FIND(" ", [1]!Tabla2[[#This Row],[Marca y Modelo]]))</f>
        <v>3210</v>
      </c>
      <c r="J33" s="47"/>
      <c r="K33" s="92" t="s">
        <v>4053</v>
      </c>
      <c r="L33" s="92" t="s">
        <v>2644</v>
      </c>
      <c r="M33" s="92" t="s">
        <v>1404</v>
      </c>
      <c r="N33" s="92" t="s">
        <v>1447</v>
      </c>
      <c r="P33" s="92" t="s">
        <v>2527</v>
      </c>
      <c r="R33" s="48" t="s">
        <v>216</v>
      </c>
      <c r="AE33" t="s">
        <v>68</v>
      </c>
      <c r="AF33" t="s">
        <v>36</v>
      </c>
      <c r="AG33" t="s">
        <v>257</v>
      </c>
      <c r="AH33" t="s">
        <v>258</v>
      </c>
    </row>
    <row r="34" spans="2:43" x14ac:dyDescent="0.3">
      <c r="B34" t="str">
        <f>LEFT(Tabla3890134177220392[[#This Row],[Descripción del equipo]], FIND(" ", Tabla3890134177220392[[#This Row],[Descripción del equipo]] &amp; " ") - 1)</f>
        <v>Arnes</v>
      </c>
      <c r="C34" s="11" t="s">
        <v>180</v>
      </c>
      <c r="D34">
        <v>1</v>
      </c>
      <c r="E34" s="11" t="s">
        <v>160</v>
      </c>
      <c r="F34" s="91" t="s">
        <v>1062</v>
      </c>
      <c r="G34" s="15" t="str">
        <f>LEFT([1]modificado!$O$2, FIND(" ", [1]modificado!$O$2 &amp; " ") - 1)</f>
        <v>3M</v>
      </c>
      <c r="H34" s="47" t="str">
        <f>RIGHT([1]!Tabla2[[#This Row],[Marca y Modelo]], LEN([1]!Tabla2[[#This Row],[Marca y Modelo]]) - FIND(" ", [1]!Tabla2[[#This Row],[Marca y Modelo]]))</f>
        <v>10955-LOGO</v>
      </c>
      <c r="J34" s="47"/>
      <c r="K34" s="91" t="s">
        <v>4051</v>
      </c>
      <c r="L34" s="91" t="s">
        <v>2645</v>
      </c>
      <c r="M34" s="91" t="s">
        <v>1404</v>
      </c>
      <c r="N34" s="91" t="s">
        <v>1448</v>
      </c>
      <c r="P34" s="91" t="s">
        <v>2527</v>
      </c>
      <c r="R34" s="48" t="s">
        <v>216</v>
      </c>
      <c r="AE34" s="20" t="s">
        <v>259</v>
      </c>
      <c r="AF34" t="s">
        <v>260</v>
      </c>
      <c r="AG34" s="19" t="s">
        <v>261</v>
      </c>
      <c r="AH34" s="22" t="s">
        <v>262</v>
      </c>
    </row>
    <row r="35" spans="2:43" ht="28.8" x14ac:dyDescent="0.3">
      <c r="B35" t="str">
        <f>LEFT(Tabla3890134177220392[[#This Row],[Descripción del equipo]], FIND(" ", Tabla3890134177220392[[#This Row],[Descripción del equipo]] &amp; " ") - 1)</f>
        <v>Autoretractil</v>
      </c>
      <c r="C35" s="11" t="s">
        <v>180</v>
      </c>
      <c r="D35">
        <v>1</v>
      </c>
      <c r="E35" s="11" t="s">
        <v>160</v>
      </c>
      <c r="F35" s="92" t="s">
        <v>1058</v>
      </c>
      <c r="G35" s="15" t="str">
        <f>LEFT([1]modificado!$O$2, FIND(" ", [1]modificado!$O$2 &amp; " ") - 1)</f>
        <v>3M</v>
      </c>
      <c r="H35" s="47" t="str">
        <f>RIGHT([1]!Tabla2[[#This Row],[Marca y Modelo]], LEN([1]!Tabla2[[#This Row],[Marca y Modelo]]) - FIND(" ", [1]!Tabla2[[#This Row],[Marca y Modelo]]))</f>
        <v>Nano Lok</v>
      </c>
      <c r="J35" s="47"/>
      <c r="K35" s="92" t="s">
        <v>4054</v>
      </c>
      <c r="L35" s="92" t="s">
        <v>2646</v>
      </c>
      <c r="M35" s="92" t="s">
        <v>1404</v>
      </c>
      <c r="N35" s="92" t="s">
        <v>1449</v>
      </c>
      <c r="P35" s="92" t="s">
        <v>2527</v>
      </c>
      <c r="R35" s="48" t="s">
        <v>216</v>
      </c>
      <c r="AE35" s="66" t="s">
        <v>263</v>
      </c>
      <c r="AG35" s="13" t="s">
        <v>264</v>
      </c>
      <c r="AH35" s="67" t="s">
        <v>265</v>
      </c>
    </row>
    <row r="36" spans="2:43" x14ac:dyDescent="0.3">
      <c r="B36" t="str">
        <f>LEFT(Tabla3890134177220392[[#This Row],[Descripción del equipo]], FIND(" ", Tabla3890134177220392[[#This Row],[Descripción del equipo]] &amp; " ") - 1)</f>
        <v>Arnes</v>
      </c>
      <c r="C36" s="11" t="s">
        <v>180</v>
      </c>
      <c r="D36">
        <v>1</v>
      </c>
      <c r="E36" s="11" t="s">
        <v>160</v>
      </c>
      <c r="F36" s="91" t="s">
        <v>1056</v>
      </c>
      <c r="G36" s="15" t="str">
        <f>LEFT([1]modificado!$O$2, FIND(" ", [1]modificado!$O$2 &amp; " ") - 1)</f>
        <v>3M</v>
      </c>
      <c r="H36" s="47" t="str">
        <f>RIGHT([1]!Tabla2[[#This Row],[Marca y Modelo]], LEN([1]!Tabla2[[#This Row],[Marca y Modelo]]) - FIND(" ", [1]!Tabla2[[#This Row],[Marca y Modelo]]))</f>
        <v>Space</v>
      </c>
      <c r="J36" s="47"/>
      <c r="K36" s="91" t="s">
        <v>4051</v>
      </c>
      <c r="L36" s="91" t="s">
        <v>2647</v>
      </c>
      <c r="M36" s="91" t="s">
        <v>1406</v>
      </c>
      <c r="N36" s="91" t="s">
        <v>1450</v>
      </c>
      <c r="P36" s="91" t="s">
        <v>2527</v>
      </c>
      <c r="R36" s="48" t="s">
        <v>216</v>
      </c>
      <c r="AG36" s="68" t="s">
        <v>266</v>
      </c>
      <c r="AH36" s="22" t="s">
        <v>267</v>
      </c>
    </row>
    <row r="37" spans="2:43" x14ac:dyDescent="0.3">
      <c r="B37" t="s">
        <v>4348</v>
      </c>
      <c r="C37" s="11" t="s">
        <v>180</v>
      </c>
      <c r="D37">
        <v>1</v>
      </c>
      <c r="E37" s="11" t="s">
        <v>160</v>
      </c>
      <c r="F37" s="92" t="s">
        <v>1057</v>
      </c>
      <c r="G37" s="15" t="str">
        <f>LEFT([1]modificado!$O$2, FIND(" ", [1]modificado!$O$2 &amp; " ") - 1)</f>
        <v>3M</v>
      </c>
      <c r="H37" s="47"/>
      <c r="J37" s="47"/>
      <c r="K37" s="92" t="s">
        <v>4052</v>
      </c>
      <c r="L37" s="92" t="s">
        <v>2648</v>
      </c>
      <c r="M37" s="92" t="s">
        <v>1405</v>
      </c>
      <c r="N37" s="92" t="s">
        <v>1451</v>
      </c>
      <c r="P37" s="92" t="s">
        <v>2527</v>
      </c>
      <c r="R37" s="48" t="s">
        <v>216</v>
      </c>
      <c r="AH37" s="18" t="s">
        <v>268</v>
      </c>
    </row>
    <row r="38" spans="2:43" x14ac:dyDescent="0.3">
      <c r="B38" t="str">
        <f>LEFT(Tabla3890134177220392[[#This Row],[Descripción del equipo]], FIND(" ", Tabla3890134177220392[[#This Row],[Descripción del equipo]] &amp; " ") - 1)</f>
        <v>Autoretractil</v>
      </c>
      <c r="C38" s="11" t="s">
        <v>180</v>
      </c>
      <c r="D38">
        <v>1</v>
      </c>
      <c r="E38" s="11" t="s">
        <v>160</v>
      </c>
      <c r="F38" s="91" t="s">
        <v>1058</v>
      </c>
      <c r="G38" s="15" t="str">
        <f>LEFT([1]modificado!$O$2, FIND(" ", [1]modificado!$O$2 &amp; " ") - 1)</f>
        <v>3M</v>
      </c>
      <c r="H38" s="47" t="str">
        <f>RIGHT([1]!Tabla2[[#This Row],[Marca y Modelo]], LEN([1]!Tabla2[[#This Row],[Marca y Modelo]]) - FIND(" ", [1]!Tabla2[[#This Row],[Marca y Modelo]]))</f>
        <v>Nano Lok</v>
      </c>
      <c r="J38" s="47"/>
      <c r="K38" s="91" t="s">
        <v>4054</v>
      </c>
      <c r="L38" s="91" t="s">
        <v>2649</v>
      </c>
      <c r="M38" s="91" t="s">
        <v>1404</v>
      </c>
      <c r="N38" s="91" t="s">
        <v>1452</v>
      </c>
      <c r="P38" s="91" t="s">
        <v>2527</v>
      </c>
      <c r="R38" s="48" t="s">
        <v>216</v>
      </c>
      <c r="AE38" s="69" t="s">
        <v>24</v>
      </c>
      <c r="AG38" t="s">
        <v>269</v>
      </c>
      <c r="AH38" s="18" t="s">
        <v>270</v>
      </c>
    </row>
    <row r="39" spans="2:43" ht="22.8" x14ac:dyDescent="0.3">
      <c r="B39" t="s">
        <v>4349</v>
      </c>
      <c r="C39" s="11" t="s">
        <v>180</v>
      </c>
      <c r="D39">
        <v>1</v>
      </c>
      <c r="E39" s="11" t="s">
        <v>160</v>
      </c>
      <c r="F39" s="92" t="s">
        <v>1059</v>
      </c>
      <c r="G39" s="15" t="str">
        <f>LEFT([1]modificado!$O$2, FIND(" ", [1]modificado!$O$2 &amp; " ") - 1)</f>
        <v>3M</v>
      </c>
      <c r="H39" s="47" t="str">
        <f>RIGHT([1]!Tabla2[[#This Row],[Marca y Modelo]], LEN([1]!Tabla2[[#This Row],[Marca y Modelo]]) - FIND(" ", [1]!Tabla2[[#This Row],[Marca y Modelo]]))</f>
        <v>4550-U</v>
      </c>
      <c r="J39" s="47"/>
      <c r="K39" s="92" t="s">
        <v>4055</v>
      </c>
      <c r="L39" s="92" t="s">
        <v>2650</v>
      </c>
      <c r="M39" s="92" t="s">
        <v>1404</v>
      </c>
      <c r="N39" s="92" t="s">
        <v>1453</v>
      </c>
      <c r="P39" s="92" t="s">
        <v>2527</v>
      </c>
      <c r="R39" s="48" t="s">
        <v>216</v>
      </c>
      <c r="AE39" s="62" t="s">
        <v>271</v>
      </c>
      <c r="AG39" s="68" t="s">
        <v>272</v>
      </c>
      <c r="AH39" s="22" t="s">
        <v>273</v>
      </c>
    </row>
    <row r="40" spans="2:43" x14ac:dyDescent="0.3">
      <c r="B40" t="s">
        <v>4349</v>
      </c>
      <c r="C40" s="11" t="s">
        <v>180</v>
      </c>
      <c r="D40">
        <v>1</v>
      </c>
      <c r="E40" s="11" t="s">
        <v>160</v>
      </c>
      <c r="F40" s="91" t="s">
        <v>1063</v>
      </c>
      <c r="G40" s="15" t="str">
        <f>LEFT([1]modificado!$O$2, FIND(" ", [1]modificado!$O$2 &amp; " ") - 1)</f>
        <v>3M</v>
      </c>
      <c r="H40" s="47" t="str">
        <f>RIGHT([1]!Tabla2[[#This Row],[Marca y Modelo]], LEN([1]!Tabla2[[#This Row],[Marca y Modelo]]) - FIND(" ", [1]!Tabla2[[#This Row],[Marca y Modelo]]))</f>
        <v>CEN2-91</v>
      </c>
      <c r="J40" s="47"/>
      <c r="K40" s="91" t="s">
        <v>4056</v>
      </c>
      <c r="L40" s="91" t="s">
        <v>2651</v>
      </c>
      <c r="M40" s="91" t="s">
        <v>1404</v>
      </c>
      <c r="N40" s="91" t="s">
        <v>1454</v>
      </c>
      <c r="P40" s="91" t="s">
        <v>2527</v>
      </c>
      <c r="R40" s="48" t="s">
        <v>216</v>
      </c>
      <c r="AE40" s="70" t="s">
        <v>17</v>
      </c>
      <c r="AH40" t="s">
        <v>274</v>
      </c>
    </row>
    <row r="41" spans="2:43" x14ac:dyDescent="0.3">
      <c r="B41" t="s">
        <v>4348</v>
      </c>
      <c r="C41" s="11" t="s">
        <v>180</v>
      </c>
      <c r="D41">
        <v>1</v>
      </c>
      <c r="E41" s="11" t="s">
        <v>160</v>
      </c>
      <c r="F41" s="92" t="s">
        <v>1057</v>
      </c>
      <c r="G41" s="15" t="str">
        <f>LEFT([1]modificado!$O$2, FIND(" ", [1]modificado!$O$2 &amp; " ") - 1)</f>
        <v>3M</v>
      </c>
      <c r="H41" s="47" t="str">
        <f>RIGHT([1]!Tabla2[[#This Row],[Marca y Modelo]], LEN([1]!Tabla2[[#This Row],[Marca y Modelo]]) - FIND(" ", [1]!Tabla2[[#This Row],[Marca y Modelo]]))</f>
        <v>671EC</v>
      </c>
      <c r="J41" s="47"/>
      <c r="K41" s="92" t="s">
        <v>4052</v>
      </c>
      <c r="L41" s="92" t="s">
        <v>2652</v>
      </c>
      <c r="M41" s="92" t="s">
        <v>1404</v>
      </c>
      <c r="N41" s="92" t="s">
        <v>1455</v>
      </c>
      <c r="P41" s="92" t="s">
        <v>2527</v>
      </c>
      <c r="R41" s="48" t="s">
        <v>216</v>
      </c>
      <c r="AG41" t="s">
        <v>61</v>
      </c>
    </row>
    <row r="42" spans="2:43" x14ac:dyDescent="0.3">
      <c r="B42" t="str">
        <f>LEFT(Tabla3890134177220392[[#This Row],[Descripción del equipo]], FIND(" ", Tabla3890134177220392[[#This Row],[Descripción del equipo]] &amp; " ") - 1)</f>
        <v>Arnes</v>
      </c>
      <c r="C42" s="11" t="s">
        <v>180</v>
      </c>
      <c r="D42">
        <v>1</v>
      </c>
      <c r="E42" s="11" t="s">
        <v>160</v>
      </c>
      <c r="F42" s="91" t="s">
        <v>1056</v>
      </c>
      <c r="G42" s="15" t="str">
        <f>LEFT([1]modificado!$O$2, FIND(" ", [1]modificado!$O$2 &amp; " ") - 1)</f>
        <v>3M</v>
      </c>
      <c r="H42" s="47" t="str">
        <f>RIGHT([1]!Tabla2[[#This Row],[Marca y Modelo]], LEN([1]!Tabla2[[#This Row],[Marca y Modelo]]) - FIND(" ", [1]!Tabla2[[#This Row],[Marca y Modelo]]))</f>
        <v>10911F-LOGO</v>
      </c>
      <c r="J42" s="47"/>
      <c r="K42" s="91" t="s">
        <v>4051</v>
      </c>
      <c r="L42" s="91" t="s">
        <v>2653</v>
      </c>
      <c r="M42" s="91" t="s">
        <v>1404</v>
      </c>
      <c r="N42" s="91" t="s">
        <v>1456</v>
      </c>
      <c r="P42" s="91" t="s">
        <v>2527</v>
      </c>
      <c r="R42" s="48" t="s">
        <v>216</v>
      </c>
      <c r="AE42" s="71" t="s">
        <v>94</v>
      </c>
      <c r="AG42" t="s">
        <v>275</v>
      </c>
    </row>
    <row r="43" spans="2:43" x14ac:dyDescent="0.3">
      <c r="B43" t="str">
        <f>LEFT(Tabla3890134177220392[[#This Row],[Descripción del equipo]], FIND(" ", Tabla3890134177220392[[#This Row],[Descripción del equipo]] &amp; " ") - 1)</f>
        <v>Autoretractil</v>
      </c>
      <c r="C43" s="11" t="s">
        <v>180</v>
      </c>
      <c r="D43">
        <v>1</v>
      </c>
      <c r="E43" s="11" t="s">
        <v>160</v>
      </c>
      <c r="F43" s="92" t="s">
        <v>1058</v>
      </c>
      <c r="G43" s="15" t="str">
        <f>LEFT([1]modificado!$O$2, FIND(" ", [1]modificado!$O$2 &amp; " ") - 1)</f>
        <v>3M</v>
      </c>
      <c r="H43" s="47" t="str">
        <f>RIGHT([1]!Tabla2[[#This Row],[Marca y Modelo]], LEN([1]!Tabla2[[#This Row],[Marca y Modelo]]) - FIND(" ", [1]!Tabla2[[#This Row],[Marca y Modelo]]))</f>
        <v>Nano Lok</v>
      </c>
      <c r="J43" s="47"/>
      <c r="K43" s="92" t="s">
        <v>4054</v>
      </c>
      <c r="L43" s="92" t="s">
        <v>2654</v>
      </c>
      <c r="M43" s="92" t="s">
        <v>1404</v>
      </c>
      <c r="N43" s="92" t="s">
        <v>1457</v>
      </c>
      <c r="P43" s="92" t="s">
        <v>2527</v>
      </c>
      <c r="R43" s="48" t="s">
        <v>216</v>
      </c>
      <c r="AE43" s="72" t="s">
        <v>276</v>
      </c>
      <c r="AG43" s="20" t="s">
        <v>277</v>
      </c>
      <c r="AH43" t="s">
        <v>98</v>
      </c>
    </row>
    <row r="44" spans="2:43" x14ac:dyDescent="0.3">
      <c r="B44" t="str">
        <f>LEFT(Tabla3890134177220392[[#This Row],[Descripción del equipo]], FIND(" ", Tabla3890134177220392[[#This Row],[Descripción del equipo]] &amp; " ") - 1)</f>
        <v>Arnes</v>
      </c>
      <c r="C44" s="11" t="s">
        <v>180</v>
      </c>
      <c r="D44">
        <v>1</v>
      </c>
      <c r="E44" s="11" t="s">
        <v>160</v>
      </c>
      <c r="F44" s="91" t="s">
        <v>1056</v>
      </c>
      <c r="G44" s="15" t="str">
        <f>LEFT([1]modificado!$O$2, FIND(" ", [1]modificado!$O$2 &amp; " ") - 1)</f>
        <v>3M</v>
      </c>
      <c r="H44" s="47" t="str">
        <f>RIGHT([1]!Tabla2[[#This Row],[Marca y Modelo]], LEN([1]!Tabla2[[#This Row],[Marca y Modelo]]) - FIND(" ", [1]!Tabla2[[#This Row],[Marca y Modelo]]))</f>
        <v>Basic Lion</v>
      </c>
      <c r="J44" s="47"/>
      <c r="K44" s="91" t="s">
        <v>4051</v>
      </c>
      <c r="L44" s="91" t="s">
        <v>2655</v>
      </c>
      <c r="M44" s="91" t="s">
        <v>1404</v>
      </c>
      <c r="N44" s="91" t="s">
        <v>1458</v>
      </c>
      <c r="P44" s="91" t="s">
        <v>2527</v>
      </c>
      <c r="R44" s="48" t="s">
        <v>216</v>
      </c>
      <c r="AE44" s="73" t="s">
        <v>278</v>
      </c>
      <c r="AG44" s="18" t="s">
        <v>279</v>
      </c>
      <c r="AH44" s="26" t="s">
        <v>280</v>
      </c>
    </row>
    <row r="45" spans="2:43" x14ac:dyDescent="0.3">
      <c r="B45" t="s">
        <v>4348</v>
      </c>
      <c r="C45" s="11" t="s">
        <v>180</v>
      </c>
      <c r="D45">
        <v>1</v>
      </c>
      <c r="E45" s="11" t="s">
        <v>160</v>
      </c>
      <c r="F45" s="92" t="s">
        <v>1064</v>
      </c>
      <c r="G45" s="15" t="str">
        <f>LEFT([1]modificado!$O$2, FIND(" ", [1]modificado!$O$2 &amp; " ") - 1)</f>
        <v>3M</v>
      </c>
      <c r="H45" s="47" t="str">
        <f>RIGHT([1]!Tabla2[[#This Row],[Marca y Modelo]], LEN([1]!Tabla2[[#This Row],[Marca y Modelo]]) - FIND(" ", [1]!Tabla2[[#This Row],[Marca y Modelo]]))</f>
        <v>191026</v>
      </c>
      <c r="J45" s="47"/>
      <c r="K45" s="92" t="s">
        <v>4052</v>
      </c>
      <c r="L45" s="92" t="s">
        <v>2656</v>
      </c>
      <c r="M45" s="92" t="s">
        <v>1406</v>
      </c>
      <c r="N45" s="92" t="s">
        <v>1459</v>
      </c>
      <c r="P45" s="92" t="s">
        <v>2527</v>
      </c>
      <c r="R45" s="48" t="s">
        <v>216</v>
      </c>
      <c r="AE45" t="s">
        <v>42</v>
      </c>
      <c r="AG45" s="26" t="s">
        <v>281</v>
      </c>
    </row>
    <row r="46" spans="2:43" x14ac:dyDescent="0.3">
      <c r="B46" t="str">
        <f>LEFT(Tabla3890134177220392[[#This Row],[Descripción del equipo]], FIND(" ", Tabla3890134177220392[[#This Row],[Descripción del equipo]] &amp; " ") - 1)</f>
        <v>Arnes</v>
      </c>
      <c r="C46" s="11" t="s">
        <v>180</v>
      </c>
      <c r="D46">
        <v>1</v>
      </c>
      <c r="E46" s="11" t="s">
        <v>160</v>
      </c>
      <c r="F46" s="91" t="s">
        <v>1056</v>
      </c>
      <c r="G46" s="15" t="str">
        <f>LEFT([1]modificado!$O$2, FIND(" ", [1]modificado!$O$2 &amp; " ") - 1)</f>
        <v>3M</v>
      </c>
      <c r="H46" s="47" t="str">
        <f>RIGHT([1]!Tabla2[[#This Row],[Marca y Modelo]], LEN([1]!Tabla2[[#This Row],[Marca y Modelo]]) - FIND(" ", [1]!Tabla2[[#This Row],[Marca y Modelo]]))</f>
        <v>Musitani Space</v>
      </c>
      <c r="J46" s="47"/>
      <c r="K46" s="91" t="s">
        <v>4051</v>
      </c>
      <c r="L46" s="91" t="s">
        <v>2657</v>
      </c>
      <c r="M46" s="91" t="s">
        <v>1406</v>
      </c>
      <c r="N46" s="91" t="s">
        <v>1460</v>
      </c>
      <c r="P46" s="91" t="s">
        <v>2527</v>
      </c>
      <c r="R46" s="48" t="s">
        <v>216</v>
      </c>
    </row>
    <row r="47" spans="2:43" x14ac:dyDescent="0.3">
      <c r="B47" t="str">
        <f>LEFT(Tabla3890134177220392[[#This Row],[Descripción del equipo]], FIND(" ", Tabla3890134177220392[[#This Row],[Descripción del equipo]] &amp; " ") - 1)</f>
        <v>Autoretractil</v>
      </c>
      <c r="C47" s="11" t="s">
        <v>180</v>
      </c>
      <c r="D47">
        <v>1</v>
      </c>
      <c r="E47" s="11" t="s">
        <v>160</v>
      </c>
      <c r="F47" s="92" t="s">
        <v>1058</v>
      </c>
      <c r="G47" s="15" t="str">
        <f>LEFT([1]modificado!$O$2, FIND(" ", [1]modificado!$O$2 &amp; " ") - 1)</f>
        <v>3M</v>
      </c>
      <c r="H47" s="47" t="str">
        <f>RIGHT([1]!Tabla2[[#This Row],[Marca y Modelo]], LEN([1]!Tabla2[[#This Row],[Marca y Modelo]]) - FIND(" ", [1]!Tabla2[[#This Row],[Marca y Modelo]]))</f>
        <v>3100414</v>
      </c>
      <c r="J47" s="47"/>
      <c r="K47" s="92" t="s">
        <v>4054</v>
      </c>
      <c r="L47" s="92" t="s">
        <v>2658</v>
      </c>
      <c r="M47" s="92" t="s">
        <v>1404</v>
      </c>
      <c r="N47" s="92" t="s">
        <v>1461</v>
      </c>
      <c r="P47" s="92" t="s">
        <v>2527</v>
      </c>
      <c r="R47" s="48" t="s">
        <v>216</v>
      </c>
      <c r="AE47" t="s">
        <v>41</v>
      </c>
      <c r="AH47" t="s">
        <v>282</v>
      </c>
    </row>
    <row r="48" spans="2:43" ht="28.8" x14ac:dyDescent="0.3">
      <c r="B48" t="str">
        <f>LEFT(Tabla3890134177220392[[#This Row],[Descripción del equipo]], FIND(" ", Tabla3890134177220392[[#This Row],[Descripción del equipo]] &amp; " ") - 1)</f>
        <v>Autoretractil</v>
      </c>
      <c r="C48" s="11" t="s">
        <v>180</v>
      </c>
      <c r="D48">
        <v>1</v>
      </c>
      <c r="E48" s="11" t="s">
        <v>160</v>
      </c>
      <c r="F48" s="91" t="s">
        <v>1058</v>
      </c>
      <c r="G48" s="15" t="str">
        <f>LEFT([1]modificado!$O$2, FIND(" ", [1]modificado!$O$2 &amp; " ") - 1)</f>
        <v>3M</v>
      </c>
      <c r="H48" s="47" t="str">
        <f>RIGHT([1]!Tabla2[[#This Row],[Marca y Modelo]], LEN([1]!Tabla2[[#This Row],[Marca y Modelo]]) - FIND(" ", [1]!Tabla2[[#This Row],[Marca y Modelo]]))</f>
        <v>3100414</v>
      </c>
      <c r="J48" s="47"/>
      <c r="K48" s="91" t="s">
        <v>4054</v>
      </c>
      <c r="L48" s="91" t="s">
        <v>2659</v>
      </c>
      <c r="M48" s="91" t="s">
        <v>1404</v>
      </c>
      <c r="N48" s="91" t="s">
        <v>1462</v>
      </c>
      <c r="P48" s="91" t="s">
        <v>2527</v>
      </c>
      <c r="R48" s="48" t="s">
        <v>216</v>
      </c>
      <c r="AE48" t="s">
        <v>41</v>
      </c>
      <c r="AG48" t="s">
        <v>283</v>
      </c>
      <c r="AH48" s="74" t="s">
        <v>284</v>
      </c>
      <c r="AQ48" t="s">
        <v>74</v>
      </c>
    </row>
    <row r="49" spans="2:43" x14ac:dyDescent="0.3">
      <c r="B49" t="str">
        <f>LEFT(Tabla3890134177220392[[#This Row],[Descripción del equipo]], FIND(" ", Tabla3890134177220392[[#This Row],[Descripción del equipo]] &amp; " ") - 1)</f>
        <v>Arnes</v>
      </c>
      <c r="C49" s="11" t="s">
        <v>1092</v>
      </c>
      <c r="D49">
        <v>1</v>
      </c>
      <c r="E49" s="11" t="s">
        <v>160</v>
      </c>
      <c r="F49" s="91" t="s">
        <v>1056</v>
      </c>
      <c r="G49" s="15" t="str">
        <f>LEFT([1]modificado!$O$2, FIND(" ", [1]modificado!$O$2 &amp; " ") - 1)</f>
        <v>3M</v>
      </c>
      <c r="H49" s="47" t="str">
        <f>RIGHT([1]!Tabla2[[#This Row],[Marca y Modelo]], LEN([1]!Tabla2[[#This Row],[Marca y Modelo]]) - FIND(" ", [1]!Tabla2[[#This Row],[Marca y Modelo]]))</f>
        <v>Musitani Space</v>
      </c>
      <c r="J49" s="47"/>
      <c r="K49" s="91" t="s">
        <v>4057</v>
      </c>
      <c r="L49" s="91" t="s">
        <v>2660</v>
      </c>
      <c r="M49" s="91" t="s">
        <v>1406</v>
      </c>
      <c r="N49" s="91" t="s">
        <v>1463</v>
      </c>
      <c r="P49" s="91" t="s">
        <v>2528</v>
      </c>
      <c r="R49" s="48" t="s">
        <v>216</v>
      </c>
      <c r="AE49" t="s">
        <v>285</v>
      </c>
      <c r="AG49" t="s">
        <v>286</v>
      </c>
      <c r="AQ49" s="22" t="s">
        <v>74</v>
      </c>
    </row>
    <row r="50" spans="2:43" x14ac:dyDescent="0.3">
      <c r="B50" t="str">
        <f>LEFT(Tabla3890134177220392[[#This Row],[Descripción del equipo]], FIND(" ", Tabla3890134177220392[[#This Row],[Descripción del equipo]] &amp; " ") - 1)</f>
        <v>Arnes</v>
      </c>
      <c r="C50" s="11" t="s">
        <v>1092</v>
      </c>
      <c r="D50">
        <v>1</v>
      </c>
      <c r="E50" s="11" t="s">
        <v>160</v>
      </c>
      <c r="F50" s="92" t="s">
        <v>1056</v>
      </c>
      <c r="G50" s="15" t="str">
        <f>LEFT([1]modificado!$O$2, FIND(" ", [1]modificado!$O$2 &amp; " ") - 1)</f>
        <v>3M</v>
      </c>
      <c r="H50" s="47" t="str">
        <f>RIGHT([1]!Tabla2[[#This Row],[Marca y Modelo]], LEN([1]!Tabla2[[#This Row],[Marca y Modelo]]) - FIND(" ", [1]!Tabla2[[#This Row],[Marca y Modelo]]))</f>
        <v>Musitani Tiger</v>
      </c>
      <c r="J50" s="47"/>
      <c r="K50" s="92" t="s">
        <v>4057</v>
      </c>
      <c r="L50" s="92" t="s">
        <v>2661</v>
      </c>
      <c r="M50" s="92" t="s">
        <v>1404</v>
      </c>
      <c r="N50" s="92" t="s">
        <v>1464</v>
      </c>
      <c r="P50" s="92" t="s">
        <v>2528</v>
      </c>
      <c r="R50" s="48" t="s">
        <v>216</v>
      </c>
      <c r="AE50" t="s">
        <v>287</v>
      </c>
      <c r="AG50" t="s">
        <v>288</v>
      </c>
      <c r="AH50" t="s">
        <v>289</v>
      </c>
      <c r="AQ50" s="18" t="s">
        <v>290</v>
      </c>
    </row>
    <row r="51" spans="2:43" x14ac:dyDescent="0.3">
      <c r="B51" t="str">
        <f>LEFT(Tabla3890134177220392[[#This Row],[Descripción del equipo]], FIND(" ", Tabla3890134177220392[[#This Row],[Descripción del equipo]] &amp; " ") - 1)</f>
        <v>Arnes</v>
      </c>
      <c r="C51" s="11" t="s">
        <v>1092</v>
      </c>
      <c r="D51">
        <v>1</v>
      </c>
      <c r="E51" s="11" t="s">
        <v>160</v>
      </c>
      <c r="F51" s="91" t="s">
        <v>1056</v>
      </c>
      <c r="G51" s="15" t="str">
        <f>LEFT([1]modificado!$O$2, FIND(" ", [1]modificado!$O$2 &amp; " ") - 1)</f>
        <v>3M</v>
      </c>
      <c r="H51" s="47" t="str">
        <f>RIGHT([1]!Tabla2[[#This Row],[Marca y Modelo]], LEN([1]!Tabla2[[#This Row],[Marca y Modelo]]) - FIND(" ", [1]!Tabla2[[#This Row],[Marca y Modelo]]))</f>
        <v>Musitani Tiger</v>
      </c>
      <c r="J51" s="47"/>
      <c r="K51" s="91" t="s">
        <v>4057</v>
      </c>
      <c r="L51" s="91" t="s">
        <v>2662</v>
      </c>
      <c r="M51" s="91" t="s">
        <v>1404</v>
      </c>
      <c r="N51" s="91" t="s">
        <v>1465</v>
      </c>
      <c r="P51" s="91" t="s">
        <v>2528</v>
      </c>
      <c r="R51" s="48" t="s">
        <v>216</v>
      </c>
      <c r="AH51" s="22" t="s">
        <v>291</v>
      </c>
    </row>
    <row r="52" spans="2:43" ht="28.8" x14ac:dyDescent="0.3">
      <c r="B52" t="str">
        <f>LEFT(Tabla3890134177220392[[#This Row],[Descripción del equipo]], FIND(" ", Tabla3890134177220392[[#This Row],[Descripción del equipo]] &amp; " ") - 1)</f>
        <v>Arnes</v>
      </c>
      <c r="C52" s="11" t="s">
        <v>1092</v>
      </c>
      <c r="D52">
        <v>1</v>
      </c>
      <c r="E52" s="11" t="s">
        <v>160</v>
      </c>
      <c r="F52" s="92" t="s">
        <v>1056</v>
      </c>
      <c r="G52" s="15" t="str">
        <f>LEFT([1]modificado!$O$2, FIND(" ", [1]modificado!$O$2 &amp; " ") - 1)</f>
        <v>3M</v>
      </c>
      <c r="H52" s="47" t="str">
        <f>RIGHT([1]!Tabla2[[#This Row],[Marca y Modelo]], LEN([1]!Tabla2[[#This Row],[Marca y Modelo]]) - FIND(" ", [1]!Tabla2[[#This Row],[Marca y Modelo]]))</f>
        <v>Basic Lion</v>
      </c>
      <c r="J52" s="47"/>
      <c r="K52" s="92" t="s">
        <v>4057</v>
      </c>
      <c r="L52" s="92" t="s">
        <v>2663</v>
      </c>
      <c r="M52" s="92" t="s">
        <v>1404</v>
      </c>
      <c r="N52" s="92" t="s">
        <v>1466</v>
      </c>
      <c r="P52" s="92" t="s">
        <v>2528</v>
      </c>
      <c r="R52" s="48" t="s">
        <v>216</v>
      </c>
      <c r="AE52" t="s">
        <v>60</v>
      </c>
      <c r="AH52" s="67" t="s">
        <v>292</v>
      </c>
    </row>
    <row r="53" spans="2:43" x14ac:dyDescent="0.3">
      <c r="B53" t="str">
        <f>LEFT(Tabla3890134177220392[[#This Row],[Descripción del equipo]], FIND(" ", Tabla3890134177220392[[#This Row],[Descripción del equipo]] &amp; " ") - 1)</f>
        <v>Arnes</v>
      </c>
      <c r="C53" s="11" t="s">
        <v>1092</v>
      </c>
      <c r="D53">
        <v>1</v>
      </c>
      <c r="E53" s="11" t="s">
        <v>160</v>
      </c>
      <c r="F53" s="91" t="s">
        <v>1056</v>
      </c>
      <c r="G53" s="15" t="str">
        <f>LEFT([1]modificado!$O$2, FIND(" ", [1]modificado!$O$2 &amp; " ") - 1)</f>
        <v>3M</v>
      </c>
      <c r="H53" s="47" t="str">
        <f>RIGHT([1]!Tabla2[[#This Row],[Marca y Modelo]], LEN([1]!Tabla2[[#This Row],[Marca y Modelo]]) - FIND(" ", [1]!Tabla2[[#This Row],[Marca y Modelo]]))</f>
        <v>Musitani Tiger</v>
      </c>
      <c r="J53" s="47"/>
      <c r="K53" s="91" t="s">
        <v>4057</v>
      </c>
      <c r="L53" s="91" t="s">
        <v>2664</v>
      </c>
      <c r="M53" s="91" t="s">
        <v>1404</v>
      </c>
      <c r="N53" s="91" t="s">
        <v>1467</v>
      </c>
      <c r="P53" s="91" t="s">
        <v>2528</v>
      </c>
      <c r="R53" s="48" t="s">
        <v>216</v>
      </c>
      <c r="AE53" s="70" t="s">
        <v>293</v>
      </c>
      <c r="AH53" s="22" t="s">
        <v>294</v>
      </c>
    </row>
    <row r="54" spans="2:43" x14ac:dyDescent="0.3">
      <c r="B54" t="str">
        <f>LEFT(Tabla3890134177220392[[#This Row],[Descripción del equipo]], FIND(" ", Tabla3890134177220392[[#This Row],[Descripción del equipo]] &amp; " ") - 1)</f>
        <v>Arnes</v>
      </c>
      <c r="C54" s="11" t="s">
        <v>1092</v>
      </c>
      <c r="D54">
        <v>1</v>
      </c>
      <c r="E54" s="11" t="s">
        <v>160</v>
      </c>
      <c r="F54" s="92" t="s">
        <v>1056</v>
      </c>
      <c r="G54" s="15" t="str">
        <f>LEFT([1]modificado!$O$2, FIND(" ", [1]modificado!$O$2 &amp; " ") - 1)</f>
        <v>3M</v>
      </c>
      <c r="H54" s="47" t="str">
        <f>RIGHT([1]!Tabla2[[#This Row],[Marca y Modelo]], LEN([1]!Tabla2[[#This Row],[Marca y Modelo]]) - FIND(" ", [1]!Tabla2[[#This Row],[Marca y Modelo]]))</f>
        <v>Musitani Space</v>
      </c>
      <c r="J54" s="47"/>
      <c r="K54" s="92" t="s">
        <v>4057</v>
      </c>
      <c r="L54" s="92" t="s">
        <v>2665</v>
      </c>
      <c r="M54" s="92" t="s">
        <v>1406</v>
      </c>
      <c r="N54" s="92" t="s">
        <v>1468</v>
      </c>
      <c r="P54" s="92" t="s">
        <v>2528</v>
      </c>
      <c r="R54" s="48" t="s">
        <v>216</v>
      </c>
      <c r="AH54" s="22" t="s">
        <v>295</v>
      </c>
    </row>
    <row r="55" spans="2:43" x14ac:dyDescent="0.3">
      <c r="B55" t="str">
        <f>LEFT(Tabla3890134177220392[[#This Row],[Descripción del equipo]], FIND(" ", Tabla3890134177220392[[#This Row],[Descripción del equipo]] &amp; " ") - 1)</f>
        <v>Arnes</v>
      </c>
      <c r="C55" s="11" t="s">
        <v>1092</v>
      </c>
      <c r="D55">
        <v>1</v>
      </c>
      <c r="E55" s="11" t="s">
        <v>160</v>
      </c>
      <c r="F55" s="91" t="s">
        <v>1056</v>
      </c>
      <c r="G55" s="15" t="str">
        <f>LEFT([1]modificado!$O$2, FIND(" ", [1]modificado!$O$2 &amp; " ") - 1)</f>
        <v>3M</v>
      </c>
      <c r="H55" s="47" t="str">
        <f>RIGHT([1]!Tabla2[[#This Row],[Marca y Modelo]], LEN([1]!Tabla2[[#This Row],[Marca y Modelo]]) - FIND(" ", [1]!Tabla2[[#This Row],[Marca y Modelo]]))</f>
        <v>Basic Lion</v>
      </c>
      <c r="J55" s="47"/>
      <c r="K55" s="91" t="s">
        <v>4057</v>
      </c>
      <c r="L55" s="91" t="s">
        <v>2666</v>
      </c>
      <c r="M55" s="91" t="s">
        <v>1404</v>
      </c>
      <c r="N55" s="91" t="s">
        <v>1469</v>
      </c>
      <c r="P55" s="91" t="s">
        <v>2528</v>
      </c>
      <c r="R55" s="48" t="s">
        <v>216</v>
      </c>
      <c r="AH55" s="22" t="s">
        <v>296</v>
      </c>
    </row>
    <row r="56" spans="2:43" x14ac:dyDescent="0.3">
      <c r="B56" t="str">
        <f>LEFT(Tabla3890134177220392[[#This Row],[Descripción del equipo]], FIND(" ", Tabla3890134177220392[[#This Row],[Descripción del equipo]] &amp; " ") - 1)</f>
        <v>Arnes</v>
      </c>
      <c r="C56" s="11" t="s">
        <v>1092</v>
      </c>
      <c r="D56">
        <v>1</v>
      </c>
      <c r="E56" s="11" t="s">
        <v>160</v>
      </c>
      <c r="F56" s="92" t="s">
        <v>1056</v>
      </c>
      <c r="G56" s="15" t="str">
        <f>LEFT([1]modificado!$O$2, FIND(" ", [1]modificado!$O$2 &amp; " ") - 1)</f>
        <v>3M</v>
      </c>
      <c r="H56" s="47" t="str">
        <f>RIGHT([1]!Tabla2[[#This Row],[Marca y Modelo]], LEN([1]!Tabla2[[#This Row],[Marca y Modelo]]) - FIND(" ", [1]!Tabla2[[#This Row],[Marca y Modelo]]))</f>
        <v>Musitani Space</v>
      </c>
      <c r="J56" s="47"/>
      <c r="K56" s="92" t="s">
        <v>4057</v>
      </c>
      <c r="L56" s="92" t="s">
        <v>2667</v>
      </c>
      <c r="M56" s="92" t="s">
        <v>1406</v>
      </c>
      <c r="N56" s="92" t="s">
        <v>1470</v>
      </c>
      <c r="P56" s="92" t="s">
        <v>2528</v>
      </c>
      <c r="R56" s="48" t="s">
        <v>216</v>
      </c>
      <c r="AG56" t="s">
        <v>297</v>
      </c>
      <c r="AH56" s="18" t="s">
        <v>298</v>
      </c>
    </row>
    <row r="57" spans="2:43" x14ac:dyDescent="0.3">
      <c r="B57" t="str">
        <f>LEFT(Tabla3890134177220392[[#This Row],[Descripción del equipo]], FIND(" ", Tabla3890134177220392[[#This Row],[Descripción del equipo]] &amp; " ") - 1)</f>
        <v>Arnes</v>
      </c>
      <c r="C57" s="11" t="s">
        <v>1092</v>
      </c>
      <c r="D57">
        <v>1</v>
      </c>
      <c r="E57" s="11" t="s">
        <v>160</v>
      </c>
      <c r="F57" s="91" t="s">
        <v>1056</v>
      </c>
      <c r="G57" s="15" t="str">
        <f>LEFT([1]modificado!$O$2, FIND(" ", [1]modificado!$O$2 &amp; " ") - 1)</f>
        <v>3M</v>
      </c>
      <c r="H57" s="47" t="str">
        <f>RIGHT([1]!Tabla2[[#This Row],[Marca y Modelo]], LEN([1]!Tabla2[[#This Row],[Marca y Modelo]]) - FIND(" ", [1]!Tabla2[[#This Row],[Marca y Modelo]]))</f>
        <v>Musitani Space</v>
      </c>
      <c r="J57" s="47"/>
      <c r="K57" s="91" t="s">
        <v>4057</v>
      </c>
      <c r="L57" s="91" t="s">
        <v>2668</v>
      </c>
      <c r="M57" s="91" t="s">
        <v>1406</v>
      </c>
      <c r="N57" s="91" t="s">
        <v>1471</v>
      </c>
      <c r="P57" s="91" t="s">
        <v>2528</v>
      </c>
      <c r="R57" s="48" t="s">
        <v>216</v>
      </c>
      <c r="AG57" t="s">
        <v>299</v>
      </c>
      <c r="AH57" s="22" t="s">
        <v>300</v>
      </c>
    </row>
    <row r="58" spans="2:43" x14ac:dyDescent="0.3">
      <c r="B58" t="str">
        <f>LEFT(Tabla3890134177220392[[#This Row],[Descripción del equipo]], FIND(" ", Tabla3890134177220392[[#This Row],[Descripción del equipo]] &amp; " ") - 1)</f>
        <v>Arnes</v>
      </c>
      <c r="C58" s="11" t="s">
        <v>1092</v>
      </c>
      <c r="D58">
        <v>1</v>
      </c>
      <c r="E58" s="11" t="s">
        <v>160</v>
      </c>
      <c r="F58" s="92" t="s">
        <v>1056</v>
      </c>
      <c r="G58" s="15" t="str">
        <f>LEFT([1]modificado!$O$2, FIND(" ", [1]modificado!$O$2 &amp; " ") - 1)</f>
        <v>3M</v>
      </c>
      <c r="H58" s="47" t="str">
        <f>RIGHT([1]!Tabla2[[#This Row],[Marca y Modelo]], LEN([1]!Tabla2[[#This Row],[Marca y Modelo]]) - FIND(" ", [1]!Tabla2[[#This Row],[Marca y Modelo]]))</f>
        <v>Basic Lion</v>
      </c>
      <c r="J58" s="47"/>
      <c r="K58" s="92" t="s">
        <v>4057</v>
      </c>
      <c r="L58" s="92" t="s">
        <v>2669</v>
      </c>
      <c r="M58" s="92" t="s">
        <v>1404</v>
      </c>
      <c r="N58" s="92" t="s">
        <v>1472</v>
      </c>
      <c r="P58" s="92" t="s">
        <v>2528</v>
      </c>
      <c r="R58" s="48" t="s">
        <v>216</v>
      </c>
      <c r="AE58" t="s">
        <v>23</v>
      </c>
      <c r="AH58" s="18" t="s">
        <v>301</v>
      </c>
    </row>
    <row r="59" spans="2:43" x14ac:dyDescent="0.3">
      <c r="B59" t="str">
        <f>LEFT(Tabla3890134177220392[[#This Row],[Descripción del equipo]], FIND(" ", Tabla3890134177220392[[#This Row],[Descripción del equipo]] &amp; " ") - 1)</f>
        <v>Arnes</v>
      </c>
      <c r="C59" s="11" t="s">
        <v>1092</v>
      </c>
      <c r="D59">
        <v>1</v>
      </c>
      <c r="E59" s="11" t="s">
        <v>160</v>
      </c>
      <c r="F59" s="91" t="s">
        <v>1056</v>
      </c>
      <c r="G59" s="15" t="str">
        <f>LEFT([1]modificado!$O$2, FIND(" ", [1]modificado!$O$2 &amp; " ") - 1)</f>
        <v>3M</v>
      </c>
      <c r="H59" s="47" t="str">
        <f>RIGHT([1]!Tabla2[[#This Row],[Marca y Modelo]], LEN([1]!Tabla2[[#This Row],[Marca y Modelo]]) - FIND(" ", [1]!Tabla2[[#This Row],[Marca y Modelo]]))</f>
        <v>1191279</v>
      </c>
      <c r="J59" s="47"/>
      <c r="K59" s="91" t="s">
        <v>4058</v>
      </c>
      <c r="L59" s="91" t="s">
        <v>2670</v>
      </c>
      <c r="M59" s="91" t="s">
        <v>1404</v>
      </c>
      <c r="N59" s="91" t="s">
        <v>1473</v>
      </c>
      <c r="P59" s="91" t="s">
        <v>2528</v>
      </c>
      <c r="R59" s="48" t="s">
        <v>216</v>
      </c>
      <c r="AE59" t="s">
        <v>302</v>
      </c>
      <c r="AH59" s="70" t="s">
        <v>303</v>
      </c>
    </row>
    <row r="60" spans="2:43" x14ac:dyDescent="0.3">
      <c r="B60" t="str">
        <f>LEFT(Tabla3890134177220392[[#This Row],[Descripción del equipo]], FIND(" ", Tabla3890134177220392[[#This Row],[Descripción del equipo]] &amp; " ") - 1)</f>
        <v>Arnes</v>
      </c>
      <c r="C60" s="11" t="s">
        <v>1092</v>
      </c>
      <c r="D60">
        <v>1</v>
      </c>
      <c r="E60" s="11" t="s">
        <v>160</v>
      </c>
      <c r="F60" s="92" t="s">
        <v>1056</v>
      </c>
      <c r="G60" s="15" t="str">
        <f>LEFT([1]modificado!$O$2, FIND(" ", [1]modificado!$O$2 &amp; " ") - 1)</f>
        <v>3M</v>
      </c>
      <c r="H60" s="47" t="str">
        <f>RIGHT([1]!Tabla2[[#This Row],[Marca y Modelo]], LEN([1]!Tabla2[[#This Row],[Marca y Modelo]]) - FIND(" ", [1]!Tabla2[[#This Row],[Marca y Modelo]]))</f>
        <v>1191279</v>
      </c>
      <c r="J60" s="47"/>
      <c r="K60" s="92" t="s">
        <v>4058</v>
      </c>
      <c r="L60" s="92" t="s">
        <v>2671</v>
      </c>
      <c r="M60" s="92" t="s">
        <v>1404</v>
      </c>
      <c r="N60" s="92" t="s">
        <v>1474</v>
      </c>
      <c r="P60" s="92" t="s">
        <v>2528</v>
      </c>
      <c r="R60" s="48" t="s">
        <v>216</v>
      </c>
      <c r="AG60" t="s">
        <v>62</v>
      </c>
    </row>
    <row r="61" spans="2:43" x14ac:dyDescent="0.3">
      <c r="B61" t="str">
        <f>LEFT(Tabla3890134177220392[[#This Row],[Descripción del equipo]], FIND(" ", Tabla3890134177220392[[#This Row],[Descripción del equipo]] &amp; " ") - 1)</f>
        <v>Arnes</v>
      </c>
      <c r="C61" s="11" t="s">
        <v>1092</v>
      </c>
      <c r="D61">
        <v>1</v>
      </c>
      <c r="E61" s="11" t="s">
        <v>160</v>
      </c>
      <c r="F61" s="91" t="s">
        <v>1056</v>
      </c>
      <c r="G61" s="15" t="str">
        <f>LEFT([1]modificado!$O$2, FIND(" ", [1]modificado!$O$2 &amp; " ") - 1)</f>
        <v>3M</v>
      </c>
      <c r="H61" s="47" t="str">
        <f>RIGHT([1]!Tabla2[[#This Row],[Marca y Modelo]], LEN([1]!Tabla2[[#This Row],[Marca y Modelo]]) - FIND(" ", [1]!Tabla2[[#This Row],[Marca y Modelo]]))</f>
        <v>1191279</v>
      </c>
      <c r="J61" s="47"/>
      <c r="K61" s="91" t="s">
        <v>4058</v>
      </c>
      <c r="L61" s="91" t="s">
        <v>2672</v>
      </c>
      <c r="M61" s="91" t="s">
        <v>1404</v>
      </c>
      <c r="N61" s="91" t="s">
        <v>1475</v>
      </c>
      <c r="P61" s="91" t="s">
        <v>2528</v>
      </c>
      <c r="R61" s="48" t="s">
        <v>216</v>
      </c>
      <c r="AG61" s="70" t="s">
        <v>304</v>
      </c>
      <c r="AH61" t="s">
        <v>305</v>
      </c>
    </row>
    <row r="62" spans="2:43" x14ac:dyDescent="0.3">
      <c r="B62" t="str">
        <f>LEFT(Tabla3890134177220392[[#This Row],[Descripción del equipo]], FIND(" ", Tabla3890134177220392[[#This Row],[Descripción del equipo]] &amp; " ") - 1)</f>
        <v>Arnes</v>
      </c>
      <c r="C62" s="11" t="s">
        <v>1092</v>
      </c>
      <c r="D62">
        <v>1</v>
      </c>
      <c r="E62" s="11" t="s">
        <v>160</v>
      </c>
      <c r="F62" s="92" t="s">
        <v>1056</v>
      </c>
      <c r="G62" s="15" t="str">
        <f>LEFT([1]modificado!$O$2, FIND(" ", [1]modificado!$O$2 &amp; " ") - 1)</f>
        <v>3M</v>
      </c>
      <c r="H62" s="47" t="str">
        <f>RIGHT([1]!Tabla2[[#This Row],[Marca y Modelo]], LEN([1]!Tabla2[[#This Row],[Marca y Modelo]]) - FIND(" ", [1]!Tabla2[[#This Row],[Marca y Modelo]]))</f>
        <v>1191279</v>
      </c>
      <c r="J62" s="47"/>
      <c r="K62" s="92" t="s">
        <v>4058</v>
      </c>
      <c r="L62" s="92" t="s">
        <v>2673</v>
      </c>
      <c r="M62" s="92" t="s">
        <v>1404</v>
      </c>
      <c r="N62" s="92" t="s">
        <v>1476</v>
      </c>
      <c r="P62" s="92" t="s">
        <v>2528</v>
      </c>
      <c r="R62" s="48" t="s">
        <v>216</v>
      </c>
      <c r="AE62" t="s">
        <v>64</v>
      </c>
      <c r="AH62" t="s">
        <v>306</v>
      </c>
    </row>
    <row r="63" spans="2:43" x14ac:dyDescent="0.3">
      <c r="B63" t="str">
        <f>LEFT(Tabla3890134177220392[[#This Row],[Descripción del equipo]], FIND(" ", Tabla3890134177220392[[#This Row],[Descripción del equipo]] &amp; " ") - 1)</f>
        <v>Arnes</v>
      </c>
      <c r="C63" s="11" t="s">
        <v>1092</v>
      </c>
      <c r="D63">
        <v>1</v>
      </c>
      <c r="E63" s="11" t="s">
        <v>160</v>
      </c>
      <c r="F63" s="91" t="s">
        <v>1056</v>
      </c>
      <c r="G63" s="15" t="str">
        <f>LEFT([1]modificado!$O$2, FIND(" ", [1]modificado!$O$2 &amp; " ") - 1)</f>
        <v>3M</v>
      </c>
      <c r="H63" s="47" t="str">
        <f>RIGHT([1]!Tabla2[[#This Row],[Marca y Modelo]], LEN([1]!Tabla2[[#This Row],[Marca y Modelo]]) - FIND(" ", [1]!Tabla2[[#This Row],[Marca y Modelo]]))</f>
        <v>1191279</v>
      </c>
      <c r="J63" s="47"/>
      <c r="K63" s="91" t="s">
        <v>4058</v>
      </c>
      <c r="L63" s="91" t="s">
        <v>2674</v>
      </c>
      <c r="M63" s="91" t="s">
        <v>1404</v>
      </c>
      <c r="N63" s="91" t="s">
        <v>1477</v>
      </c>
      <c r="P63" s="91" t="s">
        <v>2528</v>
      </c>
      <c r="R63" s="48" t="s">
        <v>216</v>
      </c>
      <c r="AE63" s="75" t="s">
        <v>307</v>
      </c>
      <c r="AG63" t="s">
        <v>89</v>
      </c>
    </row>
    <row r="64" spans="2:43" ht="28.8" x14ac:dyDescent="0.3">
      <c r="B64" t="str">
        <f>LEFT(Tabla3890134177220392[[#This Row],[Descripción del equipo]], FIND(" ", Tabla3890134177220392[[#This Row],[Descripción del equipo]] &amp; " ") - 1)</f>
        <v>Arnes</v>
      </c>
      <c r="C64" s="11" t="s">
        <v>1092</v>
      </c>
      <c r="D64">
        <v>1</v>
      </c>
      <c r="E64" s="11" t="s">
        <v>160</v>
      </c>
      <c r="F64" s="92" t="s">
        <v>1056</v>
      </c>
      <c r="G64" s="15" t="str">
        <f>LEFT([1]modificado!$O$2, FIND(" ", [1]modificado!$O$2 &amp; " ") - 1)</f>
        <v>3M</v>
      </c>
      <c r="H64" s="47" t="str">
        <f>RIGHT([1]!Tabla2[[#This Row],[Marca y Modelo]], LEN([1]!Tabla2[[#This Row],[Marca y Modelo]]) - FIND(" ", [1]!Tabla2[[#This Row],[Marca y Modelo]]))</f>
        <v>1191279</v>
      </c>
      <c r="J64" s="47"/>
      <c r="K64" s="92" t="s">
        <v>4058</v>
      </c>
      <c r="L64" s="92" t="s">
        <v>2675</v>
      </c>
      <c r="M64" s="92" t="s">
        <v>1404</v>
      </c>
      <c r="N64" s="92" t="s">
        <v>1478</v>
      </c>
      <c r="P64" s="92" t="s">
        <v>2528</v>
      </c>
      <c r="R64" s="48" t="s">
        <v>216</v>
      </c>
      <c r="AE64" s="70" t="s">
        <v>308</v>
      </c>
      <c r="AG64" s="12" t="s">
        <v>309</v>
      </c>
      <c r="AH64" t="s">
        <v>102</v>
      </c>
    </row>
    <row r="65" spans="2:34" x14ac:dyDescent="0.3">
      <c r="B65" t="str">
        <f>LEFT(Tabla3890134177220392[[#This Row],[Descripción del equipo]], FIND(" ", Tabla3890134177220392[[#This Row],[Descripción del equipo]] &amp; " ") - 1)</f>
        <v>Arnes</v>
      </c>
      <c r="C65" s="11" t="s">
        <v>1092</v>
      </c>
      <c r="D65">
        <v>1</v>
      </c>
      <c r="E65" s="11" t="s">
        <v>160</v>
      </c>
      <c r="F65" s="91" t="s">
        <v>1056</v>
      </c>
      <c r="G65" s="15" t="str">
        <f>LEFT([1]modificado!$O$2, FIND(" ", [1]modificado!$O$2 &amp; " ") - 1)</f>
        <v>3M</v>
      </c>
      <c r="H65" s="47" t="str">
        <f>RIGHT([1]!Tabla2[[#This Row],[Marca y Modelo]], LEN([1]!Tabla2[[#This Row],[Marca y Modelo]]) - FIND(" ", [1]!Tabla2[[#This Row],[Marca y Modelo]]))</f>
        <v>1191279</v>
      </c>
      <c r="J65" s="47"/>
      <c r="K65" s="91" t="s">
        <v>4058</v>
      </c>
      <c r="L65" s="91" t="s">
        <v>2676</v>
      </c>
      <c r="M65" s="91" t="s">
        <v>1404</v>
      </c>
      <c r="N65" s="91" t="s">
        <v>1479</v>
      </c>
      <c r="P65" s="91" t="s">
        <v>2528</v>
      </c>
      <c r="R65" s="48" t="s">
        <v>216</v>
      </c>
      <c r="AH65" t="s">
        <v>310</v>
      </c>
    </row>
    <row r="66" spans="2:34" x14ac:dyDescent="0.3">
      <c r="B66" t="str">
        <f>LEFT(Tabla3890134177220392[[#This Row],[Descripción del equipo]], FIND(" ", Tabla3890134177220392[[#This Row],[Descripción del equipo]] &amp; " ") - 1)</f>
        <v>Arnes</v>
      </c>
      <c r="C66" s="11" t="s">
        <v>1092</v>
      </c>
      <c r="D66">
        <v>1</v>
      </c>
      <c r="E66" s="11" t="s">
        <v>160</v>
      </c>
      <c r="F66" s="92" t="s">
        <v>1056</v>
      </c>
      <c r="G66" s="15" t="str">
        <f>LEFT([1]modificado!$O$2, FIND(" ", [1]modificado!$O$2 &amp; " ") - 1)</f>
        <v>3M</v>
      </c>
      <c r="H66" s="47" t="str">
        <f>RIGHT([1]!Tabla2[[#This Row],[Marca y Modelo]], LEN([1]!Tabla2[[#This Row],[Marca y Modelo]]) - FIND(" ", [1]!Tabla2[[#This Row],[Marca y Modelo]]))</f>
        <v>1191279</v>
      </c>
      <c r="J66" s="47"/>
      <c r="K66" s="92" t="s">
        <v>4058</v>
      </c>
      <c r="L66" s="92" t="s">
        <v>2677</v>
      </c>
      <c r="M66" s="92" t="s">
        <v>1404</v>
      </c>
      <c r="N66" s="92" t="s">
        <v>1480</v>
      </c>
      <c r="P66" s="92" t="s">
        <v>2528</v>
      </c>
      <c r="R66" s="48" t="s">
        <v>216</v>
      </c>
      <c r="AE66" t="s">
        <v>101</v>
      </c>
      <c r="AG66" s="34" t="s">
        <v>73</v>
      </c>
    </row>
    <row r="67" spans="2:34" x14ac:dyDescent="0.3">
      <c r="B67" t="str">
        <f>LEFT(Tabla3890134177220392[[#This Row],[Descripción del equipo]], FIND(" ", Tabla3890134177220392[[#This Row],[Descripción del equipo]] &amp; " ") - 1)</f>
        <v>Arnes</v>
      </c>
      <c r="C67" s="11" t="s">
        <v>1092</v>
      </c>
      <c r="D67">
        <v>1</v>
      </c>
      <c r="E67" s="11" t="s">
        <v>160</v>
      </c>
      <c r="F67" s="91" t="s">
        <v>1056</v>
      </c>
      <c r="G67" s="15" t="str">
        <f>LEFT([1]modificado!$O$2, FIND(" ", [1]modificado!$O$2 &amp; " ") - 1)</f>
        <v>3M</v>
      </c>
      <c r="H67" s="47" t="str">
        <f>RIGHT([1]!Tabla2[[#This Row],[Marca y Modelo]], LEN([1]!Tabla2[[#This Row],[Marca y Modelo]]) - FIND(" ", [1]!Tabla2[[#This Row],[Marca y Modelo]]))</f>
        <v>1191279</v>
      </c>
      <c r="J67" s="47"/>
      <c r="K67" s="91" t="s">
        <v>4058</v>
      </c>
      <c r="L67" s="91" t="s">
        <v>2678</v>
      </c>
      <c r="M67" s="91" t="s">
        <v>1404</v>
      </c>
      <c r="N67" s="91" t="s">
        <v>1481</v>
      </c>
      <c r="P67" s="91" t="s">
        <v>2528</v>
      </c>
      <c r="R67" s="48" t="s">
        <v>216</v>
      </c>
      <c r="AE67" t="s">
        <v>311</v>
      </c>
      <c r="AG67" s="22" t="s">
        <v>312</v>
      </c>
      <c r="AH67" t="s">
        <v>313</v>
      </c>
    </row>
    <row r="68" spans="2:34" x14ac:dyDescent="0.3">
      <c r="B68" t="str">
        <f>LEFT(Tabla3890134177220392[[#This Row],[Descripción del equipo]], FIND(" ", Tabla3890134177220392[[#This Row],[Descripción del equipo]] &amp; " ") - 1)</f>
        <v>Arnes</v>
      </c>
      <c r="C68" s="11" t="s">
        <v>1092</v>
      </c>
      <c r="D68">
        <v>1</v>
      </c>
      <c r="E68" s="11" t="s">
        <v>160</v>
      </c>
      <c r="F68" s="92" t="s">
        <v>1056</v>
      </c>
      <c r="G68" s="15" t="str">
        <f>LEFT([1]modificado!$O$2, FIND(" ", [1]modificado!$O$2 &amp; " ") - 1)</f>
        <v>3M</v>
      </c>
      <c r="H68" s="47" t="str">
        <f>RIGHT([1]!Tabla2[[#This Row],[Marca y Modelo]], LEN([1]!Tabla2[[#This Row],[Marca y Modelo]]) - FIND(" ", [1]!Tabla2[[#This Row],[Marca y Modelo]]))</f>
        <v>Basic Lion</v>
      </c>
      <c r="J68" s="47"/>
      <c r="K68" s="92" t="s">
        <v>4058</v>
      </c>
      <c r="L68" s="92" t="s">
        <v>2679</v>
      </c>
      <c r="M68" s="92" t="s">
        <v>1404</v>
      </c>
      <c r="N68" s="92" t="s">
        <v>1482</v>
      </c>
      <c r="P68" s="92" t="s">
        <v>2528</v>
      </c>
      <c r="R68" s="48" t="s">
        <v>216</v>
      </c>
      <c r="AH68" s="21" t="s">
        <v>314</v>
      </c>
    </row>
    <row r="69" spans="2:34" x14ac:dyDescent="0.3">
      <c r="B69" t="str">
        <f>LEFT(Tabla3890134177220392[[#This Row],[Descripción del equipo]], FIND(" ", Tabla3890134177220392[[#This Row],[Descripción del equipo]] &amp; " ") - 1)</f>
        <v>Arnes</v>
      </c>
      <c r="C69" s="11" t="s">
        <v>1092</v>
      </c>
      <c r="D69">
        <v>1</v>
      </c>
      <c r="E69" s="11" t="s">
        <v>160</v>
      </c>
      <c r="F69" s="91" t="s">
        <v>1056</v>
      </c>
      <c r="G69" s="15" t="str">
        <f>LEFT([1]modificado!$O$2, FIND(" ", [1]modificado!$O$2 &amp; " ") - 1)</f>
        <v>3M</v>
      </c>
      <c r="H69" s="47" t="str">
        <f>RIGHT([1]!Tabla2[[#This Row],[Marca y Modelo]], LEN([1]!Tabla2[[#This Row],[Marca y Modelo]]) - FIND(" ", [1]!Tabla2[[#This Row],[Marca y Modelo]]))</f>
        <v>Basic Lion</v>
      </c>
      <c r="J69" s="47"/>
      <c r="K69" s="91" t="s">
        <v>4058</v>
      </c>
      <c r="L69" s="91" t="s">
        <v>2680</v>
      </c>
      <c r="M69" s="91" t="s">
        <v>1404</v>
      </c>
      <c r="N69" s="91" t="s">
        <v>1483</v>
      </c>
      <c r="P69" s="91" t="s">
        <v>2528</v>
      </c>
      <c r="R69" s="48" t="s">
        <v>216</v>
      </c>
      <c r="AH69" s="70" t="s">
        <v>315</v>
      </c>
    </row>
    <row r="70" spans="2:34" x14ac:dyDescent="0.3">
      <c r="B70" t="str">
        <f>LEFT(Tabla3890134177220392[[#This Row],[Descripción del equipo]], FIND(" ", Tabla3890134177220392[[#This Row],[Descripción del equipo]] &amp; " ") - 1)</f>
        <v>Arnes</v>
      </c>
      <c r="C70" s="11" t="s">
        <v>1092</v>
      </c>
      <c r="D70">
        <v>1</v>
      </c>
      <c r="E70" s="11" t="s">
        <v>160</v>
      </c>
      <c r="F70" s="92" t="s">
        <v>1056</v>
      </c>
      <c r="G70" s="15" t="str">
        <f>LEFT([1]modificado!$O$2, FIND(" ", [1]modificado!$O$2 &amp; " ") - 1)</f>
        <v>3M</v>
      </c>
      <c r="H70" s="47" t="str">
        <f>RIGHT([1]!Tabla2[[#This Row],[Marca y Modelo]], LEN([1]!Tabla2[[#This Row],[Marca y Modelo]]) - FIND(" ", [1]!Tabla2[[#This Row],[Marca y Modelo]]))</f>
        <v>Musitani Space</v>
      </c>
      <c r="J70" s="47"/>
      <c r="K70" s="92" t="s">
        <v>4058</v>
      </c>
      <c r="L70" s="92" t="s">
        <v>2681</v>
      </c>
      <c r="M70" s="92" t="s">
        <v>1406</v>
      </c>
      <c r="N70" s="92" t="s">
        <v>1484</v>
      </c>
      <c r="P70" s="92" t="s">
        <v>2528</v>
      </c>
      <c r="R70" s="48" t="s">
        <v>216</v>
      </c>
    </row>
    <row r="71" spans="2:34" x14ac:dyDescent="0.3">
      <c r="B71" t="str">
        <f>LEFT(Tabla3890134177220392[[#This Row],[Descripción del equipo]], FIND(" ", Tabla3890134177220392[[#This Row],[Descripción del equipo]] &amp; " ") - 1)</f>
        <v>Arnes</v>
      </c>
      <c r="C71" s="11" t="s">
        <v>1092</v>
      </c>
      <c r="D71">
        <v>1</v>
      </c>
      <c r="E71" s="11" t="s">
        <v>160</v>
      </c>
      <c r="F71" s="91" t="s">
        <v>1056</v>
      </c>
      <c r="G71" s="15" t="str">
        <f>LEFT([1]modificado!$O$2, FIND(" ", [1]modificado!$O$2 &amp; " ") - 1)</f>
        <v>3M</v>
      </c>
      <c r="H71" s="47" t="str">
        <f>RIGHT([1]!Tabla2[[#This Row],[Marca y Modelo]], LEN([1]!Tabla2[[#This Row],[Marca y Modelo]]) - FIND(" ", [1]!Tabla2[[#This Row],[Marca y Modelo]]))</f>
        <v>1191279</v>
      </c>
      <c r="J71" s="47"/>
      <c r="K71" s="91" t="s">
        <v>4058</v>
      </c>
      <c r="L71" s="91" t="s">
        <v>2682</v>
      </c>
      <c r="M71" s="91" t="s">
        <v>1404</v>
      </c>
      <c r="N71" s="91" t="s">
        <v>1485</v>
      </c>
      <c r="P71" s="91" t="s">
        <v>2528</v>
      </c>
      <c r="R71" s="48" t="s">
        <v>216</v>
      </c>
    </row>
    <row r="72" spans="2:34" x14ac:dyDescent="0.3">
      <c r="B72" t="str">
        <f>LEFT(Tabla3890134177220392[[#This Row],[Descripción del equipo]], FIND(" ", Tabla3890134177220392[[#This Row],[Descripción del equipo]] &amp; " ") - 1)</f>
        <v>Arnes</v>
      </c>
      <c r="C72" s="11" t="s">
        <v>1092</v>
      </c>
      <c r="D72">
        <v>1</v>
      </c>
      <c r="E72" s="11" t="s">
        <v>160</v>
      </c>
      <c r="F72" s="92" t="s">
        <v>1056</v>
      </c>
      <c r="G72" s="15" t="str">
        <f>LEFT([1]modificado!$O$2, FIND(" ", [1]modificado!$O$2 &amp; " ") - 1)</f>
        <v>3M</v>
      </c>
      <c r="H72" s="47" t="str">
        <f>RIGHT([1]!Tabla2[[#This Row],[Marca y Modelo]], LEN([1]!Tabla2[[#This Row],[Marca y Modelo]]) - FIND(" ", [1]!Tabla2[[#This Row],[Marca y Modelo]]))</f>
        <v>1191279</v>
      </c>
      <c r="J72" s="47"/>
      <c r="K72" s="92" t="s">
        <v>4058</v>
      </c>
      <c r="L72" s="92" t="s">
        <v>2683</v>
      </c>
      <c r="M72" s="92" t="s">
        <v>1404</v>
      </c>
      <c r="N72" s="92" t="s">
        <v>1486</v>
      </c>
      <c r="P72" s="92" t="s">
        <v>2528</v>
      </c>
      <c r="R72" s="48" t="s">
        <v>216</v>
      </c>
    </row>
    <row r="73" spans="2:34" x14ac:dyDescent="0.3">
      <c r="B73" t="str">
        <f>LEFT(Tabla3890134177220392[[#This Row],[Descripción del equipo]], FIND(" ", Tabla3890134177220392[[#This Row],[Descripción del equipo]] &amp; " ") - 1)</f>
        <v>Arnes</v>
      </c>
      <c r="C73" s="11" t="s">
        <v>1092</v>
      </c>
      <c r="D73">
        <v>1</v>
      </c>
      <c r="E73" s="11" t="s">
        <v>160</v>
      </c>
      <c r="F73" s="91" t="s">
        <v>1056</v>
      </c>
      <c r="G73" s="15" t="str">
        <f>LEFT([1]modificado!$O$2, FIND(" ", [1]modificado!$O$2 &amp; " ") - 1)</f>
        <v>3M</v>
      </c>
      <c r="H73" s="47" t="str">
        <f>RIGHT([1]!Tabla2[[#This Row],[Marca y Modelo]], LEN([1]!Tabla2[[#This Row],[Marca y Modelo]]) - FIND(" ", [1]!Tabla2[[#This Row],[Marca y Modelo]]))</f>
        <v>1191279</v>
      </c>
      <c r="J73" s="47"/>
      <c r="K73" s="91" t="s">
        <v>4058</v>
      </c>
      <c r="L73" s="91" t="s">
        <v>2684</v>
      </c>
      <c r="M73" s="91" t="s">
        <v>1404</v>
      </c>
      <c r="N73" s="91" t="s">
        <v>1487</v>
      </c>
      <c r="P73" s="91" t="s">
        <v>2528</v>
      </c>
      <c r="R73" s="48" t="s">
        <v>216</v>
      </c>
    </row>
    <row r="74" spans="2:34" x14ac:dyDescent="0.3">
      <c r="B74" t="s">
        <v>4348</v>
      </c>
      <c r="C74" s="11" t="s">
        <v>1092</v>
      </c>
      <c r="D74">
        <v>1</v>
      </c>
      <c r="E74" s="11" t="s">
        <v>160</v>
      </c>
      <c r="F74" s="92" t="s">
        <v>1070</v>
      </c>
      <c r="G74" s="15" t="str">
        <f>LEFT([1]modificado!$O$2, FIND(" ", [1]modificado!$O$2 &amp; " ") - 1)</f>
        <v>3M</v>
      </c>
      <c r="H74" s="47" t="str">
        <f>RIGHT([1]!Tabla2[[#This Row],[Marca y Modelo]], LEN([1]!Tabla2[[#This Row],[Marca y Modelo]]) - FIND(" ", [1]!Tabla2[[#This Row],[Marca y Modelo]]))</f>
        <v>1340161</v>
      </c>
      <c r="J74" s="47"/>
      <c r="K74" s="92" t="s">
        <v>4059</v>
      </c>
      <c r="L74" s="92" t="s">
        <v>2685</v>
      </c>
      <c r="M74" s="92" t="s">
        <v>1404</v>
      </c>
      <c r="N74" s="92" t="s">
        <v>1488</v>
      </c>
      <c r="P74" s="92" t="s">
        <v>2528</v>
      </c>
      <c r="R74" s="48" t="s">
        <v>216</v>
      </c>
    </row>
    <row r="75" spans="2:34" ht="57.6" x14ac:dyDescent="0.3">
      <c r="B75" t="s">
        <v>4348</v>
      </c>
      <c r="C75" s="11" t="s">
        <v>1092</v>
      </c>
      <c r="D75">
        <v>1</v>
      </c>
      <c r="E75" s="11" t="s">
        <v>160</v>
      </c>
      <c r="F75" s="91" t="s">
        <v>1070</v>
      </c>
      <c r="G75" s="15" t="str">
        <f>LEFT([1]modificado!$O$2, FIND(" ", [1]modificado!$O$2 &amp; " ") - 1)</f>
        <v>3M</v>
      </c>
      <c r="H75" s="47" t="str">
        <f>RIGHT([1]!Tabla2[[#This Row],[Marca y Modelo]], LEN([1]!Tabla2[[#This Row],[Marca y Modelo]]) - FIND(" ", [1]!Tabla2[[#This Row],[Marca y Modelo]]))</f>
        <v>1340161</v>
      </c>
      <c r="J75" s="47"/>
      <c r="K75" s="91" t="s">
        <v>4059</v>
      </c>
      <c r="L75" s="91" t="s">
        <v>2686</v>
      </c>
      <c r="M75" s="91" t="s">
        <v>1404</v>
      </c>
      <c r="N75" s="91" t="s">
        <v>1489</v>
      </c>
      <c r="P75" s="91" t="s">
        <v>2528</v>
      </c>
      <c r="R75" s="48" t="s">
        <v>216</v>
      </c>
      <c r="AE75" s="11" t="s">
        <v>316</v>
      </c>
    </row>
    <row r="76" spans="2:34" x14ac:dyDescent="0.3">
      <c r="B76" t="s">
        <v>4348</v>
      </c>
      <c r="C76" s="11" t="s">
        <v>1092</v>
      </c>
      <c r="D76">
        <v>1</v>
      </c>
      <c r="E76" s="11" t="s">
        <v>160</v>
      </c>
      <c r="F76" s="92" t="s">
        <v>1070</v>
      </c>
      <c r="G76" s="15" t="str">
        <f>LEFT([1]modificado!$O$2, FIND(" ", [1]modificado!$O$2 &amp; " ") - 1)</f>
        <v>3M</v>
      </c>
      <c r="H76" s="47" t="str">
        <f>RIGHT([1]!Tabla2[[#This Row],[Marca y Modelo]], LEN([1]!Tabla2[[#This Row],[Marca y Modelo]]) - FIND(" ", [1]!Tabla2[[#This Row],[Marca y Modelo]]))</f>
        <v>1340161</v>
      </c>
      <c r="J76" s="47"/>
      <c r="K76" s="92" t="s">
        <v>4059</v>
      </c>
      <c r="L76" s="92" t="s">
        <v>2687</v>
      </c>
      <c r="M76" s="92" t="s">
        <v>1404</v>
      </c>
      <c r="N76" s="92" t="s">
        <v>1490</v>
      </c>
      <c r="P76" s="92" t="s">
        <v>2528</v>
      </c>
      <c r="R76" s="48" t="s">
        <v>216</v>
      </c>
    </row>
    <row r="77" spans="2:34" x14ac:dyDescent="0.3">
      <c r="B77" t="s">
        <v>4348</v>
      </c>
      <c r="C77" s="11" t="s">
        <v>1092</v>
      </c>
      <c r="D77">
        <v>1</v>
      </c>
      <c r="E77" s="11" t="s">
        <v>160</v>
      </c>
      <c r="F77" s="91" t="s">
        <v>1070</v>
      </c>
      <c r="G77" s="15" t="str">
        <f>LEFT([1]modificado!$O$2, FIND(" ", [1]modificado!$O$2 &amp; " ") - 1)</f>
        <v>3M</v>
      </c>
      <c r="H77" s="47" t="str">
        <f>RIGHT([1]!Tabla2[[#This Row],[Marca y Modelo]], LEN([1]!Tabla2[[#This Row],[Marca y Modelo]]) - FIND(" ", [1]!Tabla2[[#This Row],[Marca y Modelo]]))</f>
        <v>1340161</v>
      </c>
      <c r="J77" s="47"/>
      <c r="K77" s="91" t="s">
        <v>4059</v>
      </c>
      <c r="L77" s="91" t="s">
        <v>2688</v>
      </c>
      <c r="M77" s="91" t="s">
        <v>1404</v>
      </c>
      <c r="N77" s="91" t="s">
        <v>1491</v>
      </c>
      <c r="P77" s="91" t="s">
        <v>2528</v>
      </c>
      <c r="R77" s="48" t="s">
        <v>216</v>
      </c>
    </row>
    <row r="78" spans="2:34" x14ac:dyDescent="0.3">
      <c r="B78" t="str">
        <f>LEFT(Tabla3890134177220392[[#This Row],[Descripción del equipo]], FIND(" ", Tabla3890134177220392[[#This Row],[Descripción del equipo]] &amp; " ") - 1)</f>
        <v>Arnes</v>
      </c>
      <c r="C78" s="11" t="s">
        <v>1092</v>
      </c>
      <c r="D78">
        <v>1</v>
      </c>
      <c r="E78" s="11" t="s">
        <v>160</v>
      </c>
      <c r="F78" s="92" t="s">
        <v>1056</v>
      </c>
      <c r="G78" s="15" t="str">
        <f>LEFT([1]modificado!$O$2, FIND(" ", [1]modificado!$O$2 &amp; " ") - 1)</f>
        <v>3M</v>
      </c>
      <c r="H78" s="47" t="str">
        <f>RIGHT([1]!Tabla2[[#This Row],[Marca y Modelo]], LEN([1]!Tabla2[[#This Row],[Marca y Modelo]]) - FIND(" ", [1]!Tabla2[[#This Row],[Marca y Modelo]]))</f>
        <v>Musitani Space</v>
      </c>
      <c r="J78" s="47"/>
      <c r="K78" s="92" t="s">
        <v>4060</v>
      </c>
      <c r="L78" s="92" t="s">
        <v>2689</v>
      </c>
      <c r="M78" s="92" t="s">
        <v>1406</v>
      </c>
      <c r="N78" s="92" t="s">
        <v>1492</v>
      </c>
      <c r="P78" s="92" t="s">
        <v>2528</v>
      </c>
      <c r="R78" s="48" t="s">
        <v>216</v>
      </c>
    </row>
    <row r="79" spans="2:34" x14ac:dyDescent="0.3">
      <c r="B79" t="str">
        <f>LEFT(Tabla3890134177220392[[#This Row],[Descripción del equipo]], FIND(" ", Tabla3890134177220392[[#This Row],[Descripción del equipo]] &amp; " ") - 1)</f>
        <v>Arnes</v>
      </c>
      <c r="C79" s="11" t="s">
        <v>1092</v>
      </c>
      <c r="D79">
        <v>1</v>
      </c>
      <c r="E79" s="11" t="s">
        <v>160</v>
      </c>
      <c r="F79" s="91" t="s">
        <v>1056</v>
      </c>
      <c r="G79" s="15" t="str">
        <f>LEFT([1]modificado!$O$2, FIND(" ", [1]modificado!$O$2 &amp; " ") - 1)</f>
        <v>3M</v>
      </c>
      <c r="H79" s="47" t="str">
        <f>RIGHT([1]!Tabla2[[#This Row],[Marca y Modelo]], LEN([1]!Tabla2[[#This Row],[Marca y Modelo]]) - FIND(" ", [1]!Tabla2[[#This Row],[Marca y Modelo]]))</f>
        <v>Musitani Tiger</v>
      </c>
      <c r="J79" s="47"/>
      <c r="K79" s="91" t="s">
        <v>4060</v>
      </c>
      <c r="L79" s="91" t="s">
        <v>2690</v>
      </c>
      <c r="M79" s="91" t="s">
        <v>1404</v>
      </c>
      <c r="N79" s="91" t="s">
        <v>1493</v>
      </c>
      <c r="P79" s="91" t="s">
        <v>2528</v>
      </c>
      <c r="R79" s="48" t="s">
        <v>216</v>
      </c>
    </row>
    <row r="80" spans="2:34" x14ac:dyDescent="0.3">
      <c r="B80" t="str">
        <f>LEFT(Tabla3890134177220392[[#This Row],[Descripción del equipo]], FIND(" ", Tabla3890134177220392[[#This Row],[Descripción del equipo]] &amp; " ") - 1)</f>
        <v>Arnes</v>
      </c>
      <c r="C80" s="11" t="s">
        <v>1092</v>
      </c>
      <c r="D80">
        <v>1</v>
      </c>
      <c r="E80" s="11" t="s">
        <v>160</v>
      </c>
      <c r="F80" s="92" t="s">
        <v>1056</v>
      </c>
      <c r="G80" s="15" t="str">
        <f>LEFT([1]modificado!$O$2, FIND(" ", [1]modificado!$O$2 &amp; " ") - 1)</f>
        <v>3M</v>
      </c>
      <c r="H80" s="47" t="str">
        <f>RIGHT([1]!Tabla2[[#This Row],[Marca y Modelo]], LEN([1]!Tabla2[[#This Row],[Marca y Modelo]]) - FIND(" ", [1]!Tabla2[[#This Row],[Marca y Modelo]]))</f>
        <v>1191279</v>
      </c>
      <c r="J80" s="47"/>
      <c r="K80" s="92" t="s">
        <v>4060</v>
      </c>
      <c r="L80" s="92" t="s">
        <v>2691</v>
      </c>
      <c r="M80" s="92" t="s">
        <v>1404</v>
      </c>
      <c r="N80" s="92" t="s">
        <v>1494</v>
      </c>
      <c r="P80" s="92" t="s">
        <v>2528</v>
      </c>
      <c r="R80" s="48" t="s">
        <v>216</v>
      </c>
    </row>
    <row r="81" spans="2:18" x14ac:dyDescent="0.3">
      <c r="B81" t="s">
        <v>4348</v>
      </c>
      <c r="C81" s="11" t="s">
        <v>1092</v>
      </c>
      <c r="D81">
        <v>1</v>
      </c>
      <c r="E81" s="11" t="s">
        <v>160</v>
      </c>
      <c r="F81" s="91" t="s">
        <v>1070</v>
      </c>
      <c r="G81" s="15" t="str">
        <f>LEFT([1]modificado!$O$2, FIND(" ", [1]modificado!$O$2 &amp; " ") - 1)</f>
        <v>3M</v>
      </c>
      <c r="H81" s="47" t="str">
        <f>RIGHT([1]!Tabla2[[#This Row],[Marca y Modelo]], LEN([1]!Tabla2[[#This Row],[Marca y Modelo]]) - FIND(" ", [1]!Tabla2[[#This Row],[Marca y Modelo]]))</f>
        <v>1340161</v>
      </c>
      <c r="J81" s="47"/>
      <c r="K81" s="91" t="s">
        <v>4061</v>
      </c>
      <c r="L81" s="91" t="s">
        <v>2692</v>
      </c>
      <c r="M81" s="91" t="s">
        <v>1404</v>
      </c>
      <c r="N81" s="91" t="s">
        <v>1495</v>
      </c>
      <c r="P81" s="91" t="s">
        <v>2528</v>
      </c>
      <c r="R81" s="48" t="s">
        <v>216</v>
      </c>
    </row>
    <row r="82" spans="2:18" x14ac:dyDescent="0.3">
      <c r="B82" t="s">
        <v>4348</v>
      </c>
      <c r="C82" s="11" t="s">
        <v>1092</v>
      </c>
      <c r="D82">
        <v>1</v>
      </c>
      <c r="E82" s="11" t="s">
        <v>160</v>
      </c>
      <c r="F82" s="92" t="s">
        <v>1070</v>
      </c>
      <c r="G82" s="15" t="str">
        <f>LEFT([1]modificado!$O$2, FIND(" ", [1]modificado!$O$2 &amp; " ") - 1)</f>
        <v>3M</v>
      </c>
      <c r="H82" s="47" t="str">
        <f>RIGHT([1]!Tabla2[[#This Row],[Marca y Modelo]], LEN([1]!Tabla2[[#This Row],[Marca y Modelo]]) - FIND(" ", [1]!Tabla2[[#This Row],[Marca y Modelo]]))</f>
        <v>1340161</v>
      </c>
      <c r="J82" s="47"/>
      <c r="K82" s="92" t="s">
        <v>4061</v>
      </c>
      <c r="L82" s="92" t="s">
        <v>2693</v>
      </c>
      <c r="M82" s="92" t="s">
        <v>1404</v>
      </c>
      <c r="N82" s="92" t="s">
        <v>1496</v>
      </c>
      <c r="P82" s="92" t="s">
        <v>2528</v>
      </c>
      <c r="R82" s="48" t="s">
        <v>216</v>
      </c>
    </row>
    <row r="83" spans="2:18" x14ac:dyDescent="0.3">
      <c r="B83" t="s">
        <v>4348</v>
      </c>
      <c r="C83" s="11" t="s">
        <v>1092</v>
      </c>
      <c r="D83">
        <v>1</v>
      </c>
      <c r="E83" s="11" t="s">
        <v>160</v>
      </c>
      <c r="F83" s="91" t="s">
        <v>1070</v>
      </c>
      <c r="G83" s="15" t="str">
        <f>LEFT([1]modificado!$O$2, FIND(" ", [1]modificado!$O$2 &amp; " ") - 1)</f>
        <v>3M</v>
      </c>
      <c r="H83" s="47" t="str">
        <f>RIGHT([1]!Tabla2[[#This Row],[Marca y Modelo]], LEN([1]!Tabla2[[#This Row],[Marca y Modelo]]) - FIND(" ", [1]!Tabla2[[#This Row],[Marca y Modelo]]))</f>
        <v>1340161</v>
      </c>
      <c r="J83" s="47"/>
      <c r="K83" s="91" t="s">
        <v>4061</v>
      </c>
      <c r="L83" s="91" t="s">
        <v>2694</v>
      </c>
      <c r="M83" s="91" t="s">
        <v>1404</v>
      </c>
      <c r="N83" s="91" t="s">
        <v>1497</v>
      </c>
      <c r="P83" s="91" t="s">
        <v>2528</v>
      </c>
      <c r="R83" s="48" t="s">
        <v>216</v>
      </c>
    </row>
    <row r="84" spans="2:18" x14ac:dyDescent="0.3">
      <c r="B84" t="s">
        <v>4348</v>
      </c>
      <c r="C84" s="11" t="s">
        <v>1092</v>
      </c>
      <c r="D84">
        <v>1</v>
      </c>
      <c r="E84" s="11" t="s">
        <v>160</v>
      </c>
      <c r="F84" s="92" t="s">
        <v>1070</v>
      </c>
      <c r="G84" s="15" t="str">
        <f>LEFT([1]modificado!$O$2, FIND(" ", [1]modificado!$O$2 &amp; " ") - 1)</f>
        <v>3M</v>
      </c>
      <c r="H84" s="47" t="str">
        <f>RIGHT([1]!Tabla2[[#This Row],[Marca y Modelo]], LEN([1]!Tabla2[[#This Row],[Marca y Modelo]]) - FIND(" ", [1]!Tabla2[[#This Row],[Marca y Modelo]]))</f>
        <v>1340161</v>
      </c>
      <c r="J84" s="47"/>
      <c r="K84" s="92" t="s">
        <v>4061</v>
      </c>
      <c r="L84" s="92" t="s">
        <v>2695</v>
      </c>
      <c r="M84" s="92" t="s">
        <v>1404</v>
      </c>
      <c r="N84" s="92" t="s">
        <v>1498</v>
      </c>
      <c r="P84" s="92" t="s">
        <v>2528</v>
      </c>
      <c r="R84" s="48" t="s">
        <v>216</v>
      </c>
    </row>
    <row r="85" spans="2:18" x14ac:dyDescent="0.3">
      <c r="B85" t="s">
        <v>4348</v>
      </c>
      <c r="C85" s="11" t="s">
        <v>1092</v>
      </c>
      <c r="D85">
        <v>1</v>
      </c>
      <c r="E85" s="11" t="s">
        <v>160</v>
      </c>
      <c r="F85" s="91" t="s">
        <v>1070</v>
      </c>
      <c r="G85" s="15" t="str">
        <f>LEFT([1]modificado!$O$2, FIND(" ", [1]modificado!$O$2 &amp; " ") - 1)</f>
        <v>3M</v>
      </c>
      <c r="H85" s="47" t="str">
        <f>RIGHT([1]!Tabla2[[#This Row],[Marca y Modelo]], LEN([1]!Tabla2[[#This Row],[Marca y Modelo]]) - FIND(" ", [1]!Tabla2[[#This Row],[Marca y Modelo]]))</f>
        <v>1340161</v>
      </c>
      <c r="J85" s="47"/>
      <c r="K85" s="91" t="s">
        <v>4061</v>
      </c>
      <c r="L85" s="91" t="s">
        <v>2696</v>
      </c>
      <c r="M85" s="91" t="s">
        <v>1404</v>
      </c>
      <c r="N85" s="91" t="s">
        <v>1499</v>
      </c>
      <c r="P85" s="91" t="s">
        <v>2528</v>
      </c>
      <c r="R85" s="48" t="s">
        <v>216</v>
      </c>
    </row>
    <row r="86" spans="2:18" x14ac:dyDescent="0.3">
      <c r="B86" t="s">
        <v>4348</v>
      </c>
      <c r="C86" s="11" t="s">
        <v>1092</v>
      </c>
      <c r="D86">
        <v>1</v>
      </c>
      <c r="E86" s="11" t="s">
        <v>160</v>
      </c>
      <c r="F86" s="92" t="s">
        <v>1070</v>
      </c>
      <c r="G86" s="15" t="str">
        <f>LEFT([1]modificado!$O$2, FIND(" ", [1]modificado!$O$2 &amp; " ") - 1)</f>
        <v>3M</v>
      </c>
      <c r="H86" s="47" t="str">
        <f>RIGHT([1]!Tabla2[[#This Row],[Marca y Modelo]], LEN([1]!Tabla2[[#This Row],[Marca y Modelo]]) - FIND(" ", [1]!Tabla2[[#This Row],[Marca y Modelo]]))</f>
        <v>1340161</v>
      </c>
      <c r="J86" s="47"/>
      <c r="K86" s="92" t="s">
        <v>4061</v>
      </c>
      <c r="L86" s="92" t="s">
        <v>2697</v>
      </c>
      <c r="M86" s="92" t="s">
        <v>1404</v>
      </c>
      <c r="N86" s="92" t="s">
        <v>1500</v>
      </c>
      <c r="P86" s="92" t="s">
        <v>2528</v>
      </c>
      <c r="R86" s="48" t="s">
        <v>216</v>
      </c>
    </row>
    <row r="87" spans="2:18" x14ac:dyDescent="0.3">
      <c r="B87" t="s">
        <v>4348</v>
      </c>
      <c r="C87" s="11" t="s">
        <v>1092</v>
      </c>
      <c r="D87">
        <v>1</v>
      </c>
      <c r="E87" s="11" t="s">
        <v>160</v>
      </c>
      <c r="F87" s="91" t="s">
        <v>1072</v>
      </c>
      <c r="G87" s="15" t="str">
        <f>LEFT([1]modificado!$O$2, FIND(" ", [1]modificado!$O$2 &amp; " ") - 1)</f>
        <v>3M</v>
      </c>
      <c r="H87" s="47" t="str">
        <f>RIGHT([1]!Tabla2[[#This Row],[Marca y Modelo]], LEN([1]!Tabla2[[#This Row],[Marca y Modelo]]) - FIND(" ", [1]!Tabla2[[#This Row],[Marca y Modelo]]))</f>
        <v>1385301</v>
      </c>
      <c r="J87" s="47"/>
      <c r="K87" s="91" t="s">
        <v>4062</v>
      </c>
      <c r="L87" s="91" t="s">
        <v>2698</v>
      </c>
      <c r="M87" s="91" t="s">
        <v>1404</v>
      </c>
      <c r="N87" s="91" t="s">
        <v>1501</v>
      </c>
      <c r="P87" s="91" t="s">
        <v>2528</v>
      </c>
      <c r="R87" s="48" t="s">
        <v>216</v>
      </c>
    </row>
    <row r="88" spans="2:18" x14ac:dyDescent="0.3">
      <c r="B88" t="s">
        <v>4348</v>
      </c>
      <c r="C88" s="11" t="s">
        <v>1092</v>
      </c>
      <c r="D88">
        <v>1</v>
      </c>
      <c r="E88" s="11" t="s">
        <v>160</v>
      </c>
      <c r="F88" s="92" t="s">
        <v>1072</v>
      </c>
      <c r="G88" s="15" t="str">
        <f>LEFT([1]modificado!$O$2, FIND(" ", [1]modificado!$O$2 &amp; " ") - 1)</f>
        <v>3M</v>
      </c>
      <c r="H88" s="47" t="str">
        <f>RIGHT([1]!Tabla2[[#This Row],[Marca y Modelo]], LEN([1]!Tabla2[[#This Row],[Marca y Modelo]]) - FIND(" ", [1]!Tabla2[[#This Row],[Marca y Modelo]]))</f>
        <v>1385301</v>
      </c>
      <c r="J88" s="47"/>
      <c r="K88" s="92" t="s">
        <v>4062</v>
      </c>
      <c r="L88" s="92" t="s">
        <v>2699</v>
      </c>
      <c r="M88" s="92" t="s">
        <v>1404</v>
      </c>
      <c r="N88" s="92" t="s">
        <v>1502</v>
      </c>
      <c r="P88" s="92" t="s">
        <v>2528</v>
      </c>
      <c r="R88" s="48" t="s">
        <v>216</v>
      </c>
    </row>
    <row r="89" spans="2:18" x14ac:dyDescent="0.3">
      <c r="B89" t="s">
        <v>4348</v>
      </c>
      <c r="C89" s="11" t="s">
        <v>1092</v>
      </c>
      <c r="D89">
        <v>1</v>
      </c>
      <c r="E89" s="11" t="s">
        <v>160</v>
      </c>
      <c r="F89" s="91" t="s">
        <v>1072</v>
      </c>
      <c r="G89" s="15" t="str">
        <f>LEFT([1]modificado!$O$2, FIND(" ", [1]modificado!$O$2 &amp; " ") - 1)</f>
        <v>3M</v>
      </c>
      <c r="H89" s="47" t="str">
        <f>RIGHT([1]!Tabla2[[#This Row],[Marca y Modelo]], LEN([1]!Tabla2[[#This Row],[Marca y Modelo]]) - FIND(" ", [1]!Tabla2[[#This Row],[Marca y Modelo]]))</f>
        <v>1385301MX</v>
      </c>
      <c r="J89" s="47"/>
      <c r="K89" s="91" t="s">
        <v>4062</v>
      </c>
      <c r="L89" s="91" t="s">
        <v>2700</v>
      </c>
      <c r="M89" s="91" t="s">
        <v>1404</v>
      </c>
      <c r="N89" s="91" t="s">
        <v>1503</v>
      </c>
      <c r="P89" s="91" t="s">
        <v>2528</v>
      </c>
      <c r="R89" s="48" t="s">
        <v>216</v>
      </c>
    </row>
    <row r="90" spans="2:18" x14ac:dyDescent="0.3">
      <c r="B90" t="s">
        <v>4348</v>
      </c>
      <c r="C90" s="11" t="s">
        <v>1092</v>
      </c>
      <c r="D90">
        <v>1</v>
      </c>
      <c r="E90" s="11" t="s">
        <v>160</v>
      </c>
      <c r="F90" s="92" t="s">
        <v>1070</v>
      </c>
      <c r="G90" s="15" t="str">
        <f>LEFT([1]modificado!$O$2, FIND(" ", [1]modificado!$O$2 &amp; " ") - 1)</f>
        <v>3M</v>
      </c>
      <c r="H90" s="47" t="str">
        <f>RIGHT([1]!Tabla2[[#This Row],[Marca y Modelo]], LEN([1]!Tabla2[[#This Row],[Marca y Modelo]]) - FIND(" ", [1]!Tabla2[[#This Row],[Marca y Modelo]]))</f>
        <v>1340161</v>
      </c>
      <c r="J90" s="47"/>
      <c r="K90" s="92" t="s">
        <v>4061</v>
      </c>
      <c r="L90" s="92" t="s">
        <v>2701</v>
      </c>
      <c r="M90" s="92" t="s">
        <v>1404</v>
      </c>
      <c r="N90" s="92" t="s">
        <v>1504</v>
      </c>
      <c r="P90" s="92" t="s">
        <v>2528</v>
      </c>
      <c r="R90" s="48" t="s">
        <v>216</v>
      </c>
    </row>
    <row r="91" spans="2:18" x14ac:dyDescent="0.3">
      <c r="B91" t="s">
        <v>4348</v>
      </c>
      <c r="C91" s="11" t="s">
        <v>1092</v>
      </c>
      <c r="D91">
        <v>1</v>
      </c>
      <c r="E91" s="11" t="s">
        <v>160</v>
      </c>
      <c r="F91" s="91" t="s">
        <v>1070</v>
      </c>
      <c r="G91" s="15" t="str">
        <f>LEFT([1]modificado!$O$2, FIND(" ", [1]modificado!$O$2 &amp; " ") - 1)</f>
        <v>3M</v>
      </c>
      <c r="H91" s="47" t="str">
        <f>RIGHT([1]!Tabla2[[#This Row],[Marca y Modelo]], LEN([1]!Tabla2[[#This Row],[Marca y Modelo]]) - FIND(" ", [1]!Tabla2[[#This Row],[Marca y Modelo]]))</f>
        <v>1340161</v>
      </c>
      <c r="J91" s="47"/>
      <c r="K91" s="91" t="s">
        <v>4061</v>
      </c>
      <c r="L91" s="91" t="s">
        <v>2702</v>
      </c>
      <c r="M91" s="91" t="s">
        <v>1404</v>
      </c>
      <c r="N91" s="91" t="s">
        <v>1505</v>
      </c>
      <c r="P91" s="91" t="s">
        <v>2528</v>
      </c>
      <c r="R91" s="48" t="s">
        <v>216</v>
      </c>
    </row>
    <row r="92" spans="2:18" x14ac:dyDescent="0.3">
      <c r="B92" t="s">
        <v>4348</v>
      </c>
      <c r="C92" s="11" t="s">
        <v>1092</v>
      </c>
      <c r="D92">
        <v>1</v>
      </c>
      <c r="E92" s="11" t="s">
        <v>160</v>
      </c>
      <c r="F92" s="92" t="s">
        <v>1070</v>
      </c>
      <c r="G92" s="15" t="str">
        <f>LEFT([1]modificado!$O$2, FIND(" ", [1]modificado!$O$2 &amp; " ") - 1)</f>
        <v>3M</v>
      </c>
      <c r="H92" s="47" t="str">
        <f>RIGHT([1]!Tabla2[[#This Row],[Marca y Modelo]], LEN([1]!Tabla2[[#This Row],[Marca y Modelo]]) - FIND(" ", [1]!Tabla2[[#This Row],[Marca y Modelo]]))</f>
        <v>1340161</v>
      </c>
      <c r="J92" s="47"/>
      <c r="K92" s="92" t="s">
        <v>4061</v>
      </c>
      <c r="L92" s="92" t="s">
        <v>2703</v>
      </c>
      <c r="M92" s="92" t="s">
        <v>1404</v>
      </c>
      <c r="N92" s="92" t="s">
        <v>1506</v>
      </c>
      <c r="P92" s="92" t="s">
        <v>2528</v>
      </c>
      <c r="R92" s="48" t="s">
        <v>216</v>
      </c>
    </row>
    <row r="93" spans="2:18" x14ac:dyDescent="0.3">
      <c r="B93" t="s">
        <v>4348</v>
      </c>
      <c r="C93" s="11" t="s">
        <v>1092</v>
      </c>
      <c r="D93">
        <v>1</v>
      </c>
      <c r="E93" s="11" t="s">
        <v>160</v>
      </c>
      <c r="F93" s="91" t="s">
        <v>1070</v>
      </c>
      <c r="G93" s="15" t="str">
        <f>LEFT([1]modificado!$O$2, FIND(" ", [1]modificado!$O$2 &amp; " ") - 1)</f>
        <v>3M</v>
      </c>
      <c r="H93" s="47" t="str">
        <f>RIGHT([1]!Tabla2[[#This Row],[Marca y Modelo]], LEN([1]!Tabla2[[#This Row],[Marca y Modelo]]) - FIND(" ", [1]!Tabla2[[#This Row],[Marca y Modelo]]))</f>
        <v>1340161</v>
      </c>
      <c r="J93" s="47"/>
      <c r="K93" s="91" t="s">
        <v>4061</v>
      </c>
      <c r="L93" s="91" t="s">
        <v>2704</v>
      </c>
      <c r="M93" s="91" t="s">
        <v>1404</v>
      </c>
      <c r="N93" s="91" t="s">
        <v>1507</v>
      </c>
      <c r="P93" s="91" t="s">
        <v>2528</v>
      </c>
      <c r="R93" s="48" t="s">
        <v>216</v>
      </c>
    </row>
    <row r="94" spans="2:18" x14ac:dyDescent="0.3">
      <c r="B94" t="s">
        <v>4348</v>
      </c>
      <c r="C94" s="11" t="s">
        <v>1092</v>
      </c>
      <c r="D94">
        <v>1</v>
      </c>
      <c r="E94" s="11" t="s">
        <v>160</v>
      </c>
      <c r="F94" s="92" t="s">
        <v>1070</v>
      </c>
      <c r="G94" s="15" t="str">
        <f>LEFT([1]modificado!$O$2, FIND(" ", [1]modificado!$O$2 &amp; " ") - 1)</f>
        <v>3M</v>
      </c>
      <c r="H94" s="47" t="str">
        <f>RIGHT([1]!Tabla2[[#This Row],[Marca y Modelo]], LEN([1]!Tabla2[[#This Row],[Marca y Modelo]]) - FIND(" ", [1]!Tabla2[[#This Row],[Marca y Modelo]]))</f>
        <v>1340161</v>
      </c>
      <c r="J94" s="47"/>
      <c r="K94" s="92" t="s">
        <v>4063</v>
      </c>
      <c r="L94" s="92" t="s">
        <v>2705</v>
      </c>
      <c r="M94" s="92" t="s">
        <v>1404</v>
      </c>
      <c r="N94" s="92" t="s">
        <v>1508</v>
      </c>
      <c r="P94" s="92" t="s">
        <v>2528</v>
      </c>
      <c r="R94" s="48" t="s">
        <v>216</v>
      </c>
    </row>
    <row r="95" spans="2:18" x14ac:dyDescent="0.3">
      <c r="B95" t="str">
        <f>LEFT(Tabla3890134177220392[[#This Row],[Descripción del equipo]], FIND(" ", Tabla3890134177220392[[#This Row],[Descripción del equipo]] &amp; " ") - 1)</f>
        <v>Autoretractil</v>
      </c>
      <c r="C95" s="11" t="s">
        <v>1092</v>
      </c>
      <c r="D95">
        <v>1</v>
      </c>
      <c r="E95" s="11" t="s">
        <v>160</v>
      </c>
      <c r="F95" s="91" t="s">
        <v>1058</v>
      </c>
      <c r="G95" s="15" t="str">
        <f>LEFT([1]modificado!$O$2, FIND(" ", [1]modificado!$O$2 &amp; " ") - 1)</f>
        <v>3M</v>
      </c>
      <c r="H95" s="47" t="str">
        <f>RIGHT([1]!Tabla2[[#This Row],[Marca y Modelo]], LEN([1]!Tabla2[[#This Row],[Marca y Modelo]]) - FIND(" ", [1]!Tabla2[[#This Row],[Marca y Modelo]]))</f>
        <v>3100512</v>
      </c>
      <c r="J95" s="47"/>
      <c r="K95" s="91" t="s">
        <v>4064</v>
      </c>
      <c r="L95" s="91" t="s">
        <v>2706</v>
      </c>
      <c r="M95" s="91" t="s">
        <v>1404</v>
      </c>
      <c r="N95" s="91" t="s">
        <v>1509</v>
      </c>
      <c r="P95" s="91" t="s">
        <v>2528</v>
      </c>
      <c r="R95" s="48" t="s">
        <v>216</v>
      </c>
    </row>
    <row r="96" spans="2:18" x14ac:dyDescent="0.3">
      <c r="B96" t="str">
        <f>LEFT(Tabla3890134177220392[[#This Row],[Descripción del equipo]], FIND(" ", Tabla3890134177220392[[#This Row],[Descripción del equipo]] &amp; " ") - 1)</f>
        <v>Autoretractil</v>
      </c>
      <c r="C96" s="11" t="s">
        <v>1092</v>
      </c>
      <c r="D96">
        <v>1</v>
      </c>
      <c r="E96" s="11" t="s">
        <v>160</v>
      </c>
      <c r="F96" s="92" t="s">
        <v>1058</v>
      </c>
      <c r="G96" s="15" t="str">
        <f>LEFT([1]modificado!$O$2, FIND(" ", [1]modificado!$O$2 &amp; " ") - 1)</f>
        <v>3M</v>
      </c>
      <c r="H96" s="47" t="str">
        <f>RIGHT([1]!Tabla2[[#This Row],[Marca y Modelo]], LEN([1]!Tabla2[[#This Row],[Marca y Modelo]]) - FIND(" ", [1]!Tabla2[[#This Row],[Marca y Modelo]]))</f>
        <v>3100512</v>
      </c>
      <c r="J96" s="47"/>
      <c r="K96" s="92" t="s">
        <v>4064</v>
      </c>
      <c r="L96" s="92" t="s">
        <v>2707</v>
      </c>
      <c r="M96" s="92" t="s">
        <v>1404</v>
      </c>
      <c r="N96" s="92" t="s">
        <v>1510</v>
      </c>
      <c r="P96" s="92" t="s">
        <v>2528</v>
      </c>
      <c r="R96" s="48" t="s">
        <v>216</v>
      </c>
    </row>
    <row r="97" spans="2:18" x14ac:dyDescent="0.3">
      <c r="B97" t="str">
        <f>LEFT(Tabla3890134177220392[[#This Row],[Descripción del equipo]], FIND(" ", Tabla3890134177220392[[#This Row],[Descripción del equipo]] &amp; " ") - 1)</f>
        <v>Autoretractil</v>
      </c>
      <c r="C97" s="11" t="s">
        <v>1092</v>
      </c>
      <c r="D97">
        <v>1</v>
      </c>
      <c r="E97" s="11" t="s">
        <v>160</v>
      </c>
      <c r="F97" s="91" t="s">
        <v>1058</v>
      </c>
      <c r="G97" s="15" t="str">
        <f>LEFT([1]modificado!$O$2, FIND(" ", [1]modificado!$O$2 &amp; " ") - 1)</f>
        <v>3M</v>
      </c>
      <c r="H97" s="47" t="str">
        <f>RIGHT([1]!Tabla2[[#This Row],[Marca y Modelo]], LEN([1]!Tabla2[[#This Row],[Marca y Modelo]]) - FIND(" ", [1]!Tabla2[[#This Row],[Marca y Modelo]]))</f>
        <v>3100512</v>
      </c>
      <c r="J97" s="47"/>
      <c r="K97" s="91" t="s">
        <v>4064</v>
      </c>
      <c r="L97" s="91" t="s">
        <v>2708</v>
      </c>
      <c r="M97" s="91" t="s">
        <v>1404</v>
      </c>
      <c r="N97" s="91" t="s">
        <v>1511</v>
      </c>
      <c r="P97" s="91" t="s">
        <v>2528</v>
      </c>
      <c r="R97" s="48" t="s">
        <v>216</v>
      </c>
    </row>
    <row r="98" spans="2:18" x14ac:dyDescent="0.3">
      <c r="B98" t="str">
        <f>LEFT(Tabla3890134177220392[[#This Row],[Descripción del equipo]], FIND(" ", Tabla3890134177220392[[#This Row],[Descripción del equipo]] &amp; " ") - 1)</f>
        <v>Autoretractil</v>
      </c>
      <c r="C98" s="11" t="s">
        <v>1092</v>
      </c>
      <c r="D98">
        <v>1</v>
      </c>
      <c r="E98" s="11" t="s">
        <v>160</v>
      </c>
      <c r="F98" s="92" t="s">
        <v>1058</v>
      </c>
      <c r="G98" s="15" t="str">
        <f>LEFT([1]modificado!$O$2, FIND(" ", [1]modificado!$O$2 &amp; " ") - 1)</f>
        <v>3M</v>
      </c>
      <c r="H98" s="47" t="str">
        <f>RIGHT([1]!Tabla2[[#This Row],[Marca y Modelo]], LEN([1]!Tabla2[[#This Row],[Marca y Modelo]]) - FIND(" ", [1]!Tabla2[[#This Row],[Marca y Modelo]]))</f>
        <v>3100512</v>
      </c>
      <c r="J98" s="47"/>
      <c r="K98" s="92" t="s">
        <v>4064</v>
      </c>
      <c r="L98" s="92" t="s">
        <v>2709</v>
      </c>
      <c r="M98" s="92" t="s">
        <v>1404</v>
      </c>
      <c r="N98" s="92" t="s">
        <v>1512</v>
      </c>
      <c r="P98" s="92" t="s">
        <v>2528</v>
      </c>
      <c r="R98" s="48" t="s">
        <v>216</v>
      </c>
    </row>
    <row r="99" spans="2:18" x14ac:dyDescent="0.3">
      <c r="B99" t="str">
        <f>LEFT(Tabla3890134177220392[[#This Row],[Descripción del equipo]], FIND(" ", Tabla3890134177220392[[#This Row],[Descripción del equipo]] &amp; " ") - 1)</f>
        <v>Autoretractil</v>
      </c>
      <c r="C99" s="11" t="s">
        <v>1092</v>
      </c>
      <c r="D99">
        <v>1</v>
      </c>
      <c r="E99" s="11" t="s">
        <v>160</v>
      </c>
      <c r="F99" s="91" t="s">
        <v>1058</v>
      </c>
      <c r="G99" s="15" t="str">
        <f>LEFT([1]modificado!$O$2, FIND(" ", [1]modificado!$O$2 &amp; " ") - 1)</f>
        <v>3M</v>
      </c>
      <c r="H99" s="47" t="str">
        <f>RIGHT([1]!Tabla2[[#This Row],[Marca y Modelo]], LEN([1]!Tabla2[[#This Row],[Marca y Modelo]]) - FIND(" ", [1]!Tabla2[[#This Row],[Marca y Modelo]]))</f>
        <v>Nano Lok</v>
      </c>
      <c r="J99" s="47"/>
      <c r="K99" s="91" t="s">
        <v>4064</v>
      </c>
      <c r="L99" s="91" t="s">
        <v>2710</v>
      </c>
      <c r="M99" s="91" t="s">
        <v>1404</v>
      </c>
      <c r="N99" s="91" t="s">
        <v>1513</v>
      </c>
      <c r="P99" s="91" t="s">
        <v>2528</v>
      </c>
      <c r="R99" s="48" t="s">
        <v>216</v>
      </c>
    </row>
    <row r="100" spans="2:18" x14ac:dyDescent="0.3">
      <c r="B100" t="str">
        <f>LEFT(Tabla3890134177220392[[#This Row],[Descripción del equipo]], FIND(" ", Tabla3890134177220392[[#This Row],[Descripción del equipo]] &amp; " ") - 1)</f>
        <v>Autoretractil</v>
      </c>
      <c r="C100" s="11" t="s">
        <v>1092</v>
      </c>
      <c r="D100">
        <v>1</v>
      </c>
      <c r="E100" s="11" t="s">
        <v>160</v>
      </c>
      <c r="F100" s="92" t="s">
        <v>1058</v>
      </c>
      <c r="G100" s="15" t="str">
        <f>LEFT([1]modificado!$O$2, FIND(" ", [1]modificado!$O$2 &amp; " ") - 1)</f>
        <v>3M</v>
      </c>
      <c r="H100" s="47" t="str">
        <f>RIGHT([1]!Tabla2[[#This Row],[Marca y Modelo]], LEN([1]!Tabla2[[#This Row],[Marca y Modelo]]) - FIND(" ", [1]!Tabla2[[#This Row],[Marca y Modelo]]))</f>
        <v>Nano Lok</v>
      </c>
      <c r="J100" s="47"/>
      <c r="K100" s="92" t="s">
        <v>4064</v>
      </c>
      <c r="L100" s="92" t="s">
        <v>2711</v>
      </c>
      <c r="M100" s="92" t="s">
        <v>1404</v>
      </c>
      <c r="N100" s="92" t="s">
        <v>1514</v>
      </c>
      <c r="P100" s="92" t="s">
        <v>2528</v>
      </c>
      <c r="R100" s="48" t="s">
        <v>216</v>
      </c>
    </row>
    <row r="101" spans="2:18" x14ac:dyDescent="0.3">
      <c r="B101" t="str">
        <f>LEFT(Tabla3890134177220392[[#This Row],[Descripción del equipo]], FIND(" ", Tabla3890134177220392[[#This Row],[Descripción del equipo]] &amp; " ") - 1)</f>
        <v>Autoretractil</v>
      </c>
      <c r="C101" s="11" t="s">
        <v>1092</v>
      </c>
      <c r="D101">
        <v>1</v>
      </c>
      <c r="E101" s="11" t="s">
        <v>160</v>
      </c>
      <c r="F101" s="91" t="s">
        <v>1058</v>
      </c>
      <c r="G101" s="15" t="str">
        <f>LEFT([1]modificado!$O$2, FIND(" ", [1]modificado!$O$2 &amp; " ") - 1)</f>
        <v>3M</v>
      </c>
      <c r="H101" s="47" t="str">
        <f>RIGHT([1]!Tabla2[[#This Row],[Marca y Modelo]], LEN([1]!Tabla2[[#This Row],[Marca y Modelo]]) - FIND(" ", [1]!Tabla2[[#This Row],[Marca y Modelo]]))</f>
        <v>Nano Lok</v>
      </c>
      <c r="J101" s="47"/>
      <c r="K101" s="91" t="s">
        <v>4064</v>
      </c>
      <c r="L101" s="91" t="s">
        <v>2712</v>
      </c>
      <c r="M101" s="91" t="s">
        <v>1404</v>
      </c>
      <c r="N101" s="91" t="s">
        <v>1515</v>
      </c>
      <c r="P101" s="91" t="s">
        <v>2528</v>
      </c>
      <c r="R101" s="48" t="s">
        <v>216</v>
      </c>
    </row>
    <row r="102" spans="2:18" x14ac:dyDescent="0.3">
      <c r="B102" t="str">
        <f>LEFT(Tabla3890134177220392[[#This Row],[Descripción del equipo]], FIND(" ", Tabla3890134177220392[[#This Row],[Descripción del equipo]] &amp; " ") - 1)</f>
        <v>Autoretractil</v>
      </c>
      <c r="C102" s="11" t="s">
        <v>1092</v>
      </c>
      <c r="D102">
        <v>1</v>
      </c>
      <c r="E102" s="11" t="s">
        <v>160</v>
      </c>
      <c r="F102" s="92" t="s">
        <v>1058</v>
      </c>
      <c r="G102" s="15" t="str">
        <f>LEFT([1]modificado!$O$2, FIND(" ", [1]modificado!$O$2 &amp; " ") - 1)</f>
        <v>3M</v>
      </c>
      <c r="H102" s="47" t="str">
        <f>RIGHT([1]!Tabla2[[#This Row],[Marca y Modelo]], LEN([1]!Tabla2[[#This Row],[Marca y Modelo]]) - FIND(" ", [1]!Tabla2[[#This Row],[Marca y Modelo]]))</f>
        <v>3100512</v>
      </c>
      <c r="J102" s="47"/>
      <c r="K102" s="92" t="s">
        <v>4064</v>
      </c>
      <c r="L102" s="92" t="s">
        <v>2713</v>
      </c>
      <c r="M102" s="92" t="s">
        <v>1404</v>
      </c>
      <c r="N102" s="92" t="s">
        <v>1516</v>
      </c>
      <c r="P102" s="92" t="s">
        <v>2528</v>
      </c>
      <c r="R102" s="48" t="s">
        <v>216</v>
      </c>
    </row>
    <row r="103" spans="2:18" x14ac:dyDescent="0.3">
      <c r="B103" t="str">
        <f>LEFT(Tabla3890134177220392[[#This Row],[Descripción del equipo]], FIND(" ", Tabla3890134177220392[[#This Row],[Descripción del equipo]] &amp; " ") - 1)</f>
        <v>Autoretractil</v>
      </c>
      <c r="C103" s="11" t="s">
        <v>1092</v>
      </c>
      <c r="D103">
        <v>1</v>
      </c>
      <c r="E103" s="11" t="s">
        <v>160</v>
      </c>
      <c r="F103" s="91" t="s">
        <v>1058</v>
      </c>
      <c r="G103" s="15" t="str">
        <f>LEFT([1]modificado!$O$2, FIND(" ", [1]modificado!$O$2 &amp; " ") - 1)</f>
        <v>3M</v>
      </c>
      <c r="H103" s="47" t="str">
        <f>RIGHT([1]!Tabla2[[#This Row],[Marca y Modelo]], LEN([1]!Tabla2[[#This Row],[Marca y Modelo]]) - FIND(" ", [1]!Tabla2[[#This Row],[Marca y Modelo]]))</f>
        <v>3100512</v>
      </c>
      <c r="J103" s="47"/>
      <c r="K103" s="91" t="s">
        <v>4064</v>
      </c>
      <c r="L103" s="91" t="s">
        <v>2714</v>
      </c>
      <c r="M103" s="91" t="s">
        <v>1404</v>
      </c>
      <c r="N103" s="91" t="s">
        <v>1517</v>
      </c>
      <c r="P103" s="91" t="s">
        <v>2528</v>
      </c>
      <c r="R103" s="48" t="s">
        <v>216</v>
      </c>
    </row>
    <row r="104" spans="2:18" x14ac:dyDescent="0.3">
      <c r="B104" t="str">
        <f>LEFT(Tabla3890134177220392[[#This Row],[Descripción del equipo]], FIND(" ", Tabla3890134177220392[[#This Row],[Descripción del equipo]] &amp; " ") - 1)</f>
        <v>Autoretractil</v>
      </c>
      <c r="C104" s="11" t="s">
        <v>1092</v>
      </c>
      <c r="D104">
        <v>1</v>
      </c>
      <c r="E104" s="11" t="s">
        <v>160</v>
      </c>
      <c r="F104" s="92" t="s">
        <v>1058</v>
      </c>
      <c r="G104" s="15" t="str">
        <f>LEFT([1]modificado!$O$2, FIND(" ", [1]modificado!$O$2 &amp; " ") - 1)</f>
        <v>3M</v>
      </c>
      <c r="H104" s="47" t="str">
        <f>RIGHT([1]!Tabla2[[#This Row],[Marca y Modelo]], LEN([1]!Tabla2[[#This Row],[Marca y Modelo]]) - FIND(" ", [1]!Tabla2[[#This Row],[Marca y Modelo]]))</f>
        <v>3100512</v>
      </c>
      <c r="J104" s="47"/>
      <c r="K104" s="92" t="s">
        <v>4064</v>
      </c>
      <c r="L104" s="92" t="s">
        <v>2715</v>
      </c>
      <c r="M104" s="92" t="s">
        <v>1404</v>
      </c>
      <c r="N104" s="92" t="s">
        <v>1518</v>
      </c>
      <c r="P104" s="92" t="s">
        <v>2528</v>
      </c>
      <c r="R104" s="48" t="s">
        <v>216</v>
      </c>
    </row>
    <row r="105" spans="2:18" x14ac:dyDescent="0.3">
      <c r="B105" t="str">
        <f>LEFT(Tabla3890134177220392[[#This Row],[Descripción del equipo]], FIND(" ", Tabla3890134177220392[[#This Row],[Descripción del equipo]] &amp; " ") - 1)</f>
        <v>Autoretractil</v>
      </c>
      <c r="C105" s="11" t="s">
        <v>1092</v>
      </c>
      <c r="D105">
        <v>1</v>
      </c>
      <c r="E105" s="11" t="s">
        <v>160</v>
      </c>
      <c r="F105" s="91" t="s">
        <v>1058</v>
      </c>
      <c r="G105" s="15" t="str">
        <f>LEFT([1]modificado!$O$2, FIND(" ", [1]modificado!$O$2 &amp; " ") - 1)</f>
        <v>3M</v>
      </c>
      <c r="H105" s="47" t="str">
        <f>RIGHT([1]!Tabla2[[#This Row],[Marca y Modelo]], LEN([1]!Tabla2[[#This Row],[Marca y Modelo]]) - FIND(" ", [1]!Tabla2[[#This Row],[Marca y Modelo]]))</f>
        <v>3100512</v>
      </c>
      <c r="J105" s="47"/>
      <c r="K105" s="91" t="s">
        <v>4064</v>
      </c>
      <c r="L105" s="91" t="s">
        <v>2716</v>
      </c>
      <c r="M105" s="91" t="s">
        <v>1404</v>
      </c>
      <c r="N105" s="91" t="s">
        <v>1519</v>
      </c>
      <c r="P105" s="91" t="s">
        <v>2528</v>
      </c>
      <c r="R105" s="48" t="s">
        <v>216</v>
      </c>
    </row>
    <row r="106" spans="2:18" x14ac:dyDescent="0.3">
      <c r="B106" t="str">
        <f>LEFT(Tabla3890134177220392[[#This Row],[Descripción del equipo]], FIND(" ", Tabla3890134177220392[[#This Row],[Descripción del equipo]] &amp; " ") - 1)</f>
        <v>Autoretractil</v>
      </c>
      <c r="C106" s="11" t="s">
        <v>1092</v>
      </c>
      <c r="D106">
        <v>1</v>
      </c>
      <c r="E106" s="11" t="s">
        <v>160</v>
      </c>
      <c r="F106" s="92" t="s">
        <v>1058</v>
      </c>
      <c r="G106" s="15" t="str">
        <f>LEFT([1]modificado!$O$2, FIND(" ", [1]modificado!$O$2 &amp; " ") - 1)</f>
        <v>3M</v>
      </c>
      <c r="H106" s="47" t="str">
        <f>RIGHT([1]!Tabla2[[#This Row],[Marca y Modelo]], LEN([1]!Tabla2[[#This Row],[Marca y Modelo]]) - FIND(" ", [1]!Tabla2[[#This Row],[Marca y Modelo]]))</f>
        <v>3100512</v>
      </c>
      <c r="J106" s="47"/>
      <c r="K106" s="92" t="s">
        <v>4064</v>
      </c>
      <c r="L106" s="92" t="s">
        <v>2717</v>
      </c>
      <c r="M106" s="92" t="s">
        <v>1404</v>
      </c>
      <c r="N106" s="92" t="s">
        <v>1520</v>
      </c>
      <c r="P106" s="92" t="s">
        <v>2528</v>
      </c>
      <c r="R106" s="48" t="s">
        <v>216</v>
      </c>
    </row>
    <row r="107" spans="2:18" x14ac:dyDescent="0.3">
      <c r="B107" t="str">
        <f>LEFT(Tabla3890134177220392[[#This Row],[Descripción del equipo]], FIND(" ", Tabla3890134177220392[[#This Row],[Descripción del equipo]] &amp; " ") - 1)</f>
        <v>Autoretractil</v>
      </c>
      <c r="C107" s="11" t="s">
        <v>1092</v>
      </c>
      <c r="D107">
        <v>1</v>
      </c>
      <c r="E107" s="11" t="s">
        <v>160</v>
      </c>
      <c r="F107" s="91" t="s">
        <v>1058</v>
      </c>
      <c r="G107" s="15" t="str">
        <f>LEFT([1]modificado!$O$2, FIND(" ", [1]modificado!$O$2 &amp; " ") - 1)</f>
        <v>3M</v>
      </c>
      <c r="H107" s="47" t="str">
        <f>RIGHT([1]!Tabla2[[#This Row],[Marca y Modelo]], LEN([1]!Tabla2[[#This Row],[Marca y Modelo]]) - FIND(" ", [1]!Tabla2[[#This Row],[Marca y Modelo]]))</f>
        <v>3100512</v>
      </c>
      <c r="J107" s="47"/>
      <c r="K107" s="91" t="s">
        <v>4064</v>
      </c>
      <c r="L107" s="91" t="s">
        <v>2718</v>
      </c>
      <c r="M107" s="91" t="s">
        <v>1404</v>
      </c>
      <c r="N107" s="91" t="s">
        <v>1521</v>
      </c>
      <c r="P107" s="91" t="s">
        <v>2528</v>
      </c>
      <c r="R107" s="48" t="s">
        <v>216</v>
      </c>
    </row>
    <row r="108" spans="2:18" x14ac:dyDescent="0.3">
      <c r="B108" t="str">
        <f>LEFT(Tabla3890134177220392[[#This Row],[Descripción del equipo]], FIND(" ", Tabla3890134177220392[[#This Row],[Descripción del equipo]] &amp; " ") - 1)</f>
        <v>Autoretractil</v>
      </c>
      <c r="C108" s="11" t="s">
        <v>1092</v>
      </c>
      <c r="D108">
        <v>1</v>
      </c>
      <c r="E108" s="11" t="s">
        <v>160</v>
      </c>
      <c r="F108" s="92" t="s">
        <v>1058</v>
      </c>
      <c r="G108" s="15" t="str">
        <f>LEFT([1]modificado!$O$2, FIND(" ", [1]modificado!$O$2 &amp; " ") - 1)</f>
        <v>3M</v>
      </c>
      <c r="H108" s="47" t="str">
        <f>RIGHT([1]!Tabla2[[#This Row],[Marca y Modelo]], LEN([1]!Tabla2[[#This Row],[Marca y Modelo]]) - FIND(" ", [1]!Tabla2[[#This Row],[Marca y Modelo]]))</f>
        <v>3100512</v>
      </c>
      <c r="J108" s="47"/>
      <c r="K108" s="92" t="s">
        <v>4064</v>
      </c>
      <c r="L108" s="92" t="s">
        <v>2719</v>
      </c>
      <c r="M108" s="92" t="s">
        <v>1404</v>
      </c>
      <c r="N108" s="92" t="s">
        <v>1522</v>
      </c>
      <c r="P108" s="92" t="s">
        <v>2528</v>
      </c>
      <c r="R108" s="48" t="s">
        <v>216</v>
      </c>
    </row>
    <row r="109" spans="2:18" x14ac:dyDescent="0.3">
      <c r="B109" t="str">
        <f>LEFT(Tabla3890134177220392[[#This Row],[Descripción del equipo]], FIND(" ", Tabla3890134177220392[[#This Row],[Descripción del equipo]] &amp; " ") - 1)</f>
        <v>Autoretractil</v>
      </c>
      <c r="C109" s="11" t="s">
        <v>1092</v>
      </c>
      <c r="D109">
        <v>1</v>
      </c>
      <c r="E109" s="11" t="s">
        <v>160</v>
      </c>
      <c r="F109" s="91" t="s">
        <v>1058</v>
      </c>
      <c r="G109" s="15" t="str">
        <f>LEFT([1]modificado!$O$2, FIND(" ", [1]modificado!$O$2 &amp; " ") - 1)</f>
        <v>3M</v>
      </c>
      <c r="H109" s="47" t="str">
        <f>RIGHT([1]!Tabla2[[#This Row],[Marca y Modelo]], LEN([1]!Tabla2[[#This Row],[Marca y Modelo]]) - FIND(" ", [1]!Tabla2[[#This Row],[Marca y Modelo]]))</f>
        <v>3100512</v>
      </c>
      <c r="J109" s="47"/>
      <c r="K109" s="91" t="s">
        <v>4064</v>
      </c>
      <c r="L109" s="91" t="s">
        <v>2720</v>
      </c>
      <c r="M109" s="91" t="s">
        <v>1404</v>
      </c>
      <c r="N109" s="91" t="s">
        <v>1523</v>
      </c>
      <c r="P109" s="91" t="s">
        <v>2528</v>
      </c>
      <c r="R109" s="48" t="s">
        <v>216</v>
      </c>
    </row>
    <row r="110" spans="2:18" x14ac:dyDescent="0.3">
      <c r="B110" t="str">
        <f>LEFT(Tabla3890134177220392[[#This Row],[Descripción del equipo]], FIND(" ", Tabla3890134177220392[[#This Row],[Descripción del equipo]] &amp; " ") - 1)</f>
        <v>Autoretractil</v>
      </c>
      <c r="C110" s="11" t="s">
        <v>1092</v>
      </c>
      <c r="D110">
        <v>1</v>
      </c>
      <c r="E110" s="11" t="s">
        <v>160</v>
      </c>
      <c r="F110" s="92" t="s">
        <v>1058</v>
      </c>
      <c r="G110" s="15" t="str">
        <f>LEFT([1]modificado!$O$2, FIND(" ", [1]modificado!$O$2 &amp; " ") - 1)</f>
        <v>3M</v>
      </c>
      <c r="H110" s="47" t="str">
        <f>RIGHT([1]!Tabla2[[#This Row],[Marca y Modelo]], LEN([1]!Tabla2[[#This Row],[Marca y Modelo]]) - FIND(" ", [1]!Tabla2[[#This Row],[Marca y Modelo]]))</f>
        <v>3100512</v>
      </c>
      <c r="J110" s="47"/>
      <c r="K110" s="92" t="s">
        <v>4064</v>
      </c>
      <c r="L110" s="92" t="s">
        <v>2721</v>
      </c>
      <c r="M110" s="92" t="s">
        <v>1404</v>
      </c>
      <c r="N110" s="92" t="s">
        <v>1524</v>
      </c>
      <c r="P110" s="92" t="s">
        <v>2528</v>
      </c>
      <c r="R110" s="48" t="s">
        <v>216</v>
      </c>
    </row>
    <row r="111" spans="2:18" x14ac:dyDescent="0.3">
      <c r="B111" t="str">
        <f>LEFT(Tabla3890134177220392[[#This Row],[Descripción del equipo]], FIND(" ", Tabla3890134177220392[[#This Row],[Descripción del equipo]] &amp; " ") - 1)</f>
        <v>Autoretractil</v>
      </c>
      <c r="C111" s="11" t="s">
        <v>1092</v>
      </c>
      <c r="D111">
        <v>1</v>
      </c>
      <c r="E111" s="11" t="s">
        <v>160</v>
      </c>
      <c r="F111" s="91" t="s">
        <v>1058</v>
      </c>
      <c r="G111" s="15" t="str">
        <f>LEFT([1]modificado!$O$2, FIND(" ", [1]modificado!$O$2 &amp; " ") - 1)</f>
        <v>3M</v>
      </c>
      <c r="H111" s="47" t="str">
        <f>RIGHT([1]!Tabla2[[#This Row],[Marca y Modelo]], LEN([1]!Tabla2[[#This Row],[Marca y Modelo]]) - FIND(" ", [1]!Tabla2[[#This Row],[Marca y Modelo]]))</f>
        <v>3100512</v>
      </c>
      <c r="J111" s="47"/>
      <c r="K111" s="91" t="s">
        <v>4064</v>
      </c>
      <c r="L111" s="91" t="s">
        <v>2722</v>
      </c>
      <c r="M111" s="91" t="s">
        <v>1404</v>
      </c>
      <c r="N111" s="91" t="s">
        <v>1525</v>
      </c>
      <c r="P111" s="91" t="s">
        <v>2528</v>
      </c>
      <c r="R111" s="48" t="s">
        <v>216</v>
      </c>
    </row>
    <row r="112" spans="2:18" x14ac:dyDescent="0.3">
      <c r="B112" t="str">
        <f>LEFT(Tabla3890134177220392[[#This Row],[Descripción del equipo]], FIND(" ", Tabla3890134177220392[[#This Row],[Descripción del equipo]] &amp; " ") - 1)</f>
        <v>Autoretractil</v>
      </c>
      <c r="C112" s="11" t="s">
        <v>1092</v>
      </c>
      <c r="D112">
        <v>1</v>
      </c>
      <c r="E112" s="11" t="s">
        <v>160</v>
      </c>
      <c r="F112" s="92" t="s">
        <v>1058</v>
      </c>
      <c r="G112" s="15" t="str">
        <f>LEFT([1]modificado!$O$2, FIND(" ", [1]modificado!$O$2 &amp; " ") - 1)</f>
        <v>3M</v>
      </c>
      <c r="H112" s="47" t="str">
        <f>RIGHT([1]!Tabla2[[#This Row],[Marca y Modelo]], LEN([1]!Tabla2[[#This Row],[Marca y Modelo]]) - FIND(" ", [1]!Tabla2[[#This Row],[Marca y Modelo]]))</f>
        <v>Nano Lok</v>
      </c>
      <c r="J112" s="47"/>
      <c r="K112" s="92" t="s">
        <v>4064</v>
      </c>
      <c r="L112" s="92" t="s">
        <v>2723</v>
      </c>
      <c r="M112" s="92" t="s">
        <v>1404</v>
      </c>
      <c r="N112" s="92" t="s">
        <v>1526</v>
      </c>
      <c r="P112" s="92" t="s">
        <v>2528</v>
      </c>
      <c r="R112" s="48" t="s">
        <v>216</v>
      </c>
    </row>
    <row r="113" spans="2:18" x14ac:dyDescent="0.3">
      <c r="B113" t="str">
        <f>LEFT(Tabla3890134177220392[[#This Row],[Descripción del equipo]], FIND(" ", Tabla3890134177220392[[#This Row],[Descripción del equipo]] &amp; " ") - 1)</f>
        <v>Autoretractil</v>
      </c>
      <c r="C113" s="11" t="s">
        <v>1092</v>
      </c>
      <c r="D113">
        <v>1</v>
      </c>
      <c r="E113" s="11" t="s">
        <v>160</v>
      </c>
      <c r="F113" s="91" t="s">
        <v>1058</v>
      </c>
      <c r="G113" s="15" t="str">
        <f>LEFT([1]modificado!$O$2, FIND(" ", [1]modificado!$O$2 &amp; " ") - 1)</f>
        <v>3M</v>
      </c>
      <c r="H113" s="47" t="str">
        <f>RIGHT([1]!Tabla2[[#This Row],[Marca y Modelo]], LEN([1]!Tabla2[[#This Row],[Marca y Modelo]]) - FIND(" ", [1]!Tabla2[[#This Row],[Marca y Modelo]]))</f>
        <v>3100512</v>
      </c>
      <c r="J113" s="47"/>
      <c r="K113" s="91" t="s">
        <v>4064</v>
      </c>
      <c r="L113" s="91" t="s">
        <v>2724</v>
      </c>
      <c r="M113" s="91" t="s">
        <v>1404</v>
      </c>
      <c r="N113" s="91" t="s">
        <v>1527</v>
      </c>
      <c r="P113" s="91" t="s">
        <v>2528</v>
      </c>
      <c r="R113" s="48" t="s">
        <v>216</v>
      </c>
    </row>
    <row r="114" spans="2:18" x14ac:dyDescent="0.3">
      <c r="B114" t="str">
        <f>LEFT(Tabla3890134177220392[[#This Row],[Descripción del equipo]], FIND(" ", Tabla3890134177220392[[#This Row],[Descripción del equipo]] &amp; " ") - 1)</f>
        <v>Autoretractil</v>
      </c>
      <c r="C114" s="11" t="s">
        <v>1092</v>
      </c>
      <c r="D114">
        <v>1</v>
      </c>
      <c r="E114" s="11" t="s">
        <v>160</v>
      </c>
      <c r="F114" s="92" t="s">
        <v>1058</v>
      </c>
      <c r="G114" s="15" t="str">
        <f>LEFT([1]modificado!$O$2, FIND(" ", [1]modificado!$O$2 &amp; " ") - 1)</f>
        <v>3M</v>
      </c>
      <c r="H114" s="47" t="str">
        <f>RIGHT([1]!Tabla2[[#This Row],[Marca y Modelo]], LEN([1]!Tabla2[[#This Row],[Marca y Modelo]]) - FIND(" ", [1]!Tabla2[[#This Row],[Marca y Modelo]]))</f>
        <v>3100512</v>
      </c>
      <c r="J114" s="47"/>
      <c r="K114" s="92" t="s">
        <v>4064</v>
      </c>
      <c r="L114" s="92" t="s">
        <v>2725</v>
      </c>
      <c r="M114" s="92" t="s">
        <v>1404</v>
      </c>
      <c r="N114" s="92" t="s">
        <v>1528</v>
      </c>
      <c r="P114" s="92" t="s">
        <v>2528</v>
      </c>
      <c r="R114" s="48" t="s">
        <v>216</v>
      </c>
    </row>
    <row r="115" spans="2:18" x14ac:dyDescent="0.3">
      <c r="B115" t="str">
        <f>LEFT(Tabla3890134177220392[[#This Row],[Descripción del equipo]], FIND(" ", Tabla3890134177220392[[#This Row],[Descripción del equipo]] &amp; " ") - 1)</f>
        <v>Autoretractil</v>
      </c>
      <c r="C115" s="11" t="s">
        <v>1092</v>
      </c>
      <c r="D115">
        <v>1</v>
      </c>
      <c r="E115" s="11" t="s">
        <v>160</v>
      </c>
      <c r="F115" s="91" t="s">
        <v>1058</v>
      </c>
      <c r="G115" s="15" t="str">
        <f>LEFT([1]modificado!$O$2, FIND(" ", [1]modificado!$O$2 &amp; " ") - 1)</f>
        <v>3M</v>
      </c>
      <c r="H115" s="47" t="str">
        <f>RIGHT([1]!Tabla2[[#This Row],[Marca y Modelo]], LEN([1]!Tabla2[[#This Row],[Marca y Modelo]]) - FIND(" ", [1]!Tabla2[[#This Row],[Marca y Modelo]]))</f>
        <v>Nano Lok</v>
      </c>
      <c r="J115" s="47"/>
      <c r="K115" s="91" t="s">
        <v>4065</v>
      </c>
      <c r="L115" s="91" t="s">
        <v>2726</v>
      </c>
      <c r="M115" s="91" t="s">
        <v>1404</v>
      </c>
      <c r="N115" s="91" t="s">
        <v>1529</v>
      </c>
      <c r="P115" s="91" t="s">
        <v>2528</v>
      </c>
      <c r="R115" s="48" t="s">
        <v>216</v>
      </c>
    </row>
    <row r="116" spans="2:18" x14ac:dyDescent="0.3">
      <c r="B116" t="str">
        <f>LEFT(Tabla3890134177220392[[#This Row],[Descripción del equipo]], FIND(" ", Tabla3890134177220392[[#This Row],[Descripción del equipo]] &amp; " ") - 1)</f>
        <v>Autoretractil</v>
      </c>
      <c r="C116" s="11" t="s">
        <v>1092</v>
      </c>
      <c r="D116">
        <v>1</v>
      </c>
      <c r="E116" s="11" t="s">
        <v>160</v>
      </c>
      <c r="F116" s="92" t="s">
        <v>1058</v>
      </c>
      <c r="G116" s="15" t="str">
        <f>LEFT([1]modificado!$O$2, FIND(" ", [1]modificado!$O$2 &amp; " ") - 1)</f>
        <v>3M</v>
      </c>
      <c r="H116" s="47" t="str">
        <f>RIGHT([1]!Tabla2[[#This Row],[Marca y Modelo]], LEN([1]!Tabla2[[#This Row],[Marca y Modelo]]) - FIND(" ", [1]!Tabla2[[#This Row],[Marca y Modelo]]))</f>
        <v>Nano Lok</v>
      </c>
      <c r="J116" s="47"/>
      <c r="K116" s="92" t="s">
        <v>4065</v>
      </c>
      <c r="L116" s="92" t="s">
        <v>2727</v>
      </c>
      <c r="M116" s="92" t="s">
        <v>1404</v>
      </c>
      <c r="N116" s="92" t="s">
        <v>1530</v>
      </c>
      <c r="P116" s="92" t="s">
        <v>2528</v>
      </c>
      <c r="R116" s="48" t="s">
        <v>216</v>
      </c>
    </row>
    <row r="117" spans="2:18" x14ac:dyDescent="0.3">
      <c r="B117" t="str">
        <f>LEFT(Tabla3890134177220392[[#This Row],[Descripción del equipo]], FIND(" ", Tabla3890134177220392[[#This Row],[Descripción del equipo]] &amp; " ") - 1)</f>
        <v>Autoretractil</v>
      </c>
      <c r="C117" s="11" t="s">
        <v>1092</v>
      </c>
      <c r="D117">
        <v>1</v>
      </c>
      <c r="E117" s="11" t="s">
        <v>160</v>
      </c>
      <c r="F117" s="91" t="s">
        <v>1058</v>
      </c>
      <c r="G117" s="15" t="str">
        <f>LEFT([1]modificado!$O$2, FIND(" ", [1]modificado!$O$2 &amp; " ") - 1)</f>
        <v>3M</v>
      </c>
      <c r="H117" s="47" t="str">
        <f>RIGHT([1]!Tabla2[[#This Row],[Marca y Modelo]], LEN([1]!Tabla2[[#This Row],[Marca y Modelo]]) - FIND(" ", [1]!Tabla2[[#This Row],[Marca y Modelo]]))</f>
        <v>Nano Lok</v>
      </c>
      <c r="J117" s="47"/>
      <c r="K117" s="91" t="s">
        <v>4065</v>
      </c>
      <c r="L117" s="91" t="s">
        <v>2728</v>
      </c>
      <c r="M117" s="91" t="s">
        <v>1404</v>
      </c>
      <c r="N117" s="91" t="s">
        <v>1531</v>
      </c>
      <c r="P117" s="91" t="s">
        <v>2528</v>
      </c>
      <c r="R117" s="48" t="s">
        <v>216</v>
      </c>
    </row>
    <row r="118" spans="2:18" x14ac:dyDescent="0.3">
      <c r="B118" t="str">
        <f>LEFT(Tabla3890134177220392[[#This Row],[Descripción del equipo]], FIND(" ", Tabla3890134177220392[[#This Row],[Descripción del equipo]] &amp; " ") - 1)</f>
        <v>Autoretractil</v>
      </c>
      <c r="C118" s="11" t="s">
        <v>1092</v>
      </c>
      <c r="D118">
        <v>1</v>
      </c>
      <c r="E118" s="11" t="s">
        <v>160</v>
      </c>
      <c r="F118" s="92" t="s">
        <v>1058</v>
      </c>
      <c r="G118" s="15" t="str">
        <f>LEFT([1]modificado!$O$2, FIND(" ", [1]modificado!$O$2 &amp; " ") - 1)</f>
        <v>3M</v>
      </c>
      <c r="H118" s="47" t="str">
        <f>RIGHT([1]!Tabla2[[#This Row],[Marca y Modelo]], LEN([1]!Tabla2[[#This Row],[Marca y Modelo]]) - FIND(" ", [1]!Tabla2[[#This Row],[Marca y Modelo]]))</f>
        <v>Nano Lok</v>
      </c>
      <c r="J118" s="47"/>
      <c r="K118" s="92" t="s">
        <v>4065</v>
      </c>
      <c r="L118" s="92" t="s">
        <v>2729</v>
      </c>
      <c r="M118" s="92" t="s">
        <v>1404</v>
      </c>
      <c r="N118" s="92" t="s">
        <v>1532</v>
      </c>
      <c r="P118" s="92" t="s">
        <v>2528</v>
      </c>
      <c r="R118" s="48" t="s">
        <v>216</v>
      </c>
    </row>
    <row r="119" spans="2:18" x14ac:dyDescent="0.3">
      <c r="B119" t="str">
        <f>LEFT(Tabla3890134177220392[[#This Row],[Descripción del equipo]], FIND(" ", Tabla3890134177220392[[#This Row],[Descripción del equipo]] &amp; " ") - 1)</f>
        <v>Autoretractil</v>
      </c>
      <c r="C119" s="11" t="s">
        <v>1092</v>
      </c>
      <c r="D119">
        <v>1</v>
      </c>
      <c r="E119" s="11" t="s">
        <v>160</v>
      </c>
      <c r="F119" s="91" t="s">
        <v>1058</v>
      </c>
      <c r="G119" s="15" t="str">
        <f>LEFT([1]modificado!$O$2, FIND(" ", [1]modificado!$O$2 &amp; " ") - 1)</f>
        <v>3M</v>
      </c>
      <c r="H119" s="47" t="str">
        <f>RIGHT([1]!Tabla2[[#This Row],[Marca y Modelo]], LEN([1]!Tabla2[[#This Row],[Marca y Modelo]]) - FIND(" ", [1]!Tabla2[[#This Row],[Marca y Modelo]]))</f>
        <v>3100512</v>
      </c>
      <c r="J119" s="47"/>
      <c r="K119" s="91" t="s">
        <v>4065</v>
      </c>
      <c r="L119" s="91" t="s">
        <v>2730</v>
      </c>
      <c r="M119" s="91" t="s">
        <v>1404</v>
      </c>
      <c r="N119" s="91" t="s">
        <v>1533</v>
      </c>
      <c r="P119" s="91" t="s">
        <v>2528</v>
      </c>
      <c r="R119" s="48" t="s">
        <v>216</v>
      </c>
    </row>
    <row r="120" spans="2:18" x14ac:dyDescent="0.3">
      <c r="B120" t="str">
        <f>LEFT(Tabla3890134177220392[[#This Row],[Descripción del equipo]], FIND(" ", Tabla3890134177220392[[#This Row],[Descripción del equipo]] &amp; " ") - 1)</f>
        <v>Autoretractil</v>
      </c>
      <c r="C120" s="11" t="s">
        <v>1092</v>
      </c>
      <c r="D120">
        <v>1</v>
      </c>
      <c r="E120" s="11" t="s">
        <v>160</v>
      </c>
      <c r="F120" s="92" t="s">
        <v>1058</v>
      </c>
      <c r="G120" s="15" t="str">
        <f>LEFT([1]modificado!$O$2, FIND(" ", [1]modificado!$O$2 &amp; " ") - 1)</f>
        <v>3M</v>
      </c>
      <c r="H120" s="47" t="str">
        <f>RIGHT([1]!Tabla2[[#This Row],[Marca y Modelo]], LEN([1]!Tabla2[[#This Row],[Marca y Modelo]]) - FIND(" ", [1]!Tabla2[[#This Row],[Marca y Modelo]]))</f>
        <v>3100512</v>
      </c>
      <c r="J120" s="47"/>
      <c r="K120" s="92" t="s">
        <v>4065</v>
      </c>
      <c r="L120" s="92" t="s">
        <v>2731</v>
      </c>
      <c r="M120" s="92" t="s">
        <v>1404</v>
      </c>
      <c r="N120" s="92" t="s">
        <v>1534</v>
      </c>
      <c r="P120" s="92" t="s">
        <v>2528</v>
      </c>
      <c r="R120" s="48" t="s">
        <v>216</v>
      </c>
    </row>
    <row r="121" spans="2:18" x14ac:dyDescent="0.3">
      <c r="B121" t="str">
        <f>LEFT(Tabla3890134177220392[[#This Row],[Descripción del equipo]], FIND(" ", Tabla3890134177220392[[#This Row],[Descripción del equipo]] &amp; " ") - 1)</f>
        <v>Autoretractil</v>
      </c>
      <c r="C121" s="11" t="s">
        <v>1092</v>
      </c>
      <c r="D121">
        <v>1</v>
      </c>
      <c r="E121" s="11" t="s">
        <v>160</v>
      </c>
      <c r="F121" s="91" t="s">
        <v>1058</v>
      </c>
      <c r="G121" s="15" t="str">
        <f>LEFT([1]modificado!$O$2, FIND(" ", [1]modificado!$O$2 &amp; " ") - 1)</f>
        <v>3M</v>
      </c>
      <c r="H121" s="47" t="str">
        <f>RIGHT([1]!Tabla2[[#This Row],[Marca y Modelo]], LEN([1]!Tabla2[[#This Row],[Marca y Modelo]]) - FIND(" ", [1]!Tabla2[[#This Row],[Marca y Modelo]]))</f>
        <v>3100512</v>
      </c>
      <c r="J121" s="47"/>
      <c r="K121" s="91" t="s">
        <v>4065</v>
      </c>
      <c r="L121" s="91" t="s">
        <v>2732</v>
      </c>
      <c r="M121" s="91" t="s">
        <v>1404</v>
      </c>
      <c r="N121" s="91" t="s">
        <v>1535</v>
      </c>
      <c r="P121" s="91" t="s">
        <v>2528</v>
      </c>
      <c r="R121" s="48" t="s">
        <v>216</v>
      </c>
    </row>
    <row r="122" spans="2:18" x14ac:dyDescent="0.3">
      <c r="B122" t="str">
        <f>LEFT(Tabla3890134177220392[[#This Row],[Descripción del equipo]], FIND(" ", Tabla3890134177220392[[#This Row],[Descripción del equipo]] &amp; " ") - 1)</f>
        <v>Autoretractil</v>
      </c>
      <c r="C122" s="11" t="s">
        <v>1092</v>
      </c>
      <c r="D122">
        <v>1</v>
      </c>
      <c r="E122" s="11" t="s">
        <v>160</v>
      </c>
      <c r="F122" s="92" t="s">
        <v>1058</v>
      </c>
      <c r="G122" s="15" t="str">
        <f>LEFT([1]modificado!$O$2, FIND(" ", [1]modificado!$O$2 &amp; " ") - 1)</f>
        <v>3M</v>
      </c>
      <c r="H122" s="47" t="str">
        <f>RIGHT([1]!Tabla2[[#This Row],[Marca y Modelo]], LEN([1]!Tabla2[[#This Row],[Marca y Modelo]]) - FIND(" ", [1]!Tabla2[[#This Row],[Marca y Modelo]]))</f>
        <v>Nano Lok</v>
      </c>
      <c r="J122" s="47"/>
      <c r="K122" s="92" t="s">
        <v>4065</v>
      </c>
      <c r="L122" s="92" t="s">
        <v>2733</v>
      </c>
      <c r="M122" s="92" t="s">
        <v>1404</v>
      </c>
      <c r="N122" s="92" t="s">
        <v>1536</v>
      </c>
      <c r="P122" s="92" t="s">
        <v>2528</v>
      </c>
      <c r="R122" s="48" t="s">
        <v>216</v>
      </c>
    </row>
    <row r="123" spans="2:18" x14ac:dyDescent="0.3">
      <c r="B123" t="str">
        <f>LEFT(Tabla3890134177220392[[#This Row],[Descripción del equipo]], FIND(" ", Tabla3890134177220392[[#This Row],[Descripción del equipo]] &amp; " ") - 1)</f>
        <v>Autoretractil</v>
      </c>
      <c r="C123" s="11" t="s">
        <v>1092</v>
      </c>
      <c r="D123">
        <v>1</v>
      </c>
      <c r="E123" s="11" t="s">
        <v>160</v>
      </c>
      <c r="F123" s="91" t="s">
        <v>1058</v>
      </c>
      <c r="G123" s="15" t="str">
        <f>LEFT([1]modificado!$O$2, FIND(" ", [1]modificado!$O$2 &amp; " ") - 1)</f>
        <v>3M</v>
      </c>
      <c r="H123" s="47" t="str">
        <f>RIGHT([1]!Tabla2[[#This Row],[Marca y Modelo]], LEN([1]!Tabla2[[#This Row],[Marca y Modelo]]) - FIND(" ", [1]!Tabla2[[#This Row],[Marca y Modelo]]))</f>
        <v>3100512</v>
      </c>
      <c r="J123" s="47"/>
      <c r="K123" s="91" t="s">
        <v>4065</v>
      </c>
      <c r="L123" s="91" t="s">
        <v>2734</v>
      </c>
      <c r="M123" s="91" t="s">
        <v>1404</v>
      </c>
      <c r="N123" s="91" t="s">
        <v>1537</v>
      </c>
      <c r="P123" s="91" t="s">
        <v>2528</v>
      </c>
      <c r="R123" s="48" t="s">
        <v>216</v>
      </c>
    </row>
    <row r="124" spans="2:18" x14ac:dyDescent="0.3">
      <c r="B124" t="str">
        <f>LEFT(Tabla3890134177220392[[#This Row],[Descripción del equipo]], FIND(" ", Tabla3890134177220392[[#This Row],[Descripción del equipo]] &amp; " ") - 1)</f>
        <v>Autoretractil</v>
      </c>
      <c r="C124" s="11" t="s">
        <v>1092</v>
      </c>
      <c r="D124">
        <v>1</v>
      </c>
      <c r="E124" s="11" t="s">
        <v>160</v>
      </c>
      <c r="F124" s="92" t="s">
        <v>1058</v>
      </c>
      <c r="G124" s="15" t="str">
        <f>LEFT([1]modificado!$O$2, FIND(" ", [1]modificado!$O$2 &amp; " ") - 1)</f>
        <v>3M</v>
      </c>
      <c r="H124" s="47" t="str">
        <f>RIGHT([1]!Tabla2[[#This Row],[Marca y Modelo]], LEN([1]!Tabla2[[#This Row],[Marca y Modelo]]) - FIND(" ", [1]!Tabla2[[#This Row],[Marca y Modelo]]))</f>
        <v>3100512</v>
      </c>
      <c r="J124" s="47"/>
      <c r="K124" s="92" t="s">
        <v>4065</v>
      </c>
      <c r="L124" s="92" t="s">
        <v>2735</v>
      </c>
      <c r="M124" s="92" t="s">
        <v>1404</v>
      </c>
      <c r="N124" s="92" t="s">
        <v>1538</v>
      </c>
      <c r="P124" s="92" t="s">
        <v>2528</v>
      </c>
      <c r="R124" s="48" t="s">
        <v>216</v>
      </c>
    </row>
    <row r="125" spans="2:18" x14ac:dyDescent="0.3">
      <c r="B125" t="str">
        <f>LEFT(Tabla3890134177220392[[#This Row],[Descripción del equipo]], FIND(" ", Tabla3890134177220392[[#This Row],[Descripción del equipo]] &amp; " ") - 1)</f>
        <v>Arnes</v>
      </c>
      <c r="C125" s="11" t="s">
        <v>1092</v>
      </c>
      <c r="D125">
        <v>1</v>
      </c>
      <c r="E125" s="11" t="s">
        <v>160</v>
      </c>
      <c r="F125" s="91" t="s">
        <v>1056</v>
      </c>
      <c r="G125" s="15" t="str">
        <f>LEFT([1]modificado!$O$2, FIND(" ", [1]modificado!$O$2 &amp; " ") - 1)</f>
        <v>3M</v>
      </c>
      <c r="H125" s="47" t="str">
        <f>RIGHT([1]!Tabla2[[#This Row],[Marca y Modelo]], LEN([1]!Tabla2[[#This Row],[Marca y Modelo]]) - FIND(" ", [1]!Tabla2[[#This Row],[Marca y Modelo]]))</f>
        <v>Basic Lion</v>
      </c>
      <c r="J125" s="47"/>
      <c r="K125" s="91" t="s">
        <v>4066</v>
      </c>
      <c r="L125" s="91" t="s">
        <v>2736</v>
      </c>
      <c r="M125" s="91" t="s">
        <v>1404</v>
      </c>
      <c r="N125" s="91" t="s">
        <v>1539</v>
      </c>
      <c r="P125" s="91" t="s">
        <v>2528</v>
      </c>
      <c r="R125" s="48" t="s">
        <v>216</v>
      </c>
    </row>
    <row r="126" spans="2:18" x14ac:dyDescent="0.3">
      <c r="B126" t="str">
        <f>LEFT(Tabla3890134177220392[[#This Row],[Descripción del equipo]], FIND(" ", Tabla3890134177220392[[#This Row],[Descripción del equipo]] &amp; " ") - 1)</f>
        <v>Arnes</v>
      </c>
      <c r="C126" s="11" t="s">
        <v>1092</v>
      </c>
      <c r="D126">
        <v>1</v>
      </c>
      <c r="E126" s="11" t="s">
        <v>160</v>
      </c>
      <c r="F126" s="92" t="s">
        <v>1056</v>
      </c>
      <c r="G126" s="15" t="str">
        <f>LEFT([1]modificado!$O$2, FIND(" ", [1]modificado!$O$2 &amp; " ") - 1)</f>
        <v>3M</v>
      </c>
      <c r="H126" s="47" t="str">
        <f>RIGHT([1]!Tabla2[[#This Row],[Marca y Modelo]], LEN([1]!Tabla2[[#This Row],[Marca y Modelo]]) - FIND(" ", [1]!Tabla2[[#This Row],[Marca y Modelo]]))</f>
        <v>Basic Tiger</v>
      </c>
      <c r="J126" s="47"/>
      <c r="K126" s="92" t="s">
        <v>4066</v>
      </c>
      <c r="L126" s="92" t="s">
        <v>2737</v>
      </c>
      <c r="M126" s="92" t="s">
        <v>1404</v>
      </c>
      <c r="N126" s="92" t="s">
        <v>1540</v>
      </c>
      <c r="P126" s="92" t="s">
        <v>2528</v>
      </c>
      <c r="R126" s="48" t="s">
        <v>216</v>
      </c>
    </row>
    <row r="127" spans="2:18" x14ac:dyDescent="0.3">
      <c r="B127" t="str">
        <f>LEFT(Tabla3890134177220392[[#This Row],[Descripción del equipo]], FIND(" ", Tabla3890134177220392[[#This Row],[Descripción del equipo]] &amp; " ") - 1)</f>
        <v>Arnes</v>
      </c>
      <c r="C127" s="11" t="s">
        <v>1092</v>
      </c>
      <c r="D127">
        <v>1</v>
      </c>
      <c r="E127" s="11" t="s">
        <v>160</v>
      </c>
      <c r="F127" s="91" t="s">
        <v>1056</v>
      </c>
      <c r="G127" s="15" t="str">
        <f>LEFT([1]modificado!$O$2, FIND(" ", [1]modificado!$O$2 &amp; " ") - 1)</f>
        <v>3M</v>
      </c>
      <c r="H127" s="47" t="str">
        <f>RIGHT([1]!Tabla2[[#This Row],[Marca y Modelo]], LEN([1]!Tabla2[[#This Row],[Marca y Modelo]]) - FIND(" ", [1]!Tabla2[[#This Row],[Marca y Modelo]]))</f>
        <v>Basic Lion</v>
      </c>
      <c r="J127" s="47"/>
      <c r="K127" s="91" t="s">
        <v>4066</v>
      </c>
      <c r="L127" s="91" t="s">
        <v>2738</v>
      </c>
      <c r="M127" s="91" t="s">
        <v>1404</v>
      </c>
      <c r="N127" s="91" t="s">
        <v>1541</v>
      </c>
      <c r="P127" s="91" t="s">
        <v>2528</v>
      </c>
      <c r="R127" s="48" t="s">
        <v>216</v>
      </c>
    </row>
    <row r="128" spans="2:18" x14ac:dyDescent="0.3">
      <c r="B128" t="str">
        <f>LEFT(Tabla3890134177220392[[#This Row],[Descripción del equipo]], FIND(" ", Tabla3890134177220392[[#This Row],[Descripción del equipo]] &amp; " ") - 1)</f>
        <v>Arnes</v>
      </c>
      <c r="C128" s="11" t="s">
        <v>1092</v>
      </c>
      <c r="D128">
        <v>1</v>
      </c>
      <c r="E128" s="11" t="s">
        <v>160</v>
      </c>
      <c r="F128" s="92" t="s">
        <v>1056</v>
      </c>
      <c r="G128" s="15" t="str">
        <f>LEFT([1]modificado!$O$2, FIND(" ", [1]modificado!$O$2 &amp; " ") - 1)</f>
        <v>3M</v>
      </c>
      <c r="H128" s="47" t="str">
        <f>RIGHT([1]!Tabla2[[#This Row],[Marca y Modelo]], LEN([1]!Tabla2[[#This Row],[Marca y Modelo]]) - FIND(" ", [1]!Tabla2[[#This Row],[Marca y Modelo]]))</f>
        <v>Musitani Lion</v>
      </c>
      <c r="J128" s="47"/>
      <c r="K128" s="92" t="s">
        <v>4066</v>
      </c>
      <c r="L128" s="92" t="s">
        <v>2739</v>
      </c>
      <c r="M128" s="92" t="s">
        <v>1404</v>
      </c>
      <c r="N128" s="92" t="s">
        <v>1542</v>
      </c>
      <c r="P128" s="92" t="s">
        <v>2528</v>
      </c>
      <c r="R128" s="48" t="s">
        <v>216</v>
      </c>
    </row>
    <row r="129" spans="2:19" x14ac:dyDescent="0.3">
      <c r="B129" t="s">
        <v>4348</v>
      </c>
      <c r="C129" s="11" t="s">
        <v>1092</v>
      </c>
      <c r="D129">
        <v>1</v>
      </c>
      <c r="E129" s="11" t="s">
        <v>160</v>
      </c>
      <c r="F129" s="91" t="s">
        <v>1090</v>
      </c>
      <c r="G129" s="15" t="str">
        <f>LEFT([1]modificado!$O$2, FIND(" ", [1]modificado!$O$2 &amp; " ") - 1)</f>
        <v>3M</v>
      </c>
      <c r="H129" s="47"/>
      <c r="J129" s="47"/>
      <c r="K129" s="91" t="s">
        <v>4067</v>
      </c>
      <c r="L129" s="91" t="s">
        <v>2740</v>
      </c>
      <c r="M129" s="91" t="s">
        <v>1404</v>
      </c>
      <c r="N129" s="91" t="s">
        <v>1543</v>
      </c>
      <c r="P129" s="91" t="s">
        <v>2528</v>
      </c>
      <c r="R129" s="48" t="s">
        <v>216</v>
      </c>
    </row>
    <row r="130" spans="2:19" x14ac:dyDescent="0.3">
      <c r="B130" t="s">
        <v>4348</v>
      </c>
      <c r="C130" s="11" t="s">
        <v>1092</v>
      </c>
      <c r="D130">
        <v>1</v>
      </c>
      <c r="E130" s="11" t="s">
        <v>160</v>
      </c>
      <c r="F130" s="92" t="s">
        <v>1057</v>
      </c>
      <c r="G130" s="15" t="str">
        <f>LEFT([1]modificado!$O$2, FIND(" ", [1]modificado!$O$2 &amp; " ") - 1)</f>
        <v>3M</v>
      </c>
      <c r="H130" s="47" t="str">
        <f>RIGHT([1]!Tabla2[[#This Row],[Marca y Modelo]], LEN([1]!Tabla2[[#This Row],[Marca y Modelo]]) - FIND(" ", [1]!Tabla2[[#This Row],[Marca y Modelo]]))</f>
        <v>Basic Shock Absorbing</v>
      </c>
      <c r="J130" s="47"/>
      <c r="K130" s="92" t="s">
        <v>4067</v>
      </c>
      <c r="L130" s="92" t="s">
        <v>2741</v>
      </c>
      <c r="M130" s="92" t="s">
        <v>1404</v>
      </c>
      <c r="N130" s="92" t="s">
        <v>1544</v>
      </c>
      <c r="P130" s="92" t="s">
        <v>2528</v>
      </c>
      <c r="R130" s="48" t="s">
        <v>216</v>
      </c>
    </row>
    <row r="131" spans="2:19" x14ac:dyDescent="0.3">
      <c r="B131" t="str">
        <f>LEFT(Tabla3890134177220392[[#This Row],[Descripción del equipo]], FIND(" ", Tabla3890134177220392[[#This Row],[Descripción del equipo]] &amp; " ") - 1)</f>
        <v>Autoretractil</v>
      </c>
      <c r="C131" s="11" t="s">
        <v>1092</v>
      </c>
      <c r="D131">
        <v>1</v>
      </c>
      <c r="E131" s="11" t="s">
        <v>160</v>
      </c>
      <c r="F131" s="91" t="s">
        <v>1058</v>
      </c>
      <c r="G131" s="15" t="str">
        <f>LEFT([1]modificado!$O$2, FIND(" ", [1]modificado!$O$2 &amp; " ") - 1)</f>
        <v>3M</v>
      </c>
      <c r="H131" s="47" t="str">
        <f>RIGHT([1]!Tabla2[[#This Row],[Marca y Modelo]], LEN([1]!Tabla2[[#This Row],[Marca y Modelo]]) - FIND(" ", [1]!Tabla2[[#This Row],[Marca y Modelo]]))</f>
        <v>3100512</v>
      </c>
      <c r="J131" s="47"/>
      <c r="K131" s="91" t="s">
        <v>4068</v>
      </c>
      <c r="L131" s="91" t="s">
        <v>2742</v>
      </c>
      <c r="M131" s="91" t="s">
        <v>1404</v>
      </c>
      <c r="N131" s="91" t="s">
        <v>1545</v>
      </c>
      <c r="P131" s="91" t="s">
        <v>2528</v>
      </c>
      <c r="R131" s="48" t="s">
        <v>216</v>
      </c>
    </row>
    <row r="132" spans="2:19" x14ac:dyDescent="0.3">
      <c r="B132" t="str">
        <f>LEFT(Tabla3890134177220392[[#This Row],[Descripción del equipo]], FIND(" ", Tabla3890134177220392[[#This Row],[Descripción del equipo]] &amp; " ") - 1)</f>
        <v>Autoretractil</v>
      </c>
      <c r="C132" s="11" t="s">
        <v>1092</v>
      </c>
      <c r="D132">
        <v>1</v>
      </c>
      <c r="E132" s="11" t="s">
        <v>160</v>
      </c>
      <c r="F132" s="92" t="s">
        <v>1058</v>
      </c>
      <c r="G132" s="15" t="str">
        <f>LEFT([1]modificado!$O$2, FIND(" ", [1]modificado!$O$2 &amp; " ") - 1)</f>
        <v>3M</v>
      </c>
      <c r="H132" s="47" t="str">
        <f>RIGHT([1]!Tabla2[[#This Row],[Marca y Modelo]], LEN([1]!Tabla2[[#This Row],[Marca y Modelo]]) - FIND(" ", [1]!Tabla2[[#This Row],[Marca y Modelo]]))</f>
        <v>3100512</v>
      </c>
      <c r="J132" s="47"/>
      <c r="K132" s="92" t="s">
        <v>4068</v>
      </c>
      <c r="L132" s="92" t="s">
        <v>2743</v>
      </c>
      <c r="M132" s="92" t="s">
        <v>1404</v>
      </c>
      <c r="N132" s="92" t="s">
        <v>1546</v>
      </c>
      <c r="P132" s="92" t="s">
        <v>2528</v>
      </c>
      <c r="R132" s="48" t="s">
        <v>216</v>
      </c>
    </row>
    <row r="133" spans="2:19" x14ac:dyDescent="0.3">
      <c r="B133" t="str">
        <f>LEFT(Tabla3890134177220392[[#This Row],[Descripción del equipo]], FIND(" ", Tabla3890134177220392[[#This Row],[Descripción del equipo]] &amp; " ") - 1)</f>
        <v>Autoretractil</v>
      </c>
      <c r="C133" s="11" t="s">
        <v>1092</v>
      </c>
      <c r="D133">
        <v>1</v>
      </c>
      <c r="E133" s="11" t="s">
        <v>160</v>
      </c>
      <c r="F133" s="91" t="s">
        <v>1058</v>
      </c>
      <c r="G133" s="15" t="str">
        <f>LEFT([1]modificado!$O$2, FIND(" ", [1]modificado!$O$2 &amp; " ") - 1)</f>
        <v>3M</v>
      </c>
      <c r="H133" s="47" t="str">
        <f>RIGHT([1]!Tabla2[[#This Row],[Marca y Modelo]], LEN([1]!Tabla2[[#This Row],[Marca y Modelo]]) - FIND(" ", [1]!Tabla2[[#This Row],[Marca y Modelo]]))</f>
        <v>3100512</v>
      </c>
      <c r="J133" s="47"/>
      <c r="K133" s="91" t="s">
        <v>4068</v>
      </c>
      <c r="L133" s="91" t="s">
        <v>2744</v>
      </c>
      <c r="M133" s="91" t="s">
        <v>1404</v>
      </c>
      <c r="N133" s="91" t="s">
        <v>1547</v>
      </c>
      <c r="P133" s="91" t="s">
        <v>2528</v>
      </c>
      <c r="R133" s="48" t="s">
        <v>216</v>
      </c>
    </row>
    <row r="134" spans="2:19" x14ac:dyDescent="0.3">
      <c r="B134" t="str">
        <f>LEFT(Tabla3890134177220392[[#This Row],[Descripción del equipo]], FIND(" ", Tabla3890134177220392[[#This Row],[Descripción del equipo]] &amp; " ") - 1)</f>
        <v>Autoretractil</v>
      </c>
      <c r="C134" s="11" t="s">
        <v>1092</v>
      </c>
      <c r="D134">
        <v>1</v>
      </c>
      <c r="E134" s="11" t="s">
        <v>160</v>
      </c>
      <c r="F134" s="92" t="s">
        <v>1058</v>
      </c>
      <c r="G134" s="15" t="str">
        <f>LEFT([1]modificado!$O$2, FIND(" ", [1]modificado!$O$2 &amp; " ") - 1)</f>
        <v>3M</v>
      </c>
      <c r="H134" s="47" t="str">
        <f>RIGHT([1]!Tabla2[[#This Row],[Marca y Modelo]], LEN([1]!Tabla2[[#This Row],[Marca y Modelo]]) - FIND(" ", [1]!Tabla2[[#This Row],[Marca y Modelo]]))</f>
        <v>3100512</v>
      </c>
      <c r="J134" s="47"/>
      <c r="K134" s="92" t="s">
        <v>4068</v>
      </c>
      <c r="L134" s="92" t="s">
        <v>2745</v>
      </c>
      <c r="M134" s="92" t="s">
        <v>1404</v>
      </c>
      <c r="N134" s="92" t="s">
        <v>1548</v>
      </c>
      <c r="P134" s="92" t="s">
        <v>2528</v>
      </c>
      <c r="R134" s="48" t="s">
        <v>216</v>
      </c>
    </row>
    <row r="135" spans="2:19" x14ac:dyDescent="0.3">
      <c r="B135" t="str">
        <f>LEFT(Tabla3890134177220392[[#This Row],[Descripción del equipo]], FIND(" ", Tabla3890134177220392[[#This Row],[Descripción del equipo]] &amp; " ") - 1)</f>
        <v>Autoretractil</v>
      </c>
      <c r="C135" s="11" t="s">
        <v>1092</v>
      </c>
      <c r="D135">
        <v>1</v>
      </c>
      <c r="E135" s="11" t="s">
        <v>160</v>
      </c>
      <c r="F135" s="91" t="s">
        <v>1058</v>
      </c>
      <c r="G135" s="15" t="str">
        <f>LEFT([1]modificado!$O$2, FIND(" ", [1]modificado!$O$2 &amp; " ") - 1)</f>
        <v>3M</v>
      </c>
      <c r="H135" s="47" t="str">
        <f>RIGHT([1]!Tabla2[[#This Row],[Marca y Modelo]], LEN([1]!Tabla2[[#This Row],[Marca y Modelo]]) - FIND(" ", [1]!Tabla2[[#This Row],[Marca y Modelo]]))</f>
        <v>3100512</v>
      </c>
      <c r="J135" s="47"/>
      <c r="K135" s="91" t="s">
        <v>4068</v>
      </c>
      <c r="L135" s="91" t="s">
        <v>2746</v>
      </c>
      <c r="M135" s="91" t="s">
        <v>1404</v>
      </c>
      <c r="N135" s="91" t="s">
        <v>1549</v>
      </c>
      <c r="P135" s="91" t="s">
        <v>2528</v>
      </c>
      <c r="R135" s="48" t="s">
        <v>216</v>
      </c>
    </row>
    <row r="136" spans="2:19" x14ac:dyDescent="0.3">
      <c r="B136" t="str">
        <f>LEFT(Tabla3890134177220392[[#This Row],[Descripción del equipo]], FIND(" ", Tabla3890134177220392[[#This Row],[Descripción del equipo]] &amp; " ") - 1)</f>
        <v>Autoretractil</v>
      </c>
      <c r="C136" s="11" t="s">
        <v>1092</v>
      </c>
      <c r="D136">
        <v>1</v>
      </c>
      <c r="E136" s="11" t="s">
        <v>160</v>
      </c>
      <c r="F136" s="92" t="s">
        <v>1058</v>
      </c>
      <c r="G136" s="15" t="str">
        <f>LEFT([1]modificado!$O$2, FIND(" ", [1]modificado!$O$2 &amp; " ") - 1)</f>
        <v>3M</v>
      </c>
      <c r="H136" s="47" t="str">
        <f>RIGHT([1]!Tabla2[[#This Row],[Marca y Modelo]], LEN([1]!Tabla2[[#This Row],[Marca y Modelo]]) - FIND(" ", [1]!Tabla2[[#This Row],[Marca y Modelo]]))</f>
        <v>3100512</v>
      </c>
      <c r="J136" s="47"/>
      <c r="K136" s="92" t="s">
        <v>4068</v>
      </c>
      <c r="L136" s="92" t="s">
        <v>2747</v>
      </c>
      <c r="M136" s="92" t="s">
        <v>1404</v>
      </c>
      <c r="N136" s="92" t="s">
        <v>1550</v>
      </c>
      <c r="P136" s="92" t="s">
        <v>2528</v>
      </c>
      <c r="R136" s="48" t="s">
        <v>216</v>
      </c>
    </row>
    <row r="137" spans="2:19" x14ac:dyDescent="0.3">
      <c r="B137" t="str">
        <f>LEFT(Tabla3890134177220392[[#This Row],[Descripción del equipo]], FIND(" ", Tabla3890134177220392[[#This Row],[Descripción del equipo]] &amp; " ") - 1)</f>
        <v>Autoretractil</v>
      </c>
      <c r="C137" s="11" t="s">
        <v>1092</v>
      </c>
      <c r="D137">
        <v>1</v>
      </c>
      <c r="E137" s="11" t="s">
        <v>160</v>
      </c>
      <c r="F137" s="91" t="s">
        <v>1058</v>
      </c>
      <c r="G137" s="15" t="str">
        <f>LEFT([1]modificado!$O$2, FIND(" ", [1]modificado!$O$2 &amp; " ") - 1)</f>
        <v>3M</v>
      </c>
      <c r="H137" s="47" t="str">
        <f>RIGHT([1]!Tabla2[[#This Row],[Marca y Modelo]], LEN([1]!Tabla2[[#This Row],[Marca y Modelo]]) - FIND(" ", [1]!Tabla2[[#This Row],[Marca y Modelo]]))</f>
        <v>3100512</v>
      </c>
      <c r="J137" s="47"/>
      <c r="K137" s="91" t="s">
        <v>4068</v>
      </c>
      <c r="L137" s="91" t="s">
        <v>2748</v>
      </c>
      <c r="M137" s="91" t="s">
        <v>1404</v>
      </c>
      <c r="N137" s="91" t="s">
        <v>1551</v>
      </c>
      <c r="P137" s="91" t="s">
        <v>2528</v>
      </c>
      <c r="R137" s="48" t="s">
        <v>216</v>
      </c>
    </row>
    <row r="138" spans="2:19" x14ac:dyDescent="0.3">
      <c r="B138" t="str">
        <f>LEFT(Tabla3890134177220392[[#This Row],[Descripción del equipo]], FIND(" ", Tabla3890134177220392[[#This Row],[Descripción del equipo]] &amp; " ") - 1)</f>
        <v>Autoretractil</v>
      </c>
      <c r="C138" s="11" t="s">
        <v>1092</v>
      </c>
      <c r="D138">
        <v>1</v>
      </c>
      <c r="E138" s="11" t="s">
        <v>160</v>
      </c>
      <c r="F138" s="92" t="s">
        <v>1058</v>
      </c>
      <c r="G138" s="15" t="str">
        <f>LEFT([1]modificado!$O$2, FIND(" ", [1]modificado!$O$2 &amp; " ") - 1)</f>
        <v>3M</v>
      </c>
      <c r="H138" s="47" t="str">
        <f>RIGHT([1]!Tabla2[[#This Row],[Marca y Modelo]], LEN([1]!Tabla2[[#This Row],[Marca y Modelo]]) - FIND(" ", [1]!Tabla2[[#This Row],[Marca y Modelo]]))</f>
        <v>3100512</v>
      </c>
      <c r="J138" s="47"/>
      <c r="K138" s="92" t="s">
        <v>4068</v>
      </c>
      <c r="L138" s="92" t="s">
        <v>2749</v>
      </c>
      <c r="M138" s="92" t="s">
        <v>1404</v>
      </c>
      <c r="N138" s="92" t="s">
        <v>1552</v>
      </c>
      <c r="P138" s="92" t="s">
        <v>2528</v>
      </c>
      <c r="R138" s="48" t="s">
        <v>216</v>
      </c>
    </row>
    <row r="139" spans="2:19" x14ac:dyDescent="0.3">
      <c r="B139" t="s">
        <v>4348</v>
      </c>
      <c r="C139" s="11" t="s">
        <v>1092</v>
      </c>
      <c r="D139">
        <v>1</v>
      </c>
      <c r="E139" s="11" t="s">
        <v>160</v>
      </c>
      <c r="F139" s="91" t="s">
        <v>1072</v>
      </c>
      <c r="G139" s="15" t="str">
        <f>LEFT([1]modificado!$O$2, FIND(" ", [1]modificado!$O$2 &amp; " ") - 1)</f>
        <v>3M</v>
      </c>
      <c r="H139" s="47" t="str">
        <f>RIGHT([1]!Tabla2[[#This Row],[Marca y Modelo]], LEN([1]!Tabla2[[#This Row],[Marca y Modelo]]) - FIND(" ", [1]!Tabla2[[#This Row],[Marca y Modelo]]))</f>
        <v>1385301MX</v>
      </c>
      <c r="J139" s="47"/>
      <c r="K139" s="91" t="s">
        <v>4069</v>
      </c>
      <c r="L139" s="91" t="s">
        <v>2750</v>
      </c>
      <c r="M139" s="91" t="s">
        <v>1404</v>
      </c>
      <c r="N139" s="91" t="s">
        <v>1553</v>
      </c>
      <c r="P139" s="91" t="s">
        <v>2528</v>
      </c>
      <c r="R139" s="48" t="s">
        <v>216</v>
      </c>
    </row>
    <row r="140" spans="2:19" x14ac:dyDescent="0.3">
      <c r="B140" t="s">
        <v>4348</v>
      </c>
      <c r="C140" s="11" t="s">
        <v>1092</v>
      </c>
      <c r="D140">
        <v>1</v>
      </c>
      <c r="E140" s="11" t="s">
        <v>160</v>
      </c>
      <c r="F140" s="92" t="s">
        <v>1072</v>
      </c>
      <c r="G140" s="15" t="str">
        <f>LEFT([1]modificado!$O$2, FIND(" ", [1]modificado!$O$2 &amp; " ") - 1)</f>
        <v>3M</v>
      </c>
      <c r="H140" s="47" t="str">
        <f>RIGHT([1]!Tabla2[[#This Row],[Marca y Modelo]], LEN([1]!Tabla2[[#This Row],[Marca y Modelo]]) - FIND(" ", [1]!Tabla2[[#This Row],[Marca y Modelo]]))</f>
        <v>1385301MX</v>
      </c>
      <c r="I140" s="76"/>
      <c r="J140" s="47"/>
      <c r="K140" s="92" t="s">
        <v>4069</v>
      </c>
      <c r="L140" s="92" t="s">
        <v>2751</v>
      </c>
      <c r="M140" s="92" t="s">
        <v>1404</v>
      </c>
      <c r="N140" s="92" t="s">
        <v>1554</v>
      </c>
      <c r="O140" s="77"/>
      <c r="P140" s="92" t="s">
        <v>2528</v>
      </c>
      <c r="Q140" s="32"/>
      <c r="R140" s="48" t="s">
        <v>216</v>
      </c>
    </row>
    <row r="141" spans="2:19" x14ac:dyDescent="0.3">
      <c r="B141" t="s">
        <v>4348</v>
      </c>
      <c r="C141" s="11" t="s">
        <v>1092</v>
      </c>
      <c r="D141">
        <v>1</v>
      </c>
      <c r="E141" s="11" t="s">
        <v>160</v>
      </c>
      <c r="F141" s="91" t="s">
        <v>1057</v>
      </c>
      <c r="G141" s="15" t="str">
        <f>LEFT([1]modificado!$O$2, FIND(" ", [1]modificado!$O$2 &amp; " ") - 1)</f>
        <v>3M</v>
      </c>
      <c r="H141" s="47" t="str">
        <f>RIGHT([1]!Tabla2[[#This Row],[Marca y Modelo]], LEN([1]!Tabla2[[#This Row],[Marca y Modelo]]) - FIND(" ", [1]!Tabla2[[#This Row],[Marca y Modelo]]))</f>
        <v>191026A</v>
      </c>
      <c r="I141" s="76"/>
      <c r="J141" s="76"/>
      <c r="K141" s="91" t="s">
        <v>4070</v>
      </c>
      <c r="L141" s="91" t="s">
        <v>2752</v>
      </c>
      <c r="M141" s="91" t="s">
        <v>1404</v>
      </c>
      <c r="N141" s="91" t="s">
        <v>1555</v>
      </c>
      <c r="O141" s="77"/>
      <c r="P141" s="91" t="s">
        <v>2528</v>
      </c>
      <c r="Q141" s="32"/>
      <c r="R141" s="48" t="s">
        <v>216</v>
      </c>
      <c r="S141" s="32"/>
    </row>
    <row r="142" spans="2:19" x14ac:dyDescent="0.3">
      <c r="B142" t="str">
        <f>LEFT(Tabla3890134177220392[[#This Row],[Descripción del equipo]], FIND(" ", Tabla3890134177220392[[#This Row],[Descripción del equipo]] &amp; " ") - 1)</f>
        <v>Arnes</v>
      </c>
      <c r="C142" s="11" t="s">
        <v>1092</v>
      </c>
      <c r="D142">
        <v>1</v>
      </c>
      <c r="E142" s="11" t="s">
        <v>160</v>
      </c>
      <c r="F142" s="92" t="s">
        <v>1056</v>
      </c>
      <c r="G142" s="15" t="str">
        <f>LEFT([1]modificado!$O$2, FIND(" ", [1]modificado!$O$2 &amp; " ") - 1)</f>
        <v>3M</v>
      </c>
      <c r="H142" s="47" t="str">
        <f>RIGHT([1]!Tabla2[[#This Row],[Marca y Modelo]], LEN([1]!Tabla2[[#This Row],[Marca y Modelo]]) - FIND(" ", [1]!Tabla2[[#This Row],[Marca y Modelo]]))</f>
        <v>1226</v>
      </c>
      <c r="I142" s="76"/>
      <c r="J142" s="76"/>
      <c r="K142" s="92" t="s">
        <v>4071</v>
      </c>
      <c r="L142" s="92" t="s">
        <v>2753</v>
      </c>
      <c r="M142" s="92" t="s">
        <v>1404</v>
      </c>
      <c r="N142" s="92" t="s">
        <v>1556</v>
      </c>
      <c r="O142" s="77"/>
      <c r="P142" s="92" t="s">
        <v>2528</v>
      </c>
      <c r="Q142" s="32"/>
      <c r="R142" s="48" t="s">
        <v>216</v>
      </c>
      <c r="S142" s="32"/>
    </row>
    <row r="143" spans="2:19" x14ac:dyDescent="0.3">
      <c r="B143" t="str">
        <f>LEFT(Tabla3890134177220392[[#This Row],[Descripción del equipo]], FIND(" ", Tabla3890134177220392[[#This Row],[Descripción del equipo]] &amp; " ") - 1)</f>
        <v>Arnes</v>
      </c>
      <c r="C143" s="11" t="s">
        <v>1092</v>
      </c>
      <c r="D143">
        <v>1</v>
      </c>
      <c r="E143" s="11" t="s">
        <v>160</v>
      </c>
      <c r="F143" s="91" t="s">
        <v>1056</v>
      </c>
      <c r="G143" s="15" t="str">
        <f>LEFT([1]modificado!$O$2, FIND(" ", [1]modificado!$O$2 &amp; " ") - 1)</f>
        <v>3M</v>
      </c>
      <c r="H143" s="47" t="str">
        <f>RIGHT([1]!Tabla2[[#This Row],[Marca y Modelo]], LEN([1]!Tabla2[[#This Row],[Marca y Modelo]]) - FIND(" ", [1]!Tabla2[[#This Row],[Marca y Modelo]]))</f>
        <v>Musitani Space</v>
      </c>
      <c r="I143" s="76"/>
      <c r="J143" s="76"/>
      <c r="K143" s="91" t="s">
        <v>4071</v>
      </c>
      <c r="L143" s="91" t="s">
        <v>2754</v>
      </c>
      <c r="M143" s="91" t="s">
        <v>1406</v>
      </c>
      <c r="N143" s="91" t="s">
        <v>1557</v>
      </c>
      <c r="O143" s="77"/>
      <c r="P143" s="91" t="s">
        <v>2528</v>
      </c>
      <c r="Q143" s="32"/>
      <c r="R143" s="48" t="s">
        <v>216</v>
      </c>
      <c r="S143" s="32"/>
    </row>
    <row r="144" spans="2:19" x14ac:dyDescent="0.3">
      <c r="B144" t="str">
        <f>LEFT(Tabla3890134177220392[[#This Row],[Descripción del equipo]], FIND(" ", Tabla3890134177220392[[#This Row],[Descripción del equipo]] &amp; " ") - 1)</f>
        <v>Arnes</v>
      </c>
      <c r="C144" s="11" t="s">
        <v>1092</v>
      </c>
      <c r="D144">
        <v>1</v>
      </c>
      <c r="E144" s="11" t="s">
        <v>160</v>
      </c>
      <c r="F144" s="92" t="s">
        <v>1056</v>
      </c>
      <c r="G144" s="15" t="str">
        <f>LEFT([1]modificado!$O$2, FIND(" ", [1]modificado!$O$2 &amp; " ") - 1)</f>
        <v>3M</v>
      </c>
      <c r="H144" s="47" t="str">
        <f>RIGHT([1]!Tabla2[[#This Row],[Marca y Modelo]], LEN([1]!Tabla2[[#This Row],[Marca y Modelo]]) - FIND(" ", [1]!Tabla2[[#This Row],[Marca y Modelo]]))</f>
        <v>Space</v>
      </c>
      <c r="I144" s="76"/>
      <c r="J144" s="76"/>
      <c r="K144" s="92" t="s">
        <v>4071</v>
      </c>
      <c r="L144" s="92" t="s">
        <v>2755</v>
      </c>
      <c r="M144" s="92" t="s">
        <v>1404</v>
      </c>
      <c r="N144" s="92" t="s">
        <v>1558</v>
      </c>
      <c r="O144" s="77"/>
      <c r="P144" s="92" t="s">
        <v>2528</v>
      </c>
      <c r="Q144" s="32"/>
      <c r="R144" s="48" t="s">
        <v>216</v>
      </c>
      <c r="S144" s="32"/>
    </row>
    <row r="145" spans="2:19" x14ac:dyDescent="0.3">
      <c r="B145" t="str">
        <f>LEFT(Tabla3890134177220392[[#This Row],[Descripción del equipo]], FIND(" ", Tabla3890134177220392[[#This Row],[Descripción del equipo]] &amp; " ") - 1)</f>
        <v>Arnes</v>
      </c>
      <c r="C145" s="11" t="s">
        <v>1092</v>
      </c>
      <c r="D145">
        <v>1</v>
      </c>
      <c r="E145" s="11" t="s">
        <v>160</v>
      </c>
      <c r="F145" s="91" t="s">
        <v>1056</v>
      </c>
      <c r="G145" s="15" t="str">
        <f>LEFT([1]modificado!$O$2, FIND(" ", [1]modificado!$O$2 &amp; " ") - 1)</f>
        <v>3M</v>
      </c>
      <c r="H145" s="47" t="str">
        <f>RIGHT([1]!Tabla2[[#This Row],[Marca y Modelo]], LEN([1]!Tabla2[[#This Row],[Marca y Modelo]]) - FIND(" ", [1]!Tabla2[[#This Row],[Marca y Modelo]]))</f>
        <v>Basic Lion</v>
      </c>
      <c r="I145" s="76"/>
      <c r="J145" s="76"/>
      <c r="K145" s="91" t="s">
        <v>4071</v>
      </c>
      <c r="L145" s="91" t="s">
        <v>2756</v>
      </c>
      <c r="M145" s="91" t="s">
        <v>1404</v>
      </c>
      <c r="N145" s="91" t="s">
        <v>1559</v>
      </c>
      <c r="O145" s="77"/>
      <c r="P145" s="91" t="s">
        <v>2528</v>
      </c>
      <c r="Q145" s="32"/>
      <c r="R145" s="48" t="s">
        <v>216</v>
      </c>
      <c r="S145" s="32"/>
    </row>
    <row r="146" spans="2:19" x14ac:dyDescent="0.3">
      <c r="B146" t="str">
        <f>LEFT(Tabla3890134177220392[[#This Row],[Descripción del equipo]], FIND(" ", Tabla3890134177220392[[#This Row],[Descripción del equipo]] &amp; " ") - 1)</f>
        <v>Arnes</v>
      </c>
      <c r="C146" s="11" t="s">
        <v>1092</v>
      </c>
      <c r="D146">
        <v>1</v>
      </c>
      <c r="E146" s="11" t="s">
        <v>160</v>
      </c>
      <c r="F146" s="92" t="s">
        <v>1056</v>
      </c>
      <c r="G146" s="15" t="str">
        <f>LEFT([1]modificado!$O$2, FIND(" ", [1]modificado!$O$2 &amp; " ") - 1)</f>
        <v>3M</v>
      </c>
      <c r="H146" s="47" t="str">
        <f>RIGHT([1]!Tabla2[[#This Row],[Marca y Modelo]], LEN([1]!Tabla2[[#This Row],[Marca y Modelo]]) - FIND(" ", [1]!Tabla2[[#This Row],[Marca y Modelo]]))</f>
        <v>Basic Lion</v>
      </c>
      <c r="I146" s="76"/>
      <c r="J146" s="76"/>
      <c r="K146" s="92" t="s">
        <v>4071</v>
      </c>
      <c r="L146" s="92" t="s">
        <v>2757</v>
      </c>
      <c r="M146" s="92" t="s">
        <v>1404</v>
      </c>
      <c r="N146" s="92" t="s">
        <v>1560</v>
      </c>
      <c r="O146" s="77"/>
      <c r="P146" s="92" t="s">
        <v>2528</v>
      </c>
      <c r="Q146" s="32"/>
      <c r="R146" s="48" t="s">
        <v>216</v>
      </c>
      <c r="S146" s="32"/>
    </row>
    <row r="147" spans="2:19" x14ac:dyDescent="0.3">
      <c r="B147" t="str">
        <f>LEFT(Tabla3890134177220392[[#This Row],[Descripción del equipo]], FIND(" ", Tabla3890134177220392[[#This Row],[Descripción del equipo]] &amp; " ") - 1)</f>
        <v>Autoretractil</v>
      </c>
      <c r="C147" s="11" t="s">
        <v>1092</v>
      </c>
      <c r="D147">
        <v>1</v>
      </c>
      <c r="E147" s="11" t="s">
        <v>160</v>
      </c>
      <c r="F147" s="91" t="s">
        <v>1058</v>
      </c>
      <c r="G147" s="15" t="str">
        <f>LEFT([1]modificado!$O$2, FIND(" ", [1]modificado!$O$2 &amp; " ") - 1)</f>
        <v>3M</v>
      </c>
      <c r="H147" s="47" t="str">
        <f>RIGHT([1]!Tabla2[[#This Row],[Marca y Modelo]], LEN([1]!Tabla2[[#This Row],[Marca y Modelo]]) - FIND(" ", [1]!Tabla2[[#This Row],[Marca y Modelo]]))</f>
        <v>3100512</v>
      </c>
      <c r="I147" s="76"/>
      <c r="J147" s="76"/>
      <c r="K147" s="91" t="s">
        <v>4072</v>
      </c>
      <c r="L147" s="91" t="s">
        <v>2758</v>
      </c>
      <c r="M147" s="91" t="s">
        <v>1404</v>
      </c>
      <c r="N147" s="91" t="s">
        <v>1561</v>
      </c>
      <c r="O147" s="77"/>
      <c r="P147" s="91" t="s">
        <v>2528</v>
      </c>
      <c r="Q147" s="32"/>
      <c r="R147" s="48" t="s">
        <v>216</v>
      </c>
      <c r="S147" s="32"/>
    </row>
    <row r="148" spans="2:19" x14ac:dyDescent="0.3">
      <c r="B148" t="str">
        <f>LEFT(Tabla3890134177220392[[#This Row],[Descripción del equipo]], FIND(" ", Tabla3890134177220392[[#This Row],[Descripción del equipo]] &amp; " ") - 1)</f>
        <v>Autoretractil</v>
      </c>
      <c r="C148" s="11" t="s">
        <v>1092</v>
      </c>
      <c r="D148">
        <v>1</v>
      </c>
      <c r="E148" s="11" t="s">
        <v>160</v>
      </c>
      <c r="F148" s="92" t="s">
        <v>1058</v>
      </c>
      <c r="G148" s="15" t="str">
        <f>LEFT([1]modificado!$O$2, FIND(" ", [1]modificado!$O$2 &amp; " ") - 1)</f>
        <v>3M</v>
      </c>
      <c r="H148" s="47" t="str">
        <f>RIGHT([1]!Tabla2[[#This Row],[Marca y Modelo]], LEN([1]!Tabla2[[#This Row],[Marca y Modelo]]) - FIND(" ", [1]!Tabla2[[#This Row],[Marca y Modelo]]))</f>
        <v>3100512</v>
      </c>
      <c r="I148" s="76"/>
      <c r="J148" s="76"/>
      <c r="K148" s="92" t="s">
        <v>4072</v>
      </c>
      <c r="L148" s="92" t="s">
        <v>2759</v>
      </c>
      <c r="M148" s="92" t="s">
        <v>1404</v>
      </c>
      <c r="N148" s="92" t="s">
        <v>1562</v>
      </c>
      <c r="O148" s="77"/>
      <c r="P148" s="92" t="s">
        <v>2528</v>
      </c>
      <c r="Q148" s="32"/>
      <c r="R148" s="48" t="s">
        <v>216</v>
      </c>
      <c r="S148" s="32"/>
    </row>
    <row r="149" spans="2:19" x14ac:dyDescent="0.3">
      <c r="B149" t="str">
        <f>LEFT(Tabla3890134177220392[[#This Row],[Descripción del equipo]], FIND(" ", Tabla3890134177220392[[#This Row],[Descripción del equipo]] &amp; " ") - 1)</f>
        <v>Autoretractil</v>
      </c>
      <c r="C149" s="11" t="s">
        <v>1092</v>
      </c>
      <c r="D149">
        <v>1</v>
      </c>
      <c r="E149" s="11" t="s">
        <v>160</v>
      </c>
      <c r="F149" s="91" t="s">
        <v>1058</v>
      </c>
      <c r="G149" s="15" t="str">
        <f>LEFT([1]modificado!$O$2, FIND(" ", [1]modificado!$O$2 &amp; " ") - 1)</f>
        <v>3M</v>
      </c>
      <c r="H149" s="47" t="str">
        <f>RIGHT([1]!Tabla2[[#This Row],[Marca y Modelo]], LEN([1]!Tabla2[[#This Row],[Marca y Modelo]]) - FIND(" ", [1]!Tabla2[[#This Row],[Marca y Modelo]]))</f>
        <v>3100512</v>
      </c>
      <c r="I149" s="76"/>
      <c r="J149" s="76"/>
      <c r="K149" s="91" t="s">
        <v>4072</v>
      </c>
      <c r="L149" s="91" t="s">
        <v>2760</v>
      </c>
      <c r="M149" s="91" t="s">
        <v>1404</v>
      </c>
      <c r="N149" s="91" t="s">
        <v>1563</v>
      </c>
      <c r="O149" s="77"/>
      <c r="P149" s="91" t="s">
        <v>2528</v>
      </c>
      <c r="Q149" s="32"/>
      <c r="R149" s="48" t="s">
        <v>216</v>
      </c>
      <c r="S149" s="32"/>
    </row>
    <row r="150" spans="2:19" x14ac:dyDescent="0.3">
      <c r="B150" t="str">
        <f>LEFT(Tabla3890134177220392[[#This Row],[Descripción del equipo]], FIND(" ", Tabla3890134177220392[[#This Row],[Descripción del equipo]] &amp; " ") - 1)</f>
        <v>Autoretractil</v>
      </c>
      <c r="C150" s="11" t="s">
        <v>1092</v>
      </c>
      <c r="D150">
        <v>1</v>
      </c>
      <c r="E150" s="11" t="s">
        <v>160</v>
      </c>
      <c r="F150" s="92" t="s">
        <v>1058</v>
      </c>
      <c r="G150" s="15" t="str">
        <f>LEFT([1]modificado!$O$2, FIND(" ", [1]modificado!$O$2 &amp; " ") - 1)</f>
        <v>3M</v>
      </c>
      <c r="H150" s="47" t="str">
        <f>RIGHT([1]!Tabla2[[#This Row],[Marca y Modelo]], LEN([1]!Tabla2[[#This Row],[Marca y Modelo]]) - FIND(" ", [1]!Tabla2[[#This Row],[Marca y Modelo]]))</f>
        <v>3100512</v>
      </c>
      <c r="I150" s="76"/>
      <c r="J150" s="76"/>
      <c r="K150" s="92" t="s">
        <v>4072</v>
      </c>
      <c r="L150" s="92" t="s">
        <v>2761</v>
      </c>
      <c r="M150" s="92" t="s">
        <v>1404</v>
      </c>
      <c r="N150" s="92" t="s">
        <v>1564</v>
      </c>
      <c r="O150" s="77"/>
      <c r="P150" s="92" t="s">
        <v>2528</v>
      </c>
      <c r="Q150" s="32"/>
      <c r="R150" s="48" t="s">
        <v>216</v>
      </c>
      <c r="S150" s="32"/>
    </row>
    <row r="151" spans="2:19" x14ac:dyDescent="0.3">
      <c r="B151" t="str">
        <f>LEFT(Tabla3890134177220392[[#This Row],[Descripción del equipo]], FIND(" ", Tabla3890134177220392[[#This Row],[Descripción del equipo]] &amp; " ") - 1)</f>
        <v>Autoretractil</v>
      </c>
      <c r="C151" s="11" t="s">
        <v>1092</v>
      </c>
      <c r="D151">
        <v>1</v>
      </c>
      <c r="E151" s="11" t="s">
        <v>160</v>
      </c>
      <c r="F151" s="91" t="s">
        <v>1058</v>
      </c>
      <c r="G151" s="15" t="str">
        <f>LEFT([1]modificado!$O$2, FIND(" ", [1]modificado!$O$2 &amp; " ") - 1)</f>
        <v>3M</v>
      </c>
      <c r="H151" s="47" t="str">
        <f>RIGHT([1]!Tabla2[[#This Row],[Marca y Modelo]], LEN([1]!Tabla2[[#This Row],[Marca y Modelo]]) - FIND(" ", [1]!Tabla2[[#This Row],[Marca y Modelo]]))</f>
        <v>3100512</v>
      </c>
      <c r="I151" s="76"/>
      <c r="J151" s="76"/>
      <c r="K151" s="91" t="s">
        <v>4072</v>
      </c>
      <c r="L151" s="91" t="s">
        <v>2762</v>
      </c>
      <c r="M151" s="91" t="s">
        <v>1404</v>
      </c>
      <c r="N151" s="91" t="s">
        <v>1565</v>
      </c>
      <c r="O151" s="77"/>
      <c r="P151" s="91" t="s">
        <v>2528</v>
      </c>
      <c r="Q151" s="32"/>
      <c r="R151" s="48" t="s">
        <v>216</v>
      </c>
      <c r="S151" s="32"/>
    </row>
    <row r="152" spans="2:19" x14ac:dyDescent="0.3">
      <c r="B152" t="str">
        <f>LEFT(Tabla3890134177220392[[#This Row],[Descripción del equipo]], FIND(" ", Tabla3890134177220392[[#This Row],[Descripción del equipo]] &amp; " ") - 1)</f>
        <v>Autoretractil</v>
      </c>
      <c r="C152" s="11" t="s">
        <v>1092</v>
      </c>
      <c r="D152">
        <v>1</v>
      </c>
      <c r="E152" s="11" t="s">
        <v>160</v>
      </c>
      <c r="F152" s="92" t="s">
        <v>1058</v>
      </c>
      <c r="G152" s="15" t="str">
        <f>LEFT([1]modificado!$O$2, FIND(" ", [1]modificado!$O$2 &amp; " ") - 1)</f>
        <v>3M</v>
      </c>
      <c r="H152" s="47" t="str">
        <f>RIGHT([1]!Tabla2[[#This Row],[Marca y Modelo]], LEN([1]!Tabla2[[#This Row],[Marca y Modelo]]) - FIND(" ", [1]!Tabla2[[#This Row],[Marca y Modelo]]))</f>
        <v>3100512</v>
      </c>
      <c r="I152" s="76"/>
      <c r="J152" s="76"/>
      <c r="K152" s="92" t="s">
        <v>4072</v>
      </c>
      <c r="L152" s="92" t="s">
        <v>2763</v>
      </c>
      <c r="M152" s="92" t="s">
        <v>1404</v>
      </c>
      <c r="N152" s="92" t="s">
        <v>1566</v>
      </c>
      <c r="O152" s="77"/>
      <c r="P152" s="92" t="s">
        <v>2528</v>
      </c>
      <c r="Q152" s="32"/>
      <c r="R152" s="48" t="s">
        <v>216</v>
      </c>
      <c r="S152" s="32"/>
    </row>
    <row r="153" spans="2:19" x14ac:dyDescent="0.3">
      <c r="B153" t="str">
        <f>LEFT(Tabla3890134177220392[[#This Row],[Descripción del equipo]], FIND(" ", Tabla3890134177220392[[#This Row],[Descripción del equipo]] &amp; " ") - 1)</f>
        <v>Autoretractil</v>
      </c>
      <c r="C153" s="11" t="s">
        <v>1092</v>
      </c>
      <c r="D153">
        <v>1</v>
      </c>
      <c r="E153" s="11" t="s">
        <v>160</v>
      </c>
      <c r="F153" s="91" t="s">
        <v>1058</v>
      </c>
      <c r="G153" s="15" t="str">
        <f>LEFT([1]modificado!$O$2, FIND(" ", [1]modificado!$O$2 &amp; " ") - 1)</f>
        <v>3M</v>
      </c>
      <c r="H153" s="47" t="str">
        <f>RIGHT([1]!Tabla2[[#This Row],[Marca y Modelo]], LEN([1]!Tabla2[[#This Row],[Marca y Modelo]]) - FIND(" ", [1]!Tabla2[[#This Row],[Marca y Modelo]]))</f>
        <v>3100512</v>
      </c>
      <c r="I153" s="76"/>
      <c r="J153" s="76"/>
      <c r="K153" s="91" t="s">
        <v>4072</v>
      </c>
      <c r="L153" s="91" t="s">
        <v>2764</v>
      </c>
      <c r="M153" s="91" t="s">
        <v>1404</v>
      </c>
      <c r="N153" s="91" t="s">
        <v>1567</v>
      </c>
      <c r="O153" s="77"/>
      <c r="P153" s="91" t="s">
        <v>2528</v>
      </c>
      <c r="Q153" s="32"/>
      <c r="R153" s="48" t="s">
        <v>216</v>
      </c>
      <c r="S153" s="32"/>
    </row>
    <row r="154" spans="2:19" x14ac:dyDescent="0.3">
      <c r="B154" t="str">
        <f>LEFT(Tabla3890134177220392[[#This Row],[Descripción del equipo]], FIND(" ", Tabla3890134177220392[[#This Row],[Descripción del equipo]] &amp; " ") - 1)</f>
        <v>Autoretractil</v>
      </c>
      <c r="C154" s="11" t="s">
        <v>1092</v>
      </c>
      <c r="D154">
        <v>1</v>
      </c>
      <c r="E154" s="11" t="s">
        <v>160</v>
      </c>
      <c r="F154" s="92" t="s">
        <v>1058</v>
      </c>
      <c r="G154" s="15" t="str">
        <f>LEFT([1]modificado!$O$2, FIND(" ", [1]modificado!$O$2 &amp; " ") - 1)</f>
        <v>3M</v>
      </c>
      <c r="H154" s="47" t="str">
        <f>RIGHT([1]!Tabla2[[#This Row],[Marca y Modelo]], LEN([1]!Tabla2[[#This Row],[Marca y Modelo]]) - FIND(" ", [1]!Tabla2[[#This Row],[Marca y Modelo]]))</f>
        <v>3100512</v>
      </c>
      <c r="I154" s="76"/>
      <c r="J154" s="76"/>
      <c r="K154" s="92" t="s">
        <v>4072</v>
      </c>
      <c r="L154" s="92" t="s">
        <v>2765</v>
      </c>
      <c r="M154" s="92" t="s">
        <v>1404</v>
      </c>
      <c r="N154" s="92" t="s">
        <v>1568</v>
      </c>
      <c r="O154" s="77"/>
      <c r="P154" s="92" t="s">
        <v>2528</v>
      </c>
      <c r="Q154" s="32"/>
      <c r="R154" s="48" t="s">
        <v>216</v>
      </c>
      <c r="S154" s="32"/>
    </row>
    <row r="155" spans="2:19" x14ac:dyDescent="0.3">
      <c r="B155" t="str">
        <f>LEFT(Tabla3890134177220392[[#This Row],[Descripción del equipo]], FIND(" ", Tabla3890134177220392[[#This Row],[Descripción del equipo]] &amp; " ") - 1)</f>
        <v>Autoretractil</v>
      </c>
      <c r="C155" s="11" t="s">
        <v>1092</v>
      </c>
      <c r="D155">
        <v>1</v>
      </c>
      <c r="E155" s="11" t="s">
        <v>160</v>
      </c>
      <c r="F155" s="91" t="s">
        <v>1058</v>
      </c>
      <c r="G155" s="15" t="str">
        <f>LEFT([1]modificado!$O$2, FIND(" ", [1]modificado!$O$2 &amp; " ") - 1)</f>
        <v>3M</v>
      </c>
      <c r="H155" s="47" t="str">
        <f>RIGHT([1]!Tabla2[[#This Row],[Marca y Modelo]], LEN([1]!Tabla2[[#This Row],[Marca y Modelo]]) - FIND(" ", [1]!Tabla2[[#This Row],[Marca y Modelo]]))</f>
        <v>3100512</v>
      </c>
      <c r="I155" s="76"/>
      <c r="J155" s="76"/>
      <c r="K155" s="91" t="s">
        <v>4072</v>
      </c>
      <c r="L155" s="91" t="s">
        <v>2766</v>
      </c>
      <c r="M155" s="91" t="s">
        <v>1404</v>
      </c>
      <c r="N155" s="91" t="s">
        <v>1569</v>
      </c>
      <c r="O155" s="77"/>
      <c r="P155" s="91" t="s">
        <v>2528</v>
      </c>
      <c r="Q155" s="32"/>
      <c r="R155" s="48" t="s">
        <v>216</v>
      </c>
      <c r="S155" s="32"/>
    </row>
    <row r="156" spans="2:19" x14ac:dyDescent="0.3">
      <c r="B156" t="str">
        <f>LEFT(Tabla3890134177220392[[#This Row],[Descripción del equipo]], FIND(" ", Tabla3890134177220392[[#This Row],[Descripción del equipo]] &amp; " ") - 1)</f>
        <v>Autoretractil</v>
      </c>
      <c r="C156" s="11" t="s">
        <v>1092</v>
      </c>
      <c r="D156">
        <v>1</v>
      </c>
      <c r="E156" s="11" t="s">
        <v>160</v>
      </c>
      <c r="F156" s="92" t="s">
        <v>1058</v>
      </c>
      <c r="G156" s="15" t="str">
        <f>LEFT([1]modificado!$O$2, FIND(" ", [1]modificado!$O$2 &amp; " ") - 1)</f>
        <v>3M</v>
      </c>
      <c r="H156" s="47" t="str">
        <f>RIGHT([1]!Tabla2[[#This Row],[Marca y Modelo]], LEN([1]!Tabla2[[#This Row],[Marca y Modelo]]) - FIND(" ", [1]!Tabla2[[#This Row],[Marca y Modelo]]))</f>
        <v>3100512</v>
      </c>
      <c r="I156" s="76"/>
      <c r="J156" s="76"/>
      <c r="K156" s="92" t="s">
        <v>4072</v>
      </c>
      <c r="L156" s="92" t="s">
        <v>2767</v>
      </c>
      <c r="M156" s="92" t="s">
        <v>1404</v>
      </c>
      <c r="N156" s="92" t="s">
        <v>1570</v>
      </c>
      <c r="O156" s="77"/>
      <c r="P156" s="92" t="s">
        <v>2528</v>
      </c>
      <c r="Q156" s="32"/>
      <c r="R156" s="48" t="s">
        <v>216</v>
      </c>
      <c r="S156" s="32"/>
    </row>
    <row r="157" spans="2:19" x14ac:dyDescent="0.3">
      <c r="B157" t="s">
        <v>18</v>
      </c>
      <c r="C157" s="11" t="s">
        <v>1092</v>
      </c>
      <c r="D157">
        <v>1</v>
      </c>
      <c r="E157" s="11" t="s">
        <v>160</v>
      </c>
      <c r="F157" s="91" t="s">
        <v>18</v>
      </c>
      <c r="G157" s="15" t="str">
        <f>LEFT([1]modificado!$O$2, FIND(" ", [1]modificado!$O$2 &amp; " ") - 1)</f>
        <v>3M</v>
      </c>
      <c r="H157" s="47" t="str">
        <f>RIGHT([1]!Tabla2[[#This Row],[Marca y Modelo]], LEN([1]!Tabla2[[#This Row],[Marca y Modelo]]) - FIND(" ", [1]!Tabla2[[#This Row],[Marca y Modelo]]))</f>
        <v>3100512</v>
      </c>
      <c r="I157" s="76"/>
      <c r="J157" s="76"/>
      <c r="K157" s="91" t="s">
        <v>4073</v>
      </c>
      <c r="L157" s="91" t="s">
        <v>2768</v>
      </c>
      <c r="M157" s="91" t="s">
        <v>1404</v>
      </c>
      <c r="N157" s="91" t="s">
        <v>1571</v>
      </c>
      <c r="O157" s="77"/>
      <c r="P157" s="91" t="s">
        <v>2528</v>
      </c>
      <c r="Q157" s="32"/>
      <c r="R157" s="48" t="s">
        <v>216</v>
      </c>
      <c r="S157" s="32"/>
    </row>
    <row r="158" spans="2:19" x14ac:dyDescent="0.3">
      <c r="B158" t="str">
        <f>LEFT(Tabla3890134177220392[[#This Row],[Descripción del equipo]], FIND(" ", Tabla3890134177220392[[#This Row],[Descripción del equipo]] &amp; " ") - 1)</f>
        <v>Autoretractil</v>
      </c>
      <c r="C158" s="11" t="s">
        <v>1092</v>
      </c>
      <c r="D158">
        <v>1</v>
      </c>
      <c r="E158" s="11" t="s">
        <v>160</v>
      </c>
      <c r="F158" s="92" t="s">
        <v>1058</v>
      </c>
      <c r="G158" s="15" t="str">
        <f>LEFT([1]modificado!$O$2, FIND(" ", [1]modificado!$O$2 &amp; " ") - 1)</f>
        <v>3M</v>
      </c>
      <c r="H158" s="47" t="str">
        <f>RIGHT([1]!Tabla2[[#This Row],[Marca y Modelo]], LEN([1]!Tabla2[[#This Row],[Marca y Modelo]]) - FIND(" ", [1]!Tabla2[[#This Row],[Marca y Modelo]]))</f>
        <v>3100512</v>
      </c>
      <c r="I158" s="76"/>
      <c r="J158" s="76"/>
      <c r="K158" s="92" t="s">
        <v>4073</v>
      </c>
      <c r="L158" s="92" t="s">
        <v>2769</v>
      </c>
      <c r="M158" s="92" t="s">
        <v>1404</v>
      </c>
      <c r="N158" s="92" t="s">
        <v>1572</v>
      </c>
      <c r="O158" s="77"/>
      <c r="P158" s="92" t="s">
        <v>2528</v>
      </c>
      <c r="Q158" s="32"/>
      <c r="R158" s="48" t="s">
        <v>216</v>
      </c>
      <c r="S158" s="32"/>
    </row>
    <row r="159" spans="2:19" x14ac:dyDescent="0.3">
      <c r="B159" t="str">
        <f>LEFT(Tabla3890134177220392[[#This Row],[Descripción del equipo]], FIND(" ", Tabla3890134177220392[[#This Row],[Descripción del equipo]] &amp; " ") - 1)</f>
        <v>Autoretractil</v>
      </c>
      <c r="C159" s="11" t="s">
        <v>1092</v>
      </c>
      <c r="D159">
        <v>1</v>
      </c>
      <c r="E159" s="11" t="s">
        <v>160</v>
      </c>
      <c r="F159" s="91" t="s">
        <v>1058</v>
      </c>
      <c r="G159" s="15" t="str">
        <f>LEFT([1]modificado!$O$2, FIND(" ", [1]modificado!$O$2 &amp; " ") - 1)</f>
        <v>3M</v>
      </c>
      <c r="H159" s="47" t="str">
        <f>RIGHT([1]!Tabla2[[#This Row],[Marca y Modelo]], LEN([1]!Tabla2[[#This Row],[Marca y Modelo]]) - FIND(" ", [1]!Tabla2[[#This Row],[Marca y Modelo]]))</f>
        <v>3100512</v>
      </c>
      <c r="I159" s="76"/>
      <c r="J159" s="76"/>
      <c r="K159" s="91" t="s">
        <v>4073</v>
      </c>
      <c r="L159" s="91" t="s">
        <v>2770</v>
      </c>
      <c r="M159" s="91" t="s">
        <v>1404</v>
      </c>
      <c r="N159" s="91" t="s">
        <v>1573</v>
      </c>
      <c r="O159" s="77"/>
      <c r="P159" s="91" t="s">
        <v>2528</v>
      </c>
      <c r="Q159" s="32"/>
      <c r="R159" s="48" t="s">
        <v>216</v>
      </c>
      <c r="S159" s="32"/>
    </row>
    <row r="160" spans="2:19" x14ac:dyDescent="0.3">
      <c r="B160" t="str">
        <f>LEFT(Tabla3890134177220392[[#This Row],[Descripción del equipo]], FIND(" ", Tabla3890134177220392[[#This Row],[Descripción del equipo]] &amp; " ") - 1)</f>
        <v>Autoretractil</v>
      </c>
      <c r="C160" s="11" t="s">
        <v>1092</v>
      </c>
      <c r="D160">
        <v>1</v>
      </c>
      <c r="E160" s="11" t="s">
        <v>160</v>
      </c>
      <c r="F160" s="92" t="s">
        <v>1058</v>
      </c>
      <c r="G160" s="15" t="str">
        <f>LEFT([1]modificado!$O$2, FIND(" ", [1]modificado!$O$2 &amp; " ") - 1)</f>
        <v>3M</v>
      </c>
      <c r="H160" s="47" t="str">
        <f>RIGHT([1]!Tabla2[[#This Row],[Marca y Modelo]], LEN([1]!Tabla2[[#This Row],[Marca y Modelo]]) - FIND(" ", [1]!Tabla2[[#This Row],[Marca y Modelo]]))</f>
        <v>3100512</v>
      </c>
      <c r="I160" s="76"/>
      <c r="J160" s="76"/>
      <c r="K160" s="92" t="s">
        <v>4073</v>
      </c>
      <c r="L160" s="92" t="s">
        <v>2771</v>
      </c>
      <c r="M160" s="92" t="s">
        <v>1404</v>
      </c>
      <c r="N160" s="92" t="s">
        <v>1574</v>
      </c>
      <c r="O160" s="77"/>
      <c r="P160" s="92" t="s">
        <v>2528</v>
      </c>
      <c r="Q160" s="32"/>
      <c r="R160" s="48" t="s">
        <v>216</v>
      </c>
      <c r="S160" s="32"/>
    </row>
    <row r="161" spans="2:19" x14ac:dyDescent="0.3">
      <c r="B161" t="str">
        <f>LEFT(Tabla3890134177220392[[#This Row],[Descripción del equipo]], FIND(" ", Tabla3890134177220392[[#This Row],[Descripción del equipo]] &amp; " ") - 1)</f>
        <v>Autoretractil</v>
      </c>
      <c r="C161" s="11" t="s">
        <v>1092</v>
      </c>
      <c r="D161">
        <v>1</v>
      </c>
      <c r="E161" s="11" t="s">
        <v>160</v>
      </c>
      <c r="F161" s="91" t="s">
        <v>1058</v>
      </c>
      <c r="G161" s="15" t="str">
        <f>LEFT([1]modificado!$O$2, FIND(" ", [1]modificado!$O$2 &amp; " ") - 1)</f>
        <v>3M</v>
      </c>
      <c r="H161" s="47" t="str">
        <f>RIGHT([1]!Tabla2[[#This Row],[Marca y Modelo]], LEN([1]!Tabla2[[#This Row],[Marca y Modelo]]) - FIND(" ", [1]!Tabla2[[#This Row],[Marca y Modelo]]))</f>
        <v>3100512</v>
      </c>
      <c r="I161" s="76"/>
      <c r="J161" s="76"/>
      <c r="K161" s="91" t="s">
        <v>4073</v>
      </c>
      <c r="L161" s="91" t="s">
        <v>2772</v>
      </c>
      <c r="M161" s="91" t="s">
        <v>1404</v>
      </c>
      <c r="N161" s="91" t="s">
        <v>1575</v>
      </c>
      <c r="O161" s="77"/>
      <c r="P161" s="91" t="s">
        <v>2528</v>
      </c>
      <c r="Q161" s="32"/>
      <c r="R161" s="48" t="s">
        <v>216</v>
      </c>
      <c r="S161" s="32"/>
    </row>
    <row r="162" spans="2:19" x14ac:dyDescent="0.3">
      <c r="B162" t="str">
        <f>LEFT(Tabla3890134177220392[[#This Row],[Descripción del equipo]], FIND(" ", Tabla3890134177220392[[#This Row],[Descripción del equipo]] &amp; " ") - 1)</f>
        <v>Autoretractil</v>
      </c>
      <c r="C162" s="11" t="s">
        <v>1092</v>
      </c>
      <c r="D162">
        <v>1</v>
      </c>
      <c r="E162" s="11" t="s">
        <v>160</v>
      </c>
      <c r="F162" s="92" t="s">
        <v>1058</v>
      </c>
      <c r="G162" s="15" t="str">
        <f>LEFT([1]modificado!$O$2, FIND(" ", [1]modificado!$O$2 &amp; " ") - 1)</f>
        <v>3M</v>
      </c>
      <c r="H162" s="47" t="str">
        <f>RIGHT([1]!Tabla2[[#This Row],[Marca y Modelo]], LEN([1]!Tabla2[[#This Row],[Marca y Modelo]]) - FIND(" ", [1]!Tabla2[[#This Row],[Marca y Modelo]]))</f>
        <v>3100512</v>
      </c>
      <c r="I162" s="76"/>
      <c r="J162" s="76"/>
      <c r="K162" s="92" t="s">
        <v>4073</v>
      </c>
      <c r="L162" s="92" t="s">
        <v>2773</v>
      </c>
      <c r="M162" s="92" t="s">
        <v>1404</v>
      </c>
      <c r="N162" s="92" t="s">
        <v>1576</v>
      </c>
      <c r="O162" s="77"/>
      <c r="P162" s="92" t="s">
        <v>2528</v>
      </c>
      <c r="Q162" s="32"/>
      <c r="R162" s="48" t="s">
        <v>216</v>
      </c>
      <c r="S162" s="32"/>
    </row>
    <row r="163" spans="2:19" x14ac:dyDescent="0.3">
      <c r="B163" t="str">
        <f>LEFT(Tabla3890134177220392[[#This Row],[Descripción del equipo]], FIND(" ", Tabla3890134177220392[[#This Row],[Descripción del equipo]] &amp; " ") - 1)</f>
        <v>Autoretractil</v>
      </c>
      <c r="C163" s="11" t="s">
        <v>1092</v>
      </c>
      <c r="D163">
        <v>1</v>
      </c>
      <c r="E163" s="11" t="s">
        <v>160</v>
      </c>
      <c r="F163" s="91" t="s">
        <v>1058</v>
      </c>
      <c r="G163" s="15" t="str">
        <f>LEFT([1]modificado!$O$2, FIND(" ", [1]modificado!$O$2 &amp; " ") - 1)</f>
        <v>3M</v>
      </c>
      <c r="H163" s="47" t="str">
        <f>RIGHT([1]!Tabla2[[#This Row],[Marca y Modelo]], LEN([1]!Tabla2[[#This Row],[Marca y Modelo]]) - FIND(" ", [1]!Tabla2[[#This Row],[Marca y Modelo]]))</f>
        <v>3100512</v>
      </c>
      <c r="I163" s="76"/>
      <c r="J163" s="76"/>
      <c r="K163" s="91" t="s">
        <v>4073</v>
      </c>
      <c r="L163" s="91" t="s">
        <v>2774</v>
      </c>
      <c r="M163" s="91" t="s">
        <v>1404</v>
      </c>
      <c r="N163" s="91" t="s">
        <v>1577</v>
      </c>
      <c r="O163" s="77"/>
      <c r="P163" s="91" t="s">
        <v>2528</v>
      </c>
      <c r="Q163" s="32"/>
      <c r="R163" s="48" t="s">
        <v>216</v>
      </c>
      <c r="S163" s="32"/>
    </row>
    <row r="164" spans="2:19" x14ac:dyDescent="0.3">
      <c r="B164" t="str">
        <f>LEFT(Tabla3890134177220392[[#This Row],[Descripción del equipo]], FIND(" ", Tabla3890134177220392[[#This Row],[Descripción del equipo]] &amp; " ") - 1)</f>
        <v>Autoretractil</v>
      </c>
      <c r="C164" s="11" t="s">
        <v>1092</v>
      </c>
      <c r="D164">
        <v>1</v>
      </c>
      <c r="E164" s="11" t="s">
        <v>160</v>
      </c>
      <c r="F164" s="92" t="s">
        <v>1058</v>
      </c>
      <c r="G164" s="15" t="str">
        <f>LEFT([1]modificado!$O$2, FIND(" ", [1]modificado!$O$2 &amp; " ") - 1)</f>
        <v>3M</v>
      </c>
      <c r="H164" s="47" t="str">
        <f>RIGHT([1]!Tabla2[[#This Row],[Marca y Modelo]], LEN([1]!Tabla2[[#This Row],[Marca y Modelo]]) - FIND(" ", [1]!Tabla2[[#This Row],[Marca y Modelo]]))</f>
        <v>3100512</v>
      </c>
      <c r="I164" s="76"/>
      <c r="J164" s="76"/>
      <c r="K164" s="92" t="s">
        <v>4073</v>
      </c>
      <c r="L164" s="92" t="s">
        <v>2775</v>
      </c>
      <c r="M164" s="92" t="s">
        <v>1404</v>
      </c>
      <c r="N164" s="92" t="s">
        <v>1578</v>
      </c>
      <c r="O164" s="77"/>
      <c r="P164" s="92" t="s">
        <v>2528</v>
      </c>
      <c r="Q164" s="32"/>
      <c r="R164" s="48" t="s">
        <v>216</v>
      </c>
      <c r="S164" s="32"/>
    </row>
    <row r="165" spans="2:19" x14ac:dyDescent="0.3">
      <c r="B165" t="str">
        <f>LEFT(Tabla3890134177220392[[#This Row],[Descripción del equipo]], FIND(" ", Tabla3890134177220392[[#This Row],[Descripción del equipo]] &amp; " ") - 1)</f>
        <v>Autoretractil</v>
      </c>
      <c r="C165" s="11" t="s">
        <v>1092</v>
      </c>
      <c r="D165">
        <v>1</v>
      </c>
      <c r="E165" s="11" t="s">
        <v>160</v>
      </c>
      <c r="F165" s="91" t="s">
        <v>1058</v>
      </c>
      <c r="G165" s="15" t="str">
        <f>LEFT([1]modificado!$O$2, FIND(" ", [1]modificado!$O$2 &amp; " ") - 1)</f>
        <v>3M</v>
      </c>
      <c r="H165" s="47" t="str">
        <f>RIGHT([1]!Tabla2[[#This Row],[Marca y Modelo]], LEN([1]!Tabla2[[#This Row],[Marca y Modelo]]) - FIND(" ", [1]!Tabla2[[#This Row],[Marca y Modelo]]))</f>
        <v>3100512</v>
      </c>
      <c r="I165" s="76"/>
      <c r="J165" s="76"/>
      <c r="K165" s="91" t="s">
        <v>4073</v>
      </c>
      <c r="L165" s="91" t="s">
        <v>2776</v>
      </c>
      <c r="M165" s="91" t="s">
        <v>1404</v>
      </c>
      <c r="N165" s="91" t="s">
        <v>1579</v>
      </c>
      <c r="O165" s="77"/>
      <c r="P165" s="91" t="s">
        <v>2528</v>
      </c>
      <c r="Q165" s="32"/>
      <c r="R165" s="48" t="s">
        <v>216</v>
      </c>
      <c r="S165" s="32"/>
    </row>
    <row r="166" spans="2:19" x14ac:dyDescent="0.3">
      <c r="B166" t="str">
        <f>LEFT(Tabla3890134177220392[[#This Row],[Descripción del equipo]], FIND(" ", Tabla3890134177220392[[#This Row],[Descripción del equipo]] &amp; " ") - 1)</f>
        <v>Autoretractil</v>
      </c>
      <c r="C166" s="11" t="s">
        <v>1092</v>
      </c>
      <c r="D166">
        <v>1</v>
      </c>
      <c r="E166" s="11" t="s">
        <v>160</v>
      </c>
      <c r="F166" s="92" t="s">
        <v>1058</v>
      </c>
      <c r="G166" s="15" t="str">
        <f>LEFT([1]modificado!$O$2, FIND(" ", [1]modificado!$O$2 &amp; " ") - 1)</f>
        <v>3M</v>
      </c>
      <c r="H166" s="47" t="str">
        <f>RIGHT([1]!Tabla2[[#This Row],[Marca y Modelo]], LEN([1]!Tabla2[[#This Row],[Marca y Modelo]]) - FIND(" ", [1]!Tabla2[[#This Row],[Marca y Modelo]]))</f>
        <v>3100512</v>
      </c>
      <c r="I166" s="76"/>
      <c r="J166" s="76"/>
      <c r="K166" s="92" t="s">
        <v>4073</v>
      </c>
      <c r="L166" s="92" t="s">
        <v>2777</v>
      </c>
      <c r="M166" s="92" t="s">
        <v>1404</v>
      </c>
      <c r="N166" s="92" t="s">
        <v>1580</v>
      </c>
      <c r="O166" s="77"/>
      <c r="P166" s="92" t="s">
        <v>2528</v>
      </c>
      <c r="Q166" s="32"/>
      <c r="R166" s="48" t="s">
        <v>216</v>
      </c>
      <c r="S166" s="32"/>
    </row>
    <row r="167" spans="2:19" x14ac:dyDescent="0.3">
      <c r="B167" t="str">
        <f>LEFT(Tabla3890134177220392[[#This Row],[Descripción del equipo]], FIND(" ", Tabla3890134177220392[[#This Row],[Descripción del equipo]] &amp; " ") - 1)</f>
        <v>Autoretractil</v>
      </c>
      <c r="C167" s="11" t="s">
        <v>1092</v>
      </c>
      <c r="D167">
        <v>1</v>
      </c>
      <c r="E167" s="11" t="s">
        <v>160</v>
      </c>
      <c r="F167" s="91" t="s">
        <v>1058</v>
      </c>
      <c r="G167" s="15" t="str">
        <f>LEFT([1]modificado!$O$2, FIND(" ", [1]modificado!$O$2 &amp; " ") - 1)</f>
        <v>3M</v>
      </c>
      <c r="H167" s="47" t="str">
        <f>RIGHT([1]!Tabla2[[#This Row],[Marca y Modelo]], LEN([1]!Tabla2[[#This Row],[Marca y Modelo]]) - FIND(" ", [1]!Tabla2[[#This Row],[Marca y Modelo]]))</f>
        <v>3100512</v>
      </c>
      <c r="I167" s="76"/>
      <c r="J167" s="76"/>
      <c r="K167" s="91" t="s">
        <v>4073</v>
      </c>
      <c r="L167" s="91" t="s">
        <v>2778</v>
      </c>
      <c r="M167" s="91" t="s">
        <v>1404</v>
      </c>
      <c r="N167" s="91" t="s">
        <v>1581</v>
      </c>
      <c r="O167" s="77"/>
      <c r="P167" s="91" t="s">
        <v>2528</v>
      </c>
      <c r="Q167" s="32"/>
      <c r="R167" s="48" t="s">
        <v>216</v>
      </c>
      <c r="S167" s="32"/>
    </row>
    <row r="168" spans="2:19" x14ac:dyDescent="0.3">
      <c r="B168" t="str">
        <f>LEFT(Tabla3890134177220392[[#This Row],[Descripción del equipo]], FIND(" ", Tabla3890134177220392[[#This Row],[Descripción del equipo]] &amp; " ") - 1)</f>
        <v>Autoretractil</v>
      </c>
      <c r="C168" s="11" t="s">
        <v>1092</v>
      </c>
      <c r="D168">
        <v>1</v>
      </c>
      <c r="E168" s="11" t="s">
        <v>160</v>
      </c>
      <c r="F168" s="92" t="s">
        <v>1058</v>
      </c>
      <c r="G168" s="15" t="str">
        <f>LEFT([1]modificado!$O$2, FIND(" ", [1]modificado!$O$2 &amp; " ") - 1)</f>
        <v>3M</v>
      </c>
      <c r="H168" s="47" t="str">
        <f>RIGHT([1]!Tabla2[[#This Row],[Marca y Modelo]], LEN([1]!Tabla2[[#This Row],[Marca y Modelo]]) - FIND(" ", [1]!Tabla2[[#This Row],[Marca y Modelo]]))</f>
        <v>3100512</v>
      </c>
      <c r="I168" s="76"/>
      <c r="J168" s="76"/>
      <c r="K168" s="92" t="s">
        <v>4073</v>
      </c>
      <c r="L168" s="92" t="s">
        <v>2779</v>
      </c>
      <c r="M168" s="92" t="s">
        <v>1404</v>
      </c>
      <c r="N168" s="92" t="s">
        <v>1582</v>
      </c>
      <c r="O168" s="77"/>
      <c r="P168" s="92" t="s">
        <v>2528</v>
      </c>
      <c r="Q168" s="32"/>
      <c r="R168" s="48" t="s">
        <v>216</v>
      </c>
      <c r="S168" s="32"/>
    </row>
    <row r="169" spans="2:19" x14ac:dyDescent="0.3">
      <c r="B169" t="str">
        <f>LEFT(Tabla3890134177220392[[#This Row],[Descripción del equipo]], FIND(" ", Tabla3890134177220392[[#This Row],[Descripción del equipo]] &amp; " ") - 1)</f>
        <v>Autoretractil</v>
      </c>
      <c r="C169" s="11" t="s">
        <v>1092</v>
      </c>
      <c r="D169">
        <v>1</v>
      </c>
      <c r="E169" s="11" t="s">
        <v>160</v>
      </c>
      <c r="F169" s="91" t="s">
        <v>1058</v>
      </c>
      <c r="G169" s="15" t="str">
        <f>LEFT([1]modificado!$O$2, FIND(" ", [1]modificado!$O$2 &amp; " ") - 1)</f>
        <v>3M</v>
      </c>
      <c r="H169" s="47" t="str">
        <f>RIGHT([1]!Tabla2[[#This Row],[Marca y Modelo]], LEN([1]!Tabla2[[#This Row],[Marca y Modelo]]) - FIND(" ", [1]!Tabla2[[#This Row],[Marca y Modelo]]))</f>
        <v>3100512</v>
      </c>
      <c r="I169" s="76"/>
      <c r="J169" s="76"/>
      <c r="K169" s="91" t="s">
        <v>4074</v>
      </c>
      <c r="L169" s="91" t="s">
        <v>2780</v>
      </c>
      <c r="M169" s="91" t="s">
        <v>1404</v>
      </c>
      <c r="N169" s="91" t="s">
        <v>1583</v>
      </c>
      <c r="O169" s="77"/>
      <c r="P169" s="91" t="s">
        <v>2528</v>
      </c>
      <c r="Q169" s="32"/>
      <c r="R169" s="48" t="s">
        <v>216</v>
      </c>
      <c r="S169" s="32"/>
    </row>
    <row r="170" spans="2:19" x14ac:dyDescent="0.3">
      <c r="B170" t="str">
        <f>LEFT(Tabla3890134177220392[[#This Row],[Descripción del equipo]], FIND(" ", Tabla3890134177220392[[#This Row],[Descripción del equipo]] &amp; " ") - 1)</f>
        <v>Autoretractil</v>
      </c>
      <c r="C170" s="11" t="s">
        <v>1092</v>
      </c>
      <c r="D170">
        <v>1</v>
      </c>
      <c r="E170" s="11" t="s">
        <v>160</v>
      </c>
      <c r="F170" s="92" t="s">
        <v>1058</v>
      </c>
      <c r="G170" s="15" t="str">
        <f>LEFT([1]modificado!$O$2, FIND(" ", [1]modificado!$O$2 &amp; " ") - 1)</f>
        <v>3M</v>
      </c>
      <c r="H170" s="47" t="str">
        <f>RIGHT([1]!Tabla2[[#This Row],[Marca y Modelo]], LEN([1]!Tabla2[[#This Row],[Marca y Modelo]]) - FIND(" ", [1]!Tabla2[[#This Row],[Marca y Modelo]]))</f>
        <v>3100512</v>
      </c>
      <c r="I170" s="76"/>
      <c r="J170" s="76"/>
      <c r="K170" s="92" t="s">
        <v>4074</v>
      </c>
      <c r="L170" s="92" t="s">
        <v>2781</v>
      </c>
      <c r="M170" s="92" t="s">
        <v>1404</v>
      </c>
      <c r="N170" s="92" t="s">
        <v>1584</v>
      </c>
      <c r="O170" s="77"/>
      <c r="P170" s="92" t="s">
        <v>2528</v>
      </c>
      <c r="Q170" s="32"/>
      <c r="R170" s="48" t="s">
        <v>216</v>
      </c>
      <c r="S170" s="32"/>
    </row>
    <row r="171" spans="2:19" x14ac:dyDescent="0.3">
      <c r="B171" t="str">
        <f>LEFT(Tabla3890134177220392[[#This Row],[Descripción del equipo]], FIND(" ", Tabla3890134177220392[[#This Row],[Descripción del equipo]] &amp; " ") - 1)</f>
        <v>Autoretractil</v>
      </c>
      <c r="C171" s="11" t="s">
        <v>1092</v>
      </c>
      <c r="D171">
        <v>1</v>
      </c>
      <c r="E171" s="11" t="s">
        <v>160</v>
      </c>
      <c r="F171" s="91" t="s">
        <v>1058</v>
      </c>
      <c r="G171" s="15" t="str">
        <f>LEFT([1]modificado!$O$2, FIND(" ", [1]modificado!$O$2 &amp; " ") - 1)</f>
        <v>3M</v>
      </c>
      <c r="H171" s="47" t="str">
        <f>RIGHT([1]!Tabla2[[#This Row],[Marca y Modelo]], LEN([1]!Tabla2[[#This Row],[Marca y Modelo]]) - FIND(" ", [1]!Tabla2[[#This Row],[Marca y Modelo]]))</f>
        <v>3100512</v>
      </c>
      <c r="I171" s="76"/>
      <c r="J171" s="76"/>
      <c r="K171" s="91" t="s">
        <v>4074</v>
      </c>
      <c r="L171" s="91" t="s">
        <v>2782</v>
      </c>
      <c r="M171" s="91" t="s">
        <v>1404</v>
      </c>
      <c r="N171" s="91" t="s">
        <v>1585</v>
      </c>
      <c r="O171" s="77"/>
      <c r="P171" s="91" t="s">
        <v>2528</v>
      </c>
      <c r="Q171" s="32"/>
      <c r="R171" s="48" t="s">
        <v>216</v>
      </c>
      <c r="S171" s="32"/>
    </row>
    <row r="172" spans="2:19" x14ac:dyDescent="0.3">
      <c r="B172" t="str">
        <f>LEFT(Tabla3890134177220392[[#This Row],[Descripción del equipo]], FIND(" ", Tabla3890134177220392[[#This Row],[Descripción del equipo]] &amp; " ") - 1)</f>
        <v>Autoretractil</v>
      </c>
      <c r="C172" s="11" t="s">
        <v>1092</v>
      </c>
      <c r="D172">
        <v>1</v>
      </c>
      <c r="E172" s="11" t="s">
        <v>160</v>
      </c>
      <c r="F172" s="92" t="s">
        <v>1058</v>
      </c>
      <c r="G172" s="15" t="str">
        <f>LEFT([1]modificado!$O$2, FIND(" ", [1]modificado!$O$2 &amp; " ") - 1)</f>
        <v>3M</v>
      </c>
      <c r="H172" s="47" t="str">
        <f>RIGHT([1]!Tabla2[[#This Row],[Marca y Modelo]], LEN([1]!Tabla2[[#This Row],[Marca y Modelo]]) - FIND(" ", [1]!Tabla2[[#This Row],[Marca y Modelo]]))</f>
        <v>3100512</v>
      </c>
      <c r="I172" s="76"/>
      <c r="J172" s="76"/>
      <c r="K172" s="92" t="s">
        <v>4074</v>
      </c>
      <c r="L172" s="92" t="s">
        <v>2783</v>
      </c>
      <c r="M172" s="92" t="s">
        <v>1404</v>
      </c>
      <c r="N172" s="92" t="s">
        <v>1586</v>
      </c>
      <c r="O172" s="77"/>
      <c r="P172" s="92" t="s">
        <v>2528</v>
      </c>
      <c r="Q172" s="32"/>
      <c r="R172" s="48" t="s">
        <v>216</v>
      </c>
      <c r="S172" s="32"/>
    </row>
    <row r="173" spans="2:19" x14ac:dyDescent="0.3">
      <c r="B173" t="str">
        <f>LEFT(Tabla3890134177220392[[#This Row],[Descripción del equipo]], FIND(" ", Tabla3890134177220392[[#This Row],[Descripción del equipo]] &amp; " ") - 1)</f>
        <v>Autoretractil</v>
      </c>
      <c r="C173" s="11" t="s">
        <v>1092</v>
      </c>
      <c r="D173">
        <v>1</v>
      </c>
      <c r="E173" s="11" t="s">
        <v>160</v>
      </c>
      <c r="F173" s="91" t="s">
        <v>1058</v>
      </c>
      <c r="G173" s="15" t="str">
        <f>LEFT([1]modificado!$O$2, FIND(" ", [1]modificado!$O$2 &amp; " ") - 1)</f>
        <v>3M</v>
      </c>
      <c r="H173" s="47" t="str">
        <f>RIGHT([1]!Tabla2[[#This Row],[Marca y Modelo]], LEN([1]!Tabla2[[#This Row],[Marca y Modelo]]) - FIND(" ", [1]!Tabla2[[#This Row],[Marca y Modelo]]))</f>
        <v>3100512</v>
      </c>
      <c r="I173" s="76"/>
      <c r="J173" s="76"/>
      <c r="K173" s="91" t="s">
        <v>4074</v>
      </c>
      <c r="L173" s="91" t="s">
        <v>2784</v>
      </c>
      <c r="M173" s="91" t="s">
        <v>1404</v>
      </c>
      <c r="N173" s="91" t="s">
        <v>1587</v>
      </c>
      <c r="O173" s="77"/>
      <c r="P173" s="91" t="s">
        <v>2528</v>
      </c>
      <c r="Q173" s="32"/>
      <c r="R173" s="48" t="s">
        <v>216</v>
      </c>
      <c r="S173" s="32"/>
    </row>
    <row r="174" spans="2:19" x14ac:dyDescent="0.3">
      <c r="B174" t="str">
        <f>LEFT(Tabla3890134177220392[[#This Row],[Descripción del equipo]], FIND(" ", Tabla3890134177220392[[#This Row],[Descripción del equipo]] &amp; " ") - 1)</f>
        <v>Autoretractil</v>
      </c>
      <c r="C174" s="11" t="s">
        <v>1092</v>
      </c>
      <c r="D174">
        <v>1</v>
      </c>
      <c r="E174" s="11" t="s">
        <v>160</v>
      </c>
      <c r="F174" s="92" t="s">
        <v>1058</v>
      </c>
      <c r="G174" s="15" t="str">
        <f>LEFT([1]modificado!$O$2, FIND(" ", [1]modificado!$O$2 &amp; " ") - 1)</f>
        <v>3M</v>
      </c>
      <c r="H174" s="47" t="str">
        <f>RIGHT([1]!Tabla2[[#This Row],[Marca y Modelo]], LEN([1]!Tabla2[[#This Row],[Marca y Modelo]]) - FIND(" ", [1]!Tabla2[[#This Row],[Marca y Modelo]]))</f>
        <v>3100512</v>
      </c>
      <c r="I174" s="76"/>
      <c r="J174" s="76"/>
      <c r="K174" s="92" t="s">
        <v>4074</v>
      </c>
      <c r="L174" s="92" t="s">
        <v>2785</v>
      </c>
      <c r="M174" s="92" t="s">
        <v>1404</v>
      </c>
      <c r="N174" s="92" t="s">
        <v>1588</v>
      </c>
      <c r="O174" s="77"/>
      <c r="P174" s="92" t="s">
        <v>2528</v>
      </c>
      <c r="Q174" s="32"/>
      <c r="R174" s="48" t="s">
        <v>216</v>
      </c>
      <c r="S174" s="32"/>
    </row>
    <row r="175" spans="2:19" x14ac:dyDescent="0.3">
      <c r="B175" t="str">
        <f>LEFT(Tabla3890134177220392[[#This Row],[Descripción del equipo]], FIND(" ", Tabla3890134177220392[[#This Row],[Descripción del equipo]] &amp; " ") - 1)</f>
        <v>Autoretractil</v>
      </c>
      <c r="C175" s="11" t="s">
        <v>1092</v>
      </c>
      <c r="D175">
        <v>1</v>
      </c>
      <c r="E175" s="11" t="s">
        <v>160</v>
      </c>
      <c r="F175" s="91" t="s">
        <v>1058</v>
      </c>
      <c r="G175" s="15" t="str">
        <f>LEFT([1]modificado!$O$2, FIND(" ", [1]modificado!$O$2 &amp; " ") - 1)</f>
        <v>3M</v>
      </c>
      <c r="H175" s="47" t="str">
        <f>RIGHT([1]!Tabla2[[#This Row],[Marca y Modelo]], LEN([1]!Tabla2[[#This Row],[Marca y Modelo]]) - FIND(" ", [1]!Tabla2[[#This Row],[Marca y Modelo]]))</f>
        <v>3100512</v>
      </c>
      <c r="I175" s="76"/>
      <c r="J175" s="76"/>
      <c r="K175" s="91" t="s">
        <v>4074</v>
      </c>
      <c r="L175" s="91" t="s">
        <v>2786</v>
      </c>
      <c r="M175" s="91" t="s">
        <v>1404</v>
      </c>
      <c r="N175" s="91" t="s">
        <v>1589</v>
      </c>
      <c r="O175" s="77"/>
      <c r="P175" s="91" t="s">
        <v>2528</v>
      </c>
      <c r="Q175" s="32"/>
      <c r="R175" s="48" t="s">
        <v>216</v>
      </c>
      <c r="S175" s="32"/>
    </row>
    <row r="176" spans="2:19" x14ac:dyDescent="0.3">
      <c r="B176" t="str">
        <f>LEFT(Tabla3890134177220392[[#This Row],[Descripción del equipo]], FIND(" ", Tabla3890134177220392[[#This Row],[Descripción del equipo]] &amp; " ") - 1)</f>
        <v>Autoretractil</v>
      </c>
      <c r="C176" s="11" t="s">
        <v>1092</v>
      </c>
      <c r="D176">
        <v>1</v>
      </c>
      <c r="E176" s="11" t="s">
        <v>160</v>
      </c>
      <c r="F176" s="92" t="s">
        <v>1058</v>
      </c>
      <c r="G176" s="15" t="str">
        <f>LEFT([1]modificado!$O$2, FIND(" ", [1]modificado!$O$2 &amp; " ") - 1)</f>
        <v>3M</v>
      </c>
      <c r="H176" s="47" t="str">
        <f>RIGHT([1]!Tabla2[[#This Row],[Marca y Modelo]], LEN([1]!Tabla2[[#This Row],[Marca y Modelo]]) - FIND(" ", [1]!Tabla2[[#This Row],[Marca y Modelo]]))</f>
        <v>3100512</v>
      </c>
      <c r="I176" s="76"/>
      <c r="J176" s="76"/>
      <c r="K176" s="92" t="s">
        <v>4074</v>
      </c>
      <c r="L176" s="92" t="s">
        <v>2787</v>
      </c>
      <c r="M176" s="92" t="s">
        <v>1404</v>
      </c>
      <c r="N176" s="92" t="s">
        <v>1590</v>
      </c>
      <c r="O176" s="77"/>
      <c r="P176" s="92" t="s">
        <v>2528</v>
      </c>
      <c r="Q176" s="32"/>
      <c r="R176" s="48" t="s">
        <v>216</v>
      </c>
      <c r="S176" s="32"/>
    </row>
    <row r="177" spans="2:19" x14ac:dyDescent="0.3">
      <c r="B177" t="str">
        <f>LEFT(Tabla3890134177220392[[#This Row],[Descripción del equipo]], FIND(" ", Tabla3890134177220392[[#This Row],[Descripción del equipo]] &amp; " ") - 1)</f>
        <v>Autoretractil</v>
      </c>
      <c r="C177" s="11" t="s">
        <v>1092</v>
      </c>
      <c r="D177">
        <v>1</v>
      </c>
      <c r="E177" s="11" t="s">
        <v>160</v>
      </c>
      <c r="F177" s="91" t="s">
        <v>1058</v>
      </c>
      <c r="G177" s="15" t="str">
        <f>LEFT([1]modificado!$O$2, FIND(" ", [1]modificado!$O$2 &amp; " ") - 1)</f>
        <v>3M</v>
      </c>
      <c r="H177" s="47" t="str">
        <f>RIGHT([1]!Tabla2[[#This Row],[Marca y Modelo]], LEN([1]!Tabla2[[#This Row],[Marca y Modelo]]) - FIND(" ", [1]!Tabla2[[#This Row],[Marca y Modelo]]))</f>
        <v>3100512</v>
      </c>
      <c r="I177" s="76"/>
      <c r="J177" s="76"/>
      <c r="K177" s="91" t="s">
        <v>4074</v>
      </c>
      <c r="L177" s="91" t="s">
        <v>2788</v>
      </c>
      <c r="M177" s="91" t="s">
        <v>1404</v>
      </c>
      <c r="N177" s="91" t="s">
        <v>1591</v>
      </c>
      <c r="O177" s="77"/>
      <c r="P177" s="91" t="s">
        <v>2528</v>
      </c>
      <c r="Q177" s="32"/>
      <c r="R177" s="48" t="s">
        <v>216</v>
      </c>
      <c r="S177" s="32"/>
    </row>
    <row r="178" spans="2:19" x14ac:dyDescent="0.3">
      <c r="B178" t="str">
        <f>LEFT(Tabla3890134177220392[[#This Row],[Descripción del equipo]], FIND(" ", Tabla3890134177220392[[#This Row],[Descripción del equipo]] &amp; " ") - 1)</f>
        <v>Autoretractil</v>
      </c>
      <c r="C178" s="11" t="s">
        <v>1092</v>
      </c>
      <c r="D178">
        <v>1</v>
      </c>
      <c r="E178" s="11" t="s">
        <v>160</v>
      </c>
      <c r="F178" s="92" t="s">
        <v>1058</v>
      </c>
      <c r="G178" s="15" t="str">
        <f>LEFT([1]modificado!$O$2, FIND(" ", [1]modificado!$O$2 &amp; " ") - 1)</f>
        <v>3M</v>
      </c>
      <c r="H178" s="47" t="str">
        <f>RIGHT([1]!Tabla2[[#This Row],[Marca y Modelo]], LEN([1]!Tabla2[[#This Row],[Marca y Modelo]]) - FIND(" ", [1]!Tabla2[[#This Row],[Marca y Modelo]]))</f>
        <v>3100512</v>
      </c>
      <c r="I178" s="76"/>
      <c r="J178" s="76"/>
      <c r="K178" s="92" t="s">
        <v>4074</v>
      </c>
      <c r="L178" s="92" t="s">
        <v>2789</v>
      </c>
      <c r="M178" s="92" t="s">
        <v>1404</v>
      </c>
      <c r="N178" s="92" t="s">
        <v>1592</v>
      </c>
      <c r="O178" s="77"/>
      <c r="P178" s="92" t="s">
        <v>2528</v>
      </c>
      <c r="Q178" s="32"/>
      <c r="R178" s="48" t="s">
        <v>216</v>
      </c>
      <c r="S178" s="32"/>
    </row>
    <row r="179" spans="2:19" x14ac:dyDescent="0.3">
      <c r="B179" t="str">
        <f>LEFT(Tabla3890134177220392[[#This Row],[Descripción del equipo]], FIND(" ", Tabla3890134177220392[[#This Row],[Descripción del equipo]] &amp; " ") - 1)</f>
        <v>Autoretractil</v>
      </c>
      <c r="C179" s="11" t="s">
        <v>1092</v>
      </c>
      <c r="D179">
        <v>1</v>
      </c>
      <c r="E179" s="11" t="s">
        <v>160</v>
      </c>
      <c r="F179" s="91" t="s">
        <v>1058</v>
      </c>
      <c r="G179" s="15" t="str">
        <f>LEFT([1]modificado!$O$2, FIND(" ", [1]modificado!$O$2 &amp; " ") - 1)</f>
        <v>3M</v>
      </c>
      <c r="H179" s="47" t="str">
        <f>RIGHT([1]!Tabla2[[#This Row],[Marca y Modelo]], LEN([1]!Tabla2[[#This Row],[Marca y Modelo]]) - FIND(" ", [1]!Tabla2[[#This Row],[Marca y Modelo]]))</f>
        <v>Nano Lok</v>
      </c>
      <c r="I179" s="76"/>
      <c r="J179" s="76"/>
      <c r="K179" s="91" t="s">
        <v>4075</v>
      </c>
      <c r="L179" s="91" t="s">
        <v>2790</v>
      </c>
      <c r="M179" s="91" t="s">
        <v>1404</v>
      </c>
      <c r="N179" s="91" t="s">
        <v>1593</v>
      </c>
      <c r="O179" s="77"/>
      <c r="P179" s="91" t="s">
        <v>2528</v>
      </c>
      <c r="Q179" s="32"/>
      <c r="R179" s="48" t="s">
        <v>216</v>
      </c>
      <c r="S179" s="32"/>
    </row>
    <row r="180" spans="2:19" x14ac:dyDescent="0.3">
      <c r="B180" t="str">
        <f>LEFT(Tabla3890134177220392[[#This Row],[Descripción del equipo]], FIND(" ", Tabla3890134177220392[[#This Row],[Descripción del equipo]] &amp; " ") - 1)</f>
        <v>Autoretractil</v>
      </c>
      <c r="C180" s="11" t="s">
        <v>1092</v>
      </c>
      <c r="D180">
        <v>1</v>
      </c>
      <c r="E180" s="11" t="s">
        <v>160</v>
      </c>
      <c r="F180" s="92" t="s">
        <v>1058</v>
      </c>
      <c r="G180" s="15" t="str">
        <f>LEFT([1]modificado!$O$2, FIND(" ", [1]modificado!$O$2 &amp; " ") - 1)</f>
        <v>3M</v>
      </c>
      <c r="H180" s="47" t="str">
        <f>RIGHT([1]!Tabla2[[#This Row],[Marca y Modelo]], LEN([1]!Tabla2[[#This Row],[Marca y Modelo]]) - FIND(" ", [1]!Tabla2[[#This Row],[Marca y Modelo]]))</f>
        <v>Nano Lok</v>
      </c>
      <c r="I180" s="76"/>
      <c r="J180" s="76"/>
      <c r="K180" s="92" t="s">
        <v>4075</v>
      </c>
      <c r="L180" s="92" t="s">
        <v>2791</v>
      </c>
      <c r="M180" s="92" t="s">
        <v>1404</v>
      </c>
      <c r="N180" s="92" t="s">
        <v>1594</v>
      </c>
      <c r="O180" s="77"/>
      <c r="P180" s="92" t="s">
        <v>2528</v>
      </c>
      <c r="Q180" s="32"/>
      <c r="R180" s="48" t="s">
        <v>216</v>
      </c>
      <c r="S180" s="32"/>
    </row>
    <row r="181" spans="2:19" x14ac:dyDescent="0.3">
      <c r="B181" t="str">
        <f>LEFT(Tabla3890134177220392[[#This Row],[Descripción del equipo]], FIND(" ", Tabla3890134177220392[[#This Row],[Descripción del equipo]] &amp; " ") - 1)</f>
        <v>Autoretractil</v>
      </c>
      <c r="C181" s="11" t="s">
        <v>1092</v>
      </c>
      <c r="D181">
        <v>1</v>
      </c>
      <c r="E181" s="11" t="s">
        <v>160</v>
      </c>
      <c r="F181" s="91" t="s">
        <v>1058</v>
      </c>
      <c r="G181" s="15" t="str">
        <f>LEFT([1]modificado!$O$2, FIND(" ", [1]modificado!$O$2 &amp; " ") - 1)</f>
        <v>3M</v>
      </c>
      <c r="H181" s="47" t="str">
        <f>RIGHT([1]!Tabla2[[#This Row],[Marca y Modelo]], LEN([1]!Tabla2[[#This Row],[Marca y Modelo]]) - FIND(" ", [1]!Tabla2[[#This Row],[Marca y Modelo]]))</f>
        <v>3100512</v>
      </c>
      <c r="I181" s="76"/>
      <c r="J181" s="76"/>
      <c r="K181" s="91" t="s">
        <v>4075</v>
      </c>
      <c r="L181" s="91" t="s">
        <v>2792</v>
      </c>
      <c r="M181" s="91" t="s">
        <v>1404</v>
      </c>
      <c r="N181" s="91" t="s">
        <v>1595</v>
      </c>
      <c r="O181" s="77"/>
      <c r="P181" s="91" t="s">
        <v>2528</v>
      </c>
      <c r="Q181" s="32"/>
      <c r="R181" s="48" t="s">
        <v>216</v>
      </c>
      <c r="S181" s="32"/>
    </row>
    <row r="182" spans="2:19" x14ac:dyDescent="0.3">
      <c r="B182" t="str">
        <f>LEFT(Tabla3890134177220392[[#This Row],[Descripción del equipo]], FIND(" ", Tabla3890134177220392[[#This Row],[Descripción del equipo]] &amp; " ") - 1)</f>
        <v>Autoretractil</v>
      </c>
      <c r="C182" s="11" t="s">
        <v>1092</v>
      </c>
      <c r="D182">
        <v>1</v>
      </c>
      <c r="E182" s="11" t="s">
        <v>160</v>
      </c>
      <c r="F182" s="92" t="s">
        <v>1058</v>
      </c>
      <c r="G182" s="15" t="str">
        <f>LEFT([1]modificado!$O$2, FIND(" ", [1]modificado!$O$2 &amp; " ") - 1)</f>
        <v>3M</v>
      </c>
      <c r="H182" s="47" t="str">
        <f>RIGHT([1]!Tabla2[[#This Row],[Marca y Modelo]], LEN([1]!Tabla2[[#This Row],[Marca y Modelo]]) - FIND(" ", [1]!Tabla2[[#This Row],[Marca y Modelo]]))</f>
        <v>Nano Lok</v>
      </c>
      <c r="I182" s="76"/>
      <c r="J182" s="76"/>
      <c r="K182" s="92" t="s">
        <v>4075</v>
      </c>
      <c r="L182" s="92" t="s">
        <v>2793</v>
      </c>
      <c r="M182" s="92" t="s">
        <v>1404</v>
      </c>
      <c r="N182" s="92" t="s">
        <v>1596</v>
      </c>
      <c r="O182" s="77"/>
      <c r="P182" s="92" t="s">
        <v>2528</v>
      </c>
      <c r="Q182" s="32"/>
      <c r="R182" s="48" t="s">
        <v>216</v>
      </c>
      <c r="S182" s="32"/>
    </row>
    <row r="183" spans="2:19" x14ac:dyDescent="0.3">
      <c r="B183" t="str">
        <f>LEFT(Tabla3890134177220392[[#This Row],[Descripción del equipo]], FIND(" ", Tabla3890134177220392[[#This Row],[Descripción del equipo]] &amp; " ") - 1)</f>
        <v>Autoretractil</v>
      </c>
      <c r="C183" s="11" t="s">
        <v>1092</v>
      </c>
      <c r="D183">
        <v>1</v>
      </c>
      <c r="E183" s="11" t="s">
        <v>160</v>
      </c>
      <c r="F183" s="91" t="s">
        <v>1058</v>
      </c>
      <c r="G183" s="15" t="str">
        <f>LEFT([1]modificado!$O$2, FIND(" ", [1]modificado!$O$2 &amp; " ") - 1)</f>
        <v>3M</v>
      </c>
      <c r="H183" s="47" t="str">
        <f>RIGHT([1]!Tabla2[[#This Row],[Marca y Modelo]], LEN([1]!Tabla2[[#This Row],[Marca y Modelo]]) - FIND(" ", [1]!Tabla2[[#This Row],[Marca y Modelo]]))</f>
        <v>Nano Lok</v>
      </c>
      <c r="I183" s="76"/>
      <c r="J183" s="76"/>
      <c r="K183" s="91" t="s">
        <v>4075</v>
      </c>
      <c r="L183" s="91" t="s">
        <v>2794</v>
      </c>
      <c r="M183" s="91" t="s">
        <v>1404</v>
      </c>
      <c r="N183" s="91" t="s">
        <v>1597</v>
      </c>
      <c r="O183" s="77"/>
      <c r="P183" s="91" t="s">
        <v>2528</v>
      </c>
      <c r="Q183" s="32"/>
      <c r="R183" s="48" t="s">
        <v>216</v>
      </c>
      <c r="S183" s="32"/>
    </row>
    <row r="184" spans="2:19" x14ac:dyDescent="0.3">
      <c r="B184" t="str">
        <f>LEFT(Tabla3890134177220392[[#This Row],[Descripción del equipo]], FIND(" ", Tabla3890134177220392[[#This Row],[Descripción del equipo]] &amp; " ") - 1)</f>
        <v>Autoretractil</v>
      </c>
      <c r="C184" s="11" t="s">
        <v>1092</v>
      </c>
      <c r="D184">
        <v>1</v>
      </c>
      <c r="E184" s="11" t="s">
        <v>160</v>
      </c>
      <c r="F184" s="92" t="s">
        <v>1058</v>
      </c>
      <c r="G184" s="15" t="str">
        <f>LEFT([1]modificado!$O$2, FIND(" ", [1]modificado!$O$2 &amp; " ") - 1)</f>
        <v>3M</v>
      </c>
      <c r="H184" s="47" t="str">
        <f>RIGHT([1]!Tabla2[[#This Row],[Marca y Modelo]], LEN([1]!Tabla2[[#This Row],[Marca y Modelo]]) - FIND(" ", [1]!Tabla2[[#This Row],[Marca y Modelo]]))</f>
        <v>3100512</v>
      </c>
      <c r="I184" s="76"/>
      <c r="J184" s="76"/>
      <c r="K184" s="92" t="s">
        <v>4075</v>
      </c>
      <c r="L184" s="92" t="s">
        <v>2795</v>
      </c>
      <c r="M184" s="92" t="s">
        <v>1404</v>
      </c>
      <c r="N184" s="92" t="s">
        <v>1598</v>
      </c>
      <c r="O184" s="77"/>
      <c r="P184" s="92" t="s">
        <v>2528</v>
      </c>
      <c r="Q184" s="32"/>
      <c r="R184" s="48" t="s">
        <v>216</v>
      </c>
      <c r="S184" s="32"/>
    </row>
    <row r="185" spans="2:19" x14ac:dyDescent="0.3">
      <c r="B185" t="str">
        <f>LEFT(Tabla3890134177220392[[#This Row],[Descripción del equipo]], FIND(" ", Tabla3890134177220392[[#This Row],[Descripción del equipo]] &amp; " ") - 1)</f>
        <v>Autoretractil</v>
      </c>
      <c r="C185" s="11" t="s">
        <v>1092</v>
      </c>
      <c r="D185">
        <v>1</v>
      </c>
      <c r="E185" s="11" t="s">
        <v>160</v>
      </c>
      <c r="F185" s="91" t="s">
        <v>1058</v>
      </c>
      <c r="G185" s="15" t="str">
        <f>LEFT([1]modificado!$O$2, FIND(" ", [1]modificado!$O$2 &amp; " ") - 1)</f>
        <v>3M</v>
      </c>
      <c r="H185" s="47" t="str">
        <f>RIGHT([1]!Tabla2[[#This Row],[Marca y Modelo]], LEN([1]!Tabla2[[#This Row],[Marca y Modelo]]) - FIND(" ", [1]!Tabla2[[#This Row],[Marca y Modelo]]))</f>
        <v>Nano Lok</v>
      </c>
      <c r="I185" s="76"/>
      <c r="J185" s="76"/>
      <c r="K185" s="91" t="s">
        <v>4075</v>
      </c>
      <c r="L185" s="91" t="s">
        <v>2796</v>
      </c>
      <c r="M185" s="91" t="s">
        <v>1404</v>
      </c>
      <c r="N185" s="91" t="s">
        <v>1599</v>
      </c>
      <c r="O185" s="77"/>
      <c r="P185" s="91" t="s">
        <v>2528</v>
      </c>
      <c r="Q185" s="32"/>
      <c r="R185" s="48" t="s">
        <v>216</v>
      </c>
      <c r="S185" s="32"/>
    </row>
    <row r="186" spans="2:19" x14ac:dyDescent="0.3">
      <c r="B186" t="str">
        <f>LEFT(Tabla3890134177220392[[#This Row],[Descripción del equipo]], FIND(" ", Tabla3890134177220392[[#This Row],[Descripción del equipo]] &amp; " ") - 1)</f>
        <v>Autoretractil</v>
      </c>
      <c r="C186" s="11" t="s">
        <v>1092</v>
      </c>
      <c r="D186">
        <v>1</v>
      </c>
      <c r="E186" s="11" t="s">
        <v>160</v>
      </c>
      <c r="F186" s="92" t="s">
        <v>1058</v>
      </c>
      <c r="G186" s="15" t="str">
        <f>LEFT([1]modificado!$O$2, FIND(" ", [1]modificado!$O$2 &amp; " ") - 1)</f>
        <v>3M</v>
      </c>
      <c r="H186" s="47" t="str">
        <f>RIGHT([1]!Tabla2[[#This Row],[Marca y Modelo]], LEN([1]!Tabla2[[#This Row],[Marca y Modelo]]) - FIND(" ", [1]!Tabla2[[#This Row],[Marca y Modelo]]))</f>
        <v>Nano Lok</v>
      </c>
      <c r="I186" s="76"/>
      <c r="J186" s="76"/>
      <c r="K186" s="92" t="s">
        <v>4075</v>
      </c>
      <c r="L186" s="92" t="s">
        <v>2797</v>
      </c>
      <c r="M186" s="92" t="s">
        <v>1404</v>
      </c>
      <c r="N186" s="92" t="s">
        <v>1600</v>
      </c>
      <c r="O186" s="77"/>
      <c r="P186" s="92" t="s">
        <v>2528</v>
      </c>
      <c r="Q186" s="32"/>
      <c r="R186" s="48" t="s">
        <v>216</v>
      </c>
      <c r="S186" s="32"/>
    </row>
    <row r="187" spans="2:19" x14ac:dyDescent="0.3">
      <c r="B187" t="str">
        <f>LEFT(Tabla3890134177220392[[#This Row],[Descripción del equipo]], FIND(" ", Tabla3890134177220392[[#This Row],[Descripción del equipo]] &amp; " ") - 1)</f>
        <v>Autoretractil</v>
      </c>
      <c r="C187" s="11" t="s">
        <v>1092</v>
      </c>
      <c r="D187">
        <v>1</v>
      </c>
      <c r="E187" s="11" t="s">
        <v>160</v>
      </c>
      <c r="F187" s="91" t="s">
        <v>1058</v>
      </c>
      <c r="G187" s="15" t="str">
        <f>LEFT([1]modificado!$O$2, FIND(" ", [1]modificado!$O$2 &amp; " ") - 1)</f>
        <v>3M</v>
      </c>
      <c r="H187" s="47" t="str">
        <f>RIGHT([1]!Tabla2[[#This Row],[Marca y Modelo]], LEN([1]!Tabla2[[#This Row],[Marca y Modelo]]) - FIND(" ", [1]!Tabla2[[#This Row],[Marca y Modelo]]))</f>
        <v>Nano Lok</v>
      </c>
      <c r="I187" s="76"/>
      <c r="J187" s="76"/>
      <c r="K187" s="91" t="s">
        <v>4076</v>
      </c>
      <c r="L187" s="91" t="s">
        <v>2798</v>
      </c>
      <c r="M187" s="91" t="s">
        <v>1404</v>
      </c>
      <c r="N187" s="91" t="s">
        <v>1601</v>
      </c>
      <c r="O187" s="77"/>
      <c r="P187" s="91" t="s">
        <v>2528</v>
      </c>
      <c r="Q187" s="32"/>
      <c r="R187" s="48" t="s">
        <v>216</v>
      </c>
      <c r="S187" s="32"/>
    </row>
    <row r="188" spans="2:19" x14ac:dyDescent="0.3">
      <c r="B188" t="str">
        <f>LEFT(Tabla3890134177220392[[#This Row],[Descripción del equipo]], FIND(" ", Tabla3890134177220392[[#This Row],[Descripción del equipo]] &amp; " ") - 1)</f>
        <v>Autoretractil</v>
      </c>
      <c r="C188" s="11" t="s">
        <v>1092</v>
      </c>
      <c r="D188">
        <v>1</v>
      </c>
      <c r="E188" s="11" t="s">
        <v>160</v>
      </c>
      <c r="F188" s="92" t="s">
        <v>1058</v>
      </c>
      <c r="G188" s="15" t="str">
        <f>LEFT([1]modificado!$O$2, FIND(" ", [1]modificado!$O$2 &amp; " ") - 1)</f>
        <v>3M</v>
      </c>
      <c r="H188" s="47" t="str">
        <f>RIGHT([1]!Tabla2[[#This Row],[Marca y Modelo]], LEN([1]!Tabla2[[#This Row],[Marca y Modelo]]) - FIND(" ", [1]!Tabla2[[#This Row],[Marca y Modelo]]))</f>
        <v>Nano Lok</v>
      </c>
      <c r="I188" s="76"/>
      <c r="J188" s="76"/>
      <c r="K188" s="92" t="s">
        <v>4076</v>
      </c>
      <c r="L188" s="92" t="s">
        <v>2799</v>
      </c>
      <c r="M188" s="92" t="s">
        <v>1404</v>
      </c>
      <c r="N188" s="92" t="s">
        <v>1602</v>
      </c>
      <c r="O188" s="77"/>
      <c r="P188" s="92" t="s">
        <v>2528</v>
      </c>
      <c r="Q188" s="32"/>
      <c r="R188" s="48" t="s">
        <v>216</v>
      </c>
      <c r="S188" s="32"/>
    </row>
    <row r="189" spans="2:19" x14ac:dyDescent="0.3">
      <c r="B189" t="str">
        <f>LEFT(Tabla3890134177220392[[#This Row],[Descripción del equipo]], FIND(" ", Tabla3890134177220392[[#This Row],[Descripción del equipo]] &amp; " ") - 1)</f>
        <v>Autoretractil</v>
      </c>
      <c r="C189" s="11" t="s">
        <v>1092</v>
      </c>
      <c r="D189">
        <v>1</v>
      </c>
      <c r="E189" s="11" t="s">
        <v>160</v>
      </c>
      <c r="F189" s="91" t="s">
        <v>1058</v>
      </c>
      <c r="G189" s="15" t="str">
        <f>LEFT([1]modificado!$O$2, FIND(" ", [1]modificado!$O$2 &amp; " ") - 1)</f>
        <v>3M</v>
      </c>
      <c r="H189" s="47" t="str">
        <f>RIGHT([1]!Tabla2[[#This Row],[Marca y Modelo]], LEN([1]!Tabla2[[#This Row],[Marca y Modelo]]) - FIND(" ", [1]!Tabla2[[#This Row],[Marca y Modelo]]))</f>
        <v>Nano Lok</v>
      </c>
      <c r="I189" s="76"/>
      <c r="J189" s="76"/>
      <c r="K189" s="91" t="s">
        <v>4077</v>
      </c>
      <c r="L189" s="91" t="s">
        <v>2800</v>
      </c>
      <c r="M189" s="91" t="s">
        <v>1404</v>
      </c>
      <c r="N189" s="91" t="s">
        <v>1603</v>
      </c>
      <c r="O189" s="77"/>
      <c r="P189" s="91" t="s">
        <v>2528</v>
      </c>
      <c r="Q189" s="32"/>
      <c r="R189" s="48" t="s">
        <v>216</v>
      </c>
      <c r="S189" s="32"/>
    </row>
    <row r="190" spans="2:19" x14ac:dyDescent="0.3">
      <c r="B190" t="str">
        <f>LEFT(Tabla3890134177220392[[#This Row],[Descripción del equipo]], FIND(" ", Tabla3890134177220392[[#This Row],[Descripción del equipo]] &amp; " ") - 1)</f>
        <v>Autoretractil</v>
      </c>
      <c r="C190" s="11" t="s">
        <v>1092</v>
      </c>
      <c r="D190">
        <v>1</v>
      </c>
      <c r="E190" s="11" t="s">
        <v>160</v>
      </c>
      <c r="F190" s="92" t="s">
        <v>1058</v>
      </c>
      <c r="G190" s="15" t="str">
        <f>LEFT([1]modificado!$O$2, FIND(" ", [1]modificado!$O$2 &amp; " ") - 1)</f>
        <v>3M</v>
      </c>
      <c r="H190" s="47" t="str">
        <f>RIGHT([1]!Tabla2[[#This Row],[Marca y Modelo]], LEN([1]!Tabla2[[#This Row],[Marca y Modelo]]) - FIND(" ", [1]!Tabla2[[#This Row],[Marca y Modelo]]))</f>
        <v>Nano Lok</v>
      </c>
      <c r="I190" s="76"/>
      <c r="J190" s="76"/>
      <c r="K190" s="92" t="s">
        <v>4077</v>
      </c>
      <c r="L190" s="92" t="s">
        <v>2801</v>
      </c>
      <c r="M190" s="92" t="s">
        <v>1404</v>
      </c>
      <c r="N190" s="92" t="s">
        <v>1604</v>
      </c>
      <c r="O190" s="77"/>
      <c r="P190" s="92" t="s">
        <v>2528</v>
      </c>
      <c r="Q190" s="32"/>
      <c r="R190" s="48" t="s">
        <v>216</v>
      </c>
      <c r="S190" s="32"/>
    </row>
    <row r="191" spans="2:19" x14ac:dyDescent="0.3">
      <c r="B191" t="str">
        <f>LEFT(Tabla3890134177220392[[#This Row],[Descripción del equipo]], FIND(" ", Tabla3890134177220392[[#This Row],[Descripción del equipo]] &amp; " ") - 1)</f>
        <v>Autoretractil</v>
      </c>
      <c r="C191" s="11" t="s">
        <v>1092</v>
      </c>
      <c r="D191">
        <v>1</v>
      </c>
      <c r="E191" s="11" t="s">
        <v>160</v>
      </c>
      <c r="F191" s="91" t="s">
        <v>1058</v>
      </c>
      <c r="G191" s="15" t="str">
        <f>LEFT([1]modificado!$O$2, FIND(" ", [1]modificado!$O$2 &amp; " ") - 1)</f>
        <v>3M</v>
      </c>
      <c r="H191" s="47" t="str">
        <f>RIGHT([1]!Tabla2[[#This Row],[Marca y Modelo]], LEN([1]!Tabla2[[#This Row],[Marca y Modelo]]) - FIND(" ", [1]!Tabla2[[#This Row],[Marca y Modelo]]))</f>
        <v>Nano Lok</v>
      </c>
      <c r="I191" s="76"/>
      <c r="J191" s="76"/>
      <c r="K191" s="91" t="s">
        <v>4077</v>
      </c>
      <c r="L191" s="91" t="s">
        <v>2802</v>
      </c>
      <c r="M191" s="91" t="s">
        <v>1404</v>
      </c>
      <c r="N191" s="91" t="s">
        <v>1605</v>
      </c>
      <c r="O191" s="77"/>
      <c r="P191" s="91" t="s">
        <v>2528</v>
      </c>
      <c r="Q191" s="32"/>
      <c r="R191" s="48" t="s">
        <v>216</v>
      </c>
      <c r="S191" s="32"/>
    </row>
    <row r="192" spans="2:19" x14ac:dyDescent="0.3">
      <c r="B192" t="str">
        <f>LEFT(Tabla3890134177220392[[#This Row],[Descripción del equipo]], FIND(" ", Tabla3890134177220392[[#This Row],[Descripción del equipo]] &amp; " ") - 1)</f>
        <v>Autoretractil</v>
      </c>
      <c r="C192" s="11" t="s">
        <v>1092</v>
      </c>
      <c r="D192">
        <v>1</v>
      </c>
      <c r="E192" s="11" t="s">
        <v>160</v>
      </c>
      <c r="F192" s="92" t="s">
        <v>1058</v>
      </c>
      <c r="G192" s="15" t="str">
        <f>LEFT([1]modificado!$O$2, FIND(" ", [1]modificado!$O$2 &amp; " ") - 1)</f>
        <v>3M</v>
      </c>
      <c r="H192" s="47" t="str">
        <f>RIGHT([1]!Tabla2[[#This Row],[Marca y Modelo]], LEN([1]!Tabla2[[#This Row],[Marca y Modelo]]) - FIND(" ", [1]!Tabla2[[#This Row],[Marca y Modelo]]))</f>
        <v>Nano Lok</v>
      </c>
      <c r="I192" s="76"/>
      <c r="J192" s="76"/>
      <c r="K192" s="92" t="s">
        <v>4077</v>
      </c>
      <c r="L192" s="92" t="s">
        <v>2803</v>
      </c>
      <c r="M192" s="92" t="s">
        <v>1404</v>
      </c>
      <c r="N192" s="92" t="s">
        <v>1606</v>
      </c>
      <c r="O192" s="77"/>
      <c r="P192" s="92" t="s">
        <v>2528</v>
      </c>
      <c r="Q192" s="32"/>
      <c r="R192" s="48" t="s">
        <v>216</v>
      </c>
      <c r="S192" s="32"/>
    </row>
    <row r="193" spans="2:19" x14ac:dyDescent="0.3">
      <c r="B193" t="str">
        <f>LEFT(Tabla3890134177220392[[#This Row],[Descripción del equipo]], FIND(" ", Tabla3890134177220392[[#This Row],[Descripción del equipo]] &amp; " ") - 1)</f>
        <v>Arnes</v>
      </c>
      <c r="C193" s="11" t="s">
        <v>1092</v>
      </c>
      <c r="D193">
        <v>1</v>
      </c>
      <c r="E193" s="11" t="s">
        <v>160</v>
      </c>
      <c r="F193" s="91" t="s">
        <v>1068</v>
      </c>
      <c r="G193" s="15" t="str">
        <f>LEFT([1]modificado!$O$2, FIND(" ", [1]modificado!$O$2 &amp; " ") - 1)</f>
        <v>3M</v>
      </c>
      <c r="H193" s="47" t="str">
        <f>RIGHT([1]!Tabla2[[#This Row],[Marca y Modelo]], LEN([1]!Tabla2[[#This Row],[Marca y Modelo]]) - FIND(" ", [1]!Tabla2[[#This Row],[Marca y Modelo]]))</f>
        <v>1104625</v>
      </c>
      <c r="I193" s="76"/>
      <c r="J193" s="76"/>
      <c r="K193" s="91" t="s">
        <v>4078</v>
      </c>
      <c r="L193" s="91" t="s">
        <v>2804</v>
      </c>
      <c r="M193" s="91" t="s">
        <v>1404</v>
      </c>
      <c r="N193" s="91" t="s">
        <v>1607</v>
      </c>
      <c r="O193" s="77"/>
      <c r="P193" s="91" t="s">
        <v>2528</v>
      </c>
      <c r="Q193" s="32"/>
      <c r="R193" s="48" t="s">
        <v>216</v>
      </c>
      <c r="S193" s="32"/>
    </row>
    <row r="194" spans="2:19" x14ac:dyDescent="0.3">
      <c r="B194" t="str">
        <f>LEFT(Tabla3890134177220392[[#This Row],[Descripción del equipo]], FIND(" ", Tabla3890134177220392[[#This Row],[Descripción del equipo]] &amp; " ") - 1)</f>
        <v>Arnes</v>
      </c>
      <c r="C194" s="11" t="s">
        <v>1092</v>
      </c>
      <c r="D194">
        <v>1</v>
      </c>
      <c r="E194" s="11" t="s">
        <v>160</v>
      </c>
      <c r="F194" s="92" t="s">
        <v>1068</v>
      </c>
      <c r="G194" s="15" t="str">
        <f>LEFT([1]modificado!$O$2, FIND(" ", [1]modificado!$O$2 &amp; " ") - 1)</f>
        <v>3M</v>
      </c>
      <c r="H194" s="47" t="str">
        <f>RIGHT([1]!Tabla2[[#This Row],[Marca y Modelo]], LEN([1]!Tabla2[[#This Row],[Marca y Modelo]]) - FIND(" ", [1]!Tabla2[[#This Row],[Marca y Modelo]]))</f>
        <v>1104625</v>
      </c>
      <c r="I194" s="76"/>
      <c r="J194" s="76"/>
      <c r="K194" s="92" t="s">
        <v>4078</v>
      </c>
      <c r="L194" s="92" t="s">
        <v>2805</v>
      </c>
      <c r="M194" s="92" t="s">
        <v>1404</v>
      </c>
      <c r="N194" s="92" t="s">
        <v>1608</v>
      </c>
      <c r="O194" s="77"/>
      <c r="P194" s="92" t="s">
        <v>2528</v>
      </c>
      <c r="Q194" s="32"/>
      <c r="R194" s="48" t="s">
        <v>216</v>
      </c>
      <c r="S194" s="32"/>
    </row>
    <row r="195" spans="2:19" x14ac:dyDescent="0.3">
      <c r="B195" t="s">
        <v>4348</v>
      </c>
      <c r="C195" s="11" t="s">
        <v>1092</v>
      </c>
      <c r="D195">
        <v>1</v>
      </c>
      <c r="E195" s="11" t="s">
        <v>160</v>
      </c>
      <c r="F195" s="91" t="s">
        <v>1057</v>
      </c>
      <c r="G195" s="15" t="str">
        <f>LEFT([1]modificado!$O$2, FIND(" ", [1]modificado!$O$2 &amp; " ") - 1)</f>
        <v>3M</v>
      </c>
      <c r="H195" s="47" t="str">
        <f>RIGHT([1]!Tabla2[[#This Row],[Marca y Modelo]], LEN([1]!Tabla2[[#This Row],[Marca y Modelo]]) - FIND(" ", [1]!Tabla2[[#This Row],[Marca y Modelo]]))</f>
        <v>1246245</v>
      </c>
      <c r="I195" s="76"/>
      <c r="J195" s="76"/>
      <c r="K195" s="91" t="s">
        <v>4079</v>
      </c>
      <c r="L195" s="91" t="s">
        <v>2806</v>
      </c>
      <c r="M195" s="91" t="s">
        <v>1404</v>
      </c>
      <c r="N195" s="91" t="s">
        <v>1609</v>
      </c>
      <c r="O195" s="77"/>
      <c r="P195" s="91" t="s">
        <v>2528</v>
      </c>
      <c r="Q195" s="32"/>
      <c r="R195" s="48" t="s">
        <v>216</v>
      </c>
      <c r="S195" s="32"/>
    </row>
    <row r="196" spans="2:19" x14ac:dyDescent="0.3">
      <c r="B196" t="s">
        <v>4348</v>
      </c>
      <c r="C196" s="11" t="s">
        <v>1092</v>
      </c>
      <c r="D196">
        <v>1</v>
      </c>
      <c r="E196" s="11" t="s">
        <v>160</v>
      </c>
      <c r="F196" s="92" t="s">
        <v>1057</v>
      </c>
      <c r="G196" s="15" t="str">
        <f>LEFT([1]modificado!$O$2, FIND(" ", [1]modificado!$O$2 &amp; " ") - 1)</f>
        <v>3M</v>
      </c>
      <c r="H196" s="47" t="str">
        <f>RIGHT([1]!Tabla2[[#This Row],[Marca y Modelo]], LEN([1]!Tabla2[[#This Row],[Marca y Modelo]]) - FIND(" ", [1]!Tabla2[[#This Row],[Marca y Modelo]]))</f>
        <v>1246245</v>
      </c>
      <c r="I196" s="76"/>
      <c r="J196" s="76"/>
      <c r="K196" s="92" t="s">
        <v>4079</v>
      </c>
      <c r="L196" s="92" t="s">
        <v>2807</v>
      </c>
      <c r="M196" s="92" t="s">
        <v>1404</v>
      </c>
      <c r="N196" s="92" t="s">
        <v>1610</v>
      </c>
      <c r="O196" s="77"/>
      <c r="P196" s="92" t="s">
        <v>2528</v>
      </c>
      <c r="Q196" s="32"/>
      <c r="R196" s="48" t="s">
        <v>216</v>
      </c>
      <c r="S196" s="32"/>
    </row>
    <row r="197" spans="2:19" x14ac:dyDescent="0.3">
      <c r="B197" t="s">
        <v>4348</v>
      </c>
      <c r="C197" s="11" t="s">
        <v>1092</v>
      </c>
      <c r="D197">
        <v>1</v>
      </c>
      <c r="E197" s="11" t="s">
        <v>160</v>
      </c>
      <c r="F197" s="91" t="s">
        <v>1057</v>
      </c>
      <c r="G197" s="15" t="str">
        <f>LEFT([1]modificado!$O$2, FIND(" ", [1]modificado!$O$2 &amp; " ") - 1)</f>
        <v>3M</v>
      </c>
      <c r="H197" s="47" t="str">
        <f>RIGHT([1]!Tabla2[[#This Row],[Marca y Modelo]], LEN([1]!Tabla2[[#This Row],[Marca y Modelo]]) - FIND(" ", [1]!Tabla2[[#This Row],[Marca y Modelo]]))</f>
        <v>1246245</v>
      </c>
      <c r="I197" s="76"/>
      <c r="J197" s="76"/>
      <c r="K197" s="91" t="s">
        <v>4079</v>
      </c>
      <c r="L197" s="91" t="s">
        <v>2808</v>
      </c>
      <c r="M197" s="91" t="s">
        <v>1404</v>
      </c>
      <c r="N197" s="91" t="s">
        <v>1611</v>
      </c>
      <c r="O197" s="77"/>
      <c r="P197" s="91" t="s">
        <v>2528</v>
      </c>
      <c r="Q197" s="32"/>
      <c r="R197" s="48" t="s">
        <v>216</v>
      </c>
      <c r="S197" s="32"/>
    </row>
    <row r="198" spans="2:19" x14ac:dyDescent="0.3">
      <c r="B198" t="str">
        <f>LEFT(Tabla3890134177220392[[#This Row],[Descripción del equipo]], FIND(" ", Tabla3890134177220392[[#This Row],[Descripción del equipo]] &amp; " ") - 1)</f>
        <v>Arnes</v>
      </c>
      <c r="C198" s="11" t="s">
        <v>1092</v>
      </c>
      <c r="D198">
        <v>1</v>
      </c>
      <c r="E198" s="11" t="s">
        <v>160</v>
      </c>
      <c r="F198" s="92" t="s">
        <v>1056</v>
      </c>
      <c r="G198" s="15" t="str">
        <f>LEFT([1]modificado!$O$2, FIND(" ", [1]modificado!$O$2 &amp; " ") - 1)</f>
        <v>3M</v>
      </c>
      <c r="H198" s="47" t="str">
        <f>RIGHT([1]!Tabla2[[#This Row],[Marca y Modelo]], LEN([1]!Tabla2[[#This Row],[Marca y Modelo]]) - FIND(" ", [1]!Tabla2[[#This Row],[Marca y Modelo]]))</f>
        <v>Basic Lion</v>
      </c>
      <c r="I198" s="76"/>
      <c r="J198" s="76"/>
      <c r="K198" s="92" t="s">
        <v>4080</v>
      </c>
      <c r="L198" s="92" t="s">
        <v>2809</v>
      </c>
      <c r="M198" s="92" t="s">
        <v>1404</v>
      </c>
      <c r="N198" s="92" t="s">
        <v>1612</v>
      </c>
      <c r="O198" s="77"/>
      <c r="P198" s="92" t="s">
        <v>2528</v>
      </c>
      <c r="Q198" s="32"/>
      <c r="R198" s="48" t="s">
        <v>216</v>
      </c>
      <c r="S198" s="32"/>
    </row>
    <row r="199" spans="2:19" x14ac:dyDescent="0.3">
      <c r="B199" t="str">
        <f>LEFT(Tabla3890134177220392[[#This Row],[Descripción del equipo]], FIND(" ", Tabla3890134177220392[[#This Row],[Descripción del equipo]] &amp; " ") - 1)</f>
        <v>Arnes</v>
      </c>
      <c r="C199" s="11" t="s">
        <v>1092</v>
      </c>
      <c r="D199">
        <v>1</v>
      </c>
      <c r="E199" s="11" t="s">
        <v>160</v>
      </c>
      <c r="F199" s="91" t="s">
        <v>1056</v>
      </c>
      <c r="G199" s="15" t="str">
        <f>LEFT([1]modificado!$O$2, FIND(" ", [1]modificado!$O$2 &amp; " ") - 1)</f>
        <v>3M</v>
      </c>
      <c r="H199" s="47" t="str">
        <f>RIGHT([1]!Tabla2[[#This Row],[Marca y Modelo]], LEN([1]!Tabla2[[#This Row],[Marca y Modelo]]) - FIND(" ", [1]!Tabla2[[#This Row],[Marca y Modelo]]))</f>
        <v>Basic Lion</v>
      </c>
      <c r="I199" s="76"/>
      <c r="J199" s="76"/>
      <c r="K199" s="91" t="s">
        <v>4080</v>
      </c>
      <c r="L199" s="91" t="s">
        <v>2810</v>
      </c>
      <c r="M199" s="91" t="s">
        <v>1404</v>
      </c>
      <c r="N199" s="91" t="s">
        <v>1613</v>
      </c>
      <c r="O199" s="77"/>
      <c r="P199" s="91" t="s">
        <v>2528</v>
      </c>
      <c r="Q199" s="32"/>
      <c r="R199" s="48" t="s">
        <v>216</v>
      </c>
      <c r="S199" s="32"/>
    </row>
    <row r="200" spans="2:19" x14ac:dyDescent="0.3">
      <c r="B200" t="str">
        <f>LEFT(Tabla3890134177220392[[#This Row],[Descripción del equipo]], FIND(" ", Tabla3890134177220392[[#This Row],[Descripción del equipo]] &amp; " ") - 1)</f>
        <v>Arnes</v>
      </c>
      <c r="C200" s="11" t="s">
        <v>1092</v>
      </c>
      <c r="D200">
        <v>1</v>
      </c>
      <c r="E200" s="11" t="s">
        <v>160</v>
      </c>
      <c r="F200" s="92" t="s">
        <v>1056</v>
      </c>
      <c r="G200" s="15" t="str">
        <f>LEFT([1]modificado!$O$2, FIND(" ", [1]modificado!$O$2 &amp; " ") - 1)</f>
        <v>3M</v>
      </c>
      <c r="H200" s="47" t="str">
        <f>RIGHT([1]!Tabla2[[#This Row],[Marca y Modelo]], LEN([1]!Tabla2[[#This Row],[Marca y Modelo]]) - FIND(" ", [1]!Tabla2[[#This Row],[Marca y Modelo]]))</f>
        <v>Basic Lion</v>
      </c>
      <c r="I200" s="76"/>
      <c r="J200" s="76"/>
      <c r="K200" s="92" t="s">
        <v>4080</v>
      </c>
      <c r="L200" s="92" t="s">
        <v>2811</v>
      </c>
      <c r="M200" s="92" t="s">
        <v>1404</v>
      </c>
      <c r="N200" s="92" t="s">
        <v>1614</v>
      </c>
      <c r="O200" s="77"/>
      <c r="P200" s="92" t="s">
        <v>2528</v>
      </c>
      <c r="Q200" s="32"/>
      <c r="R200" s="48" t="s">
        <v>216</v>
      </c>
      <c r="S200" s="32"/>
    </row>
    <row r="201" spans="2:19" x14ac:dyDescent="0.3">
      <c r="B201" t="str">
        <f>LEFT(Tabla3890134177220392[[#This Row],[Descripción del equipo]], FIND(" ", Tabla3890134177220392[[#This Row],[Descripción del equipo]] &amp; " ") - 1)</f>
        <v>Arnes</v>
      </c>
      <c r="C201" s="11" t="s">
        <v>1092</v>
      </c>
      <c r="D201">
        <v>1</v>
      </c>
      <c r="E201" s="11" t="s">
        <v>160</v>
      </c>
      <c r="F201" s="91" t="s">
        <v>1056</v>
      </c>
      <c r="G201" s="15" t="str">
        <f>LEFT([1]modificado!$O$2, FIND(" ", [1]modificado!$O$2 &amp; " ") - 1)</f>
        <v>3M</v>
      </c>
      <c r="H201" s="47" t="str">
        <f>RIGHT([1]!Tabla2[[#This Row],[Marca y Modelo]], LEN([1]!Tabla2[[#This Row],[Marca y Modelo]]) - FIND(" ", [1]!Tabla2[[#This Row],[Marca y Modelo]]))</f>
        <v>Basic Tiger</v>
      </c>
      <c r="I201" s="76"/>
      <c r="J201" s="76"/>
      <c r="K201" s="91" t="s">
        <v>4080</v>
      </c>
      <c r="L201" s="91" t="s">
        <v>2812</v>
      </c>
      <c r="M201" s="91" t="s">
        <v>1404</v>
      </c>
      <c r="N201" s="91" t="s">
        <v>1615</v>
      </c>
      <c r="O201" s="77"/>
      <c r="P201" s="91" t="s">
        <v>2528</v>
      </c>
      <c r="Q201" s="32"/>
      <c r="R201" s="48" t="s">
        <v>216</v>
      </c>
      <c r="S201" s="32"/>
    </row>
    <row r="202" spans="2:19" x14ac:dyDescent="0.3">
      <c r="B202" t="str">
        <f>LEFT(Tabla3890134177220392[[#This Row],[Descripción del equipo]], FIND(" ", Tabla3890134177220392[[#This Row],[Descripción del equipo]] &amp; " ") - 1)</f>
        <v>Arnes</v>
      </c>
      <c r="C202" s="11" t="s">
        <v>1092</v>
      </c>
      <c r="D202">
        <v>1</v>
      </c>
      <c r="E202" s="11" t="s">
        <v>160</v>
      </c>
      <c r="F202" s="92" t="s">
        <v>1056</v>
      </c>
      <c r="G202" s="15" t="str">
        <f>LEFT([1]modificado!$O$2, FIND(" ", [1]modificado!$O$2 &amp; " ") - 1)</f>
        <v>3M</v>
      </c>
      <c r="H202" s="47" t="str">
        <f>RIGHT([1]!Tabla2[[#This Row],[Marca y Modelo]], LEN([1]!Tabla2[[#This Row],[Marca y Modelo]]) - FIND(" ", [1]!Tabla2[[#This Row],[Marca y Modelo]]))</f>
        <v>Basic Tiger</v>
      </c>
      <c r="I202" s="76"/>
      <c r="J202" s="76"/>
      <c r="K202" s="92" t="s">
        <v>4080</v>
      </c>
      <c r="L202" s="92" t="s">
        <v>2813</v>
      </c>
      <c r="M202" s="92" t="s">
        <v>1404</v>
      </c>
      <c r="N202" s="92" t="s">
        <v>1616</v>
      </c>
      <c r="O202" s="77"/>
      <c r="P202" s="92" t="s">
        <v>2528</v>
      </c>
      <c r="Q202" s="32"/>
      <c r="R202" s="48" t="s">
        <v>216</v>
      </c>
      <c r="S202" s="32"/>
    </row>
    <row r="203" spans="2:19" x14ac:dyDescent="0.3">
      <c r="B203" t="str">
        <f>LEFT(Tabla3890134177220392[[#This Row],[Descripción del equipo]], FIND(" ", Tabla3890134177220392[[#This Row],[Descripción del equipo]] &amp; " ") - 1)</f>
        <v>Arnes</v>
      </c>
      <c r="C203" s="11" t="s">
        <v>1092</v>
      </c>
      <c r="D203">
        <v>1</v>
      </c>
      <c r="E203" s="11" t="s">
        <v>160</v>
      </c>
      <c r="F203" s="91" t="s">
        <v>1056</v>
      </c>
      <c r="G203" s="15" t="str">
        <f>LEFT([1]modificado!$O$2, FIND(" ", [1]modificado!$O$2 &amp; " ") - 1)</f>
        <v>3M</v>
      </c>
      <c r="H203" s="47" t="str">
        <f>RIGHT([1]!Tabla2[[#This Row],[Marca y Modelo]], LEN([1]!Tabla2[[#This Row],[Marca y Modelo]]) - FIND(" ", [1]!Tabla2[[#This Row],[Marca y Modelo]]))</f>
        <v>Basic Lion</v>
      </c>
      <c r="I203" s="76"/>
      <c r="J203" s="76"/>
      <c r="K203" s="91" t="s">
        <v>4080</v>
      </c>
      <c r="L203" s="91" t="s">
        <v>2814</v>
      </c>
      <c r="M203" s="91" t="s">
        <v>1404</v>
      </c>
      <c r="N203" s="91" t="s">
        <v>1617</v>
      </c>
      <c r="O203" s="77"/>
      <c r="P203" s="91" t="s">
        <v>2528</v>
      </c>
      <c r="Q203" s="32"/>
      <c r="R203" s="48" t="s">
        <v>216</v>
      </c>
      <c r="S203" s="32"/>
    </row>
    <row r="204" spans="2:19" x14ac:dyDescent="0.3">
      <c r="B204" t="str">
        <f>LEFT(Tabla3890134177220392[[#This Row],[Descripción del equipo]], FIND(" ", Tabla3890134177220392[[#This Row],[Descripción del equipo]] &amp; " ") - 1)</f>
        <v>Arnes</v>
      </c>
      <c r="C204" s="11" t="s">
        <v>1092</v>
      </c>
      <c r="D204">
        <v>1</v>
      </c>
      <c r="E204" s="11" t="s">
        <v>160</v>
      </c>
      <c r="F204" s="92" t="s">
        <v>1056</v>
      </c>
      <c r="G204" s="15" t="str">
        <f>LEFT([1]modificado!$O$2, FIND(" ", [1]modificado!$O$2 &amp; " ") - 1)</f>
        <v>3M</v>
      </c>
      <c r="H204" s="47" t="str">
        <f>RIGHT([1]!Tabla2[[#This Row],[Marca y Modelo]], LEN([1]!Tabla2[[#This Row],[Marca y Modelo]]) - FIND(" ", [1]!Tabla2[[#This Row],[Marca y Modelo]]))</f>
        <v>Basic Tiger</v>
      </c>
      <c r="I204" s="76"/>
      <c r="J204" s="76"/>
      <c r="K204" s="92" t="s">
        <v>4080</v>
      </c>
      <c r="L204" s="92" t="s">
        <v>2815</v>
      </c>
      <c r="M204" s="92" t="s">
        <v>1404</v>
      </c>
      <c r="N204" s="92" t="s">
        <v>1618</v>
      </c>
      <c r="O204" s="77"/>
      <c r="P204" s="92" t="s">
        <v>2528</v>
      </c>
      <c r="Q204" s="32"/>
      <c r="R204" s="48" t="s">
        <v>216</v>
      </c>
      <c r="S204" s="32"/>
    </row>
    <row r="205" spans="2:19" x14ac:dyDescent="0.3">
      <c r="B205" t="str">
        <f>LEFT(Tabla3890134177220392[[#This Row],[Descripción del equipo]], FIND(" ", Tabla3890134177220392[[#This Row],[Descripción del equipo]] &amp; " ") - 1)</f>
        <v>Arnes</v>
      </c>
      <c r="C205" s="11" t="s">
        <v>1092</v>
      </c>
      <c r="D205">
        <v>1</v>
      </c>
      <c r="E205" s="11" t="s">
        <v>160</v>
      </c>
      <c r="F205" s="91" t="s">
        <v>1056</v>
      </c>
      <c r="G205" s="15" t="str">
        <f>LEFT([1]modificado!$O$2, FIND(" ", [1]modificado!$O$2 &amp; " ") - 1)</f>
        <v>3M</v>
      </c>
      <c r="H205" s="47" t="str">
        <f>RIGHT([1]!Tabla2[[#This Row],[Marca y Modelo]], LEN([1]!Tabla2[[#This Row],[Marca y Modelo]]) - FIND(" ", [1]!Tabla2[[#This Row],[Marca y Modelo]]))</f>
        <v>Basic Tiger</v>
      </c>
      <c r="I205" s="76"/>
      <c r="J205" s="76"/>
      <c r="K205" s="91" t="s">
        <v>4080</v>
      </c>
      <c r="L205" s="91" t="s">
        <v>2816</v>
      </c>
      <c r="M205" s="91" t="s">
        <v>1404</v>
      </c>
      <c r="N205" s="91" t="s">
        <v>1619</v>
      </c>
      <c r="O205" s="77"/>
      <c r="P205" s="91" t="s">
        <v>2528</v>
      </c>
      <c r="Q205" s="32"/>
      <c r="R205" s="48" t="s">
        <v>216</v>
      </c>
      <c r="S205" s="32"/>
    </row>
    <row r="206" spans="2:19" x14ac:dyDescent="0.3">
      <c r="B206" t="str">
        <f>LEFT(Tabla3890134177220392[[#This Row],[Descripción del equipo]], FIND(" ", Tabla3890134177220392[[#This Row],[Descripción del equipo]] &amp; " ") - 1)</f>
        <v>Arnes</v>
      </c>
      <c r="C206" s="11" t="s">
        <v>1092</v>
      </c>
      <c r="D206">
        <v>1</v>
      </c>
      <c r="E206" s="11" t="s">
        <v>160</v>
      </c>
      <c r="F206" s="92" t="s">
        <v>1056</v>
      </c>
      <c r="G206" s="15" t="str">
        <f>LEFT([1]modificado!$O$2, FIND(" ", [1]modificado!$O$2 &amp; " ") - 1)</f>
        <v>3M</v>
      </c>
      <c r="H206" s="47" t="str">
        <f>RIGHT([1]!Tabla2[[#This Row],[Marca y Modelo]], LEN([1]!Tabla2[[#This Row],[Marca y Modelo]]) - FIND(" ", [1]!Tabla2[[#This Row],[Marca y Modelo]]))</f>
        <v>Basic Lion</v>
      </c>
      <c r="I206" s="76"/>
      <c r="J206" s="76"/>
      <c r="K206" s="92" t="s">
        <v>4080</v>
      </c>
      <c r="L206" s="92" t="s">
        <v>2817</v>
      </c>
      <c r="M206" s="92" t="s">
        <v>1404</v>
      </c>
      <c r="N206" s="92" t="s">
        <v>1620</v>
      </c>
      <c r="O206" s="77"/>
      <c r="P206" s="92" t="s">
        <v>2528</v>
      </c>
      <c r="Q206" s="32"/>
      <c r="R206" s="48" t="s">
        <v>216</v>
      </c>
      <c r="S206" s="32"/>
    </row>
    <row r="207" spans="2:19" x14ac:dyDescent="0.3">
      <c r="B207" t="str">
        <f>LEFT(Tabla3890134177220392[[#This Row],[Descripción del equipo]], FIND(" ", Tabla3890134177220392[[#This Row],[Descripción del equipo]] &amp; " ") - 1)</f>
        <v>Arnes</v>
      </c>
      <c r="C207" s="11" t="s">
        <v>1092</v>
      </c>
      <c r="D207">
        <v>1</v>
      </c>
      <c r="E207" s="11" t="s">
        <v>160</v>
      </c>
      <c r="F207" s="91" t="s">
        <v>1056</v>
      </c>
      <c r="G207" s="15" t="str">
        <f>LEFT([1]modificado!$O$2, FIND(" ", [1]modificado!$O$2 &amp; " ") - 1)</f>
        <v>3M</v>
      </c>
      <c r="H207" s="47" t="str">
        <f>RIGHT([1]!Tabla2[[#This Row],[Marca y Modelo]], LEN([1]!Tabla2[[#This Row],[Marca y Modelo]]) - FIND(" ", [1]!Tabla2[[#This Row],[Marca y Modelo]]))</f>
        <v>Basic Lion</v>
      </c>
      <c r="I207" s="76"/>
      <c r="J207" s="76"/>
      <c r="K207" s="91" t="s">
        <v>4080</v>
      </c>
      <c r="L207" s="91" t="s">
        <v>2818</v>
      </c>
      <c r="M207" s="91" t="s">
        <v>1404</v>
      </c>
      <c r="N207" s="91" t="s">
        <v>1621</v>
      </c>
      <c r="O207" s="77"/>
      <c r="P207" s="91" t="s">
        <v>2528</v>
      </c>
      <c r="Q207" s="32"/>
      <c r="R207" s="48" t="s">
        <v>216</v>
      </c>
      <c r="S207" s="32"/>
    </row>
    <row r="208" spans="2:19" x14ac:dyDescent="0.3">
      <c r="B208" t="str">
        <f>LEFT(Tabla3890134177220392[[#This Row],[Descripción del equipo]], FIND(" ", Tabla3890134177220392[[#This Row],[Descripción del equipo]] &amp; " ") - 1)</f>
        <v>Arnes</v>
      </c>
      <c r="C208" s="11" t="s">
        <v>1092</v>
      </c>
      <c r="D208">
        <v>1</v>
      </c>
      <c r="E208" s="11" t="s">
        <v>160</v>
      </c>
      <c r="F208" s="92" t="s">
        <v>1056</v>
      </c>
      <c r="G208" s="15" t="str">
        <f>LEFT([1]modificado!$O$2, FIND(" ", [1]modificado!$O$2 &amp; " ") - 1)</f>
        <v>3M</v>
      </c>
      <c r="H208" s="47" t="str">
        <f>RIGHT([1]!Tabla2[[#This Row],[Marca y Modelo]], LEN([1]!Tabla2[[#This Row],[Marca y Modelo]]) - FIND(" ", [1]!Tabla2[[#This Row],[Marca y Modelo]]))</f>
        <v>Basic Lion</v>
      </c>
      <c r="I208" s="76"/>
      <c r="J208" s="76"/>
      <c r="K208" s="92" t="s">
        <v>4080</v>
      </c>
      <c r="L208" s="92" t="s">
        <v>2819</v>
      </c>
      <c r="M208" s="92" t="s">
        <v>1404</v>
      </c>
      <c r="N208" s="92" t="s">
        <v>1622</v>
      </c>
      <c r="O208" s="77"/>
      <c r="P208" s="92" t="s">
        <v>2528</v>
      </c>
      <c r="Q208" s="32"/>
      <c r="R208" s="48" t="s">
        <v>216</v>
      </c>
      <c r="S208" s="32"/>
    </row>
    <row r="209" spans="2:19" x14ac:dyDescent="0.3">
      <c r="B209" t="str">
        <f>LEFT(Tabla3890134177220392[[#This Row],[Descripción del equipo]], FIND(" ", Tabla3890134177220392[[#This Row],[Descripción del equipo]] &amp; " ") - 1)</f>
        <v>Arnes</v>
      </c>
      <c r="C209" s="11" t="s">
        <v>1092</v>
      </c>
      <c r="D209">
        <v>1</v>
      </c>
      <c r="E209" s="11" t="s">
        <v>160</v>
      </c>
      <c r="F209" s="91" t="s">
        <v>1056</v>
      </c>
      <c r="G209" s="15" t="str">
        <f>LEFT([1]modificado!$O$2, FIND(" ", [1]modificado!$O$2 &amp; " ") - 1)</f>
        <v>3M</v>
      </c>
      <c r="H209" s="47" t="str">
        <f>RIGHT([1]!Tabla2[[#This Row],[Marca y Modelo]], LEN([1]!Tabla2[[#This Row],[Marca y Modelo]]) - FIND(" ", [1]!Tabla2[[#This Row],[Marca y Modelo]]))</f>
        <v>Basic Lion</v>
      </c>
      <c r="I209" s="76"/>
      <c r="J209" s="76"/>
      <c r="K209" s="91" t="s">
        <v>4080</v>
      </c>
      <c r="L209" s="91" t="s">
        <v>2820</v>
      </c>
      <c r="M209" s="91" t="s">
        <v>1404</v>
      </c>
      <c r="N209" s="91" t="s">
        <v>1623</v>
      </c>
      <c r="O209" s="77"/>
      <c r="P209" s="91" t="s">
        <v>2528</v>
      </c>
      <c r="Q209" s="32"/>
      <c r="R209" s="48" t="s">
        <v>216</v>
      </c>
      <c r="S209" s="32"/>
    </row>
    <row r="210" spans="2:19" x14ac:dyDescent="0.3">
      <c r="B210" t="str">
        <f>LEFT(Tabla3890134177220392[[#This Row],[Descripción del equipo]], FIND(" ", Tabla3890134177220392[[#This Row],[Descripción del equipo]] &amp; " ") - 1)</f>
        <v>Arnes</v>
      </c>
      <c r="C210" s="11" t="s">
        <v>1092</v>
      </c>
      <c r="D210">
        <v>1</v>
      </c>
      <c r="E210" s="11" t="s">
        <v>160</v>
      </c>
      <c r="F210" s="92" t="s">
        <v>1056</v>
      </c>
      <c r="G210" s="15" t="str">
        <f>LEFT([1]modificado!$O$2, FIND(" ", [1]modificado!$O$2 &amp; " ") - 1)</f>
        <v>3M</v>
      </c>
      <c r="H210" s="47" t="str">
        <f>RIGHT([1]!Tabla2[[#This Row],[Marca y Modelo]], LEN([1]!Tabla2[[#This Row],[Marca y Modelo]]) - FIND(" ", [1]!Tabla2[[#This Row],[Marca y Modelo]]))</f>
        <v>Basic Lion</v>
      </c>
      <c r="I210" s="76"/>
      <c r="J210" s="76"/>
      <c r="K210" s="92" t="s">
        <v>4080</v>
      </c>
      <c r="L210" s="92" t="s">
        <v>2821</v>
      </c>
      <c r="M210" s="92" t="s">
        <v>1404</v>
      </c>
      <c r="N210" s="92" t="s">
        <v>1624</v>
      </c>
      <c r="O210" s="77"/>
      <c r="P210" s="92" t="s">
        <v>2528</v>
      </c>
      <c r="Q210" s="32"/>
      <c r="R210" s="48" t="s">
        <v>216</v>
      </c>
      <c r="S210" s="32"/>
    </row>
    <row r="211" spans="2:19" x14ac:dyDescent="0.3">
      <c r="B211" t="str">
        <f>LEFT(Tabla3890134177220392[[#This Row],[Descripción del equipo]], FIND(" ", Tabla3890134177220392[[#This Row],[Descripción del equipo]] &amp; " ") - 1)</f>
        <v>Arnes</v>
      </c>
      <c r="C211" s="11" t="s">
        <v>1092</v>
      </c>
      <c r="D211">
        <v>1</v>
      </c>
      <c r="E211" s="11" t="s">
        <v>160</v>
      </c>
      <c r="F211" s="91" t="s">
        <v>1068</v>
      </c>
      <c r="G211" s="15" t="str">
        <f>LEFT([1]modificado!$O$2, FIND(" ", [1]modificado!$O$2 &amp; " ") - 1)</f>
        <v>3M</v>
      </c>
      <c r="H211" s="47" t="str">
        <f>RIGHT([1]!Tabla2[[#This Row],[Marca y Modelo]], LEN([1]!Tabla2[[#This Row],[Marca y Modelo]]) - FIND(" ", [1]!Tabla2[[#This Row],[Marca y Modelo]]))</f>
        <v>1021-LOGO</v>
      </c>
      <c r="I211" s="76"/>
      <c r="J211" s="76"/>
      <c r="K211" s="91" t="s">
        <v>4080</v>
      </c>
      <c r="L211" s="91" t="s">
        <v>2822</v>
      </c>
      <c r="M211" s="91" t="s">
        <v>1404</v>
      </c>
      <c r="N211" s="91" t="s">
        <v>1625</v>
      </c>
      <c r="O211" s="77"/>
      <c r="P211" s="91" t="s">
        <v>2528</v>
      </c>
      <c r="Q211" s="32"/>
      <c r="R211" s="48" t="s">
        <v>216</v>
      </c>
      <c r="S211" s="32"/>
    </row>
    <row r="212" spans="2:19" x14ac:dyDescent="0.3">
      <c r="B212" t="str">
        <f>LEFT(Tabla3890134177220392[[#This Row],[Descripción del equipo]], FIND(" ", Tabla3890134177220392[[#This Row],[Descripción del equipo]] &amp; " ") - 1)</f>
        <v>Arnes</v>
      </c>
      <c r="C212" s="11" t="s">
        <v>1092</v>
      </c>
      <c r="D212">
        <v>1</v>
      </c>
      <c r="E212" s="11" t="s">
        <v>160</v>
      </c>
      <c r="F212" s="92" t="s">
        <v>1056</v>
      </c>
      <c r="G212" s="15" t="str">
        <f>LEFT([1]modificado!$O$2, FIND(" ", [1]modificado!$O$2 &amp; " ") - 1)</f>
        <v>3M</v>
      </c>
      <c r="H212" s="47" t="str">
        <f>RIGHT([1]!Tabla2[[#This Row],[Marca y Modelo]], LEN([1]!Tabla2[[#This Row],[Marca y Modelo]]) - FIND(" ", [1]!Tabla2[[#This Row],[Marca y Modelo]]))</f>
        <v>Basic Tiger</v>
      </c>
      <c r="I212" s="76"/>
      <c r="J212" s="76"/>
      <c r="K212" s="92" t="s">
        <v>4080</v>
      </c>
      <c r="L212" s="92" t="s">
        <v>2823</v>
      </c>
      <c r="M212" s="92" t="s">
        <v>1404</v>
      </c>
      <c r="N212" s="92" t="s">
        <v>1626</v>
      </c>
      <c r="O212" s="77"/>
      <c r="P212" s="92" t="s">
        <v>2528</v>
      </c>
      <c r="Q212" s="32"/>
      <c r="R212" s="48" t="s">
        <v>216</v>
      </c>
      <c r="S212" s="32"/>
    </row>
    <row r="213" spans="2:19" x14ac:dyDescent="0.3">
      <c r="B213" t="str">
        <f>LEFT(Tabla3890134177220392[[#This Row],[Descripción del equipo]], FIND(" ", Tabla3890134177220392[[#This Row],[Descripción del equipo]] &amp; " ") - 1)</f>
        <v>Arnes</v>
      </c>
      <c r="C213" s="11" t="s">
        <v>1092</v>
      </c>
      <c r="D213">
        <v>1</v>
      </c>
      <c r="E213" s="11" t="s">
        <v>160</v>
      </c>
      <c r="F213" s="91" t="s">
        <v>1056</v>
      </c>
      <c r="G213" s="15" t="str">
        <f>LEFT([1]modificado!$O$2, FIND(" ", [1]modificado!$O$2 &amp; " ") - 1)</f>
        <v>3M</v>
      </c>
      <c r="H213" s="47" t="str">
        <f>RIGHT([1]!Tabla2[[#This Row],[Marca y Modelo]], LEN([1]!Tabla2[[#This Row],[Marca y Modelo]]) - FIND(" ", [1]!Tabla2[[#This Row],[Marca y Modelo]]))</f>
        <v>Basic Lion</v>
      </c>
      <c r="I213" s="76"/>
      <c r="J213" s="76"/>
      <c r="K213" s="91" t="s">
        <v>4080</v>
      </c>
      <c r="L213" s="91" t="s">
        <v>2824</v>
      </c>
      <c r="M213" s="91" t="s">
        <v>1404</v>
      </c>
      <c r="N213" s="91" t="s">
        <v>1627</v>
      </c>
      <c r="O213" s="77"/>
      <c r="P213" s="91" t="s">
        <v>2528</v>
      </c>
      <c r="Q213" s="32"/>
      <c r="R213" s="48" t="s">
        <v>216</v>
      </c>
      <c r="S213" s="32"/>
    </row>
    <row r="214" spans="2:19" x14ac:dyDescent="0.3">
      <c r="B214" t="str">
        <f>LEFT(Tabla3890134177220392[[#This Row],[Descripción del equipo]], FIND(" ", Tabla3890134177220392[[#This Row],[Descripción del equipo]] &amp; " ") - 1)</f>
        <v>Arnes</v>
      </c>
      <c r="C214" s="11" t="s">
        <v>1092</v>
      </c>
      <c r="D214">
        <v>1</v>
      </c>
      <c r="E214" s="11" t="s">
        <v>160</v>
      </c>
      <c r="F214" s="92" t="s">
        <v>1056</v>
      </c>
      <c r="G214" s="15" t="str">
        <f>LEFT([1]modificado!$O$2, FIND(" ", [1]modificado!$O$2 &amp; " ") - 1)</f>
        <v>3M</v>
      </c>
      <c r="H214" s="47" t="str">
        <f>RIGHT([1]!Tabla2[[#This Row],[Marca y Modelo]], LEN([1]!Tabla2[[#This Row],[Marca y Modelo]]) - FIND(" ", [1]!Tabla2[[#This Row],[Marca y Modelo]]))</f>
        <v>Basic Lion</v>
      </c>
      <c r="I214" s="76"/>
      <c r="J214" s="76"/>
      <c r="K214" s="92" t="s">
        <v>4080</v>
      </c>
      <c r="L214" s="92" t="s">
        <v>2825</v>
      </c>
      <c r="M214" s="92" t="s">
        <v>1404</v>
      </c>
      <c r="N214" s="92" t="s">
        <v>1628</v>
      </c>
      <c r="O214" s="77"/>
      <c r="P214" s="92" t="s">
        <v>2528</v>
      </c>
      <c r="Q214" s="32"/>
      <c r="R214" s="48" t="s">
        <v>216</v>
      </c>
      <c r="S214" s="32"/>
    </row>
    <row r="215" spans="2:19" x14ac:dyDescent="0.3">
      <c r="B215" t="str">
        <f>LEFT(Tabla3890134177220392[[#This Row],[Descripción del equipo]], FIND(" ", Tabla3890134177220392[[#This Row],[Descripción del equipo]] &amp; " ") - 1)</f>
        <v>Arnes</v>
      </c>
      <c r="C215" s="11" t="s">
        <v>1092</v>
      </c>
      <c r="D215">
        <v>1</v>
      </c>
      <c r="E215" s="11" t="s">
        <v>160</v>
      </c>
      <c r="F215" s="91" t="s">
        <v>1056</v>
      </c>
      <c r="G215" s="15" t="str">
        <f>LEFT([1]modificado!$O$2, FIND(" ", [1]modificado!$O$2 &amp; " ") - 1)</f>
        <v>3M</v>
      </c>
      <c r="H215" s="47" t="str">
        <f>RIGHT([1]!Tabla2[[#This Row],[Marca y Modelo]], LEN([1]!Tabla2[[#This Row],[Marca y Modelo]]) - FIND(" ", [1]!Tabla2[[#This Row],[Marca y Modelo]]))</f>
        <v>Basic Tiger</v>
      </c>
      <c r="I215" s="76"/>
      <c r="J215" s="76"/>
      <c r="K215" s="91" t="s">
        <v>4080</v>
      </c>
      <c r="L215" s="91" t="s">
        <v>2826</v>
      </c>
      <c r="M215" s="91" t="s">
        <v>1404</v>
      </c>
      <c r="N215" s="91" t="s">
        <v>1629</v>
      </c>
      <c r="O215" s="77"/>
      <c r="P215" s="91" t="s">
        <v>2528</v>
      </c>
      <c r="Q215" s="32"/>
      <c r="R215" s="48" t="s">
        <v>216</v>
      </c>
      <c r="S215" s="32"/>
    </row>
    <row r="216" spans="2:19" x14ac:dyDescent="0.3">
      <c r="B216" t="str">
        <f>LEFT(Tabla3890134177220392[[#This Row],[Descripción del equipo]], FIND(" ", Tabla3890134177220392[[#This Row],[Descripción del equipo]] &amp; " ") - 1)</f>
        <v>Arnes</v>
      </c>
      <c r="C216" s="11" t="s">
        <v>1092</v>
      </c>
      <c r="D216">
        <v>1</v>
      </c>
      <c r="E216" s="11" t="s">
        <v>160</v>
      </c>
      <c r="F216" s="92" t="s">
        <v>1056</v>
      </c>
      <c r="G216" s="15" t="str">
        <f>LEFT([1]modificado!$O$2, FIND(" ", [1]modificado!$O$2 &amp; " ") - 1)</f>
        <v>3M</v>
      </c>
      <c r="H216" s="47" t="str">
        <f>RIGHT([1]!Tabla2[[#This Row],[Marca y Modelo]], LEN([1]!Tabla2[[#This Row],[Marca y Modelo]]) - FIND(" ", [1]!Tabla2[[#This Row],[Marca y Modelo]]))</f>
        <v>Basic Tiger</v>
      </c>
      <c r="I216" s="76"/>
      <c r="J216" s="76"/>
      <c r="K216" s="92" t="s">
        <v>4080</v>
      </c>
      <c r="L216" s="92" t="s">
        <v>2827</v>
      </c>
      <c r="M216" s="92" t="s">
        <v>1404</v>
      </c>
      <c r="N216" s="92" t="s">
        <v>1630</v>
      </c>
      <c r="O216" s="77"/>
      <c r="P216" s="92" t="s">
        <v>2528</v>
      </c>
      <c r="Q216" s="32"/>
      <c r="R216" s="48" t="s">
        <v>216</v>
      </c>
      <c r="S216" s="32"/>
    </row>
    <row r="217" spans="2:19" x14ac:dyDescent="0.3">
      <c r="B217" t="str">
        <f>LEFT(Tabla3890134177220392[[#This Row],[Descripción del equipo]], FIND(" ", Tabla3890134177220392[[#This Row],[Descripción del equipo]] &amp; " ") - 1)</f>
        <v>Arnes</v>
      </c>
      <c r="C217" s="11" t="s">
        <v>1092</v>
      </c>
      <c r="D217">
        <v>1</v>
      </c>
      <c r="E217" s="11" t="s">
        <v>160</v>
      </c>
      <c r="F217" s="91" t="s">
        <v>1056</v>
      </c>
      <c r="G217" s="15" t="str">
        <f>LEFT([1]modificado!$O$2, FIND(" ", [1]modificado!$O$2 &amp; " ") - 1)</f>
        <v>3M</v>
      </c>
      <c r="H217" s="47" t="str">
        <f>RIGHT([1]!Tabla2[[#This Row],[Marca y Modelo]], LEN([1]!Tabla2[[#This Row],[Marca y Modelo]]) - FIND(" ", [1]!Tabla2[[#This Row],[Marca y Modelo]]))</f>
        <v>Basic Tiger</v>
      </c>
      <c r="I217" s="76"/>
      <c r="J217" s="76"/>
      <c r="K217" s="91" t="s">
        <v>4080</v>
      </c>
      <c r="L217" s="91" t="s">
        <v>2828</v>
      </c>
      <c r="M217" s="91" t="s">
        <v>1404</v>
      </c>
      <c r="N217" s="91" t="s">
        <v>1631</v>
      </c>
      <c r="O217" s="77"/>
      <c r="P217" s="91" t="s">
        <v>2528</v>
      </c>
      <c r="Q217" s="32"/>
      <c r="R217" s="48" t="s">
        <v>216</v>
      </c>
      <c r="S217" s="32"/>
    </row>
    <row r="218" spans="2:19" x14ac:dyDescent="0.3">
      <c r="B218" t="str">
        <f>LEFT(Tabla3890134177220392[[#This Row],[Descripción del equipo]], FIND(" ", Tabla3890134177220392[[#This Row],[Descripción del equipo]] &amp; " ") - 1)</f>
        <v>Arnes</v>
      </c>
      <c r="C218" s="11" t="s">
        <v>1092</v>
      </c>
      <c r="D218">
        <v>1</v>
      </c>
      <c r="E218" s="11" t="s">
        <v>160</v>
      </c>
      <c r="F218" s="92" t="s">
        <v>1056</v>
      </c>
      <c r="G218" s="15" t="str">
        <f>LEFT([1]modificado!$O$2, FIND(" ", [1]modificado!$O$2 &amp; " ") - 1)</f>
        <v>3M</v>
      </c>
      <c r="H218" s="47" t="str">
        <f>RIGHT([1]!Tabla2[[#This Row],[Marca y Modelo]], LEN([1]!Tabla2[[#This Row],[Marca y Modelo]]) - FIND(" ", [1]!Tabla2[[#This Row],[Marca y Modelo]]))</f>
        <v>Basic Tiger</v>
      </c>
      <c r="I218" s="76"/>
      <c r="J218" s="76"/>
      <c r="K218" s="92" t="s">
        <v>4080</v>
      </c>
      <c r="L218" s="92" t="s">
        <v>2829</v>
      </c>
      <c r="M218" s="92" t="s">
        <v>1404</v>
      </c>
      <c r="N218" s="92" t="s">
        <v>1632</v>
      </c>
      <c r="O218" s="77"/>
      <c r="P218" s="92" t="s">
        <v>2528</v>
      </c>
      <c r="Q218" s="32"/>
      <c r="R218" s="48" t="s">
        <v>216</v>
      </c>
      <c r="S218" s="32"/>
    </row>
    <row r="219" spans="2:19" x14ac:dyDescent="0.3">
      <c r="B219" t="str">
        <f>LEFT(Tabla3890134177220392[[#This Row],[Descripción del equipo]], FIND(" ", Tabla3890134177220392[[#This Row],[Descripción del equipo]] &amp; " ") - 1)</f>
        <v>Arnes</v>
      </c>
      <c r="C219" s="11" t="s">
        <v>1092</v>
      </c>
      <c r="D219">
        <v>1</v>
      </c>
      <c r="E219" s="11" t="s">
        <v>160</v>
      </c>
      <c r="F219" s="91" t="s">
        <v>1056</v>
      </c>
      <c r="G219" s="15" t="str">
        <f>LEFT([1]modificado!$O$2, FIND(" ", [1]modificado!$O$2 &amp; " ") - 1)</f>
        <v>3M</v>
      </c>
      <c r="H219" s="47" t="str">
        <f>RIGHT([1]!Tabla2[[#This Row],[Marca y Modelo]], LEN([1]!Tabla2[[#This Row],[Marca y Modelo]]) - FIND(" ", [1]!Tabla2[[#This Row],[Marca y Modelo]]))</f>
        <v>Basic Lion</v>
      </c>
      <c r="I219" s="76"/>
      <c r="J219" s="76"/>
      <c r="K219" s="91" t="s">
        <v>4081</v>
      </c>
      <c r="L219" s="91" t="s">
        <v>2830</v>
      </c>
      <c r="M219" s="91" t="s">
        <v>1404</v>
      </c>
      <c r="N219" s="91" t="s">
        <v>1633</v>
      </c>
      <c r="O219" s="77"/>
      <c r="P219" s="91" t="s">
        <v>2528</v>
      </c>
      <c r="Q219" s="32"/>
      <c r="R219" s="48" t="s">
        <v>216</v>
      </c>
      <c r="S219" s="32"/>
    </row>
    <row r="220" spans="2:19" x14ac:dyDescent="0.3">
      <c r="B220" t="s">
        <v>28</v>
      </c>
      <c r="C220" s="11" t="s">
        <v>1092</v>
      </c>
      <c r="D220">
        <v>1</v>
      </c>
      <c r="E220" s="11" t="s">
        <v>160</v>
      </c>
      <c r="F220" s="92" t="s">
        <v>1056</v>
      </c>
      <c r="G220" s="15" t="str">
        <f>LEFT([1]modificado!$O$2, FIND(" ", [1]modificado!$O$2 &amp; " ") - 1)</f>
        <v>3M</v>
      </c>
      <c r="H220" s="47" t="str">
        <f>RIGHT([1]!Tabla2[[#This Row],[Marca y Modelo]], LEN([1]!Tabla2[[#This Row],[Marca y Modelo]]) - FIND(" ", [1]!Tabla2[[#This Row],[Marca y Modelo]]))</f>
        <v>Basic Lion</v>
      </c>
      <c r="I220" s="76"/>
      <c r="J220" s="76"/>
      <c r="K220" s="92" t="s">
        <v>4081</v>
      </c>
      <c r="L220" s="92" t="s">
        <v>2831</v>
      </c>
      <c r="M220" s="92" t="s">
        <v>1404</v>
      </c>
      <c r="N220" s="92" t="s">
        <v>1634</v>
      </c>
      <c r="O220" s="77"/>
      <c r="P220" s="92" t="s">
        <v>2528</v>
      </c>
      <c r="Q220" s="32"/>
      <c r="R220" s="48" t="s">
        <v>216</v>
      </c>
      <c r="S220" s="32"/>
    </row>
    <row r="221" spans="2:19" x14ac:dyDescent="0.3">
      <c r="B221" t="str">
        <f>LEFT(Tabla3890134177220392[[#This Row],[Descripción del equipo]], FIND(" ", Tabla3890134177220392[[#This Row],[Descripción del equipo]] &amp; " ") - 1)</f>
        <v>Arnes</v>
      </c>
      <c r="C221" s="11" t="s">
        <v>1092</v>
      </c>
      <c r="D221">
        <v>1</v>
      </c>
      <c r="E221" s="11" t="s">
        <v>160</v>
      </c>
      <c r="F221" s="91" t="s">
        <v>1056</v>
      </c>
      <c r="G221" s="15" t="str">
        <f>LEFT([1]modificado!$O$2, FIND(" ", [1]modificado!$O$2 &amp; " ") - 1)</f>
        <v>3M</v>
      </c>
      <c r="H221" s="47" t="str">
        <f>RIGHT([1]!Tabla2[[#This Row],[Marca y Modelo]], LEN([1]!Tabla2[[#This Row],[Marca y Modelo]]) - FIND(" ", [1]!Tabla2[[#This Row],[Marca y Modelo]]))</f>
        <v>Basic Lion</v>
      </c>
      <c r="I221" s="76"/>
      <c r="J221" s="76"/>
      <c r="K221" s="91" t="s">
        <v>4081</v>
      </c>
      <c r="L221" s="91" t="s">
        <v>2832</v>
      </c>
      <c r="M221" s="91" t="s">
        <v>1404</v>
      </c>
      <c r="N221" s="91" t="s">
        <v>1635</v>
      </c>
      <c r="O221" s="77"/>
      <c r="P221" s="91" t="s">
        <v>2528</v>
      </c>
      <c r="Q221" s="32"/>
      <c r="R221" s="48" t="s">
        <v>216</v>
      </c>
      <c r="S221" s="32"/>
    </row>
    <row r="222" spans="2:19" x14ac:dyDescent="0.3">
      <c r="B222" t="str">
        <f>LEFT(Tabla3890134177220392[[#This Row],[Descripción del equipo]], FIND(" ", Tabla3890134177220392[[#This Row],[Descripción del equipo]] &amp; " ") - 1)</f>
        <v>Arnes</v>
      </c>
      <c r="C222" s="11" t="s">
        <v>1092</v>
      </c>
      <c r="D222">
        <v>1</v>
      </c>
      <c r="E222" s="11" t="s">
        <v>160</v>
      </c>
      <c r="F222" s="92" t="s">
        <v>1056</v>
      </c>
      <c r="G222" s="15" t="str">
        <f>LEFT([1]modificado!$O$2, FIND(" ", [1]modificado!$O$2 &amp; " ") - 1)</f>
        <v>3M</v>
      </c>
      <c r="H222" s="47" t="str">
        <f>RIGHT([1]!Tabla2[[#This Row],[Marca y Modelo]], LEN([1]!Tabla2[[#This Row],[Marca y Modelo]]) - FIND(" ", [1]!Tabla2[[#This Row],[Marca y Modelo]]))</f>
        <v>Space</v>
      </c>
      <c r="I222" s="76"/>
      <c r="J222" s="76"/>
      <c r="K222" s="92" t="s">
        <v>4081</v>
      </c>
      <c r="L222" s="92" t="s">
        <v>2833</v>
      </c>
      <c r="M222" s="92" t="s">
        <v>1406</v>
      </c>
      <c r="N222" s="92" t="s">
        <v>1636</v>
      </c>
      <c r="O222" s="77"/>
      <c r="P222" s="92" t="s">
        <v>2528</v>
      </c>
      <c r="Q222" s="32"/>
      <c r="R222" s="48" t="s">
        <v>216</v>
      </c>
      <c r="S222" s="32"/>
    </row>
    <row r="223" spans="2:19" x14ac:dyDescent="0.3">
      <c r="B223" t="s">
        <v>28</v>
      </c>
      <c r="C223" s="11" t="s">
        <v>1092</v>
      </c>
      <c r="D223">
        <v>1</v>
      </c>
      <c r="E223" s="11" t="s">
        <v>160</v>
      </c>
      <c r="F223" s="91" t="s">
        <v>1056</v>
      </c>
      <c r="G223" s="15" t="str">
        <f>LEFT([1]modificado!$O$2, FIND(" ", [1]modificado!$O$2 &amp; " ") - 1)</f>
        <v>3M</v>
      </c>
      <c r="H223" s="47" t="str">
        <f>RIGHT([1]!Tabla2[[#This Row],[Marca y Modelo]], LEN([1]!Tabla2[[#This Row],[Marca y Modelo]]) - FIND(" ", [1]!Tabla2[[#This Row],[Marca y Modelo]]))</f>
        <v>Basic Lion</v>
      </c>
      <c r="I223" s="76"/>
      <c r="J223" s="76"/>
      <c r="K223" s="91" t="s">
        <v>4081</v>
      </c>
      <c r="L223" s="91" t="s">
        <v>2834</v>
      </c>
      <c r="M223" s="91" t="s">
        <v>1404</v>
      </c>
      <c r="N223" s="91" t="s">
        <v>1637</v>
      </c>
      <c r="O223" s="77"/>
      <c r="P223" s="91" t="s">
        <v>2528</v>
      </c>
      <c r="Q223" s="32"/>
      <c r="R223" s="48" t="s">
        <v>216</v>
      </c>
      <c r="S223" s="32"/>
    </row>
    <row r="224" spans="2:19" x14ac:dyDescent="0.3">
      <c r="B224" t="str">
        <f>LEFT(Tabla3890134177220392[[#This Row],[Descripción del equipo]], FIND(" ", Tabla3890134177220392[[#This Row],[Descripción del equipo]] &amp; " ") - 1)</f>
        <v>Arnes</v>
      </c>
      <c r="C224" s="11" t="s">
        <v>1092</v>
      </c>
      <c r="D224">
        <v>1</v>
      </c>
      <c r="E224" s="11" t="s">
        <v>160</v>
      </c>
      <c r="F224" s="92" t="s">
        <v>1056</v>
      </c>
      <c r="G224" s="15" t="str">
        <f>LEFT([1]modificado!$O$2, FIND(" ", [1]modificado!$O$2 &amp; " ") - 1)</f>
        <v>3M</v>
      </c>
      <c r="H224" s="47" t="str">
        <f>RIGHT([1]!Tabla2[[#This Row],[Marca y Modelo]], LEN([1]!Tabla2[[#This Row],[Marca y Modelo]]) - FIND(" ", [1]!Tabla2[[#This Row],[Marca y Modelo]]))</f>
        <v>Basic Lion</v>
      </c>
      <c r="I224" s="76"/>
      <c r="J224" s="76"/>
      <c r="K224" s="92" t="s">
        <v>4081</v>
      </c>
      <c r="L224" s="92" t="s">
        <v>2835</v>
      </c>
      <c r="M224" s="92" t="s">
        <v>1404</v>
      </c>
      <c r="N224" s="92" t="s">
        <v>1638</v>
      </c>
      <c r="O224" s="77"/>
      <c r="P224" s="92" t="s">
        <v>2528</v>
      </c>
      <c r="Q224" s="32"/>
      <c r="R224" s="48" t="s">
        <v>216</v>
      </c>
      <c r="S224" s="32"/>
    </row>
    <row r="225" spans="2:19" x14ac:dyDescent="0.3">
      <c r="B225" t="str">
        <f>LEFT(Tabla3890134177220392[[#This Row],[Descripción del equipo]], FIND(" ", Tabla3890134177220392[[#This Row],[Descripción del equipo]] &amp; " ") - 1)</f>
        <v>Arnes</v>
      </c>
      <c r="C225" s="11" t="s">
        <v>1092</v>
      </c>
      <c r="D225">
        <v>1</v>
      </c>
      <c r="E225" s="11" t="s">
        <v>160</v>
      </c>
      <c r="F225" s="91" t="s">
        <v>1056</v>
      </c>
      <c r="G225" s="15" t="str">
        <f>LEFT([1]modificado!$O$2, FIND(" ", [1]modificado!$O$2 &amp; " ") - 1)</f>
        <v>3M</v>
      </c>
      <c r="H225" s="47" t="str">
        <f>RIGHT([1]!Tabla2[[#This Row],[Marca y Modelo]], LEN([1]!Tabla2[[#This Row],[Marca y Modelo]]) - FIND(" ", [1]!Tabla2[[#This Row],[Marca y Modelo]]))</f>
        <v>Basic Tiger</v>
      </c>
      <c r="I225" s="76"/>
      <c r="J225" s="76"/>
      <c r="K225" s="91" t="s">
        <v>4081</v>
      </c>
      <c r="L225" s="91" t="s">
        <v>2836</v>
      </c>
      <c r="M225" s="91" t="s">
        <v>1404</v>
      </c>
      <c r="N225" s="91" t="s">
        <v>1639</v>
      </c>
      <c r="O225" s="77"/>
      <c r="P225" s="91" t="s">
        <v>2528</v>
      </c>
      <c r="Q225" s="32"/>
      <c r="R225" s="48" t="s">
        <v>216</v>
      </c>
      <c r="S225" s="32"/>
    </row>
    <row r="226" spans="2:19" x14ac:dyDescent="0.3">
      <c r="B226" t="str">
        <f>LEFT(Tabla3890134177220392[[#This Row],[Descripción del equipo]], FIND(" ", Tabla3890134177220392[[#This Row],[Descripción del equipo]] &amp; " ") - 1)</f>
        <v>Arnes</v>
      </c>
      <c r="C226" s="11" t="s">
        <v>1092</v>
      </c>
      <c r="D226">
        <v>1</v>
      </c>
      <c r="E226" s="11" t="s">
        <v>160</v>
      </c>
      <c r="F226" s="92" t="s">
        <v>1056</v>
      </c>
      <c r="G226" s="15" t="str">
        <f>LEFT([1]modificado!$O$2, FIND(" ", [1]modificado!$O$2 &amp; " ") - 1)</f>
        <v>3M</v>
      </c>
      <c r="H226" s="47" t="str">
        <f>RIGHT([1]!Tabla2[[#This Row],[Marca y Modelo]], LEN([1]!Tabla2[[#This Row],[Marca y Modelo]]) - FIND(" ", [1]!Tabla2[[#This Row],[Marca y Modelo]]))</f>
        <v>Basic Lion</v>
      </c>
      <c r="I226" s="76"/>
      <c r="J226" s="76"/>
      <c r="K226" s="92" t="s">
        <v>4081</v>
      </c>
      <c r="L226" s="92" t="s">
        <v>2837</v>
      </c>
      <c r="M226" s="92" t="s">
        <v>1404</v>
      </c>
      <c r="N226" s="92" t="s">
        <v>1640</v>
      </c>
      <c r="O226" s="77"/>
      <c r="P226" s="92" t="s">
        <v>2528</v>
      </c>
      <c r="Q226" s="32"/>
      <c r="R226" s="48" t="s">
        <v>216</v>
      </c>
      <c r="S226" s="32"/>
    </row>
    <row r="227" spans="2:19" x14ac:dyDescent="0.3">
      <c r="B227" t="s">
        <v>4348</v>
      </c>
      <c r="C227" s="11" t="s">
        <v>1092</v>
      </c>
      <c r="D227">
        <v>1</v>
      </c>
      <c r="E227" s="11" t="s">
        <v>160</v>
      </c>
      <c r="F227" s="91" t="s">
        <v>1057</v>
      </c>
      <c r="G227" s="15" t="str">
        <f>LEFT([1]modificado!$O$2, FIND(" ", [1]modificado!$O$2 &amp; " ") - 1)</f>
        <v>3M</v>
      </c>
      <c r="H227" s="47" t="str">
        <f>RIGHT([1]!Tabla2[[#This Row],[Marca y Modelo]], LEN([1]!Tabla2[[#This Row],[Marca y Modelo]]) - FIND(" ", [1]!Tabla2[[#This Row],[Marca y Modelo]]))</f>
        <v>Basic Shock Absorbing</v>
      </c>
      <c r="I227" s="76"/>
      <c r="J227" s="76"/>
      <c r="K227" s="91" t="s">
        <v>4082</v>
      </c>
      <c r="L227" s="91" t="s">
        <v>2838</v>
      </c>
      <c r="M227" s="91" t="s">
        <v>1404</v>
      </c>
      <c r="N227" s="91" t="s">
        <v>1641</v>
      </c>
      <c r="O227" s="77"/>
      <c r="P227" s="91" t="s">
        <v>2528</v>
      </c>
      <c r="Q227" s="32"/>
      <c r="R227" s="48" t="s">
        <v>216</v>
      </c>
      <c r="S227" s="32"/>
    </row>
    <row r="228" spans="2:19" x14ac:dyDescent="0.3">
      <c r="B228" t="s">
        <v>4348</v>
      </c>
      <c r="C228" s="11" t="s">
        <v>1092</v>
      </c>
      <c r="D228">
        <v>1</v>
      </c>
      <c r="E228" s="11" t="s">
        <v>160</v>
      </c>
      <c r="F228" s="92" t="s">
        <v>1057</v>
      </c>
      <c r="G228" s="15" t="str">
        <f>LEFT([1]modificado!$O$2, FIND(" ", [1]modificado!$O$2 &amp; " ") - 1)</f>
        <v>3M</v>
      </c>
      <c r="H228" s="47" t="str">
        <f>RIGHT([1]!Tabla2[[#This Row],[Marca y Modelo]], LEN([1]!Tabla2[[#This Row],[Marca y Modelo]]) - FIND(" ", [1]!Tabla2[[#This Row],[Marca y Modelo]]))</f>
        <v>Basic Shock Absorbing</v>
      </c>
      <c r="I228" s="76"/>
      <c r="J228" s="76"/>
      <c r="K228" s="92" t="s">
        <v>4082</v>
      </c>
      <c r="L228" s="92" t="s">
        <v>2839</v>
      </c>
      <c r="M228" s="92" t="s">
        <v>1404</v>
      </c>
      <c r="N228" s="92" t="s">
        <v>1642</v>
      </c>
      <c r="O228" s="77"/>
      <c r="P228" s="92" t="s">
        <v>2528</v>
      </c>
      <c r="Q228" s="32"/>
      <c r="R228" s="48" t="s">
        <v>216</v>
      </c>
      <c r="S228" s="32"/>
    </row>
    <row r="229" spans="2:19" x14ac:dyDescent="0.3">
      <c r="B229" t="s">
        <v>4348</v>
      </c>
      <c r="C229" s="11" t="s">
        <v>1092</v>
      </c>
      <c r="D229">
        <v>1</v>
      </c>
      <c r="E229" s="11" t="s">
        <v>160</v>
      </c>
      <c r="F229" s="91" t="s">
        <v>1057</v>
      </c>
      <c r="G229" s="15" t="str">
        <f>LEFT([1]modificado!$O$2, FIND(" ", [1]modificado!$O$2 &amp; " ") - 1)</f>
        <v>3M</v>
      </c>
      <c r="H229" s="47" t="str">
        <f>RIGHT([1]!Tabla2[[#This Row],[Marca y Modelo]], LEN([1]!Tabla2[[#This Row],[Marca y Modelo]]) - FIND(" ", [1]!Tabla2[[#This Row],[Marca y Modelo]]))</f>
        <v>Basic Shock Absorbing</v>
      </c>
      <c r="I229" s="76"/>
      <c r="J229" s="76"/>
      <c r="K229" s="91" t="s">
        <v>4082</v>
      </c>
      <c r="L229" s="91" t="s">
        <v>2840</v>
      </c>
      <c r="M229" s="91" t="s">
        <v>1404</v>
      </c>
      <c r="N229" s="91" t="s">
        <v>1643</v>
      </c>
      <c r="O229" s="77"/>
      <c r="P229" s="91" t="s">
        <v>2528</v>
      </c>
      <c r="Q229" s="32"/>
      <c r="R229" s="48" t="s">
        <v>216</v>
      </c>
      <c r="S229" s="32"/>
    </row>
    <row r="230" spans="2:19" x14ac:dyDescent="0.3">
      <c r="B230" t="s">
        <v>4348</v>
      </c>
      <c r="C230" s="11" t="s">
        <v>1092</v>
      </c>
      <c r="D230">
        <v>1</v>
      </c>
      <c r="E230" s="11" t="s">
        <v>160</v>
      </c>
      <c r="F230" s="92" t="s">
        <v>1057</v>
      </c>
      <c r="G230" s="15" t="str">
        <f>LEFT([1]modificado!$O$2, FIND(" ", [1]modificado!$O$2 &amp; " ") - 1)</f>
        <v>3M</v>
      </c>
      <c r="H230" s="47" t="str">
        <f>RIGHT([1]!Tabla2[[#This Row],[Marca y Modelo]], LEN([1]!Tabla2[[#This Row],[Marca y Modelo]]) - FIND(" ", [1]!Tabla2[[#This Row],[Marca y Modelo]]))</f>
        <v>Basic Shock Absorbing</v>
      </c>
      <c r="I230" s="76"/>
      <c r="J230" s="76"/>
      <c r="K230" s="92" t="s">
        <v>4082</v>
      </c>
      <c r="L230" s="92" t="s">
        <v>2841</v>
      </c>
      <c r="M230" s="92" t="s">
        <v>1404</v>
      </c>
      <c r="N230" s="92" t="s">
        <v>1644</v>
      </c>
      <c r="O230" s="77"/>
      <c r="P230" s="92" t="s">
        <v>2528</v>
      </c>
      <c r="Q230" s="32"/>
      <c r="R230" s="48" t="s">
        <v>216</v>
      </c>
      <c r="S230" s="32"/>
    </row>
    <row r="231" spans="2:19" x14ac:dyDescent="0.3">
      <c r="B231" t="s">
        <v>4348</v>
      </c>
      <c r="C231" s="11" t="s">
        <v>1092</v>
      </c>
      <c r="D231">
        <v>1</v>
      </c>
      <c r="E231" s="11" t="s">
        <v>160</v>
      </c>
      <c r="F231" s="91" t="s">
        <v>1057</v>
      </c>
      <c r="G231" s="15" t="str">
        <f>LEFT([1]modificado!$O$2, FIND(" ", [1]modificado!$O$2 &amp; " ") - 1)</f>
        <v>3M</v>
      </c>
      <c r="H231" s="47" t="str">
        <f>RIGHT([1]!Tabla2[[#This Row],[Marca y Modelo]], LEN([1]!Tabla2[[#This Row],[Marca y Modelo]]) - FIND(" ", [1]!Tabla2[[#This Row],[Marca y Modelo]]))</f>
        <v>Basic Shock Absorbing</v>
      </c>
      <c r="I231" s="76"/>
      <c r="J231" s="76"/>
      <c r="K231" s="91" t="s">
        <v>4082</v>
      </c>
      <c r="L231" s="91" t="s">
        <v>2842</v>
      </c>
      <c r="M231" s="91" t="s">
        <v>1404</v>
      </c>
      <c r="N231" s="91" t="s">
        <v>1645</v>
      </c>
      <c r="O231" s="77"/>
      <c r="P231" s="91" t="s">
        <v>2528</v>
      </c>
      <c r="Q231" s="32"/>
      <c r="R231" s="48" t="s">
        <v>216</v>
      </c>
      <c r="S231" s="32"/>
    </row>
    <row r="232" spans="2:19" x14ac:dyDescent="0.3">
      <c r="B232" t="s">
        <v>4348</v>
      </c>
      <c r="C232" s="11" t="s">
        <v>1092</v>
      </c>
      <c r="D232">
        <v>1</v>
      </c>
      <c r="E232" s="11" t="s">
        <v>160</v>
      </c>
      <c r="F232" s="92" t="s">
        <v>1057</v>
      </c>
      <c r="G232" s="15" t="str">
        <f>LEFT([1]modificado!$O$2, FIND(" ", [1]modificado!$O$2 &amp; " ") - 1)</f>
        <v>3M</v>
      </c>
      <c r="H232" s="47" t="str">
        <f>RIGHT([1]!Tabla2[[#This Row],[Marca y Modelo]], LEN([1]!Tabla2[[#This Row],[Marca y Modelo]]) - FIND(" ", [1]!Tabla2[[#This Row],[Marca y Modelo]]))</f>
        <v>Basic Shock Absorbing</v>
      </c>
      <c r="I232" s="76"/>
      <c r="J232" s="76"/>
      <c r="K232" s="92" t="s">
        <v>4082</v>
      </c>
      <c r="L232" s="92" t="s">
        <v>2843</v>
      </c>
      <c r="M232" s="92" t="s">
        <v>1404</v>
      </c>
      <c r="N232" s="92" t="s">
        <v>1646</v>
      </c>
      <c r="O232" s="77"/>
      <c r="P232" s="92" t="s">
        <v>2528</v>
      </c>
      <c r="Q232" s="32"/>
      <c r="R232" s="48" t="s">
        <v>216</v>
      </c>
      <c r="S232" s="32"/>
    </row>
    <row r="233" spans="2:19" x14ac:dyDescent="0.3">
      <c r="B233" t="s">
        <v>4348</v>
      </c>
      <c r="C233" s="11" t="s">
        <v>1092</v>
      </c>
      <c r="D233">
        <v>1</v>
      </c>
      <c r="E233" s="11" t="s">
        <v>160</v>
      </c>
      <c r="F233" s="91" t="s">
        <v>1057</v>
      </c>
      <c r="G233" s="15" t="str">
        <f>LEFT([1]modificado!$O$2, FIND(" ", [1]modificado!$O$2 &amp; " ") - 1)</f>
        <v>3M</v>
      </c>
      <c r="H233" s="47" t="str">
        <f>RIGHT([1]!Tabla2[[#This Row],[Marca y Modelo]], LEN([1]!Tabla2[[#This Row],[Marca y Modelo]]) - FIND(" ", [1]!Tabla2[[#This Row],[Marca y Modelo]]))</f>
        <v>Basic Shock Absorbing</v>
      </c>
      <c r="I233" s="76"/>
      <c r="J233" s="76"/>
      <c r="K233" s="91" t="s">
        <v>4082</v>
      </c>
      <c r="L233" s="91" t="s">
        <v>2844</v>
      </c>
      <c r="M233" s="91" t="s">
        <v>1404</v>
      </c>
      <c r="N233" s="91" t="s">
        <v>1647</v>
      </c>
      <c r="O233" s="77"/>
      <c r="P233" s="91" t="s">
        <v>2528</v>
      </c>
      <c r="Q233" s="32"/>
      <c r="R233" s="48" t="s">
        <v>216</v>
      </c>
      <c r="S233" s="32"/>
    </row>
    <row r="234" spans="2:19" x14ac:dyDescent="0.3">
      <c r="B234" t="s">
        <v>4348</v>
      </c>
      <c r="C234" s="11" t="s">
        <v>1092</v>
      </c>
      <c r="D234">
        <v>1</v>
      </c>
      <c r="E234" s="11" t="s">
        <v>160</v>
      </c>
      <c r="F234" s="92" t="s">
        <v>1057</v>
      </c>
      <c r="G234" s="15" t="str">
        <f>LEFT([1]modificado!$O$2, FIND(" ", [1]modificado!$O$2 &amp; " ") - 1)</f>
        <v>3M</v>
      </c>
      <c r="H234" s="47" t="str">
        <f>RIGHT([1]!Tabla2[[#This Row],[Marca y Modelo]], LEN([1]!Tabla2[[#This Row],[Marca y Modelo]]) - FIND(" ", [1]!Tabla2[[#This Row],[Marca y Modelo]]))</f>
        <v>Basic Shock Absorbing</v>
      </c>
      <c r="I234" s="76"/>
      <c r="J234" s="76"/>
      <c r="K234" s="92" t="s">
        <v>4082</v>
      </c>
      <c r="L234" s="92" t="s">
        <v>2845</v>
      </c>
      <c r="M234" s="92" t="s">
        <v>1404</v>
      </c>
      <c r="N234" s="92" t="s">
        <v>1648</v>
      </c>
      <c r="O234" s="77"/>
      <c r="P234" s="92" t="s">
        <v>2528</v>
      </c>
      <c r="Q234" s="32"/>
      <c r="R234" s="48" t="s">
        <v>216</v>
      </c>
      <c r="S234" s="32"/>
    </row>
    <row r="235" spans="2:19" x14ac:dyDescent="0.3">
      <c r="B235" t="s">
        <v>4348</v>
      </c>
      <c r="C235" s="11" t="s">
        <v>1092</v>
      </c>
      <c r="D235">
        <v>1</v>
      </c>
      <c r="E235" s="11" t="s">
        <v>160</v>
      </c>
      <c r="F235" s="91" t="s">
        <v>1057</v>
      </c>
      <c r="G235" s="15" t="str">
        <f>LEFT([1]modificado!$O$2, FIND(" ", [1]modificado!$O$2 &amp; " ") - 1)</f>
        <v>3M</v>
      </c>
      <c r="H235" s="47" t="str">
        <f>RIGHT([1]!Tabla2[[#This Row],[Marca y Modelo]], LEN([1]!Tabla2[[#This Row],[Marca y Modelo]]) - FIND(" ", [1]!Tabla2[[#This Row],[Marca y Modelo]]))</f>
        <v>Basic Shock Absorbing</v>
      </c>
      <c r="I235" s="76"/>
      <c r="J235" s="76"/>
      <c r="K235" s="91" t="s">
        <v>4082</v>
      </c>
      <c r="L235" s="91" t="s">
        <v>2846</v>
      </c>
      <c r="M235" s="91" t="s">
        <v>1404</v>
      </c>
      <c r="N235" s="91" t="s">
        <v>1649</v>
      </c>
      <c r="O235" s="77"/>
      <c r="P235" s="91" t="s">
        <v>2528</v>
      </c>
      <c r="Q235" s="32"/>
      <c r="R235" s="48" t="s">
        <v>216</v>
      </c>
      <c r="S235" s="32"/>
    </row>
    <row r="236" spans="2:19" x14ac:dyDescent="0.3">
      <c r="B236" t="s">
        <v>4348</v>
      </c>
      <c r="C236" s="11" t="s">
        <v>1092</v>
      </c>
      <c r="D236">
        <v>1</v>
      </c>
      <c r="E236" s="11" t="s">
        <v>160</v>
      </c>
      <c r="F236" s="92" t="s">
        <v>1057</v>
      </c>
      <c r="G236" s="15" t="str">
        <f>LEFT([1]modificado!$O$2, FIND(" ", [1]modificado!$O$2 &amp; " ") - 1)</f>
        <v>3M</v>
      </c>
      <c r="H236" s="47"/>
      <c r="I236" s="76"/>
      <c r="J236" s="76"/>
      <c r="K236" s="92" t="s">
        <v>4082</v>
      </c>
      <c r="L236" s="92" t="s">
        <v>2847</v>
      </c>
      <c r="M236" s="92" t="s">
        <v>1406</v>
      </c>
      <c r="N236" s="92" t="s">
        <v>1650</v>
      </c>
      <c r="O236" s="77"/>
      <c r="P236" s="92" t="s">
        <v>2528</v>
      </c>
      <c r="Q236" s="32"/>
      <c r="R236" s="48" t="s">
        <v>216</v>
      </c>
      <c r="S236" s="32"/>
    </row>
    <row r="237" spans="2:19" x14ac:dyDescent="0.3">
      <c r="B237" t="s">
        <v>4348</v>
      </c>
      <c r="C237" s="11" t="s">
        <v>1092</v>
      </c>
      <c r="D237">
        <v>1</v>
      </c>
      <c r="E237" s="11" t="s">
        <v>160</v>
      </c>
      <c r="F237" s="91" t="s">
        <v>1057</v>
      </c>
      <c r="G237" s="15" t="str">
        <f>LEFT([1]modificado!$O$2, FIND(" ", [1]modificado!$O$2 &amp; " ") - 1)</f>
        <v>3M</v>
      </c>
      <c r="H237" s="47" t="str">
        <f>RIGHT([1]!Tabla2[[#This Row],[Marca y Modelo]], LEN([1]!Tabla2[[#This Row],[Marca y Modelo]]) - FIND(" ", [1]!Tabla2[[#This Row],[Marca y Modelo]]))</f>
        <v>Basic Shock Absorbing</v>
      </c>
      <c r="I237" s="76"/>
      <c r="J237" s="76"/>
      <c r="K237" s="91" t="s">
        <v>4082</v>
      </c>
      <c r="L237" s="91" t="s">
        <v>2848</v>
      </c>
      <c r="M237" s="91" t="s">
        <v>1404</v>
      </c>
      <c r="N237" s="91" t="s">
        <v>1651</v>
      </c>
      <c r="O237" s="77"/>
      <c r="P237" s="91" t="s">
        <v>2528</v>
      </c>
      <c r="Q237" s="32"/>
      <c r="R237" s="48" t="s">
        <v>216</v>
      </c>
      <c r="S237" s="32"/>
    </row>
    <row r="238" spans="2:19" x14ac:dyDescent="0.3">
      <c r="B238" t="str">
        <f>LEFT(Tabla3890134177220392[[#This Row],[Descripción del equipo]], FIND(" ", Tabla3890134177220392[[#This Row],[Descripción del equipo]] &amp; " ") - 1)</f>
        <v>Arnes</v>
      </c>
      <c r="C238" s="11" t="s">
        <v>1092</v>
      </c>
      <c r="D238">
        <v>1</v>
      </c>
      <c r="E238" s="11" t="s">
        <v>160</v>
      </c>
      <c r="F238" s="92" t="s">
        <v>1056</v>
      </c>
      <c r="G238" s="15" t="str">
        <f>LEFT([1]modificado!$O$2, FIND(" ", [1]modificado!$O$2 &amp; " ") - 1)</f>
        <v>3M</v>
      </c>
      <c r="H238" s="47" t="str">
        <f>RIGHT([1]!Tabla2[[#This Row],[Marca y Modelo]], LEN([1]!Tabla2[[#This Row],[Marca y Modelo]]) - FIND(" ", [1]!Tabla2[[#This Row],[Marca y Modelo]]))</f>
        <v>Space</v>
      </c>
      <c r="I238" s="76"/>
      <c r="J238" s="76"/>
      <c r="K238" s="92" t="s">
        <v>4083</v>
      </c>
      <c r="L238" s="92" t="s">
        <v>2849</v>
      </c>
      <c r="M238" s="92" t="s">
        <v>1406</v>
      </c>
      <c r="N238" s="92" t="s">
        <v>1652</v>
      </c>
      <c r="O238" s="77"/>
      <c r="P238" s="92" t="s">
        <v>2528</v>
      </c>
      <c r="Q238" s="32"/>
      <c r="R238" s="48" t="s">
        <v>216</v>
      </c>
      <c r="S238" s="32"/>
    </row>
    <row r="239" spans="2:19" x14ac:dyDescent="0.3">
      <c r="B239" t="str">
        <f>LEFT(Tabla3890134177220392[[#This Row],[Descripción del equipo]], FIND(" ", Tabla3890134177220392[[#This Row],[Descripción del equipo]] &amp; " ") - 1)</f>
        <v>Arnes</v>
      </c>
      <c r="C239" s="11" t="s">
        <v>1092</v>
      </c>
      <c r="D239">
        <v>1</v>
      </c>
      <c r="E239" s="11" t="s">
        <v>160</v>
      </c>
      <c r="F239" s="91" t="s">
        <v>1056</v>
      </c>
      <c r="G239" s="15" t="str">
        <f>LEFT([1]modificado!$O$2, FIND(" ", [1]modificado!$O$2 &amp; " ") - 1)</f>
        <v>3M</v>
      </c>
      <c r="H239" s="47" t="str">
        <f>RIGHT([1]!Tabla2[[#This Row],[Marca y Modelo]], LEN([1]!Tabla2[[#This Row],[Marca y Modelo]]) - FIND(" ", [1]!Tabla2[[#This Row],[Marca y Modelo]]))</f>
        <v>Basic Lion</v>
      </c>
      <c r="I239" s="76"/>
      <c r="J239" s="76"/>
      <c r="K239" s="91" t="s">
        <v>4083</v>
      </c>
      <c r="L239" s="91" t="s">
        <v>2850</v>
      </c>
      <c r="M239" s="91" t="s">
        <v>1404</v>
      </c>
      <c r="N239" s="91" t="s">
        <v>1653</v>
      </c>
      <c r="O239" s="77"/>
      <c r="P239" s="91" t="s">
        <v>2528</v>
      </c>
      <c r="Q239" s="32"/>
      <c r="R239" s="48" t="s">
        <v>216</v>
      </c>
      <c r="S239" s="32"/>
    </row>
    <row r="240" spans="2:19" x14ac:dyDescent="0.3">
      <c r="B240" t="str">
        <f>LEFT(Tabla3890134177220392[[#This Row],[Descripción del equipo]], FIND(" ", Tabla3890134177220392[[#This Row],[Descripción del equipo]] &amp; " ") - 1)</f>
        <v>Arnes</v>
      </c>
      <c r="C240" s="11" t="s">
        <v>1092</v>
      </c>
      <c r="D240">
        <v>1</v>
      </c>
      <c r="E240" s="11" t="s">
        <v>160</v>
      </c>
      <c r="F240" s="92" t="s">
        <v>1056</v>
      </c>
      <c r="G240" s="15" t="str">
        <f>LEFT([1]modificado!$O$2, FIND(" ", [1]modificado!$O$2 &amp; " ") - 1)</f>
        <v>3M</v>
      </c>
      <c r="H240" s="47" t="str">
        <f>RIGHT([1]!Tabla2[[#This Row],[Marca y Modelo]], LEN([1]!Tabla2[[#This Row],[Marca y Modelo]]) - FIND(" ", [1]!Tabla2[[#This Row],[Marca y Modelo]]))</f>
        <v>Basic Lion</v>
      </c>
      <c r="I240" s="76"/>
      <c r="J240" s="76"/>
      <c r="K240" s="92" t="s">
        <v>4083</v>
      </c>
      <c r="L240" s="92" t="s">
        <v>2851</v>
      </c>
      <c r="M240" s="92" t="s">
        <v>1404</v>
      </c>
      <c r="N240" s="92" t="s">
        <v>1654</v>
      </c>
      <c r="O240" s="77"/>
      <c r="P240" s="92" t="s">
        <v>2528</v>
      </c>
      <c r="Q240" s="32"/>
      <c r="R240" s="48" t="s">
        <v>216</v>
      </c>
      <c r="S240" s="32"/>
    </row>
    <row r="241" spans="2:19" x14ac:dyDescent="0.3">
      <c r="B241" t="str">
        <f>LEFT(Tabla3890134177220392[[#This Row],[Descripción del equipo]], FIND(" ", Tabla3890134177220392[[#This Row],[Descripción del equipo]] &amp; " ") - 1)</f>
        <v>Arnes</v>
      </c>
      <c r="C241" s="11" t="s">
        <v>1092</v>
      </c>
      <c r="D241">
        <v>1</v>
      </c>
      <c r="E241" s="11" t="s">
        <v>160</v>
      </c>
      <c r="F241" s="91" t="s">
        <v>1056</v>
      </c>
      <c r="G241" s="15" t="str">
        <f>LEFT([1]modificado!$O$2, FIND(" ", [1]modificado!$O$2 &amp; " ") - 1)</f>
        <v>3M</v>
      </c>
      <c r="H241" s="47" t="str">
        <f>RIGHT([1]!Tabla2[[#This Row],[Marca y Modelo]], LEN([1]!Tabla2[[#This Row],[Marca y Modelo]]) - FIND(" ", [1]!Tabla2[[#This Row],[Marca y Modelo]]))</f>
        <v>Basic Lion</v>
      </c>
      <c r="I241" s="76"/>
      <c r="J241" s="76"/>
      <c r="K241" s="91" t="s">
        <v>4083</v>
      </c>
      <c r="L241" s="91" t="s">
        <v>2852</v>
      </c>
      <c r="M241" s="91" t="s">
        <v>1404</v>
      </c>
      <c r="N241" s="91" t="s">
        <v>1655</v>
      </c>
      <c r="O241" s="77"/>
      <c r="P241" s="91" t="s">
        <v>2528</v>
      </c>
      <c r="Q241" s="32"/>
      <c r="R241" s="48" t="s">
        <v>216</v>
      </c>
      <c r="S241" s="32"/>
    </row>
    <row r="242" spans="2:19" x14ac:dyDescent="0.3">
      <c r="B242" t="str">
        <f>LEFT(Tabla3890134177220392[[#This Row],[Descripción del equipo]], FIND(" ", Tabla3890134177220392[[#This Row],[Descripción del equipo]] &amp; " ") - 1)</f>
        <v>Arnes</v>
      </c>
      <c r="C242" s="11" t="s">
        <v>1092</v>
      </c>
      <c r="D242">
        <v>1</v>
      </c>
      <c r="E242" s="11" t="s">
        <v>160</v>
      </c>
      <c r="F242" s="92" t="s">
        <v>1089</v>
      </c>
      <c r="G242" s="15" t="str">
        <f>LEFT([1]modificado!$O$2, FIND(" ", [1]modificado!$O$2 &amp; " ") - 1)</f>
        <v>3M</v>
      </c>
      <c r="H242" s="47" t="str">
        <f>RIGHT([1]!Tabla2[[#This Row],[Marca y Modelo]], LEN([1]!Tabla2[[#This Row],[Marca y Modelo]]) - FIND(" ", [1]!Tabla2[[#This Row],[Marca y Modelo]]))</f>
        <v>1107454</v>
      </c>
      <c r="I242" s="76"/>
      <c r="J242" s="76"/>
      <c r="K242" s="92" t="s">
        <v>4083</v>
      </c>
      <c r="L242" s="92" t="s">
        <v>2853</v>
      </c>
      <c r="M242" s="92" t="s">
        <v>1404</v>
      </c>
      <c r="N242" s="92" t="s">
        <v>1656</v>
      </c>
      <c r="O242" s="77"/>
      <c r="P242" s="92" t="s">
        <v>2528</v>
      </c>
      <c r="Q242" s="32"/>
      <c r="R242" s="48" t="s">
        <v>216</v>
      </c>
      <c r="S242" s="32"/>
    </row>
    <row r="243" spans="2:19" x14ac:dyDescent="0.3">
      <c r="B243" t="s">
        <v>4348</v>
      </c>
      <c r="C243" s="11" t="s">
        <v>1092</v>
      </c>
      <c r="D243">
        <v>1</v>
      </c>
      <c r="E243" s="11" t="s">
        <v>160</v>
      </c>
      <c r="F243" s="91" t="s">
        <v>1057</v>
      </c>
      <c r="G243" s="15" t="str">
        <f>LEFT([1]modificado!$O$2, FIND(" ", [1]modificado!$O$2 &amp; " ") - 1)</f>
        <v>3M</v>
      </c>
      <c r="H243" s="47" t="str">
        <f>RIGHT([1]!Tabla2[[#This Row],[Marca y Modelo]], LEN([1]!Tabla2[[#This Row],[Marca y Modelo]]) - FIND(" ", [1]!Tabla2[[#This Row],[Marca y Modelo]]))</f>
        <v>Basic Shock Absorbing</v>
      </c>
      <c r="I243" s="76"/>
      <c r="J243" s="76"/>
      <c r="K243" s="91" t="s">
        <v>4084</v>
      </c>
      <c r="L243" s="91" t="s">
        <v>2854</v>
      </c>
      <c r="M243" s="91" t="s">
        <v>1404</v>
      </c>
      <c r="N243" s="91" t="s">
        <v>1657</v>
      </c>
      <c r="O243" s="77"/>
      <c r="P243" s="91" t="s">
        <v>2528</v>
      </c>
      <c r="Q243" s="32"/>
      <c r="R243" s="48" t="s">
        <v>216</v>
      </c>
      <c r="S243" s="32"/>
    </row>
    <row r="244" spans="2:19" x14ac:dyDescent="0.3">
      <c r="B244" t="s">
        <v>4348</v>
      </c>
      <c r="C244" s="11" t="s">
        <v>1092</v>
      </c>
      <c r="D244">
        <v>1</v>
      </c>
      <c r="E244" s="11" t="s">
        <v>160</v>
      </c>
      <c r="F244" s="92" t="s">
        <v>1057</v>
      </c>
      <c r="G244" s="15" t="str">
        <f>LEFT([1]modificado!$O$2, FIND(" ", [1]modificado!$O$2 &amp; " ") - 1)</f>
        <v>3M</v>
      </c>
      <c r="H244" s="47" t="str">
        <f>RIGHT([1]!Tabla2[[#This Row],[Marca y Modelo]], LEN([1]!Tabla2[[#This Row],[Marca y Modelo]]) - FIND(" ", [1]!Tabla2[[#This Row],[Marca y Modelo]]))</f>
        <v>Basic Shock Absorbing</v>
      </c>
      <c r="I244" s="76"/>
      <c r="J244" s="76"/>
      <c r="K244" s="92" t="s">
        <v>4084</v>
      </c>
      <c r="L244" s="92" t="s">
        <v>2855</v>
      </c>
      <c r="M244" s="92" t="s">
        <v>1404</v>
      </c>
      <c r="N244" s="92" t="s">
        <v>1658</v>
      </c>
      <c r="O244" s="77"/>
      <c r="P244" s="92" t="s">
        <v>2528</v>
      </c>
      <c r="Q244" s="32"/>
      <c r="R244" s="48" t="s">
        <v>216</v>
      </c>
      <c r="S244" s="32"/>
    </row>
    <row r="245" spans="2:19" x14ac:dyDescent="0.3">
      <c r="B245" t="s">
        <v>4348</v>
      </c>
      <c r="C245" s="11" t="s">
        <v>1092</v>
      </c>
      <c r="D245">
        <v>1</v>
      </c>
      <c r="E245" s="11" t="s">
        <v>160</v>
      </c>
      <c r="F245" s="91" t="s">
        <v>1057</v>
      </c>
      <c r="G245" s="15" t="str">
        <f>LEFT([1]modificado!$O$2, FIND(" ", [1]modificado!$O$2 &amp; " ") - 1)</f>
        <v>3M</v>
      </c>
      <c r="H245" s="47" t="str">
        <f>RIGHT([1]!Tabla2[[#This Row],[Marca y Modelo]], LEN([1]!Tabla2[[#This Row],[Marca y Modelo]]) - FIND(" ", [1]!Tabla2[[#This Row],[Marca y Modelo]]))</f>
        <v>Basic Shock Absorbing</v>
      </c>
      <c r="I245" s="76"/>
      <c r="J245" s="76"/>
      <c r="K245" s="91" t="s">
        <v>4084</v>
      </c>
      <c r="L245" s="91" t="s">
        <v>2856</v>
      </c>
      <c r="M245" s="91" t="s">
        <v>1404</v>
      </c>
      <c r="N245" s="91" t="s">
        <v>1659</v>
      </c>
      <c r="O245" s="77"/>
      <c r="P245" s="91" t="s">
        <v>2528</v>
      </c>
      <c r="Q245" s="32"/>
      <c r="R245" s="48" t="s">
        <v>216</v>
      </c>
      <c r="S245" s="32"/>
    </row>
    <row r="246" spans="2:19" x14ac:dyDescent="0.3">
      <c r="B246" t="s">
        <v>4348</v>
      </c>
      <c r="C246" s="11" t="s">
        <v>1092</v>
      </c>
      <c r="D246">
        <v>1</v>
      </c>
      <c r="E246" s="11" t="s">
        <v>160</v>
      </c>
      <c r="F246" s="92" t="s">
        <v>1057</v>
      </c>
      <c r="G246" s="15" t="str">
        <f>LEFT([1]modificado!$O$2, FIND(" ", [1]modificado!$O$2 &amp; " ") - 1)</f>
        <v>3M</v>
      </c>
      <c r="H246" s="47" t="str">
        <f>RIGHT([1]!Tabla2[[#This Row],[Marca y Modelo]], LEN([1]!Tabla2[[#This Row],[Marca y Modelo]]) - FIND(" ", [1]!Tabla2[[#This Row],[Marca y Modelo]]))</f>
        <v>Basic Shock Absorbing</v>
      </c>
      <c r="I246" s="76"/>
      <c r="J246" s="76"/>
      <c r="K246" s="92" t="s">
        <v>4084</v>
      </c>
      <c r="L246" s="92" t="s">
        <v>2857</v>
      </c>
      <c r="M246" s="92" t="s">
        <v>1404</v>
      </c>
      <c r="N246" s="92" t="s">
        <v>1660</v>
      </c>
      <c r="O246" s="77"/>
      <c r="P246" s="92" t="s">
        <v>2528</v>
      </c>
      <c r="Q246" s="32"/>
      <c r="R246" s="48" t="s">
        <v>216</v>
      </c>
      <c r="S246" s="32"/>
    </row>
    <row r="247" spans="2:19" x14ac:dyDescent="0.3">
      <c r="B247" t="s">
        <v>4348</v>
      </c>
      <c r="C247" s="11" t="s">
        <v>1092</v>
      </c>
      <c r="D247">
        <v>1</v>
      </c>
      <c r="E247" s="11" t="s">
        <v>160</v>
      </c>
      <c r="F247" s="91" t="s">
        <v>1057</v>
      </c>
      <c r="G247" s="15" t="str">
        <f>LEFT([1]modificado!$O$2, FIND(" ", [1]modificado!$O$2 &amp; " ") - 1)</f>
        <v>3M</v>
      </c>
      <c r="H247" s="47" t="str">
        <f>RIGHT([1]!Tabla2[[#This Row],[Marca y Modelo]], LEN([1]!Tabla2[[#This Row],[Marca y Modelo]]) - FIND(" ", [1]!Tabla2[[#This Row],[Marca y Modelo]]))</f>
        <v>Basic Shock Absorbing</v>
      </c>
      <c r="I247" s="76"/>
      <c r="J247" s="76"/>
      <c r="K247" s="91" t="s">
        <v>4084</v>
      </c>
      <c r="L247" s="91" t="s">
        <v>2858</v>
      </c>
      <c r="M247" s="91" t="s">
        <v>1404</v>
      </c>
      <c r="N247" s="91" t="s">
        <v>1661</v>
      </c>
      <c r="O247" s="77"/>
      <c r="P247" s="91" t="s">
        <v>2528</v>
      </c>
      <c r="Q247" s="32"/>
      <c r="R247" s="48" t="s">
        <v>216</v>
      </c>
      <c r="S247" s="32"/>
    </row>
    <row r="248" spans="2:19" x14ac:dyDescent="0.3">
      <c r="B248" t="s">
        <v>4348</v>
      </c>
      <c r="C248" s="11" t="s">
        <v>1092</v>
      </c>
      <c r="D248">
        <v>1</v>
      </c>
      <c r="E248" s="11" t="s">
        <v>160</v>
      </c>
      <c r="F248" s="92" t="s">
        <v>1057</v>
      </c>
      <c r="G248" s="15" t="str">
        <f>LEFT([1]modificado!$O$2, FIND(" ", [1]modificado!$O$2 &amp; " ") - 1)</f>
        <v>3M</v>
      </c>
      <c r="H248" s="47" t="str">
        <f>RIGHT([1]!Tabla2[[#This Row],[Marca y Modelo]], LEN([1]!Tabla2[[#This Row],[Marca y Modelo]]) - FIND(" ", [1]!Tabla2[[#This Row],[Marca y Modelo]]))</f>
        <v>900202</v>
      </c>
      <c r="I248" s="76"/>
      <c r="J248" s="76"/>
      <c r="K248" s="92" t="s">
        <v>4084</v>
      </c>
      <c r="L248" s="92" t="s">
        <v>2859</v>
      </c>
      <c r="M248" s="92" t="s">
        <v>1406</v>
      </c>
      <c r="N248" s="92" t="s">
        <v>1662</v>
      </c>
      <c r="O248" s="77"/>
      <c r="P248" s="92" t="s">
        <v>2528</v>
      </c>
      <c r="Q248" s="32"/>
      <c r="R248" s="48" t="s">
        <v>216</v>
      </c>
      <c r="S248" s="32"/>
    </row>
    <row r="249" spans="2:19" x14ac:dyDescent="0.3">
      <c r="B249" t="s">
        <v>4348</v>
      </c>
      <c r="C249" s="11" t="s">
        <v>1092</v>
      </c>
      <c r="D249">
        <v>1</v>
      </c>
      <c r="E249" s="11" t="s">
        <v>160</v>
      </c>
      <c r="F249" s="91" t="s">
        <v>1087</v>
      </c>
      <c r="G249" s="15" t="str">
        <f>LEFT([1]modificado!$O$2, FIND(" ", [1]modificado!$O$2 &amp; " ") - 1)</f>
        <v>3M</v>
      </c>
      <c r="H249" s="47" t="str">
        <f>RIGHT([1]!Tabla2[[#This Row],[Marca y Modelo]], LEN([1]!Tabla2[[#This Row],[Marca y Modelo]]) - FIND(" ", [1]!Tabla2[[#This Row],[Marca y Modelo]]))</f>
        <v>1105728</v>
      </c>
      <c r="I249" s="76"/>
      <c r="J249" s="76"/>
      <c r="K249" s="91" t="s">
        <v>4085</v>
      </c>
      <c r="L249" s="91" t="s">
        <v>2860</v>
      </c>
      <c r="M249" s="91" t="s">
        <v>1405</v>
      </c>
      <c r="N249" s="91" t="s">
        <v>1663</v>
      </c>
      <c r="O249" s="77"/>
      <c r="P249" s="91" t="s">
        <v>2528</v>
      </c>
      <c r="Q249" s="32"/>
      <c r="R249" s="48" t="s">
        <v>216</v>
      </c>
      <c r="S249" s="32"/>
    </row>
    <row r="250" spans="2:19" ht="43.2" x14ac:dyDescent="0.3">
      <c r="B250" t="s">
        <v>18</v>
      </c>
      <c r="C250" s="11" t="s">
        <v>181</v>
      </c>
      <c r="D250">
        <v>1</v>
      </c>
      <c r="E250" s="11" t="s">
        <v>160</v>
      </c>
      <c r="F250" s="91" t="s">
        <v>1058</v>
      </c>
      <c r="G250" s="15" t="str">
        <f>LEFT([1]modificado!$O$2, FIND(" ", [1]modificado!$O$2 &amp; " ") - 1)</f>
        <v>3M</v>
      </c>
      <c r="H250" s="47"/>
      <c r="I250" s="76"/>
      <c r="J250" s="76"/>
      <c r="K250" s="91" t="s">
        <v>4086</v>
      </c>
      <c r="L250" s="91" t="s">
        <v>2861</v>
      </c>
      <c r="M250" s="91" t="s">
        <v>1404</v>
      </c>
      <c r="N250" s="91" t="s">
        <v>1664</v>
      </c>
      <c r="O250" s="77"/>
      <c r="P250" s="91" t="s">
        <v>2529</v>
      </c>
      <c r="Q250" s="32"/>
      <c r="R250" s="48" t="s">
        <v>216</v>
      </c>
      <c r="S250" s="32"/>
    </row>
    <row r="251" spans="2:19" ht="43.2" x14ac:dyDescent="0.3">
      <c r="B251" t="s">
        <v>4349</v>
      </c>
      <c r="C251" s="11" t="s">
        <v>181</v>
      </c>
      <c r="D251">
        <v>1</v>
      </c>
      <c r="E251" s="11" t="s">
        <v>160</v>
      </c>
      <c r="F251" s="92" t="s">
        <v>1059</v>
      </c>
      <c r="G251" s="15" t="str">
        <f>LEFT([1]modificado!$O$2, FIND(" ", [1]modificado!$O$2 &amp; " ") - 1)</f>
        <v>3M</v>
      </c>
      <c r="H251" s="47" t="str">
        <f>RIGHT([1]!Tabla2[[#This Row],[Marca y Modelo]], LEN([1]!Tabla2[[#This Row],[Marca y Modelo]]) - FIND(" ", [1]!Tabla2[[#This Row],[Marca y Modelo]]))</f>
        <v>4550-U</v>
      </c>
      <c r="I251" s="76"/>
      <c r="J251" s="76"/>
      <c r="K251" s="92" t="s">
        <v>4087</v>
      </c>
      <c r="L251" s="92" t="s">
        <v>2862</v>
      </c>
      <c r="M251" s="92" t="s">
        <v>1404</v>
      </c>
      <c r="N251" s="92" t="s">
        <v>1665</v>
      </c>
      <c r="O251" s="77"/>
      <c r="P251" s="92" t="s">
        <v>2529</v>
      </c>
      <c r="Q251" s="32"/>
      <c r="R251" s="48" t="s">
        <v>216</v>
      </c>
      <c r="S251" s="32"/>
    </row>
    <row r="252" spans="2:19" ht="43.2" x14ac:dyDescent="0.3">
      <c r="B252" t="str">
        <f>LEFT(Tabla3890134177220392[[#This Row],[Descripción del equipo]], FIND(" ", Tabla3890134177220392[[#This Row],[Descripción del equipo]] &amp; " ") - 1)</f>
        <v>Arnes</v>
      </c>
      <c r="C252" s="11" t="s">
        <v>181</v>
      </c>
      <c r="D252">
        <v>1</v>
      </c>
      <c r="E252" s="11" t="s">
        <v>160</v>
      </c>
      <c r="F252" s="91" t="s">
        <v>1056</v>
      </c>
      <c r="G252" s="15" t="str">
        <f>LEFT([1]modificado!$O$2, FIND(" ", [1]modificado!$O$2 &amp; " ") - 1)</f>
        <v>3M</v>
      </c>
      <c r="H252" s="47" t="str">
        <f>RIGHT([1]!Tabla2[[#This Row],[Marca y Modelo]], LEN([1]!Tabla2[[#This Row],[Marca y Modelo]]) - FIND(" ", [1]!Tabla2[[#This Row],[Marca y Modelo]]))</f>
        <v>10911F-LOGO</v>
      </c>
      <c r="I252" s="76"/>
      <c r="J252" s="76"/>
      <c r="K252" s="91" t="s">
        <v>4088</v>
      </c>
      <c r="L252" s="91" t="s">
        <v>2863</v>
      </c>
      <c r="M252" s="91" t="s">
        <v>1404</v>
      </c>
      <c r="N252" s="91" t="s">
        <v>1666</v>
      </c>
      <c r="O252" s="77"/>
      <c r="P252" s="91" t="s">
        <v>2529</v>
      </c>
      <c r="Q252" s="32"/>
      <c r="R252" s="48" t="s">
        <v>216</v>
      </c>
      <c r="S252" s="32"/>
    </row>
    <row r="253" spans="2:19" ht="43.2" x14ac:dyDescent="0.3">
      <c r="B253" t="str">
        <f>LEFT(Tabla3890134177220392[[#This Row],[Descripción del equipo]], FIND(" ", Tabla3890134177220392[[#This Row],[Descripción del equipo]] &amp; " ") - 1)</f>
        <v>Autoretractil</v>
      </c>
      <c r="C253" s="11" t="s">
        <v>181</v>
      </c>
      <c r="D253">
        <v>1</v>
      </c>
      <c r="E253" s="11" t="s">
        <v>160</v>
      </c>
      <c r="F253" s="92" t="s">
        <v>1058</v>
      </c>
      <c r="G253" s="15" t="str">
        <f>LEFT([1]modificado!$O$2, FIND(" ", [1]modificado!$O$2 &amp; " ") - 1)</f>
        <v>3M</v>
      </c>
      <c r="H253" s="47"/>
      <c r="I253" s="76"/>
      <c r="J253" s="76"/>
      <c r="K253" s="92" t="s">
        <v>4086</v>
      </c>
      <c r="L253" s="92" t="s">
        <v>2864</v>
      </c>
      <c r="M253" s="92" t="s">
        <v>1404</v>
      </c>
      <c r="N253" s="92" t="s">
        <v>1667</v>
      </c>
      <c r="O253" s="77"/>
      <c r="P253" s="92" t="s">
        <v>2529</v>
      </c>
      <c r="Q253" s="32"/>
      <c r="R253" s="48" t="s">
        <v>216</v>
      </c>
      <c r="S253" s="32"/>
    </row>
    <row r="254" spans="2:19" ht="43.2" x14ac:dyDescent="0.3">
      <c r="B254" t="str">
        <f>LEFT(Tabla3890134177220392[[#This Row],[Descripción del equipo]], FIND(" ", Tabla3890134177220392[[#This Row],[Descripción del equipo]] &amp; " ") - 1)</f>
        <v>Arnes</v>
      </c>
      <c r="C254" s="11" t="s">
        <v>181</v>
      </c>
      <c r="D254">
        <v>1</v>
      </c>
      <c r="E254" s="11" t="s">
        <v>160</v>
      </c>
      <c r="F254" s="91" t="s">
        <v>1056</v>
      </c>
      <c r="G254" s="15" t="str">
        <f>LEFT([1]modificado!$O$2, FIND(" ", [1]modificado!$O$2 &amp; " ") - 1)</f>
        <v>3M</v>
      </c>
      <c r="H254" s="47" t="str">
        <f>RIGHT([1]!Tabla2[[#This Row],[Marca y Modelo]], LEN([1]!Tabla2[[#This Row],[Marca y Modelo]]) - FIND(" ", [1]!Tabla2[[#This Row],[Marca y Modelo]]))</f>
        <v>10911F-LOGO</v>
      </c>
      <c r="I254" s="76"/>
      <c r="J254" s="76"/>
      <c r="K254" s="91" t="s">
        <v>4088</v>
      </c>
      <c r="L254" s="91" t="s">
        <v>2865</v>
      </c>
      <c r="M254" s="91" t="s">
        <v>1404</v>
      </c>
      <c r="N254" s="91" t="s">
        <v>1668</v>
      </c>
      <c r="O254" s="77"/>
      <c r="P254" s="91" t="s">
        <v>2529</v>
      </c>
      <c r="Q254" s="32"/>
      <c r="R254" s="48" t="s">
        <v>216</v>
      </c>
      <c r="S254" s="32"/>
    </row>
    <row r="255" spans="2:19" ht="43.2" x14ac:dyDescent="0.3">
      <c r="B255" t="str">
        <f>LEFT(Tabla3890134177220392[[#This Row],[Descripción del equipo]], FIND(" ", Tabla3890134177220392[[#This Row],[Descripción del equipo]] &amp; " ") - 1)</f>
        <v>Arnes</v>
      </c>
      <c r="C255" s="11" t="s">
        <v>181</v>
      </c>
      <c r="D255">
        <v>1</v>
      </c>
      <c r="E255" s="11" t="s">
        <v>160</v>
      </c>
      <c r="F255" s="92" t="s">
        <v>1056</v>
      </c>
      <c r="G255" s="15" t="str">
        <f>LEFT([1]modificado!$O$2, FIND(" ", [1]modificado!$O$2 &amp; " ") - 1)</f>
        <v>3M</v>
      </c>
      <c r="H255" s="47" t="str">
        <f>RIGHT([1]!Tabla2[[#This Row],[Marca y Modelo]], LEN([1]!Tabla2[[#This Row],[Marca y Modelo]]) - FIND(" ", [1]!Tabla2[[#This Row],[Marca y Modelo]]))</f>
        <v>10911F-LOGO</v>
      </c>
      <c r="I255" s="76"/>
      <c r="J255" s="76"/>
      <c r="K255" s="92" t="s">
        <v>4088</v>
      </c>
      <c r="L255" s="92" t="s">
        <v>2866</v>
      </c>
      <c r="M255" s="92" t="s">
        <v>1404</v>
      </c>
      <c r="N255" s="92" t="s">
        <v>1669</v>
      </c>
      <c r="O255" s="77"/>
      <c r="P255" s="92" t="s">
        <v>2529</v>
      </c>
      <c r="Q255" s="32"/>
      <c r="R255" s="48" t="s">
        <v>216</v>
      </c>
      <c r="S255" s="32"/>
    </row>
    <row r="256" spans="2:19" ht="43.2" x14ac:dyDescent="0.3">
      <c r="B256" t="str">
        <f>LEFT(Tabla3890134177220392[[#This Row],[Descripción del equipo]], FIND(" ", Tabla3890134177220392[[#This Row],[Descripción del equipo]] &amp; " ") - 1)</f>
        <v>Autoretractil</v>
      </c>
      <c r="C256" s="11" t="s">
        <v>181</v>
      </c>
      <c r="D256">
        <v>1</v>
      </c>
      <c r="E256" s="11" t="s">
        <v>160</v>
      </c>
      <c r="F256" s="91" t="s">
        <v>1058</v>
      </c>
      <c r="G256" s="15" t="str">
        <f>LEFT([1]modificado!$O$2, FIND(" ", [1]modificado!$O$2 &amp; " ") - 1)</f>
        <v>3M</v>
      </c>
      <c r="H256" s="47"/>
      <c r="I256" s="76"/>
      <c r="J256" s="76"/>
      <c r="K256" s="91" t="s">
        <v>4086</v>
      </c>
      <c r="L256" s="91" t="s">
        <v>2867</v>
      </c>
      <c r="M256" s="91" t="s">
        <v>1404</v>
      </c>
      <c r="N256" s="91" t="s">
        <v>1670</v>
      </c>
      <c r="O256" s="77"/>
      <c r="P256" s="91" t="s">
        <v>2529</v>
      </c>
      <c r="Q256" s="32"/>
      <c r="R256" s="48" t="s">
        <v>216</v>
      </c>
      <c r="S256" s="32"/>
    </row>
    <row r="257" spans="2:19" ht="43.2" x14ac:dyDescent="0.3">
      <c r="B257" t="str">
        <f>LEFT(Tabla3890134177220392[[#This Row],[Descripción del equipo]], FIND(" ", Tabla3890134177220392[[#This Row],[Descripción del equipo]] &amp; " ") - 1)</f>
        <v>Arnes</v>
      </c>
      <c r="C257" s="11" t="s">
        <v>181</v>
      </c>
      <c r="D257">
        <v>1</v>
      </c>
      <c r="E257" s="11" t="s">
        <v>160</v>
      </c>
      <c r="F257" s="92" t="s">
        <v>1056</v>
      </c>
      <c r="G257" s="15" t="str">
        <f>LEFT([1]modificado!$O$2, FIND(" ", [1]modificado!$O$2 &amp; " ") - 1)</f>
        <v>3M</v>
      </c>
      <c r="H257" s="47" t="str">
        <f>RIGHT([1]!Tabla2[[#This Row],[Marca y Modelo]], LEN([1]!Tabla2[[#This Row],[Marca y Modelo]]) - FIND(" ", [1]!Tabla2[[#This Row],[Marca y Modelo]]))</f>
        <v>Musitani Space</v>
      </c>
      <c r="I257" s="76"/>
      <c r="J257" s="76"/>
      <c r="K257" s="92" t="s">
        <v>4088</v>
      </c>
      <c r="L257" s="92" t="s">
        <v>2868</v>
      </c>
      <c r="M257" s="92" t="s">
        <v>1406</v>
      </c>
      <c r="N257" s="92" t="s">
        <v>1671</v>
      </c>
      <c r="O257" s="77"/>
      <c r="P257" s="92" t="s">
        <v>2529</v>
      </c>
      <c r="Q257" s="32"/>
      <c r="R257" s="48" t="s">
        <v>216</v>
      </c>
      <c r="S257" s="32"/>
    </row>
    <row r="258" spans="2:19" ht="43.2" x14ac:dyDescent="0.3">
      <c r="B258" t="str">
        <f>LEFT(Tabla3890134177220392[[#This Row],[Descripción del equipo]], FIND(" ", Tabla3890134177220392[[#This Row],[Descripción del equipo]] &amp; " ") - 1)</f>
        <v>Autoretractil</v>
      </c>
      <c r="C258" s="11" t="s">
        <v>181</v>
      </c>
      <c r="D258">
        <v>1</v>
      </c>
      <c r="E258" s="11" t="s">
        <v>160</v>
      </c>
      <c r="F258" s="91" t="s">
        <v>1058</v>
      </c>
      <c r="G258" s="15" t="str">
        <f>LEFT([1]modificado!$O$2, FIND(" ", [1]modificado!$O$2 &amp; " ") - 1)</f>
        <v>3M</v>
      </c>
      <c r="H258" s="47" t="str">
        <f>RIGHT([1]!Tabla2[[#This Row],[Marca y Modelo]], LEN([1]!Tabla2[[#This Row],[Marca y Modelo]]) - FIND(" ", [1]!Tabla2[[#This Row],[Marca y Modelo]]))</f>
        <v>3100425</v>
      </c>
      <c r="I258" s="76"/>
      <c r="J258" s="76"/>
      <c r="K258" s="91" t="s">
        <v>4086</v>
      </c>
      <c r="L258" s="91" t="s">
        <v>2869</v>
      </c>
      <c r="M258" s="91" t="s">
        <v>1404</v>
      </c>
      <c r="N258" s="91" t="s">
        <v>1672</v>
      </c>
      <c r="O258" s="77"/>
      <c r="P258" s="91" t="s">
        <v>2529</v>
      </c>
      <c r="Q258" s="32"/>
      <c r="R258" s="48" t="s">
        <v>216</v>
      </c>
      <c r="S258" s="32"/>
    </row>
    <row r="259" spans="2:19" x14ac:dyDescent="0.3">
      <c r="B259" t="str">
        <f>LEFT(Tabla3890134177220392[[#This Row],[Descripción del equipo]], FIND(" ", Tabla3890134177220392[[#This Row],[Descripción del equipo]] &amp; " ") - 1)</f>
        <v>Arnes</v>
      </c>
      <c r="C259" s="11" t="s">
        <v>171</v>
      </c>
      <c r="D259">
        <v>1</v>
      </c>
      <c r="E259" s="11" t="s">
        <v>160</v>
      </c>
      <c r="F259" s="91" t="s">
        <v>1056</v>
      </c>
      <c r="G259" s="15" t="str">
        <f>LEFT([1]modificado!$O$2, FIND(" ", [1]modificado!$O$2 &amp; " ") - 1)</f>
        <v>3M</v>
      </c>
      <c r="H259" s="47" t="str">
        <f>RIGHT([1]!Tabla2[[#This Row],[Marca y Modelo]], LEN([1]!Tabla2[[#This Row],[Marca y Modelo]]) - FIND(" ", [1]!Tabla2[[#This Row],[Marca y Modelo]]))</f>
        <v>10911F-LOGO</v>
      </c>
      <c r="I259" s="76"/>
      <c r="J259" s="76"/>
      <c r="K259" s="91" t="s">
        <v>4089</v>
      </c>
      <c r="L259" s="91" t="s">
        <v>2870</v>
      </c>
      <c r="M259" s="91" t="s">
        <v>1404</v>
      </c>
      <c r="N259" s="91" t="s">
        <v>1673</v>
      </c>
      <c r="O259" s="77"/>
      <c r="P259" s="91" t="s">
        <v>2530</v>
      </c>
      <c r="Q259" s="32"/>
      <c r="R259" s="48" t="s">
        <v>216</v>
      </c>
      <c r="S259" s="32"/>
    </row>
    <row r="260" spans="2:19" x14ac:dyDescent="0.3">
      <c r="B260" t="str">
        <f>LEFT(Tabla3890134177220392[[#This Row],[Descripción del equipo]], FIND(" ", Tabla3890134177220392[[#This Row],[Descripción del equipo]] &amp; " ") - 1)</f>
        <v>Arnes</v>
      </c>
      <c r="C260" s="11" t="s">
        <v>171</v>
      </c>
      <c r="D260">
        <v>1</v>
      </c>
      <c r="E260" s="11" t="s">
        <v>160</v>
      </c>
      <c r="F260" s="92" t="s">
        <v>1068</v>
      </c>
      <c r="G260" s="15" t="str">
        <f>LEFT([1]modificado!$O$2, FIND(" ", [1]modificado!$O$2 &amp; " ") - 1)</f>
        <v>3M</v>
      </c>
      <c r="H260" s="47" t="str">
        <f>RIGHT([1]!Tabla2[[#This Row],[Marca y Modelo]], LEN([1]!Tabla2[[#This Row],[Marca y Modelo]]) - FIND(" ", [1]!Tabla2[[#This Row],[Marca y Modelo]]))</f>
        <v>1021-LOGO</v>
      </c>
      <c r="I260" s="76"/>
      <c r="J260" s="76"/>
      <c r="K260" s="92" t="s">
        <v>4089</v>
      </c>
      <c r="L260" s="92" t="s">
        <v>2871</v>
      </c>
      <c r="M260" s="92" t="s">
        <v>1404</v>
      </c>
      <c r="N260" s="92" t="s">
        <v>1674</v>
      </c>
      <c r="O260" s="77"/>
      <c r="P260" s="92" t="s">
        <v>2530</v>
      </c>
      <c r="Q260" s="32"/>
      <c r="R260" s="48" t="s">
        <v>216</v>
      </c>
      <c r="S260" s="32"/>
    </row>
    <row r="261" spans="2:19" x14ac:dyDescent="0.3">
      <c r="B261" t="str">
        <f>LEFT(Tabla3890134177220392[[#This Row],[Descripción del equipo]], FIND(" ", Tabla3890134177220392[[#This Row],[Descripción del equipo]] &amp; " ") - 1)</f>
        <v>Arnes</v>
      </c>
      <c r="C261" s="11" t="s">
        <v>171</v>
      </c>
      <c r="D261">
        <v>1</v>
      </c>
      <c r="E261" s="11" t="s">
        <v>160</v>
      </c>
      <c r="F261" s="91" t="s">
        <v>1062</v>
      </c>
      <c r="G261" s="15" t="str">
        <f>LEFT([1]modificado!$O$2, FIND(" ", [1]modificado!$O$2 &amp; " ") - 1)</f>
        <v>3M</v>
      </c>
      <c r="H261" s="47" t="str">
        <f>RIGHT([1]!Tabla2[[#This Row],[Marca y Modelo]], LEN([1]!Tabla2[[#This Row],[Marca y Modelo]]) - FIND(" ", [1]!Tabla2[[#This Row],[Marca y Modelo]]))</f>
        <v>10955-LOGO</v>
      </c>
      <c r="I261" s="76"/>
      <c r="J261" s="76"/>
      <c r="K261" s="91" t="s">
        <v>4089</v>
      </c>
      <c r="L261" s="91" t="s">
        <v>2872</v>
      </c>
      <c r="M261" s="91" t="s">
        <v>1404</v>
      </c>
      <c r="N261" s="91" t="s">
        <v>1675</v>
      </c>
      <c r="O261" s="77"/>
      <c r="P261" s="91" t="s">
        <v>2530</v>
      </c>
      <c r="Q261" s="32"/>
      <c r="R261" s="48" t="s">
        <v>216</v>
      </c>
      <c r="S261" s="32"/>
    </row>
    <row r="262" spans="2:19" x14ac:dyDescent="0.3">
      <c r="B262" t="str">
        <f>LEFT(Tabla3890134177220392[[#This Row],[Descripción del equipo]], FIND(" ", Tabla3890134177220392[[#This Row],[Descripción del equipo]] &amp; " ") - 1)</f>
        <v>Arnes</v>
      </c>
      <c r="C262" s="11" t="s">
        <v>171</v>
      </c>
      <c r="D262">
        <v>1</v>
      </c>
      <c r="E262" s="11" t="s">
        <v>160</v>
      </c>
      <c r="F262" s="92" t="s">
        <v>1056</v>
      </c>
      <c r="G262" s="15" t="str">
        <f>LEFT([1]modificado!$O$2, FIND(" ", [1]modificado!$O$2 &amp; " ") - 1)</f>
        <v>3M</v>
      </c>
      <c r="H262" s="47" t="str">
        <f>RIGHT([1]!Tabla2[[#This Row],[Marca y Modelo]], LEN([1]!Tabla2[[#This Row],[Marca y Modelo]]) - FIND(" ", [1]!Tabla2[[#This Row],[Marca y Modelo]]))</f>
        <v>10911F-LOGO</v>
      </c>
      <c r="I262" s="76"/>
      <c r="J262" s="76"/>
      <c r="K262" s="92" t="s">
        <v>4089</v>
      </c>
      <c r="L262" s="92" t="s">
        <v>2873</v>
      </c>
      <c r="M262" s="92" t="s">
        <v>1404</v>
      </c>
      <c r="N262" s="92" t="s">
        <v>1676</v>
      </c>
      <c r="O262" s="77"/>
      <c r="P262" s="92" t="s">
        <v>2530</v>
      </c>
      <c r="Q262" s="32"/>
      <c r="R262" s="48" t="s">
        <v>216</v>
      </c>
      <c r="S262" s="32"/>
    </row>
    <row r="263" spans="2:19" x14ac:dyDescent="0.3">
      <c r="B263" t="str">
        <f>LEFT(Tabla3890134177220392[[#This Row],[Descripción del equipo]], FIND(" ", Tabla3890134177220392[[#This Row],[Descripción del equipo]] &amp; " ") - 1)</f>
        <v>Arnes</v>
      </c>
      <c r="C263" s="11" t="s">
        <v>171</v>
      </c>
      <c r="D263">
        <v>1</v>
      </c>
      <c r="E263" s="11" t="s">
        <v>160</v>
      </c>
      <c r="F263" s="91" t="s">
        <v>1056</v>
      </c>
      <c r="G263" s="15" t="str">
        <f>LEFT([1]modificado!$O$2, FIND(" ", [1]modificado!$O$2 &amp; " ") - 1)</f>
        <v>3M</v>
      </c>
      <c r="H263" s="47" t="str">
        <f>RIGHT([1]!Tabla2[[#This Row],[Marca y Modelo]], LEN([1]!Tabla2[[#This Row],[Marca y Modelo]]) - FIND(" ", [1]!Tabla2[[#This Row],[Marca y Modelo]]))</f>
        <v>Space</v>
      </c>
      <c r="I263" s="76"/>
      <c r="J263" s="76"/>
      <c r="K263" s="91" t="s">
        <v>4089</v>
      </c>
      <c r="L263" s="91" t="s">
        <v>2874</v>
      </c>
      <c r="M263" s="91" t="s">
        <v>1406</v>
      </c>
      <c r="N263" s="91" t="s">
        <v>1677</v>
      </c>
      <c r="O263" s="77"/>
      <c r="P263" s="91" t="s">
        <v>2530</v>
      </c>
      <c r="Q263" s="32"/>
      <c r="R263" s="48" t="s">
        <v>216</v>
      </c>
      <c r="S263" s="32"/>
    </row>
    <row r="264" spans="2:19" x14ac:dyDescent="0.3">
      <c r="B264" t="str">
        <f>LEFT(Tabla3890134177220392[[#This Row],[Descripción del equipo]], FIND(" ", Tabla3890134177220392[[#This Row],[Descripción del equipo]] &amp; " ") - 1)</f>
        <v>Arnes</v>
      </c>
      <c r="C264" s="11" t="s">
        <v>171</v>
      </c>
      <c r="D264">
        <v>1</v>
      </c>
      <c r="E264" s="11" t="s">
        <v>160</v>
      </c>
      <c r="F264" s="92" t="s">
        <v>1068</v>
      </c>
      <c r="G264" s="15" t="str">
        <f>LEFT([1]modificado!$O$2, FIND(" ", [1]modificado!$O$2 &amp; " ") - 1)</f>
        <v>3M</v>
      </c>
      <c r="H264" s="47" t="str">
        <f>RIGHT([1]!Tabla2[[#This Row],[Marca y Modelo]], LEN([1]!Tabla2[[#This Row],[Marca y Modelo]]) - FIND(" ", [1]!Tabla2[[#This Row],[Marca y Modelo]]))</f>
        <v>1021-LOGO</v>
      </c>
      <c r="I264" s="76"/>
      <c r="J264" s="76"/>
      <c r="K264" s="92" t="s">
        <v>4089</v>
      </c>
      <c r="L264" s="92" t="s">
        <v>2875</v>
      </c>
      <c r="M264" s="92" t="s">
        <v>1404</v>
      </c>
      <c r="N264" s="92" t="s">
        <v>1678</v>
      </c>
      <c r="O264" s="77"/>
      <c r="P264" s="92" t="s">
        <v>2530</v>
      </c>
      <c r="Q264" s="32"/>
      <c r="R264" s="48" t="s">
        <v>216</v>
      </c>
      <c r="S264" s="32"/>
    </row>
    <row r="265" spans="2:19" x14ac:dyDescent="0.3">
      <c r="B265" t="str">
        <f>LEFT(Tabla3890134177220392[[#This Row],[Descripción del equipo]], FIND(" ", Tabla3890134177220392[[#This Row],[Descripción del equipo]] &amp; " ") - 1)</f>
        <v>Arnes</v>
      </c>
      <c r="C265" s="11" t="s">
        <v>171</v>
      </c>
      <c r="D265">
        <v>1</v>
      </c>
      <c r="E265" s="11" t="s">
        <v>160</v>
      </c>
      <c r="F265" s="91" t="s">
        <v>1056</v>
      </c>
      <c r="G265" s="15" t="str">
        <f>LEFT([1]modificado!$O$2, FIND(" ", [1]modificado!$O$2 &amp; " ") - 1)</f>
        <v>3M</v>
      </c>
      <c r="H265" s="47" t="str">
        <f>RIGHT([1]!Tabla2[[#This Row],[Marca y Modelo]], LEN([1]!Tabla2[[#This Row],[Marca y Modelo]]) - FIND(" ", [1]!Tabla2[[#This Row],[Marca y Modelo]]))</f>
        <v>Space</v>
      </c>
      <c r="I265" s="76"/>
      <c r="J265" s="76"/>
      <c r="K265" s="91" t="s">
        <v>4089</v>
      </c>
      <c r="L265" s="91" t="s">
        <v>2876</v>
      </c>
      <c r="M265" s="91" t="s">
        <v>1406</v>
      </c>
      <c r="N265" s="91" t="s">
        <v>1679</v>
      </c>
      <c r="O265" s="77"/>
      <c r="P265" s="91" t="s">
        <v>2530</v>
      </c>
      <c r="Q265" s="32"/>
      <c r="R265" s="48" t="s">
        <v>216</v>
      </c>
      <c r="S265" s="32"/>
    </row>
    <row r="266" spans="2:19" x14ac:dyDescent="0.3">
      <c r="B266" t="str">
        <f>LEFT(Tabla3890134177220392[[#This Row],[Descripción del equipo]], FIND(" ", Tabla3890134177220392[[#This Row],[Descripción del equipo]] &amp; " ") - 1)</f>
        <v>Arnes</v>
      </c>
      <c r="C266" s="11" t="s">
        <v>171</v>
      </c>
      <c r="D266">
        <v>1</v>
      </c>
      <c r="E266" s="11" t="s">
        <v>160</v>
      </c>
      <c r="F266" s="92" t="s">
        <v>1056</v>
      </c>
      <c r="G266" s="15" t="str">
        <f>LEFT([1]modificado!$O$2, FIND(" ", [1]modificado!$O$2 &amp; " ") - 1)</f>
        <v>3M</v>
      </c>
      <c r="H266" s="47" t="str">
        <f>RIGHT([1]!Tabla2[[#This Row],[Marca y Modelo]], LEN([1]!Tabla2[[#This Row],[Marca y Modelo]]) - FIND(" ", [1]!Tabla2[[#This Row],[Marca y Modelo]]))</f>
        <v>10911F-LOGO</v>
      </c>
      <c r="I266" s="76"/>
      <c r="J266" s="76"/>
      <c r="K266" s="92" t="s">
        <v>4089</v>
      </c>
      <c r="L266" s="92" t="s">
        <v>2877</v>
      </c>
      <c r="M266" s="92" t="s">
        <v>1404</v>
      </c>
      <c r="N266" s="92" t="s">
        <v>1680</v>
      </c>
      <c r="O266" s="77"/>
      <c r="P266" s="92" t="s">
        <v>2530</v>
      </c>
      <c r="Q266" s="32"/>
      <c r="R266" s="48" t="s">
        <v>216</v>
      </c>
      <c r="S266" s="32"/>
    </row>
    <row r="267" spans="2:19" x14ac:dyDescent="0.3">
      <c r="B267" t="s">
        <v>4348</v>
      </c>
      <c r="C267" s="11" t="s">
        <v>171</v>
      </c>
      <c r="D267">
        <v>1</v>
      </c>
      <c r="E267" s="11" t="s">
        <v>160</v>
      </c>
      <c r="F267" s="91" t="s">
        <v>1060</v>
      </c>
      <c r="G267" s="15" t="str">
        <f>LEFT([1]modificado!$O$2, FIND(" ", [1]modificado!$O$2 &amp; " ") - 1)</f>
        <v>3M</v>
      </c>
      <c r="H267" s="47" t="str">
        <f>RIGHT([1]!Tabla2[[#This Row],[Marca y Modelo]], LEN([1]!Tabla2[[#This Row],[Marca y Modelo]]) - FIND(" ", [1]!Tabla2[[#This Row],[Marca y Modelo]]))</f>
        <v>209550-4-0241</v>
      </c>
      <c r="I267" s="76"/>
      <c r="J267" s="76"/>
      <c r="K267" s="91" t="s">
        <v>4090</v>
      </c>
      <c r="L267" s="91" t="s">
        <v>2878</v>
      </c>
      <c r="M267" s="91" t="s">
        <v>1404</v>
      </c>
      <c r="N267" s="91" t="s">
        <v>1681</v>
      </c>
      <c r="O267" s="77"/>
      <c r="P267" s="91" t="s">
        <v>2530</v>
      </c>
      <c r="Q267" s="32"/>
      <c r="R267" s="48" t="s">
        <v>216</v>
      </c>
      <c r="S267" s="32"/>
    </row>
    <row r="268" spans="2:19" x14ac:dyDescent="0.3">
      <c r="B268" t="s">
        <v>4348</v>
      </c>
      <c r="C268" s="11" t="s">
        <v>171</v>
      </c>
      <c r="D268">
        <v>1</v>
      </c>
      <c r="E268" s="11" t="s">
        <v>160</v>
      </c>
      <c r="F268" s="92" t="s">
        <v>1060</v>
      </c>
      <c r="G268" s="15" t="str">
        <f>LEFT([1]modificado!$O$2, FIND(" ", [1]modificado!$O$2 &amp; " ") - 1)</f>
        <v>3M</v>
      </c>
      <c r="H268" s="47" t="str">
        <f>RIGHT([1]!Tabla2[[#This Row],[Marca y Modelo]], LEN([1]!Tabla2[[#This Row],[Marca y Modelo]]) - FIND(" ", [1]!Tabla2[[#This Row],[Marca y Modelo]]))</f>
        <v>209550-4-0241</v>
      </c>
      <c r="I268" s="76"/>
      <c r="J268" s="76"/>
      <c r="K268" s="92" t="s">
        <v>4090</v>
      </c>
      <c r="L268" s="92" t="s">
        <v>2879</v>
      </c>
      <c r="M268" s="92" t="s">
        <v>1404</v>
      </c>
      <c r="N268" s="92" t="s">
        <v>1682</v>
      </c>
      <c r="O268" s="77"/>
      <c r="P268" s="92" t="s">
        <v>2530</v>
      </c>
      <c r="Q268" s="32"/>
      <c r="R268" s="48" t="s">
        <v>216</v>
      </c>
      <c r="S268" s="32"/>
    </row>
    <row r="269" spans="2:19" x14ac:dyDescent="0.3">
      <c r="B269" t="s">
        <v>4348</v>
      </c>
      <c r="C269" s="11" t="s">
        <v>171</v>
      </c>
      <c r="D269">
        <v>1</v>
      </c>
      <c r="E269" s="11" t="s">
        <v>160</v>
      </c>
      <c r="F269" s="91" t="s">
        <v>1073</v>
      </c>
      <c r="G269" s="15" t="str">
        <f>LEFT([1]modificado!$O$2, FIND(" ", [1]modificado!$O$2 &amp; " ") - 1)</f>
        <v>3M</v>
      </c>
      <c r="H269" s="47" t="str">
        <f>RIGHT([1]!Tabla2[[#This Row],[Marca y Modelo]], LEN([1]!Tabla2[[#This Row],[Marca y Modelo]]) - FIND(" ", [1]!Tabla2[[#This Row],[Marca y Modelo]]))</f>
        <v>20026</v>
      </c>
      <c r="I269" s="76"/>
      <c r="J269" s="76"/>
      <c r="K269" s="91" t="s">
        <v>4090</v>
      </c>
      <c r="L269" s="91" t="s">
        <v>2880</v>
      </c>
      <c r="M269" s="91" t="s">
        <v>1404</v>
      </c>
      <c r="N269" s="91" t="s">
        <v>1683</v>
      </c>
      <c r="O269" s="77"/>
      <c r="P269" s="91" t="s">
        <v>2530</v>
      </c>
      <c r="Q269" s="32"/>
      <c r="R269" s="48" t="s">
        <v>216</v>
      </c>
      <c r="S269" s="32"/>
    </row>
    <row r="270" spans="2:19" x14ac:dyDescent="0.3">
      <c r="B270" t="s">
        <v>4348</v>
      </c>
      <c r="C270" s="11" t="s">
        <v>171</v>
      </c>
      <c r="D270">
        <v>1</v>
      </c>
      <c r="E270" s="11" t="s">
        <v>160</v>
      </c>
      <c r="F270" s="92" t="s">
        <v>1083</v>
      </c>
      <c r="G270" s="15" t="str">
        <f>LEFT([1]modificado!$O$2, FIND(" ", [1]modificado!$O$2 &amp; " ") - 1)</f>
        <v>3M</v>
      </c>
      <c r="H270" s="47" t="str">
        <f>RIGHT([1]!Tabla2[[#This Row],[Marca y Modelo]], LEN([1]!Tabla2[[#This Row],[Marca y Modelo]]) - FIND(" ", [1]!Tabla2[[#This Row],[Marca y Modelo]]))</f>
        <v>3612-D-0241</v>
      </c>
      <c r="I270" s="76"/>
      <c r="J270" s="76"/>
      <c r="K270" s="92" t="s">
        <v>4090</v>
      </c>
      <c r="L270" s="92" t="s">
        <v>2881</v>
      </c>
      <c r="M270" s="92" t="s">
        <v>1404</v>
      </c>
      <c r="N270" s="92" t="s">
        <v>1684</v>
      </c>
      <c r="O270" s="77"/>
      <c r="P270" s="92" t="s">
        <v>2530</v>
      </c>
      <c r="Q270" s="32"/>
      <c r="R270" s="48" t="s">
        <v>216</v>
      </c>
      <c r="S270" s="32"/>
    </row>
    <row r="271" spans="2:19" x14ac:dyDescent="0.3">
      <c r="B271" t="s">
        <v>28</v>
      </c>
      <c r="C271" s="11" t="s">
        <v>171</v>
      </c>
      <c r="D271">
        <v>1</v>
      </c>
      <c r="E271" s="11" t="s">
        <v>160</v>
      </c>
      <c r="F271" s="91" t="s">
        <v>1056</v>
      </c>
      <c r="G271" s="15" t="str">
        <f>LEFT([1]modificado!$O$2, FIND(" ", [1]modificado!$O$2 &amp; " ") - 1)</f>
        <v>3M</v>
      </c>
      <c r="H271" s="47" t="str">
        <f>RIGHT([1]!Tabla2[[#This Row],[Marca y Modelo]], LEN([1]!Tabla2[[#This Row],[Marca y Modelo]]) - FIND(" ", [1]!Tabla2[[#This Row],[Marca y Modelo]]))</f>
        <v>10911F-LOGO</v>
      </c>
      <c r="I271" s="76"/>
      <c r="J271" s="76"/>
      <c r="K271" s="91" t="s">
        <v>4089</v>
      </c>
      <c r="L271" s="91" t="s">
        <v>2882</v>
      </c>
      <c r="M271" s="91" t="s">
        <v>1404</v>
      </c>
      <c r="N271" s="91" t="s">
        <v>1685</v>
      </c>
      <c r="O271" s="77"/>
      <c r="P271" s="91" t="s">
        <v>2530</v>
      </c>
      <c r="Q271" s="32"/>
      <c r="R271" s="48" t="s">
        <v>216</v>
      </c>
      <c r="S271" s="32"/>
    </row>
    <row r="272" spans="2:19" x14ac:dyDescent="0.3">
      <c r="B272" t="s">
        <v>4348</v>
      </c>
      <c r="C272" s="11" t="s">
        <v>171</v>
      </c>
      <c r="D272">
        <v>1</v>
      </c>
      <c r="E272" s="11" t="s">
        <v>160</v>
      </c>
      <c r="F272" s="92" t="s">
        <v>1061</v>
      </c>
      <c r="G272" s="15" t="str">
        <f>LEFT([1]modificado!$O$2, FIND(" ", [1]modificado!$O$2 &amp; " ") - 1)</f>
        <v>3M</v>
      </c>
      <c r="H272" s="47" t="str">
        <f>RIGHT([1]!Tabla2[[#This Row],[Marca y Modelo]], LEN([1]!Tabla2[[#This Row],[Marca y Modelo]]) - FIND(" ", [1]!Tabla2[[#This Row],[Marca y Modelo]]))</f>
        <v>3210</v>
      </c>
      <c r="I272" s="76"/>
      <c r="J272" s="76"/>
      <c r="K272" s="92" t="s">
        <v>4091</v>
      </c>
      <c r="L272" s="92" t="s">
        <v>2883</v>
      </c>
      <c r="M272" s="92" t="s">
        <v>1404</v>
      </c>
      <c r="N272" s="92" t="s">
        <v>1686</v>
      </c>
      <c r="O272" s="77"/>
      <c r="P272" s="92" t="s">
        <v>2530</v>
      </c>
      <c r="Q272" s="32"/>
      <c r="R272" s="48" t="s">
        <v>216</v>
      </c>
      <c r="S272" s="32"/>
    </row>
    <row r="273" spans="2:19" x14ac:dyDescent="0.3">
      <c r="B273" t="s">
        <v>4348</v>
      </c>
      <c r="C273" s="11" t="s">
        <v>171</v>
      </c>
      <c r="D273">
        <v>1</v>
      </c>
      <c r="E273" s="11" t="s">
        <v>160</v>
      </c>
      <c r="F273" s="91" t="s">
        <v>1061</v>
      </c>
      <c r="G273" s="15" t="str">
        <f>LEFT([1]modificado!$O$2, FIND(" ", [1]modificado!$O$2 &amp; " ") - 1)</f>
        <v>3M</v>
      </c>
      <c r="H273" s="47" t="str">
        <f>RIGHT([1]!Tabla2[[#This Row],[Marca y Modelo]], LEN([1]!Tabla2[[#This Row],[Marca y Modelo]]) - FIND(" ", [1]!Tabla2[[#This Row],[Marca y Modelo]]))</f>
        <v>3210</v>
      </c>
      <c r="I273" s="76"/>
      <c r="J273" s="76"/>
      <c r="K273" s="91" t="s">
        <v>4091</v>
      </c>
      <c r="L273" s="91" t="s">
        <v>2884</v>
      </c>
      <c r="M273" s="91" t="s">
        <v>1404</v>
      </c>
      <c r="N273" s="91" t="s">
        <v>1687</v>
      </c>
      <c r="O273" s="77"/>
      <c r="P273" s="91" t="s">
        <v>2530</v>
      </c>
      <c r="Q273" s="32"/>
      <c r="R273" s="48" t="s">
        <v>216</v>
      </c>
      <c r="S273" s="32"/>
    </row>
    <row r="274" spans="2:19" x14ac:dyDescent="0.3">
      <c r="B274" t="str">
        <f>LEFT(Tabla3890134177220392[[#This Row],[Descripción del equipo]], FIND(" ", Tabla3890134177220392[[#This Row],[Descripción del equipo]] &amp; " ") - 1)</f>
        <v>Autoretractil</v>
      </c>
      <c r="C274" s="11" t="s">
        <v>171</v>
      </c>
      <c r="D274">
        <v>1</v>
      </c>
      <c r="E274" s="11" t="s">
        <v>160</v>
      </c>
      <c r="F274" s="92" t="s">
        <v>1058</v>
      </c>
      <c r="G274" s="15" t="str">
        <f>LEFT([1]modificado!$O$2, FIND(" ", [1]modificado!$O$2 &amp; " ") - 1)</f>
        <v>3M</v>
      </c>
      <c r="H274" s="47" t="str">
        <f>RIGHT([1]!Tabla2[[#This Row],[Marca y Modelo]], LEN([1]!Tabla2[[#This Row],[Marca y Modelo]]) - FIND(" ", [1]!Tabla2[[#This Row],[Marca y Modelo]]))</f>
        <v>3100414</v>
      </c>
      <c r="I274" s="76"/>
      <c r="J274" s="76"/>
      <c r="K274" s="92" t="s">
        <v>4092</v>
      </c>
      <c r="L274" s="92" t="s">
        <v>2885</v>
      </c>
      <c r="M274" s="92" t="s">
        <v>1404</v>
      </c>
      <c r="N274" s="92" t="s">
        <v>1688</v>
      </c>
      <c r="O274" s="77"/>
      <c r="P274" s="92" t="s">
        <v>2530</v>
      </c>
      <c r="Q274" s="32"/>
      <c r="R274" s="48" t="s">
        <v>216</v>
      </c>
      <c r="S274" s="32"/>
    </row>
    <row r="275" spans="2:19" x14ac:dyDescent="0.3">
      <c r="B275" t="str">
        <f>LEFT(Tabla3890134177220392[[#This Row],[Descripción del equipo]], FIND(" ", Tabla3890134177220392[[#This Row],[Descripción del equipo]] &amp; " ") - 1)</f>
        <v>Autoretractil</v>
      </c>
      <c r="C275" s="11" t="s">
        <v>171</v>
      </c>
      <c r="D275">
        <v>1</v>
      </c>
      <c r="E275" s="11" t="s">
        <v>160</v>
      </c>
      <c r="F275" s="91" t="s">
        <v>1058</v>
      </c>
      <c r="G275" s="15" t="str">
        <f>LEFT([1]modificado!$O$2, FIND(" ", [1]modificado!$O$2 &amp; " ") - 1)</f>
        <v>3M</v>
      </c>
      <c r="H275" s="47"/>
      <c r="I275" s="76"/>
      <c r="J275" s="76"/>
      <c r="K275" s="91" t="s">
        <v>4092</v>
      </c>
      <c r="L275" s="91" t="s">
        <v>2886</v>
      </c>
      <c r="M275" s="91" t="s">
        <v>1404</v>
      </c>
      <c r="N275" s="91" t="s">
        <v>1689</v>
      </c>
      <c r="O275" s="77"/>
      <c r="P275" s="91" t="s">
        <v>2530</v>
      </c>
      <c r="Q275" s="32"/>
      <c r="R275" s="48" t="s">
        <v>216</v>
      </c>
      <c r="S275" s="32"/>
    </row>
    <row r="276" spans="2:19" x14ac:dyDescent="0.3">
      <c r="B276" t="str">
        <f>LEFT(Tabla3890134177220392[[#This Row],[Descripción del equipo]], FIND(" ", Tabla3890134177220392[[#This Row],[Descripción del equipo]] &amp; " ") - 1)</f>
        <v>Autoretractil</v>
      </c>
      <c r="C276" s="11" t="s">
        <v>171</v>
      </c>
      <c r="D276">
        <v>1</v>
      </c>
      <c r="E276" s="11" t="s">
        <v>160</v>
      </c>
      <c r="F276" s="92" t="s">
        <v>1058</v>
      </c>
      <c r="G276" s="15" t="str">
        <f>LEFT([1]modificado!$O$2, FIND(" ", [1]modificado!$O$2 &amp; " ") - 1)</f>
        <v>3M</v>
      </c>
      <c r="H276" s="47" t="str">
        <f>RIGHT([1]!Tabla2[[#This Row],[Marca y Modelo]], LEN([1]!Tabla2[[#This Row],[Marca y Modelo]]) - FIND(" ", [1]!Tabla2[[#This Row],[Marca y Modelo]]))</f>
        <v>3101277</v>
      </c>
      <c r="I276" s="76"/>
      <c r="J276" s="76"/>
      <c r="K276" s="92" t="s">
        <v>4092</v>
      </c>
      <c r="L276" s="92" t="s">
        <v>2887</v>
      </c>
      <c r="M276" s="92" t="s">
        <v>1404</v>
      </c>
      <c r="N276" s="92" t="s">
        <v>1690</v>
      </c>
      <c r="O276" s="77"/>
      <c r="P276" s="92" t="s">
        <v>2530</v>
      </c>
      <c r="Q276" s="32"/>
      <c r="R276" s="48" t="s">
        <v>216</v>
      </c>
      <c r="S276" s="32"/>
    </row>
    <row r="277" spans="2:19" x14ac:dyDescent="0.3">
      <c r="B277" t="str">
        <f>LEFT(Tabla3890134177220392[[#This Row],[Descripción del equipo]], FIND(" ", Tabla3890134177220392[[#This Row],[Descripción del equipo]] &amp; " ") - 1)</f>
        <v>Retractil</v>
      </c>
      <c r="C277" s="11" t="s">
        <v>171</v>
      </c>
      <c r="D277">
        <v>1</v>
      </c>
      <c r="E277" s="11" t="s">
        <v>160</v>
      </c>
      <c r="F277" s="91" t="s">
        <v>18</v>
      </c>
      <c r="G277" s="15" t="str">
        <f>LEFT([1]modificado!$O$2, FIND(" ", [1]modificado!$O$2 &amp; " ") - 1)</f>
        <v>3M</v>
      </c>
      <c r="H277" s="47" t="str">
        <f>RIGHT([1]!Tabla2[[#This Row],[Marca y Modelo]], LEN([1]!Tabla2[[#This Row],[Marca y Modelo]]) - FIND(" ", [1]!Tabla2[[#This Row],[Marca y Modelo]]))</f>
        <v>3504430</v>
      </c>
      <c r="I277" s="76"/>
      <c r="J277" s="76"/>
      <c r="K277" s="91" t="s">
        <v>4093</v>
      </c>
      <c r="L277" s="91" t="s">
        <v>2888</v>
      </c>
      <c r="M277" s="91" t="s">
        <v>1404</v>
      </c>
      <c r="N277" s="91" t="s">
        <v>1691</v>
      </c>
      <c r="O277" s="77"/>
      <c r="P277" s="91" t="s">
        <v>2530</v>
      </c>
      <c r="Q277" s="32"/>
      <c r="R277" s="48" t="s">
        <v>216</v>
      </c>
      <c r="S277" s="32"/>
    </row>
    <row r="278" spans="2:19" x14ac:dyDescent="0.3">
      <c r="B278" t="str">
        <f>LEFT(Tabla3890134177220392[[#This Row],[Descripción del equipo]], FIND(" ", Tabla3890134177220392[[#This Row],[Descripción del equipo]] &amp; " ") - 1)</f>
        <v>Retractil</v>
      </c>
      <c r="C278" s="11" t="s">
        <v>171</v>
      </c>
      <c r="D278">
        <v>1</v>
      </c>
      <c r="E278" s="11" t="s">
        <v>160</v>
      </c>
      <c r="F278" s="92" t="s">
        <v>18</v>
      </c>
      <c r="G278" s="15" t="str">
        <f>LEFT([1]modificado!$O$2, FIND(" ", [1]modificado!$O$2 &amp; " ") - 1)</f>
        <v>3M</v>
      </c>
      <c r="H278" s="47" t="str">
        <f>RIGHT([1]!Tabla2[[#This Row],[Marca y Modelo]], LEN([1]!Tabla2[[#This Row],[Marca y Modelo]]) - FIND(" ", [1]!Tabla2[[#This Row],[Marca y Modelo]]))</f>
        <v>3504430</v>
      </c>
      <c r="I278" s="76"/>
      <c r="J278" s="76"/>
      <c r="K278" s="92" t="s">
        <v>4093</v>
      </c>
      <c r="L278" s="92" t="s">
        <v>2889</v>
      </c>
      <c r="M278" s="92" t="s">
        <v>1404</v>
      </c>
      <c r="N278" s="92" t="s">
        <v>1692</v>
      </c>
      <c r="O278" s="77"/>
      <c r="P278" s="92" t="s">
        <v>2530</v>
      </c>
      <c r="Q278" s="32"/>
      <c r="R278" s="48" t="s">
        <v>216</v>
      </c>
      <c r="S278" s="32"/>
    </row>
    <row r="279" spans="2:19" x14ac:dyDescent="0.3">
      <c r="B279" t="str">
        <f>LEFT(Tabla3890134177220392[[#This Row],[Descripción del equipo]], FIND(" ", Tabla3890134177220392[[#This Row],[Descripción del equipo]] &amp; " ") - 1)</f>
        <v>Retractil</v>
      </c>
      <c r="C279" s="11" t="s">
        <v>171</v>
      </c>
      <c r="D279">
        <v>1</v>
      </c>
      <c r="E279" s="11" t="s">
        <v>160</v>
      </c>
      <c r="F279" s="91" t="s">
        <v>18</v>
      </c>
      <c r="G279" s="15" t="str">
        <f>LEFT([1]modificado!$O$2, FIND(" ", [1]modificado!$O$2 &amp; " ") - 1)</f>
        <v>3M</v>
      </c>
      <c r="H279" s="47" t="str">
        <f>RIGHT([1]!Tabla2[[#This Row],[Marca y Modelo]], LEN([1]!Tabla2[[#This Row],[Marca y Modelo]]) - FIND(" ", [1]!Tabla2[[#This Row],[Marca y Modelo]]))</f>
        <v>3590500</v>
      </c>
      <c r="I279" s="76"/>
      <c r="J279" s="76"/>
      <c r="K279" s="91" t="s">
        <v>4093</v>
      </c>
      <c r="L279" s="91" t="s">
        <v>2890</v>
      </c>
      <c r="M279" s="91" t="s">
        <v>1404</v>
      </c>
      <c r="N279" s="91" t="s">
        <v>1693</v>
      </c>
      <c r="O279" s="77"/>
      <c r="P279" s="91" t="s">
        <v>2530</v>
      </c>
      <c r="Q279" s="32"/>
      <c r="R279" s="48" t="s">
        <v>216</v>
      </c>
      <c r="S279" s="32"/>
    </row>
    <row r="280" spans="2:19" x14ac:dyDescent="0.3">
      <c r="B280" t="str">
        <f>LEFT(Tabla3890134177220392[[#This Row],[Descripción del equipo]], FIND(" ", Tabla3890134177220392[[#This Row],[Descripción del equipo]] &amp; " ") - 1)</f>
        <v>Arnes</v>
      </c>
      <c r="C280" s="11" t="s">
        <v>171</v>
      </c>
      <c r="D280">
        <v>1</v>
      </c>
      <c r="E280" s="11" t="s">
        <v>160</v>
      </c>
      <c r="F280" s="92" t="s">
        <v>1056</v>
      </c>
      <c r="G280" s="15" t="str">
        <f>LEFT([1]modificado!$O$2, FIND(" ", [1]modificado!$O$2 &amp; " ") - 1)</f>
        <v>3M</v>
      </c>
      <c r="H280" s="47" t="str">
        <f>RIGHT([1]!Tabla2[[#This Row],[Marca y Modelo]], LEN([1]!Tabla2[[#This Row],[Marca y Modelo]]) - FIND(" ", [1]!Tabla2[[#This Row],[Marca y Modelo]]))</f>
        <v>Space</v>
      </c>
      <c r="I280" s="76"/>
      <c r="J280" s="76"/>
      <c r="K280" s="92" t="s">
        <v>4089</v>
      </c>
      <c r="L280" s="92" t="s">
        <v>2891</v>
      </c>
      <c r="M280" s="92" t="s">
        <v>1404</v>
      </c>
      <c r="N280" s="92" t="s">
        <v>1694</v>
      </c>
      <c r="O280" s="77"/>
      <c r="P280" s="92" t="s">
        <v>2530</v>
      </c>
      <c r="Q280" s="32"/>
      <c r="R280" s="48" t="s">
        <v>216</v>
      </c>
      <c r="S280" s="32"/>
    </row>
    <row r="281" spans="2:19" x14ac:dyDescent="0.3">
      <c r="B281" t="str">
        <f>LEFT(Tabla3890134177220392[[#This Row],[Descripción del equipo]], FIND(" ", Tabla3890134177220392[[#This Row],[Descripción del equipo]] &amp; " ") - 1)</f>
        <v>Retractil</v>
      </c>
      <c r="C281" s="11" t="s">
        <v>171</v>
      </c>
      <c r="D281">
        <v>1</v>
      </c>
      <c r="E281" s="11" t="s">
        <v>160</v>
      </c>
      <c r="F281" s="91" t="s">
        <v>18</v>
      </c>
      <c r="G281" s="15" t="str">
        <f>LEFT([1]modificado!$O$2, FIND(" ", [1]modificado!$O$2 &amp; " ") - 1)</f>
        <v>3M</v>
      </c>
      <c r="H281" s="47" t="str">
        <f>RIGHT([1]!Tabla2[[#This Row],[Marca y Modelo]], LEN([1]!Tabla2[[#This Row],[Marca y Modelo]]) - FIND(" ", [1]!Tabla2[[#This Row],[Marca y Modelo]]))</f>
        <v>3590500</v>
      </c>
      <c r="I281" s="76"/>
      <c r="J281" s="76"/>
      <c r="K281" s="91" t="s">
        <v>4094</v>
      </c>
      <c r="L281" s="91" t="s">
        <v>2892</v>
      </c>
      <c r="M281" s="91" t="s">
        <v>1404</v>
      </c>
      <c r="N281" s="91" t="s">
        <v>1695</v>
      </c>
      <c r="O281" s="77"/>
      <c r="P281" s="91" t="s">
        <v>2530</v>
      </c>
      <c r="Q281" s="32"/>
      <c r="R281" s="48" t="s">
        <v>216</v>
      </c>
      <c r="S281" s="32"/>
    </row>
    <row r="282" spans="2:19" x14ac:dyDescent="0.3">
      <c r="B282" t="str">
        <f>LEFT(Tabla3890134177220392[[#This Row],[Descripción del equipo]], FIND(" ", Tabla3890134177220392[[#This Row],[Descripción del equipo]] &amp; " ") - 1)</f>
        <v>Retractil</v>
      </c>
      <c r="C282" s="11" t="s">
        <v>171</v>
      </c>
      <c r="D282">
        <v>1</v>
      </c>
      <c r="E282" s="11" t="s">
        <v>160</v>
      </c>
      <c r="F282" s="92" t="s">
        <v>18</v>
      </c>
      <c r="G282" s="15" t="str">
        <f>LEFT([1]modificado!$O$2, FIND(" ", [1]modificado!$O$2 &amp; " ") - 1)</f>
        <v>3M</v>
      </c>
      <c r="H282" s="47" t="str">
        <f>RIGHT([1]!Tabla2[[#This Row],[Marca y Modelo]], LEN([1]!Tabla2[[#This Row],[Marca y Modelo]]) - FIND(" ", [1]!Tabla2[[#This Row],[Marca y Modelo]]))</f>
        <v>3504430</v>
      </c>
      <c r="I282" s="76"/>
      <c r="J282" s="76"/>
      <c r="K282" s="92" t="s">
        <v>4094</v>
      </c>
      <c r="L282" s="92" t="s">
        <v>2893</v>
      </c>
      <c r="M282" s="92" t="s">
        <v>1404</v>
      </c>
      <c r="N282" s="92" t="s">
        <v>1696</v>
      </c>
      <c r="O282" s="77"/>
      <c r="P282" s="92" t="s">
        <v>2530</v>
      </c>
      <c r="Q282" s="32"/>
      <c r="R282" s="48" t="s">
        <v>216</v>
      </c>
      <c r="S282" s="32"/>
    </row>
    <row r="283" spans="2:19" x14ac:dyDescent="0.3">
      <c r="B283" t="str">
        <f>LEFT(Tabla3890134177220392[[#This Row],[Descripción del equipo]], FIND(" ", Tabla3890134177220392[[#This Row],[Descripción del equipo]] &amp; " ") - 1)</f>
        <v>Retractil</v>
      </c>
      <c r="C283" s="11" t="s">
        <v>171</v>
      </c>
      <c r="D283">
        <v>1</v>
      </c>
      <c r="E283" s="11" t="s">
        <v>160</v>
      </c>
      <c r="F283" s="91" t="s">
        <v>18</v>
      </c>
      <c r="G283" s="15" t="str">
        <f>LEFT([1]modificado!$O$2, FIND(" ", [1]modificado!$O$2 &amp; " ") - 1)</f>
        <v>3M</v>
      </c>
      <c r="H283" s="47"/>
      <c r="I283" s="76"/>
      <c r="J283" s="76"/>
      <c r="K283" s="91" t="s">
        <v>4094</v>
      </c>
      <c r="L283" s="91" t="s">
        <v>2894</v>
      </c>
      <c r="M283" s="91" t="s">
        <v>1404</v>
      </c>
      <c r="N283" s="91" t="s">
        <v>1697</v>
      </c>
      <c r="O283" s="77"/>
      <c r="P283" s="91" t="s">
        <v>2530</v>
      </c>
      <c r="Q283" s="32"/>
      <c r="R283" s="48" t="s">
        <v>216</v>
      </c>
      <c r="S283" s="32"/>
    </row>
    <row r="284" spans="2:19" x14ac:dyDescent="0.3">
      <c r="B284" t="s">
        <v>4349</v>
      </c>
      <c r="C284" s="11" t="s">
        <v>171</v>
      </c>
      <c r="D284">
        <v>1</v>
      </c>
      <c r="E284" s="11" t="s">
        <v>160</v>
      </c>
      <c r="F284" s="92" t="s">
        <v>1059</v>
      </c>
      <c r="G284" s="15" t="str">
        <f>LEFT([1]modificado!$O$2, FIND(" ", [1]modificado!$O$2 &amp; " ") - 1)</f>
        <v>3M</v>
      </c>
      <c r="H284" s="47" t="str">
        <f>RIGHT([1]!Tabla2[[#This Row],[Marca y Modelo]], LEN([1]!Tabla2[[#This Row],[Marca y Modelo]]) - FIND(" ", [1]!Tabla2[[#This Row],[Marca y Modelo]]))</f>
        <v>4550-U</v>
      </c>
      <c r="I284" s="76"/>
      <c r="J284" s="76"/>
      <c r="K284" s="92" t="s">
        <v>4095</v>
      </c>
      <c r="L284" s="92" t="s">
        <v>2895</v>
      </c>
      <c r="M284" s="92" t="s">
        <v>1404</v>
      </c>
      <c r="N284" s="92" t="s">
        <v>1698</v>
      </c>
      <c r="O284" s="77"/>
      <c r="P284" s="92" t="s">
        <v>2530</v>
      </c>
      <c r="Q284" s="32"/>
      <c r="R284" s="48" t="s">
        <v>216</v>
      </c>
      <c r="S284" s="32"/>
    </row>
    <row r="285" spans="2:19" x14ac:dyDescent="0.3">
      <c r="B285" t="s">
        <v>4349</v>
      </c>
      <c r="C285" s="11" t="s">
        <v>171</v>
      </c>
      <c r="D285">
        <v>1</v>
      </c>
      <c r="E285" s="11" t="s">
        <v>160</v>
      </c>
      <c r="F285" s="91" t="s">
        <v>1059</v>
      </c>
      <c r="G285" s="15" t="str">
        <f>LEFT([1]modificado!$O$2, FIND(" ", [1]modificado!$O$2 &amp; " ") - 1)</f>
        <v>3M</v>
      </c>
      <c r="H285" s="47" t="str">
        <f>RIGHT([1]!Tabla2[[#This Row],[Marca y Modelo]], LEN([1]!Tabla2[[#This Row],[Marca y Modelo]]) - FIND(" ", [1]!Tabla2[[#This Row],[Marca y Modelo]]))</f>
        <v>4550-U</v>
      </c>
      <c r="I285" s="76"/>
      <c r="J285" s="76"/>
      <c r="K285" s="91" t="s">
        <v>4095</v>
      </c>
      <c r="L285" s="91" t="s">
        <v>2896</v>
      </c>
      <c r="M285" s="91" t="s">
        <v>1404</v>
      </c>
      <c r="N285" s="91" t="s">
        <v>1699</v>
      </c>
      <c r="O285" s="77"/>
      <c r="P285" s="91" t="s">
        <v>2530</v>
      </c>
      <c r="Q285" s="32"/>
      <c r="R285" s="48" t="s">
        <v>216</v>
      </c>
      <c r="S285" s="32"/>
    </row>
    <row r="286" spans="2:19" x14ac:dyDescent="0.3">
      <c r="B286" t="s">
        <v>4349</v>
      </c>
      <c r="C286" s="11" t="s">
        <v>171</v>
      </c>
      <c r="D286">
        <v>1</v>
      </c>
      <c r="E286" s="11" t="s">
        <v>160</v>
      </c>
      <c r="F286" s="92" t="s">
        <v>1059</v>
      </c>
      <c r="G286" s="15" t="str">
        <f>LEFT([1]modificado!$O$2, FIND(" ", [1]modificado!$O$2 &amp; " ") - 1)</f>
        <v>3M</v>
      </c>
      <c r="H286" s="47" t="str">
        <f>RIGHT([1]!Tabla2[[#This Row],[Marca y Modelo]], LEN([1]!Tabla2[[#This Row],[Marca y Modelo]]) - FIND(" ", [1]!Tabla2[[#This Row],[Marca y Modelo]]))</f>
        <v>4550</v>
      </c>
      <c r="I286" s="76"/>
      <c r="J286" s="76"/>
      <c r="K286" s="92" t="s">
        <v>4095</v>
      </c>
      <c r="L286" s="92" t="s">
        <v>2897</v>
      </c>
      <c r="M286" s="92" t="s">
        <v>1404</v>
      </c>
      <c r="N286" s="92" t="s">
        <v>1700</v>
      </c>
      <c r="O286" s="77"/>
      <c r="P286" s="92" t="s">
        <v>2530</v>
      </c>
      <c r="Q286" s="32"/>
      <c r="R286" s="48" t="s">
        <v>216</v>
      </c>
      <c r="S286" s="32"/>
    </row>
    <row r="287" spans="2:19" x14ac:dyDescent="0.3">
      <c r="B287" t="s">
        <v>4349</v>
      </c>
      <c r="C287" s="11" t="s">
        <v>171</v>
      </c>
      <c r="D287">
        <v>1</v>
      </c>
      <c r="E287" s="11" t="s">
        <v>160</v>
      </c>
      <c r="F287" s="91" t="s">
        <v>1059</v>
      </c>
      <c r="G287" s="15" t="str">
        <f>LEFT([1]modificado!$O$2, FIND(" ", [1]modificado!$O$2 &amp; " ") - 1)</f>
        <v>3M</v>
      </c>
      <c r="H287" s="47" t="str">
        <f>RIGHT([1]!Tabla2[[#This Row],[Marca y Modelo]], LEN([1]!Tabla2[[#This Row],[Marca y Modelo]]) - FIND(" ", [1]!Tabla2[[#This Row],[Marca y Modelo]]))</f>
        <v>4550</v>
      </c>
      <c r="I287" s="76"/>
      <c r="J287" s="76"/>
      <c r="K287" s="91" t="s">
        <v>4095</v>
      </c>
      <c r="L287" s="91" t="s">
        <v>2898</v>
      </c>
      <c r="M287" s="91" t="s">
        <v>1404</v>
      </c>
      <c r="N287" s="91" t="s">
        <v>1701</v>
      </c>
      <c r="O287" s="77"/>
      <c r="P287" s="91" t="s">
        <v>2530</v>
      </c>
      <c r="Q287" s="32"/>
      <c r="R287" s="48" t="s">
        <v>216</v>
      </c>
      <c r="S287" s="32"/>
    </row>
    <row r="288" spans="2:19" x14ac:dyDescent="0.3">
      <c r="B288" t="s">
        <v>4349</v>
      </c>
      <c r="C288" s="11" t="s">
        <v>171</v>
      </c>
      <c r="D288">
        <v>1</v>
      </c>
      <c r="E288" s="11" t="s">
        <v>160</v>
      </c>
      <c r="F288" s="92" t="s">
        <v>1081</v>
      </c>
      <c r="G288" s="15" t="str">
        <f>LEFT([1]modificado!$O$2, FIND(" ", [1]modificado!$O$2 &amp; " ") - 1)</f>
        <v>3M</v>
      </c>
      <c r="H288" s="47" t="str">
        <f>RIGHT([1]!Tabla2[[#This Row],[Marca y Modelo]], LEN([1]!Tabla2[[#This Row],[Marca y Modelo]]) - FIND(" ", [1]!Tabla2[[#This Row],[Marca y Modelo]]))</f>
        <v>5900551</v>
      </c>
      <c r="I288" s="76"/>
      <c r="J288" s="76"/>
      <c r="K288" s="92" t="s">
        <v>4095</v>
      </c>
      <c r="L288" s="92" t="s">
        <v>2899</v>
      </c>
      <c r="M288" s="92" t="s">
        <v>1404</v>
      </c>
      <c r="N288" s="92" t="s">
        <v>1702</v>
      </c>
      <c r="O288" s="77"/>
      <c r="P288" s="92" t="s">
        <v>2530</v>
      </c>
      <c r="Q288" s="32"/>
      <c r="R288" s="48" t="s">
        <v>216</v>
      </c>
      <c r="S288" s="32"/>
    </row>
    <row r="289" spans="2:19" x14ac:dyDescent="0.3">
      <c r="B289" t="str">
        <f>LEFT(Tabla3890134177220392[[#This Row],[Descripción del equipo]], FIND(" ", Tabla3890134177220392[[#This Row],[Descripción del equipo]] &amp; " ") - 1)</f>
        <v>Arnes</v>
      </c>
      <c r="C289" s="11" t="s">
        <v>171</v>
      </c>
      <c r="D289">
        <v>1</v>
      </c>
      <c r="E289" s="11" t="s">
        <v>160</v>
      </c>
      <c r="F289" s="91" t="s">
        <v>1068</v>
      </c>
      <c r="G289" s="15" t="str">
        <f>LEFT([1]modificado!$O$2, FIND(" ", [1]modificado!$O$2 &amp; " ") - 1)</f>
        <v>3M</v>
      </c>
      <c r="H289" s="47" t="str">
        <f>RIGHT([1]!Tabla2[[#This Row],[Marca y Modelo]], LEN([1]!Tabla2[[#This Row],[Marca y Modelo]]) - FIND(" ", [1]!Tabla2[[#This Row],[Marca y Modelo]]))</f>
        <v>1191381</v>
      </c>
      <c r="I289" s="76"/>
      <c r="J289" s="76"/>
      <c r="K289" s="91" t="s">
        <v>4096</v>
      </c>
      <c r="L289" s="91" t="s">
        <v>2900</v>
      </c>
      <c r="M289" s="91" t="s">
        <v>1404</v>
      </c>
      <c r="N289" s="91" t="s">
        <v>1703</v>
      </c>
      <c r="O289" s="77"/>
      <c r="P289" s="91" t="s">
        <v>2530</v>
      </c>
      <c r="Q289" s="32"/>
      <c r="R289" s="48" t="s">
        <v>216</v>
      </c>
      <c r="S289" s="32"/>
    </row>
    <row r="290" spans="2:19" x14ac:dyDescent="0.3">
      <c r="B290" t="str">
        <f>LEFT(Tabla3890134177220392[[#This Row],[Descripción del equipo]], FIND(" ", Tabla3890134177220392[[#This Row],[Descripción del equipo]] &amp; " ") - 1)</f>
        <v>Arnes</v>
      </c>
      <c r="C290" s="11" t="s">
        <v>171</v>
      </c>
      <c r="D290">
        <v>1</v>
      </c>
      <c r="E290" s="11" t="s">
        <v>160</v>
      </c>
      <c r="F290" s="92" t="s">
        <v>1068</v>
      </c>
      <c r="G290" s="15" t="str">
        <f>LEFT([1]modificado!$O$2, FIND(" ", [1]modificado!$O$2 &amp; " ") - 1)</f>
        <v>3M</v>
      </c>
      <c r="H290" s="47" t="str">
        <f>RIGHT([1]!Tabla2[[#This Row],[Marca y Modelo]], LEN([1]!Tabla2[[#This Row],[Marca y Modelo]]) - FIND(" ", [1]!Tabla2[[#This Row],[Marca y Modelo]]))</f>
        <v>1021-LOGO</v>
      </c>
      <c r="I290" s="76"/>
      <c r="J290" s="76"/>
      <c r="K290" s="92" t="s">
        <v>4096</v>
      </c>
      <c r="L290" s="92" t="s">
        <v>2901</v>
      </c>
      <c r="M290" s="92" t="s">
        <v>1404</v>
      </c>
      <c r="N290" s="92" t="s">
        <v>1704</v>
      </c>
      <c r="O290" s="77"/>
      <c r="P290" s="92" t="s">
        <v>2530</v>
      </c>
      <c r="Q290" s="32"/>
      <c r="R290" s="48" t="s">
        <v>216</v>
      </c>
      <c r="S290" s="32"/>
    </row>
    <row r="291" spans="2:19" x14ac:dyDescent="0.3">
      <c r="B291" t="str">
        <f>LEFT(Tabla3890134177220392[[#This Row],[Descripción del equipo]], FIND(" ", Tabla3890134177220392[[#This Row],[Descripción del equipo]] &amp; " ") - 1)</f>
        <v>Arnes</v>
      </c>
      <c r="C291" s="11" t="s">
        <v>171</v>
      </c>
      <c r="D291">
        <v>1</v>
      </c>
      <c r="E291" s="11" t="s">
        <v>160</v>
      </c>
      <c r="F291" s="91" t="s">
        <v>1062</v>
      </c>
      <c r="G291" s="15" t="str">
        <f>LEFT([1]modificado!$O$2, FIND(" ", [1]modificado!$O$2 &amp; " ") - 1)</f>
        <v>3M</v>
      </c>
      <c r="H291" s="47" t="str">
        <f>RIGHT([1]!Tabla2[[#This Row],[Marca y Modelo]], LEN([1]!Tabla2[[#This Row],[Marca y Modelo]]) - FIND(" ", [1]!Tabla2[[#This Row],[Marca y Modelo]]))</f>
        <v>10955-LOGO</v>
      </c>
      <c r="I291" s="76"/>
      <c r="J291" s="76"/>
      <c r="K291" s="91" t="s">
        <v>4096</v>
      </c>
      <c r="L291" s="91" t="s">
        <v>2902</v>
      </c>
      <c r="M291" s="91" t="s">
        <v>1404</v>
      </c>
      <c r="N291" s="91" t="s">
        <v>1705</v>
      </c>
      <c r="O291" s="77"/>
      <c r="P291" s="91" t="s">
        <v>2530</v>
      </c>
      <c r="Q291" s="32"/>
      <c r="R291" s="48" t="s">
        <v>216</v>
      </c>
      <c r="S291" s="32"/>
    </row>
    <row r="292" spans="2:19" x14ac:dyDescent="0.3">
      <c r="B292" t="s">
        <v>4348</v>
      </c>
      <c r="C292" s="11" t="s">
        <v>171</v>
      </c>
      <c r="D292">
        <v>1</v>
      </c>
      <c r="E292" s="11" t="s">
        <v>160</v>
      </c>
      <c r="F292" s="92" t="s">
        <v>1083</v>
      </c>
      <c r="G292" s="15" t="str">
        <f>LEFT([1]modificado!$O$2, FIND(" ", [1]modificado!$O$2 &amp; " ") - 1)</f>
        <v>3M</v>
      </c>
      <c r="H292" s="47" t="str">
        <f>RIGHT([1]!Tabla2[[#This Row],[Marca y Modelo]], LEN([1]!Tabla2[[#This Row],[Marca y Modelo]]) - FIND(" ", [1]!Tabla2[[#This Row],[Marca y Modelo]]))</f>
        <v>3612-D-0241</v>
      </c>
      <c r="I292" s="76"/>
      <c r="J292" s="76"/>
      <c r="K292" s="92" t="s">
        <v>4097</v>
      </c>
      <c r="L292" s="92" t="s">
        <v>2903</v>
      </c>
      <c r="M292" s="92" t="s">
        <v>1404</v>
      </c>
      <c r="N292" s="92" t="s">
        <v>1706</v>
      </c>
      <c r="O292" s="77"/>
      <c r="P292" s="92" t="s">
        <v>2530</v>
      </c>
      <c r="Q292" s="32"/>
      <c r="R292" s="48" t="s">
        <v>216</v>
      </c>
      <c r="S292" s="32"/>
    </row>
    <row r="293" spans="2:19" x14ac:dyDescent="0.3">
      <c r="B293" t="str">
        <f>LEFT(Tabla3890134177220392[[#This Row],[Descripción del equipo]], FIND(" ", Tabla3890134177220392[[#This Row],[Descripción del equipo]] &amp; " ") - 1)</f>
        <v>Arnes</v>
      </c>
      <c r="C293" s="11" t="s">
        <v>171</v>
      </c>
      <c r="D293">
        <v>1</v>
      </c>
      <c r="E293" s="11" t="s">
        <v>160</v>
      </c>
      <c r="F293" s="91" t="s">
        <v>1056</v>
      </c>
      <c r="G293" s="15" t="str">
        <f>LEFT([1]modificado!$O$2, FIND(" ", [1]modificado!$O$2 &amp; " ") - 1)</f>
        <v>3M</v>
      </c>
      <c r="H293" s="47" t="str">
        <f>RIGHT([1]!Tabla2[[#This Row],[Marca y Modelo]], LEN([1]!Tabla2[[#This Row],[Marca y Modelo]]) - FIND(" ", [1]!Tabla2[[#This Row],[Marca y Modelo]]))</f>
        <v>10911F-LOGO</v>
      </c>
      <c r="I293" s="76"/>
      <c r="J293" s="76"/>
      <c r="K293" s="91" t="s">
        <v>4096</v>
      </c>
      <c r="L293" s="91" t="s">
        <v>2904</v>
      </c>
      <c r="M293" s="91" t="s">
        <v>1404</v>
      </c>
      <c r="N293" s="91" t="s">
        <v>1707</v>
      </c>
      <c r="O293" s="77"/>
      <c r="P293" s="91" t="s">
        <v>2530</v>
      </c>
      <c r="Q293" s="32"/>
      <c r="R293" s="48" t="s">
        <v>216</v>
      </c>
      <c r="S293" s="32"/>
    </row>
    <row r="294" spans="2:19" x14ac:dyDescent="0.3">
      <c r="B294" t="s">
        <v>4348</v>
      </c>
      <c r="C294" s="11" t="s">
        <v>171</v>
      </c>
      <c r="D294">
        <v>1</v>
      </c>
      <c r="E294" s="11" t="s">
        <v>160</v>
      </c>
      <c r="F294" s="92" t="s">
        <v>1072</v>
      </c>
      <c r="G294" s="15" t="str">
        <f>LEFT([1]modificado!$O$2, FIND(" ", [1]modificado!$O$2 &amp; " ") - 1)</f>
        <v>3M</v>
      </c>
      <c r="H294" s="47" t="str">
        <f>RIGHT([1]!Tabla2[[#This Row],[Marca y Modelo]], LEN([1]!Tabla2[[#This Row],[Marca y Modelo]]) - FIND(" ", [1]!Tabla2[[#This Row],[Marca y Modelo]]))</f>
        <v>1385301MX</v>
      </c>
      <c r="I294" s="76"/>
      <c r="J294" s="76"/>
      <c r="K294" s="92" t="s">
        <v>4098</v>
      </c>
      <c r="L294" s="92" t="s">
        <v>2905</v>
      </c>
      <c r="M294" s="92" t="s">
        <v>1404</v>
      </c>
      <c r="N294" s="92" t="s">
        <v>1708</v>
      </c>
      <c r="O294" s="77"/>
      <c r="P294" s="92" t="s">
        <v>2530</v>
      </c>
      <c r="Q294" s="32"/>
      <c r="R294" s="48" t="s">
        <v>216</v>
      </c>
      <c r="S294" s="32"/>
    </row>
    <row r="295" spans="2:19" x14ac:dyDescent="0.3">
      <c r="B295" t="s">
        <v>4348</v>
      </c>
      <c r="C295" s="11" t="s">
        <v>171</v>
      </c>
      <c r="D295">
        <v>1</v>
      </c>
      <c r="E295" s="11" t="s">
        <v>160</v>
      </c>
      <c r="F295" s="91" t="s">
        <v>1072</v>
      </c>
      <c r="G295" s="15" t="str">
        <f>LEFT([1]modificado!$O$2, FIND(" ", [1]modificado!$O$2 &amp; " ") - 1)</f>
        <v>3M</v>
      </c>
      <c r="H295" s="47" t="str">
        <f>RIGHT([1]!Tabla2[[#This Row],[Marca y Modelo]], LEN([1]!Tabla2[[#This Row],[Marca y Modelo]]) - FIND(" ", [1]!Tabla2[[#This Row],[Marca y Modelo]]))</f>
        <v>1385301MX</v>
      </c>
      <c r="I295" s="76"/>
      <c r="J295" s="76"/>
      <c r="K295" s="91" t="s">
        <v>4098</v>
      </c>
      <c r="L295" s="91" t="s">
        <v>2906</v>
      </c>
      <c r="M295" s="91" t="s">
        <v>1404</v>
      </c>
      <c r="N295" s="91" t="s">
        <v>1709</v>
      </c>
      <c r="O295" s="77"/>
      <c r="P295" s="91" t="s">
        <v>2530</v>
      </c>
      <c r="Q295" s="32"/>
      <c r="R295" s="48" t="s">
        <v>216</v>
      </c>
      <c r="S295" s="32"/>
    </row>
    <row r="296" spans="2:19" x14ac:dyDescent="0.3">
      <c r="B296" t="str">
        <f>LEFT(Tabla3890134177220392[[#This Row],[Descripción del equipo]], FIND(" ", Tabla3890134177220392[[#This Row],[Descripción del equipo]] &amp; " ") - 1)</f>
        <v>Autoretractil</v>
      </c>
      <c r="C296" s="11" t="s">
        <v>171</v>
      </c>
      <c r="D296">
        <v>1</v>
      </c>
      <c r="E296" s="11" t="s">
        <v>160</v>
      </c>
      <c r="F296" s="92" t="s">
        <v>1058</v>
      </c>
      <c r="G296" s="15" t="str">
        <f>LEFT([1]modificado!$O$2, FIND(" ", [1]modificado!$O$2 &amp; " ") - 1)</f>
        <v>3M</v>
      </c>
      <c r="H296" s="47" t="str">
        <f>RIGHT([1]!Tabla2[[#This Row],[Marca y Modelo]], LEN([1]!Tabla2[[#This Row],[Marca y Modelo]]) - FIND(" ", [1]!Tabla2[[#This Row],[Marca y Modelo]]))</f>
        <v>3100425</v>
      </c>
      <c r="I296" s="76"/>
      <c r="J296" s="76"/>
      <c r="K296" s="92" t="s">
        <v>4099</v>
      </c>
      <c r="L296" s="92" t="s">
        <v>2907</v>
      </c>
      <c r="M296" s="92" t="s">
        <v>1404</v>
      </c>
      <c r="N296" s="92" t="s">
        <v>1710</v>
      </c>
      <c r="O296" s="77"/>
      <c r="P296" s="92" t="s">
        <v>2530</v>
      </c>
      <c r="Q296" s="32"/>
      <c r="R296" s="48" t="s">
        <v>216</v>
      </c>
      <c r="S296" s="32"/>
    </row>
    <row r="297" spans="2:19" x14ac:dyDescent="0.3">
      <c r="B297" t="str">
        <f>LEFT(Tabla3890134177220392[[#This Row],[Descripción del equipo]], FIND(" ", Tabla3890134177220392[[#This Row],[Descripción del equipo]] &amp; " ") - 1)</f>
        <v>Autoretractil</v>
      </c>
      <c r="C297" s="11" t="s">
        <v>171</v>
      </c>
      <c r="D297">
        <v>1</v>
      </c>
      <c r="E297" s="11" t="s">
        <v>160</v>
      </c>
      <c r="F297" s="91" t="s">
        <v>1058</v>
      </c>
      <c r="G297" s="15" t="str">
        <f>LEFT([1]modificado!$O$2, FIND(" ", [1]modificado!$O$2 &amp; " ") - 1)</f>
        <v>3M</v>
      </c>
      <c r="H297" s="47" t="str">
        <f>RIGHT([1]!Tabla2[[#This Row],[Marca y Modelo]], LEN([1]!Tabla2[[#This Row],[Marca y Modelo]]) - FIND(" ", [1]!Tabla2[[#This Row],[Marca y Modelo]]))</f>
        <v>3101277</v>
      </c>
      <c r="I297" s="76"/>
      <c r="J297" s="76"/>
      <c r="K297" s="91" t="s">
        <v>4099</v>
      </c>
      <c r="L297" s="91" t="s">
        <v>2908</v>
      </c>
      <c r="M297" s="91" t="s">
        <v>1404</v>
      </c>
      <c r="N297" s="91" t="s">
        <v>1711</v>
      </c>
      <c r="O297" s="77"/>
      <c r="P297" s="91" t="s">
        <v>2530</v>
      </c>
      <c r="Q297" s="32"/>
      <c r="R297" s="48" t="s">
        <v>216</v>
      </c>
      <c r="S297" s="32"/>
    </row>
    <row r="298" spans="2:19" x14ac:dyDescent="0.3">
      <c r="B298" t="str">
        <f>LEFT(Tabla3890134177220392[[#This Row],[Descripción del equipo]], FIND(" ", Tabla3890134177220392[[#This Row],[Descripción del equipo]] &amp; " ") - 1)</f>
        <v>Arnes</v>
      </c>
      <c r="C298" s="11" t="s">
        <v>171</v>
      </c>
      <c r="D298">
        <v>1</v>
      </c>
      <c r="E298" s="11" t="s">
        <v>160</v>
      </c>
      <c r="F298" s="92" t="s">
        <v>1062</v>
      </c>
      <c r="G298" s="15" t="str">
        <f>LEFT([1]modificado!$O$2, FIND(" ", [1]modificado!$O$2 &amp; " ") - 1)</f>
        <v>3M</v>
      </c>
      <c r="H298" s="47" t="str">
        <f>RIGHT([1]!Tabla2[[#This Row],[Marca y Modelo]], LEN([1]!Tabla2[[#This Row],[Marca y Modelo]]) - FIND(" ", [1]!Tabla2[[#This Row],[Marca y Modelo]]))</f>
        <v>10955-LOGO</v>
      </c>
      <c r="I298" s="76"/>
      <c r="J298" s="76"/>
      <c r="K298" s="92" t="s">
        <v>4096</v>
      </c>
      <c r="L298" s="92" t="s">
        <v>2909</v>
      </c>
      <c r="M298" s="92" t="s">
        <v>1404</v>
      </c>
      <c r="N298" s="92" t="s">
        <v>1712</v>
      </c>
      <c r="O298" s="77"/>
      <c r="P298" s="92" t="s">
        <v>2530</v>
      </c>
      <c r="Q298" s="32"/>
      <c r="R298" s="48" t="s">
        <v>216</v>
      </c>
      <c r="S298" s="32"/>
    </row>
    <row r="299" spans="2:19" x14ac:dyDescent="0.3">
      <c r="B299" t="str">
        <f>LEFT(Tabla3890134177220392[[#This Row],[Descripción del equipo]], FIND(" ", Tabla3890134177220392[[#This Row],[Descripción del equipo]] &amp; " ") - 1)</f>
        <v>Arnes</v>
      </c>
      <c r="C299" s="11" t="s">
        <v>171</v>
      </c>
      <c r="D299">
        <v>1</v>
      </c>
      <c r="E299" s="11" t="s">
        <v>160</v>
      </c>
      <c r="F299" s="91" t="s">
        <v>1068</v>
      </c>
      <c r="G299" s="15" t="str">
        <f>LEFT([1]modificado!$O$2, FIND(" ", [1]modificado!$O$2 &amp; " ") - 1)</f>
        <v>3M</v>
      </c>
      <c r="H299" s="47" t="str">
        <f>RIGHT([1]!Tabla2[[#This Row],[Marca y Modelo]], LEN([1]!Tabla2[[#This Row],[Marca y Modelo]]) - FIND(" ", [1]!Tabla2[[#This Row],[Marca y Modelo]]))</f>
        <v>1021-LOGO</v>
      </c>
      <c r="I299" s="76"/>
      <c r="J299" s="76"/>
      <c r="K299" s="91" t="s">
        <v>4096</v>
      </c>
      <c r="L299" s="91" t="s">
        <v>2910</v>
      </c>
      <c r="M299" s="91" t="s">
        <v>1404</v>
      </c>
      <c r="N299" s="91" t="s">
        <v>1713</v>
      </c>
      <c r="O299" s="77"/>
      <c r="P299" s="91" t="s">
        <v>2530</v>
      </c>
      <c r="Q299" s="32"/>
      <c r="R299" s="48" t="s">
        <v>216</v>
      </c>
      <c r="S299" s="32"/>
    </row>
    <row r="300" spans="2:19" x14ac:dyDescent="0.3">
      <c r="B300" t="str">
        <f>LEFT(Tabla3890134177220392[[#This Row],[Descripción del equipo]], FIND(" ", Tabla3890134177220392[[#This Row],[Descripción del equipo]] &amp; " ") - 1)</f>
        <v>Arnes</v>
      </c>
      <c r="C300" s="11" t="s">
        <v>171</v>
      </c>
      <c r="D300">
        <v>1</v>
      </c>
      <c r="E300" s="11" t="s">
        <v>160</v>
      </c>
      <c r="F300" s="92" t="s">
        <v>1068</v>
      </c>
      <c r="G300" s="15" t="str">
        <f>LEFT([1]modificado!$O$2, FIND(" ", [1]modificado!$O$2 &amp; " ") - 1)</f>
        <v>3M</v>
      </c>
      <c r="H300" s="47" t="str">
        <f>RIGHT([1]!Tabla2[[#This Row],[Marca y Modelo]], LEN([1]!Tabla2[[#This Row],[Marca y Modelo]]) - FIND(" ", [1]!Tabla2[[#This Row],[Marca y Modelo]]))</f>
        <v>1021-LOGO</v>
      </c>
      <c r="I300" s="76"/>
      <c r="J300" s="76"/>
      <c r="K300" s="92" t="s">
        <v>4096</v>
      </c>
      <c r="L300" s="92" t="s">
        <v>2911</v>
      </c>
      <c r="M300" s="92" t="s">
        <v>1404</v>
      </c>
      <c r="N300" s="92" t="s">
        <v>1714</v>
      </c>
      <c r="O300" s="77"/>
      <c r="P300" s="92" t="s">
        <v>2530</v>
      </c>
      <c r="Q300" s="32"/>
      <c r="R300" s="48" t="s">
        <v>216</v>
      </c>
      <c r="S300" s="32"/>
    </row>
    <row r="301" spans="2:19" x14ac:dyDescent="0.3">
      <c r="B301" t="s">
        <v>4348</v>
      </c>
      <c r="C301" s="11" t="s">
        <v>171</v>
      </c>
      <c r="D301">
        <v>1</v>
      </c>
      <c r="E301" s="11" t="s">
        <v>160</v>
      </c>
      <c r="F301" s="91" t="s">
        <v>1057</v>
      </c>
      <c r="G301" s="15" t="str">
        <f>LEFT([1]modificado!$O$2, FIND(" ", [1]modificado!$O$2 &amp; " ") - 1)</f>
        <v>3M</v>
      </c>
      <c r="H301" s="47"/>
      <c r="I301" s="76"/>
      <c r="J301" s="76"/>
      <c r="K301" s="91" t="s">
        <v>4097</v>
      </c>
      <c r="L301" s="91" t="s">
        <v>2912</v>
      </c>
      <c r="M301" s="91" t="s">
        <v>1404</v>
      </c>
      <c r="N301" s="91" t="s">
        <v>1715</v>
      </c>
      <c r="O301" s="77"/>
      <c r="P301" s="91" t="s">
        <v>2530</v>
      </c>
      <c r="Q301" s="32"/>
      <c r="R301" s="48" t="s">
        <v>216</v>
      </c>
      <c r="S301" s="32"/>
    </row>
    <row r="302" spans="2:19" x14ac:dyDescent="0.3">
      <c r="B302" t="str">
        <f>LEFT(Tabla3890134177220392[[#This Row],[Descripción del equipo]], FIND(" ", Tabla3890134177220392[[#This Row],[Descripción del equipo]] &amp; " ") - 1)</f>
        <v>Arnes</v>
      </c>
      <c r="C302" s="11" t="s">
        <v>171</v>
      </c>
      <c r="D302">
        <v>1</v>
      </c>
      <c r="E302" s="11" t="s">
        <v>160</v>
      </c>
      <c r="F302" s="92" t="s">
        <v>1056</v>
      </c>
      <c r="G302" s="15" t="str">
        <f>LEFT([1]modificado!$O$2, FIND(" ", [1]modificado!$O$2 &amp; " ") - 1)</f>
        <v>3M</v>
      </c>
      <c r="H302" s="47" t="str">
        <f>RIGHT([1]!Tabla2[[#This Row],[Marca y Modelo]], LEN([1]!Tabla2[[#This Row],[Marca y Modelo]]) - FIND(" ", [1]!Tabla2[[#This Row],[Marca y Modelo]]))</f>
        <v>10911F-LOGO</v>
      </c>
      <c r="I302" s="76"/>
      <c r="J302" s="76"/>
      <c r="K302" s="92" t="s">
        <v>4096</v>
      </c>
      <c r="L302" s="92" t="s">
        <v>2913</v>
      </c>
      <c r="M302" s="92" t="s">
        <v>1404</v>
      </c>
      <c r="N302" s="92" t="s">
        <v>1716</v>
      </c>
      <c r="O302" s="77"/>
      <c r="P302" s="92" t="s">
        <v>2530</v>
      </c>
      <c r="Q302" s="32"/>
      <c r="R302" s="48" t="s">
        <v>216</v>
      </c>
      <c r="S302" s="32"/>
    </row>
    <row r="303" spans="2:19" x14ac:dyDescent="0.3">
      <c r="B303" t="s">
        <v>4348</v>
      </c>
      <c r="C303" s="11" t="s">
        <v>171</v>
      </c>
      <c r="D303">
        <v>1</v>
      </c>
      <c r="E303" s="11" t="s">
        <v>160</v>
      </c>
      <c r="F303" s="91" t="s">
        <v>1060</v>
      </c>
      <c r="G303" s="15" t="str">
        <f>LEFT([1]modificado!$O$2, FIND(" ", [1]modificado!$O$2 &amp; " ") - 1)</f>
        <v>3M</v>
      </c>
      <c r="H303" s="47" t="str">
        <f>RIGHT([1]!Tabla2[[#This Row],[Marca y Modelo]], LEN([1]!Tabla2[[#This Row],[Marca y Modelo]]) - FIND(" ", [1]!Tabla2[[#This Row],[Marca y Modelo]]))</f>
        <v>209550-4-0241</v>
      </c>
      <c r="I303" s="76"/>
      <c r="J303" s="76"/>
      <c r="K303" s="91" t="s">
        <v>4097</v>
      </c>
      <c r="L303" s="91" t="s">
        <v>2914</v>
      </c>
      <c r="M303" s="91" t="s">
        <v>1404</v>
      </c>
      <c r="N303" s="91" t="s">
        <v>1717</v>
      </c>
      <c r="O303" s="77"/>
      <c r="P303" s="91" t="s">
        <v>2530</v>
      </c>
      <c r="Q303" s="32"/>
      <c r="R303" s="48" t="s">
        <v>216</v>
      </c>
      <c r="S303" s="32"/>
    </row>
    <row r="304" spans="2:19" x14ac:dyDescent="0.3">
      <c r="B304" t="s">
        <v>4348</v>
      </c>
      <c r="C304" s="11" t="s">
        <v>171</v>
      </c>
      <c r="D304">
        <v>1</v>
      </c>
      <c r="E304" s="11" t="s">
        <v>160</v>
      </c>
      <c r="F304" s="92" t="s">
        <v>1057</v>
      </c>
      <c r="G304" s="15" t="str">
        <f>LEFT([1]modificado!$O$2, FIND(" ", [1]modificado!$O$2 &amp; " ") - 1)</f>
        <v>3M</v>
      </c>
      <c r="H304" s="47"/>
      <c r="I304" s="76"/>
      <c r="J304" s="76"/>
      <c r="K304" s="92" t="s">
        <v>4097</v>
      </c>
      <c r="L304" s="92" t="s">
        <v>2915</v>
      </c>
      <c r="M304" s="92" t="s">
        <v>1404</v>
      </c>
      <c r="N304" s="92" t="s">
        <v>1718</v>
      </c>
      <c r="O304" s="77"/>
      <c r="P304" s="92" t="s">
        <v>2530</v>
      </c>
      <c r="Q304" s="32"/>
      <c r="R304" s="48" t="s">
        <v>216</v>
      </c>
      <c r="S304" s="32"/>
    </row>
    <row r="305" spans="2:19" x14ac:dyDescent="0.3">
      <c r="B305" t="s">
        <v>4348</v>
      </c>
      <c r="C305" s="11" t="s">
        <v>171</v>
      </c>
      <c r="D305">
        <v>1</v>
      </c>
      <c r="E305" s="11" t="s">
        <v>160</v>
      </c>
      <c r="F305" s="91" t="s">
        <v>1069</v>
      </c>
      <c r="G305" s="15" t="str">
        <f>LEFT([1]modificado!$O$2, FIND(" ", [1]modificado!$O$2 &amp; " ") - 1)</f>
        <v>3M</v>
      </c>
      <c r="H305" s="47"/>
      <c r="I305" s="76"/>
      <c r="J305" s="76"/>
      <c r="K305" s="91" t="s">
        <v>4097</v>
      </c>
      <c r="L305" s="91" t="s">
        <v>2916</v>
      </c>
      <c r="M305" s="91" t="s">
        <v>1404</v>
      </c>
      <c r="N305" s="91" t="s">
        <v>1719</v>
      </c>
      <c r="O305" s="77"/>
      <c r="P305" s="91" t="s">
        <v>2530</v>
      </c>
      <c r="Q305" s="32"/>
      <c r="R305" s="48" t="s">
        <v>216</v>
      </c>
      <c r="S305" s="32"/>
    </row>
    <row r="306" spans="2:19" x14ac:dyDescent="0.3">
      <c r="B306" t="str">
        <f>LEFT(Tabla3890134177220392[[#This Row],[Descripción del equipo]], FIND(" ", Tabla3890134177220392[[#This Row],[Descripción del equipo]] &amp; " ") - 1)</f>
        <v>Arnes</v>
      </c>
      <c r="C306" s="11" t="s">
        <v>171</v>
      </c>
      <c r="D306">
        <v>1</v>
      </c>
      <c r="E306" s="11" t="s">
        <v>160</v>
      </c>
      <c r="F306" s="92" t="s">
        <v>1068</v>
      </c>
      <c r="G306" s="15" t="str">
        <f>LEFT([1]modificado!$O$2, FIND(" ", [1]modificado!$O$2 &amp; " ") - 1)</f>
        <v>3M</v>
      </c>
      <c r="H306" s="47" t="str">
        <f>RIGHT([1]!Tabla2[[#This Row],[Marca y Modelo]], LEN([1]!Tabla2[[#This Row],[Marca y Modelo]]) - FIND(" ", [1]!Tabla2[[#This Row],[Marca y Modelo]]))</f>
        <v>1021-LOGO</v>
      </c>
      <c r="I306" s="76"/>
      <c r="J306" s="76"/>
      <c r="K306" s="92" t="s">
        <v>4100</v>
      </c>
      <c r="L306" s="92" t="s">
        <v>2917</v>
      </c>
      <c r="M306" s="92" t="s">
        <v>1404</v>
      </c>
      <c r="N306" s="92" t="s">
        <v>1720</v>
      </c>
      <c r="O306" s="77"/>
      <c r="P306" s="92" t="s">
        <v>2530</v>
      </c>
      <c r="Q306" s="32"/>
      <c r="R306" s="48" t="s">
        <v>216</v>
      </c>
      <c r="S306" s="32"/>
    </row>
    <row r="307" spans="2:19" x14ac:dyDescent="0.3">
      <c r="B307" t="s">
        <v>4348</v>
      </c>
      <c r="C307" s="11" t="s">
        <v>171</v>
      </c>
      <c r="D307">
        <v>1</v>
      </c>
      <c r="E307" s="11" t="s">
        <v>160</v>
      </c>
      <c r="F307" s="91" t="s">
        <v>1069</v>
      </c>
      <c r="G307" s="15" t="str">
        <f>LEFT([1]modificado!$O$2, FIND(" ", [1]modificado!$O$2 &amp; " ") - 1)</f>
        <v>3M</v>
      </c>
      <c r="H307" s="47"/>
      <c r="I307" s="76"/>
      <c r="J307" s="76"/>
      <c r="K307" s="91" t="s">
        <v>4101</v>
      </c>
      <c r="L307" s="91" t="s">
        <v>2918</v>
      </c>
      <c r="M307" s="91" t="s">
        <v>1404</v>
      </c>
      <c r="N307" s="91" t="s">
        <v>1721</v>
      </c>
      <c r="O307" s="77"/>
      <c r="P307" s="91" t="s">
        <v>2530</v>
      </c>
      <c r="Q307" s="32"/>
      <c r="R307" s="48" t="s">
        <v>216</v>
      </c>
      <c r="S307" s="32"/>
    </row>
    <row r="308" spans="2:19" x14ac:dyDescent="0.3">
      <c r="B308" t="s">
        <v>4348</v>
      </c>
      <c r="C308" s="11" t="s">
        <v>171</v>
      </c>
      <c r="D308">
        <v>1</v>
      </c>
      <c r="E308" s="11" t="s">
        <v>160</v>
      </c>
      <c r="F308" s="92" t="s">
        <v>1077</v>
      </c>
      <c r="G308" s="15" t="str">
        <f>LEFT([1]modificado!$O$2, FIND(" ", [1]modificado!$O$2 &amp; " ") - 1)</f>
        <v>3M</v>
      </c>
      <c r="H308" s="47" t="str">
        <f>RIGHT([1]!Tabla2[[#This Row],[Marca y Modelo]], LEN([1]!Tabla2[[#This Row],[Marca y Modelo]]) - FIND(" ", [1]!Tabla2[[#This Row],[Marca y Modelo]]))</f>
        <v>3312</v>
      </c>
      <c r="I308" s="76"/>
      <c r="J308" s="76"/>
      <c r="K308" s="92" t="s">
        <v>4102</v>
      </c>
      <c r="L308" s="92" t="s">
        <v>2919</v>
      </c>
      <c r="M308" s="92" t="s">
        <v>1404</v>
      </c>
      <c r="N308" s="92" t="s">
        <v>1722</v>
      </c>
      <c r="O308" s="77"/>
      <c r="P308" s="92" t="s">
        <v>2530</v>
      </c>
      <c r="Q308" s="32"/>
      <c r="R308" s="48" t="s">
        <v>216</v>
      </c>
      <c r="S308" s="32"/>
    </row>
    <row r="309" spans="2:19" x14ac:dyDescent="0.3">
      <c r="B309" t="s">
        <v>4348</v>
      </c>
      <c r="C309" s="11" t="s">
        <v>171</v>
      </c>
      <c r="D309">
        <v>1</v>
      </c>
      <c r="E309" s="11" t="s">
        <v>160</v>
      </c>
      <c r="F309" s="91" t="s">
        <v>1075</v>
      </c>
      <c r="G309" s="15" t="str">
        <f>LEFT([1]modificado!$O$2, FIND(" ", [1]modificado!$O$2 &amp; " ") - 1)</f>
        <v>3M</v>
      </c>
      <c r="H309" s="47" t="str">
        <f>RIGHT([1]!Tabla2[[#This Row],[Marca y Modelo]], LEN([1]!Tabla2[[#This Row],[Marca y Modelo]]) - FIND(" ", [1]!Tabla2[[#This Row],[Marca y Modelo]]))</f>
        <v>SP3710-S</v>
      </c>
      <c r="I309" s="76"/>
      <c r="J309" s="76"/>
      <c r="K309" s="91" t="s">
        <v>4102</v>
      </c>
      <c r="L309" s="91" t="s">
        <v>2920</v>
      </c>
      <c r="M309" s="91" t="s">
        <v>1407</v>
      </c>
      <c r="N309" s="91" t="s">
        <v>1723</v>
      </c>
      <c r="O309" s="77"/>
      <c r="P309" s="91" t="s">
        <v>2530</v>
      </c>
      <c r="Q309" s="32"/>
      <c r="R309" s="48" t="s">
        <v>216</v>
      </c>
      <c r="S309" s="32"/>
    </row>
    <row r="310" spans="2:19" x14ac:dyDescent="0.3">
      <c r="B310" t="s">
        <v>4348</v>
      </c>
      <c r="C310" s="11" t="s">
        <v>171</v>
      </c>
      <c r="D310">
        <v>1</v>
      </c>
      <c r="E310" s="11" t="s">
        <v>160</v>
      </c>
      <c r="F310" s="92" t="s">
        <v>1075</v>
      </c>
      <c r="G310" s="15" t="str">
        <f>LEFT([1]modificado!$O$2, FIND(" ", [1]modificado!$O$2 &amp; " ") - 1)</f>
        <v>3M</v>
      </c>
      <c r="H310" s="47" t="str">
        <f>RIGHT([1]!Tabla2[[#This Row],[Marca y Modelo]], LEN([1]!Tabla2[[#This Row],[Marca y Modelo]]) - FIND(" ", [1]!Tabla2[[#This Row],[Marca y Modelo]]))</f>
        <v>SP3710-S</v>
      </c>
      <c r="I310" s="76"/>
      <c r="J310" s="76"/>
      <c r="K310" s="92" t="s">
        <v>4102</v>
      </c>
      <c r="L310" s="92" t="s">
        <v>2921</v>
      </c>
      <c r="M310" s="92" t="s">
        <v>1407</v>
      </c>
      <c r="N310" s="92" t="s">
        <v>1724</v>
      </c>
      <c r="O310" s="77"/>
      <c r="P310" s="92" t="s">
        <v>2530</v>
      </c>
      <c r="Q310" s="32"/>
      <c r="R310" s="48" t="s">
        <v>216</v>
      </c>
      <c r="S310" s="32"/>
    </row>
    <row r="311" spans="2:19" ht="14.4" customHeight="1" x14ac:dyDescent="0.3">
      <c r="B311" t="s">
        <v>4349</v>
      </c>
      <c r="C311" s="11" t="s">
        <v>171</v>
      </c>
      <c r="D311">
        <v>1</v>
      </c>
      <c r="E311" s="11" t="s">
        <v>160</v>
      </c>
      <c r="F311" s="91" t="s">
        <v>1084</v>
      </c>
      <c r="G311" s="15" t="str">
        <f>LEFT([1]modificado!$O$2, FIND(" ", [1]modificado!$O$2 &amp; " ") - 1)</f>
        <v>3M</v>
      </c>
      <c r="H311" s="47" t="str">
        <f>RIGHT([1]!Tabla2[[#This Row],[Marca y Modelo]], LEN([1]!Tabla2[[#This Row],[Marca y Modelo]]) - FIND(" ", [1]!Tabla2[[#This Row],[Marca y Modelo]]))</f>
        <v>SWHR-60</v>
      </c>
      <c r="I311" s="76"/>
      <c r="J311" s="76"/>
      <c r="K311" s="91" t="s">
        <v>4103</v>
      </c>
      <c r="L311" s="91" t="s">
        <v>2922</v>
      </c>
      <c r="M311" s="91" t="s">
        <v>1407</v>
      </c>
      <c r="N311" s="91" t="s">
        <v>1725</v>
      </c>
      <c r="O311" s="77"/>
      <c r="P311" s="91" t="s">
        <v>2530</v>
      </c>
      <c r="Q311" s="32"/>
      <c r="R311" s="48" t="s">
        <v>216</v>
      </c>
      <c r="S311" s="32"/>
    </row>
    <row r="312" spans="2:19" ht="33" customHeight="1" x14ac:dyDescent="0.3">
      <c r="B312" t="str">
        <f>LEFT(Tabla3890134177220392[[#This Row],[Descripción del equipo]], FIND(" ", Tabla3890134177220392[[#This Row],[Descripción del equipo]] &amp; " ") - 1)</f>
        <v>Arnes</v>
      </c>
      <c r="C312" s="11" t="s">
        <v>175</v>
      </c>
      <c r="D312">
        <v>1</v>
      </c>
      <c r="E312" s="11" t="s">
        <v>160</v>
      </c>
      <c r="F312" s="91" t="s">
        <v>1056</v>
      </c>
      <c r="G312" s="15" t="str">
        <f>LEFT([1]modificado!$O$2, FIND(" ", [1]modificado!$O$2 &amp; " ") - 1)</f>
        <v>3M</v>
      </c>
      <c r="H312" s="47" t="str">
        <f>RIGHT([1]!Tabla2[[#This Row],[Marca y Modelo]], LEN([1]!Tabla2[[#This Row],[Marca y Modelo]]) - FIND(" ", [1]!Tabla2[[#This Row],[Marca y Modelo]]))</f>
        <v>First</v>
      </c>
      <c r="I312" s="76"/>
      <c r="J312" s="76"/>
      <c r="K312" s="91" t="s">
        <v>4104</v>
      </c>
      <c r="L312" s="91" t="s">
        <v>2923</v>
      </c>
      <c r="M312" s="91" t="s">
        <v>1408</v>
      </c>
      <c r="N312" s="91" t="s">
        <v>1726</v>
      </c>
      <c r="O312" s="77"/>
      <c r="P312" s="91" t="s">
        <v>2531</v>
      </c>
      <c r="Q312" s="32"/>
      <c r="R312" s="48" t="s">
        <v>216</v>
      </c>
      <c r="S312" s="32"/>
    </row>
    <row r="313" spans="2:19" ht="27" customHeight="1" x14ac:dyDescent="0.3">
      <c r="B313" t="str">
        <f>LEFT(Tabla3890134177220392[[#This Row],[Descripción del equipo]], FIND(" ", Tabla3890134177220392[[#This Row],[Descripción del equipo]] &amp; " ") - 1)</f>
        <v>Arnes</v>
      </c>
      <c r="C313" s="11" t="s">
        <v>175</v>
      </c>
      <c r="D313">
        <v>1</v>
      </c>
      <c r="E313" s="11" t="s">
        <v>160</v>
      </c>
      <c r="F313" s="92" t="s">
        <v>1056</v>
      </c>
      <c r="G313" s="15" t="str">
        <f>LEFT([1]modificado!$O$2, FIND(" ", [1]modificado!$O$2 &amp; " ") - 1)</f>
        <v>3M</v>
      </c>
      <c r="H313" s="47" t="str">
        <f>RIGHT([1]!Tabla2[[#This Row],[Marca y Modelo]], LEN([1]!Tabla2[[#This Row],[Marca y Modelo]]) - FIND(" ", [1]!Tabla2[[#This Row],[Marca y Modelo]]))</f>
        <v>Musitani Space</v>
      </c>
      <c r="I313" s="76"/>
      <c r="J313" s="76"/>
      <c r="K313" s="92" t="s">
        <v>4104</v>
      </c>
      <c r="L313" s="92" t="s">
        <v>2924</v>
      </c>
      <c r="M313" s="92" t="s">
        <v>1406</v>
      </c>
      <c r="N313" s="92" t="s">
        <v>1727</v>
      </c>
      <c r="O313" s="77"/>
      <c r="P313" s="92" t="s">
        <v>2531</v>
      </c>
      <c r="Q313" s="32"/>
      <c r="R313" s="48" t="s">
        <v>216</v>
      </c>
      <c r="S313" s="32"/>
    </row>
    <row r="314" spans="2:19" ht="26.4" customHeight="1" x14ac:dyDescent="0.3">
      <c r="B314" t="str">
        <f>LEFT(Tabla3890134177220392[[#This Row],[Descripción del equipo]], FIND(" ", Tabla3890134177220392[[#This Row],[Descripción del equipo]] &amp; " ") - 1)</f>
        <v>Arnes</v>
      </c>
      <c r="C314" s="11" t="s">
        <v>175</v>
      </c>
      <c r="D314">
        <v>1</v>
      </c>
      <c r="E314" s="11" t="s">
        <v>160</v>
      </c>
      <c r="F314" s="91" t="s">
        <v>1056</v>
      </c>
      <c r="G314" s="15" t="str">
        <f>LEFT([1]modificado!$O$2, FIND(" ", [1]modificado!$O$2 &amp; " ") - 1)</f>
        <v>3M</v>
      </c>
      <c r="H314" s="47" t="str">
        <f>RIGHT([1]!Tabla2[[#This Row],[Marca y Modelo]], LEN([1]!Tabla2[[#This Row],[Marca y Modelo]]) - FIND(" ", [1]!Tabla2[[#This Row],[Marca y Modelo]]))</f>
        <v>Basic Lion</v>
      </c>
      <c r="I314" s="76"/>
      <c r="J314" s="76"/>
      <c r="K314" s="91" t="s">
        <v>4104</v>
      </c>
      <c r="L314" s="91" t="s">
        <v>2925</v>
      </c>
      <c r="M314" s="91" t="s">
        <v>1405</v>
      </c>
      <c r="N314" s="91" t="s">
        <v>1728</v>
      </c>
      <c r="O314" s="77"/>
      <c r="P314" s="91" t="s">
        <v>2531</v>
      </c>
      <c r="Q314" s="32"/>
      <c r="R314" s="48" t="s">
        <v>216</v>
      </c>
      <c r="S314" s="32"/>
    </row>
    <row r="315" spans="2:19" ht="28.2" customHeight="1" x14ac:dyDescent="0.3">
      <c r="B315" t="str">
        <f>LEFT(Tabla3890134177220392[[#This Row],[Descripción del equipo]], FIND(" ", Tabla3890134177220392[[#This Row],[Descripción del equipo]] &amp; " ") - 1)</f>
        <v>Arnes</v>
      </c>
      <c r="C315" s="11" t="s">
        <v>175</v>
      </c>
      <c r="D315">
        <v>1</v>
      </c>
      <c r="E315" s="11" t="s">
        <v>160</v>
      </c>
      <c r="F315" s="92" t="s">
        <v>1062</v>
      </c>
      <c r="G315" s="15" t="str">
        <f>LEFT([1]modificado!$O$2, FIND(" ", [1]modificado!$O$2 &amp; " ") - 1)</f>
        <v>3M</v>
      </c>
      <c r="H315" s="47" t="str">
        <f>RIGHT([1]!Tabla2[[#This Row],[Marca y Modelo]], LEN([1]!Tabla2[[#This Row],[Marca y Modelo]]) - FIND(" ", [1]!Tabla2[[#This Row],[Marca y Modelo]]))</f>
        <v>10955-LOGO</v>
      </c>
      <c r="I315" s="76"/>
      <c r="J315" s="76"/>
      <c r="K315" s="92" t="s">
        <v>4104</v>
      </c>
      <c r="L315" s="92" t="s">
        <v>2926</v>
      </c>
      <c r="M315" s="92" t="s">
        <v>1404</v>
      </c>
      <c r="N315" s="92" t="s">
        <v>1729</v>
      </c>
      <c r="O315" s="77"/>
      <c r="P315" s="92" t="s">
        <v>2531</v>
      </c>
      <c r="Q315" s="32"/>
      <c r="R315" s="48" t="s">
        <v>216</v>
      </c>
      <c r="S315" s="32"/>
    </row>
    <row r="316" spans="2:19" ht="15" customHeight="1" x14ac:dyDescent="0.3">
      <c r="B316" t="str">
        <f>LEFT(Tabla3890134177220392[[#This Row],[Descripción del equipo]], FIND(" ", Tabla3890134177220392[[#This Row],[Descripción del equipo]] &amp; " ") - 1)</f>
        <v>Arnes</v>
      </c>
      <c r="C316" s="11" t="s">
        <v>175</v>
      </c>
      <c r="D316">
        <v>1</v>
      </c>
      <c r="E316" s="11" t="s">
        <v>160</v>
      </c>
      <c r="F316" s="91" t="s">
        <v>1062</v>
      </c>
      <c r="G316" s="15" t="str">
        <f>LEFT([1]modificado!$O$2, FIND(" ", [1]modificado!$O$2 &amp; " ") - 1)</f>
        <v>3M</v>
      </c>
      <c r="H316" s="47" t="str">
        <f>RIGHT([1]!Tabla2[[#This Row],[Marca y Modelo]], LEN([1]!Tabla2[[#This Row],[Marca y Modelo]]) - FIND(" ", [1]!Tabla2[[#This Row],[Marca y Modelo]]))</f>
        <v>10955-LOGO</v>
      </c>
      <c r="I316" s="76"/>
      <c r="J316" s="76"/>
      <c r="K316" s="91" t="s">
        <v>4104</v>
      </c>
      <c r="L316" s="91" t="s">
        <v>2927</v>
      </c>
      <c r="M316" s="91" t="s">
        <v>1404</v>
      </c>
      <c r="N316" s="91" t="s">
        <v>1730</v>
      </c>
      <c r="O316" s="77"/>
      <c r="P316" s="91" t="s">
        <v>2531</v>
      </c>
      <c r="Q316" s="32"/>
      <c r="R316" s="48" t="s">
        <v>216</v>
      </c>
      <c r="S316" s="32"/>
    </row>
    <row r="317" spans="2:19" ht="15" customHeight="1" x14ac:dyDescent="0.3">
      <c r="B317" t="str">
        <f>LEFT(Tabla3890134177220392[[#This Row],[Descripción del equipo]], FIND(" ", Tabla3890134177220392[[#This Row],[Descripción del equipo]] &amp; " ") - 1)</f>
        <v>Arnes</v>
      </c>
      <c r="C317" s="11" t="s">
        <v>175</v>
      </c>
      <c r="D317">
        <v>1</v>
      </c>
      <c r="E317" s="11" t="s">
        <v>160</v>
      </c>
      <c r="F317" s="92" t="s">
        <v>1062</v>
      </c>
      <c r="G317" s="15" t="str">
        <f>LEFT([1]modificado!$O$2, FIND(" ", [1]modificado!$O$2 &amp; " ") - 1)</f>
        <v>3M</v>
      </c>
      <c r="H317" s="47" t="str">
        <f>RIGHT([1]!Tabla2[[#This Row],[Marca y Modelo]], LEN([1]!Tabla2[[#This Row],[Marca y Modelo]]) - FIND(" ", [1]!Tabla2[[#This Row],[Marca y Modelo]]))</f>
        <v>10955-LOGO</v>
      </c>
      <c r="I317" s="76"/>
      <c r="J317" s="76"/>
      <c r="K317" s="92" t="s">
        <v>4104</v>
      </c>
      <c r="L317" s="92" t="s">
        <v>2928</v>
      </c>
      <c r="M317" s="92" t="s">
        <v>1404</v>
      </c>
      <c r="N317" s="92" t="s">
        <v>1731</v>
      </c>
      <c r="O317" s="77"/>
      <c r="P317" s="92" t="s">
        <v>2531</v>
      </c>
      <c r="Q317" s="32"/>
      <c r="R317" s="48" t="s">
        <v>216</v>
      </c>
      <c r="S317" s="32"/>
    </row>
    <row r="318" spans="2:19" x14ac:dyDescent="0.3">
      <c r="B318" t="s">
        <v>4348</v>
      </c>
      <c r="C318" s="11" t="s">
        <v>175</v>
      </c>
      <c r="D318">
        <v>1</v>
      </c>
      <c r="E318" s="11" t="s">
        <v>160</v>
      </c>
      <c r="F318" s="91" t="s">
        <v>1070</v>
      </c>
      <c r="G318" s="15" t="str">
        <f>LEFT([1]modificado!$O$2, FIND(" ", [1]modificado!$O$2 &amp; " ") - 1)</f>
        <v>3M</v>
      </c>
      <c r="H318" s="47" t="str">
        <f>RIGHT([1]!Tabla2[[#This Row],[Marca y Modelo]], LEN([1]!Tabla2[[#This Row],[Marca y Modelo]]) - FIND(" ", [1]!Tabla2[[#This Row],[Marca y Modelo]]))</f>
        <v>1224412</v>
      </c>
      <c r="I318" s="76"/>
      <c r="J318" s="76"/>
      <c r="K318" s="91" t="s">
        <v>4105</v>
      </c>
      <c r="L318" s="91" t="s">
        <v>2929</v>
      </c>
      <c r="M318" s="91" t="s">
        <v>1404</v>
      </c>
      <c r="N318" s="91" t="s">
        <v>1732</v>
      </c>
      <c r="O318" s="77"/>
      <c r="P318" s="91" t="s">
        <v>2531</v>
      </c>
      <c r="Q318" s="32"/>
      <c r="R318" s="48" t="s">
        <v>216</v>
      </c>
      <c r="S318" s="32"/>
    </row>
    <row r="319" spans="2:19" x14ac:dyDescent="0.3">
      <c r="B319" t="s">
        <v>4348</v>
      </c>
      <c r="C319" s="11" t="s">
        <v>175</v>
      </c>
      <c r="D319">
        <v>1</v>
      </c>
      <c r="E319" s="11" t="s">
        <v>160</v>
      </c>
      <c r="F319" s="92" t="s">
        <v>1074</v>
      </c>
      <c r="G319" s="15" t="str">
        <f>LEFT([1]modificado!$O$2, FIND(" ", [1]modificado!$O$2 &amp; " ") - 1)</f>
        <v>3M</v>
      </c>
      <c r="H319" s="47" t="str">
        <f>RIGHT([1]!Tabla2[[#This Row],[Marca y Modelo]], LEN([1]!Tabla2[[#This Row],[Marca y Modelo]]) - FIND(" ", [1]!Tabla2[[#This Row],[Marca y Modelo]]))</f>
        <v>20026</v>
      </c>
      <c r="I319" s="76"/>
      <c r="J319" s="76"/>
      <c r="K319" s="92" t="s">
        <v>4105</v>
      </c>
      <c r="L319" s="92" t="s">
        <v>2930</v>
      </c>
      <c r="M319" s="92" t="s">
        <v>1408</v>
      </c>
      <c r="N319" s="92" t="s">
        <v>1733</v>
      </c>
      <c r="O319" s="77"/>
      <c r="P319" s="92" t="s">
        <v>2531</v>
      </c>
      <c r="Q319" s="32"/>
      <c r="R319" s="48" t="s">
        <v>216</v>
      </c>
      <c r="S319" s="32"/>
    </row>
    <row r="320" spans="2:19" x14ac:dyDescent="0.3">
      <c r="B320" t="s">
        <v>4348</v>
      </c>
      <c r="C320" s="11" t="s">
        <v>175</v>
      </c>
      <c r="D320">
        <v>1</v>
      </c>
      <c r="E320" s="11" t="s">
        <v>160</v>
      </c>
      <c r="F320" s="91" t="s">
        <v>1057</v>
      </c>
      <c r="G320" s="15" t="str">
        <f>LEFT([1]modificado!$O$2, FIND(" ", [1]modificado!$O$2 &amp; " ") - 1)</f>
        <v>3M</v>
      </c>
      <c r="H320" s="47"/>
      <c r="I320" s="76"/>
      <c r="J320" s="76"/>
      <c r="K320" s="91" t="s">
        <v>4105</v>
      </c>
      <c r="L320" s="91" t="s">
        <v>2931</v>
      </c>
      <c r="M320" s="91" t="s">
        <v>1405</v>
      </c>
      <c r="N320" s="91" t="s">
        <v>1734</v>
      </c>
      <c r="O320" s="77"/>
      <c r="P320" s="91" t="s">
        <v>2531</v>
      </c>
      <c r="Q320" s="32"/>
      <c r="R320" s="48" t="s">
        <v>216</v>
      </c>
      <c r="S320" s="32"/>
    </row>
    <row r="321" spans="2:19" x14ac:dyDescent="0.3">
      <c r="B321" t="s">
        <v>4348</v>
      </c>
      <c r="C321" s="11" t="s">
        <v>175</v>
      </c>
      <c r="D321">
        <v>1</v>
      </c>
      <c r="E321" s="11" t="s">
        <v>160</v>
      </c>
      <c r="F321" s="92" t="s">
        <v>1057</v>
      </c>
      <c r="G321" s="15" t="str">
        <f>LEFT([1]modificado!$O$2, FIND(" ", [1]modificado!$O$2 &amp; " ") - 1)</f>
        <v>3M</v>
      </c>
      <c r="H321" s="47"/>
      <c r="I321" s="76"/>
      <c r="J321" s="76"/>
      <c r="K321" s="92" t="s">
        <v>4105</v>
      </c>
      <c r="L321" s="92" t="s">
        <v>2932</v>
      </c>
      <c r="M321" s="92" t="s">
        <v>1405</v>
      </c>
      <c r="N321" s="92" t="s">
        <v>1735</v>
      </c>
      <c r="O321" s="77"/>
      <c r="P321" s="92" t="s">
        <v>2531</v>
      </c>
      <c r="Q321" s="32"/>
      <c r="R321" s="48" t="s">
        <v>216</v>
      </c>
      <c r="S321" s="32"/>
    </row>
    <row r="322" spans="2:19" x14ac:dyDescent="0.3">
      <c r="B322" t="str">
        <f>LEFT(Tabla3890134177220392[[#This Row],[Descripción del equipo]], FIND(" ", Tabla3890134177220392[[#This Row],[Descripción del equipo]] &amp; " ") - 1)</f>
        <v>Arnes</v>
      </c>
      <c r="C322" s="11" t="s">
        <v>175</v>
      </c>
      <c r="D322">
        <v>1</v>
      </c>
      <c r="E322" s="11" t="s">
        <v>160</v>
      </c>
      <c r="F322" s="91" t="s">
        <v>1056</v>
      </c>
      <c r="G322" s="15" t="str">
        <f>LEFT([1]modificado!$O$2, FIND(" ", [1]modificado!$O$2 &amp; " ") - 1)</f>
        <v>3M</v>
      </c>
      <c r="H322" s="47" t="str">
        <f>RIGHT([1]!Tabla2[[#This Row],[Marca y Modelo]], LEN([1]!Tabla2[[#This Row],[Marca y Modelo]]) - FIND(" ", [1]!Tabla2[[#This Row],[Marca y Modelo]]))</f>
        <v>Basic Tiger</v>
      </c>
      <c r="I322" s="76"/>
      <c r="J322" s="76"/>
      <c r="K322" s="91" t="s">
        <v>4104</v>
      </c>
      <c r="L322" s="91" t="s">
        <v>2933</v>
      </c>
      <c r="M322" s="91" t="s">
        <v>1404</v>
      </c>
      <c r="N322" s="91" t="s">
        <v>1736</v>
      </c>
      <c r="O322" s="77"/>
      <c r="P322" s="91" t="s">
        <v>2531</v>
      </c>
      <c r="Q322" s="32"/>
      <c r="R322" s="48" t="s">
        <v>216</v>
      </c>
      <c r="S322" s="32"/>
    </row>
    <row r="323" spans="2:19" x14ac:dyDescent="0.3">
      <c r="B323" t="str">
        <f>LEFT(Tabla3890134177220392[[#This Row],[Descripción del equipo]], FIND(" ", Tabla3890134177220392[[#This Row],[Descripción del equipo]] &amp; " ") - 1)</f>
        <v>Arnes</v>
      </c>
      <c r="C323" s="11" t="s">
        <v>175</v>
      </c>
      <c r="D323">
        <v>1</v>
      </c>
      <c r="E323" s="11" t="s">
        <v>160</v>
      </c>
      <c r="F323" s="92" t="s">
        <v>1056</v>
      </c>
      <c r="G323" s="15" t="str">
        <f>LEFT([1]modificado!$O$2, FIND(" ", [1]modificado!$O$2 &amp; " ") - 1)</f>
        <v>3M</v>
      </c>
      <c r="H323" s="47" t="str">
        <f>RIGHT([1]!Tabla2[[#This Row],[Marca y Modelo]], LEN([1]!Tabla2[[#This Row],[Marca y Modelo]]) - FIND(" ", [1]!Tabla2[[#This Row],[Marca y Modelo]]))</f>
        <v>Musitani Space</v>
      </c>
      <c r="I323" s="76"/>
      <c r="J323" s="76"/>
      <c r="K323" s="92" t="s">
        <v>4104</v>
      </c>
      <c r="L323" s="92" t="s">
        <v>2934</v>
      </c>
      <c r="M323" s="92" t="s">
        <v>1406</v>
      </c>
      <c r="N323" s="92" t="s">
        <v>1737</v>
      </c>
      <c r="O323" s="77"/>
      <c r="P323" s="92" t="s">
        <v>2531</v>
      </c>
      <c r="Q323" s="32"/>
      <c r="R323" s="48" t="s">
        <v>216</v>
      </c>
      <c r="S323" s="32"/>
    </row>
    <row r="324" spans="2:19" x14ac:dyDescent="0.3">
      <c r="B324" t="str">
        <f>LEFT(Tabla3890134177220392[[#This Row],[Descripción del equipo]], FIND(" ", Tabla3890134177220392[[#This Row],[Descripción del equipo]] &amp; " ") - 1)</f>
        <v>Arnes</v>
      </c>
      <c r="C324" s="11" t="s">
        <v>175</v>
      </c>
      <c r="D324">
        <v>1</v>
      </c>
      <c r="E324" s="11" t="s">
        <v>160</v>
      </c>
      <c r="F324" s="91" t="s">
        <v>1056</v>
      </c>
      <c r="G324" s="15" t="str">
        <f>LEFT([1]modificado!$O$2, FIND(" ", [1]modificado!$O$2 &amp; " ") - 1)</f>
        <v>3M</v>
      </c>
      <c r="H324" s="47" t="str">
        <f>RIGHT([1]!Tabla2[[#This Row],[Marca y Modelo]], LEN([1]!Tabla2[[#This Row],[Marca y Modelo]]) - FIND(" ", [1]!Tabla2[[#This Row],[Marca y Modelo]]))</f>
        <v>Musitani Space</v>
      </c>
      <c r="I324" s="76"/>
      <c r="J324" s="76"/>
      <c r="K324" s="91" t="s">
        <v>4104</v>
      </c>
      <c r="L324" s="91" t="s">
        <v>2935</v>
      </c>
      <c r="M324" s="91" t="s">
        <v>1406</v>
      </c>
      <c r="N324" s="91" t="s">
        <v>1738</v>
      </c>
      <c r="O324" s="77"/>
      <c r="P324" s="91" t="s">
        <v>2531</v>
      </c>
      <c r="Q324" s="32"/>
      <c r="R324" s="48" t="s">
        <v>216</v>
      </c>
      <c r="S324" s="32"/>
    </row>
    <row r="325" spans="2:19" x14ac:dyDescent="0.3">
      <c r="B325" t="str">
        <f>LEFT(Tabla3890134177220392[[#This Row],[Descripción del equipo]], FIND(" ", Tabla3890134177220392[[#This Row],[Descripción del equipo]] &amp; " ") - 1)</f>
        <v>Arnes</v>
      </c>
      <c r="C325" s="11" t="s">
        <v>175</v>
      </c>
      <c r="D325">
        <v>1</v>
      </c>
      <c r="E325" s="11" t="s">
        <v>160</v>
      </c>
      <c r="F325" s="92" t="s">
        <v>1056</v>
      </c>
      <c r="G325" s="15" t="str">
        <f>LEFT([1]modificado!$O$2, FIND(" ", [1]modificado!$O$2 &amp; " ") - 1)</f>
        <v>3M</v>
      </c>
      <c r="H325" s="47" t="str">
        <f>RIGHT([1]!Tabla2[[#This Row],[Marca y Modelo]], LEN([1]!Tabla2[[#This Row],[Marca y Modelo]]) - FIND(" ", [1]!Tabla2[[#This Row],[Marca y Modelo]]))</f>
        <v>10911F-LOGO</v>
      </c>
      <c r="I325" s="76"/>
      <c r="J325" s="76"/>
      <c r="K325" s="92" t="s">
        <v>4104</v>
      </c>
      <c r="L325" s="92" t="s">
        <v>2936</v>
      </c>
      <c r="M325" s="92" t="s">
        <v>1404</v>
      </c>
      <c r="N325" s="92" t="s">
        <v>1739</v>
      </c>
      <c r="O325" s="77"/>
      <c r="P325" s="92" t="s">
        <v>2531</v>
      </c>
      <c r="Q325" s="32"/>
      <c r="R325" s="48" t="s">
        <v>216</v>
      </c>
      <c r="S325" s="32"/>
    </row>
    <row r="326" spans="2:19" x14ac:dyDescent="0.3">
      <c r="B326" t="s">
        <v>4348</v>
      </c>
      <c r="C326" s="11" t="s">
        <v>175</v>
      </c>
      <c r="D326">
        <v>1</v>
      </c>
      <c r="E326" s="11" t="s">
        <v>160</v>
      </c>
      <c r="F326" s="91" t="s">
        <v>1057</v>
      </c>
      <c r="G326" s="15" t="str">
        <f>LEFT([1]modificado!$O$2, FIND(" ", [1]modificado!$O$2 &amp; " ") - 1)</f>
        <v>3M</v>
      </c>
      <c r="H326" s="47"/>
      <c r="I326" s="76"/>
      <c r="J326" s="76"/>
      <c r="K326" s="91" t="s">
        <v>4105</v>
      </c>
      <c r="L326" s="91" t="s">
        <v>2937</v>
      </c>
      <c r="M326" s="91" t="s">
        <v>1405</v>
      </c>
      <c r="N326" s="91" t="s">
        <v>1740</v>
      </c>
      <c r="O326" s="77"/>
      <c r="P326" s="91" t="s">
        <v>2531</v>
      </c>
      <c r="Q326" s="32"/>
      <c r="R326" s="48" t="s">
        <v>216</v>
      </c>
      <c r="S326" s="32"/>
    </row>
    <row r="327" spans="2:19" x14ac:dyDescent="0.3">
      <c r="B327" t="s">
        <v>4348</v>
      </c>
      <c r="C327" s="11" t="s">
        <v>175</v>
      </c>
      <c r="D327">
        <v>1</v>
      </c>
      <c r="E327" s="11" t="s">
        <v>160</v>
      </c>
      <c r="F327" s="92" t="s">
        <v>1057</v>
      </c>
      <c r="G327" s="15" t="str">
        <f>LEFT([1]modificado!$O$2, FIND(" ", [1]modificado!$O$2 &amp; " ") - 1)</f>
        <v>3M</v>
      </c>
      <c r="H327" s="47"/>
      <c r="I327" s="76"/>
      <c r="J327" s="76"/>
      <c r="K327" s="92" t="s">
        <v>4105</v>
      </c>
      <c r="L327" s="92" t="s">
        <v>2938</v>
      </c>
      <c r="M327" s="92" t="s">
        <v>1405</v>
      </c>
      <c r="N327" s="92" t="s">
        <v>1741</v>
      </c>
      <c r="O327" s="77"/>
      <c r="P327" s="92" t="s">
        <v>2531</v>
      </c>
      <c r="Q327" s="32"/>
      <c r="R327" s="48" t="s">
        <v>216</v>
      </c>
      <c r="S327" s="32"/>
    </row>
    <row r="328" spans="2:19" x14ac:dyDescent="0.3">
      <c r="B328" t="str">
        <f>LEFT(Tabla3890134177220392[[#This Row],[Descripción del equipo]], FIND(" ", Tabla3890134177220392[[#This Row],[Descripción del equipo]] &amp; " ") - 1)</f>
        <v>Arnes</v>
      </c>
      <c r="C328" s="11" t="s">
        <v>175</v>
      </c>
      <c r="D328">
        <v>1</v>
      </c>
      <c r="E328" s="11" t="s">
        <v>160</v>
      </c>
      <c r="F328" s="91" t="s">
        <v>1056</v>
      </c>
      <c r="G328" s="15" t="str">
        <f>LEFT([1]modificado!$O$2, FIND(" ", [1]modificado!$O$2 &amp; " ") - 1)</f>
        <v>3M</v>
      </c>
      <c r="H328" s="47" t="str">
        <f>RIGHT([1]!Tabla2[[#This Row],[Marca y Modelo]], LEN([1]!Tabla2[[#This Row],[Marca y Modelo]]) - FIND(" ", [1]!Tabla2[[#This Row],[Marca y Modelo]]))</f>
        <v>Musitani Space</v>
      </c>
      <c r="I328" s="76"/>
      <c r="J328" s="76"/>
      <c r="K328" s="91" t="s">
        <v>4104</v>
      </c>
      <c r="L328" s="91" t="s">
        <v>2939</v>
      </c>
      <c r="M328" s="91" t="s">
        <v>1406</v>
      </c>
      <c r="N328" s="91" t="s">
        <v>1742</v>
      </c>
      <c r="O328" s="77"/>
      <c r="P328" s="91" t="s">
        <v>2531</v>
      </c>
      <c r="Q328" s="32"/>
      <c r="R328" s="48" t="s">
        <v>216</v>
      </c>
      <c r="S328" s="32"/>
    </row>
    <row r="329" spans="2:19" x14ac:dyDescent="0.3">
      <c r="B329" t="s">
        <v>4348</v>
      </c>
      <c r="C329" s="11" t="s">
        <v>175</v>
      </c>
      <c r="D329">
        <v>1</v>
      </c>
      <c r="E329" s="11" t="s">
        <v>160</v>
      </c>
      <c r="F329" s="92" t="s">
        <v>1064</v>
      </c>
      <c r="G329" s="15" t="str">
        <f>LEFT([1]modificado!$O$2, FIND(" ", [1]modificado!$O$2 &amp; " ") - 1)</f>
        <v>3M</v>
      </c>
      <c r="H329" s="47" t="str">
        <f>RIGHT([1]!Tabla2[[#This Row],[Marca y Modelo]], LEN([1]!Tabla2[[#This Row],[Marca y Modelo]]) - FIND(" ", [1]!Tabla2[[#This Row],[Marca y Modelo]]))</f>
        <v>191026</v>
      </c>
      <c r="I329" s="76"/>
      <c r="J329" s="76"/>
      <c r="K329" s="92" t="s">
        <v>4105</v>
      </c>
      <c r="L329" s="92" t="s">
        <v>2940</v>
      </c>
      <c r="M329" s="92" t="s">
        <v>1406</v>
      </c>
      <c r="N329" s="92" t="s">
        <v>1743</v>
      </c>
      <c r="O329" s="77"/>
      <c r="P329" s="92" t="s">
        <v>2531</v>
      </c>
      <c r="Q329" s="32"/>
      <c r="R329" s="48" t="s">
        <v>216</v>
      </c>
      <c r="S329" s="32"/>
    </row>
    <row r="330" spans="2:19" x14ac:dyDescent="0.3">
      <c r="B330" t="s">
        <v>4348</v>
      </c>
      <c r="C330" s="11" t="s">
        <v>175</v>
      </c>
      <c r="D330">
        <v>1</v>
      </c>
      <c r="E330" s="11" t="s">
        <v>160</v>
      </c>
      <c r="F330" s="91" t="s">
        <v>1060</v>
      </c>
      <c r="G330" s="15" t="str">
        <f>LEFT([1]modificado!$O$2, FIND(" ", [1]modificado!$O$2 &amp; " ") - 1)</f>
        <v>3M</v>
      </c>
      <c r="H330" s="47" t="str">
        <f>RIGHT([1]!Tabla2[[#This Row],[Marca y Modelo]], LEN([1]!Tabla2[[#This Row],[Marca y Modelo]]) - FIND(" ", [1]!Tabla2[[#This Row],[Marca y Modelo]]))</f>
        <v>209550-4-0241</v>
      </c>
      <c r="I330" s="76"/>
      <c r="J330" s="76"/>
      <c r="K330" s="91" t="s">
        <v>4105</v>
      </c>
      <c r="L330" s="91" t="s">
        <v>2941</v>
      </c>
      <c r="M330" s="91" t="s">
        <v>1404</v>
      </c>
      <c r="N330" s="91" t="s">
        <v>1744</v>
      </c>
      <c r="O330" s="77"/>
      <c r="P330" s="91" t="s">
        <v>2531</v>
      </c>
      <c r="Q330" s="32"/>
      <c r="R330" s="48" t="s">
        <v>216</v>
      </c>
      <c r="S330" s="32"/>
    </row>
    <row r="331" spans="2:19" x14ac:dyDescent="0.3">
      <c r="B331" t="str">
        <f>LEFT(Tabla3890134177220392[[#This Row],[Descripción del equipo]], FIND(" ", Tabla3890134177220392[[#This Row],[Descripción del equipo]] &amp; " ") - 1)</f>
        <v>Arnes</v>
      </c>
      <c r="C331" s="11" t="s">
        <v>175</v>
      </c>
      <c r="D331">
        <v>1</v>
      </c>
      <c r="E331" s="11" t="s">
        <v>160</v>
      </c>
      <c r="F331" s="92" t="s">
        <v>1056</v>
      </c>
      <c r="G331" s="15" t="str">
        <f>LEFT([1]modificado!$O$2, FIND(" ", [1]modificado!$O$2 &amp; " ") - 1)</f>
        <v>3M</v>
      </c>
      <c r="H331" s="47" t="str">
        <f>RIGHT([1]!Tabla2[[#This Row],[Marca y Modelo]], LEN([1]!Tabla2[[#This Row],[Marca y Modelo]]) - FIND(" ", [1]!Tabla2[[#This Row],[Marca y Modelo]]))</f>
        <v>10911F-LOGO</v>
      </c>
      <c r="I331" s="76"/>
      <c r="J331" s="76"/>
      <c r="K331" s="92" t="s">
        <v>4104</v>
      </c>
      <c r="L331" s="92" t="s">
        <v>2942</v>
      </c>
      <c r="M331" s="92" t="s">
        <v>1404</v>
      </c>
      <c r="N331" s="92" t="s">
        <v>1745</v>
      </c>
      <c r="O331" s="77"/>
      <c r="P331" s="92" t="s">
        <v>2531</v>
      </c>
      <c r="Q331" s="32"/>
      <c r="R331" s="48" t="s">
        <v>216</v>
      </c>
      <c r="S331" s="32"/>
    </row>
    <row r="332" spans="2:19" x14ac:dyDescent="0.3">
      <c r="B332" t="s">
        <v>4348</v>
      </c>
      <c r="C332" s="11" t="s">
        <v>175</v>
      </c>
      <c r="D332">
        <v>1</v>
      </c>
      <c r="E332" s="11" t="s">
        <v>160</v>
      </c>
      <c r="F332" s="91" t="s">
        <v>1060</v>
      </c>
      <c r="G332" s="15" t="str">
        <f>LEFT([1]modificado!$O$2, FIND(" ", [1]modificado!$O$2 &amp; " ") - 1)</f>
        <v>3M</v>
      </c>
      <c r="H332" s="47" t="str">
        <f>RIGHT([1]!Tabla2[[#This Row],[Marca y Modelo]], LEN([1]!Tabla2[[#This Row],[Marca y Modelo]]) - FIND(" ", [1]!Tabla2[[#This Row],[Marca y Modelo]]))</f>
        <v>209550-4-0241</v>
      </c>
      <c r="I332" s="76"/>
      <c r="J332" s="76"/>
      <c r="K332" s="91" t="s">
        <v>4105</v>
      </c>
      <c r="L332" s="91" t="s">
        <v>2943</v>
      </c>
      <c r="M332" s="91" t="s">
        <v>1404</v>
      </c>
      <c r="N332" s="91" t="s">
        <v>1746</v>
      </c>
      <c r="O332" s="77"/>
      <c r="P332" s="91" t="s">
        <v>2531</v>
      </c>
      <c r="Q332" s="32"/>
      <c r="R332" s="48" t="s">
        <v>216</v>
      </c>
      <c r="S332" s="32"/>
    </row>
    <row r="333" spans="2:19" x14ac:dyDescent="0.3">
      <c r="B333" t="str">
        <f>LEFT(Tabla3890134177220392[[#This Row],[Descripción del equipo]], FIND(" ", Tabla3890134177220392[[#This Row],[Descripción del equipo]] &amp; " ") - 1)</f>
        <v>Arnes</v>
      </c>
      <c r="C333" s="11" t="s">
        <v>175</v>
      </c>
      <c r="D333">
        <v>1</v>
      </c>
      <c r="E333" s="11" t="s">
        <v>160</v>
      </c>
      <c r="F333" s="92" t="s">
        <v>1062</v>
      </c>
      <c r="G333" s="15" t="str">
        <f>LEFT([1]modificado!$O$2, FIND(" ", [1]modificado!$O$2 &amp; " ") - 1)</f>
        <v>3M</v>
      </c>
      <c r="H333" s="47" t="str">
        <f>RIGHT([1]!Tabla2[[#This Row],[Marca y Modelo]], LEN([1]!Tabla2[[#This Row],[Marca y Modelo]]) - FIND(" ", [1]!Tabla2[[#This Row],[Marca y Modelo]]))</f>
        <v>10955-LOGO</v>
      </c>
      <c r="I333" s="76"/>
      <c r="J333" s="76"/>
      <c r="K333" s="92" t="s">
        <v>4104</v>
      </c>
      <c r="L333" s="92" t="s">
        <v>2944</v>
      </c>
      <c r="M333" s="92" t="s">
        <v>1404</v>
      </c>
      <c r="N333" s="92" t="s">
        <v>1747</v>
      </c>
      <c r="O333" s="77"/>
      <c r="P333" s="92" t="s">
        <v>2531</v>
      </c>
      <c r="Q333" s="32"/>
      <c r="R333" s="48" t="s">
        <v>216</v>
      </c>
      <c r="S333" s="32"/>
    </row>
    <row r="334" spans="2:19" x14ac:dyDescent="0.3">
      <c r="B334" t="s">
        <v>4348</v>
      </c>
      <c r="C334" s="11" t="s">
        <v>175</v>
      </c>
      <c r="D334">
        <v>1</v>
      </c>
      <c r="E334" s="11" t="s">
        <v>160</v>
      </c>
      <c r="F334" s="91" t="s">
        <v>1057</v>
      </c>
      <c r="G334" s="15" t="str">
        <f>LEFT([1]modificado!$O$2, FIND(" ", [1]modificado!$O$2 &amp; " ") - 1)</f>
        <v>3M</v>
      </c>
      <c r="H334" s="47"/>
      <c r="I334" s="76"/>
      <c r="J334" s="76"/>
      <c r="K334" s="91" t="s">
        <v>4105</v>
      </c>
      <c r="L334" s="91" t="s">
        <v>2945</v>
      </c>
      <c r="M334" s="91" t="s">
        <v>1405</v>
      </c>
      <c r="N334" s="91" t="s">
        <v>1748</v>
      </c>
      <c r="O334" s="77"/>
      <c r="P334" s="91" t="s">
        <v>2531</v>
      </c>
      <c r="Q334" s="32"/>
      <c r="R334" s="48" t="s">
        <v>216</v>
      </c>
      <c r="S334" s="32"/>
    </row>
    <row r="335" spans="2:19" x14ac:dyDescent="0.3">
      <c r="B335" t="str">
        <f>LEFT(Tabla3890134177220392[[#This Row],[Descripción del equipo]], FIND(" ", Tabla3890134177220392[[#This Row],[Descripción del equipo]] &amp; " ") - 1)</f>
        <v>Arnes</v>
      </c>
      <c r="C335" s="11" t="s">
        <v>175</v>
      </c>
      <c r="D335">
        <v>1</v>
      </c>
      <c r="E335" s="11" t="s">
        <v>160</v>
      </c>
      <c r="F335" s="92" t="s">
        <v>1056</v>
      </c>
      <c r="G335" s="15" t="str">
        <f>LEFT([1]modificado!$O$2, FIND(" ", [1]modificado!$O$2 &amp; " ") - 1)</f>
        <v>3M</v>
      </c>
      <c r="H335" s="47"/>
      <c r="I335" s="76"/>
      <c r="J335" s="76"/>
      <c r="K335" s="92" t="s">
        <v>4104</v>
      </c>
      <c r="L335" s="92" t="s">
        <v>2946</v>
      </c>
      <c r="M335" s="92" t="s">
        <v>1406</v>
      </c>
      <c r="N335" s="92" t="s">
        <v>1749</v>
      </c>
      <c r="O335" s="77"/>
      <c r="P335" s="92" t="s">
        <v>2531</v>
      </c>
      <c r="Q335" s="32"/>
      <c r="R335" s="48" t="s">
        <v>216</v>
      </c>
      <c r="S335" s="32"/>
    </row>
    <row r="336" spans="2:19" x14ac:dyDescent="0.3">
      <c r="B336" t="str">
        <f>LEFT(Tabla3890134177220392[[#This Row],[Descripción del equipo]], FIND(" ", Tabla3890134177220392[[#This Row],[Descripción del equipo]] &amp; " ") - 1)</f>
        <v>Autoretractil</v>
      </c>
      <c r="C336" s="11" t="s">
        <v>175</v>
      </c>
      <c r="D336">
        <v>1</v>
      </c>
      <c r="E336" s="11" t="s">
        <v>160</v>
      </c>
      <c r="F336" s="91" t="s">
        <v>1058</v>
      </c>
      <c r="G336" s="15" t="str">
        <f>LEFT([1]modificado!$O$2, FIND(" ", [1]modificado!$O$2 &amp; " ") - 1)</f>
        <v>3M</v>
      </c>
      <c r="H336" s="47" t="str">
        <f>RIGHT([1]!Tabla2[[#This Row],[Marca y Modelo]], LEN([1]!Tabla2[[#This Row],[Marca y Modelo]]) - FIND(" ", [1]!Tabla2[[#This Row],[Marca y Modelo]]))</f>
        <v>3100425</v>
      </c>
      <c r="I336" s="76"/>
      <c r="J336" s="76"/>
      <c r="K336" s="91" t="s">
        <v>4106</v>
      </c>
      <c r="L336" s="91" t="s">
        <v>2947</v>
      </c>
      <c r="M336" s="91" t="s">
        <v>1404</v>
      </c>
      <c r="N336" s="91" t="s">
        <v>1750</v>
      </c>
      <c r="O336" s="77"/>
      <c r="P336" s="91" t="s">
        <v>2531</v>
      </c>
      <c r="Q336" s="32"/>
      <c r="R336" s="48" t="s">
        <v>216</v>
      </c>
      <c r="S336" s="32"/>
    </row>
    <row r="337" spans="2:19" x14ac:dyDescent="0.3">
      <c r="B337" t="str">
        <f>LEFT(Tabla3890134177220392[[#This Row],[Descripción del equipo]], FIND(" ", Tabla3890134177220392[[#This Row],[Descripción del equipo]] &amp; " ") - 1)</f>
        <v>Autoretractil</v>
      </c>
      <c r="C337" s="11" t="s">
        <v>175</v>
      </c>
      <c r="D337">
        <v>1</v>
      </c>
      <c r="E337" s="11" t="s">
        <v>160</v>
      </c>
      <c r="F337" s="92" t="s">
        <v>1058</v>
      </c>
      <c r="G337" s="15" t="str">
        <f>LEFT([1]modificado!$O$2, FIND(" ", [1]modificado!$O$2 &amp; " ") - 1)</f>
        <v>3M</v>
      </c>
      <c r="H337" s="47" t="str">
        <f>RIGHT([1]!Tabla2[[#This Row],[Marca y Modelo]], LEN([1]!Tabla2[[#This Row],[Marca y Modelo]]) - FIND(" ", [1]!Tabla2[[#This Row],[Marca y Modelo]]))</f>
        <v>3100425</v>
      </c>
      <c r="I337" s="76"/>
      <c r="J337" s="76"/>
      <c r="K337" s="92" t="s">
        <v>4106</v>
      </c>
      <c r="L337" s="92" t="s">
        <v>2948</v>
      </c>
      <c r="M337" s="92" t="s">
        <v>1404</v>
      </c>
      <c r="N337" s="92" t="s">
        <v>1751</v>
      </c>
      <c r="O337" s="77"/>
      <c r="P337" s="92" t="s">
        <v>2531</v>
      </c>
      <c r="Q337" s="32"/>
      <c r="R337" s="48" t="s">
        <v>216</v>
      </c>
      <c r="S337" s="32"/>
    </row>
    <row r="338" spans="2:19" x14ac:dyDescent="0.3">
      <c r="B338" t="str">
        <f>LEFT(Tabla3890134177220392[[#This Row],[Descripción del equipo]], FIND(" ", Tabla3890134177220392[[#This Row],[Descripción del equipo]] &amp; " ") - 1)</f>
        <v>Autoretractil</v>
      </c>
      <c r="C338" s="11" t="s">
        <v>175</v>
      </c>
      <c r="D338">
        <v>1</v>
      </c>
      <c r="E338" s="11" t="s">
        <v>160</v>
      </c>
      <c r="F338" s="91" t="s">
        <v>1058</v>
      </c>
      <c r="G338" s="15" t="str">
        <f>LEFT([1]modificado!$O$2, FIND(" ", [1]modificado!$O$2 &amp; " ") - 1)</f>
        <v>3M</v>
      </c>
      <c r="H338" s="47" t="str">
        <f>RIGHT([1]!Tabla2[[#This Row],[Marca y Modelo]], LEN([1]!Tabla2[[#This Row],[Marca y Modelo]]) - FIND(" ", [1]!Tabla2[[#This Row],[Marca y Modelo]]))</f>
        <v>3100425</v>
      </c>
      <c r="I338" s="76"/>
      <c r="J338" s="76"/>
      <c r="K338" s="91" t="s">
        <v>4106</v>
      </c>
      <c r="L338" s="91" t="s">
        <v>2949</v>
      </c>
      <c r="M338" s="91" t="s">
        <v>1404</v>
      </c>
      <c r="N338" s="91" t="s">
        <v>1752</v>
      </c>
      <c r="O338" s="77"/>
      <c r="P338" s="91" t="s">
        <v>2531</v>
      </c>
      <c r="Q338" s="32"/>
      <c r="R338" s="48" t="s">
        <v>216</v>
      </c>
      <c r="S338" s="32"/>
    </row>
    <row r="339" spans="2:19" x14ac:dyDescent="0.3">
      <c r="B339" t="str">
        <f>LEFT(Tabla3890134177220392[[#This Row],[Descripción del equipo]], FIND(" ", Tabla3890134177220392[[#This Row],[Descripción del equipo]] &amp; " ") - 1)</f>
        <v>Autoretractil</v>
      </c>
      <c r="C339" s="11" t="s">
        <v>175</v>
      </c>
      <c r="D339">
        <v>1</v>
      </c>
      <c r="E339" s="11" t="s">
        <v>160</v>
      </c>
      <c r="F339" s="92" t="s">
        <v>1058</v>
      </c>
      <c r="G339" s="15" t="str">
        <f>LEFT([1]modificado!$O$2, FIND(" ", [1]modificado!$O$2 &amp; " ") - 1)</f>
        <v>3M</v>
      </c>
      <c r="H339" s="47"/>
      <c r="I339" s="76"/>
      <c r="J339" s="76"/>
      <c r="K339" s="92" t="s">
        <v>4106</v>
      </c>
      <c r="L339" s="92" t="s">
        <v>2950</v>
      </c>
      <c r="M339" s="92" t="s">
        <v>1404</v>
      </c>
      <c r="N339" s="92" t="s">
        <v>1753</v>
      </c>
      <c r="O339" s="77"/>
      <c r="P339" s="92" t="s">
        <v>2531</v>
      </c>
      <c r="Q339" s="32"/>
      <c r="R339" s="48" t="s">
        <v>216</v>
      </c>
      <c r="S339" s="32"/>
    </row>
    <row r="340" spans="2:19" x14ac:dyDescent="0.3">
      <c r="B340" t="str">
        <f>LEFT(Tabla3890134177220392[[#This Row],[Descripción del equipo]], FIND(" ", Tabla3890134177220392[[#This Row],[Descripción del equipo]] &amp; " ") - 1)</f>
        <v>Retractil</v>
      </c>
      <c r="C340" s="11" t="s">
        <v>175</v>
      </c>
      <c r="D340">
        <v>1</v>
      </c>
      <c r="E340" s="11" t="s">
        <v>160</v>
      </c>
      <c r="F340" s="91" t="s">
        <v>18</v>
      </c>
      <c r="G340" s="15" t="str">
        <f>LEFT([1]modificado!$O$2, FIND(" ", [1]modificado!$O$2 &amp; " ") - 1)</f>
        <v>3M</v>
      </c>
      <c r="H340" s="47" t="str">
        <f>RIGHT([1]!Tabla2[[#This Row],[Marca y Modelo]], LEN([1]!Tabla2[[#This Row],[Marca y Modelo]]) - FIND(" ", [1]!Tabla2[[#This Row],[Marca y Modelo]]))</f>
        <v>3504450</v>
      </c>
      <c r="I340" s="76"/>
      <c r="J340" s="76"/>
      <c r="K340" s="91" t="s">
        <v>4107</v>
      </c>
      <c r="L340" s="91" t="s">
        <v>2951</v>
      </c>
      <c r="M340" s="91" t="s">
        <v>1404</v>
      </c>
      <c r="N340" s="91" t="s">
        <v>1754</v>
      </c>
      <c r="O340" s="77"/>
      <c r="P340" s="91" t="s">
        <v>2531</v>
      </c>
      <c r="Q340" s="32"/>
      <c r="R340" s="48" t="s">
        <v>216</v>
      </c>
      <c r="S340" s="32"/>
    </row>
    <row r="341" spans="2:19" x14ac:dyDescent="0.3">
      <c r="B341" t="s">
        <v>4348</v>
      </c>
      <c r="C341" s="11" t="s">
        <v>175</v>
      </c>
      <c r="D341">
        <v>1</v>
      </c>
      <c r="E341" s="11" t="s">
        <v>160</v>
      </c>
      <c r="F341" s="92" t="s">
        <v>1086</v>
      </c>
      <c r="G341" s="15" t="str">
        <f>LEFT([1]modificado!$O$2, FIND(" ", [1]modificado!$O$2 &amp; " ") - 1)</f>
        <v>3M</v>
      </c>
      <c r="H341" s="47" t="str">
        <f>RIGHT([1]!Tabla2[[#This Row],[Marca y Modelo]], LEN([1]!Tabla2[[#This Row],[Marca y Modelo]]) - FIND(" ", [1]!Tabla2[[#This Row],[Marca y Modelo]]))</f>
        <v>Miller</v>
      </c>
      <c r="I341" s="76"/>
      <c r="J341" s="76"/>
      <c r="K341" s="92" t="s">
        <v>4108</v>
      </c>
      <c r="L341" s="92" t="s">
        <v>2952</v>
      </c>
      <c r="M341" s="92" t="s">
        <v>1409</v>
      </c>
      <c r="N341" s="92" t="s">
        <v>1755</v>
      </c>
      <c r="O341" s="77"/>
      <c r="P341" s="92" t="s">
        <v>2531</v>
      </c>
      <c r="Q341" s="32"/>
      <c r="R341" s="48" t="s">
        <v>216</v>
      </c>
      <c r="S341" s="32"/>
    </row>
    <row r="342" spans="2:19" x14ac:dyDescent="0.3">
      <c r="B342" t="str">
        <f>LEFT(Tabla3890134177220392[[#This Row],[Descripción del equipo]], FIND(" ", Tabla3890134177220392[[#This Row],[Descripción del equipo]] &amp; " ") - 1)</f>
        <v>Arnes</v>
      </c>
      <c r="C342" s="11" t="s">
        <v>175</v>
      </c>
      <c r="D342">
        <v>1</v>
      </c>
      <c r="E342" s="11" t="s">
        <v>160</v>
      </c>
      <c r="F342" s="91" t="s">
        <v>1056</v>
      </c>
      <c r="G342" s="15" t="str">
        <f>LEFT([1]modificado!$O$2, FIND(" ", [1]modificado!$O$2 &amp; " ") - 1)</f>
        <v>3M</v>
      </c>
      <c r="H342" s="47" t="str">
        <f>RIGHT([1]!Tabla2[[#This Row],[Marca y Modelo]], LEN([1]!Tabla2[[#This Row],[Marca y Modelo]]) - FIND(" ", [1]!Tabla2[[#This Row],[Marca y Modelo]]))</f>
        <v>10911F-LOGO</v>
      </c>
      <c r="I342" s="76"/>
      <c r="J342" s="76"/>
      <c r="K342" s="91" t="s">
        <v>4109</v>
      </c>
      <c r="L342" s="91" t="s">
        <v>2953</v>
      </c>
      <c r="M342" s="91" t="s">
        <v>1404</v>
      </c>
      <c r="N342" s="91" t="s">
        <v>1756</v>
      </c>
      <c r="O342" s="77"/>
      <c r="P342" s="91" t="s">
        <v>2531</v>
      </c>
      <c r="Q342" s="32"/>
      <c r="R342" s="48" t="s">
        <v>216</v>
      </c>
      <c r="S342" s="32"/>
    </row>
    <row r="343" spans="2:19" x14ac:dyDescent="0.3">
      <c r="B343" t="s">
        <v>4348</v>
      </c>
      <c r="C343" s="11" t="s">
        <v>175</v>
      </c>
      <c r="D343">
        <v>1</v>
      </c>
      <c r="E343" s="11" t="s">
        <v>160</v>
      </c>
      <c r="F343" s="92" t="s">
        <v>1057</v>
      </c>
      <c r="G343" s="15" t="str">
        <f>LEFT([1]modificado!$O$2, FIND(" ", [1]modificado!$O$2 &amp; " ") - 1)</f>
        <v>3M</v>
      </c>
      <c r="H343" s="47"/>
      <c r="I343" s="76"/>
      <c r="J343" s="76"/>
      <c r="K343" s="92" t="s">
        <v>4110</v>
      </c>
      <c r="L343" s="92" t="s">
        <v>2954</v>
      </c>
      <c r="M343" s="92" t="s">
        <v>1404</v>
      </c>
      <c r="N343" s="92" t="s">
        <v>1757</v>
      </c>
      <c r="O343" s="77"/>
      <c r="P343" s="92" t="s">
        <v>2531</v>
      </c>
      <c r="Q343" s="32"/>
      <c r="R343" s="48" t="s">
        <v>216</v>
      </c>
      <c r="S343" s="32"/>
    </row>
    <row r="344" spans="2:19" x14ac:dyDescent="0.3">
      <c r="B344" t="s">
        <v>4348</v>
      </c>
      <c r="C344" s="11" t="s">
        <v>175</v>
      </c>
      <c r="D344">
        <v>1</v>
      </c>
      <c r="E344" s="11" t="s">
        <v>160</v>
      </c>
      <c r="F344" s="91" t="s">
        <v>1057</v>
      </c>
      <c r="G344" s="15" t="str">
        <f>LEFT([1]modificado!$O$2, FIND(" ", [1]modificado!$O$2 &amp; " ") - 1)</f>
        <v>3M</v>
      </c>
      <c r="H344" s="47" t="str">
        <f>RIGHT([1]!Tabla2[[#This Row],[Marca y Modelo]], LEN([1]!Tabla2[[#This Row],[Marca y Modelo]]) - FIND(" ", [1]!Tabla2[[#This Row],[Marca y Modelo]]))</f>
        <v>191026A</v>
      </c>
      <c r="I344" s="76"/>
      <c r="J344" s="76"/>
      <c r="K344" s="91" t="s">
        <v>4110</v>
      </c>
      <c r="L344" s="91" t="s">
        <v>2955</v>
      </c>
      <c r="M344" s="91" t="s">
        <v>1404</v>
      </c>
      <c r="N344" s="91" t="s">
        <v>1758</v>
      </c>
      <c r="O344" s="77"/>
      <c r="P344" s="91" t="s">
        <v>2531</v>
      </c>
      <c r="Q344" s="32"/>
      <c r="R344" s="48" t="s">
        <v>216</v>
      </c>
      <c r="S344" s="32"/>
    </row>
    <row r="345" spans="2:19" x14ac:dyDescent="0.3">
      <c r="B345" t="str">
        <f>LEFT(Tabla3890134177220392[[#This Row],[Descripción del equipo]], FIND(" ", Tabla3890134177220392[[#This Row],[Descripción del equipo]] &amp; " ") - 1)</f>
        <v>Arnes</v>
      </c>
      <c r="C345" s="11" t="s">
        <v>175</v>
      </c>
      <c r="D345">
        <v>1</v>
      </c>
      <c r="E345" s="11" t="s">
        <v>160</v>
      </c>
      <c r="F345" s="92" t="s">
        <v>1056</v>
      </c>
      <c r="G345" s="15" t="str">
        <f>LEFT([1]modificado!$O$2, FIND(" ", [1]modificado!$O$2 &amp; " ") - 1)</f>
        <v>3M</v>
      </c>
      <c r="H345" s="47" t="str">
        <f>RIGHT([1]!Tabla2[[#This Row],[Marca y Modelo]], LEN([1]!Tabla2[[#This Row],[Marca y Modelo]]) - FIND(" ", [1]!Tabla2[[#This Row],[Marca y Modelo]]))</f>
        <v>First</v>
      </c>
      <c r="I345" s="76"/>
      <c r="J345" s="76"/>
      <c r="K345" s="92" t="s">
        <v>4109</v>
      </c>
      <c r="L345" s="92" t="s">
        <v>2956</v>
      </c>
      <c r="M345" s="92" t="s">
        <v>1404</v>
      </c>
      <c r="N345" s="92" t="s">
        <v>1759</v>
      </c>
      <c r="O345" s="77"/>
      <c r="P345" s="92" t="s">
        <v>2531</v>
      </c>
      <c r="Q345" s="32"/>
      <c r="R345" s="48" t="s">
        <v>216</v>
      </c>
      <c r="S345" s="32"/>
    </row>
    <row r="346" spans="2:19" x14ac:dyDescent="0.3">
      <c r="B346" t="str">
        <f>LEFT(Tabla3890134177220392[[#This Row],[Descripción del equipo]], FIND(" ", Tabla3890134177220392[[#This Row],[Descripción del equipo]] &amp; " ") - 1)</f>
        <v>Arnes</v>
      </c>
      <c r="C346" s="11" t="s">
        <v>175</v>
      </c>
      <c r="D346">
        <v>1</v>
      </c>
      <c r="E346" s="11" t="s">
        <v>160</v>
      </c>
      <c r="F346" s="91" t="s">
        <v>1056</v>
      </c>
      <c r="G346" s="15" t="str">
        <f>LEFT([1]modificado!$O$2, FIND(" ", [1]modificado!$O$2 &amp; " ") - 1)</f>
        <v>3M</v>
      </c>
      <c r="H346" s="47" t="str">
        <f>RIGHT([1]!Tabla2[[#This Row],[Marca y Modelo]], LEN([1]!Tabla2[[#This Row],[Marca y Modelo]]) - FIND(" ", [1]!Tabla2[[#This Row],[Marca y Modelo]]))</f>
        <v>First</v>
      </c>
      <c r="I346" s="76"/>
      <c r="J346" s="76"/>
      <c r="K346" s="91" t="s">
        <v>4111</v>
      </c>
      <c r="L346" s="91" t="s">
        <v>2957</v>
      </c>
      <c r="M346" s="91" t="s">
        <v>1408</v>
      </c>
      <c r="N346" s="91" t="s">
        <v>1760</v>
      </c>
      <c r="O346" s="77"/>
      <c r="P346" s="91" t="s">
        <v>2531</v>
      </c>
      <c r="Q346" s="32"/>
      <c r="R346" s="48" t="s">
        <v>216</v>
      </c>
      <c r="S346" s="32"/>
    </row>
    <row r="347" spans="2:19" x14ac:dyDescent="0.3">
      <c r="B347" t="s">
        <v>4348</v>
      </c>
      <c r="C347" s="11" t="s">
        <v>175</v>
      </c>
      <c r="D347">
        <v>1</v>
      </c>
      <c r="E347" s="11" t="s">
        <v>160</v>
      </c>
      <c r="F347" s="92" t="s">
        <v>1057</v>
      </c>
      <c r="G347" s="15" t="str">
        <f>LEFT([1]modificado!$O$2, FIND(" ", [1]modificado!$O$2 &amp; " ") - 1)</f>
        <v>3M</v>
      </c>
      <c r="H347" s="47"/>
      <c r="I347" s="76"/>
      <c r="J347" s="76"/>
      <c r="K347" s="92" t="s">
        <v>4112</v>
      </c>
      <c r="L347" s="92" t="s">
        <v>2958</v>
      </c>
      <c r="M347" s="92" t="s">
        <v>1405</v>
      </c>
      <c r="N347" s="92" t="s">
        <v>1761</v>
      </c>
      <c r="O347" s="77"/>
      <c r="P347" s="92" t="s">
        <v>2531</v>
      </c>
      <c r="Q347" s="32"/>
      <c r="R347" s="48" t="s">
        <v>216</v>
      </c>
      <c r="S347" s="32"/>
    </row>
    <row r="348" spans="2:19" x14ac:dyDescent="0.3">
      <c r="B348" t="str">
        <f>LEFT(Tabla3890134177220392[[#This Row],[Descripción del equipo]], FIND(" ", Tabla3890134177220392[[#This Row],[Descripción del equipo]] &amp; " ") - 1)</f>
        <v>Arnes</v>
      </c>
      <c r="C348" s="11" t="s">
        <v>175</v>
      </c>
      <c r="D348">
        <v>1</v>
      </c>
      <c r="E348" s="11" t="s">
        <v>160</v>
      </c>
      <c r="F348" s="91" t="s">
        <v>1056</v>
      </c>
      <c r="G348" s="15" t="str">
        <f>LEFT([1]modificado!$O$2, FIND(" ", [1]modificado!$O$2 &amp; " ") - 1)</f>
        <v>3M</v>
      </c>
      <c r="H348" s="47" t="str">
        <f>RIGHT([1]!Tabla2[[#This Row],[Marca y Modelo]], LEN([1]!Tabla2[[#This Row],[Marca y Modelo]]) - FIND(" ", [1]!Tabla2[[#This Row],[Marca y Modelo]]))</f>
        <v>10911F-LOGO</v>
      </c>
      <c r="I348" s="76"/>
      <c r="J348" s="76"/>
      <c r="K348" s="91" t="s">
        <v>4111</v>
      </c>
      <c r="L348" s="91" t="s">
        <v>2959</v>
      </c>
      <c r="M348" s="91" t="s">
        <v>1404</v>
      </c>
      <c r="N348" s="91" t="s">
        <v>1762</v>
      </c>
      <c r="O348" s="77"/>
      <c r="P348" s="91" t="s">
        <v>2531</v>
      </c>
      <c r="Q348" s="32"/>
      <c r="R348" s="48" t="s">
        <v>216</v>
      </c>
      <c r="S348" s="32"/>
    </row>
    <row r="349" spans="2:19" x14ac:dyDescent="0.3">
      <c r="B349" t="s">
        <v>4348</v>
      </c>
      <c r="C349" s="11" t="s">
        <v>175</v>
      </c>
      <c r="D349">
        <v>1</v>
      </c>
      <c r="E349" s="11" t="s">
        <v>160</v>
      </c>
      <c r="F349" s="92" t="s">
        <v>1060</v>
      </c>
      <c r="G349" s="15" t="str">
        <f>LEFT([1]modificado!$O$2, FIND(" ", [1]modificado!$O$2 &amp; " ") - 1)</f>
        <v>3M</v>
      </c>
      <c r="H349" s="47" t="str">
        <f>RIGHT([1]!Tabla2[[#This Row],[Marca y Modelo]], LEN([1]!Tabla2[[#This Row],[Marca y Modelo]]) - FIND(" ", [1]!Tabla2[[#This Row],[Marca y Modelo]]))</f>
        <v>209550-4-0241</v>
      </c>
      <c r="I349" s="76"/>
      <c r="J349" s="76"/>
      <c r="K349" s="92" t="s">
        <v>4112</v>
      </c>
      <c r="L349" s="92" t="s">
        <v>2960</v>
      </c>
      <c r="M349" s="92" t="s">
        <v>1404</v>
      </c>
      <c r="N349" s="92" t="s">
        <v>1763</v>
      </c>
      <c r="O349" s="77"/>
      <c r="P349" s="92" t="s">
        <v>2531</v>
      </c>
      <c r="Q349" s="32"/>
      <c r="R349" s="48" t="s">
        <v>216</v>
      </c>
      <c r="S349" s="32"/>
    </row>
    <row r="350" spans="2:19" x14ac:dyDescent="0.3">
      <c r="B350" t="str">
        <f>LEFT(Tabla3890134177220392[[#This Row],[Descripción del equipo]], FIND(" ", Tabla3890134177220392[[#This Row],[Descripción del equipo]] &amp; " ") - 1)</f>
        <v>Arnes</v>
      </c>
      <c r="C350" s="11" t="s">
        <v>175</v>
      </c>
      <c r="D350">
        <v>1</v>
      </c>
      <c r="E350" s="11" t="s">
        <v>160</v>
      </c>
      <c r="F350" s="91" t="s">
        <v>1056</v>
      </c>
      <c r="G350" s="15" t="str">
        <f>LEFT([1]modificado!$O$2, FIND(" ", [1]modificado!$O$2 &amp; " ") - 1)</f>
        <v>3M</v>
      </c>
      <c r="H350" s="47" t="str">
        <f>RIGHT([1]!Tabla2[[#This Row],[Marca y Modelo]], LEN([1]!Tabla2[[#This Row],[Marca y Modelo]]) - FIND(" ", [1]!Tabla2[[#This Row],[Marca y Modelo]]))</f>
        <v>Musitani Space</v>
      </c>
      <c r="I350" s="76"/>
      <c r="J350" s="76"/>
      <c r="K350" s="91" t="s">
        <v>4113</v>
      </c>
      <c r="L350" s="91" t="s">
        <v>2961</v>
      </c>
      <c r="M350" s="91" t="s">
        <v>1406</v>
      </c>
      <c r="N350" s="91" t="s">
        <v>1764</v>
      </c>
      <c r="O350" s="77"/>
      <c r="P350" s="91" t="s">
        <v>2531</v>
      </c>
      <c r="Q350" s="32"/>
      <c r="R350" s="48" t="s">
        <v>216</v>
      </c>
      <c r="S350" s="32"/>
    </row>
    <row r="351" spans="2:19" x14ac:dyDescent="0.3">
      <c r="B351" t="s">
        <v>4348</v>
      </c>
      <c r="C351" s="11" t="s">
        <v>175</v>
      </c>
      <c r="D351">
        <v>1</v>
      </c>
      <c r="E351" s="11" t="s">
        <v>160</v>
      </c>
      <c r="F351" s="92" t="s">
        <v>1057</v>
      </c>
      <c r="G351" s="15" t="str">
        <f>LEFT([1]modificado!$O$2, FIND(" ", [1]modificado!$O$2 &amp; " ") - 1)</f>
        <v>3M</v>
      </c>
      <c r="H351" s="47" t="str">
        <f>RIGHT([1]!Tabla2[[#This Row],[Marca y Modelo]], LEN([1]!Tabla2[[#This Row],[Marca y Modelo]]) - FIND(" ", [1]!Tabla2[[#This Row],[Marca y Modelo]]))</f>
        <v>191026</v>
      </c>
      <c r="I351" s="76"/>
      <c r="J351" s="76"/>
      <c r="K351" s="92" t="s">
        <v>4114</v>
      </c>
      <c r="L351" s="92" t="s">
        <v>2962</v>
      </c>
      <c r="M351" s="92" t="s">
        <v>1406</v>
      </c>
      <c r="N351" s="92" t="s">
        <v>1765</v>
      </c>
      <c r="O351" s="77"/>
      <c r="P351" s="92" t="s">
        <v>2531</v>
      </c>
      <c r="Q351" s="32"/>
      <c r="R351" s="48" t="s">
        <v>216</v>
      </c>
      <c r="S351" s="32"/>
    </row>
    <row r="352" spans="2:19" x14ac:dyDescent="0.3">
      <c r="B352" t="str">
        <f>LEFT(Tabla3890134177220392[[#This Row],[Descripción del equipo]], FIND(" ", Tabla3890134177220392[[#This Row],[Descripción del equipo]] &amp; " ") - 1)</f>
        <v>Arnes</v>
      </c>
      <c r="C352" s="11" t="s">
        <v>176</v>
      </c>
      <c r="D352">
        <v>1</v>
      </c>
      <c r="E352" s="11" t="s">
        <v>160</v>
      </c>
      <c r="F352" s="91" t="s">
        <v>1056</v>
      </c>
      <c r="G352" s="15" t="str">
        <f>LEFT([1]modificado!$O$2, FIND(" ", [1]modificado!$O$2 &amp; " ") - 1)</f>
        <v>3M</v>
      </c>
      <c r="H352" s="47" t="str">
        <f>RIGHT([1]!Tabla2[[#This Row],[Marca y Modelo]], LEN([1]!Tabla2[[#This Row],[Marca y Modelo]]) - FIND(" ", [1]!Tabla2[[#This Row],[Marca y Modelo]]))</f>
        <v>10911F-LOGO</v>
      </c>
      <c r="I352" s="76"/>
      <c r="J352" s="76"/>
      <c r="K352" s="91" t="s">
        <v>4115</v>
      </c>
      <c r="L352" s="91" t="s">
        <v>2963</v>
      </c>
      <c r="M352" s="91" t="s">
        <v>1404</v>
      </c>
      <c r="N352" s="91" t="s">
        <v>1766</v>
      </c>
      <c r="O352" s="77"/>
      <c r="P352" s="91" t="s">
        <v>2532</v>
      </c>
      <c r="Q352" s="32"/>
      <c r="R352" s="48" t="s">
        <v>216</v>
      </c>
      <c r="S352" s="32"/>
    </row>
    <row r="353" spans="2:19" x14ac:dyDescent="0.3">
      <c r="B353" t="s">
        <v>4348</v>
      </c>
      <c r="C353" s="11" t="s">
        <v>176</v>
      </c>
      <c r="D353">
        <v>1</v>
      </c>
      <c r="E353" s="11" t="s">
        <v>160</v>
      </c>
      <c r="F353" s="92" t="s">
        <v>1060</v>
      </c>
      <c r="G353" s="15" t="str">
        <f>LEFT([1]modificado!$O$2, FIND(" ", [1]modificado!$O$2 &amp; " ") - 1)</f>
        <v>3M</v>
      </c>
      <c r="H353" s="47" t="str">
        <f>RIGHT([1]!Tabla2[[#This Row],[Marca y Modelo]], LEN([1]!Tabla2[[#This Row],[Marca y Modelo]]) - FIND(" ", [1]!Tabla2[[#This Row],[Marca y Modelo]]))</f>
        <v>209550-4-0241</v>
      </c>
      <c r="I353" s="76"/>
      <c r="J353" s="76"/>
      <c r="K353" s="92" t="s">
        <v>4116</v>
      </c>
      <c r="L353" s="92" t="s">
        <v>2964</v>
      </c>
      <c r="M353" s="92" t="s">
        <v>1404</v>
      </c>
      <c r="N353" s="92" t="s">
        <v>1767</v>
      </c>
      <c r="O353" s="77"/>
      <c r="P353" s="92" t="s">
        <v>2532</v>
      </c>
      <c r="Q353" s="32"/>
      <c r="R353" s="48" t="s">
        <v>216</v>
      </c>
      <c r="S353" s="32"/>
    </row>
    <row r="354" spans="2:19" x14ac:dyDescent="0.3">
      <c r="B354" t="str">
        <f>LEFT(Tabla3890134177220392[[#This Row],[Descripción del equipo]], FIND(" ", Tabla3890134177220392[[#This Row],[Descripción del equipo]] &amp; " ") - 1)</f>
        <v>Arnes</v>
      </c>
      <c r="C354" s="11" t="s">
        <v>176</v>
      </c>
      <c r="D354">
        <v>1</v>
      </c>
      <c r="E354" s="11" t="s">
        <v>160</v>
      </c>
      <c r="F354" s="91" t="s">
        <v>1056</v>
      </c>
      <c r="G354" s="15" t="str">
        <f>LEFT([1]modificado!$O$2, FIND(" ", [1]modificado!$O$2 &amp; " ") - 1)</f>
        <v>3M</v>
      </c>
      <c r="H354" s="47" t="str">
        <f>RIGHT([1]!Tabla2[[#This Row],[Marca y Modelo]], LEN([1]!Tabla2[[#This Row],[Marca y Modelo]]) - FIND(" ", [1]!Tabla2[[#This Row],[Marca y Modelo]]))</f>
        <v>10911F-LOGO</v>
      </c>
      <c r="I354" s="76"/>
      <c r="J354" s="76"/>
      <c r="K354" s="91" t="s">
        <v>4115</v>
      </c>
      <c r="L354" s="91" t="s">
        <v>2965</v>
      </c>
      <c r="M354" s="91" t="s">
        <v>1404</v>
      </c>
      <c r="N354" s="91" t="s">
        <v>1768</v>
      </c>
      <c r="O354" s="77"/>
      <c r="P354" s="91" t="s">
        <v>2532</v>
      </c>
      <c r="Q354" s="32"/>
      <c r="R354" s="48" t="s">
        <v>216</v>
      </c>
      <c r="S354" s="32"/>
    </row>
    <row r="355" spans="2:19" x14ac:dyDescent="0.3">
      <c r="B355" t="s">
        <v>4348</v>
      </c>
      <c r="C355" s="11" t="s">
        <v>176</v>
      </c>
      <c r="D355">
        <v>1</v>
      </c>
      <c r="E355" s="11" t="s">
        <v>160</v>
      </c>
      <c r="F355" s="92" t="s">
        <v>1060</v>
      </c>
      <c r="G355" s="15" t="str">
        <f>LEFT([1]modificado!$O$2, FIND(" ", [1]modificado!$O$2 &amp; " ") - 1)</f>
        <v>3M</v>
      </c>
      <c r="H355" s="47" t="str">
        <f>RIGHT([1]!Tabla2[[#This Row],[Marca y Modelo]], LEN([1]!Tabla2[[#This Row],[Marca y Modelo]]) - FIND(" ", [1]!Tabla2[[#This Row],[Marca y Modelo]]))</f>
        <v>209550-4-0241</v>
      </c>
      <c r="I355" s="76"/>
      <c r="J355" s="76"/>
      <c r="K355" s="92" t="s">
        <v>4115</v>
      </c>
      <c r="L355" s="92" t="s">
        <v>2966</v>
      </c>
      <c r="M355" s="92" t="s">
        <v>1404</v>
      </c>
      <c r="N355" s="92" t="s">
        <v>1769</v>
      </c>
      <c r="O355" s="77"/>
      <c r="P355" s="92" t="s">
        <v>2532</v>
      </c>
      <c r="Q355" s="32"/>
      <c r="R355" s="48" t="s">
        <v>216</v>
      </c>
      <c r="S355" s="32"/>
    </row>
    <row r="356" spans="2:19" x14ac:dyDescent="0.3">
      <c r="B356" t="str">
        <f>LEFT(Tabla3890134177220392[[#This Row],[Descripción del equipo]], FIND(" ", Tabla3890134177220392[[#This Row],[Descripción del equipo]] &amp; " ") - 1)</f>
        <v>Arnes</v>
      </c>
      <c r="C356" s="11" t="s">
        <v>176</v>
      </c>
      <c r="D356">
        <v>1</v>
      </c>
      <c r="E356" s="11" t="s">
        <v>160</v>
      </c>
      <c r="F356" s="91" t="s">
        <v>1056</v>
      </c>
      <c r="G356" s="15" t="str">
        <f>LEFT([1]modificado!$O$2, FIND(" ", [1]modificado!$O$2 &amp; " ") - 1)</f>
        <v>3M</v>
      </c>
      <c r="H356" s="47" t="str">
        <f>RIGHT([1]!Tabla2[[#This Row],[Marca y Modelo]], LEN([1]!Tabla2[[#This Row],[Marca y Modelo]]) - FIND(" ", [1]!Tabla2[[#This Row],[Marca y Modelo]]))</f>
        <v>Lion</v>
      </c>
      <c r="I356" s="76"/>
      <c r="J356" s="76"/>
      <c r="K356" s="91" t="s">
        <v>4115</v>
      </c>
      <c r="L356" s="91" t="s">
        <v>2967</v>
      </c>
      <c r="M356" s="91" t="s">
        <v>1406</v>
      </c>
      <c r="N356" s="91" t="s">
        <v>1770</v>
      </c>
      <c r="O356" s="77"/>
      <c r="P356" s="91" t="s">
        <v>2532</v>
      </c>
      <c r="Q356" s="32"/>
      <c r="R356" s="48" t="s">
        <v>216</v>
      </c>
      <c r="S356" s="32"/>
    </row>
    <row r="357" spans="2:19" x14ac:dyDescent="0.3">
      <c r="B357" t="str">
        <f>LEFT(Tabla3890134177220392[[#This Row],[Descripción del equipo]], FIND(" ", Tabla3890134177220392[[#This Row],[Descripción del equipo]] &amp; " ") - 1)</f>
        <v>Arnes</v>
      </c>
      <c r="C357" s="11" t="s">
        <v>176</v>
      </c>
      <c r="D357">
        <v>1</v>
      </c>
      <c r="E357" s="11" t="s">
        <v>160</v>
      </c>
      <c r="F357" s="92" t="s">
        <v>1065</v>
      </c>
      <c r="G357" s="15" t="str">
        <f>LEFT([1]modificado!$O$2, FIND(" ", [1]modificado!$O$2 &amp; " ") - 1)</f>
        <v>3M</v>
      </c>
      <c r="H357" s="47"/>
      <c r="I357" s="76"/>
      <c r="J357" s="76"/>
      <c r="K357" s="92" t="s">
        <v>4115</v>
      </c>
      <c r="L357" s="92" t="s">
        <v>2968</v>
      </c>
      <c r="M357" s="92" t="s">
        <v>1404</v>
      </c>
      <c r="N357" s="92" t="s">
        <v>1771</v>
      </c>
      <c r="O357" s="77"/>
      <c r="P357" s="92" t="s">
        <v>2532</v>
      </c>
      <c r="Q357" s="32"/>
      <c r="R357" s="48" t="s">
        <v>216</v>
      </c>
      <c r="S357" s="32"/>
    </row>
    <row r="358" spans="2:19" x14ac:dyDescent="0.3">
      <c r="B358" t="str">
        <f>LEFT(Tabla3890134177220392[[#This Row],[Descripción del equipo]], FIND(" ", Tabla3890134177220392[[#This Row],[Descripción del equipo]] &amp; " ") - 1)</f>
        <v>Autoretractil</v>
      </c>
      <c r="C358" s="11" t="s">
        <v>176</v>
      </c>
      <c r="D358">
        <v>1</v>
      </c>
      <c r="E358" s="11" t="s">
        <v>160</v>
      </c>
      <c r="F358" s="91" t="s">
        <v>1058</v>
      </c>
      <c r="G358" s="15" t="str">
        <f>LEFT([1]modificado!$O$2, FIND(" ", [1]modificado!$O$2 &amp; " ") - 1)</f>
        <v>3M</v>
      </c>
      <c r="H358" s="47" t="str">
        <f>RIGHT([1]!Tabla2[[#This Row],[Marca y Modelo]], LEN([1]!Tabla2[[#This Row],[Marca y Modelo]]) - FIND(" ", [1]!Tabla2[[#This Row],[Marca y Modelo]]))</f>
        <v>Nano Lok</v>
      </c>
      <c r="I358" s="76"/>
      <c r="J358" s="76"/>
      <c r="K358" s="91" t="s">
        <v>4117</v>
      </c>
      <c r="L358" s="91" t="s">
        <v>2969</v>
      </c>
      <c r="M358" s="91" t="s">
        <v>1404</v>
      </c>
      <c r="N358" s="91" t="s">
        <v>1772</v>
      </c>
      <c r="O358" s="77"/>
      <c r="P358" s="91" t="s">
        <v>2532</v>
      </c>
      <c r="Q358" s="32"/>
      <c r="R358" s="48" t="s">
        <v>216</v>
      </c>
      <c r="S358" s="32"/>
    </row>
    <row r="359" spans="2:19" x14ac:dyDescent="0.3">
      <c r="B359" t="s">
        <v>4348</v>
      </c>
      <c r="C359" s="11" t="s">
        <v>176</v>
      </c>
      <c r="D359">
        <v>1</v>
      </c>
      <c r="E359" s="11" t="s">
        <v>160</v>
      </c>
      <c r="F359" s="92" t="s">
        <v>1070</v>
      </c>
      <c r="G359" s="15" t="str">
        <f>LEFT([1]modificado!$O$2, FIND(" ", [1]modificado!$O$2 &amp; " ") - 1)</f>
        <v>3M</v>
      </c>
      <c r="H359" s="47" t="str">
        <f>RIGHT([1]!Tabla2[[#This Row],[Marca y Modelo]], LEN([1]!Tabla2[[#This Row],[Marca y Modelo]]) - FIND(" ", [1]!Tabla2[[#This Row],[Marca y Modelo]]))</f>
        <v>1340161MX</v>
      </c>
      <c r="I359" s="76"/>
      <c r="J359" s="76"/>
      <c r="K359" s="92" t="s">
        <v>4116</v>
      </c>
      <c r="L359" s="92" t="s">
        <v>2970</v>
      </c>
      <c r="M359" s="92" t="s">
        <v>1404</v>
      </c>
      <c r="N359" s="92" t="s">
        <v>1773</v>
      </c>
      <c r="O359" s="77"/>
      <c r="P359" s="92" t="s">
        <v>2532</v>
      </c>
      <c r="Q359" s="32"/>
      <c r="R359" s="48" t="s">
        <v>216</v>
      </c>
      <c r="S359" s="32"/>
    </row>
    <row r="360" spans="2:19" x14ac:dyDescent="0.3">
      <c r="B360" t="str">
        <f>LEFT(Tabla3890134177220392[[#This Row],[Descripción del equipo]], FIND(" ", Tabla3890134177220392[[#This Row],[Descripción del equipo]] &amp; " ") - 1)</f>
        <v>Arnes</v>
      </c>
      <c r="C360" s="11" t="s">
        <v>176</v>
      </c>
      <c r="D360">
        <v>1</v>
      </c>
      <c r="E360" s="11" t="s">
        <v>160</v>
      </c>
      <c r="F360" s="91" t="s">
        <v>1056</v>
      </c>
      <c r="G360" s="15" t="str">
        <f>LEFT([1]modificado!$O$2, FIND(" ", [1]modificado!$O$2 &amp; " ") - 1)</f>
        <v>3M</v>
      </c>
      <c r="H360" s="47" t="str">
        <f>RIGHT([1]!Tabla2[[#This Row],[Marca y Modelo]], LEN([1]!Tabla2[[#This Row],[Marca y Modelo]]) - FIND(" ", [1]!Tabla2[[#This Row],[Marca y Modelo]]))</f>
        <v>10911F-LOGO</v>
      </c>
      <c r="I360" s="76"/>
      <c r="J360" s="76"/>
      <c r="K360" s="91" t="s">
        <v>4115</v>
      </c>
      <c r="L360" s="91" t="s">
        <v>2971</v>
      </c>
      <c r="M360" s="91" t="s">
        <v>1404</v>
      </c>
      <c r="N360" s="91" t="s">
        <v>1774</v>
      </c>
      <c r="O360" s="77"/>
      <c r="P360" s="91" t="s">
        <v>2532</v>
      </c>
      <c r="Q360" s="32"/>
      <c r="R360" s="48" t="s">
        <v>216</v>
      </c>
      <c r="S360" s="32"/>
    </row>
    <row r="361" spans="2:19" x14ac:dyDescent="0.3">
      <c r="B361" t="s">
        <v>4348</v>
      </c>
      <c r="C361" s="11" t="s">
        <v>176</v>
      </c>
      <c r="D361">
        <v>1</v>
      </c>
      <c r="E361" s="11" t="s">
        <v>160</v>
      </c>
      <c r="F361" s="92" t="s">
        <v>1060</v>
      </c>
      <c r="G361" s="15" t="str">
        <f>LEFT([1]modificado!$O$2, FIND(" ", [1]modificado!$O$2 &amp; " ") - 1)</f>
        <v>3M</v>
      </c>
      <c r="H361" s="47" t="str">
        <f>RIGHT([1]!Tabla2[[#This Row],[Marca y Modelo]], LEN([1]!Tabla2[[#This Row],[Marca y Modelo]]) - FIND(" ", [1]!Tabla2[[#This Row],[Marca y Modelo]]))</f>
        <v>209550-4-0241</v>
      </c>
      <c r="I361" s="76"/>
      <c r="J361" s="76"/>
      <c r="K361" s="92" t="s">
        <v>4116</v>
      </c>
      <c r="L361" s="92" t="s">
        <v>2972</v>
      </c>
      <c r="M361" s="92" t="s">
        <v>1404</v>
      </c>
      <c r="N361" s="92" t="s">
        <v>1775</v>
      </c>
      <c r="O361" s="77"/>
      <c r="P361" s="92" t="s">
        <v>2532</v>
      </c>
      <c r="Q361" s="32"/>
      <c r="R361" s="48" t="s">
        <v>216</v>
      </c>
      <c r="S361" s="32"/>
    </row>
    <row r="362" spans="2:19" x14ac:dyDescent="0.3">
      <c r="B362" t="str">
        <f>LEFT(Tabla3890134177220392[[#This Row],[Descripción del equipo]], FIND(" ", Tabla3890134177220392[[#This Row],[Descripción del equipo]] &amp; " ") - 1)</f>
        <v>Arnes</v>
      </c>
      <c r="C362" s="11" t="s">
        <v>176</v>
      </c>
      <c r="D362">
        <v>1</v>
      </c>
      <c r="E362" s="11" t="s">
        <v>160</v>
      </c>
      <c r="F362" s="91" t="s">
        <v>1056</v>
      </c>
      <c r="G362" s="15" t="str">
        <f>LEFT([1]modificado!$O$2, FIND(" ", [1]modificado!$O$2 &amp; " ") - 1)</f>
        <v>3M</v>
      </c>
      <c r="H362" s="47" t="str">
        <f>RIGHT([1]!Tabla2[[#This Row],[Marca y Modelo]], LEN([1]!Tabla2[[#This Row],[Marca y Modelo]]) - FIND(" ", [1]!Tabla2[[#This Row],[Marca y Modelo]]))</f>
        <v>10911F-LOGO</v>
      </c>
      <c r="I362" s="76"/>
      <c r="J362" s="76"/>
      <c r="K362" s="91" t="s">
        <v>4115</v>
      </c>
      <c r="L362" s="91" t="s">
        <v>2973</v>
      </c>
      <c r="M362" s="91" t="s">
        <v>1404</v>
      </c>
      <c r="N362" s="91" t="s">
        <v>1776</v>
      </c>
      <c r="O362" s="77"/>
      <c r="P362" s="91" t="s">
        <v>2532</v>
      </c>
      <c r="Q362" s="32"/>
      <c r="R362" s="48" t="s">
        <v>216</v>
      </c>
      <c r="S362" s="32"/>
    </row>
    <row r="363" spans="2:19" x14ac:dyDescent="0.3">
      <c r="B363" t="s">
        <v>4348</v>
      </c>
      <c r="C363" s="11" t="s">
        <v>176</v>
      </c>
      <c r="D363">
        <v>1</v>
      </c>
      <c r="E363" s="11" t="s">
        <v>160</v>
      </c>
      <c r="F363" s="92" t="s">
        <v>1060</v>
      </c>
      <c r="G363" s="15" t="str">
        <f>LEFT([1]modificado!$O$2, FIND(" ", [1]modificado!$O$2 &amp; " ") - 1)</f>
        <v>3M</v>
      </c>
      <c r="H363" s="47" t="str">
        <f>RIGHT([1]!Tabla2[[#This Row],[Marca y Modelo]], LEN([1]!Tabla2[[#This Row],[Marca y Modelo]]) - FIND(" ", [1]!Tabla2[[#This Row],[Marca y Modelo]]))</f>
        <v>209550-4-0241</v>
      </c>
      <c r="I363" s="76"/>
      <c r="J363" s="76"/>
      <c r="K363" s="92" t="s">
        <v>4116</v>
      </c>
      <c r="L363" s="92" t="s">
        <v>2974</v>
      </c>
      <c r="M363" s="92" t="s">
        <v>1404</v>
      </c>
      <c r="N363" s="92" t="s">
        <v>1777</v>
      </c>
      <c r="O363" s="77"/>
      <c r="P363" s="92" t="s">
        <v>2532</v>
      </c>
      <c r="Q363" s="32"/>
      <c r="R363" s="48" t="s">
        <v>216</v>
      </c>
      <c r="S363" s="32"/>
    </row>
    <row r="364" spans="2:19" x14ac:dyDescent="0.3">
      <c r="B364" t="str">
        <f>LEFT(Tabla3890134177220392[[#This Row],[Descripción del equipo]], FIND(" ", Tabla3890134177220392[[#This Row],[Descripción del equipo]] &amp; " ") - 1)</f>
        <v>Autoretractil</v>
      </c>
      <c r="C364" s="11" t="s">
        <v>176</v>
      </c>
      <c r="D364">
        <v>1</v>
      </c>
      <c r="E364" s="11" t="s">
        <v>160</v>
      </c>
      <c r="F364" s="91" t="s">
        <v>1058</v>
      </c>
      <c r="G364" s="15" t="str">
        <f>LEFT([1]modificado!$O$2, FIND(" ", [1]modificado!$O$2 &amp; " ") - 1)</f>
        <v>3M</v>
      </c>
      <c r="H364" s="47"/>
      <c r="I364" s="76"/>
      <c r="J364" s="76"/>
      <c r="K364" s="91" t="s">
        <v>4117</v>
      </c>
      <c r="L364" s="91" t="s">
        <v>2975</v>
      </c>
      <c r="M364" s="91" t="s">
        <v>1404</v>
      </c>
      <c r="N364" s="91" t="s">
        <v>1778</v>
      </c>
      <c r="O364" s="77"/>
      <c r="P364" s="91" t="s">
        <v>2532</v>
      </c>
      <c r="Q364" s="32"/>
      <c r="R364" s="48" t="s">
        <v>216</v>
      </c>
      <c r="S364" s="32"/>
    </row>
    <row r="365" spans="2:19" x14ac:dyDescent="0.3">
      <c r="B365" t="str">
        <f>LEFT(Tabla3890134177220392[[#This Row],[Descripción del equipo]], FIND(" ", Tabla3890134177220392[[#This Row],[Descripción del equipo]] &amp; " ") - 1)</f>
        <v>Arnes</v>
      </c>
      <c r="C365" s="11" t="s">
        <v>176</v>
      </c>
      <c r="D365">
        <v>1</v>
      </c>
      <c r="E365" s="11" t="s">
        <v>160</v>
      </c>
      <c r="F365" s="92" t="s">
        <v>1056</v>
      </c>
      <c r="G365" s="15" t="str">
        <f>LEFT([1]modificado!$O$2, FIND(" ", [1]modificado!$O$2 &amp; " ") - 1)</f>
        <v>3M</v>
      </c>
      <c r="H365" s="47" t="str">
        <f>RIGHT([1]!Tabla2[[#This Row],[Marca y Modelo]], LEN([1]!Tabla2[[#This Row],[Marca y Modelo]]) - FIND(" ", [1]!Tabla2[[#This Row],[Marca y Modelo]]))</f>
        <v>Musitani Space</v>
      </c>
      <c r="I365" s="76"/>
      <c r="J365" s="76"/>
      <c r="K365" s="92" t="s">
        <v>4115</v>
      </c>
      <c r="L365" s="92" t="s">
        <v>2976</v>
      </c>
      <c r="M365" s="92" t="s">
        <v>1406</v>
      </c>
      <c r="N365" s="92" t="s">
        <v>1779</v>
      </c>
      <c r="O365" s="77"/>
      <c r="P365" s="92" t="s">
        <v>2532</v>
      </c>
      <c r="Q365" s="32"/>
      <c r="R365" s="48" t="s">
        <v>216</v>
      </c>
      <c r="S365" s="32"/>
    </row>
    <row r="366" spans="2:19" x14ac:dyDescent="0.3">
      <c r="B366" t="s">
        <v>4348</v>
      </c>
      <c r="C366" s="11" t="s">
        <v>176</v>
      </c>
      <c r="D366">
        <v>1</v>
      </c>
      <c r="E366" s="11" t="s">
        <v>160</v>
      </c>
      <c r="F366" s="91" t="s">
        <v>1072</v>
      </c>
      <c r="G366" s="15" t="str">
        <f>LEFT([1]modificado!$O$2, FIND(" ", [1]modificado!$O$2 &amp; " ") - 1)</f>
        <v>3M</v>
      </c>
      <c r="H366" s="47" t="str">
        <f>RIGHT([1]!Tabla2[[#This Row],[Marca y Modelo]], LEN([1]!Tabla2[[#This Row],[Marca y Modelo]]) - FIND(" ", [1]!Tabla2[[#This Row],[Marca y Modelo]]))</f>
        <v>3250</v>
      </c>
      <c r="I366" s="76"/>
      <c r="J366" s="76"/>
      <c r="K366" s="91" t="s">
        <v>4118</v>
      </c>
      <c r="L366" s="91" t="s">
        <v>2977</v>
      </c>
      <c r="M366" s="91" t="s">
        <v>1404</v>
      </c>
      <c r="N366" s="91" t="s">
        <v>1780</v>
      </c>
      <c r="O366" s="77"/>
      <c r="P366" s="91" t="s">
        <v>2532</v>
      </c>
      <c r="Q366" s="32"/>
      <c r="R366" s="48" t="s">
        <v>216</v>
      </c>
      <c r="S366" s="32"/>
    </row>
    <row r="367" spans="2:19" x14ac:dyDescent="0.3">
      <c r="B367" t="str">
        <f>LEFT(Tabla3890134177220392[[#This Row],[Descripción del equipo]], FIND(" ", Tabla3890134177220392[[#This Row],[Descripción del equipo]] &amp; " ") - 1)</f>
        <v>Autoretractil</v>
      </c>
      <c r="C367" s="11" t="s">
        <v>176</v>
      </c>
      <c r="D367">
        <v>1</v>
      </c>
      <c r="E367" s="11" t="s">
        <v>160</v>
      </c>
      <c r="F367" s="92" t="s">
        <v>1058</v>
      </c>
      <c r="G367" s="15" t="str">
        <f>LEFT([1]modificado!$O$2, FIND(" ", [1]modificado!$O$2 &amp; " ") - 1)</f>
        <v>3M</v>
      </c>
      <c r="H367" s="47" t="str">
        <f>RIGHT([1]!Tabla2[[#This Row],[Marca y Modelo]], LEN([1]!Tabla2[[#This Row],[Marca y Modelo]]) - FIND(" ", [1]!Tabla2[[#This Row],[Marca y Modelo]]))</f>
        <v>Nano Lok</v>
      </c>
      <c r="I367" s="76"/>
      <c r="J367" s="76"/>
      <c r="K367" s="92" t="s">
        <v>4117</v>
      </c>
      <c r="L367" s="92" t="s">
        <v>2978</v>
      </c>
      <c r="M367" s="92" t="s">
        <v>1404</v>
      </c>
      <c r="N367" s="92" t="s">
        <v>1781</v>
      </c>
      <c r="O367" s="77"/>
      <c r="P367" s="92" t="s">
        <v>2532</v>
      </c>
      <c r="Q367" s="32"/>
      <c r="R367" s="48" t="s">
        <v>216</v>
      </c>
      <c r="S367" s="32"/>
    </row>
    <row r="368" spans="2:19" x14ac:dyDescent="0.3">
      <c r="B368" t="s">
        <v>4349</v>
      </c>
      <c r="C368" s="11" t="s">
        <v>176</v>
      </c>
      <c r="D368">
        <v>1</v>
      </c>
      <c r="E368" s="11" t="s">
        <v>160</v>
      </c>
      <c r="F368" s="91" t="s">
        <v>1078</v>
      </c>
      <c r="G368" s="15" t="str">
        <f>LEFT([1]modificado!$O$2, FIND(" ", [1]modificado!$O$2 &amp; " ") - 1)</f>
        <v>3M</v>
      </c>
      <c r="H368" s="47" t="str">
        <f>RIGHT([1]!Tabla2[[#This Row],[Marca y Modelo]], LEN([1]!Tabla2[[#This Row],[Marca y Modelo]]) - FIND(" ", [1]!Tabla2[[#This Row],[Marca y Modelo]]))</f>
        <v>SKN</v>
      </c>
      <c r="I368" s="76"/>
      <c r="J368" s="76"/>
      <c r="K368" s="91" t="s">
        <v>4119</v>
      </c>
      <c r="L368" s="91" t="s">
        <v>2979</v>
      </c>
      <c r="M368" s="91" t="s">
        <v>1410</v>
      </c>
      <c r="N368" s="91" t="s">
        <v>1782</v>
      </c>
      <c r="O368" s="77"/>
      <c r="P368" s="91" t="s">
        <v>2532</v>
      </c>
      <c r="Q368" s="32"/>
      <c r="R368" s="48" t="s">
        <v>216</v>
      </c>
      <c r="S368" s="32"/>
    </row>
    <row r="369" spans="2:19" x14ac:dyDescent="0.3">
      <c r="B369" t="s">
        <v>4349</v>
      </c>
      <c r="C369" s="11" t="s">
        <v>176</v>
      </c>
      <c r="D369">
        <v>1</v>
      </c>
      <c r="E369" s="11" t="s">
        <v>160</v>
      </c>
      <c r="F369" s="92" t="s">
        <v>1084</v>
      </c>
      <c r="G369" s="15" t="str">
        <f>LEFT([1]modificado!$O$2, FIND(" ", [1]modificado!$O$2 &amp; " ") - 1)</f>
        <v>3M</v>
      </c>
      <c r="H369" s="47" t="str">
        <f>RIGHT([1]!Tabla2[[#This Row],[Marca y Modelo]], LEN([1]!Tabla2[[#This Row],[Marca y Modelo]]) - FIND(" ", [1]!Tabla2[[#This Row],[Marca y Modelo]]))</f>
        <v>SKN</v>
      </c>
      <c r="I369" s="76"/>
      <c r="J369" s="76"/>
      <c r="K369" s="92" t="s">
        <v>4119</v>
      </c>
      <c r="L369" s="92" t="s">
        <v>2980</v>
      </c>
      <c r="M369" s="92" t="s">
        <v>1410</v>
      </c>
      <c r="N369" s="92" t="s">
        <v>1783</v>
      </c>
      <c r="O369" s="77"/>
      <c r="P369" s="92" t="s">
        <v>2532</v>
      </c>
      <c r="Q369" s="32"/>
      <c r="R369" s="48" t="s">
        <v>216</v>
      </c>
      <c r="S369" s="32"/>
    </row>
    <row r="370" spans="2:19" x14ac:dyDescent="0.3">
      <c r="B370" t="s">
        <v>4349</v>
      </c>
      <c r="C370" s="11" t="s">
        <v>176</v>
      </c>
      <c r="D370">
        <v>1</v>
      </c>
      <c r="E370" s="11" t="s">
        <v>160</v>
      </c>
      <c r="F370" s="91" t="s">
        <v>1084</v>
      </c>
      <c r="G370" s="15" t="str">
        <f>LEFT([1]modificado!$O$2, FIND(" ", [1]modificado!$O$2 &amp; " ") - 1)</f>
        <v>3M</v>
      </c>
      <c r="H370" s="47" t="str">
        <f>RIGHT([1]!Tabla2[[#This Row],[Marca y Modelo]], LEN([1]!Tabla2[[#This Row],[Marca y Modelo]]) - FIND(" ", [1]!Tabla2[[#This Row],[Marca y Modelo]]))</f>
        <v>SKN</v>
      </c>
      <c r="I370" s="76"/>
      <c r="J370" s="76"/>
      <c r="K370" s="91" t="s">
        <v>4119</v>
      </c>
      <c r="L370" s="91" t="s">
        <v>2981</v>
      </c>
      <c r="M370" s="91" t="s">
        <v>1410</v>
      </c>
      <c r="N370" s="91" t="s">
        <v>1784</v>
      </c>
      <c r="O370" s="77"/>
      <c r="P370" s="91" t="s">
        <v>2532</v>
      </c>
      <c r="Q370" s="32"/>
      <c r="R370" s="48" t="s">
        <v>216</v>
      </c>
      <c r="S370" s="32"/>
    </row>
    <row r="371" spans="2:19" x14ac:dyDescent="0.3">
      <c r="B371" t="s">
        <v>4349</v>
      </c>
      <c r="C371" s="11" t="s">
        <v>176</v>
      </c>
      <c r="D371">
        <v>1</v>
      </c>
      <c r="E371" s="11" t="s">
        <v>160</v>
      </c>
      <c r="F371" s="92" t="s">
        <v>1084</v>
      </c>
      <c r="G371" s="15" t="str">
        <f>LEFT([1]modificado!$O$2, FIND(" ", [1]modificado!$O$2 &amp; " ") - 1)</f>
        <v>3M</v>
      </c>
      <c r="H371" s="47" t="str">
        <f>RIGHT([1]!Tabla2[[#This Row],[Marca y Modelo]], LEN([1]!Tabla2[[#This Row],[Marca y Modelo]]) - FIND(" ", [1]!Tabla2[[#This Row],[Marca y Modelo]]))</f>
        <v>SKN</v>
      </c>
      <c r="I371" s="76"/>
      <c r="J371" s="76"/>
      <c r="K371" s="92" t="s">
        <v>4119</v>
      </c>
      <c r="L371" s="92" t="s">
        <v>2982</v>
      </c>
      <c r="M371" s="92" t="s">
        <v>1410</v>
      </c>
      <c r="N371" s="92" t="s">
        <v>1785</v>
      </c>
      <c r="O371" s="77"/>
      <c r="P371" s="92" t="s">
        <v>2532</v>
      </c>
      <c r="Q371" s="32"/>
      <c r="R371" s="48" t="s">
        <v>216</v>
      </c>
      <c r="S371" s="32"/>
    </row>
    <row r="372" spans="2:19" x14ac:dyDescent="0.3">
      <c r="B372" t="s">
        <v>4349</v>
      </c>
      <c r="C372" s="11" t="s">
        <v>176</v>
      </c>
      <c r="D372">
        <v>1</v>
      </c>
      <c r="E372" s="11" t="s">
        <v>160</v>
      </c>
      <c r="F372" s="91" t="s">
        <v>1084</v>
      </c>
      <c r="G372" s="15" t="str">
        <f>LEFT([1]modificado!$O$2, FIND(" ", [1]modificado!$O$2 &amp; " ") - 1)</f>
        <v>3M</v>
      </c>
      <c r="H372" s="47" t="str">
        <f>RIGHT([1]!Tabla2[[#This Row],[Marca y Modelo]], LEN([1]!Tabla2[[#This Row],[Marca y Modelo]]) - FIND(" ", [1]!Tabla2[[#This Row],[Marca y Modelo]]))</f>
        <v>SKN</v>
      </c>
      <c r="I372" s="76"/>
      <c r="J372" s="76"/>
      <c r="K372" s="91" t="s">
        <v>4119</v>
      </c>
      <c r="L372" s="91" t="s">
        <v>2983</v>
      </c>
      <c r="M372" s="91" t="s">
        <v>1410</v>
      </c>
      <c r="N372" s="91" t="s">
        <v>1786</v>
      </c>
      <c r="O372" s="77"/>
      <c r="P372" s="91" t="s">
        <v>2532</v>
      </c>
      <c r="Q372" s="32"/>
      <c r="R372" s="48" t="s">
        <v>216</v>
      </c>
      <c r="S372" s="32"/>
    </row>
    <row r="373" spans="2:19" x14ac:dyDescent="0.3">
      <c r="B373" t="s">
        <v>4349</v>
      </c>
      <c r="C373" s="11" t="s">
        <v>176</v>
      </c>
      <c r="D373">
        <v>1</v>
      </c>
      <c r="E373" s="11" t="s">
        <v>160</v>
      </c>
      <c r="F373" s="92" t="s">
        <v>1084</v>
      </c>
      <c r="G373" s="15" t="str">
        <f>LEFT([1]modificado!$O$2, FIND(" ", [1]modificado!$O$2 &amp; " ") - 1)</f>
        <v>3M</v>
      </c>
      <c r="H373" s="47" t="str">
        <f>RIGHT([1]!Tabla2[[#This Row],[Marca y Modelo]], LEN([1]!Tabla2[[#This Row],[Marca y Modelo]]) - FIND(" ", [1]!Tabla2[[#This Row],[Marca y Modelo]]))</f>
        <v>SKN</v>
      </c>
      <c r="I373" s="76"/>
      <c r="J373" s="76"/>
      <c r="K373" s="92" t="s">
        <v>4119</v>
      </c>
      <c r="L373" s="92" t="s">
        <v>2984</v>
      </c>
      <c r="M373" s="92" t="s">
        <v>1410</v>
      </c>
      <c r="N373" s="92" t="s">
        <v>1787</v>
      </c>
      <c r="O373" s="77"/>
      <c r="P373" s="92" t="s">
        <v>2532</v>
      </c>
      <c r="Q373" s="32"/>
      <c r="R373" s="48" t="s">
        <v>216</v>
      </c>
      <c r="S373" s="32"/>
    </row>
    <row r="374" spans="2:19" x14ac:dyDescent="0.3">
      <c r="B374" t="s">
        <v>4349</v>
      </c>
      <c r="C374" s="11" t="s">
        <v>176</v>
      </c>
      <c r="D374">
        <v>1</v>
      </c>
      <c r="E374" s="11" t="s">
        <v>160</v>
      </c>
      <c r="F374" s="91" t="s">
        <v>1084</v>
      </c>
      <c r="G374" s="15" t="str">
        <f>LEFT([1]modificado!$O$2, FIND(" ", [1]modificado!$O$2 &amp; " ") - 1)</f>
        <v>3M</v>
      </c>
      <c r="H374" s="47" t="str">
        <f>RIGHT([1]!Tabla2[[#This Row],[Marca y Modelo]], LEN([1]!Tabla2[[#This Row],[Marca y Modelo]]) - FIND(" ", [1]!Tabla2[[#This Row],[Marca y Modelo]]))</f>
        <v>SKN</v>
      </c>
      <c r="I374" s="76"/>
      <c r="J374" s="76"/>
      <c r="K374" s="91" t="s">
        <v>4119</v>
      </c>
      <c r="L374" s="91" t="s">
        <v>2985</v>
      </c>
      <c r="M374" s="91" t="s">
        <v>1410</v>
      </c>
      <c r="N374" s="91" t="s">
        <v>1788</v>
      </c>
      <c r="O374" s="77"/>
      <c r="P374" s="91" t="s">
        <v>2532</v>
      </c>
      <c r="Q374" s="32"/>
      <c r="R374" s="48" t="s">
        <v>216</v>
      </c>
      <c r="S374" s="32"/>
    </row>
    <row r="375" spans="2:19" x14ac:dyDescent="0.3">
      <c r="B375" t="s">
        <v>4349</v>
      </c>
      <c r="C375" s="11" t="s">
        <v>176</v>
      </c>
      <c r="D375">
        <v>1</v>
      </c>
      <c r="E375" t="s">
        <v>160</v>
      </c>
      <c r="F375" t="s">
        <v>1084</v>
      </c>
      <c r="G375" t="s">
        <v>4350</v>
      </c>
      <c r="H375" t="s">
        <v>4351</v>
      </c>
      <c r="K375" s="92" t="s">
        <v>4119</v>
      </c>
      <c r="L375" s="92" t="s">
        <v>2986</v>
      </c>
      <c r="M375" s="92" t="s">
        <v>1410</v>
      </c>
      <c r="N375" s="92" t="s">
        <v>1789</v>
      </c>
      <c r="O375" s="92"/>
      <c r="P375" s="92" t="s">
        <v>2532</v>
      </c>
      <c r="R375" s="48" t="s">
        <v>216</v>
      </c>
    </row>
    <row r="376" spans="2:19" x14ac:dyDescent="0.3">
      <c r="B376" t="str">
        <f>LEFT(Tabla3890134177220392[[#This Row],[Descripción del equipo]], FIND(" ", Tabla3890134177220392[[#This Row],[Descripción del equipo]] &amp; " ") - 1)</f>
        <v>Arnes</v>
      </c>
      <c r="C376" s="11" t="s">
        <v>176</v>
      </c>
      <c r="D376">
        <v>1</v>
      </c>
      <c r="E376" t="s">
        <v>160</v>
      </c>
      <c r="F376" s="91" t="s">
        <v>1056</v>
      </c>
      <c r="G376" s="15" t="str">
        <f>LEFT([1]modificado!$O$2, FIND(" ", [1]modificado!$O$2 &amp; " ") - 1)</f>
        <v>3M</v>
      </c>
      <c r="H376" s="47" t="str">
        <f>RIGHT([1]!Tabla2[[#This Row],[Marca y Modelo]], LEN([1]!Tabla2[[#This Row],[Marca y Modelo]]) - FIND(" ", [1]!Tabla2[[#This Row],[Marca y Modelo]]))</f>
        <v>Space</v>
      </c>
      <c r="I376" s="76"/>
      <c r="J376" s="76"/>
      <c r="K376" s="91" t="s">
        <v>4115</v>
      </c>
      <c r="L376" s="91" t="s">
        <v>2987</v>
      </c>
      <c r="M376" s="91" t="s">
        <v>1406</v>
      </c>
      <c r="N376" s="91" t="s">
        <v>1790</v>
      </c>
      <c r="O376" s="77"/>
      <c r="P376" s="91" t="s">
        <v>2532</v>
      </c>
      <c r="Q376" s="32"/>
      <c r="R376" s="48" t="s">
        <v>216</v>
      </c>
      <c r="S376" s="32"/>
    </row>
    <row r="377" spans="2:19" x14ac:dyDescent="0.3">
      <c r="B377" t="s">
        <v>4349</v>
      </c>
      <c r="C377" s="11" t="s">
        <v>176</v>
      </c>
      <c r="D377">
        <v>1</v>
      </c>
      <c r="E377" t="s">
        <v>160</v>
      </c>
      <c r="F377" s="92" t="s">
        <v>1079</v>
      </c>
      <c r="G377" s="15" t="str">
        <f>LEFT([1]modificado!$O$2, FIND(" ", [1]modificado!$O$2 &amp; " ") - 1)</f>
        <v>3M</v>
      </c>
      <c r="H377" s="47" t="str">
        <f>RIGHT([1]!Tabla2[[#This Row],[Marca y Modelo]], LEN([1]!Tabla2[[#This Row],[Marca y Modelo]]) - FIND(" ", [1]!Tabla2[[#This Row],[Marca y Modelo]]))</f>
        <v>4650-3</v>
      </c>
      <c r="I377" s="76"/>
      <c r="J377" s="76"/>
      <c r="K377" s="92" t="s">
        <v>4120</v>
      </c>
      <c r="L377" s="92" t="s">
        <v>2988</v>
      </c>
      <c r="M377" s="92" t="s">
        <v>1404</v>
      </c>
      <c r="N377" s="92" t="s">
        <v>1791</v>
      </c>
      <c r="O377" s="77"/>
      <c r="P377" s="92" t="s">
        <v>2532</v>
      </c>
      <c r="Q377" s="32"/>
      <c r="R377" s="48" t="s">
        <v>216</v>
      </c>
      <c r="S377" s="32"/>
    </row>
    <row r="378" spans="2:19" x14ac:dyDescent="0.3">
      <c r="B378" t="s">
        <v>4349</v>
      </c>
      <c r="C378" s="11" t="s">
        <v>176</v>
      </c>
      <c r="D378">
        <v>1</v>
      </c>
      <c r="E378" t="s">
        <v>160</v>
      </c>
      <c r="F378" s="91" t="s">
        <v>1079</v>
      </c>
      <c r="G378" s="15" t="str">
        <f>LEFT([1]modificado!$O$2, FIND(" ", [1]modificado!$O$2 &amp; " ") - 1)</f>
        <v>3M</v>
      </c>
      <c r="H378" s="47" t="str">
        <f>RIGHT([1]!Tabla2[[#This Row],[Marca y Modelo]], LEN([1]!Tabla2[[#This Row],[Marca y Modelo]]) - FIND(" ", [1]!Tabla2[[#This Row],[Marca y Modelo]]))</f>
        <v>4650-3</v>
      </c>
      <c r="I378" s="76"/>
      <c r="J378" s="76"/>
      <c r="K378" s="91" t="s">
        <v>4120</v>
      </c>
      <c r="L378" s="91" t="s">
        <v>2989</v>
      </c>
      <c r="M378" s="91" t="s">
        <v>1404</v>
      </c>
      <c r="N378" s="91" t="s">
        <v>1792</v>
      </c>
      <c r="O378" s="77"/>
      <c r="P378" s="91" t="s">
        <v>2532</v>
      </c>
      <c r="Q378" s="32"/>
      <c r="R378" s="48" t="s">
        <v>216</v>
      </c>
      <c r="S378" s="32"/>
    </row>
    <row r="379" spans="2:19" x14ac:dyDescent="0.3">
      <c r="B379" t="str">
        <f>LEFT(Tabla3890134177220392[[#This Row],[Descripción del equipo]], FIND(" ", Tabla3890134177220392[[#This Row],[Descripción del equipo]] &amp; " ") - 1)</f>
        <v>Arnes</v>
      </c>
      <c r="C379" s="11" t="s">
        <v>176</v>
      </c>
      <c r="D379">
        <v>1</v>
      </c>
      <c r="E379" t="s">
        <v>160</v>
      </c>
      <c r="F379" s="92" t="s">
        <v>1056</v>
      </c>
      <c r="G379" s="15" t="str">
        <f>LEFT([1]modificado!$O$2, FIND(" ", [1]modificado!$O$2 &amp; " ") - 1)</f>
        <v>3M</v>
      </c>
      <c r="H379" s="47"/>
      <c r="I379" s="76"/>
      <c r="J379" s="76"/>
      <c r="K379" s="92" t="s">
        <v>4121</v>
      </c>
      <c r="L379" s="92" t="s">
        <v>2990</v>
      </c>
      <c r="M379" s="92" t="s">
        <v>1406</v>
      </c>
      <c r="N379" s="92" t="s">
        <v>1793</v>
      </c>
      <c r="O379" s="77"/>
      <c r="P379" s="92" t="s">
        <v>2532</v>
      </c>
      <c r="Q379" s="32"/>
      <c r="R379" s="48" t="s">
        <v>216</v>
      </c>
      <c r="S379" s="32"/>
    </row>
    <row r="380" spans="2:19" x14ac:dyDescent="0.3">
      <c r="B380" t="str">
        <f>LEFT(Tabla3890134177220392[[#This Row],[Descripción del equipo]], FIND(" ", Tabla3890134177220392[[#This Row],[Descripción del equipo]] &amp; " ") - 1)</f>
        <v>Autoretractil</v>
      </c>
      <c r="C380" s="11" t="s">
        <v>176</v>
      </c>
      <c r="D380">
        <v>1</v>
      </c>
      <c r="E380" t="s">
        <v>160</v>
      </c>
      <c r="F380" s="91" t="s">
        <v>1058</v>
      </c>
      <c r="G380" s="15" t="str">
        <f>LEFT([1]modificado!$O$2, FIND(" ", [1]modificado!$O$2 &amp; " ") - 1)</f>
        <v>3M</v>
      </c>
      <c r="H380" s="47" t="str">
        <f>RIGHT([1]!Tabla2[[#This Row],[Marca y Modelo]], LEN([1]!Tabla2[[#This Row],[Marca y Modelo]]) - FIND(" ", [1]!Tabla2[[#This Row],[Marca y Modelo]]))</f>
        <v>Nano Lok</v>
      </c>
      <c r="I380" s="76"/>
      <c r="J380" s="76"/>
      <c r="K380" s="91" t="s">
        <v>4122</v>
      </c>
      <c r="L380" s="91" t="s">
        <v>2991</v>
      </c>
      <c r="M380" s="91" t="s">
        <v>1404</v>
      </c>
      <c r="N380" s="91" t="s">
        <v>1794</v>
      </c>
      <c r="O380" s="77"/>
      <c r="P380" s="91" t="s">
        <v>2532</v>
      </c>
      <c r="Q380" s="32"/>
      <c r="R380" s="48" t="s">
        <v>216</v>
      </c>
      <c r="S380" s="32"/>
    </row>
    <row r="381" spans="2:19" x14ac:dyDescent="0.3">
      <c r="B381" t="s">
        <v>4349</v>
      </c>
      <c r="C381" s="11" t="s">
        <v>176</v>
      </c>
      <c r="D381">
        <v>1</v>
      </c>
      <c r="E381" t="s">
        <v>160</v>
      </c>
      <c r="F381" s="92" t="s">
        <v>1085</v>
      </c>
      <c r="G381" s="15" t="str">
        <f>LEFT([1]modificado!$O$2, FIND(" ", [1]modificado!$O$2 &amp; " ") - 1)</f>
        <v>3M</v>
      </c>
      <c r="H381" s="47" t="str">
        <f>RIGHT([1]!Tabla2[[#This Row],[Marca y Modelo]], LEN([1]!Tabla2[[#This Row],[Marca y Modelo]]) - FIND(" ", [1]!Tabla2[[#This Row],[Marca y Modelo]]))</f>
        <v>SWHR-60</v>
      </c>
      <c r="I381" s="76"/>
      <c r="J381" s="76"/>
      <c r="K381" s="92" t="s">
        <v>4123</v>
      </c>
      <c r="L381" s="92" t="s">
        <v>2992</v>
      </c>
      <c r="M381" s="92" t="s">
        <v>1407</v>
      </c>
      <c r="N381" s="92" t="s">
        <v>1795</v>
      </c>
      <c r="O381" s="77"/>
      <c r="P381" s="92" t="s">
        <v>2532</v>
      </c>
      <c r="Q381" s="32"/>
      <c r="R381" s="48" t="s">
        <v>216</v>
      </c>
      <c r="S381" s="32"/>
    </row>
    <row r="382" spans="2:19" x14ac:dyDescent="0.3">
      <c r="B382" t="s">
        <v>4349</v>
      </c>
      <c r="C382" s="11" t="s">
        <v>176</v>
      </c>
      <c r="D382">
        <v>1</v>
      </c>
      <c r="E382" t="s">
        <v>160</v>
      </c>
      <c r="F382" s="91" t="s">
        <v>1085</v>
      </c>
      <c r="G382" s="15" t="str">
        <f>LEFT([1]modificado!$O$2, FIND(" ", [1]modificado!$O$2 &amp; " ") - 1)</f>
        <v>3M</v>
      </c>
      <c r="H382" s="47" t="str">
        <f>RIGHT([1]!Tabla2[[#This Row],[Marca y Modelo]], LEN([1]!Tabla2[[#This Row],[Marca y Modelo]]) - FIND(" ", [1]!Tabla2[[#This Row],[Marca y Modelo]]))</f>
        <v>SWHR-60</v>
      </c>
      <c r="I382" s="76"/>
      <c r="J382" s="76"/>
      <c r="K382" s="91" t="s">
        <v>4123</v>
      </c>
      <c r="L382" s="91" t="s">
        <v>2993</v>
      </c>
      <c r="M382" s="91" t="s">
        <v>1407</v>
      </c>
      <c r="N382" s="91" t="s">
        <v>1796</v>
      </c>
      <c r="O382" s="77"/>
      <c r="P382" s="91" t="s">
        <v>2532</v>
      </c>
      <c r="Q382" s="32"/>
      <c r="R382" s="48" t="s">
        <v>216</v>
      </c>
      <c r="S382" s="32"/>
    </row>
    <row r="383" spans="2:19" x14ac:dyDescent="0.3">
      <c r="B383" t="s">
        <v>4348</v>
      </c>
      <c r="C383" s="11" t="s">
        <v>176</v>
      </c>
      <c r="D383">
        <v>1</v>
      </c>
      <c r="E383" t="s">
        <v>160</v>
      </c>
      <c r="F383" s="92" t="s">
        <v>1061</v>
      </c>
      <c r="G383" s="15" t="str">
        <f>LEFT([1]modificado!$O$2, FIND(" ", [1]modificado!$O$2 &amp; " ") - 1)</f>
        <v>3M</v>
      </c>
      <c r="H383" s="47" t="str">
        <f>RIGHT([1]!Tabla2[[#This Row],[Marca y Modelo]], LEN([1]!Tabla2[[#This Row],[Marca y Modelo]]) - FIND(" ", [1]!Tabla2[[#This Row],[Marca y Modelo]]))</f>
        <v>NCH 1256</v>
      </c>
      <c r="I383" s="76"/>
      <c r="J383" s="76"/>
      <c r="K383" s="92" t="s">
        <v>4124</v>
      </c>
      <c r="L383" s="92" t="s">
        <v>2994</v>
      </c>
      <c r="M383" s="92" t="s">
        <v>1408</v>
      </c>
      <c r="N383" s="92" t="s">
        <v>1797</v>
      </c>
      <c r="O383" s="77"/>
      <c r="P383" s="92" t="s">
        <v>2532</v>
      </c>
      <c r="Q383" s="32"/>
      <c r="R383" s="48" t="s">
        <v>216</v>
      </c>
      <c r="S383" s="32"/>
    </row>
    <row r="384" spans="2:19" x14ac:dyDescent="0.3">
      <c r="B384" t="s">
        <v>4349</v>
      </c>
      <c r="C384" s="11" t="s">
        <v>176</v>
      </c>
      <c r="D384">
        <v>1</v>
      </c>
      <c r="E384" t="s">
        <v>160</v>
      </c>
      <c r="F384" s="91" t="s">
        <v>1079</v>
      </c>
      <c r="G384" s="15" t="str">
        <f>LEFT([1]modificado!$O$2, FIND(" ", [1]modificado!$O$2 &amp; " ") - 1)</f>
        <v>3M</v>
      </c>
      <c r="H384" s="47" t="str">
        <f>RIGHT([1]!Tabla2[[#This Row],[Marca y Modelo]], LEN([1]!Tabla2[[#This Row],[Marca y Modelo]]) - FIND(" ", [1]!Tabla2[[#This Row],[Marca y Modelo]]))</f>
        <v>4650-3</v>
      </c>
      <c r="I384" s="76"/>
      <c r="J384" s="76"/>
      <c r="K384" s="91" t="s">
        <v>4125</v>
      </c>
      <c r="L384" s="91" t="s">
        <v>2995</v>
      </c>
      <c r="M384" s="91" t="s">
        <v>1404</v>
      </c>
      <c r="N384" s="91" t="s">
        <v>1798</v>
      </c>
      <c r="O384" s="77"/>
      <c r="P384" s="91" t="s">
        <v>2532</v>
      </c>
      <c r="Q384" s="32"/>
      <c r="R384" s="48" t="s">
        <v>216</v>
      </c>
      <c r="S384" s="32"/>
    </row>
    <row r="385" spans="2:19" x14ac:dyDescent="0.3">
      <c r="B385" t="str">
        <f>LEFT(Tabla3890134177220392[[#This Row],[Descripción del equipo]], FIND(" ", Tabla3890134177220392[[#This Row],[Descripción del equipo]] &amp; " ") - 1)</f>
        <v>Arnes</v>
      </c>
      <c r="C385" s="11" t="s">
        <v>176</v>
      </c>
      <c r="D385">
        <v>1</v>
      </c>
      <c r="E385" t="s">
        <v>160</v>
      </c>
      <c r="F385" s="92" t="s">
        <v>1056</v>
      </c>
      <c r="G385" s="15" t="str">
        <f>LEFT([1]modificado!$O$2, FIND(" ", [1]modificado!$O$2 &amp; " ") - 1)</f>
        <v>3M</v>
      </c>
      <c r="H385" s="47" t="str">
        <f>RIGHT([1]!Tabla2[[#This Row],[Marca y Modelo]], LEN([1]!Tabla2[[#This Row],[Marca y Modelo]]) - FIND(" ", [1]!Tabla2[[#This Row],[Marca y Modelo]]))</f>
        <v>Musitani</v>
      </c>
      <c r="I385" s="76"/>
      <c r="J385" s="76"/>
      <c r="K385" s="92" t="s">
        <v>4126</v>
      </c>
      <c r="L385" s="92" t="s">
        <v>2996</v>
      </c>
      <c r="M385" s="92" t="s">
        <v>1406</v>
      </c>
      <c r="N385" s="92" t="s">
        <v>1799</v>
      </c>
      <c r="O385" s="77"/>
      <c r="P385" s="92" t="s">
        <v>2532</v>
      </c>
      <c r="Q385" s="32"/>
      <c r="R385" s="48" t="s">
        <v>216</v>
      </c>
      <c r="S385" s="32"/>
    </row>
    <row r="386" spans="2:19" x14ac:dyDescent="0.3">
      <c r="B386" t="str">
        <f>LEFT(Tabla3890134177220392[[#This Row],[Descripción del equipo]], FIND(" ", Tabla3890134177220392[[#This Row],[Descripción del equipo]] &amp; " ") - 1)</f>
        <v>Autoretractil</v>
      </c>
      <c r="C386" s="11" t="s">
        <v>176</v>
      </c>
      <c r="D386">
        <v>1</v>
      </c>
      <c r="E386" t="s">
        <v>160</v>
      </c>
      <c r="F386" s="91" t="s">
        <v>1058</v>
      </c>
      <c r="G386" s="15" t="str">
        <f>LEFT([1]modificado!$O$2, FIND(" ", [1]modificado!$O$2 &amp; " ") - 1)</f>
        <v>3M</v>
      </c>
      <c r="H386" s="47" t="str">
        <f>RIGHT([1]!Tabla2[[#This Row],[Marca y Modelo]], LEN([1]!Tabla2[[#This Row],[Marca y Modelo]]) - FIND(" ", [1]!Tabla2[[#This Row],[Marca y Modelo]]))</f>
        <v>3100405</v>
      </c>
      <c r="I386" s="76"/>
      <c r="J386" s="76"/>
      <c r="K386" s="91" t="s">
        <v>4127</v>
      </c>
      <c r="L386" s="91" t="s">
        <v>2997</v>
      </c>
      <c r="M386" s="91" t="s">
        <v>1404</v>
      </c>
      <c r="N386" s="91" t="s">
        <v>1800</v>
      </c>
      <c r="O386" s="77"/>
      <c r="P386" s="91" t="s">
        <v>2532</v>
      </c>
      <c r="Q386" s="32"/>
      <c r="R386" s="48" t="s">
        <v>216</v>
      </c>
      <c r="S386" s="32"/>
    </row>
    <row r="387" spans="2:19" x14ac:dyDescent="0.3">
      <c r="B387" t="s">
        <v>4349</v>
      </c>
      <c r="C387" s="11" t="s">
        <v>176</v>
      </c>
      <c r="D387">
        <v>1</v>
      </c>
      <c r="E387" t="s">
        <v>160</v>
      </c>
      <c r="F387" s="92" t="s">
        <v>1079</v>
      </c>
      <c r="G387" s="15" t="str">
        <f>LEFT([1]modificado!$O$2, FIND(" ", [1]modificado!$O$2 &amp; " ") - 1)</f>
        <v>3M</v>
      </c>
      <c r="H387" s="47" t="str">
        <f>RIGHT([1]!Tabla2[[#This Row],[Marca y Modelo]], LEN([1]!Tabla2[[#This Row],[Marca y Modelo]]) - FIND(" ", [1]!Tabla2[[#This Row],[Marca y Modelo]]))</f>
        <v>4650-3</v>
      </c>
      <c r="I387" s="76"/>
      <c r="J387" s="76"/>
      <c r="K387" s="92" t="s">
        <v>4128</v>
      </c>
      <c r="L387" s="92" t="s">
        <v>2998</v>
      </c>
      <c r="M387" s="92" t="s">
        <v>1404</v>
      </c>
      <c r="N387" s="92" t="s">
        <v>1801</v>
      </c>
      <c r="O387" s="77"/>
      <c r="P387" s="92" t="s">
        <v>2532</v>
      </c>
      <c r="Q387" s="32"/>
      <c r="R387" s="48" t="s">
        <v>216</v>
      </c>
      <c r="S387" s="32"/>
    </row>
    <row r="388" spans="2:19" x14ac:dyDescent="0.3">
      <c r="B388" t="s">
        <v>4349</v>
      </c>
      <c r="C388" s="11" t="s">
        <v>176</v>
      </c>
      <c r="D388">
        <v>1</v>
      </c>
      <c r="E388" t="s">
        <v>160</v>
      </c>
      <c r="F388" s="91" t="s">
        <v>1079</v>
      </c>
      <c r="G388" s="15" t="str">
        <f>LEFT([1]modificado!$O$2, FIND(" ", [1]modificado!$O$2 &amp; " ") - 1)</f>
        <v>3M</v>
      </c>
      <c r="H388" s="47" t="str">
        <f>RIGHT([1]!Tabla2[[#This Row],[Marca y Modelo]], LEN([1]!Tabla2[[#This Row],[Marca y Modelo]]) - FIND(" ", [1]!Tabla2[[#This Row],[Marca y Modelo]]))</f>
        <v>4650-3</v>
      </c>
      <c r="I388" s="76"/>
      <c r="J388" s="76"/>
      <c r="K388" s="91" t="s">
        <v>4129</v>
      </c>
      <c r="L388" s="91" t="s">
        <v>2999</v>
      </c>
      <c r="M388" s="91" t="s">
        <v>1404</v>
      </c>
      <c r="N388" s="91" t="s">
        <v>1802</v>
      </c>
      <c r="O388" s="77"/>
      <c r="P388" s="91" t="s">
        <v>2532</v>
      </c>
      <c r="Q388" s="32"/>
      <c r="R388" s="48" t="s">
        <v>216</v>
      </c>
      <c r="S388" s="32"/>
    </row>
    <row r="389" spans="2:19" x14ac:dyDescent="0.3">
      <c r="B389" t="str">
        <f>LEFT(Tabla3890134177220392[[#This Row],[Descripción del equipo]], FIND(" ", Tabla3890134177220392[[#This Row],[Descripción del equipo]] &amp; " ") - 1)</f>
        <v>Arnes</v>
      </c>
      <c r="C389" s="11" t="s">
        <v>176</v>
      </c>
      <c r="D389">
        <v>1</v>
      </c>
      <c r="E389" t="s">
        <v>160</v>
      </c>
      <c r="F389" s="92" t="s">
        <v>1065</v>
      </c>
      <c r="G389" s="15" t="str">
        <f>LEFT([1]modificado!$O$2, FIND(" ", [1]modificado!$O$2 &amp; " ") - 1)</f>
        <v>3M</v>
      </c>
      <c r="H389" s="47" t="str">
        <f>RIGHT([1]!Tabla2[[#This Row],[Marca y Modelo]], LEN([1]!Tabla2[[#This Row],[Marca y Modelo]]) - FIND(" ", [1]!Tabla2[[#This Row],[Marca y Modelo]]))</f>
        <v>U1620</v>
      </c>
      <c r="I389" s="76"/>
      <c r="J389" s="76"/>
      <c r="K389" s="92" t="s">
        <v>4126</v>
      </c>
      <c r="L389" s="92" t="s">
        <v>3000</v>
      </c>
      <c r="M389" s="92" t="s">
        <v>1404</v>
      </c>
      <c r="N389" s="92" t="s">
        <v>1803</v>
      </c>
      <c r="O389" s="77"/>
      <c r="P389" s="92" t="s">
        <v>2532</v>
      </c>
      <c r="Q389" s="32"/>
      <c r="R389" s="48" t="s">
        <v>216</v>
      </c>
      <c r="S389" s="32"/>
    </row>
    <row r="390" spans="2:19" x14ac:dyDescent="0.3">
      <c r="B390" t="s">
        <v>4348</v>
      </c>
      <c r="C390" s="11" t="s">
        <v>176</v>
      </c>
      <c r="D390">
        <v>1</v>
      </c>
      <c r="E390" t="s">
        <v>160</v>
      </c>
      <c r="F390" s="91" t="s">
        <v>1057</v>
      </c>
      <c r="G390" s="15" t="str">
        <f>LEFT([1]modificado!$O$2, FIND(" ", [1]modificado!$O$2 &amp; " ") - 1)</f>
        <v>3M</v>
      </c>
      <c r="H390" s="47"/>
      <c r="I390" s="76"/>
      <c r="J390" s="76"/>
      <c r="K390" s="91" t="s">
        <v>4130</v>
      </c>
      <c r="L390" s="91" t="s">
        <v>3001</v>
      </c>
      <c r="M390" s="91" t="s">
        <v>1405</v>
      </c>
      <c r="N390" s="91" t="s">
        <v>1804</v>
      </c>
      <c r="O390" s="77"/>
      <c r="P390" s="91" t="s">
        <v>2532</v>
      </c>
      <c r="Q390" s="32"/>
      <c r="R390" s="48" t="s">
        <v>216</v>
      </c>
      <c r="S390" s="32"/>
    </row>
    <row r="391" spans="2:19" x14ac:dyDescent="0.3">
      <c r="B391" t="str">
        <f>LEFT(Tabla3890134177220392[[#This Row],[Descripción del equipo]], FIND(" ", Tabla3890134177220392[[#This Row],[Descripción del equipo]] &amp; " ") - 1)</f>
        <v>Arnes</v>
      </c>
      <c r="C391" s="11" t="s">
        <v>176</v>
      </c>
      <c r="D391">
        <v>1</v>
      </c>
      <c r="E391" t="s">
        <v>160</v>
      </c>
      <c r="F391" s="92" t="s">
        <v>1065</v>
      </c>
      <c r="G391" s="15" t="str">
        <f>LEFT([1]modificado!$O$2, FIND(" ", [1]modificado!$O$2 &amp; " ") - 1)</f>
        <v>3M</v>
      </c>
      <c r="H391" s="47" t="str">
        <f>RIGHT([1]!Tabla2[[#This Row],[Marca y Modelo]], LEN([1]!Tabla2[[#This Row],[Marca y Modelo]]) - FIND(" ", [1]!Tabla2[[#This Row],[Marca y Modelo]]))</f>
        <v>U1620</v>
      </c>
      <c r="I391" s="76"/>
      <c r="J391" s="76"/>
      <c r="K391" s="92" t="s">
        <v>4126</v>
      </c>
      <c r="L391" s="92" t="s">
        <v>3002</v>
      </c>
      <c r="M391" s="92" t="s">
        <v>1404</v>
      </c>
      <c r="N391" s="92" t="s">
        <v>1805</v>
      </c>
      <c r="O391" s="77"/>
      <c r="P391" s="92" t="s">
        <v>2532</v>
      </c>
      <c r="Q391" s="32"/>
      <c r="R391" s="48" t="s">
        <v>216</v>
      </c>
      <c r="S391" s="32"/>
    </row>
    <row r="392" spans="2:19" x14ac:dyDescent="0.3">
      <c r="B392" t="s">
        <v>4348</v>
      </c>
      <c r="C392" s="11" t="s">
        <v>176</v>
      </c>
      <c r="D392">
        <v>1</v>
      </c>
      <c r="E392" t="s">
        <v>160</v>
      </c>
      <c r="F392" s="91" t="s">
        <v>1064</v>
      </c>
      <c r="G392" s="15" t="str">
        <f>LEFT([1]modificado!$O$2, FIND(" ", [1]modificado!$O$2 &amp; " ") - 1)</f>
        <v>3M</v>
      </c>
      <c r="H392" s="47" t="str">
        <f>RIGHT([1]!Tabla2[[#This Row],[Marca y Modelo]], LEN([1]!Tabla2[[#This Row],[Marca y Modelo]]) - FIND(" ", [1]!Tabla2[[#This Row],[Marca y Modelo]]))</f>
        <v>191026</v>
      </c>
      <c r="I392" s="76"/>
      <c r="J392" s="76"/>
      <c r="K392" s="91" t="s">
        <v>4130</v>
      </c>
      <c r="L392" s="91" t="s">
        <v>3003</v>
      </c>
      <c r="M392" s="91" t="s">
        <v>1406</v>
      </c>
      <c r="N392" s="91" t="s">
        <v>1806</v>
      </c>
      <c r="O392" s="77"/>
      <c r="P392" s="91" t="s">
        <v>2532</v>
      </c>
      <c r="Q392" s="32"/>
      <c r="R392" s="48" t="s">
        <v>216</v>
      </c>
      <c r="S392" s="32"/>
    </row>
    <row r="393" spans="2:19" x14ac:dyDescent="0.3">
      <c r="B393" t="str">
        <f>LEFT(Tabla3890134177220392[[#This Row],[Descripción del equipo]], FIND(" ", Tabla3890134177220392[[#This Row],[Descripción del equipo]] &amp; " ") - 1)</f>
        <v>Arnes</v>
      </c>
      <c r="C393" s="11" t="s">
        <v>176</v>
      </c>
      <c r="D393">
        <v>1</v>
      </c>
      <c r="E393" t="s">
        <v>160</v>
      </c>
      <c r="F393" s="92" t="s">
        <v>1056</v>
      </c>
      <c r="G393" s="15" t="str">
        <f>LEFT([1]modificado!$O$2, FIND(" ", [1]modificado!$O$2 &amp; " ") - 1)</f>
        <v>3M</v>
      </c>
      <c r="H393" s="47" t="str">
        <f>RIGHT([1]!Tabla2[[#This Row],[Marca y Modelo]], LEN([1]!Tabla2[[#This Row],[Marca y Modelo]]) - FIND(" ", [1]!Tabla2[[#This Row],[Marca y Modelo]]))</f>
        <v>10911F-LOGO</v>
      </c>
      <c r="I393" s="76"/>
      <c r="J393" s="76"/>
      <c r="K393" s="92" t="s">
        <v>4131</v>
      </c>
      <c r="L393" s="92" t="s">
        <v>3004</v>
      </c>
      <c r="M393" s="92" t="s">
        <v>1404</v>
      </c>
      <c r="N393" s="92" t="s">
        <v>1807</v>
      </c>
      <c r="O393" s="77"/>
      <c r="P393" s="92" t="s">
        <v>2532</v>
      </c>
      <c r="Q393" s="32"/>
      <c r="R393" s="48" t="s">
        <v>216</v>
      </c>
      <c r="S393" s="32"/>
    </row>
    <row r="394" spans="2:19" x14ac:dyDescent="0.3">
      <c r="B394" t="str">
        <f>LEFT(Tabla3890134177220392[[#This Row],[Descripción del equipo]], FIND(" ", Tabla3890134177220392[[#This Row],[Descripción del equipo]] &amp; " ") - 1)</f>
        <v>Autoretractil</v>
      </c>
      <c r="C394" s="11" t="s">
        <v>176</v>
      </c>
      <c r="D394">
        <v>1</v>
      </c>
      <c r="E394" t="s">
        <v>160</v>
      </c>
      <c r="F394" s="91" t="s">
        <v>1058</v>
      </c>
      <c r="G394" s="15" t="str">
        <f>LEFT([1]modificado!$O$2, FIND(" ", [1]modificado!$O$2 &amp; " ") - 1)</f>
        <v>3M</v>
      </c>
      <c r="H394" s="47" t="str">
        <f>RIGHT([1]!Tabla2[[#This Row],[Marca y Modelo]], LEN([1]!Tabla2[[#This Row],[Marca y Modelo]]) - FIND(" ", [1]!Tabla2[[#This Row],[Marca y Modelo]]))</f>
        <v>3100405</v>
      </c>
      <c r="I394" s="76"/>
      <c r="J394" s="76"/>
      <c r="K394" s="91" t="s">
        <v>4132</v>
      </c>
      <c r="L394" s="91" t="s">
        <v>3005</v>
      </c>
      <c r="M394" s="91" t="s">
        <v>1404</v>
      </c>
      <c r="N394" s="91" t="s">
        <v>1808</v>
      </c>
      <c r="O394" s="77"/>
      <c r="P394" s="91" t="s">
        <v>2532</v>
      </c>
      <c r="Q394" s="32"/>
      <c r="R394" s="48" t="s">
        <v>216</v>
      </c>
      <c r="S394" s="32"/>
    </row>
    <row r="395" spans="2:19" x14ac:dyDescent="0.3">
      <c r="B395" t="s">
        <v>4349</v>
      </c>
      <c r="C395" s="11" t="s">
        <v>176</v>
      </c>
      <c r="D395">
        <v>1</v>
      </c>
      <c r="E395" t="s">
        <v>160</v>
      </c>
      <c r="F395" s="92" t="s">
        <v>1059</v>
      </c>
      <c r="G395" s="15" t="str">
        <f>LEFT([1]modificado!$O$2, FIND(" ", [1]modificado!$O$2 &amp; " ") - 1)</f>
        <v>3M</v>
      </c>
      <c r="H395" s="47"/>
      <c r="I395" s="76"/>
      <c r="J395" s="76"/>
      <c r="K395" s="92" t="s">
        <v>4133</v>
      </c>
      <c r="L395" s="92" t="s">
        <v>3006</v>
      </c>
      <c r="M395" s="92" t="s">
        <v>1405</v>
      </c>
      <c r="N395" s="92" t="s">
        <v>1809</v>
      </c>
      <c r="O395" s="77"/>
      <c r="P395" s="92" t="s">
        <v>2532</v>
      </c>
      <c r="Q395" s="32"/>
      <c r="R395" s="48" t="s">
        <v>216</v>
      </c>
      <c r="S395" s="32"/>
    </row>
    <row r="396" spans="2:19" x14ac:dyDescent="0.3">
      <c r="B396" t="str">
        <f>LEFT(Tabla3890134177220392[[#This Row],[Descripción del equipo]], FIND(" ", Tabla3890134177220392[[#This Row],[Descripción del equipo]] &amp; " ") - 1)</f>
        <v>Arnes</v>
      </c>
      <c r="C396" s="11" t="s">
        <v>176</v>
      </c>
      <c r="D396">
        <v>1</v>
      </c>
      <c r="E396" t="s">
        <v>160</v>
      </c>
      <c r="F396" s="91" t="s">
        <v>1065</v>
      </c>
      <c r="G396" s="15" t="str">
        <f>LEFT([1]modificado!$O$2, FIND(" ", [1]modificado!$O$2 &amp; " ") - 1)</f>
        <v>3M</v>
      </c>
      <c r="H396" s="47" t="str">
        <f>RIGHT([1]!Tabla2[[#This Row],[Marca y Modelo]], LEN([1]!Tabla2[[#This Row],[Marca y Modelo]]) - FIND(" ", [1]!Tabla2[[#This Row],[Marca y Modelo]]))</f>
        <v>U1620</v>
      </c>
      <c r="I396" s="76"/>
      <c r="J396" s="76"/>
      <c r="K396" s="91" t="s">
        <v>4131</v>
      </c>
      <c r="L396" s="91" t="s">
        <v>3007</v>
      </c>
      <c r="M396" s="91" t="s">
        <v>1404</v>
      </c>
      <c r="N396" s="91" t="s">
        <v>1810</v>
      </c>
      <c r="O396" s="77"/>
      <c r="P396" s="91" t="s">
        <v>2532</v>
      </c>
      <c r="Q396" s="32"/>
      <c r="R396" s="48" t="s">
        <v>216</v>
      </c>
      <c r="S396" s="32"/>
    </row>
    <row r="397" spans="2:19" x14ac:dyDescent="0.3">
      <c r="B397" t="str">
        <f>LEFT(Tabla3890134177220392[[#This Row],[Descripción del equipo]], FIND(" ", Tabla3890134177220392[[#This Row],[Descripción del equipo]] &amp; " ") - 1)</f>
        <v>Autoretractil</v>
      </c>
      <c r="C397" s="11" t="s">
        <v>176</v>
      </c>
      <c r="D397">
        <v>1</v>
      </c>
      <c r="E397" t="s">
        <v>160</v>
      </c>
      <c r="F397" s="92" t="s">
        <v>1058</v>
      </c>
      <c r="G397" s="15" t="str">
        <f>LEFT([1]modificado!$O$2, FIND(" ", [1]modificado!$O$2 &amp; " ") - 1)</f>
        <v>3M</v>
      </c>
      <c r="H397" s="47" t="str">
        <f>RIGHT([1]!Tabla2[[#This Row],[Marca y Modelo]], LEN([1]!Tabla2[[#This Row],[Marca y Modelo]]) - FIND(" ", [1]!Tabla2[[#This Row],[Marca y Modelo]]))</f>
        <v>3100405</v>
      </c>
      <c r="I397" s="76"/>
      <c r="J397" s="76"/>
      <c r="K397" s="92" t="s">
        <v>4132</v>
      </c>
      <c r="L397" s="92" t="s">
        <v>3008</v>
      </c>
      <c r="M397" s="92" t="s">
        <v>1404</v>
      </c>
      <c r="N397" s="92" t="s">
        <v>1811</v>
      </c>
      <c r="O397" s="77"/>
      <c r="P397" s="92" t="s">
        <v>2532</v>
      </c>
      <c r="Q397" s="32"/>
      <c r="R397" s="48" t="s">
        <v>216</v>
      </c>
      <c r="S397" s="32"/>
    </row>
    <row r="398" spans="2:19" x14ac:dyDescent="0.3">
      <c r="B398" t="str">
        <f>LEFT(Tabla3890134177220392[[#This Row],[Descripción del equipo]], FIND(" ", Tabla3890134177220392[[#This Row],[Descripción del equipo]] &amp; " ") - 1)</f>
        <v>Arnes</v>
      </c>
      <c r="C398" s="11" t="s">
        <v>176</v>
      </c>
      <c r="D398">
        <v>1</v>
      </c>
      <c r="E398" t="s">
        <v>160</v>
      </c>
      <c r="F398" s="91" t="s">
        <v>1065</v>
      </c>
      <c r="G398" s="15" t="str">
        <f>LEFT([1]modificado!$O$2, FIND(" ", [1]modificado!$O$2 &amp; " ") - 1)</f>
        <v>3M</v>
      </c>
      <c r="H398" s="47" t="str">
        <f>RIGHT([1]!Tabla2[[#This Row],[Marca y Modelo]], LEN([1]!Tabla2[[#This Row],[Marca y Modelo]]) - FIND(" ", [1]!Tabla2[[#This Row],[Marca y Modelo]]))</f>
        <v>U1620</v>
      </c>
      <c r="I398" s="76"/>
      <c r="J398" s="76"/>
      <c r="K398" s="91" t="s">
        <v>4131</v>
      </c>
      <c r="L398" s="91" t="s">
        <v>3009</v>
      </c>
      <c r="M398" s="91" t="s">
        <v>1404</v>
      </c>
      <c r="N398" s="91" t="s">
        <v>1812</v>
      </c>
      <c r="O398" s="77"/>
      <c r="P398" s="91" t="s">
        <v>2532</v>
      </c>
      <c r="Q398" s="32"/>
      <c r="R398" s="48" t="s">
        <v>216</v>
      </c>
      <c r="S398" s="32"/>
    </row>
    <row r="399" spans="2:19" x14ac:dyDescent="0.3">
      <c r="B399" t="str">
        <f>LEFT(Tabla3890134177220392[[#This Row],[Descripción del equipo]], FIND(" ", Tabla3890134177220392[[#This Row],[Descripción del equipo]] &amp; " ") - 1)</f>
        <v>Arnes</v>
      </c>
      <c r="C399" s="11" t="s">
        <v>176</v>
      </c>
      <c r="D399">
        <v>1</v>
      </c>
      <c r="E399" t="s">
        <v>160</v>
      </c>
      <c r="F399" s="92" t="s">
        <v>1056</v>
      </c>
      <c r="G399" s="15" t="str">
        <f>LEFT([1]modificado!$O$2, FIND(" ", [1]modificado!$O$2 &amp; " ") - 1)</f>
        <v>3M</v>
      </c>
      <c r="H399" s="47"/>
      <c r="I399" s="76"/>
      <c r="J399" s="76"/>
      <c r="K399" s="92" t="s">
        <v>4131</v>
      </c>
      <c r="L399" s="92" t="s">
        <v>3010</v>
      </c>
      <c r="M399" s="92" t="s">
        <v>1404</v>
      </c>
      <c r="N399" s="92" t="s">
        <v>1813</v>
      </c>
      <c r="O399" s="77"/>
      <c r="P399" s="92" t="s">
        <v>2532</v>
      </c>
      <c r="Q399" s="32"/>
      <c r="R399" s="48" t="s">
        <v>216</v>
      </c>
      <c r="S399" s="32"/>
    </row>
    <row r="400" spans="2:19" x14ac:dyDescent="0.3">
      <c r="B400" t="str">
        <f>LEFT(Tabla3890134177220392[[#This Row],[Descripción del equipo]], FIND(" ", Tabla3890134177220392[[#This Row],[Descripción del equipo]] &amp; " ") - 1)</f>
        <v>Arnes</v>
      </c>
      <c r="C400" s="11" t="s">
        <v>176</v>
      </c>
      <c r="D400">
        <v>1</v>
      </c>
      <c r="E400" t="s">
        <v>160</v>
      </c>
      <c r="F400" s="91" t="s">
        <v>1056</v>
      </c>
      <c r="G400" s="15" t="str">
        <f>LEFT([1]modificado!$O$2, FIND(" ", [1]modificado!$O$2 &amp; " ") - 1)</f>
        <v>3M</v>
      </c>
      <c r="H400" s="47" t="str">
        <f>RIGHT([1]!Tabla2[[#This Row],[Marca y Modelo]], LEN([1]!Tabla2[[#This Row],[Marca y Modelo]]) - FIND(" ", [1]!Tabla2[[#This Row],[Marca y Modelo]]))</f>
        <v>Space</v>
      </c>
      <c r="I400" s="76"/>
      <c r="J400" s="76"/>
      <c r="K400" s="91" t="s">
        <v>4134</v>
      </c>
      <c r="L400" s="91" t="s">
        <v>3011</v>
      </c>
      <c r="M400" s="91" t="s">
        <v>1405</v>
      </c>
      <c r="N400" s="91" t="s">
        <v>1814</v>
      </c>
      <c r="O400" s="77"/>
      <c r="P400" s="91" t="s">
        <v>2532</v>
      </c>
      <c r="Q400" s="32"/>
      <c r="R400" s="48" t="s">
        <v>216</v>
      </c>
      <c r="S400" s="32"/>
    </row>
    <row r="401" spans="2:19" x14ac:dyDescent="0.3">
      <c r="B401" t="s">
        <v>4348</v>
      </c>
      <c r="C401" s="11" t="s">
        <v>176</v>
      </c>
      <c r="D401">
        <v>1</v>
      </c>
      <c r="E401" t="s">
        <v>160</v>
      </c>
      <c r="F401" s="92" t="s">
        <v>1072</v>
      </c>
      <c r="G401" s="15" t="str">
        <f>LEFT([1]modificado!$O$2, FIND(" ", [1]modificado!$O$2 &amp; " ") - 1)</f>
        <v>3M</v>
      </c>
      <c r="H401" s="47" t="str">
        <f>RIGHT([1]!Tabla2[[#This Row],[Marca y Modelo]], LEN([1]!Tabla2[[#This Row],[Marca y Modelo]]) - FIND(" ", [1]!Tabla2[[#This Row],[Marca y Modelo]]))</f>
        <v>13805301</v>
      </c>
      <c r="I401" s="76"/>
      <c r="J401" s="76"/>
      <c r="K401" s="92" t="s">
        <v>4135</v>
      </c>
      <c r="L401" s="92" t="s">
        <v>3012</v>
      </c>
      <c r="M401" s="92" t="s">
        <v>1404</v>
      </c>
      <c r="N401" s="92" t="s">
        <v>1815</v>
      </c>
      <c r="O401" s="77"/>
      <c r="P401" s="92" t="s">
        <v>2532</v>
      </c>
      <c r="Q401" s="32"/>
      <c r="R401" s="48" t="s">
        <v>216</v>
      </c>
      <c r="S401" s="32"/>
    </row>
    <row r="402" spans="2:19" x14ac:dyDescent="0.3">
      <c r="B402" t="s">
        <v>4348</v>
      </c>
      <c r="C402" s="11" t="s">
        <v>176</v>
      </c>
      <c r="D402">
        <v>1</v>
      </c>
      <c r="E402" t="s">
        <v>160</v>
      </c>
      <c r="F402" s="91" t="s">
        <v>1087</v>
      </c>
      <c r="G402" s="15" t="str">
        <f>LEFT([1]modificado!$O$2, FIND(" ", [1]modificado!$O$2 &amp; " ") - 1)</f>
        <v>3M</v>
      </c>
      <c r="H402" s="47" t="str">
        <f>RIGHT([1]!Tabla2[[#This Row],[Marca y Modelo]], LEN([1]!Tabla2[[#This Row],[Marca y Modelo]]) - FIND(" ", [1]!Tabla2[[#This Row],[Marca y Modelo]]))</f>
        <v>Tools 5268N23D</v>
      </c>
      <c r="I402" s="76"/>
      <c r="J402" s="76"/>
      <c r="K402" s="91" t="s">
        <v>4136</v>
      </c>
      <c r="L402" s="91" t="s">
        <v>3013</v>
      </c>
      <c r="M402" s="91" t="s">
        <v>1404</v>
      </c>
      <c r="N402" s="91" t="s">
        <v>1816</v>
      </c>
      <c r="O402" s="77"/>
      <c r="P402" s="91" t="s">
        <v>2532</v>
      </c>
      <c r="Q402" s="32"/>
      <c r="R402" s="48" t="s">
        <v>216</v>
      </c>
      <c r="S402" s="32"/>
    </row>
    <row r="403" spans="2:19" x14ac:dyDescent="0.3">
      <c r="B403" t="s">
        <v>4348</v>
      </c>
      <c r="C403" s="11" t="s">
        <v>176</v>
      </c>
      <c r="D403">
        <v>1</v>
      </c>
      <c r="E403" t="s">
        <v>160</v>
      </c>
      <c r="F403" s="92" t="s">
        <v>1087</v>
      </c>
      <c r="G403" s="15" t="str">
        <f>LEFT([1]modificado!$O$2, FIND(" ", [1]modificado!$O$2 &amp; " ") - 1)</f>
        <v>3M</v>
      </c>
      <c r="H403" s="47" t="str">
        <f>RIGHT([1]!Tabla2[[#This Row],[Marca y Modelo]], LEN([1]!Tabla2[[#This Row],[Marca y Modelo]]) - FIND(" ", [1]!Tabla2[[#This Row],[Marca y Modelo]]))</f>
        <v>Industries</v>
      </c>
      <c r="I403" s="76"/>
      <c r="J403" s="76"/>
      <c r="K403" s="92" t="s">
        <v>4134</v>
      </c>
      <c r="L403" s="92" t="s">
        <v>3014</v>
      </c>
      <c r="M403" s="92" t="s">
        <v>1408</v>
      </c>
      <c r="N403" s="92" t="s">
        <v>1817</v>
      </c>
      <c r="O403" s="77"/>
      <c r="P403" s="92" t="s">
        <v>2532</v>
      </c>
      <c r="Q403" s="32"/>
      <c r="R403" s="48" t="s">
        <v>216</v>
      </c>
      <c r="S403" s="32"/>
    </row>
    <row r="404" spans="2:19" x14ac:dyDescent="0.3">
      <c r="B404" t="s">
        <v>4348</v>
      </c>
      <c r="C404" s="11" t="s">
        <v>176</v>
      </c>
      <c r="D404">
        <v>1</v>
      </c>
      <c r="E404" t="s">
        <v>160</v>
      </c>
      <c r="F404" s="91" t="s">
        <v>1088</v>
      </c>
      <c r="G404" s="15" t="str">
        <f>LEFT([1]modificado!$O$2, FIND(" ", [1]modificado!$O$2 &amp; " ") - 1)</f>
        <v>3M</v>
      </c>
      <c r="H404" s="47" t="str">
        <f>RIGHT([1]!Tabla2[[#This Row],[Marca y Modelo]], LEN([1]!Tabla2[[#This Row],[Marca y Modelo]]) - FIND(" ", [1]!Tabla2[[#This Row],[Marca y Modelo]]))</f>
        <v>3710-S</v>
      </c>
      <c r="I404" s="76"/>
      <c r="J404" s="76"/>
      <c r="K404" s="91" t="s">
        <v>4137</v>
      </c>
      <c r="L404" s="91" t="s">
        <v>3015</v>
      </c>
      <c r="M404" s="91" t="s">
        <v>1404</v>
      </c>
      <c r="N404" s="91" t="s">
        <v>1797</v>
      </c>
      <c r="O404" s="77"/>
      <c r="P404" s="91" t="s">
        <v>2532</v>
      </c>
      <c r="Q404" s="32"/>
      <c r="R404" s="48" t="s">
        <v>216</v>
      </c>
      <c r="S404" s="32"/>
    </row>
    <row r="405" spans="2:19" x14ac:dyDescent="0.3">
      <c r="B405" t="s">
        <v>4348</v>
      </c>
      <c r="C405" s="11" t="s">
        <v>176</v>
      </c>
      <c r="D405">
        <v>1</v>
      </c>
      <c r="E405" t="s">
        <v>160</v>
      </c>
      <c r="F405" s="92" t="s">
        <v>1061</v>
      </c>
      <c r="G405" s="15" t="str">
        <f>LEFT([1]modificado!$O$2, FIND(" ", [1]modificado!$O$2 &amp; " ") - 1)</f>
        <v>3M</v>
      </c>
      <c r="H405" s="47"/>
      <c r="I405" s="76"/>
      <c r="J405" s="76"/>
      <c r="K405" s="92" t="s">
        <v>4137</v>
      </c>
      <c r="L405" s="92" t="s">
        <v>3016</v>
      </c>
      <c r="M405" s="92" t="s">
        <v>1408</v>
      </c>
      <c r="N405" s="92" t="s">
        <v>1818</v>
      </c>
      <c r="O405" s="77"/>
      <c r="P405" s="92" t="s">
        <v>2532</v>
      </c>
      <c r="Q405" s="32"/>
      <c r="R405" s="48" t="s">
        <v>216</v>
      </c>
      <c r="S405" s="32"/>
    </row>
    <row r="406" spans="2:19" x14ac:dyDescent="0.3">
      <c r="B406" t="s">
        <v>4348</v>
      </c>
      <c r="C406" s="11" t="s">
        <v>176</v>
      </c>
      <c r="D406">
        <v>1</v>
      </c>
      <c r="E406" t="s">
        <v>160</v>
      </c>
      <c r="F406" s="91" t="s">
        <v>1061</v>
      </c>
      <c r="G406" s="15" t="str">
        <f>LEFT([1]modificado!$O$2, FIND(" ", [1]modificado!$O$2 &amp; " ") - 1)</f>
        <v>3M</v>
      </c>
      <c r="H406" s="47" t="str">
        <f>RIGHT([1]!Tabla2[[#This Row],[Marca y Modelo]], LEN([1]!Tabla2[[#This Row],[Marca y Modelo]]) - FIND(" ", [1]!Tabla2[[#This Row],[Marca y Modelo]]))</f>
        <v>Industries</v>
      </c>
      <c r="I406" s="76"/>
      <c r="J406" s="76"/>
      <c r="K406" s="91" t="s">
        <v>4137</v>
      </c>
      <c r="L406" s="91" t="s">
        <v>3017</v>
      </c>
      <c r="M406" s="91" t="s">
        <v>1408</v>
      </c>
      <c r="N406" s="91" t="s">
        <v>1819</v>
      </c>
      <c r="O406" s="77"/>
      <c r="P406" s="91" t="s">
        <v>2532</v>
      </c>
      <c r="Q406" s="32"/>
      <c r="R406" s="48" t="s">
        <v>216</v>
      </c>
      <c r="S406" s="32"/>
    </row>
    <row r="407" spans="2:19" x14ac:dyDescent="0.3">
      <c r="B407" t="str">
        <f>LEFT(Tabla3890134177220392[[#This Row],[Descripción del equipo]], FIND(" ", Tabla3890134177220392[[#This Row],[Descripción del equipo]] &amp; " ") - 1)</f>
        <v>Arnes</v>
      </c>
      <c r="C407" s="11" t="s">
        <v>176</v>
      </c>
      <c r="D407">
        <v>1</v>
      </c>
      <c r="E407" t="s">
        <v>160</v>
      </c>
      <c r="F407" s="92" t="s">
        <v>1056</v>
      </c>
      <c r="G407" s="15" t="str">
        <f>LEFT([1]modificado!$O$2, FIND(" ", [1]modificado!$O$2 &amp; " ") - 1)</f>
        <v>3M</v>
      </c>
      <c r="H407" s="47" t="str">
        <f>RIGHT([1]!Tabla2[[#This Row],[Marca y Modelo]], LEN([1]!Tabla2[[#This Row],[Marca y Modelo]]) - FIND(" ", [1]!Tabla2[[#This Row],[Marca y Modelo]]))</f>
        <v>1191279</v>
      </c>
      <c r="I407" s="76"/>
      <c r="J407" s="76"/>
      <c r="K407" s="92" t="s">
        <v>4138</v>
      </c>
      <c r="L407" s="92" t="s">
        <v>3018</v>
      </c>
      <c r="M407" s="92" t="s">
        <v>1404</v>
      </c>
      <c r="N407" s="92" t="s">
        <v>1820</v>
      </c>
      <c r="O407" s="77"/>
      <c r="P407" s="92" t="s">
        <v>2532</v>
      </c>
      <c r="Q407" s="32"/>
      <c r="R407" s="48" t="s">
        <v>216</v>
      </c>
      <c r="S407" s="32"/>
    </row>
    <row r="408" spans="2:19" x14ac:dyDescent="0.3">
      <c r="B408" t="s">
        <v>4348</v>
      </c>
      <c r="C408" s="11" t="s">
        <v>176</v>
      </c>
      <c r="D408">
        <v>1</v>
      </c>
      <c r="E408" t="s">
        <v>160</v>
      </c>
      <c r="F408" s="91" t="s">
        <v>1072</v>
      </c>
      <c r="G408" s="15" t="str">
        <f>LEFT([1]modificado!$O$2, FIND(" ", [1]modificado!$O$2 &amp; " ") - 1)</f>
        <v>3M</v>
      </c>
      <c r="H408" s="47" t="str">
        <f>RIGHT([1]!Tabla2[[#This Row],[Marca y Modelo]], LEN([1]!Tabla2[[#This Row],[Marca y Modelo]]) - FIND(" ", [1]!Tabla2[[#This Row],[Marca y Modelo]]))</f>
        <v>1385301MX</v>
      </c>
      <c r="I408" s="76"/>
      <c r="J408" s="76"/>
      <c r="K408" s="91" t="s">
        <v>4139</v>
      </c>
      <c r="L408" s="91" t="s">
        <v>3019</v>
      </c>
      <c r="M408" s="91" t="s">
        <v>1404</v>
      </c>
      <c r="N408" s="91" t="s">
        <v>1821</v>
      </c>
      <c r="O408" s="77"/>
      <c r="P408" s="91" t="s">
        <v>2532</v>
      </c>
      <c r="Q408" s="32"/>
      <c r="R408" s="48" t="s">
        <v>216</v>
      </c>
      <c r="S408" s="32"/>
    </row>
    <row r="409" spans="2:19" x14ac:dyDescent="0.3">
      <c r="B409" t="str">
        <f>LEFT(Tabla3890134177220392[[#This Row],[Descripción del equipo]], FIND(" ", Tabla3890134177220392[[#This Row],[Descripción del equipo]] &amp; " ") - 1)</f>
        <v>Autoretractil</v>
      </c>
      <c r="C409" s="11" t="s">
        <v>176</v>
      </c>
      <c r="D409">
        <v>1</v>
      </c>
      <c r="E409" t="s">
        <v>160</v>
      </c>
      <c r="F409" s="92" t="s">
        <v>1058</v>
      </c>
      <c r="G409" s="15" t="str">
        <f>LEFT([1]modificado!$O$2, FIND(" ", [1]modificado!$O$2 &amp; " ") - 1)</f>
        <v>3M</v>
      </c>
      <c r="H409" s="47" t="str">
        <f>RIGHT([1]!Tabla2[[#This Row],[Marca y Modelo]], LEN([1]!Tabla2[[#This Row],[Marca y Modelo]]) - FIND(" ", [1]!Tabla2[[#This Row],[Marca y Modelo]]))</f>
        <v>Nano Lok</v>
      </c>
      <c r="I409" s="76"/>
      <c r="J409" s="76"/>
      <c r="K409" s="92" t="s">
        <v>4140</v>
      </c>
      <c r="L409" s="92" t="s">
        <v>3020</v>
      </c>
      <c r="M409" s="92" t="s">
        <v>1404</v>
      </c>
      <c r="N409" s="92" t="s">
        <v>1822</v>
      </c>
      <c r="O409" s="77"/>
      <c r="P409" s="92" t="s">
        <v>2532</v>
      </c>
      <c r="Q409" s="32"/>
      <c r="R409" s="48" t="s">
        <v>216</v>
      </c>
      <c r="S409" s="32"/>
    </row>
    <row r="410" spans="2:19" x14ac:dyDescent="0.3">
      <c r="B410" t="str">
        <f>LEFT(Tabla3890134177220392[[#This Row],[Descripción del equipo]], FIND(" ", Tabla3890134177220392[[#This Row],[Descripción del equipo]] &amp; " ") - 1)</f>
        <v>Arnes</v>
      </c>
      <c r="C410" s="11" t="s">
        <v>176</v>
      </c>
      <c r="D410">
        <v>1</v>
      </c>
      <c r="E410" t="s">
        <v>160</v>
      </c>
      <c r="F410" s="91" t="s">
        <v>1056</v>
      </c>
      <c r="G410" s="15" t="str">
        <f>LEFT([1]modificado!$O$2, FIND(" ", [1]modificado!$O$2 &amp; " ") - 1)</f>
        <v>3M</v>
      </c>
      <c r="H410" s="47" t="str">
        <f>RIGHT([1]!Tabla2[[#This Row],[Marca y Modelo]], LEN([1]!Tabla2[[#This Row],[Marca y Modelo]]) - FIND(" ", [1]!Tabla2[[#This Row],[Marca y Modelo]]))</f>
        <v>Basic Lion</v>
      </c>
      <c r="I410" s="76"/>
      <c r="J410" s="76"/>
      <c r="K410" s="91" t="s">
        <v>4141</v>
      </c>
      <c r="L410" s="91" t="s">
        <v>3021</v>
      </c>
      <c r="M410" s="91" t="s">
        <v>1404</v>
      </c>
      <c r="N410" s="91" t="s">
        <v>1823</v>
      </c>
      <c r="O410" s="77"/>
      <c r="P410" s="91" t="s">
        <v>2532</v>
      </c>
      <c r="Q410" s="32"/>
      <c r="R410" s="48" t="s">
        <v>216</v>
      </c>
      <c r="S410" s="32"/>
    </row>
    <row r="411" spans="2:19" x14ac:dyDescent="0.3">
      <c r="B411" t="s">
        <v>4348</v>
      </c>
      <c r="C411" s="11" t="s">
        <v>176</v>
      </c>
      <c r="D411">
        <v>1</v>
      </c>
      <c r="E411" t="s">
        <v>160</v>
      </c>
      <c r="F411" s="92" t="s">
        <v>1057</v>
      </c>
      <c r="G411" s="15" t="str">
        <f>LEFT([1]modificado!$O$2, FIND(" ", [1]modificado!$O$2 &amp; " ") - 1)</f>
        <v>3M</v>
      </c>
      <c r="H411" s="47" t="str">
        <f>RIGHT([1]!Tabla2[[#This Row],[Marca y Modelo]], LEN([1]!Tabla2[[#This Row],[Marca y Modelo]]) - FIND(" ", [1]!Tabla2[[#This Row],[Marca y Modelo]]))</f>
        <v>191026</v>
      </c>
      <c r="I411" s="76"/>
      <c r="J411" s="76"/>
      <c r="K411" s="92" t="s">
        <v>4142</v>
      </c>
      <c r="L411" s="92" t="s">
        <v>3022</v>
      </c>
      <c r="M411" s="92" t="s">
        <v>1406</v>
      </c>
      <c r="N411" s="92" t="s">
        <v>1824</v>
      </c>
      <c r="O411" s="77"/>
      <c r="P411" s="92" t="s">
        <v>2532</v>
      </c>
      <c r="Q411" s="32"/>
      <c r="R411" s="48" t="s">
        <v>216</v>
      </c>
      <c r="S411" s="32"/>
    </row>
    <row r="412" spans="2:19" x14ac:dyDescent="0.3">
      <c r="B412" t="str">
        <f>LEFT(Tabla3890134177220392[[#This Row],[Descripción del equipo]], FIND(" ", Tabla3890134177220392[[#This Row],[Descripción del equipo]] &amp; " ") - 1)</f>
        <v>Arnes</v>
      </c>
      <c r="C412" s="11" t="s">
        <v>176</v>
      </c>
      <c r="D412">
        <v>1</v>
      </c>
      <c r="E412" t="s">
        <v>160</v>
      </c>
      <c r="F412" s="91" t="s">
        <v>1056</v>
      </c>
      <c r="G412" s="15" t="str">
        <f>LEFT([1]modificado!$O$2, FIND(" ", [1]modificado!$O$2 &amp; " ") - 1)</f>
        <v>3M</v>
      </c>
      <c r="H412" s="47" t="str">
        <f>RIGHT([1]!Tabla2[[#This Row],[Marca y Modelo]], LEN([1]!Tabla2[[#This Row],[Marca y Modelo]]) - FIND(" ", [1]!Tabla2[[#This Row],[Marca y Modelo]]))</f>
        <v>Musitani Space</v>
      </c>
      <c r="I412" s="76"/>
      <c r="J412" s="76"/>
      <c r="K412" s="91" t="s">
        <v>4141</v>
      </c>
      <c r="L412" s="91" t="s">
        <v>3023</v>
      </c>
      <c r="M412" s="91" t="s">
        <v>1406</v>
      </c>
      <c r="N412" s="91" t="s">
        <v>1825</v>
      </c>
      <c r="O412" s="77"/>
      <c r="P412" s="91" t="s">
        <v>2532</v>
      </c>
      <c r="Q412" s="32"/>
      <c r="R412" s="48" t="s">
        <v>216</v>
      </c>
      <c r="S412" s="32"/>
    </row>
    <row r="413" spans="2:19" x14ac:dyDescent="0.3">
      <c r="B413" t="str">
        <f>LEFT(Tabla3890134177220392[[#This Row],[Descripción del equipo]], FIND(" ", Tabla3890134177220392[[#This Row],[Descripción del equipo]] &amp; " ") - 1)</f>
        <v>Arnes</v>
      </c>
      <c r="C413" s="11" t="s">
        <v>176</v>
      </c>
      <c r="D413">
        <v>1</v>
      </c>
      <c r="E413" t="s">
        <v>160</v>
      </c>
      <c r="F413" s="92" t="s">
        <v>1056</v>
      </c>
      <c r="G413" s="15" t="str">
        <f>LEFT([1]modificado!$O$2, FIND(" ", [1]modificado!$O$2 &amp; " ") - 1)</f>
        <v>3M</v>
      </c>
      <c r="H413" s="47" t="str">
        <f>RIGHT([1]!Tabla2[[#This Row],[Marca y Modelo]], LEN([1]!Tabla2[[#This Row],[Marca y Modelo]]) - FIND(" ", [1]!Tabla2[[#This Row],[Marca y Modelo]]))</f>
        <v>Basic Lion</v>
      </c>
      <c r="I413" s="76"/>
      <c r="J413" s="76"/>
      <c r="K413" s="92" t="s">
        <v>4143</v>
      </c>
      <c r="L413" s="92" t="s">
        <v>3024</v>
      </c>
      <c r="M413" s="92" t="s">
        <v>1405</v>
      </c>
      <c r="N413" s="92" t="s">
        <v>1826</v>
      </c>
      <c r="O413" s="77"/>
      <c r="P413" s="92" t="s">
        <v>2532</v>
      </c>
      <c r="Q413" s="32"/>
      <c r="R413" s="48" t="s">
        <v>216</v>
      </c>
      <c r="S413" s="32"/>
    </row>
    <row r="414" spans="2:19" x14ac:dyDescent="0.3">
      <c r="B414" t="s">
        <v>4348</v>
      </c>
      <c r="C414" s="11" t="s">
        <v>176</v>
      </c>
      <c r="D414">
        <v>1</v>
      </c>
      <c r="E414" t="s">
        <v>160</v>
      </c>
      <c r="F414" s="91" t="s">
        <v>1057</v>
      </c>
      <c r="G414" s="15" t="str">
        <f>LEFT([1]modificado!$O$2, FIND(" ", [1]modificado!$O$2 &amp; " ") - 1)</f>
        <v>3M</v>
      </c>
      <c r="H414" s="47"/>
      <c r="I414" s="76"/>
      <c r="J414" s="76"/>
      <c r="K414" s="91" t="s">
        <v>4144</v>
      </c>
      <c r="L414" s="91" t="s">
        <v>3025</v>
      </c>
      <c r="M414" s="91" t="s">
        <v>1405</v>
      </c>
      <c r="N414" s="91" t="s">
        <v>1827</v>
      </c>
      <c r="O414" s="77"/>
      <c r="P414" s="91" t="s">
        <v>2532</v>
      </c>
      <c r="Q414" s="32"/>
      <c r="R414" s="48" t="s">
        <v>216</v>
      </c>
      <c r="S414" s="32"/>
    </row>
    <row r="415" spans="2:19" x14ac:dyDescent="0.3">
      <c r="B415" t="s">
        <v>4348</v>
      </c>
      <c r="C415" s="11" t="s">
        <v>176</v>
      </c>
      <c r="D415">
        <v>1</v>
      </c>
      <c r="E415" t="s">
        <v>160</v>
      </c>
      <c r="F415" s="92" t="s">
        <v>1072</v>
      </c>
      <c r="G415" s="15" t="str">
        <f>LEFT([1]modificado!$O$2, FIND(" ", [1]modificado!$O$2 &amp; " ") - 1)</f>
        <v>3M</v>
      </c>
      <c r="H415" s="47" t="str">
        <f>RIGHT([1]!Tabla2[[#This Row],[Marca y Modelo]], LEN([1]!Tabla2[[#This Row],[Marca y Modelo]]) - FIND(" ", [1]!Tabla2[[#This Row],[Marca y Modelo]]))</f>
        <v>1385301MX</v>
      </c>
      <c r="I415" s="76"/>
      <c r="J415" s="76"/>
      <c r="K415" s="92" t="s">
        <v>4145</v>
      </c>
      <c r="L415" s="92" t="s">
        <v>3026</v>
      </c>
      <c r="M415" s="92" t="s">
        <v>1404</v>
      </c>
      <c r="N415" s="92" t="s">
        <v>1828</v>
      </c>
      <c r="O415" s="77"/>
      <c r="P415" s="92" t="s">
        <v>2532</v>
      </c>
      <c r="Q415" s="32"/>
      <c r="R415" s="48" t="s">
        <v>216</v>
      </c>
      <c r="S415" s="32"/>
    </row>
    <row r="416" spans="2:19" x14ac:dyDescent="0.3">
      <c r="B416" t="s">
        <v>4348</v>
      </c>
      <c r="C416" s="11" t="s">
        <v>176</v>
      </c>
      <c r="D416">
        <v>1</v>
      </c>
      <c r="E416" t="s">
        <v>160</v>
      </c>
      <c r="F416" s="91" t="s">
        <v>1075</v>
      </c>
      <c r="G416" s="15" t="str">
        <f>LEFT([1]modificado!$O$2, FIND(" ", [1]modificado!$O$2 &amp; " ") - 1)</f>
        <v>3M</v>
      </c>
      <c r="H416" s="47" t="str">
        <f>RIGHT([1]!Tabla2[[#This Row],[Marca y Modelo]], LEN([1]!Tabla2[[#This Row],[Marca y Modelo]]) - FIND(" ", [1]!Tabla2[[#This Row],[Marca y Modelo]]))</f>
        <v>SP3710-S</v>
      </c>
      <c r="I416" s="76"/>
      <c r="J416" s="76"/>
      <c r="K416" s="91" t="s">
        <v>4146</v>
      </c>
      <c r="L416" s="91" t="s">
        <v>3027</v>
      </c>
      <c r="M416" s="91" t="s">
        <v>1404</v>
      </c>
      <c r="N416" s="91" t="s">
        <v>1829</v>
      </c>
      <c r="O416" s="77"/>
      <c r="P416" s="91" t="s">
        <v>2532</v>
      </c>
      <c r="Q416" s="32"/>
      <c r="R416" s="48" t="s">
        <v>216</v>
      </c>
      <c r="S416" s="32"/>
    </row>
    <row r="417" spans="2:19" x14ac:dyDescent="0.3">
      <c r="B417" t="s">
        <v>4348</v>
      </c>
      <c r="C417" s="11" t="s">
        <v>176</v>
      </c>
      <c r="D417">
        <v>1</v>
      </c>
      <c r="E417" t="s">
        <v>160</v>
      </c>
      <c r="F417" s="92" t="s">
        <v>1061</v>
      </c>
      <c r="G417" s="15" t="str">
        <f>LEFT([1]modificado!$O$2, FIND(" ", [1]modificado!$O$2 &amp; " ") - 1)</f>
        <v>3M</v>
      </c>
      <c r="H417" s="47" t="str">
        <f>RIGHT([1]!Tabla2[[#This Row],[Marca y Modelo]], LEN([1]!Tabla2[[#This Row],[Marca y Modelo]]) - FIND(" ", [1]!Tabla2[[#This Row],[Marca y Modelo]]))</f>
        <v>3210</v>
      </c>
      <c r="I417" s="76"/>
      <c r="J417" s="76"/>
      <c r="K417" s="92" t="s">
        <v>4146</v>
      </c>
      <c r="L417" s="92" t="s">
        <v>3028</v>
      </c>
      <c r="M417" s="92" t="s">
        <v>1404</v>
      </c>
      <c r="N417" s="92" t="s">
        <v>1830</v>
      </c>
      <c r="O417" s="77"/>
      <c r="P417" s="92" t="s">
        <v>2532</v>
      </c>
      <c r="Q417" s="32"/>
      <c r="R417" s="48" t="s">
        <v>216</v>
      </c>
      <c r="S417" s="32"/>
    </row>
    <row r="418" spans="2:19" x14ac:dyDescent="0.3">
      <c r="B418" t="s">
        <v>4348</v>
      </c>
      <c r="C418" s="11" t="s">
        <v>176</v>
      </c>
      <c r="D418">
        <v>1</v>
      </c>
      <c r="E418" t="s">
        <v>160</v>
      </c>
      <c r="F418" s="91" t="s">
        <v>1061</v>
      </c>
      <c r="G418" s="15" t="str">
        <f>LEFT([1]modificado!$O$2, FIND(" ", [1]modificado!$O$2 &amp; " ") - 1)</f>
        <v>3M</v>
      </c>
      <c r="H418" s="47" t="str">
        <f>RIGHT([1]!Tabla2[[#This Row],[Marca y Modelo]], LEN([1]!Tabla2[[#This Row],[Marca y Modelo]]) - FIND(" ", [1]!Tabla2[[#This Row],[Marca y Modelo]]))</f>
        <v>3210</v>
      </c>
      <c r="I418" s="76"/>
      <c r="J418" s="76"/>
      <c r="K418" s="91" t="s">
        <v>4146</v>
      </c>
      <c r="L418" s="91" t="s">
        <v>3029</v>
      </c>
      <c r="M418" s="91" t="s">
        <v>1404</v>
      </c>
      <c r="N418" s="91" t="s">
        <v>1831</v>
      </c>
      <c r="O418" s="77"/>
      <c r="P418" s="91" t="s">
        <v>2532</v>
      </c>
      <c r="Q418" s="32"/>
      <c r="R418" s="48" t="s">
        <v>216</v>
      </c>
      <c r="S418" s="32"/>
    </row>
    <row r="419" spans="2:19" x14ac:dyDescent="0.3">
      <c r="B419" t="str">
        <f>LEFT(Tabla3890134177220392[[#This Row],[Descripción del equipo]], FIND(" ", Tabla3890134177220392[[#This Row],[Descripción del equipo]] &amp; " ") - 1)</f>
        <v>Autoretractil</v>
      </c>
      <c r="C419" s="11" t="s">
        <v>176</v>
      </c>
      <c r="D419">
        <v>1</v>
      </c>
      <c r="E419" t="s">
        <v>160</v>
      </c>
      <c r="F419" s="92" t="s">
        <v>1058</v>
      </c>
      <c r="G419" s="15" t="str">
        <f>LEFT([1]modificado!$O$2, FIND(" ", [1]modificado!$O$2 &amp; " ") - 1)</f>
        <v>3M</v>
      </c>
      <c r="H419" s="47" t="str">
        <f>RIGHT([1]!Tabla2[[#This Row],[Marca y Modelo]], LEN([1]!Tabla2[[#This Row],[Marca y Modelo]]) - FIND(" ", [1]!Tabla2[[#This Row],[Marca y Modelo]]))</f>
        <v>3100425</v>
      </c>
      <c r="I419" s="76"/>
      <c r="J419" s="76"/>
      <c r="K419" s="92" t="s">
        <v>4147</v>
      </c>
      <c r="L419" s="92" t="s">
        <v>3030</v>
      </c>
      <c r="M419" s="92" t="s">
        <v>1404</v>
      </c>
      <c r="N419" s="92" t="s">
        <v>1832</v>
      </c>
      <c r="O419" s="77"/>
      <c r="P419" s="92" t="s">
        <v>2532</v>
      </c>
      <c r="Q419" s="32"/>
      <c r="R419" s="48" t="s">
        <v>216</v>
      </c>
      <c r="S419" s="32"/>
    </row>
    <row r="420" spans="2:19" x14ac:dyDescent="0.3">
      <c r="B420" t="str">
        <f>LEFT(Tabla3890134177220392[[#This Row],[Descripción del equipo]], FIND(" ", Tabla3890134177220392[[#This Row],[Descripción del equipo]] &amp; " ") - 1)</f>
        <v>Arnes</v>
      </c>
      <c r="C420" s="11" t="s">
        <v>176</v>
      </c>
      <c r="D420">
        <v>1</v>
      </c>
      <c r="E420" t="s">
        <v>160</v>
      </c>
      <c r="F420" s="91" t="s">
        <v>1056</v>
      </c>
      <c r="G420" s="15" t="str">
        <f>LEFT([1]modificado!$O$2, FIND(" ", [1]modificado!$O$2 &amp; " ") - 1)</f>
        <v>3M</v>
      </c>
      <c r="H420" s="47" t="str">
        <f>RIGHT([1]!Tabla2[[#This Row],[Marca y Modelo]], LEN([1]!Tabla2[[#This Row],[Marca y Modelo]]) - FIND(" ", [1]!Tabla2[[#This Row],[Marca y Modelo]]))</f>
        <v>Space</v>
      </c>
      <c r="I420" s="76"/>
      <c r="J420" s="76"/>
      <c r="K420" s="91" t="s">
        <v>4148</v>
      </c>
      <c r="L420" s="91" t="s">
        <v>3031</v>
      </c>
      <c r="M420" s="91" t="s">
        <v>1406</v>
      </c>
      <c r="N420" s="91" t="s">
        <v>1833</v>
      </c>
      <c r="O420" s="77"/>
      <c r="P420" s="91" t="s">
        <v>2532</v>
      </c>
      <c r="Q420" s="32"/>
      <c r="R420" s="48" t="s">
        <v>216</v>
      </c>
      <c r="S420" s="32"/>
    </row>
    <row r="421" spans="2:19" x14ac:dyDescent="0.3">
      <c r="B421" t="s">
        <v>4348</v>
      </c>
      <c r="C421" s="11" t="s">
        <v>176</v>
      </c>
      <c r="D421">
        <v>1</v>
      </c>
      <c r="E421" t="s">
        <v>160</v>
      </c>
      <c r="F421" s="92" t="s">
        <v>1057</v>
      </c>
      <c r="G421" s="15" t="str">
        <f>LEFT([1]modificado!$O$2, FIND(" ", [1]modificado!$O$2 &amp; " ") - 1)</f>
        <v>3M</v>
      </c>
      <c r="H421" s="47" t="str">
        <f>RIGHT([1]!Tabla2[[#This Row],[Marca y Modelo]], LEN([1]!Tabla2[[#This Row],[Marca y Modelo]]) - FIND(" ", [1]!Tabla2[[#This Row],[Marca y Modelo]]))</f>
        <v>191026A</v>
      </c>
      <c r="I421" s="76"/>
      <c r="J421" s="76"/>
      <c r="K421" s="92" t="s">
        <v>4149</v>
      </c>
      <c r="L421" s="92" t="s">
        <v>3032</v>
      </c>
      <c r="M421" s="92" t="s">
        <v>1404</v>
      </c>
      <c r="N421" s="92" t="s">
        <v>1834</v>
      </c>
      <c r="O421" s="77"/>
      <c r="P421" s="92" t="s">
        <v>2532</v>
      </c>
      <c r="Q421" s="32"/>
      <c r="R421" s="48" t="s">
        <v>216</v>
      </c>
      <c r="S421" s="32"/>
    </row>
    <row r="422" spans="2:19" x14ac:dyDescent="0.3">
      <c r="B422" t="str">
        <f>LEFT(Tabla3890134177220392[[#This Row],[Descripción del equipo]], FIND(" ", Tabla3890134177220392[[#This Row],[Descripción del equipo]] &amp; " ") - 1)</f>
        <v>Arnes</v>
      </c>
      <c r="C422" s="11" t="s">
        <v>176</v>
      </c>
      <c r="D422">
        <v>1</v>
      </c>
      <c r="E422" t="s">
        <v>160</v>
      </c>
      <c r="F422" s="91" t="s">
        <v>1056</v>
      </c>
      <c r="G422" s="15" t="str">
        <f>LEFT([1]modificado!$O$2, FIND(" ", [1]modificado!$O$2 &amp; " ") - 1)</f>
        <v>3M</v>
      </c>
      <c r="H422" s="47" t="str">
        <f>RIGHT([1]!Tabla2[[#This Row],[Marca y Modelo]], LEN([1]!Tabla2[[#This Row],[Marca y Modelo]]) - FIND(" ", [1]!Tabla2[[#This Row],[Marca y Modelo]]))</f>
        <v>Lion A</v>
      </c>
      <c r="I422" s="76"/>
      <c r="J422" s="76"/>
      <c r="K422" s="91" t="s">
        <v>4148</v>
      </c>
      <c r="L422" s="91" t="s">
        <v>3033</v>
      </c>
      <c r="M422" s="91" t="s">
        <v>1406</v>
      </c>
      <c r="N422" s="91" t="s">
        <v>1835</v>
      </c>
      <c r="O422" s="77"/>
      <c r="P422" s="91" t="s">
        <v>2532</v>
      </c>
      <c r="Q422" s="32"/>
      <c r="R422" s="48" t="s">
        <v>216</v>
      </c>
      <c r="S422" s="32"/>
    </row>
    <row r="423" spans="2:19" x14ac:dyDescent="0.3">
      <c r="B423" t="str">
        <f>LEFT(Tabla3890134177220392[[#This Row],[Descripción del equipo]], FIND(" ", Tabla3890134177220392[[#This Row],[Descripción del equipo]] &amp; " ") - 1)</f>
        <v>Arnes</v>
      </c>
      <c r="C423" s="11" t="s">
        <v>176</v>
      </c>
      <c r="D423">
        <v>1</v>
      </c>
      <c r="E423" t="s">
        <v>160</v>
      </c>
      <c r="F423" s="92" t="s">
        <v>1056</v>
      </c>
      <c r="G423" s="15" t="str">
        <f>LEFT([1]modificado!$O$2, FIND(" ", [1]modificado!$O$2 &amp; " ") - 1)</f>
        <v>3M</v>
      </c>
      <c r="H423" s="47" t="str">
        <f>RIGHT([1]!Tabla2[[#This Row],[Marca y Modelo]], LEN([1]!Tabla2[[#This Row],[Marca y Modelo]]) - FIND(" ", [1]!Tabla2[[#This Row],[Marca y Modelo]]))</f>
        <v>Lion</v>
      </c>
      <c r="I423" s="76"/>
      <c r="J423" s="76"/>
      <c r="K423" s="92" t="s">
        <v>4148</v>
      </c>
      <c r="L423" s="92" t="s">
        <v>3034</v>
      </c>
      <c r="M423" s="92" t="s">
        <v>1405</v>
      </c>
      <c r="N423" s="92" t="s">
        <v>1836</v>
      </c>
      <c r="O423" s="77"/>
      <c r="P423" s="92" t="s">
        <v>2532</v>
      </c>
      <c r="Q423" s="32"/>
      <c r="R423" s="48" t="s">
        <v>216</v>
      </c>
      <c r="S423" s="32"/>
    </row>
    <row r="424" spans="2:19" x14ac:dyDescent="0.3">
      <c r="B424" t="s">
        <v>4348</v>
      </c>
      <c r="C424" s="11" t="s">
        <v>176</v>
      </c>
      <c r="D424">
        <v>1</v>
      </c>
      <c r="E424" t="s">
        <v>160</v>
      </c>
      <c r="F424" s="91" t="s">
        <v>1057</v>
      </c>
      <c r="G424" s="15" t="str">
        <f>LEFT([1]modificado!$O$2, FIND(" ", [1]modificado!$O$2 &amp; " ") - 1)</f>
        <v>3M</v>
      </c>
      <c r="H424" s="47" t="str">
        <f>RIGHT([1]!Tabla2[[#This Row],[Marca y Modelo]], LEN([1]!Tabla2[[#This Row],[Marca y Modelo]]) - FIND(" ", [1]!Tabla2[[#This Row],[Marca y Modelo]]))</f>
        <v>191026A</v>
      </c>
      <c r="I424" s="76"/>
      <c r="J424" s="76"/>
      <c r="K424" s="91" t="s">
        <v>4149</v>
      </c>
      <c r="L424" s="91" t="s">
        <v>3035</v>
      </c>
      <c r="M424" s="91" t="s">
        <v>1405</v>
      </c>
      <c r="N424" s="91" t="s">
        <v>1837</v>
      </c>
      <c r="O424" s="77"/>
      <c r="P424" s="91" t="s">
        <v>2532</v>
      </c>
      <c r="Q424" s="32"/>
      <c r="R424" s="48" t="s">
        <v>216</v>
      </c>
      <c r="S424" s="32"/>
    </row>
    <row r="425" spans="2:19" x14ac:dyDescent="0.3">
      <c r="B425" t="str">
        <f>LEFT(Tabla3890134177220392[[#This Row],[Descripción del equipo]], FIND(" ", Tabla3890134177220392[[#This Row],[Descripción del equipo]] &amp; " ") - 1)</f>
        <v>Autoretractil</v>
      </c>
      <c r="C425" s="11" t="s">
        <v>176</v>
      </c>
      <c r="D425">
        <v>1</v>
      </c>
      <c r="E425" t="s">
        <v>160</v>
      </c>
      <c r="F425" s="92" t="s">
        <v>1058</v>
      </c>
      <c r="G425" s="15" t="str">
        <f>LEFT([1]modificado!$O$2, FIND(" ", [1]modificado!$O$2 &amp; " ") - 1)</f>
        <v>3M</v>
      </c>
      <c r="H425" s="47" t="str">
        <f>RIGHT([1]!Tabla2[[#This Row],[Marca y Modelo]], LEN([1]!Tabla2[[#This Row],[Marca y Modelo]]) - FIND(" ", [1]!Tabla2[[#This Row],[Marca y Modelo]]))</f>
        <v>3100405</v>
      </c>
      <c r="I425" s="76"/>
      <c r="J425" s="76"/>
      <c r="K425" s="92" t="s">
        <v>4147</v>
      </c>
      <c r="L425" s="92" t="s">
        <v>3036</v>
      </c>
      <c r="M425" s="92" t="s">
        <v>1404</v>
      </c>
      <c r="N425" s="92" t="s">
        <v>1838</v>
      </c>
      <c r="O425" s="77"/>
      <c r="P425" s="92" t="s">
        <v>2532</v>
      </c>
      <c r="Q425" s="32"/>
      <c r="R425" s="48" t="s">
        <v>216</v>
      </c>
      <c r="S425" s="32"/>
    </row>
    <row r="426" spans="2:19" x14ac:dyDescent="0.3">
      <c r="B426" t="str">
        <f>LEFT(Tabla3890134177220392[[#This Row],[Descripción del equipo]], FIND(" ", Tabla3890134177220392[[#This Row],[Descripción del equipo]] &amp; " ") - 1)</f>
        <v>Autoretractil</v>
      </c>
      <c r="C426" s="11" t="s">
        <v>176</v>
      </c>
      <c r="D426">
        <v>1</v>
      </c>
      <c r="E426" t="s">
        <v>160</v>
      </c>
      <c r="F426" s="91" t="s">
        <v>1058</v>
      </c>
      <c r="G426" s="15" t="str">
        <f>LEFT([1]modificado!$O$2, FIND(" ", [1]modificado!$O$2 &amp; " ") - 1)</f>
        <v>3M</v>
      </c>
      <c r="H426" s="47" t="str">
        <f>RIGHT([1]!Tabla2[[#This Row],[Marca y Modelo]], LEN([1]!Tabla2[[#This Row],[Marca y Modelo]]) - FIND(" ", [1]!Tabla2[[#This Row],[Marca y Modelo]]))</f>
        <v>Nano Lok</v>
      </c>
      <c r="I426" s="76"/>
      <c r="J426" s="76"/>
      <c r="K426" s="91" t="s">
        <v>4147</v>
      </c>
      <c r="L426" s="91" t="s">
        <v>3037</v>
      </c>
      <c r="M426" s="91" t="s">
        <v>1404</v>
      </c>
      <c r="N426" s="91" t="s">
        <v>1839</v>
      </c>
      <c r="O426" s="77"/>
      <c r="P426" s="91" t="s">
        <v>2532</v>
      </c>
      <c r="Q426" s="32"/>
      <c r="R426" s="48" t="s">
        <v>216</v>
      </c>
      <c r="S426" s="32"/>
    </row>
    <row r="427" spans="2:19" x14ac:dyDescent="0.3">
      <c r="B427" t="str">
        <f>LEFT(Tabla3890134177220392[[#This Row],[Descripción del equipo]], FIND(" ", Tabla3890134177220392[[#This Row],[Descripción del equipo]] &amp; " ") - 1)</f>
        <v>Arnes</v>
      </c>
      <c r="C427" s="11" t="s">
        <v>176</v>
      </c>
      <c r="D427">
        <v>1</v>
      </c>
      <c r="E427" t="s">
        <v>160</v>
      </c>
      <c r="F427" s="92" t="s">
        <v>1056</v>
      </c>
      <c r="G427" s="15" t="str">
        <f>LEFT([1]modificado!$O$2, FIND(" ", [1]modificado!$O$2 &amp; " ") - 1)</f>
        <v>3M</v>
      </c>
      <c r="H427" s="47" t="str">
        <f>RIGHT([1]!Tabla2[[#This Row],[Marca y Modelo]], LEN([1]!Tabla2[[#This Row],[Marca y Modelo]]) - FIND(" ", [1]!Tabla2[[#This Row],[Marca y Modelo]]))</f>
        <v>Musitani Space</v>
      </c>
      <c r="I427" s="76"/>
      <c r="J427" s="76"/>
      <c r="K427" s="92" t="s">
        <v>4150</v>
      </c>
      <c r="L427" s="92" t="s">
        <v>3038</v>
      </c>
      <c r="M427" s="92" t="s">
        <v>1406</v>
      </c>
      <c r="N427" s="92" t="s">
        <v>1840</v>
      </c>
      <c r="O427" s="77"/>
      <c r="P427" s="92" t="s">
        <v>2532</v>
      </c>
      <c r="Q427" s="32"/>
      <c r="R427" s="48" t="s">
        <v>216</v>
      </c>
      <c r="S427" s="32"/>
    </row>
    <row r="428" spans="2:19" x14ac:dyDescent="0.3">
      <c r="B428" t="str">
        <f>LEFT(Tabla3890134177220392[[#This Row],[Descripción del equipo]], FIND(" ", Tabla3890134177220392[[#This Row],[Descripción del equipo]] &amp; " ") - 1)</f>
        <v>Arnes</v>
      </c>
      <c r="C428" s="11" t="s">
        <v>176</v>
      </c>
      <c r="D428">
        <v>1</v>
      </c>
      <c r="E428" t="s">
        <v>160</v>
      </c>
      <c r="F428" s="91" t="s">
        <v>1056</v>
      </c>
      <c r="G428" s="15" t="str">
        <f>LEFT([1]modificado!$O$2, FIND(" ", [1]modificado!$O$2 &amp; " ") - 1)</f>
        <v>3M</v>
      </c>
      <c r="H428" s="47" t="str">
        <f>RIGHT([1]!Tabla2[[#This Row],[Marca y Modelo]], LEN([1]!Tabla2[[#This Row],[Marca y Modelo]]) - FIND(" ", [1]!Tabla2[[#This Row],[Marca y Modelo]]))</f>
        <v>Space</v>
      </c>
      <c r="I428" s="76"/>
      <c r="J428" s="76"/>
      <c r="K428" s="91" t="s">
        <v>4150</v>
      </c>
      <c r="L428" s="91" t="s">
        <v>3039</v>
      </c>
      <c r="M428" s="91" t="s">
        <v>1406</v>
      </c>
      <c r="N428" s="91" t="s">
        <v>1841</v>
      </c>
      <c r="O428" s="77"/>
      <c r="P428" s="91" t="s">
        <v>2532</v>
      </c>
      <c r="Q428" s="32"/>
      <c r="R428" s="48" t="s">
        <v>216</v>
      </c>
      <c r="S428" s="32"/>
    </row>
    <row r="429" spans="2:19" x14ac:dyDescent="0.3">
      <c r="B429" t="str">
        <f>LEFT(Tabla3890134177220392[[#This Row],[Descripción del equipo]], FIND(" ", Tabla3890134177220392[[#This Row],[Descripción del equipo]] &amp; " ") - 1)</f>
        <v>Arnes</v>
      </c>
      <c r="C429" s="11" t="s">
        <v>176</v>
      </c>
      <c r="D429">
        <v>1</v>
      </c>
      <c r="E429" t="s">
        <v>160</v>
      </c>
      <c r="F429" s="92" t="s">
        <v>1065</v>
      </c>
      <c r="G429" s="15" t="str">
        <f>LEFT([1]modificado!$O$2, FIND(" ", [1]modificado!$O$2 &amp; " ") - 1)</f>
        <v>3M</v>
      </c>
      <c r="H429" s="47" t="str">
        <f>RIGHT([1]!Tabla2[[#This Row],[Marca y Modelo]], LEN([1]!Tabla2[[#This Row],[Marca y Modelo]]) - FIND(" ", [1]!Tabla2[[#This Row],[Marca y Modelo]]))</f>
        <v>U1620</v>
      </c>
      <c r="I429" s="76"/>
      <c r="J429" s="76"/>
      <c r="K429" s="92" t="s">
        <v>4150</v>
      </c>
      <c r="L429" s="92" t="s">
        <v>3040</v>
      </c>
      <c r="M429" s="92" t="s">
        <v>1404</v>
      </c>
      <c r="N429" s="92" t="s">
        <v>1842</v>
      </c>
      <c r="O429" s="77"/>
      <c r="P429" s="92" t="s">
        <v>2532</v>
      </c>
      <c r="Q429" s="32"/>
      <c r="R429" s="48" t="s">
        <v>216</v>
      </c>
      <c r="S429" s="32"/>
    </row>
    <row r="430" spans="2:19" x14ac:dyDescent="0.3">
      <c r="B430" t="s">
        <v>4348</v>
      </c>
      <c r="C430" s="11" t="s">
        <v>176</v>
      </c>
      <c r="D430">
        <v>1</v>
      </c>
      <c r="E430" t="s">
        <v>160</v>
      </c>
      <c r="F430" s="91" t="s">
        <v>1057</v>
      </c>
      <c r="G430" s="15" t="str">
        <f>LEFT([1]modificado!$O$2, FIND(" ", [1]modificado!$O$2 &amp; " ") - 1)</f>
        <v>3M</v>
      </c>
      <c r="H430" s="47"/>
      <c r="I430" s="76"/>
      <c r="J430" s="76"/>
      <c r="K430" s="91" t="s">
        <v>4151</v>
      </c>
      <c r="L430" s="91" t="s">
        <v>3041</v>
      </c>
      <c r="M430" s="91" t="s">
        <v>1405</v>
      </c>
      <c r="N430" s="91" t="s">
        <v>1843</v>
      </c>
      <c r="O430" s="77"/>
      <c r="P430" s="91" t="s">
        <v>2532</v>
      </c>
      <c r="Q430" s="32"/>
      <c r="R430" s="48" t="s">
        <v>216</v>
      </c>
      <c r="S430" s="32"/>
    </row>
    <row r="431" spans="2:19" x14ac:dyDescent="0.3">
      <c r="B431" t="s">
        <v>4348</v>
      </c>
      <c r="C431" s="11" t="s">
        <v>176</v>
      </c>
      <c r="D431">
        <v>1</v>
      </c>
      <c r="E431" t="s">
        <v>160</v>
      </c>
      <c r="F431" s="92" t="s">
        <v>1060</v>
      </c>
      <c r="G431" s="15" t="str">
        <f>LEFT([1]modificado!$O$2, FIND(" ", [1]modificado!$O$2 &amp; " ") - 1)</f>
        <v>3M</v>
      </c>
      <c r="H431" s="47" t="str">
        <f>RIGHT([1]!Tabla2[[#This Row],[Marca y Modelo]], LEN([1]!Tabla2[[#This Row],[Marca y Modelo]]) - FIND(" ", [1]!Tabla2[[#This Row],[Marca y Modelo]]))</f>
        <v>209550-4-0241</v>
      </c>
      <c r="I431" s="76"/>
      <c r="J431" s="76"/>
      <c r="K431" s="92" t="s">
        <v>4151</v>
      </c>
      <c r="L431" s="92" t="s">
        <v>3042</v>
      </c>
      <c r="M431" s="92" t="s">
        <v>1404</v>
      </c>
      <c r="N431" s="92" t="s">
        <v>1844</v>
      </c>
      <c r="O431" s="77"/>
      <c r="P431" s="92" t="s">
        <v>2532</v>
      </c>
      <c r="Q431" s="32"/>
      <c r="R431" s="48" t="s">
        <v>216</v>
      </c>
      <c r="S431" s="32"/>
    </row>
    <row r="432" spans="2:19" x14ac:dyDescent="0.3">
      <c r="B432" t="str">
        <f>LEFT(Tabla3890134177220392[[#This Row],[Descripción del equipo]], FIND(" ", Tabla3890134177220392[[#This Row],[Descripción del equipo]] &amp; " ") - 1)</f>
        <v>Autoretractil</v>
      </c>
      <c r="C432" s="11" t="s">
        <v>176</v>
      </c>
      <c r="D432">
        <v>1</v>
      </c>
      <c r="E432" t="s">
        <v>160</v>
      </c>
      <c r="F432" s="91" t="s">
        <v>1058</v>
      </c>
      <c r="G432" s="15" t="str">
        <f>LEFT([1]modificado!$O$2, FIND(" ", [1]modificado!$O$2 &amp; " ") - 1)</f>
        <v>3M</v>
      </c>
      <c r="H432" s="47" t="str">
        <f>RIGHT([1]!Tabla2[[#This Row],[Marca y Modelo]], LEN([1]!Tabla2[[#This Row],[Marca y Modelo]]) - FIND(" ", [1]!Tabla2[[#This Row],[Marca y Modelo]]))</f>
        <v>3100405</v>
      </c>
      <c r="I432" s="76"/>
      <c r="J432" s="76"/>
      <c r="K432" s="91" t="s">
        <v>4152</v>
      </c>
      <c r="L432" s="91" t="s">
        <v>3043</v>
      </c>
      <c r="M432" s="91" t="s">
        <v>1404</v>
      </c>
      <c r="N432" s="91" t="s">
        <v>1845</v>
      </c>
      <c r="O432" s="77"/>
      <c r="P432" s="91" t="s">
        <v>2532</v>
      </c>
      <c r="Q432" s="32"/>
      <c r="R432" s="48" t="s">
        <v>216</v>
      </c>
      <c r="S432" s="32"/>
    </row>
    <row r="433" spans="2:19" x14ac:dyDescent="0.3">
      <c r="B433" t="str">
        <f>LEFT(Tabla3890134177220392[[#This Row],[Descripción del equipo]], FIND(" ", Tabla3890134177220392[[#This Row],[Descripción del equipo]] &amp; " ") - 1)</f>
        <v>Arnes</v>
      </c>
      <c r="C433" s="11" t="s">
        <v>176</v>
      </c>
      <c r="D433">
        <v>1</v>
      </c>
      <c r="E433" t="s">
        <v>160</v>
      </c>
      <c r="F433" s="92" t="s">
        <v>1089</v>
      </c>
      <c r="G433" s="15" t="str">
        <f>LEFT([1]modificado!$O$2, FIND(" ", [1]modificado!$O$2 &amp; " ") - 1)</f>
        <v>3M</v>
      </c>
      <c r="H433" s="47" t="str">
        <f>RIGHT([1]!Tabla2[[#This Row],[Marca y Modelo]], LEN([1]!Tabla2[[#This Row],[Marca y Modelo]]) - FIND(" ", [1]!Tabla2[[#This Row],[Marca y Modelo]]))</f>
        <v>1107454</v>
      </c>
      <c r="I433" s="76"/>
      <c r="J433" s="76"/>
      <c r="K433" s="92" t="s">
        <v>4150</v>
      </c>
      <c r="L433" s="92" t="s">
        <v>3044</v>
      </c>
      <c r="M433" s="92" t="s">
        <v>1404</v>
      </c>
      <c r="N433" s="92" t="s">
        <v>1846</v>
      </c>
      <c r="O433" s="77"/>
      <c r="P433" s="92" t="s">
        <v>2532</v>
      </c>
      <c r="Q433" s="32"/>
      <c r="R433" s="48" t="s">
        <v>216</v>
      </c>
      <c r="S433" s="32"/>
    </row>
    <row r="434" spans="2:19" x14ac:dyDescent="0.3">
      <c r="B434" t="str">
        <f>LEFT(Tabla3890134177220392[[#This Row],[Descripción del equipo]], FIND(" ", Tabla3890134177220392[[#This Row],[Descripción del equipo]] &amp; " ") - 1)</f>
        <v>Autoretractil</v>
      </c>
      <c r="C434" s="11" t="s">
        <v>176</v>
      </c>
      <c r="D434">
        <v>1</v>
      </c>
      <c r="E434" t="s">
        <v>160</v>
      </c>
      <c r="F434" s="91" t="s">
        <v>1058</v>
      </c>
      <c r="G434" s="15" t="str">
        <f>LEFT([1]modificado!$O$2, FIND(" ", [1]modificado!$O$2 &amp; " ") - 1)</f>
        <v>3M</v>
      </c>
      <c r="H434" s="47" t="s">
        <v>1402</v>
      </c>
      <c r="I434" s="76"/>
      <c r="J434" s="76"/>
      <c r="K434" s="91" t="s">
        <v>4152</v>
      </c>
      <c r="L434" s="91" t="s">
        <v>3045</v>
      </c>
      <c r="M434" s="91" t="s">
        <v>1404</v>
      </c>
      <c r="N434" s="91" t="s">
        <v>1847</v>
      </c>
      <c r="O434" s="77"/>
      <c r="P434" s="91" t="s">
        <v>2532</v>
      </c>
      <c r="Q434" s="32"/>
      <c r="R434" s="48" t="s">
        <v>216</v>
      </c>
      <c r="S434" s="32"/>
    </row>
    <row r="435" spans="2:19" x14ac:dyDescent="0.3">
      <c r="B435" t="s">
        <v>4348</v>
      </c>
      <c r="C435" s="11" t="s">
        <v>176</v>
      </c>
      <c r="D435">
        <v>1</v>
      </c>
      <c r="E435" t="s">
        <v>160</v>
      </c>
      <c r="F435" s="92" t="s">
        <v>1060</v>
      </c>
      <c r="G435" s="15" t="str">
        <f>LEFT([1]modificado!$O$2, FIND(" ", [1]modificado!$O$2 &amp; " ") - 1)</f>
        <v>3M</v>
      </c>
      <c r="H435" s="47" t="str">
        <f>RIGHT([1]!Tabla2[[#This Row],[Marca y Modelo]], LEN([1]!Tabla2[[#This Row],[Marca y Modelo]]) - FIND(" ", [1]!Tabla2[[#This Row],[Marca y Modelo]]))</f>
        <v>209550-4-0241</v>
      </c>
      <c r="I435" s="76"/>
      <c r="J435" s="76"/>
      <c r="K435" s="92" t="s">
        <v>4153</v>
      </c>
      <c r="L435" s="92" t="s">
        <v>3046</v>
      </c>
      <c r="M435" s="92" t="s">
        <v>1404</v>
      </c>
      <c r="N435" s="92" t="s">
        <v>1848</v>
      </c>
      <c r="O435" s="77"/>
      <c r="P435" s="92" t="s">
        <v>2532</v>
      </c>
      <c r="Q435" s="32"/>
      <c r="R435" s="48" t="s">
        <v>216</v>
      </c>
      <c r="S435" s="32"/>
    </row>
    <row r="436" spans="2:19" x14ac:dyDescent="0.3">
      <c r="B436" t="s">
        <v>4348</v>
      </c>
      <c r="C436" s="11" t="s">
        <v>176</v>
      </c>
      <c r="D436">
        <v>1</v>
      </c>
      <c r="E436" t="s">
        <v>160</v>
      </c>
      <c r="F436" s="91" t="s">
        <v>1091</v>
      </c>
      <c r="G436" s="15" t="str">
        <f>LEFT([1]modificado!$O$2, FIND(" ", [1]modificado!$O$2 &amp; " ") - 1)</f>
        <v>3M</v>
      </c>
      <c r="H436" s="47"/>
      <c r="I436" s="76"/>
      <c r="J436" s="76"/>
      <c r="K436" s="91" t="s">
        <v>4154</v>
      </c>
      <c r="L436" s="91" t="s">
        <v>3047</v>
      </c>
      <c r="M436" s="91" t="s">
        <v>1411</v>
      </c>
      <c r="N436" s="91" t="s">
        <v>1849</v>
      </c>
      <c r="O436" s="77"/>
      <c r="P436" s="91" t="s">
        <v>2532</v>
      </c>
      <c r="Q436" s="32"/>
      <c r="R436" s="48" t="s">
        <v>216</v>
      </c>
      <c r="S436" s="32"/>
    </row>
    <row r="437" spans="2:19" x14ac:dyDescent="0.3">
      <c r="B437" t="s">
        <v>4348</v>
      </c>
      <c r="C437" s="11" t="s">
        <v>176</v>
      </c>
      <c r="D437">
        <v>1</v>
      </c>
      <c r="E437" t="s">
        <v>160</v>
      </c>
      <c r="F437" s="92" t="s">
        <v>1091</v>
      </c>
      <c r="G437" s="15" t="str">
        <f>LEFT([1]modificado!$O$2, FIND(" ", [1]modificado!$O$2 &amp; " ") - 1)</f>
        <v>3M</v>
      </c>
      <c r="H437" s="47"/>
      <c r="I437" s="76"/>
      <c r="J437" s="76"/>
      <c r="K437" s="92" t="s">
        <v>4154</v>
      </c>
      <c r="L437" s="92" t="s">
        <v>3048</v>
      </c>
      <c r="M437" s="92" t="s">
        <v>1411</v>
      </c>
      <c r="N437" s="92" t="s">
        <v>1850</v>
      </c>
      <c r="O437" s="77"/>
      <c r="P437" s="92" t="s">
        <v>2532</v>
      </c>
      <c r="Q437" s="32"/>
      <c r="R437" s="48" t="s">
        <v>216</v>
      </c>
      <c r="S437" s="32"/>
    </row>
    <row r="438" spans="2:19" x14ac:dyDescent="0.3">
      <c r="B438" t="str">
        <f>LEFT(Tabla3890134177220392[[#This Row],[Descripción del equipo]], FIND(" ", Tabla3890134177220392[[#This Row],[Descripción del equipo]] &amp; " ") - 1)</f>
        <v>Arnes</v>
      </c>
      <c r="C438" s="11" t="s">
        <v>176</v>
      </c>
      <c r="D438">
        <v>1</v>
      </c>
      <c r="E438" t="s">
        <v>160</v>
      </c>
      <c r="F438" s="91" t="s">
        <v>1056</v>
      </c>
      <c r="G438" s="15" t="str">
        <f>LEFT([1]modificado!$O$2, FIND(" ", [1]modificado!$O$2 &amp; " ") - 1)</f>
        <v>3M</v>
      </c>
      <c r="H438" s="47" t="str">
        <f>RIGHT([1]!Tabla2[[#This Row],[Marca y Modelo]], LEN([1]!Tabla2[[#This Row],[Marca y Modelo]]) - FIND(" ", [1]!Tabla2[[#This Row],[Marca y Modelo]]))</f>
        <v>10911F-LOGO</v>
      </c>
      <c r="I438" s="76"/>
      <c r="J438" s="76"/>
      <c r="K438" s="91" t="s">
        <v>4155</v>
      </c>
      <c r="L438" s="91" t="s">
        <v>3049</v>
      </c>
      <c r="M438" s="91" t="s">
        <v>1404</v>
      </c>
      <c r="N438" s="91" t="s">
        <v>1851</v>
      </c>
      <c r="O438" s="77"/>
      <c r="P438" s="91" t="s">
        <v>2532</v>
      </c>
      <c r="Q438" s="32"/>
      <c r="R438" s="48" t="s">
        <v>216</v>
      </c>
      <c r="S438" s="32"/>
    </row>
    <row r="439" spans="2:19" x14ac:dyDescent="0.3">
      <c r="B439" t="str">
        <f>LEFT(Tabla3890134177220392[[#This Row],[Descripción del equipo]], FIND(" ", Tabla3890134177220392[[#This Row],[Descripción del equipo]] &amp; " ") - 1)</f>
        <v>Arnes</v>
      </c>
      <c r="C439" s="11" t="s">
        <v>176</v>
      </c>
      <c r="D439">
        <v>1</v>
      </c>
      <c r="E439" t="s">
        <v>160</v>
      </c>
      <c r="F439" s="92" t="s">
        <v>1056</v>
      </c>
      <c r="G439" s="15" t="str">
        <f>LEFT([1]modificado!$O$2, FIND(" ", [1]modificado!$O$2 &amp; " ") - 1)</f>
        <v>3M</v>
      </c>
      <c r="H439" s="47" t="str">
        <f>RIGHT([1]!Tabla2[[#This Row],[Marca y Modelo]], LEN([1]!Tabla2[[#This Row],[Marca y Modelo]]) - FIND(" ", [1]!Tabla2[[#This Row],[Marca y Modelo]]))</f>
        <v>10911F-LOGO</v>
      </c>
      <c r="I439" s="76"/>
      <c r="J439" s="76"/>
      <c r="K439" s="92" t="s">
        <v>4156</v>
      </c>
      <c r="L439" s="92" t="s">
        <v>3050</v>
      </c>
      <c r="M439" s="92" t="s">
        <v>1404</v>
      </c>
      <c r="N439" s="92" t="s">
        <v>1852</v>
      </c>
      <c r="O439" s="77"/>
      <c r="P439" s="92" t="s">
        <v>2532</v>
      </c>
      <c r="Q439" s="32"/>
      <c r="R439" s="48" t="s">
        <v>216</v>
      </c>
      <c r="S439" s="32"/>
    </row>
    <row r="440" spans="2:19" x14ac:dyDescent="0.3">
      <c r="B440" t="s">
        <v>4348</v>
      </c>
      <c r="C440" s="11" t="s">
        <v>176</v>
      </c>
      <c r="D440">
        <v>1</v>
      </c>
      <c r="E440" t="s">
        <v>160</v>
      </c>
      <c r="F440" s="91" t="s">
        <v>1060</v>
      </c>
      <c r="G440" s="15" t="str">
        <f>LEFT([1]modificado!$O$2, FIND(" ", [1]modificado!$O$2 &amp; " ") - 1)</f>
        <v>3M</v>
      </c>
      <c r="H440" s="47" t="str">
        <f>RIGHT([1]!Tabla2[[#This Row],[Marca y Modelo]], LEN([1]!Tabla2[[#This Row],[Marca y Modelo]]) - FIND(" ", [1]!Tabla2[[#This Row],[Marca y Modelo]]))</f>
        <v>209550-4-0241</v>
      </c>
      <c r="I440" s="76"/>
      <c r="J440" s="76"/>
      <c r="K440" s="91" t="s">
        <v>4157</v>
      </c>
      <c r="L440" s="91" t="s">
        <v>3051</v>
      </c>
      <c r="M440" s="91" t="s">
        <v>1404</v>
      </c>
      <c r="N440" s="91" t="s">
        <v>1853</v>
      </c>
      <c r="O440" s="77"/>
      <c r="P440" s="91" t="s">
        <v>2532</v>
      </c>
      <c r="Q440" s="32"/>
      <c r="R440" s="48" t="s">
        <v>216</v>
      </c>
      <c r="S440" s="32"/>
    </row>
    <row r="441" spans="2:19" x14ac:dyDescent="0.3">
      <c r="B441" t="s">
        <v>4348</v>
      </c>
      <c r="C441" s="11" t="s">
        <v>176</v>
      </c>
      <c r="D441">
        <v>1</v>
      </c>
      <c r="E441" t="s">
        <v>160</v>
      </c>
      <c r="F441" s="92" t="s">
        <v>1072</v>
      </c>
      <c r="G441" s="15" t="str">
        <f>LEFT([1]modificado!$O$2, FIND(" ", [1]modificado!$O$2 &amp; " ") - 1)</f>
        <v>3M</v>
      </c>
      <c r="H441" s="47" t="str">
        <f>RIGHT([1]!Tabla2[[#This Row],[Marca y Modelo]], LEN([1]!Tabla2[[#This Row],[Marca y Modelo]]) - FIND(" ", [1]!Tabla2[[#This Row],[Marca y Modelo]]))</f>
        <v>3210</v>
      </c>
      <c r="I441" s="76"/>
      <c r="J441" s="76"/>
      <c r="K441" s="92" t="s">
        <v>4158</v>
      </c>
      <c r="L441" s="92" t="s">
        <v>3052</v>
      </c>
      <c r="M441" s="92" t="s">
        <v>1404</v>
      </c>
      <c r="N441" s="92" t="s">
        <v>1854</v>
      </c>
      <c r="O441" s="77"/>
      <c r="P441" s="92" t="s">
        <v>2532</v>
      </c>
      <c r="Q441" s="32"/>
      <c r="R441" s="48" t="s">
        <v>216</v>
      </c>
      <c r="S441" s="32"/>
    </row>
    <row r="442" spans="2:19" x14ac:dyDescent="0.3">
      <c r="B442" t="str">
        <f>LEFT(Tabla3890134177220392[[#This Row],[Descripción del equipo]], FIND(" ", Tabla3890134177220392[[#This Row],[Descripción del equipo]] &amp; " ") - 1)</f>
        <v>Arnes</v>
      </c>
      <c r="C442" s="11" t="s">
        <v>174</v>
      </c>
      <c r="D442">
        <v>1</v>
      </c>
      <c r="E442" t="s">
        <v>160</v>
      </c>
      <c r="F442" s="91" t="s">
        <v>1056</v>
      </c>
      <c r="G442" s="15" t="str">
        <f>LEFT([1]modificado!$O$2, FIND(" ", [1]modificado!$O$2 &amp; " ") - 1)</f>
        <v>3M</v>
      </c>
      <c r="H442" s="47" t="str">
        <f>RIGHT([1]!Tabla2[[#This Row],[Marca y Modelo]], LEN([1]!Tabla2[[#This Row],[Marca y Modelo]]) - FIND(" ", [1]!Tabla2[[#This Row],[Marca y Modelo]]))</f>
        <v>Basic Tiger</v>
      </c>
      <c r="I442" s="76"/>
      <c r="J442" s="76"/>
      <c r="K442" s="91" t="s">
        <v>4159</v>
      </c>
      <c r="L442" s="91" t="s">
        <v>3053</v>
      </c>
      <c r="M442" s="91" t="s">
        <v>1404</v>
      </c>
      <c r="N442" s="91" t="s">
        <v>1855</v>
      </c>
      <c r="O442" s="77"/>
      <c r="P442" s="91" t="s">
        <v>2533</v>
      </c>
      <c r="Q442" s="32"/>
      <c r="R442" s="48" t="s">
        <v>216</v>
      </c>
      <c r="S442" s="32"/>
    </row>
    <row r="443" spans="2:19" x14ac:dyDescent="0.3">
      <c r="B443" t="str">
        <f>LEFT(Tabla3890134177220392[[#This Row],[Descripción del equipo]], FIND(" ", Tabla3890134177220392[[#This Row],[Descripción del equipo]] &amp; " ") - 1)</f>
        <v>Arnes</v>
      </c>
      <c r="C443" s="11" t="s">
        <v>174</v>
      </c>
      <c r="D443">
        <v>1</v>
      </c>
      <c r="E443" t="s">
        <v>160</v>
      </c>
      <c r="F443" s="92" t="s">
        <v>1056</v>
      </c>
      <c r="G443" s="15" t="str">
        <f>LEFT([1]modificado!$O$2, FIND(" ", [1]modificado!$O$2 &amp; " ") - 1)</f>
        <v>3M</v>
      </c>
      <c r="H443" s="47" t="str">
        <f>RIGHT([1]!Tabla2[[#This Row],[Marca y Modelo]], LEN([1]!Tabla2[[#This Row],[Marca y Modelo]]) - FIND(" ", [1]!Tabla2[[#This Row],[Marca y Modelo]]))</f>
        <v>10911F-LOGO</v>
      </c>
      <c r="I443" s="76"/>
      <c r="J443" s="76"/>
      <c r="K443" s="92" t="s">
        <v>4159</v>
      </c>
      <c r="L443" s="92" t="s">
        <v>3054</v>
      </c>
      <c r="M443" s="92" t="s">
        <v>1404</v>
      </c>
      <c r="N443" s="92" t="s">
        <v>1856</v>
      </c>
      <c r="O443" s="77"/>
      <c r="P443" s="92" t="s">
        <v>2533</v>
      </c>
      <c r="Q443" s="32"/>
      <c r="R443" s="48" t="s">
        <v>216</v>
      </c>
      <c r="S443" s="32"/>
    </row>
    <row r="444" spans="2:19" x14ac:dyDescent="0.3">
      <c r="B444" t="str">
        <f>LEFT(Tabla3890134177220392[[#This Row],[Descripción del equipo]], FIND(" ", Tabla3890134177220392[[#This Row],[Descripción del equipo]] &amp; " ") - 1)</f>
        <v>Arnes</v>
      </c>
      <c r="C444" s="11" t="s">
        <v>174</v>
      </c>
      <c r="D444">
        <v>1</v>
      </c>
      <c r="E444" t="s">
        <v>160</v>
      </c>
      <c r="F444" s="91" t="s">
        <v>1062</v>
      </c>
      <c r="G444" s="15" t="str">
        <f>LEFT([1]modificado!$O$2, FIND(" ", [1]modificado!$O$2 &amp; " ") - 1)</f>
        <v>3M</v>
      </c>
      <c r="H444" s="47" t="str">
        <f>RIGHT([1]!Tabla2[[#This Row],[Marca y Modelo]], LEN([1]!Tabla2[[#This Row],[Marca y Modelo]]) - FIND(" ", [1]!Tabla2[[#This Row],[Marca y Modelo]]))</f>
        <v>10955-LOGO</v>
      </c>
      <c r="I444" s="76"/>
      <c r="J444" s="76"/>
      <c r="K444" s="91" t="s">
        <v>4159</v>
      </c>
      <c r="L444" s="91" t="s">
        <v>3055</v>
      </c>
      <c r="M444" s="91" t="s">
        <v>1404</v>
      </c>
      <c r="N444" s="91" t="s">
        <v>1857</v>
      </c>
      <c r="O444" s="77"/>
      <c r="P444" s="91" t="s">
        <v>2533</v>
      </c>
      <c r="Q444" s="32"/>
      <c r="R444" s="48" t="s">
        <v>216</v>
      </c>
      <c r="S444" s="32"/>
    </row>
    <row r="445" spans="2:19" x14ac:dyDescent="0.3">
      <c r="B445" t="str">
        <f>LEFT(Tabla3890134177220392[[#This Row],[Descripción del equipo]], FIND(" ", Tabla3890134177220392[[#This Row],[Descripción del equipo]] &amp; " ") - 1)</f>
        <v>Arnes</v>
      </c>
      <c r="C445" s="11" t="s">
        <v>174</v>
      </c>
      <c r="D445">
        <v>1</v>
      </c>
      <c r="E445" t="s">
        <v>160</v>
      </c>
      <c r="F445" s="92" t="s">
        <v>1062</v>
      </c>
      <c r="G445" s="15" t="str">
        <f>LEFT([1]modificado!$O$2, FIND(" ", [1]modificado!$O$2 &amp; " ") - 1)</f>
        <v>3M</v>
      </c>
      <c r="H445" s="47" t="str">
        <f>RIGHT([1]!Tabla2[[#This Row],[Marca y Modelo]], LEN([1]!Tabla2[[#This Row],[Marca y Modelo]]) - FIND(" ", [1]!Tabla2[[#This Row],[Marca y Modelo]]))</f>
        <v>10955-LOGO</v>
      </c>
      <c r="I445" s="76"/>
      <c r="J445" s="76"/>
      <c r="K445" s="92" t="s">
        <v>4159</v>
      </c>
      <c r="L445" s="92" t="s">
        <v>3056</v>
      </c>
      <c r="M445" s="92" t="s">
        <v>1404</v>
      </c>
      <c r="N445" s="92" t="s">
        <v>1858</v>
      </c>
      <c r="O445" s="77"/>
      <c r="P445" s="92" t="s">
        <v>2533</v>
      </c>
      <c r="Q445" s="32"/>
      <c r="R445" s="48" t="s">
        <v>216</v>
      </c>
      <c r="S445" s="32"/>
    </row>
    <row r="446" spans="2:19" x14ac:dyDescent="0.3">
      <c r="B446" t="str">
        <f>LEFT(Tabla3890134177220392[[#This Row],[Descripción del equipo]], FIND(" ", Tabla3890134177220392[[#This Row],[Descripción del equipo]] &amp; " ") - 1)</f>
        <v>Arnes</v>
      </c>
      <c r="C446" s="11" t="s">
        <v>174</v>
      </c>
      <c r="D446">
        <v>1</v>
      </c>
      <c r="E446" t="s">
        <v>160</v>
      </c>
      <c r="F446" s="91" t="s">
        <v>1056</v>
      </c>
      <c r="G446" s="15" t="str">
        <f>LEFT([1]modificado!$O$2, FIND(" ", [1]modificado!$O$2 &amp; " ") - 1)</f>
        <v>3M</v>
      </c>
      <c r="H446" s="47" t="str">
        <f>RIGHT([1]!Tabla2[[#This Row],[Marca y Modelo]], LEN([1]!Tabla2[[#This Row],[Marca y Modelo]]) - FIND(" ", [1]!Tabla2[[#This Row],[Marca y Modelo]]))</f>
        <v>1105728</v>
      </c>
      <c r="I446" s="76"/>
      <c r="J446" s="76"/>
      <c r="K446" s="91" t="s">
        <v>4159</v>
      </c>
      <c r="L446" s="91" t="s">
        <v>3057</v>
      </c>
      <c r="M446" s="91" t="s">
        <v>1404</v>
      </c>
      <c r="N446" s="91" t="s">
        <v>1859</v>
      </c>
      <c r="O446" s="77"/>
      <c r="P446" s="91" t="s">
        <v>2533</v>
      </c>
      <c r="Q446" s="32"/>
      <c r="R446" s="48" t="s">
        <v>216</v>
      </c>
      <c r="S446" s="32"/>
    </row>
    <row r="447" spans="2:19" x14ac:dyDescent="0.3">
      <c r="B447" t="str">
        <f>LEFT(Tabla3890134177220392[[#This Row],[Descripción del equipo]], FIND(" ", Tabla3890134177220392[[#This Row],[Descripción del equipo]] &amp; " ") - 1)</f>
        <v>Arnes</v>
      </c>
      <c r="C447" s="11" t="s">
        <v>174</v>
      </c>
      <c r="D447">
        <v>1</v>
      </c>
      <c r="E447" t="s">
        <v>160</v>
      </c>
      <c r="F447" s="92" t="s">
        <v>1068</v>
      </c>
      <c r="G447" s="15" t="str">
        <f>LEFT([1]modificado!$O$2, FIND(" ", [1]modificado!$O$2 &amp; " ") - 1)</f>
        <v>3M</v>
      </c>
      <c r="H447" s="47" t="str">
        <f>RIGHT([1]!Tabla2[[#This Row],[Marca y Modelo]], LEN([1]!Tabla2[[#This Row],[Marca y Modelo]]) - FIND(" ", [1]!Tabla2[[#This Row],[Marca y Modelo]]))</f>
        <v>1021-LOGO</v>
      </c>
      <c r="I447" s="76"/>
      <c r="J447" s="76"/>
      <c r="K447" s="92" t="s">
        <v>4159</v>
      </c>
      <c r="L447" s="92" t="s">
        <v>3058</v>
      </c>
      <c r="M447" s="92" t="s">
        <v>1404</v>
      </c>
      <c r="N447" s="92" t="s">
        <v>1860</v>
      </c>
      <c r="O447" s="77"/>
      <c r="P447" s="92" t="s">
        <v>2533</v>
      </c>
      <c r="Q447" s="32"/>
      <c r="R447" s="48" t="s">
        <v>216</v>
      </c>
      <c r="S447" s="32"/>
    </row>
    <row r="448" spans="2:19" x14ac:dyDescent="0.3">
      <c r="B448" t="str">
        <f>LEFT(Tabla3890134177220392[[#This Row],[Descripción del equipo]], FIND(" ", Tabla3890134177220392[[#This Row],[Descripción del equipo]] &amp; " ") - 1)</f>
        <v>Arnes</v>
      </c>
      <c r="C448" s="11" t="s">
        <v>174</v>
      </c>
      <c r="D448">
        <v>1</v>
      </c>
      <c r="E448" t="s">
        <v>160</v>
      </c>
      <c r="F448" s="91" t="s">
        <v>1068</v>
      </c>
      <c r="G448" s="15" t="str">
        <f>LEFT([1]modificado!$O$2, FIND(" ", [1]modificado!$O$2 &amp; " ") - 1)</f>
        <v>3M</v>
      </c>
      <c r="H448" s="47" t="str">
        <f>RIGHT([1]!Tabla2[[#This Row],[Marca y Modelo]], LEN([1]!Tabla2[[#This Row],[Marca y Modelo]]) - FIND(" ", [1]!Tabla2[[#This Row],[Marca y Modelo]]))</f>
        <v>1021-LOGO</v>
      </c>
      <c r="I448" s="76"/>
      <c r="J448" s="76"/>
      <c r="K448" s="91" t="s">
        <v>4159</v>
      </c>
      <c r="L448" s="91" t="s">
        <v>3059</v>
      </c>
      <c r="M448" s="91" t="s">
        <v>1404</v>
      </c>
      <c r="N448" s="91" t="s">
        <v>1861</v>
      </c>
      <c r="O448" s="77"/>
      <c r="P448" s="91" t="s">
        <v>2533</v>
      </c>
      <c r="Q448" s="32"/>
      <c r="R448" s="48" t="s">
        <v>216</v>
      </c>
      <c r="S448" s="32"/>
    </row>
    <row r="449" spans="2:19" x14ac:dyDescent="0.3">
      <c r="B449" t="str">
        <f>LEFT(Tabla3890134177220392[[#This Row],[Descripción del equipo]], FIND(" ", Tabla3890134177220392[[#This Row],[Descripción del equipo]] &amp; " ") - 1)</f>
        <v>Arnes</v>
      </c>
      <c r="C449" s="11" t="s">
        <v>174</v>
      </c>
      <c r="D449">
        <v>1</v>
      </c>
      <c r="E449" t="s">
        <v>160</v>
      </c>
      <c r="F449" s="92" t="s">
        <v>1056</v>
      </c>
      <c r="G449" s="15" t="str">
        <f>LEFT([1]modificado!$O$2, FIND(" ", [1]modificado!$O$2 &amp; " ") - 1)</f>
        <v>3M</v>
      </c>
      <c r="H449" s="47" t="str">
        <f>RIGHT([1]!Tabla2[[#This Row],[Marca y Modelo]], LEN([1]!Tabla2[[#This Row],[Marca y Modelo]]) - FIND(" ", [1]!Tabla2[[#This Row],[Marca y Modelo]]))</f>
        <v>1191279</v>
      </c>
      <c r="I449" s="76"/>
      <c r="J449" s="76"/>
      <c r="K449" s="92" t="s">
        <v>4159</v>
      </c>
      <c r="L449" s="92" t="s">
        <v>3060</v>
      </c>
      <c r="M449" s="92" t="s">
        <v>1404</v>
      </c>
      <c r="N449" s="92" t="s">
        <v>1862</v>
      </c>
      <c r="O449" s="77"/>
      <c r="P449" s="92" t="s">
        <v>2533</v>
      </c>
      <c r="Q449" s="32"/>
      <c r="R449" s="48" t="s">
        <v>216</v>
      </c>
      <c r="S449" s="32"/>
    </row>
    <row r="450" spans="2:19" x14ac:dyDescent="0.3">
      <c r="B450" t="str">
        <f>LEFT(Tabla3890134177220392[[#This Row],[Descripción del equipo]], FIND(" ", Tabla3890134177220392[[#This Row],[Descripción del equipo]] &amp; " ") - 1)</f>
        <v>Arnes</v>
      </c>
      <c r="C450" s="11" t="s">
        <v>174</v>
      </c>
      <c r="D450">
        <v>1</v>
      </c>
      <c r="E450" t="s">
        <v>160</v>
      </c>
      <c r="F450" s="91" t="s">
        <v>1056</v>
      </c>
      <c r="G450" s="15" t="str">
        <f>LEFT([1]modificado!$O$2, FIND(" ", [1]modificado!$O$2 &amp; " ") - 1)</f>
        <v>3M</v>
      </c>
      <c r="H450" s="47" t="str">
        <f>RIGHT([1]!Tabla2[[#This Row],[Marca y Modelo]], LEN([1]!Tabla2[[#This Row],[Marca y Modelo]]) - FIND(" ", [1]!Tabla2[[#This Row],[Marca y Modelo]]))</f>
        <v>Tiger</v>
      </c>
      <c r="I450" s="76"/>
      <c r="J450" s="76"/>
      <c r="K450" s="91" t="s">
        <v>4159</v>
      </c>
      <c r="L450" s="91" t="s">
        <v>3061</v>
      </c>
      <c r="M450" s="91" t="s">
        <v>1406</v>
      </c>
      <c r="N450" s="91" t="s">
        <v>1863</v>
      </c>
      <c r="O450" s="77"/>
      <c r="P450" s="91" t="s">
        <v>2533</v>
      </c>
      <c r="Q450" s="32"/>
      <c r="R450" s="48" t="s">
        <v>216</v>
      </c>
      <c r="S450" s="32"/>
    </row>
    <row r="451" spans="2:19" x14ac:dyDescent="0.3">
      <c r="B451" t="str">
        <f>LEFT(Tabla3890134177220392[[#This Row],[Descripción del equipo]], FIND(" ", Tabla3890134177220392[[#This Row],[Descripción del equipo]] &amp; " ") - 1)</f>
        <v>Arnes</v>
      </c>
      <c r="C451" s="11" t="s">
        <v>174</v>
      </c>
      <c r="D451">
        <v>1</v>
      </c>
      <c r="E451" t="s">
        <v>160</v>
      </c>
      <c r="F451" s="92" t="s">
        <v>1068</v>
      </c>
      <c r="G451" s="15" t="str">
        <f>LEFT([1]modificado!$O$2, FIND(" ", [1]modificado!$O$2 &amp; " ") - 1)</f>
        <v>3M</v>
      </c>
      <c r="H451" s="47" t="str">
        <f>RIGHT([1]!Tabla2[[#This Row],[Marca y Modelo]], LEN([1]!Tabla2[[#This Row],[Marca y Modelo]]) - FIND(" ", [1]!Tabla2[[#This Row],[Marca y Modelo]]))</f>
        <v>1021-LOGO</v>
      </c>
      <c r="I451" s="76"/>
      <c r="J451" s="76"/>
      <c r="K451" s="92" t="s">
        <v>4159</v>
      </c>
      <c r="L451" s="92" t="s">
        <v>3062</v>
      </c>
      <c r="M451" s="92" t="s">
        <v>1404</v>
      </c>
      <c r="N451" s="92" t="s">
        <v>1864</v>
      </c>
      <c r="O451" s="77"/>
      <c r="P451" s="92" t="s">
        <v>2533</v>
      </c>
      <c r="Q451" s="32"/>
      <c r="R451" s="48" t="s">
        <v>216</v>
      </c>
      <c r="S451" s="32"/>
    </row>
    <row r="452" spans="2:19" x14ac:dyDescent="0.3">
      <c r="B452" t="str">
        <f>LEFT(Tabla3890134177220392[[#This Row],[Descripción del equipo]], FIND(" ", Tabla3890134177220392[[#This Row],[Descripción del equipo]] &amp; " ") - 1)</f>
        <v>Arnes</v>
      </c>
      <c r="C452" s="11" t="s">
        <v>174</v>
      </c>
      <c r="D452">
        <v>1</v>
      </c>
      <c r="E452" t="s">
        <v>160</v>
      </c>
      <c r="F452" s="91" t="s">
        <v>1056</v>
      </c>
      <c r="G452" s="15" t="str">
        <f>LEFT([1]modificado!$O$2, FIND(" ", [1]modificado!$O$2 &amp; " ") - 1)</f>
        <v>3M</v>
      </c>
      <c r="H452" s="47" t="str">
        <f>RIGHT([1]!Tabla2[[#This Row],[Marca y Modelo]], LEN([1]!Tabla2[[#This Row],[Marca y Modelo]]) - FIND(" ", [1]!Tabla2[[#This Row],[Marca y Modelo]]))</f>
        <v>10911F-LOGO</v>
      </c>
      <c r="I452" s="76"/>
      <c r="J452" s="76"/>
      <c r="K452" s="91" t="s">
        <v>4159</v>
      </c>
      <c r="L452" s="91" t="s">
        <v>3063</v>
      </c>
      <c r="M452" s="91" t="s">
        <v>1404</v>
      </c>
      <c r="N452" s="91" t="s">
        <v>1865</v>
      </c>
      <c r="O452" s="77"/>
      <c r="P452" s="91" t="s">
        <v>2533</v>
      </c>
      <c r="Q452" s="32"/>
      <c r="R452" s="48" t="s">
        <v>216</v>
      </c>
      <c r="S452" s="32"/>
    </row>
    <row r="453" spans="2:19" x14ac:dyDescent="0.3">
      <c r="B453" t="str">
        <f>LEFT(Tabla3890134177220392[[#This Row],[Descripción del equipo]], FIND(" ", Tabla3890134177220392[[#This Row],[Descripción del equipo]] &amp; " ") - 1)</f>
        <v>Arnes</v>
      </c>
      <c r="C453" s="11" t="s">
        <v>174</v>
      </c>
      <c r="D453">
        <v>1</v>
      </c>
      <c r="E453" t="s">
        <v>160</v>
      </c>
      <c r="F453" s="92" t="s">
        <v>1056</v>
      </c>
      <c r="G453" s="15" t="str">
        <f>LEFT([1]modificado!$O$2, FIND(" ", [1]modificado!$O$2 &amp; " ") - 1)</f>
        <v>3M</v>
      </c>
      <c r="H453" s="47" t="str">
        <f>RIGHT([1]!Tabla2[[#This Row],[Marca y Modelo]], LEN([1]!Tabla2[[#This Row],[Marca y Modelo]]) - FIND(" ", [1]!Tabla2[[#This Row],[Marca y Modelo]]))</f>
        <v>10911F-LOGO</v>
      </c>
      <c r="I453" s="76"/>
      <c r="J453" s="76"/>
      <c r="K453" s="92" t="s">
        <v>4159</v>
      </c>
      <c r="L453" s="92" t="s">
        <v>3064</v>
      </c>
      <c r="M453" s="92" t="s">
        <v>1404</v>
      </c>
      <c r="N453" s="92" t="s">
        <v>1866</v>
      </c>
      <c r="O453" s="77"/>
      <c r="P453" s="92" t="s">
        <v>2533</v>
      </c>
      <c r="Q453" s="32"/>
      <c r="R453" s="48" t="s">
        <v>216</v>
      </c>
      <c r="S453" s="32"/>
    </row>
    <row r="454" spans="2:19" x14ac:dyDescent="0.3">
      <c r="B454" t="str">
        <f>LEFT(Tabla3890134177220392[[#This Row],[Descripción del equipo]], FIND(" ", Tabla3890134177220392[[#This Row],[Descripción del equipo]] &amp; " ") - 1)</f>
        <v>Arnes</v>
      </c>
      <c r="C454" s="11" t="s">
        <v>174</v>
      </c>
      <c r="D454">
        <v>1</v>
      </c>
      <c r="E454" t="s">
        <v>160</v>
      </c>
      <c r="F454" s="91" t="s">
        <v>1056</v>
      </c>
      <c r="G454" s="15" t="str">
        <f>LEFT([1]modificado!$O$2, FIND(" ", [1]modificado!$O$2 &amp; " ") - 1)</f>
        <v>3M</v>
      </c>
      <c r="H454" s="47" t="str">
        <f>RIGHT([1]!Tabla2[[#This Row],[Marca y Modelo]], LEN([1]!Tabla2[[#This Row],[Marca y Modelo]]) - FIND(" ", [1]!Tabla2[[#This Row],[Marca y Modelo]]))</f>
        <v>Basic Lion</v>
      </c>
      <c r="I454" s="76"/>
      <c r="J454" s="76"/>
      <c r="K454" s="91" t="s">
        <v>4159</v>
      </c>
      <c r="L454" s="91" t="s">
        <v>3065</v>
      </c>
      <c r="M454" s="91" t="s">
        <v>1404</v>
      </c>
      <c r="N454" s="91" t="s">
        <v>1867</v>
      </c>
      <c r="O454" s="77"/>
      <c r="P454" s="91" t="s">
        <v>2533</v>
      </c>
      <c r="Q454" s="32"/>
      <c r="R454" s="48" t="s">
        <v>216</v>
      </c>
      <c r="S454" s="32"/>
    </row>
    <row r="455" spans="2:19" x14ac:dyDescent="0.3">
      <c r="B455" t="str">
        <f>LEFT(Tabla3890134177220392[[#This Row],[Descripción del equipo]], FIND(" ", Tabla3890134177220392[[#This Row],[Descripción del equipo]] &amp; " ") - 1)</f>
        <v>Arnes</v>
      </c>
      <c r="C455" s="11" t="s">
        <v>174</v>
      </c>
      <c r="D455">
        <v>1</v>
      </c>
      <c r="E455" t="s">
        <v>160</v>
      </c>
      <c r="F455" s="92" t="s">
        <v>1056</v>
      </c>
      <c r="G455" s="15" t="str">
        <f>LEFT([1]modificado!$O$2, FIND(" ", [1]modificado!$O$2 &amp; " ") - 1)</f>
        <v>3M</v>
      </c>
      <c r="H455" s="47" t="str">
        <f>RIGHT([1]!Tabla2[[#This Row],[Marca y Modelo]], LEN([1]!Tabla2[[#This Row],[Marca y Modelo]]) - FIND(" ", [1]!Tabla2[[#This Row],[Marca y Modelo]]))</f>
        <v>Space</v>
      </c>
      <c r="I455" s="76"/>
      <c r="J455" s="76"/>
      <c r="K455" s="92" t="s">
        <v>4159</v>
      </c>
      <c r="L455" s="92" t="s">
        <v>3066</v>
      </c>
      <c r="M455" s="92" t="s">
        <v>1406</v>
      </c>
      <c r="N455" s="92" t="s">
        <v>1868</v>
      </c>
      <c r="O455" s="77"/>
      <c r="P455" s="92" t="s">
        <v>2533</v>
      </c>
      <c r="Q455" s="32"/>
      <c r="R455" s="48" t="s">
        <v>216</v>
      </c>
      <c r="S455" s="32"/>
    </row>
    <row r="456" spans="2:19" x14ac:dyDescent="0.3">
      <c r="B456" t="str">
        <f>LEFT(Tabla3890134177220392[[#This Row],[Descripción del equipo]], FIND(" ", Tabla3890134177220392[[#This Row],[Descripción del equipo]] &amp; " ") - 1)</f>
        <v>Arnes</v>
      </c>
      <c r="C456" s="11" t="s">
        <v>174</v>
      </c>
      <c r="D456">
        <v>1</v>
      </c>
      <c r="E456" t="s">
        <v>160</v>
      </c>
      <c r="F456" s="91" t="s">
        <v>1056</v>
      </c>
      <c r="G456" s="15" t="str">
        <f>LEFT([1]modificado!$O$2, FIND(" ", [1]modificado!$O$2 &amp; " ") - 1)</f>
        <v>3M</v>
      </c>
      <c r="H456" s="47" t="str">
        <f>RIGHT([1]!Tabla2[[#This Row],[Marca y Modelo]], LEN([1]!Tabla2[[#This Row],[Marca y Modelo]]) - FIND(" ", [1]!Tabla2[[#This Row],[Marca y Modelo]]))</f>
        <v>1191279</v>
      </c>
      <c r="I456" s="76"/>
      <c r="J456" s="76"/>
      <c r="K456" s="91" t="s">
        <v>4159</v>
      </c>
      <c r="L456" s="91" t="s">
        <v>3067</v>
      </c>
      <c r="M456" s="91" t="s">
        <v>1404</v>
      </c>
      <c r="N456" s="91" t="s">
        <v>1869</v>
      </c>
      <c r="O456" s="77"/>
      <c r="P456" s="91" t="s">
        <v>2533</v>
      </c>
      <c r="Q456" s="32"/>
      <c r="R456" s="48" t="s">
        <v>216</v>
      </c>
      <c r="S456" s="32"/>
    </row>
    <row r="457" spans="2:19" x14ac:dyDescent="0.3">
      <c r="B457" t="str">
        <f>LEFT(Tabla3890134177220392[[#This Row],[Descripción del equipo]], FIND(" ", Tabla3890134177220392[[#This Row],[Descripción del equipo]] &amp; " ") - 1)</f>
        <v>Arnes</v>
      </c>
      <c r="C457" s="11" t="s">
        <v>174</v>
      </c>
      <c r="D457">
        <v>1</v>
      </c>
      <c r="E457" t="s">
        <v>160</v>
      </c>
      <c r="F457" s="92" t="s">
        <v>1056</v>
      </c>
      <c r="G457" s="15" t="str">
        <f>LEFT([1]modificado!$O$2, FIND(" ", [1]modificado!$O$2 &amp; " ") - 1)</f>
        <v>3M</v>
      </c>
      <c r="H457" s="47" t="str">
        <f>RIGHT([1]!Tabla2[[#This Row],[Marca y Modelo]], LEN([1]!Tabla2[[#This Row],[Marca y Modelo]]) - FIND(" ", [1]!Tabla2[[#This Row],[Marca y Modelo]]))</f>
        <v>10911F-LOGO</v>
      </c>
      <c r="I457" s="76"/>
      <c r="J457" s="76"/>
      <c r="K457" s="92" t="s">
        <v>4159</v>
      </c>
      <c r="L457" s="92" t="s">
        <v>3068</v>
      </c>
      <c r="M457" s="92" t="s">
        <v>1404</v>
      </c>
      <c r="N457" s="92" t="s">
        <v>1870</v>
      </c>
      <c r="O457" s="77"/>
      <c r="P457" s="92" t="s">
        <v>2533</v>
      </c>
      <c r="Q457" s="32"/>
      <c r="R457" s="48" t="s">
        <v>216</v>
      </c>
      <c r="S457" s="32"/>
    </row>
    <row r="458" spans="2:19" x14ac:dyDescent="0.3">
      <c r="B458" t="str">
        <f>LEFT(Tabla3890134177220392[[#This Row],[Descripción del equipo]], FIND(" ", Tabla3890134177220392[[#This Row],[Descripción del equipo]] &amp; " ") - 1)</f>
        <v>Arnes</v>
      </c>
      <c r="C458" s="11" t="s">
        <v>174</v>
      </c>
      <c r="D458">
        <v>1</v>
      </c>
      <c r="E458" t="s">
        <v>160</v>
      </c>
      <c r="F458" s="91" t="s">
        <v>1056</v>
      </c>
      <c r="G458" s="15" t="str">
        <f>LEFT([1]modificado!$O$2, FIND(" ", [1]modificado!$O$2 &amp; " ") - 1)</f>
        <v>3M</v>
      </c>
      <c r="H458" s="47" t="str">
        <f>RIGHT([1]!Tabla2[[#This Row],[Marca y Modelo]], LEN([1]!Tabla2[[#This Row],[Marca y Modelo]]) - FIND(" ", [1]!Tabla2[[#This Row],[Marca y Modelo]]))</f>
        <v>Space</v>
      </c>
      <c r="I458" s="76"/>
      <c r="J458" s="76"/>
      <c r="K458" s="91" t="s">
        <v>4159</v>
      </c>
      <c r="L458" s="91" t="s">
        <v>3069</v>
      </c>
      <c r="M458" s="91" t="s">
        <v>1404</v>
      </c>
      <c r="N458" s="91" t="s">
        <v>1871</v>
      </c>
      <c r="O458" s="77"/>
      <c r="P458" s="91" t="s">
        <v>2533</v>
      </c>
      <c r="Q458" s="32"/>
      <c r="R458" s="48" t="s">
        <v>216</v>
      </c>
      <c r="S458" s="32"/>
    </row>
    <row r="459" spans="2:19" x14ac:dyDescent="0.3">
      <c r="B459" t="str">
        <f>LEFT(Tabla3890134177220392[[#This Row],[Descripción del equipo]], FIND(" ", Tabla3890134177220392[[#This Row],[Descripción del equipo]] &amp; " ") - 1)</f>
        <v>Arnes</v>
      </c>
      <c r="C459" s="11" t="s">
        <v>174</v>
      </c>
      <c r="D459">
        <v>1</v>
      </c>
      <c r="E459" t="s">
        <v>160</v>
      </c>
      <c r="F459" s="92" t="s">
        <v>1056</v>
      </c>
      <c r="G459" s="15" t="str">
        <f>LEFT([1]modificado!$O$2, FIND(" ", [1]modificado!$O$2 &amp; " ") - 1)</f>
        <v>3M</v>
      </c>
      <c r="H459" s="47" t="str">
        <f>RIGHT([1]!Tabla2[[#This Row],[Marca y Modelo]], LEN([1]!Tabla2[[#This Row],[Marca y Modelo]]) - FIND(" ", [1]!Tabla2[[#This Row],[Marca y Modelo]]))</f>
        <v>Space</v>
      </c>
      <c r="I459" s="76"/>
      <c r="J459" s="76"/>
      <c r="K459" s="92" t="s">
        <v>4159</v>
      </c>
      <c r="L459" s="92" t="s">
        <v>3070</v>
      </c>
      <c r="M459" s="92" t="s">
        <v>1404</v>
      </c>
      <c r="N459" s="92" t="s">
        <v>1872</v>
      </c>
      <c r="O459" s="77"/>
      <c r="P459" s="92" t="s">
        <v>2533</v>
      </c>
      <c r="Q459" s="32"/>
      <c r="R459" s="48" t="s">
        <v>216</v>
      </c>
      <c r="S459" s="32"/>
    </row>
    <row r="460" spans="2:19" x14ac:dyDescent="0.3">
      <c r="B460" t="s">
        <v>4348</v>
      </c>
      <c r="C460" s="11" t="s">
        <v>174</v>
      </c>
      <c r="D460">
        <v>1</v>
      </c>
      <c r="E460" t="s">
        <v>160</v>
      </c>
      <c r="F460" s="91" t="s">
        <v>1060</v>
      </c>
      <c r="G460" s="15" t="str">
        <f>LEFT([1]modificado!$O$2, FIND(" ", [1]modificado!$O$2 &amp; " ") - 1)</f>
        <v>3M</v>
      </c>
      <c r="H460" s="47" t="str">
        <f>RIGHT([1]!Tabla2[[#This Row],[Marca y Modelo]], LEN([1]!Tabla2[[#This Row],[Marca y Modelo]]) - FIND(" ", [1]!Tabla2[[#This Row],[Marca y Modelo]]))</f>
        <v>209550-4-0241</v>
      </c>
      <c r="I460" s="76"/>
      <c r="J460" s="76"/>
      <c r="K460" s="91" t="s">
        <v>4160</v>
      </c>
      <c r="L460" s="91" t="s">
        <v>3071</v>
      </c>
      <c r="M460" s="91" t="s">
        <v>1404</v>
      </c>
      <c r="N460" s="91" t="s">
        <v>1873</v>
      </c>
      <c r="O460" s="77"/>
      <c r="P460" s="91" t="s">
        <v>2533</v>
      </c>
      <c r="Q460" s="32"/>
      <c r="R460" s="48" t="s">
        <v>216</v>
      </c>
      <c r="S460" s="32"/>
    </row>
    <row r="461" spans="2:19" x14ac:dyDescent="0.3">
      <c r="B461" t="s">
        <v>4348</v>
      </c>
      <c r="C461" s="11" t="s">
        <v>174</v>
      </c>
      <c r="D461">
        <v>1</v>
      </c>
      <c r="E461" t="s">
        <v>160</v>
      </c>
      <c r="F461" s="92" t="s">
        <v>1060</v>
      </c>
      <c r="G461" s="15" t="str">
        <f>LEFT([1]modificado!$O$2, FIND(" ", [1]modificado!$O$2 &amp; " ") - 1)</f>
        <v>3M</v>
      </c>
      <c r="H461" s="47" t="str">
        <f>RIGHT([1]!Tabla2[[#This Row],[Marca y Modelo]], LEN([1]!Tabla2[[#This Row],[Marca y Modelo]]) - FIND(" ", [1]!Tabla2[[#This Row],[Marca y Modelo]]))</f>
        <v>209550-4-0241</v>
      </c>
      <c r="I461" s="76"/>
      <c r="J461" s="76"/>
      <c r="K461" s="92" t="s">
        <v>4160</v>
      </c>
      <c r="L461" s="92" t="s">
        <v>3072</v>
      </c>
      <c r="M461" s="92" t="s">
        <v>1404</v>
      </c>
      <c r="N461" s="92" t="s">
        <v>1874</v>
      </c>
      <c r="O461" s="77"/>
      <c r="P461" s="92" t="s">
        <v>2533</v>
      </c>
      <c r="Q461" s="32"/>
      <c r="R461" s="48" t="s">
        <v>216</v>
      </c>
      <c r="S461" s="32"/>
    </row>
    <row r="462" spans="2:19" x14ac:dyDescent="0.3">
      <c r="B462" t="s">
        <v>4348</v>
      </c>
      <c r="C462" s="11" t="s">
        <v>174</v>
      </c>
      <c r="D462">
        <v>1</v>
      </c>
      <c r="E462" t="s">
        <v>160</v>
      </c>
      <c r="F462" s="91" t="s">
        <v>1070</v>
      </c>
      <c r="G462" s="15" t="str">
        <f>LEFT([1]modificado!$O$2, FIND(" ", [1]modificado!$O$2 &amp; " ") - 1)</f>
        <v>3M</v>
      </c>
      <c r="H462" s="47" t="str">
        <f>RIGHT([1]!Tabla2[[#This Row],[Marca y Modelo]], LEN([1]!Tabla2[[#This Row],[Marca y Modelo]]) - FIND(" ", [1]!Tabla2[[#This Row],[Marca y Modelo]]))</f>
        <v>1340161</v>
      </c>
      <c r="I462" s="76"/>
      <c r="J462" s="76"/>
      <c r="K462" s="91" t="s">
        <v>4160</v>
      </c>
      <c r="L462" s="91" t="s">
        <v>3073</v>
      </c>
      <c r="M462" s="91" t="s">
        <v>1404</v>
      </c>
      <c r="N462" s="91" t="s">
        <v>1875</v>
      </c>
      <c r="O462" s="77"/>
      <c r="P462" s="91" t="s">
        <v>2533</v>
      </c>
      <c r="Q462" s="32"/>
      <c r="R462" s="48" t="s">
        <v>216</v>
      </c>
      <c r="S462" s="32"/>
    </row>
    <row r="463" spans="2:19" x14ac:dyDescent="0.3">
      <c r="B463" t="str">
        <f>LEFT(Tabla3890134177220392[[#This Row],[Descripción del equipo]], FIND(" ", Tabla3890134177220392[[#This Row],[Descripción del equipo]] &amp; " ") - 1)</f>
        <v>Arnes</v>
      </c>
      <c r="C463" s="11" t="s">
        <v>174</v>
      </c>
      <c r="D463">
        <v>1</v>
      </c>
      <c r="E463" t="s">
        <v>160</v>
      </c>
      <c r="F463" s="92" t="s">
        <v>1068</v>
      </c>
      <c r="G463" s="15" t="str">
        <f>LEFT([1]modificado!$O$2, FIND(" ", [1]modificado!$O$2 &amp; " ") - 1)</f>
        <v>3M</v>
      </c>
      <c r="H463" s="47" t="str">
        <f>RIGHT([1]!Tabla2[[#This Row],[Marca y Modelo]], LEN([1]!Tabla2[[#This Row],[Marca y Modelo]]) - FIND(" ", [1]!Tabla2[[#This Row],[Marca y Modelo]]))</f>
        <v>452KN</v>
      </c>
      <c r="I463" s="76"/>
      <c r="J463" s="76"/>
      <c r="K463" s="92" t="s">
        <v>4161</v>
      </c>
      <c r="L463" s="92" t="s">
        <v>3074</v>
      </c>
      <c r="M463" s="92" t="s">
        <v>1404</v>
      </c>
      <c r="N463" s="92" t="s">
        <v>1876</v>
      </c>
      <c r="O463" s="77"/>
      <c r="P463" s="92" t="s">
        <v>2533</v>
      </c>
      <c r="Q463" s="32"/>
      <c r="R463" s="48" t="s">
        <v>216</v>
      </c>
      <c r="S463" s="32"/>
    </row>
    <row r="464" spans="2:19" x14ac:dyDescent="0.3">
      <c r="B464" t="s">
        <v>4348</v>
      </c>
      <c r="C464" s="11" t="s">
        <v>174</v>
      </c>
      <c r="D464">
        <v>1</v>
      </c>
      <c r="E464" t="s">
        <v>160</v>
      </c>
      <c r="F464" s="91" t="s">
        <v>1060</v>
      </c>
      <c r="G464" s="15" t="str">
        <f>LEFT([1]modificado!$O$2, FIND(" ", [1]modificado!$O$2 &amp; " ") - 1)</f>
        <v>3M</v>
      </c>
      <c r="H464" s="47" t="str">
        <f>RIGHT([1]!Tabla2[[#This Row],[Marca y Modelo]], LEN([1]!Tabla2[[#This Row],[Marca y Modelo]]) - FIND(" ", [1]!Tabla2[[#This Row],[Marca y Modelo]]))</f>
        <v>209550-4-0241</v>
      </c>
      <c r="I464" s="76"/>
      <c r="J464" s="76"/>
      <c r="K464" s="91" t="s">
        <v>4160</v>
      </c>
      <c r="L464" s="91" t="s">
        <v>3075</v>
      </c>
      <c r="M464" s="91" t="s">
        <v>1404</v>
      </c>
      <c r="N464" s="91" t="s">
        <v>1877</v>
      </c>
      <c r="O464" s="77"/>
      <c r="P464" s="91" t="s">
        <v>2533</v>
      </c>
      <c r="Q464" s="32"/>
      <c r="R464" s="48" t="s">
        <v>216</v>
      </c>
      <c r="S464" s="32"/>
    </row>
    <row r="465" spans="2:19" x14ac:dyDescent="0.3">
      <c r="B465" t="s">
        <v>4348</v>
      </c>
      <c r="C465" s="11" t="s">
        <v>174</v>
      </c>
      <c r="D465">
        <v>1</v>
      </c>
      <c r="E465" t="s">
        <v>160</v>
      </c>
      <c r="F465" s="92" t="s">
        <v>1060</v>
      </c>
      <c r="G465" s="15" t="str">
        <f>LEFT([1]modificado!$O$2, FIND(" ", [1]modificado!$O$2 &amp; " ") - 1)</f>
        <v>3M</v>
      </c>
      <c r="H465" s="47" t="str">
        <f>RIGHT([1]!Tabla2[[#This Row],[Marca y Modelo]], LEN([1]!Tabla2[[#This Row],[Marca y Modelo]]) - FIND(" ", [1]!Tabla2[[#This Row],[Marca y Modelo]]))</f>
        <v>209550-4-0241</v>
      </c>
      <c r="I465" s="76"/>
      <c r="J465" s="76"/>
      <c r="K465" s="92" t="s">
        <v>4160</v>
      </c>
      <c r="L465" s="92" t="s">
        <v>3076</v>
      </c>
      <c r="M465" s="92" t="s">
        <v>1404</v>
      </c>
      <c r="N465" s="92" t="s">
        <v>1878</v>
      </c>
      <c r="O465" s="77"/>
      <c r="P465" s="92" t="s">
        <v>2533</v>
      </c>
      <c r="Q465" s="32"/>
      <c r="R465" s="48" t="s">
        <v>216</v>
      </c>
      <c r="S465" s="32"/>
    </row>
    <row r="466" spans="2:19" x14ac:dyDescent="0.3">
      <c r="B466" t="s">
        <v>4348</v>
      </c>
      <c r="C466" s="11" t="s">
        <v>174</v>
      </c>
      <c r="D466">
        <v>1</v>
      </c>
      <c r="E466" t="s">
        <v>160</v>
      </c>
      <c r="F466" s="91" t="s">
        <v>1069</v>
      </c>
      <c r="G466" s="15" t="str">
        <f>LEFT([1]modificado!$O$2, FIND(" ", [1]modificado!$O$2 &amp; " ") - 1)</f>
        <v>3M</v>
      </c>
      <c r="H466" s="47"/>
      <c r="I466" s="76"/>
      <c r="J466" s="76"/>
      <c r="K466" s="91" t="s">
        <v>4160</v>
      </c>
      <c r="L466" s="91" t="s">
        <v>3077</v>
      </c>
      <c r="M466" s="91" t="s">
        <v>1404</v>
      </c>
      <c r="N466" s="91" t="s">
        <v>1879</v>
      </c>
      <c r="O466" s="77"/>
      <c r="P466" s="91" t="s">
        <v>2533</v>
      </c>
      <c r="Q466" s="32"/>
      <c r="R466" s="48" t="s">
        <v>216</v>
      </c>
      <c r="S466" s="32"/>
    </row>
    <row r="467" spans="2:19" x14ac:dyDescent="0.3">
      <c r="B467" t="s">
        <v>4348</v>
      </c>
      <c r="C467" s="11" t="s">
        <v>174</v>
      </c>
      <c r="D467">
        <v>1</v>
      </c>
      <c r="E467" t="s">
        <v>160</v>
      </c>
      <c r="F467" s="92" t="s">
        <v>1069</v>
      </c>
      <c r="G467" s="15" t="str">
        <f>LEFT([1]modificado!$O$2, FIND(" ", [1]modificado!$O$2 &amp; " ") - 1)</f>
        <v>3M</v>
      </c>
      <c r="H467" s="47" t="str">
        <f>RIGHT([1]!Tabla2[[#This Row],[Marca y Modelo]], LEN([1]!Tabla2[[#This Row],[Marca y Modelo]]) - FIND(" ", [1]!Tabla2[[#This Row],[Marca y Modelo]]))</f>
        <v>3531-D</v>
      </c>
      <c r="I467" s="76"/>
      <c r="J467" s="76"/>
      <c r="K467" s="92" t="s">
        <v>4160</v>
      </c>
      <c r="L467" s="92" t="s">
        <v>3078</v>
      </c>
      <c r="M467" s="92" t="s">
        <v>1404</v>
      </c>
      <c r="N467" s="92" t="s">
        <v>1880</v>
      </c>
      <c r="O467" s="77"/>
      <c r="P467" s="92" t="s">
        <v>2533</v>
      </c>
      <c r="Q467" s="32"/>
      <c r="R467" s="48" t="s">
        <v>216</v>
      </c>
      <c r="S467" s="32"/>
    </row>
    <row r="468" spans="2:19" x14ac:dyDescent="0.3">
      <c r="B468" t="s">
        <v>4348</v>
      </c>
      <c r="C468" s="11" t="s">
        <v>174</v>
      </c>
      <c r="D468">
        <v>1</v>
      </c>
      <c r="E468" t="s">
        <v>160</v>
      </c>
      <c r="F468" s="91" t="s">
        <v>1069</v>
      </c>
      <c r="G468" s="15" t="str">
        <f>LEFT([1]modificado!$O$2, FIND(" ", [1]modificado!$O$2 &amp; " ") - 1)</f>
        <v>3M</v>
      </c>
      <c r="H468" s="47"/>
      <c r="I468" s="76"/>
      <c r="J468" s="76"/>
      <c r="K468" s="91" t="s">
        <v>4160</v>
      </c>
      <c r="L468" s="91" t="s">
        <v>3079</v>
      </c>
      <c r="M468" s="91" t="s">
        <v>1404</v>
      </c>
      <c r="N468" s="91" t="s">
        <v>1881</v>
      </c>
      <c r="O468" s="77"/>
      <c r="P468" s="91" t="s">
        <v>2533</v>
      </c>
      <c r="Q468" s="32"/>
      <c r="R468" s="48" t="s">
        <v>216</v>
      </c>
      <c r="S468" s="32"/>
    </row>
    <row r="469" spans="2:19" x14ac:dyDescent="0.3">
      <c r="B469" t="s">
        <v>4348</v>
      </c>
      <c r="C469" s="11" t="s">
        <v>174</v>
      </c>
      <c r="D469">
        <v>1</v>
      </c>
      <c r="E469" t="s">
        <v>160</v>
      </c>
      <c r="F469" s="92" t="s">
        <v>1060</v>
      </c>
      <c r="G469" s="15" t="str">
        <f>LEFT([1]modificado!$O$2, FIND(" ", [1]modificado!$O$2 &amp; " ") - 1)</f>
        <v>3M</v>
      </c>
      <c r="H469" s="47" t="str">
        <f>RIGHT([1]!Tabla2[[#This Row],[Marca y Modelo]], LEN([1]!Tabla2[[#This Row],[Marca y Modelo]]) - FIND(" ", [1]!Tabla2[[#This Row],[Marca y Modelo]]))</f>
        <v>209550-4-0241</v>
      </c>
      <c r="I469" s="76"/>
      <c r="J469" s="76"/>
      <c r="K469" s="92" t="s">
        <v>4160</v>
      </c>
      <c r="L469" s="92" t="s">
        <v>3080</v>
      </c>
      <c r="M469" s="92" t="s">
        <v>1404</v>
      </c>
      <c r="N469" s="92" t="s">
        <v>1882</v>
      </c>
      <c r="O469" s="77"/>
      <c r="P469" s="92" t="s">
        <v>2533</v>
      </c>
      <c r="Q469" s="32"/>
      <c r="R469" s="48" t="s">
        <v>216</v>
      </c>
      <c r="S469" s="32"/>
    </row>
    <row r="470" spans="2:19" x14ac:dyDescent="0.3">
      <c r="B470" t="s">
        <v>4348</v>
      </c>
      <c r="C470" s="11" t="s">
        <v>174</v>
      </c>
      <c r="D470">
        <v>1</v>
      </c>
      <c r="E470" t="s">
        <v>160</v>
      </c>
      <c r="F470" s="91" t="s">
        <v>1060</v>
      </c>
      <c r="G470" s="15" t="str">
        <f>LEFT([1]modificado!$O$2, FIND(" ", [1]modificado!$O$2 &amp; " ") - 1)</f>
        <v>3M</v>
      </c>
      <c r="H470" s="47" t="str">
        <f>RIGHT([1]!Tabla2[[#This Row],[Marca y Modelo]], LEN([1]!Tabla2[[#This Row],[Marca y Modelo]]) - FIND(" ", [1]!Tabla2[[#This Row],[Marca y Modelo]]))</f>
        <v>209550-4-0241</v>
      </c>
      <c r="I470" s="76"/>
      <c r="J470" s="76"/>
      <c r="K470" s="91" t="s">
        <v>4160</v>
      </c>
      <c r="L470" s="91" t="s">
        <v>3081</v>
      </c>
      <c r="M470" s="91" t="s">
        <v>1404</v>
      </c>
      <c r="N470" s="91" t="s">
        <v>1883</v>
      </c>
      <c r="O470" s="77"/>
      <c r="P470" s="91" t="s">
        <v>2533</v>
      </c>
      <c r="Q470" s="32"/>
      <c r="R470" s="48" t="s">
        <v>216</v>
      </c>
      <c r="S470" s="32"/>
    </row>
    <row r="471" spans="2:19" x14ac:dyDescent="0.3">
      <c r="B471" t="str">
        <f>LEFT(Tabla3890134177220392[[#This Row],[Descripción del equipo]], FIND(" ", Tabla3890134177220392[[#This Row],[Descripción del equipo]] &amp; " ") - 1)</f>
        <v>Arnes</v>
      </c>
      <c r="C471" s="11" t="s">
        <v>174</v>
      </c>
      <c r="D471">
        <v>1</v>
      </c>
      <c r="E471" t="s">
        <v>160</v>
      </c>
      <c r="F471" s="92" t="s">
        <v>1056</v>
      </c>
      <c r="G471" s="15" t="str">
        <f>LEFT([1]modificado!$O$2, FIND(" ", [1]modificado!$O$2 &amp; " ") - 1)</f>
        <v>3M</v>
      </c>
      <c r="H471" s="47" t="str">
        <f>RIGHT([1]!Tabla2[[#This Row],[Marca y Modelo]], LEN([1]!Tabla2[[#This Row],[Marca y Modelo]]) - FIND(" ", [1]!Tabla2[[#This Row],[Marca y Modelo]]))</f>
        <v>Space</v>
      </c>
      <c r="I471" s="76"/>
      <c r="J471" s="76"/>
      <c r="K471" s="92" t="s">
        <v>4161</v>
      </c>
      <c r="L471" s="92" t="s">
        <v>3082</v>
      </c>
      <c r="M471" s="92" t="s">
        <v>1406</v>
      </c>
      <c r="N471" s="92" t="s">
        <v>1884</v>
      </c>
      <c r="O471" s="77"/>
      <c r="P471" s="92" t="s">
        <v>2533</v>
      </c>
      <c r="Q471" s="32"/>
      <c r="R471" s="48" t="s">
        <v>216</v>
      </c>
      <c r="S471" s="32"/>
    </row>
    <row r="472" spans="2:19" x14ac:dyDescent="0.3">
      <c r="B472" t="s">
        <v>4348</v>
      </c>
      <c r="C472" s="11" t="s">
        <v>174</v>
      </c>
      <c r="D472">
        <v>1</v>
      </c>
      <c r="E472" t="s">
        <v>160</v>
      </c>
      <c r="F472" s="91" t="s">
        <v>1057</v>
      </c>
      <c r="G472" s="15" t="str">
        <f>LEFT([1]modificado!$O$2, FIND(" ", [1]modificado!$O$2 &amp; " ") - 1)</f>
        <v>3M</v>
      </c>
      <c r="H472" s="47" t="str">
        <f>RIGHT([1]!Tabla2[[#This Row],[Marca y Modelo]], LEN([1]!Tabla2[[#This Row],[Marca y Modelo]]) - FIND(" ", [1]!Tabla2[[#This Row],[Marca y Modelo]]))</f>
        <v>191026A</v>
      </c>
      <c r="I472" s="76"/>
      <c r="J472" s="76"/>
      <c r="K472" s="91" t="s">
        <v>4160</v>
      </c>
      <c r="L472" s="91" t="s">
        <v>3083</v>
      </c>
      <c r="M472" s="91" t="s">
        <v>1405</v>
      </c>
      <c r="N472" s="91" t="s">
        <v>1885</v>
      </c>
      <c r="O472" s="77"/>
      <c r="P472" s="91" t="s">
        <v>2533</v>
      </c>
      <c r="Q472" s="32"/>
      <c r="R472" s="48" t="s">
        <v>216</v>
      </c>
      <c r="S472" s="32"/>
    </row>
    <row r="473" spans="2:19" x14ac:dyDescent="0.3">
      <c r="B473" t="s">
        <v>4348</v>
      </c>
      <c r="C473" s="11" t="s">
        <v>174</v>
      </c>
      <c r="D473">
        <v>1</v>
      </c>
      <c r="E473" t="s">
        <v>160</v>
      </c>
      <c r="F473" s="92" t="s">
        <v>1070</v>
      </c>
      <c r="G473" s="15" t="str">
        <f>LEFT([1]modificado!$O$2, FIND(" ", [1]modificado!$O$2 &amp; " ") - 1)</f>
        <v>3M</v>
      </c>
      <c r="H473" s="47" t="str">
        <f>RIGHT([1]!Tabla2[[#This Row],[Marca y Modelo]], LEN([1]!Tabla2[[#This Row],[Marca y Modelo]]) - FIND(" ", [1]!Tabla2[[#This Row],[Marca y Modelo]]))</f>
        <v>1340161</v>
      </c>
      <c r="I473" s="76"/>
      <c r="J473" s="76"/>
      <c r="K473" s="92" t="s">
        <v>4160</v>
      </c>
      <c r="L473" s="92" t="s">
        <v>3084</v>
      </c>
      <c r="M473" s="92" t="s">
        <v>1404</v>
      </c>
      <c r="N473" s="92" t="s">
        <v>1886</v>
      </c>
      <c r="O473" s="77"/>
      <c r="P473" s="92" t="s">
        <v>2533</v>
      </c>
      <c r="Q473" s="32"/>
      <c r="R473" s="48" t="s">
        <v>216</v>
      </c>
      <c r="S473" s="32"/>
    </row>
    <row r="474" spans="2:19" x14ac:dyDescent="0.3">
      <c r="B474" t="s">
        <v>4348</v>
      </c>
      <c r="C474" s="11" t="s">
        <v>174</v>
      </c>
      <c r="D474">
        <v>1</v>
      </c>
      <c r="E474" t="s">
        <v>160</v>
      </c>
      <c r="F474" s="91" t="s">
        <v>1070</v>
      </c>
      <c r="G474" s="15" t="str">
        <f>LEFT([1]modificado!$O$2, FIND(" ", [1]modificado!$O$2 &amp; " ") - 1)</f>
        <v>3M</v>
      </c>
      <c r="H474" s="47" t="str">
        <f>RIGHT([1]!Tabla2[[#This Row],[Marca y Modelo]], LEN([1]!Tabla2[[#This Row],[Marca y Modelo]]) - FIND(" ", [1]!Tabla2[[#This Row],[Marca y Modelo]]))</f>
        <v>4750/0241</v>
      </c>
      <c r="I474" s="76"/>
      <c r="J474" s="76"/>
      <c r="K474" s="91" t="s">
        <v>4160</v>
      </c>
      <c r="L474" s="91" t="s">
        <v>3085</v>
      </c>
      <c r="M474" s="91" t="s">
        <v>1404</v>
      </c>
      <c r="N474" s="91" t="s">
        <v>1887</v>
      </c>
      <c r="O474" s="77"/>
      <c r="P474" s="91" t="s">
        <v>2533</v>
      </c>
      <c r="Q474" s="32"/>
      <c r="R474" s="48" t="s">
        <v>216</v>
      </c>
      <c r="S474" s="32"/>
    </row>
    <row r="475" spans="2:19" x14ac:dyDescent="0.3">
      <c r="B475" t="str">
        <f>LEFT(Tabla3890134177220392[[#This Row],[Descripción del equipo]], FIND(" ", Tabla3890134177220392[[#This Row],[Descripción del equipo]] &amp; " ") - 1)</f>
        <v>Autoretractil</v>
      </c>
      <c r="C475" s="11" t="s">
        <v>174</v>
      </c>
      <c r="D475">
        <v>1</v>
      </c>
      <c r="E475" t="s">
        <v>160</v>
      </c>
      <c r="F475" s="92" t="s">
        <v>1058</v>
      </c>
      <c r="G475" s="15" t="str">
        <f>LEFT([1]modificado!$O$2, FIND(" ", [1]modificado!$O$2 &amp; " ") - 1)</f>
        <v>3M</v>
      </c>
      <c r="H475" s="47" t="str">
        <f>RIGHT([1]!Tabla2[[#This Row],[Marca y Modelo]], LEN([1]!Tabla2[[#This Row],[Marca y Modelo]]) - FIND(" ", [1]!Tabla2[[#This Row],[Marca y Modelo]]))</f>
        <v>3100414</v>
      </c>
      <c r="I475" s="76"/>
      <c r="J475" s="76"/>
      <c r="K475" s="92" t="s">
        <v>4162</v>
      </c>
      <c r="L475" s="92" t="s">
        <v>3086</v>
      </c>
      <c r="M475" s="92" t="s">
        <v>1404</v>
      </c>
      <c r="N475" s="92" t="s">
        <v>1888</v>
      </c>
      <c r="O475" s="77"/>
      <c r="P475" s="92" t="s">
        <v>2533</v>
      </c>
      <c r="Q475" s="32"/>
      <c r="R475" s="48" t="s">
        <v>216</v>
      </c>
      <c r="S475" s="32"/>
    </row>
    <row r="476" spans="2:19" x14ac:dyDescent="0.3">
      <c r="B476" t="str">
        <f>LEFT(Tabla3890134177220392[[#This Row],[Descripción del equipo]], FIND(" ", Tabla3890134177220392[[#This Row],[Descripción del equipo]] &amp; " ") - 1)</f>
        <v>Autoretractil</v>
      </c>
      <c r="C476" s="11" t="s">
        <v>174</v>
      </c>
      <c r="D476">
        <v>1</v>
      </c>
      <c r="E476" t="s">
        <v>160</v>
      </c>
      <c r="F476" s="91" t="s">
        <v>1058</v>
      </c>
      <c r="G476" s="15" t="str">
        <f>LEFT([1]modificado!$O$2, FIND(" ", [1]modificado!$O$2 &amp; " ") - 1)</f>
        <v>3M</v>
      </c>
      <c r="H476" s="47"/>
      <c r="I476" s="76"/>
      <c r="J476" s="76"/>
      <c r="K476" s="91" t="s">
        <v>4162</v>
      </c>
      <c r="L476" s="91" t="s">
        <v>3087</v>
      </c>
      <c r="M476" s="91" t="s">
        <v>1404</v>
      </c>
      <c r="N476" s="91" t="s">
        <v>1889</v>
      </c>
      <c r="O476" s="77"/>
      <c r="P476" s="91" t="s">
        <v>2533</v>
      </c>
      <c r="Q476" s="32"/>
      <c r="R476" s="48" t="s">
        <v>216</v>
      </c>
      <c r="S476" s="32"/>
    </row>
    <row r="477" spans="2:19" x14ac:dyDescent="0.3">
      <c r="B477" t="str">
        <f>LEFT(Tabla3890134177220392[[#This Row],[Descripción del equipo]], FIND(" ", Tabla3890134177220392[[#This Row],[Descripción del equipo]] &amp; " ") - 1)</f>
        <v>Autoretractil</v>
      </c>
      <c r="C477" s="11" t="s">
        <v>174</v>
      </c>
      <c r="D477">
        <v>1</v>
      </c>
      <c r="E477" t="s">
        <v>160</v>
      </c>
      <c r="F477" s="92" t="s">
        <v>1058</v>
      </c>
      <c r="G477" s="15" t="str">
        <f>LEFT([1]modificado!$O$2, FIND(" ", [1]modificado!$O$2 &amp; " ") - 1)</f>
        <v>3M</v>
      </c>
      <c r="H477" s="47" t="str">
        <f>RIGHT([1]!Tabla2[[#This Row],[Marca y Modelo]], LEN([1]!Tabla2[[#This Row],[Marca y Modelo]]) - FIND(" ", [1]!Tabla2[[#This Row],[Marca y Modelo]]))</f>
        <v>3100425</v>
      </c>
      <c r="I477" s="76"/>
      <c r="J477" s="76"/>
      <c r="K477" s="92" t="s">
        <v>4162</v>
      </c>
      <c r="L477" s="92" t="s">
        <v>3088</v>
      </c>
      <c r="M477" s="92" t="s">
        <v>1404</v>
      </c>
      <c r="N477" s="92" t="s">
        <v>1890</v>
      </c>
      <c r="O477" s="77"/>
      <c r="P477" s="92" t="s">
        <v>2533</v>
      </c>
      <c r="Q477" s="32"/>
      <c r="R477" s="48" t="s">
        <v>216</v>
      </c>
      <c r="S477" s="32"/>
    </row>
    <row r="478" spans="2:19" x14ac:dyDescent="0.3">
      <c r="B478" t="str">
        <f>LEFT(Tabla3890134177220392[[#This Row],[Descripción del equipo]], FIND(" ", Tabla3890134177220392[[#This Row],[Descripción del equipo]] &amp; " ") - 1)</f>
        <v>Autoretractil</v>
      </c>
      <c r="C478" s="11" t="s">
        <v>174</v>
      </c>
      <c r="D478">
        <v>1</v>
      </c>
      <c r="E478" t="s">
        <v>160</v>
      </c>
      <c r="F478" s="91" t="s">
        <v>1058</v>
      </c>
      <c r="G478" s="15" t="str">
        <f>LEFT([1]modificado!$O$2, FIND(" ", [1]modificado!$O$2 &amp; " ") - 1)</f>
        <v>3M</v>
      </c>
      <c r="H478" s="47" t="str">
        <f>RIGHT([1]!Tabla2[[#This Row],[Marca y Modelo]], LEN([1]!Tabla2[[#This Row],[Marca y Modelo]]) - FIND(" ", [1]!Tabla2[[#This Row],[Marca y Modelo]]))</f>
        <v>3101277</v>
      </c>
      <c r="I478" s="76"/>
      <c r="J478" s="76"/>
      <c r="K478" s="91" t="s">
        <v>4162</v>
      </c>
      <c r="L478" s="91" t="s">
        <v>3089</v>
      </c>
      <c r="M478" s="91" t="s">
        <v>1404</v>
      </c>
      <c r="N478" s="91" t="s">
        <v>1891</v>
      </c>
      <c r="O478" s="77"/>
      <c r="P478" s="91" t="s">
        <v>2533</v>
      </c>
      <c r="Q478" s="32"/>
      <c r="R478" s="48" t="s">
        <v>216</v>
      </c>
      <c r="S478" s="32"/>
    </row>
    <row r="479" spans="2:19" x14ac:dyDescent="0.3">
      <c r="B479" t="str">
        <f>LEFT(Tabla3890134177220392[[#This Row],[Descripción del equipo]], FIND(" ", Tabla3890134177220392[[#This Row],[Descripción del equipo]] &amp; " ") - 1)</f>
        <v>Retractil</v>
      </c>
      <c r="C479" s="11" t="s">
        <v>174</v>
      </c>
      <c r="D479">
        <v>1</v>
      </c>
      <c r="E479" t="s">
        <v>160</v>
      </c>
      <c r="F479" s="92" t="s">
        <v>18</v>
      </c>
      <c r="G479" s="15" t="str">
        <f>LEFT([1]modificado!$O$2, FIND(" ", [1]modificado!$O$2 &amp; " ") - 1)</f>
        <v>3M</v>
      </c>
      <c r="H479" s="47" t="str">
        <f>RIGHT([1]!Tabla2[[#This Row],[Marca y Modelo]], LEN([1]!Tabla2[[#This Row],[Marca y Modelo]]) - FIND(" ", [1]!Tabla2[[#This Row],[Marca y Modelo]]))</f>
        <v>3590500</v>
      </c>
      <c r="I479" s="76"/>
      <c r="J479" s="76"/>
      <c r="K479" s="92" t="s">
        <v>4163</v>
      </c>
      <c r="L479" s="92" t="s">
        <v>3090</v>
      </c>
      <c r="M479" s="92" t="s">
        <v>1404</v>
      </c>
      <c r="N479" s="92" t="s">
        <v>1892</v>
      </c>
      <c r="O479" s="77"/>
      <c r="P479" s="92" t="s">
        <v>2533</v>
      </c>
      <c r="Q479" s="32"/>
      <c r="R479" s="48" t="s">
        <v>216</v>
      </c>
      <c r="S479" s="32"/>
    </row>
    <row r="480" spans="2:19" x14ac:dyDescent="0.3">
      <c r="B480" t="str">
        <f>LEFT(Tabla3890134177220392[[#This Row],[Descripción del equipo]], FIND(" ", Tabla3890134177220392[[#This Row],[Descripción del equipo]] &amp; " ") - 1)</f>
        <v>Retractil</v>
      </c>
      <c r="C480" s="11" t="s">
        <v>174</v>
      </c>
      <c r="D480">
        <v>1</v>
      </c>
      <c r="E480" t="s">
        <v>160</v>
      </c>
      <c r="F480" s="91" t="s">
        <v>18</v>
      </c>
      <c r="G480" s="15" t="str">
        <f>LEFT([1]modificado!$O$2, FIND(" ", [1]modificado!$O$2 &amp; " ") - 1)</f>
        <v>3M</v>
      </c>
      <c r="H480" s="47" t="str">
        <f>RIGHT([1]!Tabla2[[#This Row],[Marca y Modelo]], LEN([1]!Tabla2[[#This Row],[Marca y Modelo]]) - FIND(" ", [1]!Tabla2[[#This Row],[Marca y Modelo]]))</f>
        <v>3590500</v>
      </c>
      <c r="I480" s="76"/>
      <c r="J480" s="76"/>
      <c r="K480" s="91" t="s">
        <v>4163</v>
      </c>
      <c r="L480" s="91" t="s">
        <v>3091</v>
      </c>
      <c r="M480" s="91" t="s">
        <v>1404</v>
      </c>
      <c r="N480" s="91" t="s">
        <v>1893</v>
      </c>
      <c r="O480" s="77"/>
      <c r="P480" s="91" t="s">
        <v>2533</v>
      </c>
      <c r="Q480" s="32"/>
      <c r="R480" s="48" t="s">
        <v>216</v>
      </c>
      <c r="S480" s="32"/>
    </row>
    <row r="481" spans="2:19" x14ac:dyDescent="0.3">
      <c r="B481" t="str">
        <f>LEFT(Tabla3890134177220392[[#This Row],[Descripción del equipo]], FIND(" ", Tabla3890134177220392[[#This Row],[Descripción del equipo]] &amp; " ") - 1)</f>
        <v>Retractil</v>
      </c>
      <c r="C481" s="11" t="s">
        <v>174</v>
      </c>
      <c r="D481">
        <v>1</v>
      </c>
      <c r="E481" t="s">
        <v>160</v>
      </c>
      <c r="F481" s="92" t="s">
        <v>18</v>
      </c>
      <c r="G481" s="15" t="str">
        <f>LEFT([1]modificado!$O$2, FIND(" ", [1]modificado!$O$2 &amp; " ") - 1)</f>
        <v>3M</v>
      </c>
      <c r="H481" s="47" t="str">
        <f>RIGHT([1]!Tabla2[[#This Row],[Marca y Modelo]], LEN([1]!Tabla2[[#This Row],[Marca y Modelo]]) - FIND(" ", [1]!Tabla2[[#This Row],[Marca y Modelo]]))</f>
        <v>3590500</v>
      </c>
      <c r="I481" s="76"/>
      <c r="J481" s="76"/>
      <c r="K481" s="92" t="s">
        <v>4163</v>
      </c>
      <c r="L481" s="92" t="s">
        <v>3092</v>
      </c>
      <c r="M481" s="92" t="s">
        <v>1404</v>
      </c>
      <c r="N481" s="92" t="s">
        <v>1894</v>
      </c>
      <c r="O481" s="77"/>
      <c r="P481" s="92" t="s">
        <v>2533</v>
      </c>
      <c r="Q481" s="32"/>
      <c r="R481" s="48" t="s">
        <v>216</v>
      </c>
      <c r="S481" s="32"/>
    </row>
    <row r="482" spans="2:19" x14ac:dyDescent="0.3">
      <c r="B482" t="str">
        <f>LEFT(Tabla3890134177220392[[#This Row],[Descripción del equipo]], FIND(" ", Tabla3890134177220392[[#This Row],[Descripción del equipo]] &amp; " ") - 1)</f>
        <v>Retractil</v>
      </c>
      <c r="C482" s="11" t="s">
        <v>174</v>
      </c>
      <c r="D482">
        <v>1</v>
      </c>
      <c r="E482" t="s">
        <v>160</v>
      </c>
      <c r="F482" s="91" t="s">
        <v>18</v>
      </c>
      <c r="G482" s="15" t="str">
        <f>LEFT([1]modificado!$O$2, FIND(" ", [1]modificado!$O$2 &amp; " ") - 1)</f>
        <v>3M</v>
      </c>
      <c r="H482" s="47" t="str">
        <f>RIGHT([1]!Tabla2[[#This Row],[Marca y Modelo]], LEN([1]!Tabla2[[#This Row],[Marca y Modelo]]) - FIND(" ", [1]!Tabla2[[#This Row],[Marca y Modelo]]))</f>
        <v>3590500</v>
      </c>
      <c r="I482" s="76"/>
      <c r="J482" s="76"/>
      <c r="K482" s="91" t="s">
        <v>4163</v>
      </c>
      <c r="L482" s="91" t="s">
        <v>3093</v>
      </c>
      <c r="M482" s="91" t="s">
        <v>1404</v>
      </c>
      <c r="N482" s="91" t="s">
        <v>1895</v>
      </c>
      <c r="O482" s="77"/>
      <c r="P482" s="91" t="s">
        <v>2533</v>
      </c>
      <c r="Q482" s="32"/>
      <c r="R482" s="48" t="s">
        <v>216</v>
      </c>
      <c r="S482" s="32"/>
    </row>
    <row r="483" spans="2:19" x14ac:dyDescent="0.3">
      <c r="B483" t="str">
        <f>LEFT(Tabla3890134177220392[[#This Row],[Descripción del equipo]], FIND(" ", Tabla3890134177220392[[#This Row],[Descripción del equipo]] &amp; " ") - 1)</f>
        <v>Autoretractil</v>
      </c>
      <c r="C483" s="11" t="s">
        <v>174</v>
      </c>
      <c r="D483">
        <v>1</v>
      </c>
      <c r="E483" t="s">
        <v>160</v>
      </c>
      <c r="F483" s="92" t="s">
        <v>1058</v>
      </c>
      <c r="G483" s="15" t="str">
        <f>LEFT([1]modificado!$O$2, FIND(" ", [1]modificado!$O$2 &amp; " ") - 1)</f>
        <v>3M</v>
      </c>
      <c r="H483" s="47" t="str">
        <f>RIGHT([1]!Tabla2[[#This Row],[Marca y Modelo]], LEN([1]!Tabla2[[#This Row],[Marca y Modelo]]) - FIND(" ", [1]!Tabla2[[#This Row],[Marca y Modelo]]))</f>
        <v>3100414</v>
      </c>
      <c r="I483" s="76"/>
      <c r="J483" s="76"/>
      <c r="K483" s="92" t="s">
        <v>4164</v>
      </c>
      <c r="L483" s="92" t="s">
        <v>3094</v>
      </c>
      <c r="M483" s="92" t="s">
        <v>1404</v>
      </c>
      <c r="N483" s="92" t="s">
        <v>1896</v>
      </c>
      <c r="O483" s="77"/>
      <c r="P483" s="92" t="s">
        <v>2533</v>
      </c>
      <c r="Q483" s="32"/>
      <c r="R483" s="48" t="s">
        <v>216</v>
      </c>
      <c r="S483" s="32"/>
    </row>
    <row r="484" spans="2:19" x14ac:dyDescent="0.3">
      <c r="B484" t="str">
        <f>LEFT(Tabla3890134177220392[[#This Row],[Descripción del equipo]], FIND(" ", Tabla3890134177220392[[#This Row],[Descripción del equipo]] &amp; " ") - 1)</f>
        <v>Autoretractil</v>
      </c>
      <c r="C484" s="11" t="s">
        <v>174</v>
      </c>
      <c r="D484">
        <v>1</v>
      </c>
      <c r="E484" t="s">
        <v>160</v>
      </c>
      <c r="F484" s="91" t="s">
        <v>1058</v>
      </c>
      <c r="G484" s="15" t="str">
        <f>LEFT([1]modificado!$O$2, FIND(" ", [1]modificado!$O$2 &amp; " ") - 1)</f>
        <v>3M</v>
      </c>
      <c r="H484" s="47"/>
      <c r="I484" s="76"/>
      <c r="J484" s="76"/>
      <c r="K484" s="91" t="s">
        <v>4164</v>
      </c>
      <c r="L484" s="91" t="s">
        <v>3095</v>
      </c>
      <c r="M484" s="91" t="s">
        <v>1404</v>
      </c>
      <c r="N484" s="91" t="s">
        <v>1897</v>
      </c>
      <c r="O484" s="77"/>
      <c r="P484" s="91" t="s">
        <v>2533</v>
      </c>
      <c r="Q484" s="32"/>
      <c r="R484" s="48" t="s">
        <v>216</v>
      </c>
      <c r="S484" s="32"/>
    </row>
    <row r="485" spans="2:19" x14ac:dyDescent="0.3">
      <c r="B485" t="str">
        <f>LEFT(Tabla3890134177220392[[#This Row],[Descripción del equipo]], FIND(" ", Tabla3890134177220392[[#This Row],[Descripción del equipo]] &amp; " ") - 1)</f>
        <v>Autoretractil</v>
      </c>
      <c r="C485" s="11" t="s">
        <v>174</v>
      </c>
      <c r="D485">
        <v>1</v>
      </c>
      <c r="E485" t="s">
        <v>160</v>
      </c>
      <c r="F485" s="92" t="s">
        <v>1058</v>
      </c>
      <c r="G485" s="15" t="str">
        <f>LEFT([1]modificado!$O$2, FIND(" ", [1]modificado!$O$2 &amp; " ") - 1)</f>
        <v>3M</v>
      </c>
      <c r="H485" s="47"/>
      <c r="I485" s="76"/>
      <c r="J485" s="76"/>
      <c r="K485" s="92" t="s">
        <v>4164</v>
      </c>
      <c r="L485" s="92" t="s">
        <v>3096</v>
      </c>
      <c r="M485" s="92" t="s">
        <v>1404</v>
      </c>
      <c r="N485" s="92" t="s">
        <v>1898</v>
      </c>
      <c r="O485" s="77"/>
      <c r="P485" s="92" t="s">
        <v>2533</v>
      </c>
      <c r="Q485" s="32"/>
      <c r="R485" s="48" t="s">
        <v>216</v>
      </c>
      <c r="S485" s="32"/>
    </row>
    <row r="486" spans="2:19" x14ac:dyDescent="0.3">
      <c r="B486" t="str">
        <f>LEFT(Tabla3890134177220392[[#This Row],[Descripción del equipo]], FIND(" ", Tabla3890134177220392[[#This Row],[Descripción del equipo]] &amp; " ") - 1)</f>
        <v>Autoretractil</v>
      </c>
      <c r="C486" s="11" t="s">
        <v>174</v>
      </c>
      <c r="D486">
        <v>1</v>
      </c>
      <c r="E486" t="s">
        <v>160</v>
      </c>
      <c r="F486" s="91" t="s">
        <v>1058</v>
      </c>
      <c r="G486" s="15" t="str">
        <f>LEFT([1]modificado!$O$2, FIND(" ", [1]modificado!$O$2 &amp; " ") - 1)</f>
        <v>3M</v>
      </c>
      <c r="H486" s="47" t="str">
        <f>RIGHT([1]!Tabla2[[#This Row],[Marca y Modelo]], LEN([1]!Tabla2[[#This Row],[Marca y Modelo]]) - FIND(" ", [1]!Tabla2[[#This Row],[Marca y Modelo]]))</f>
        <v>3100425</v>
      </c>
      <c r="I486" s="76"/>
      <c r="J486" s="76"/>
      <c r="K486" s="91" t="s">
        <v>4164</v>
      </c>
      <c r="L486" s="91" t="s">
        <v>3097</v>
      </c>
      <c r="M486" s="91" t="s">
        <v>1404</v>
      </c>
      <c r="N486" s="91" t="s">
        <v>1899</v>
      </c>
      <c r="O486" s="77"/>
      <c r="P486" s="91" t="s">
        <v>2533</v>
      </c>
      <c r="Q486" s="32"/>
      <c r="R486" s="48" t="s">
        <v>216</v>
      </c>
      <c r="S486" s="32"/>
    </row>
    <row r="487" spans="2:19" x14ac:dyDescent="0.3">
      <c r="B487" t="str">
        <f>LEFT(Tabla3890134177220392[[#This Row],[Descripción del equipo]], FIND(" ", Tabla3890134177220392[[#This Row],[Descripción del equipo]] &amp; " ") - 1)</f>
        <v>Autoretractil</v>
      </c>
      <c r="C487" s="11" t="s">
        <v>174</v>
      </c>
      <c r="D487">
        <v>1</v>
      </c>
      <c r="E487" t="s">
        <v>160</v>
      </c>
      <c r="F487" s="92" t="s">
        <v>1058</v>
      </c>
      <c r="G487" s="15" t="str">
        <f>LEFT([1]modificado!$O$2, FIND(" ", [1]modificado!$O$2 &amp; " ") - 1)</f>
        <v>3M</v>
      </c>
      <c r="H487" s="47"/>
      <c r="I487" s="76"/>
      <c r="J487" s="76"/>
      <c r="K487" s="92" t="s">
        <v>4164</v>
      </c>
      <c r="L487" s="92" t="s">
        <v>3098</v>
      </c>
      <c r="M487" s="92" t="s">
        <v>1404</v>
      </c>
      <c r="N487" s="92" t="s">
        <v>1900</v>
      </c>
      <c r="O487" s="77"/>
      <c r="P487" s="92" t="s">
        <v>2533</v>
      </c>
      <c r="Q487" s="32"/>
      <c r="R487" s="48" t="s">
        <v>216</v>
      </c>
      <c r="S487" s="32"/>
    </row>
    <row r="488" spans="2:19" x14ac:dyDescent="0.3">
      <c r="B488" t="str">
        <f>LEFT(Tabla3890134177220392[[#This Row],[Descripción del equipo]], FIND(" ", Tabla3890134177220392[[#This Row],[Descripción del equipo]] &amp; " ") - 1)</f>
        <v>Autoretractil</v>
      </c>
      <c r="C488" s="11" t="s">
        <v>174</v>
      </c>
      <c r="D488">
        <v>1</v>
      </c>
      <c r="E488" t="s">
        <v>160</v>
      </c>
      <c r="F488" s="91" t="s">
        <v>1058</v>
      </c>
      <c r="G488" s="15" t="str">
        <f>LEFT([1]modificado!$O$2, FIND(" ", [1]modificado!$O$2 &amp; " ") - 1)</f>
        <v>3M</v>
      </c>
      <c r="H488" s="47" t="str">
        <f>RIGHT([1]!Tabla2[[#This Row],[Marca y Modelo]], LEN([1]!Tabla2[[#This Row],[Marca y Modelo]]) - FIND(" ", [1]!Tabla2[[#This Row],[Marca y Modelo]]))</f>
        <v>3100414</v>
      </c>
      <c r="I488" s="76"/>
      <c r="J488" s="76"/>
      <c r="K488" s="91" t="s">
        <v>4164</v>
      </c>
      <c r="L488" s="91" t="s">
        <v>3099</v>
      </c>
      <c r="M488" s="91" t="s">
        <v>1404</v>
      </c>
      <c r="N488" s="91" t="s">
        <v>1901</v>
      </c>
      <c r="O488" s="77"/>
      <c r="P488" s="91" t="s">
        <v>2533</v>
      </c>
      <c r="Q488" s="32"/>
      <c r="R488" s="48" t="s">
        <v>216</v>
      </c>
      <c r="S488" s="32"/>
    </row>
    <row r="489" spans="2:19" x14ac:dyDescent="0.3">
      <c r="B489" t="str">
        <f>LEFT(Tabla3890134177220392[[#This Row],[Descripción del equipo]], FIND(" ", Tabla3890134177220392[[#This Row],[Descripción del equipo]] &amp; " ") - 1)</f>
        <v>Retractil</v>
      </c>
      <c r="C489" s="11" t="s">
        <v>174</v>
      </c>
      <c r="D489">
        <v>1</v>
      </c>
      <c r="E489" t="s">
        <v>160</v>
      </c>
      <c r="F489" s="92" t="s">
        <v>18</v>
      </c>
      <c r="G489" s="15" t="str">
        <f>LEFT([1]modificado!$O$2, FIND(" ", [1]modificado!$O$2 &amp; " ") - 1)</f>
        <v>3M</v>
      </c>
      <c r="H489" s="47"/>
      <c r="I489" s="76"/>
      <c r="J489" s="76"/>
      <c r="K489" s="92" t="s">
        <v>4165</v>
      </c>
      <c r="L489" s="92" t="s">
        <v>3100</v>
      </c>
      <c r="M489" s="92" t="s">
        <v>1404</v>
      </c>
      <c r="N489" s="92" t="s">
        <v>1902</v>
      </c>
      <c r="O489" s="77"/>
      <c r="P489" s="92" t="s">
        <v>2533</v>
      </c>
      <c r="Q489" s="32"/>
      <c r="R489" s="48" t="s">
        <v>216</v>
      </c>
      <c r="S489" s="32"/>
    </row>
    <row r="490" spans="2:19" x14ac:dyDescent="0.3">
      <c r="B490" t="str">
        <f>LEFT(Tabla3890134177220392[[#This Row],[Descripción del equipo]], FIND(" ", Tabla3890134177220392[[#This Row],[Descripción del equipo]] &amp; " ") - 1)</f>
        <v>Retractil</v>
      </c>
      <c r="C490" s="11" t="s">
        <v>174</v>
      </c>
      <c r="D490">
        <v>1</v>
      </c>
      <c r="E490" t="s">
        <v>160</v>
      </c>
      <c r="F490" s="91" t="s">
        <v>18</v>
      </c>
      <c r="G490" s="15" t="str">
        <f>LEFT([1]modificado!$O$2, FIND(" ", [1]modificado!$O$2 &amp; " ") - 1)</f>
        <v>3M</v>
      </c>
      <c r="H490" s="47" t="str">
        <f>RIGHT([1]!Tabla2[[#This Row],[Marca y Modelo]], LEN([1]!Tabla2[[#This Row],[Marca y Modelo]]) - FIND(" ", [1]!Tabla2[[#This Row],[Marca y Modelo]]))</f>
        <v>3504430</v>
      </c>
      <c r="I490" s="76"/>
      <c r="J490" s="76"/>
      <c r="K490" s="91" t="s">
        <v>4165</v>
      </c>
      <c r="L490" s="91" t="s">
        <v>3101</v>
      </c>
      <c r="M490" s="91" t="s">
        <v>1404</v>
      </c>
      <c r="N490" s="91" t="s">
        <v>1903</v>
      </c>
      <c r="O490" s="77"/>
      <c r="P490" s="91" t="s">
        <v>2533</v>
      </c>
      <c r="Q490" s="32"/>
      <c r="R490" s="48" t="s">
        <v>216</v>
      </c>
      <c r="S490" s="32"/>
    </row>
    <row r="491" spans="2:19" x14ac:dyDescent="0.3">
      <c r="B491" t="str">
        <f>LEFT(Tabla3890134177220392[[#This Row],[Descripción del equipo]], FIND(" ", Tabla3890134177220392[[#This Row],[Descripción del equipo]] &amp; " ") - 1)</f>
        <v>Retractil</v>
      </c>
      <c r="C491" s="11" t="s">
        <v>174</v>
      </c>
      <c r="D491">
        <v>1</v>
      </c>
      <c r="E491" t="s">
        <v>160</v>
      </c>
      <c r="F491" s="92" t="s">
        <v>18</v>
      </c>
      <c r="G491" s="15" t="str">
        <f>LEFT([1]modificado!$O$2, FIND(" ", [1]modificado!$O$2 &amp; " ") - 1)</f>
        <v>3M</v>
      </c>
      <c r="H491" s="47" t="str">
        <f>RIGHT([1]!Tabla2[[#This Row],[Marca y Modelo]], LEN([1]!Tabla2[[#This Row],[Marca y Modelo]]) - FIND(" ", [1]!Tabla2[[#This Row],[Marca y Modelo]]))</f>
        <v>3504430</v>
      </c>
      <c r="I491" s="76"/>
      <c r="J491" s="76"/>
      <c r="K491" s="92" t="s">
        <v>4165</v>
      </c>
      <c r="L491" s="92" t="s">
        <v>3102</v>
      </c>
      <c r="M491" s="92" t="s">
        <v>1404</v>
      </c>
      <c r="N491" s="92" t="s">
        <v>1904</v>
      </c>
      <c r="O491" s="77"/>
      <c r="P491" s="92" t="s">
        <v>2533</v>
      </c>
      <c r="Q491" s="32"/>
      <c r="R491" s="48" t="s">
        <v>216</v>
      </c>
      <c r="S491" s="32"/>
    </row>
    <row r="492" spans="2:19" x14ac:dyDescent="0.3">
      <c r="B492" t="str">
        <f>LEFT(Tabla3890134177220392[[#This Row],[Descripción del equipo]], FIND(" ", Tabla3890134177220392[[#This Row],[Descripción del equipo]] &amp; " ") - 1)</f>
        <v>Retractil</v>
      </c>
      <c r="C492" s="11" t="s">
        <v>174</v>
      </c>
      <c r="D492">
        <v>1</v>
      </c>
      <c r="E492" t="s">
        <v>160</v>
      </c>
      <c r="F492" s="91" t="s">
        <v>18</v>
      </c>
      <c r="G492" s="15" t="str">
        <f>LEFT([1]modificado!$O$2, FIND(" ", [1]modificado!$O$2 &amp; " ") - 1)</f>
        <v>3M</v>
      </c>
      <c r="H492" s="47" t="str">
        <f>RIGHT([1]!Tabla2[[#This Row],[Marca y Modelo]], LEN([1]!Tabla2[[#This Row],[Marca y Modelo]]) - FIND(" ", [1]!Tabla2[[#This Row],[Marca y Modelo]]))</f>
        <v>3504433</v>
      </c>
      <c r="I492" s="76"/>
      <c r="J492" s="76"/>
      <c r="K492" s="91" t="s">
        <v>4165</v>
      </c>
      <c r="L492" s="91" t="s">
        <v>3103</v>
      </c>
      <c r="M492" s="91" t="s">
        <v>1404</v>
      </c>
      <c r="N492" s="91" t="s">
        <v>1905</v>
      </c>
      <c r="O492" s="77"/>
      <c r="P492" s="91" t="s">
        <v>2533</v>
      </c>
      <c r="Q492" s="32"/>
      <c r="R492" s="48" t="s">
        <v>216</v>
      </c>
      <c r="S492" s="32"/>
    </row>
    <row r="493" spans="2:19" x14ac:dyDescent="0.3">
      <c r="B493" t="str">
        <f>LEFT(Tabla3890134177220392[[#This Row],[Descripción del equipo]], FIND(" ", Tabla3890134177220392[[#This Row],[Descripción del equipo]] &amp; " ") - 1)</f>
        <v>Retractil</v>
      </c>
      <c r="C493" s="11" t="s">
        <v>174</v>
      </c>
      <c r="D493">
        <v>1</v>
      </c>
      <c r="E493" t="s">
        <v>160</v>
      </c>
      <c r="F493" s="92" t="s">
        <v>18</v>
      </c>
      <c r="G493" s="15" t="str">
        <f>LEFT([1]modificado!$O$2, FIND(" ", [1]modificado!$O$2 &amp; " ") - 1)</f>
        <v>3M</v>
      </c>
      <c r="H493" s="47" t="str">
        <f>RIGHT([1]!Tabla2[[#This Row],[Marca y Modelo]], LEN([1]!Tabla2[[#This Row],[Marca y Modelo]]) - FIND(" ", [1]!Tabla2[[#This Row],[Marca y Modelo]]))</f>
        <v>3504430</v>
      </c>
      <c r="I493" s="76"/>
      <c r="J493" s="76"/>
      <c r="K493" s="92" t="s">
        <v>4165</v>
      </c>
      <c r="L493" s="92" t="s">
        <v>3104</v>
      </c>
      <c r="M493" s="92" t="s">
        <v>1404</v>
      </c>
      <c r="N493" s="92" t="s">
        <v>1906</v>
      </c>
      <c r="O493" s="77"/>
      <c r="P493" s="92" t="s">
        <v>2533</v>
      </c>
      <c r="Q493" s="32"/>
      <c r="R493" s="48" t="s">
        <v>216</v>
      </c>
      <c r="S493" s="32"/>
    </row>
    <row r="494" spans="2:19" x14ac:dyDescent="0.3">
      <c r="B494" t="str">
        <f>LEFT(Tabla3890134177220392[[#This Row],[Descripción del equipo]], FIND(" ", Tabla3890134177220392[[#This Row],[Descripción del equipo]] &amp; " ") - 1)</f>
        <v>Autoretractil</v>
      </c>
      <c r="C494" s="11" t="s">
        <v>174</v>
      </c>
      <c r="D494">
        <v>1</v>
      </c>
      <c r="E494" t="s">
        <v>160</v>
      </c>
      <c r="F494" s="91" t="s">
        <v>1058</v>
      </c>
      <c r="G494" s="15" t="str">
        <f>LEFT([1]modificado!$O$2, FIND(" ", [1]modificado!$O$2 &amp; " ") - 1)</f>
        <v>3M</v>
      </c>
      <c r="H494" s="47" t="str">
        <f>RIGHT([1]!Tabla2[[#This Row],[Marca y Modelo]], LEN([1]!Tabla2[[#This Row],[Marca y Modelo]]) - FIND(" ", [1]!Tabla2[[#This Row],[Marca y Modelo]]))</f>
        <v>3101277</v>
      </c>
      <c r="I494" s="76"/>
      <c r="J494" s="76"/>
      <c r="K494" s="91" t="s">
        <v>4164</v>
      </c>
      <c r="L494" s="91" t="s">
        <v>3105</v>
      </c>
      <c r="M494" s="91" t="s">
        <v>1404</v>
      </c>
      <c r="N494" s="91" t="s">
        <v>1907</v>
      </c>
      <c r="O494" s="77"/>
      <c r="P494" s="91" t="s">
        <v>2533</v>
      </c>
      <c r="Q494" s="32"/>
      <c r="R494" s="48" t="s">
        <v>216</v>
      </c>
      <c r="S494" s="32"/>
    </row>
    <row r="495" spans="2:19" x14ac:dyDescent="0.3">
      <c r="B495" t="str">
        <f>LEFT(Tabla3890134177220392[[#This Row],[Descripción del equipo]], FIND(" ", Tabla3890134177220392[[#This Row],[Descripción del equipo]] &amp; " ") - 1)</f>
        <v>Autoretractil</v>
      </c>
      <c r="C495" s="11" t="s">
        <v>174</v>
      </c>
      <c r="D495">
        <v>1</v>
      </c>
      <c r="E495" t="s">
        <v>160</v>
      </c>
      <c r="F495" s="92" t="s">
        <v>1058</v>
      </c>
      <c r="G495" s="15" t="str">
        <f>LEFT([1]modificado!$O$2, FIND(" ", [1]modificado!$O$2 &amp; " ") - 1)</f>
        <v>3M</v>
      </c>
      <c r="H495" s="47" t="str">
        <f>RIGHT([1]!Tabla2[[#This Row],[Marca y Modelo]], LEN([1]!Tabla2[[#This Row],[Marca y Modelo]]) - FIND(" ", [1]!Tabla2[[#This Row],[Marca y Modelo]]))</f>
        <v>3100414</v>
      </c>
      <c r="I495" s="76"/>
      <c r="J495" s="76"/>
      <c r="K495" s="92" t="s">
        <v>4164</v>
      </c>
      <c r="L495" s="92" t="s">
        <v>3106</v>
      </c>
      <c r="M495" s="92" t="s">
        <v>1404</v>
      </c>
      <c r="N495" s="92" t="s">
        <v>1908</v>
      </c>
      <c r="O495" s="77"/>
      <c r="P495" s="92" t="s">
        <v>2533</v>
      </c>
      <c r="Q495" s="32"/>
      <c r="R495" s="48" t="s">
        <v>216</v>
      </c>
      <c r="S495" s="32"/>
    </row>
    <row r="496" spans="2:19" x14ac:dyDescent="0.3">
      <c r="B496" t="str">
        <f>LEFT(Tabla3890134177220392[[#This Row],[Descripción del equipo]], FIND(" ", Tabla3890134177220392[[#This Row],[Descripción del equipo]] &amp; " ") - 1)</f>
        <v>Autoretractil</v>
      </c>
      <c r="C496" s="11" t="s">
        <v>174</v>
      </c>
      <c r="D496">
        <v>1</v>
      </c>
      <c r="E496" t="s">
        <v>160</v>
      </c>
      <c r="F496" s="91" t="s">
        <v>1058</v>
      </c>
      <c r="G496" s="15" t="str">
        <f>LEFT([1]modificado!$O$2, FIND(" ", [1]modificado!$O$2 &amp; " ") - 1)</f>
        <v>3M</v>
      </c>
      <c r="H496" s="47" t="str">
        <f>RIGHT([1]!Tabla2[[#This Row],[Marca y Modelo]], LEN([1]!Tabla2[[#This Row],[Marca y Modelo]]) - FIND(" ", [1]!Tabla2[[#This Row],[Marca y Modelo]]))</f>
        <v>3100414</v>
      </c>
      <c r="I496" s="76"/>
      <c r="J496" s="76"/>
      <c r="K496" s="91" t="s">
        <v>4164</v>
      </c>
      <c r="L496" s="91" t="s">
        <v>3107</v>
      </c>
      <c r="M496" s="91" t="s">
        <v>1404</v>
      </c>
      <c r="N496" s="91" t="s">
        <v>1909</v>
      </c>
      <c r="O496" s="77"/>
      <c r="P496" s="91" t="s">
        <v>2533</v>
      </c>
      <c r="Q496" s="32"/>
      <c r="R496" s="48" t="s">
        <v>216</v>
      </c>
      <c r="S496" s="32"/>
    </row>
    <row r="497" spans="2:19" x14ac:dyDescent="0.3">
      <c r="B497" t="str">
        <f>LEFT(Tabla3890134177220392[[#This Row],[Descripción del equipo]], FIND(" ", Tabla3890134177220392[[#This Row],[Descripción del equipo]] &amp; " ") - 1)</f>
        <v>Autoretractil</v>
      </c>
      <c r="C497" s="11" t="s">
        <v>174</v>
      </c>
      <c r="D497">
        <v>1</v>
      </c>
      <c r="E497" t="s">
        <v>160</v>
      </c>
      <c r="F497" s="92" t="s">
        <v>1058</v>
      </c>
      <c r="G497" s="15" t="str">
        <f>LEFT([1]modificado!$O$2, FIND(" ", [1]modificado!$O$2 &amp; " ") - 1)</f>
        <v>3M</v>
      </c>
      <c r="H497" s="47"/>
      <c r="I497" s="76"/>
      <c r="J497" s="76"/>
      <c r="K497" s="92" t="s">
        <v>4164</v>
      </c>
      <c r="L497" s="92" t="s">
        <v>3108</v>
      </c>
      <c r="M497" s="92" t="s">
        <v>1404</v>
      </c>
      <c r="N497" s="92" t="s">
        <v>1910</v>
      </c>
      <c r="O497" s="77"/>
      <c r="P497" s="92" t="s">
        <v>2533</v>
      </c>
      <c r="Q497" s="32"/>
      <c r="R497" s="48" t="s">
        <v>216</v>
      </c>
      <c r="S497" s="32"/>
    </row>
    <row r="498" spans="2:19" x14ac:dyDescent="0.3">
      <c r="B498" t="str">
        <f>LEFT(Tabla3890134177220392[[#This Row],[Descripción del equipo]], FIND(" ", Tabla3890134177220392[[#This Row],[Descripción del equipo]] &amp; " ") - 1)</f>
        <v>Retractil</v>
      </c>
      <c r="C498" s="11" t="s">
        <v>174</v>
      </c>
      <c r="D498">
        <v>1</v>
      </c>
      <c r="E498" t="s">
        <v>160</v>
      </c>
      <c r="F498" s="91" t="s">
        <v>18</v>
      </c>
      <c r="G498" s="15" t="str">
        <f>LEFT([1]modificado!$O$2, FIND(" ", [1]modificado!$O$2 &amp; " ") - 1)</f>
        <v>3M</v>
      </c>
      <c r="H498" s="47" t="str">
        <f>RIGHT([1]!Tabla2[[#This Row],[Marca y Modelo]], LEN([1]!Tabla2[[#This Row],[Marca y Modelo]]) - FIND(" ", [1]!Tabla2[[#This Row],[Marca y Modelo]]))</f>
        <v>3504430</v>
      </c>
      <c r="I498" s="76"/>
      <c r="J498" s="76"/>
      <c r="K498" s="91" t="s">
        <v>4165</v>
      </c>
      <c r="L498" s="91" t="s">
        <v>3109</v>
      </c>
      <c r="M498" s="91" t="s">
        <v>1404</v>
      </c>
      <c r="N498" s="91" t="s">
        <v>1911</v>
      </c>
      <c r="O498" s="77"/>
      <c r="P498" s="91" t="s">
        <v>2533</v>
      </c>
      <c r="Q498" s="32"/>
      <c r="R498" s="48" t="s">
        <v>216</v>
      </c>
      <c r="S498" s="32"/>
    </row>
    <row r="499" spans="2:19" x14ac:dyDescent="0.3">
      <c r="B499" t="str">
        <f>LEFT(Tabla3890134177220392[[#This Row],[Descripción del equipo]], FIND(" ", Tabla3890134177220392[[#This Row],[Descripción del equipo]] &amp; " ") - 1)</f>
        <v>Retractil</v>
      </c>
      <c r="C499" s="11" t="s">
        <v>174</v>
      </c>
      <c r="D499">
        <v>1</v>
      </c>
      <c r="E499" t="s">
        <v>160</v>
      </c>
      <c r="F499" s="92" t="s">
        <v>18</v>
      </c>
      <c r="G499" s="15" t="str">
        <f>LEFT([1]modificado!$O$2, FIND(" ", [1]modificado!$O$2 &amp; " ") - 1)</f>
        <v>3M</v>
      </c>
      <c r="H499" s="47"/>
      <c r="I499" s="76"/>
      <c r="J499" s="76"/>
      <c r="K499" s="92" t="s">
        <v>4165</v>
      </c>
      <c r="L499" s="92" t="s">
        <v>3110</v>
      </c>
      <c r="M499" s="92" t="s">
        <v>1404</v>
      </c>
      <c r="N499" s="92" t="s">
        <v>1912</v>
      </c>
      <c r="O499" s="77"/>
      <c r="P499" s="92" t="s">
        <v>2533</v>
      </c>
      <c r="Q499" s="32"/>
      <c r="R499" s="48" t="s">
        <v>216</v>
      </c>
      <c r="S499" s="32"/>
    </row>
    <row r="500" spans="2:19" x14ac:dyDescent="0.3">
      <c r="B500" t="s">
        <v>4348</v>
      </c>
      <c r="C500" s="11" t="s">
        <v>174</v>
      </c>
      <c r="D500">
        <v>1</v>
      </c>
      <c r="E500" t="s">
        <v>160</v>
      </c>
      <c r="F500" s="91" t="s">
        <v>1083</v>
      </c>
      <c r="G500" s="15" t="str">
        <f>LEFT([1]modificado!$O$2, FIND(" ", [1]modificado!$O$2 &amp; " ") - 1)</f>
        <v>3M</v>
      </c>
      <c r="H500" s="47" t="str">
        <f>RIGHT([1]!Tabla2[[#This Row],[Marca y Modelo]], LEN([1]!Tabla2[[#This Row],[Marca y Modelo]]) - FIND(" ", [1]!Tabla2[[#This Row],[Marca y Modelo]]))</f>
        <v>3612-D-0241</v>
      </c>
      <c r="I500" s="76"/>
      <c r="J500" s="76"/>
      <c r="K500" s="91" t="s">
        <v>4166</v>
      </c>
      <c r="L500" s="91" t="s">
        <v>3111</v>
      </c>
      <c r="M500" s="91" t="s">
        <v>1404</v>
      </c>
      <c r="N500" s="91" t="s">
        <v>1913</v>
      </c>
      <c r="O500" s="77"/>
      <c r="P500" s="91" t="s">
        <v>2533</v>
      </c>
      <c r="Q500" s="32"/>
      <c r="R500" s="48" t="s">
        <v>216</v>
      </c>
      <c r="S500" s="32"/>
    </row>
    <row r="501" spans="2:19" x14ac:dyDescent="0.3">
      <c r="B501" t="s">
        <v>4348</v>
      </c>
      <c r="C501" s="11" t="s">
        <v>174</v>
      </c>
      <c r="D501">
        <v>1</v>
      </c>
      <c r="E501" t="s">
        <v>160</v>
      </c>
      <c r="F501" s="92" t="s">
        <v>1076</v>
      </c>
      <c r="G501" s="15" t="str">
        <f>LEFT([1]modificado!$O$2, FIND(" ", [1]modificado!$O$2 &amp; " ") - 1)</f>
        <v>3M</v>
      </c>
      <c r="H501" s="47" t="str">
        <f>RIGHT([1]!Tabla2[[#This Row],[Marca y Modelo]], LEN([1]!Tabla2[[#This Row],[Marca y Modelo]]) - FIND(" ", [1]!Tabla2[[#This Row],[Marca y Modelo]]))</f>
        <v>4712-6</v>
      </c>
      <c r="I501" s="76"/>
      <c r="J501" s="76"/>
      <c r="K501" s="92" t="s">
        <v>4166</v>
      </c>
      <c r="L501" s="92" t="s">
        <v>3112</v>
      </c>
      <c r="M501" s="92" t="s">
        <v>1404</v>
      </c>
      <c r="N501" s="92" t="s">
        <v>1914</v>
      </c>
      <c r="O501" s="77"/>
      <c r="P501" s="92" t="s">
        <v>2533</v>
      </c>
      <c r="Q501" s="32"/>
      <c r="R501" s="48" t="s">
        <v>216</v>
      </c>
      <c r="S501" s="32"/>
    </row>
    <row r="502" spans="2:19" x14ac:dyDescent="0.3">
      <c r="B502" t="s">
        <v>4348</v>
      </c>
      <c r="C502" s="11" t="s">
        <v>174</v>
      </c>
      <c r="D502">
        <v>1</v>
      </c>
      <c r="E502" t="s">
        <v>160</v>
      </c>
      <c r="F502" s="91" t="s">
        <v>1076</v>
      </c>
      <c r="G502" s="15" t="str">
        <f>LEFT([1]modificado!$O$2, FIND(" ", [1]modificado!$O$2 &amp; " ") - 1)</f>
        <v>3M</v>
      </c>
      <c r="H502" s="47" t="str">
        <f>RIGHT([1]!Tabla2[[#This Row],[Marca y Modelo]], LEN([1]!Tabla2[[#This Row],[Marca y Modelo]]) - FIND(" ", [1]!Tabla2[[#This Row],[Marca y Modelo]]))</f>
        <v>4712-6</v>
      </c>
      <c r="I502" s="76"/>
      <c r="J502" s="76"/>
      <c r="K502" s="91" t="s">
        <v>4166</v>
      </c>
      <c r="L502" s="91" t="s">
        <v>3113</v>
      </c>
      <c r="M502" s="91" t="s">
        <v>1404</v>
      </c>
      <c r="N502" s="91" t="s">
        <v>1915</v>
      </c>
      <c r="O502" s="77"/>
      <c r="P502" s="91" t="s">
        <v>2533</v>
      </c>
      <c r="Q502" s="32"/>
      <c r="R502" s="48" t="s">
        <v>216</v>
      </c>
      <c r="S502" s="32"/>
    </row>
    <row r="503" spans="2:19" x14ac:dyDescent="0.3">
      <c r="B503" t="str">
        <f>LEFT(Tabla3890134177220392[[#This Row],[Descripción del equipo]], FIND(" ", Tabla3890134177220392[[#This Row],[Descripción del equipo]] &amp; " ") - 1)</f>
        <v>Arnes</v>
      </c>
      <c r="C503" s="11" t="s">
        <v>174</v>
      </c>
      <c r="D503">
        <v>1</v>
      </c>
      <c r="E503" t="s">
        <v>160</v>
      </c>
      <c r="F503" s="92" t="s">
        <v>1068</v>
      </c>
      <c r="G503" s="15" t="str">
        <f>LEFT([1]modificado!$O$2, FIND(" ", [1]modificado!$O$2 &amp; " ") - 1)</f>
        <v>3M</v>
      </c>
      <c r="H503" s="47" t="str">
        <f>RIGHT([1]!Tabla2[[#This Row],[Marca y Modelo]], LEN([1]!Tabla2[[#This Row],[Marca y Modelo]]) - FIND(" ", [1]!Tabla2[[#This Row],[Marca y Modelo]]))</f>
        <v>452KN</v>
      </c>
      <c r="I503" s="76"/>
      <c r="J503" s="76"/>
      <c r="K503" s="92" t="s">
        <v>4167</v>
      </c>
      <c r="L503" s="92" t="s">
        <v>3114</v>
      </c>
      <c r="M503" s="92" t="s">
        <v>1404</v>
      </c>
      <c r="N503" s="92" t="s">
        <v>1916</v>
      </c>
      <c r="O503" s="77"/>
      <c r="P503" s="92" t="s">
        <v>2533</v>
      </c>
      <c r="Q503" s="32"/>
      <c r="R503" s="48" t="s">
        <v>216</v>
      </c>
      <c r="S503" s="32"/>
    </row>
    <row r="504" spans="2:19" x14ac:dyDescent="0.3">
      <c r="B504" t="str">
        <f>LEFT(Tabla3890134177220392[[#This Row],[Descripción del equipo]], FIND(" ", Tabla3890134177220392[[#This Row],[Descripción del equipo]] &amp; " ") - 1)</f>
        <v>Retractil</v>
      </c>
      <c r="C504" s="11" t="s">
        <v>174</v>
      </c>
      <c r="D504">
        <v>1</v>
      </c>
      <c r="E504" t="s">
        <v>160</v>
      </c>
      <c r="F504" s="91" t="s">
        <v>18</v>
      </c>
      <c r="G504" s="15" t="str">
        <f>LEFT([1]modificado!$O$2, FIND(" ", [1]modificado!$O$2 &amp; " ") - 1)</f>
        <v>3M</v>
      </c>
      <c r="H504" s="47" t="str">
        <f>RIGHT([1]!Tabla2[[#This Row],[Marca y Modelo]], LEN([1]!Tabla2[[#This Row],[Marca y Modelo]]) - FIND(" ", [1]!Tabla2[[#This Row],[Marca y Modelo]]))</f>
        <v>3504430</v>
      </c>
      <c r="I504" s="76"/>
      <c r="J504" s="76"/>
      <c r="K504" s="91" t="s">
        <v>4168</v>
      </c>
      <c r="L504" s="91" t="s">
        <v>3115</v>
      </c>
      <c r="M504" s="91" t="s">
        <v>1404</v>
      </c>
      <c r="N504" s="91" t="s">
        <v>1917</v>
      </c>
      <c r="O504" s="77"/>
      <c r="P504" s="91" t="s">
        <v>2533</v>
      </c>
      <c r="Q504" s="32"/>
      <c r="R504" s="48" t="s">
        <v>216</v>
      </c>
      <c r="S504" s="32"/>
    </row>
    <row r="505" spans="2:19" x14ac:dyDescent="0.3">
      <c r="B505" t="str">
        <f>LEFT(Tabla3890134177220392[[#This Row],[Descripción del equipo]], FIND(" ", Tabla3890134177220392[[#This Row],[Descripción del equipo]] &amp; " ") - 1)</f>
        <v>Arnes</v>
      </c>
      <c r="C505" s="11" t="s">
        <v>174</v>
      </c>
      <c r="D505">
        <v>1</v>
      </c>
      <c r="E505" t="s">
        <v>160</v>
      </c>
      <c r="F505" s="92" t="s">
        <v>1056</v>
      </c>
      <c r="G505" s="15" t="str">
        <f>LEFT([1]modificado!$O$2, FIND(" ", [1]modificado!$O$2 &amp; " ") - 1)</f>
        <v>3M</v>
      </c>
      <c r="H505" s="47" t="str">
        <f>RIGHT([1]!Tabla2[[#This Row],[Marca y Modelo]], LEN([1]!Tabla2[[#This Row],[Marca y Modelo]]) - FIND(" ", [1]!Tabla2[[#This Row],[Marca y Modelo]]))</f>
        <v>10911F-LOGO</v>
      </c>
      <c r="I505" s="76"/>
      <c r="J505" s="76"/>
      <c r="K505" s="92" t="s">
        <v>4169</v>
      </c>
      <c r="L505" s="92" t="s">
        <v>3116</v>
      </c>
      <c r="M505" s="92" t="s">
        <v>1404</v>
      </c>
      <c r="N505" s="92" t="s">
        <v>1918</v>
      </c>
      <c r="O505" s="77"/>
      <c r="P505" s="92" t="s">
        <v>2533</v>
      </c>
      <c r="Q505" s="32"/>
      <c r="R505" s="48" t="s">
        <v>216</v>
      </c>
      <c r="S505" s="32"/>
    </row>
    <row r="506" spans="2:19" x14ac:dyDescent="0.3">
      <c r="B506" t="str">
        <f>LEFT(Tabla3890134177220392[[#This Row],[Descripción del equipo]], FIND(" ", Tabla3890134177220392[[#This Row],[Descripción del equipo]] &amp; " ") - 1)</f>
        <v>Arnes</v>
      </c>
      <c r="C506" s="11" t="s">
        <v>174</v>
      </c>
      <c r="D506">
        <v>1</v>
      </c>
      <c r="E506" t="s">
        <v>160</v>
      </c>
      <c r="F506" s="91" t="s">
        <v>1056</v>
      </c>
      <c r="G506" s="15" t="str">
        <f>LEFT([1]modificado!$O$2, FIND(" ", [1]modificado!$O$2 &amp; " ") - 1)</f>
        <v>3M</v>
      </c>
      <c r="H506" s="47" t="str">
        <f>RIGHT([1]!Tabla2[[#This Row],[Marca y Modelo]], LEN([1]!Tabla2[[#This Row],[Marca y Modelo]]) - FIND(" ", [1]!Tabla2[[#This Row],[Marca y Modelo]]))</f>
        <v>10911F-LOGO</v>
      </c>
      <c r="I506" s="76"/>
      <c r="J506" s="76"/>
      <c r="K506" s="91" t="s">
        <v>4169</v>
      </c>
      <c r="L506" s="91" t="s">
        <v>3117</v>
      </c>
      <c r="M506" s="91" t="s">
        <v>1404</v>
      </c>
      <c r="N506" s="91" t="s">
        <v>1919</v>
      </c>
      <c r="O506" s="77"/>
      <c r="P506" s="91" t="s">
        <v>2533</v>
      </c>
      <c r="Q506" s="32"/>
      <c r="R506" s="48" t="s">
        <v>216</v>
      </c>
      <c r="S506" s="32"/>
    </row>
    <row r="507" spans="2:19" x14ac:dyDescent="0.3">
      <c r="B507" t="str">
        <f>LEFT(Tabla3890134177220392[[#This Row],[Descripción del equipo]], FIND(" ", Tabla3890134177220392[[#This Row],[Descripción del equipo]] &amp; " ") - 1)</f>
        <v>Arnes</v>
      </c>
      <c r="C507" s="11" t="s">
        <v>174</v>
      </c>
      <c r="D507">
        <v>1</v>
      </c>
      <c r="E507" t="s">
        <v>160</v>
      </c>
      <c r="F507" s="92" t="s">
        <v>1056</v>
      </c>
      <c r="G507" s="15" t="str">
        <f>LEFT([1]modificado!$O$2, FIND(" ", [1]modificado!$O$2 &amp; " ") - 1)</f>
        <v>3M</v>
      </c>
      <c r="H507" s="47" t="str">
        <f>RIGHT([1]!Tabla2[[#This Row],[Marca y Modelo]], LEN([1]!Tabla2[[#This Row],[Marca y Modelo]]) - FIND(" ", [1]!Tabla2[[#This Row],[Marca y Modelo]]))</f>
        <v>10911F-LOGO</v>
      </c>
      <c r="I507" s="76"/>
      <c r="J507" s="76"/>
      <c r="K507" s="92" t="s">
        <v>4169</v>
      </c>
      <c r="L507" s="92" t="s">
        <v>3118</v>
      </c>
      <c r="M507" s="92" t="s">
        <v>1404</v>
      </c>
      <c r="N507" s="92" t="s">
        <v>1920</v>
      </c>
      <c r="O507" s="77"/>
      <c r="P507" s="92" t="s">
        <v>2533</v>
      </c>
      <c r="Q507" s="32"/>
      <c r="R507" s="48" t="s">
        <v>216</v>
      </c>
      <c r="S507" s="32"/>
    </row>
    <row r="508" spans="2:19" x14ac:dyDescent="0.3">
      <c r="B508" t="str">
        <f>LEFT(Tabla3890134177220392[[#This Row],[Descripción del equipo]], FIND(" ", Tabla3890134177220392[[#This Row],[Descripción del equipo]] &amp; " ") - 1)</f>
        <v>Arnes</v>
      </c>
      <c r="C508" s="11" t="s">
        <v>174</v>
      </c>
      <c r="D508">
        <v>1</v>
      </c>
      <c r="E508" t="s">
        <v>160</v>
      </c>
      <c r="F508" s="91" t="s">
        <v>1062</v>
      </c>
      <c r="G508" s="15" t="str">
        <f>LEFT([1]modificado!$O$2, FIND(" ", [1]modificado!$O$2 &amp; " ") - 1)</f>
        <v>3M</v>
      </c>
      <c r="H508" s="47" t="str">
        <f>RIGHT([1]!Tabla2[[#This Row],[Marca y Modelo]], LEN([1]!Tabla2[[#This Row],[Marca y Modelo]]) - FIND(" ", [1]!Tabla2[[#This Row],[Marca y Modelo]]))</f>
        <v>10955-LOGO</v>
      </c>
      <c r="I508" s="76"/>
      <c r="J508" s="76"/>
      <c r="K508" s="91" t="s">
        <v>4169</v>
      </c>
      <c r="L508" s="91" t="s">
        <v>3119</v>
      </c>
      <c r="M508" s="91" t="s">
        <v>1404</v>
      </c>
      <c r="N508" s="91" t="s">
        <v>1921</v>
      </c>
      <c r="O508" s="77"/>
      <c r="P508" s="91" t="s">
        <v>2533</v>
      </c>
      <c r="Q508" s="32"/>
      <c r="R508" s="48" t="s">
        <v>216</v>
      </c>
      <c r="S508" s="32"/>
    </row>
    <row r="509" spans="2:19" x14ac:dyDescent="0.3">
      <c r="B509" t="s">
        <v>4349</v>
      </c>
      <c r="C509" s="11" t="s">
        <v>174</v>
      </c>
      <c r="D509">
        <v>1</v>
      </c>
      <c r="E509" t="s">
        <v>160</v>
      </c>
      <c r="F509" s="92" t="s">
        <v>1059</v>
      </c>
      <c r="G509" s="15" t="str">
        <f>LEFT([1]modificado!$O$2, FIND(" ", [1]modificado!$O$2 &amp; " ") - 1)</f>
        <v>3M</v>
      </c>
      <c r="H509" s="47" t="str">
        <f>RIGHT([1]!Tabla2[[#This Row],[Marca y Modelo]], LEN([1]!Tabla2[[#This Row],[Marca y Modelo]]) - FIND(" ", [1]!Tabla2[[#This Row],[Marca y Modelo]]))</f>
        <v>4550-U</v>
      </c>
      <c r="I509" s="76"/>
      <c r="J509" s="76"/>
      <c r="K509" s="92" t="s">
        <v>4170</v>
      </c>
      <c r="L509" s="92" t="s">
        <v>3120</v>
      </c>
      <c r="M509" s="92" t="s">
        <v>1404</v>
      </c>
      <c r="N509" s="92" t="s">
        <v>1922</v>
      </c>
      <c r="O509" s="77"/>
      <c r="P509" s="92" t="s">
        <v>2533</v>
      </c>
      <c r="Q509" s="32"/>
      <c r="R509" s="48" t="s">
        <v>216</v>
      </c>
      <c r="S509" s="32"/>
    </row>
    <row r="510" spans="2:19" x14ac:dyDescent="0.3">
      <c r="B510" t="s">
        <v>4349</v>
      </c>
      <c r="C510" s="11" t="s">
        <v>174</v>
      </c>
      <c r="D510">
        <v>1</v>
      </c>
      <c r="E510" t="s">
        <v>160</v>
      </c>
      <c r="F510" s="91" t="s">
        <v>1059</v>
      </c>
      <c r="G510" s="15" t="str">
        <f>LEFT([1]modificado!$O$2, FIND(" ", [1]modificado!$O$2 &amp; " ") - 1)</f>
        <v>3M</v>
      </c>
      <c r="H510" s="47" t="str">
        <f>RIGHT([1]!Tabla2[[#This Row],[Marca y Modelo]], LEN([1]!Tabla2[[#This Row],[Marca y Modelo]]) - FIND(" ", [1]!Tabla2[[#This Row],[Marca y Modelo]]))</f>
        <v>4550-U</v>
      </c>
      <c r="I510" s="76"/>
      <c r="J510" s="76"/>
      <c r="K510" s="91" t="s">
        <v>4170</v>
      </c>
      <c r="L510" s="91" t="s">
        <v>3121</v>
      </c>
      <c r="M510" s="91" t="s">
        <v>1404</v>
      </c>
      <c r="N510" s="91" t="s">
        <v>1923</v>
      </c>
      <c r="O510" s="77"/>
      <c r="P510" s="91" t="s">
        <v>2533</v>
      </c>
      <c r="Q510" s="32"/>
      <c r="R510" s="48" t="s">
        <v>216</v>
      </c>
      <c r="S510" s="32"/>
    </row>
    <row r="511" spans="2:19" x14ac:dyDescent="0.3">
      <c r="B511" t="s">
        <v>4349</v>
      </c>
      <c r="C511" s="11" t="s">
        <v>174</v>
      </c>
      <c r="D511">
        <v>1</v>
      </c>
      <c r="E511" t="s">
        <v>160</v>
      </c>
      <c r="F511" s="92" t="s">
        <v>1059</v>
      </c>
      <c r="G511" s="15" t="str">
        <f>LEFT([1]modificado!$O$2, FIND(" ", [1]modificado!$O$2 &amp; " ") - 1)</f>
        <v>3M</v>
      </c>
      <c r="H511" s="47" t="str">
        <f>RIGHT([1]!Tabla2[[#This Row],[Marca y Modelo]], LEN([1]!Tabla2[[#This Row],[Marca y Modelo]]) - FIND(" ", [1]!Tabla2[[#This Row],[Marca y Modelo]]))</f>
        <v>4550-U</v>
      </c>
      <c r="I511" s="76"/>
      <c r="J511" s="76"/>
      <c r="K511" s="92" t="s">
        <v>4170</v>
      </c>
      <c r="L511" s="92" t="s">
        <v>3122</v>
      </c>
      <c r="M511" s="92" t="s">
        <v>1404</v>
      </c>
      <c r="N511" s="92" t="s">
        <v>1924</v>
      </c>
      <c r="O511" s="77"/>
      <c r="P511" s="92" t="s">
        <v>2533</v>
      </c>
      <c r="Q511" s="32"/>
      <c r="R511" s="48" t="s">
        <v>216</v>
      </c>
      <c r="S511" s="32"/>
    </row>
    <row r="512" spans="2:19" x14ac:dyDescent="0.3">
      <c r="B512" t="s">
        <v>4349</v>
      </c>
      <c r="C512" s="11" t="s">
        <v>174</v>
      </c>
      <c r="D512">
        <v>1</v>
      </c>
      <c r="E512" t="s">
        <v>160</v>
      </c>
      <c r="F512" s="91" t="s">
        <v>1059</v>
      </c>
      <c r="G512" s="15" t="str">
        <f>LEFT([1]modificado!$O$2, FIND(" ", [1]modificado!$O$2 &amp; " ") - 1)</f>
        <v>3M</v>
      </c>
      <c r="H512" s="47" t="str">
        <f>RIGHT([1]!Tabla2[[#This Row],[Marca y Modelo]], LEN([1]!Tabla2[[#This Row],[Marca y Modelo]]) - FIND(" ", [1]!Tabla2[[#This Row],[Marca y Modelo]]))</f>
        <v>911</v>
      </c>
      <c r="I512" s="76"/>
      <c r="J512" s="76"/>
      <c r="K512" s="91" t="s">
        <v>4170</v>
      </c>
      <c r="L512" s="91" t="s">
        <v>3123</v>
      </c>
      <c r="M512" s="91" t="s">
        <v>1404</v>
      </c>
      <c r="N512" s="91" t="s">
        <v>1925</v>
      </c>
      <c r="O512" s="77"/>
      <c r="P512" s="91" t="s">
        <v>2533</v>
      </c>
      <c r="Q512" s="32"/>
      <c r="R512" s="48" t="s">
        <v>216</v>
      </c>
      <c r="S512" s="32"/>
    </row>
    <row r="513" spans="2:19" x14ac:dyDescent="0.3">
      <c r="B513" t="s">
        <v>4349</v>
      </c>
      <c r="C513" s="11" t="s">
        <v>174</v>
      </c>
      <c r="D513">
        <v>1</v>
      </c>
      <c r="E513" t="s">
        <v>160</v>
      </c>
      <c r="F513" s="92" t="s">
        <v>1059</v>
      </c>
      <c r="G513" s="15" t="str">
        <f>LEFT([1]modificado!$O$2, FIND(" ", [1]modificado!$O$2 &amp; " ") - 1)</f>
        <v>3M</v>
      </c>
      <c r="H513" s="47" t="str">
        <f>RIGHT([1]!Tabla2[[#This Row],[Marca y Modelo]], LEN([1]!Tabla2[[#This Row],[Marca y Modelo]]) - FIND(" ", [1]!Tabla2[[#This Row],[Marca y Modelo]]))</f>
        <v>911</v>
      </c>
      <c r="I513" s="76"/>
      <c r="J513" s="76"/>
      <c r="K513" s="92" t="s">
        <v>4170</v>
      </c>
      <c r="L513" s="92" t="s">
        <v>3124</v>
      </c>
      <c r="M513" s="92" t="s">
        <v>1404</v>
      </c>
      <c r="N513" s="92" t="s">
        <v>1926</v>
      </c>
      <c r="O513" s="77"/>
      <c r="P513" s="92" t="s">
        <v>2533</v>
      </c>
      <c r="Q513" s="32"/>
      <c r="R513" s="48" t="s">
        <v>216</v>
      </c>
      <c r="S513" s="32"/>
    </row>
    <row r="514" spans="2:19" x14ac:dyDescent="0.3">
      <c r="B514" t="s">
        <v>4349</v>
      </c>
      <c r="C514" s="11" t="s">
        <v>174</v>
      </c>
      <c r="D514">
        <v>1</v>
      </c>
      <c r="E514" t="s">
        <v>160</v>
      </c>
      <c r="F514" s="91" t="s">
        <v>1059</v>
      </c>
      <c r="G514" s="15" t="str">
        <f>LEFT([1]modificado!$O$2, FIND(" ", [1]modificado!$O$2 &amp; " ") - 1)</f>
        <v>3M</v>
      </c>
      <c r="H514" s="47" t="str">
        <f>RIGHT([1]!Tabla2[[#This Row],[Marca y Modelo]], LEN([1]!Tabla2[[#This Row],[Marca y Modelo]]) - FIND(" ", [1]!Tabla2[[#This Row],[Marca y Modelo]]))</f>
        <v>911</v>
      </c>
      <c r="I514" s="76"/>
      <c r="J514" s="76"/>
      <c r="K514" s="91" t="s">
        <v>4170</v>
      </c>
      <c r="L514" s="91" t="s">
        <v>3125</v>
      </c>
      <c r="M514" s="91" t="s">
        <v>1404</v>
      </c>
      <c r="N514" s="91" t="s">
        <v>1927</v>
      </c>
      <c r="O514" s="77"/>
      <c r="P514" s="91" t="s">
        <v>2533</v>
      </c>
      <c r="Q514" s="32"/>
      <c r="R514" s="48" t="s">
        <v>216</v>
      </c>
      <c r="S514" s="32"/>
    </row>
    <row r="515" spans="2:19" x14ac:dyDescent="0.3">
      <c r="B515" t="s">
        <v>4349</v>
      </c>
      <c r="C515" s="11" t="s">
        <v>174</v>
      </c>
      <c r="D515">
        <v>1</v>
      </c>
      <c r="E515" t="s">
        <v>160</v>
      </c>
      <c r="F515" s="92" t="s">
        <v>1059</v>
      </c>
      <c r="G515" s="15" t="str">
        <f>LEFT([1]modificado!$O$2, FIND(" ", [1]modificado!$O$2 &amp; " ") - 1)</f>
        <v>3M</v>
      </c>
      <c r="H515" s="47" t="str">
        <f>RIGHT([1]!Tabla2[[#This Row],[Marca y Modelo]], LEN([1]!Tabla2[[#This Row],[Marca y Modelo]]) - FIND(" ", [1]!Tabla2[[#This Row],[Marca y Modelo]]))</f>
        <v>911</v>
      </c>
      <c r="I515" s="76"/>
      <c r="J515" s="76"/>
      <c r="K515" s="92" t="s">
        <v>4170</v>
      </c>
      <c r="L515" s="92" t="s">
        <v>3126</v>
      </c>
      <c r="M515" s="92" t="s">
        <v>1404</v>
      </c>
      <c r="N515" s="92" t="s">
        <v>1928</v>
      </c>
      <c r="O515" s="77"/>
      <c r="P515" s="92" t="s">
        <v>2533</v>
      </c>
      <c r="Q515" s="32"/>
      <c r="R515" s="48" t="s">
        <v>216</v>
      </c>
      <c r="S515" s="32"/>
    </row>
    <row r="516" spans="2:19" x14ac:dyDescent="0.3">
      <c r="B516" t="s">
        <v>4349</v>
      </c>
      <c r="C516" s="11" t="s">
        <v>174</v>
      </c>
      <c r="D516">
        <v>1</v>
      </c>
      <c r="E516" t="s">
        <v>160</v>
      </c>
      <c r="F516" s="91" t="s">
        <v>1059</v>
      </c>
      <c r="G516" s="15" t="str">
        <f>LEFT([1]modificado!$O$2, FIND(" ", [1]modificado!$O$2 &amp; " ") - 1)</f>
        <v>3M</v>
      </c>
      <c r="H516" s="47" t="str">
        <f>RIGHT([1]!Tabla2[[#This Row],[Marca y Modelo]], LEN([1]!Tabla2[[#This Row],[Marca y Modelo]]) - FIND(" ", [1]!Tabla2[[#This Row],[Marca y Modelo]]))</f>
        <v>911</v>
      </c>
      <c r="I516" s="76"/>
      <c r="J516" s="76"/>
      <c r="K516" s="91" t="s">
        <v>4170</v>
      </c>
      <c r="L516" s="91" t="s">
        <v>3127</v>
      </c>
      <c r="M516" s="91" t="s">
        <v>1404</v>
      </c>
      <c r="N516" s="91" t="s">
        <v>1929</v>
      </c>
      <c r="O516" s="77"/>
      <c r="P516" s="91" t="s">
        <v>2533</v>
      </c>
      <c r="Q516" s="32"/>
      <c r="R516" s="48" t="s">
        <v>216</v>
      </c>
      <c r="S516" s="32"/>
    </row>
    <row r="517" spans="2:19" x14ac:dyDescent="0.3">
      <c r="B517" t="s">
        <v>4349</v>
      </c>
      <c r="C517" s="11" t="s">
        <v>174</v>
      </c>
      <c r="D517">
        <v>1</v>
      </c>
      <c r="E517" t="s">
        <v>160</v>
      </c>
      <c r="F517" s="92" t="s">
        <v>1059</v>
      </c>
      <c r="G517" s="15" t="str">
        <f>LEFT([1]modificado!$O$2, FIND(" ", [1]modificado!$O$2 &amp; " ") - 1)</f>
        <v>3M</v>
      </c>
      <c r="H517" s="47" t="str">
        <f>RIGHT([1]!Tabla2[[#This Row],[Marca y Modelo]], LEN([1]!Tabla2[[#This Row],[Marca y Modelo]]) - FIND(" ", [1]!Tabla2[[#This Row],[Marca y Modelo]]))</f>
        <v>911</v>
      </c>
      <c r="I517" s="76"/>
      <c r="J517" s="76"/>
      <c r="K517" s="92" t="s">
        <v>4170</v>
      </c>
      <c r="L517" s="92" t="s">
        <v>3128</v>
      </c>
      <c r="M517" s="92" t="s">
        <v>1404</v>
      </c>
      <c r="N517" s="92" t="s">
        <v>1930</v>
      </c>
      <c r="O517" s="77"/>
      <c r="P517" s="92" t="s">
        <v>2533</v>
      </c>
      <c r="Q517" s="32"/>
      <c r="R517" s="48" t="s">
        <v>216</v>
      </c>
      <c r="S517" s="32"/>
    </row>
    <row r="518" spans="2:19" x14ac:dyDescent="0.3">
      <c r="B518" t="s">
        <v>4349</v>
      </c>
      <c r="C518" s="11" t="s">
        <v>174</v>
      </c>
      <c r="D518">
        <v>1</v>
      </c>
      <c r="E518" t="s">
        <v>160</v>
      </c>
      <c r="F518" s="91" t="s">
        <v>1059</v>
      </c>
      <c r="G518" s="15" t="str">
        <f>LEFT([1]modificado!$O$2, FIND(" ", [1]modificado!$O$2 &amp; " ") - 1)</f>
        <v>3M</v>
      </c>
      <c r="H518" s="47" t="str">
        <f>RIGHT([1]!Tabla2[[#This Row],[Marca y Modelo]], LEN([1]!Tabla2[[#This Row],[Marca y Modelo]]) - FIND(" ", [1]!Tabla2[[#This Row],[Marca y Modelo]]))</f>
        <v>911</v>
      </c>
      <c r="I518" s="76"/>
      <c r="J518" s="76"/>
      <c r="K518" s="91" t="s">
        <v>4170</v>
      </c>
      <c r="L518" s="91" t="s">
        <v>3129</v>
      </c>
      <c r="M518" s="91" t="s">
        <v>1404</v>
      </c>
      <c r="N518" s="91" t="s">
        <v>1931</v>
      </c>
      <c r="O518" s="77"/>
      <c r="P518" s="91" t="s">
        <v>2533</v>
      </c>
      <c r="Q518" s="32"/>
      <c r="R518" s="48" t="s">
        <v>216</v>
      </c>
      <c r="S518" s="32"/>
    </row>
    <row r="519" spans="2:19" x14ac:dyDescent="0.3">
      <c r="B519" t="s">
        <v>4349</v>
      </c>
      <c r="C519" s="11" t="s">
        <v>174</v>
      </c>
      <c r="D519">
        <v>1</v>
      </c>
      <c r="E519" t="s">
        <v>160</v>
      </c>
      <c r="F519" s="92" t="s">
        <v>1059</v>
      </c>
      <c r="G519" s="15" t="str">
        <f>LEFT([1]modificado!$O$2, FIND(" ", [1]modificado!$O$2 &amp; " ") - 1)</f>
        <v>3M</v>
      </c>
      <c r="H519" s="47" t="str">
        <f>RIGHT([1]!Tabla2[[#This Row],[Marca y Modelo]], LEN([1]!Tabla2[[#This Row],[Marca y Modelo]]) - FIND(" ", [1]!Tabla2[[#This Row],[Marca y Modelo]]))</f>
        <v>3999300041</v>
      </c>
      <c r="I519" s="76"/>
      <c r="J519" s="76"/>
      <c r="K519" s="92" t="s">
        <v>4170</v>
      </c>
      <c r="L519" s="92" t="s">
        <v>3130</v>
      </c>
      <c r="M519" s="92" t="s">
        <v>1404</v>
      </c>
      <c r="N519" s="92" t="s">
        <v>1932</v>
      </c>
      <c r="O519" s="77"/>
      <c r="P519" s="92" t="s">
        <v>2533</v>
      </c>
      <c r="Q519" s="32"/>
      <c r="R519" s="48" t="s">
        <v>216</v>
      </c>
      <c r="S519" s="32"/>
    </row>
    <row r="520" spans="2:19" x14ac:dyDescent="0.3">
      <c r="B520" t="s">
        <v>4349</v>
      </c>
      <c r="C520" s="11" t="s">
        <v>174</v>
      </c>
      <c r="D520">
        <v>1</v>
      </c>
      <c r="E520" t="s">
        <v>160</v>
      </c>
      <c r="F520" s="91" t="s">
        <v>1059</v>
      </c>
      <c r="G520" s="15" t="str">
        <f>LEFT([1]modificado!$O$2, FIND(" ", [1]modificado!$O$2 &amp; " ") - 1)</f>
        <v>3M</v>
      </c>
      <c r="H520" s="47" t="str">
        <f>RIGHT([1]!Tabla2[[#This Row],[Marca y Modelo]], LEN([1]!Tabla2[[#This Row],[Marca y Modelo]]) - FIND(" ", [1]!Tabla2[[#This Row],[Marca y Modelo]]))</f>
        <v>911</v>
      </c>
      <c r="I520" s="76"/>
      <c r="J520" s="76"/>
      <c r="K520" s="91" t="s">
        <v>4170</v>
      </c>
      <c r="L520" s="91" t="s">
        <v>3131</v>
      </c>
      <c r="M520" s="91" t="s">
        <v>1404</v>
      </c>
      <c r="N520" s="91" t="s">
        <v>1933</v>
      </c>
      <c r="O520" s="77"/>
      <c r="P520" s="91" t="s">
        <v>2533</v>
      </c>
      <c r="Q520" s="32"/>
      <c r="R520" s="48" t="s">
        <v>216</v>
      </c>
      <c r="S520" s="32"/>
    </row>
    <row r="521" spans="2:19" x14ac:dyDescent="0.3">
      <c r="B521" t="s">
        <v>4348</v>
      </c>
      <c r="C521" s="11" t="s">
        <v>174</v>
      </c>
      <c r="D521">
        <v>1</v>
      </c>
      <c r="E521" t="s">
        <v>160</v>
      </c>
      <c r="F521" s="92" t="s">
        <v>1072</v>
      </c>
      <c r="G521" s="15" t="str">
        <f>LEFT([1]modificado!$O$2, FIND(" ", [1]modificado!$O$2 &amp; " ") - 1)</f>
        <v>3M</v>
      </c>
      <c r="H521" s="47" t="str">
        <f>RIGHT([1]!Tabla2[[#This Row],[Marca y Modelo]], LEN([1]!Tabla2[[#This Row],[Marca y Modelo]]) - FIND(" ", [1]!Tabla2[[#This Row],[Marca y Modelo]]))</f>
        <v>1385301MX</v>
      </c>
      <c r="I521" s="76"/>
      <c r="J521" s="76"/>
      <c r="K521" s="92" t="s">
        <v>4171</v>
      </c>
      <c r="L521" s="92" t="s">
        <v>3132</v>
      </c>
      <c r="M521" s="92" t="s">
        <v>1404</v>
      </c>
      <c r="N521" s="92" t="s">
        <v>1934</v>
      </c>
      <c r="O521" s="77"/>
      <c r="P521" s="92" t="s">
        <v>2533</v>
      </c>
      <c r="Q521" s="32"/>
      <c r="R521" s="48" t="s">
        <v>216</v>
      </c>
      <c r="S521" s="32"/>
    </row>
    <row r="522" spans="2:19" x14ac:dyDescent="0.3">
      <c r="B522" t="s">
        <v>4348</v>
      </c>
      <c r="C522" s="11" t="s">
        <v>174</v>
      </c>
      <c r="D522">
        <v>1</v>
      </c>
      <c r="E522" t="s">
        <v>160</v>
      </c>
      <c r="F522" s="91" t="s">
        <v>1072</v>
      </c>
      <c r="G522" s="15" t="str">
        <f>LEFT([1]modificado!$O$2, FIND(" ", [1]modificado!$O$2 &amp; " ") - 1)</f>
        <v>3M</v>
      </c>
      <c r="H522" s="47" t="str">
        <f>RIGHT([1]!Tabla2[[#This Row],[Marca y Modelo]], LEN([1]!Tabla2[[#This Row],[Marca y Modelo]]) - FIND(" ", [1]!Tabla2[[#This Row],[Marca y Modelo]]))</f>
        <v>1385301MX</v>
      </c>
      <c r="I522" s="76"/>
      <c r="J522" s="76"/>
      <c r="K522" s="91" t="s">
        <v>4171</v>
      </c>
      <c r="L522" s="91" t="s">
        <v>3133</v>
      </c>
      <c r="M522" s="91" t="s">
        <v>1404</v>
      </c>
      <c r="N522" s="91" t="s">
        <v>1935</v>
      </c>
      <c r="O522" s="77"/>
      <c r="P522" s="91" t="s">
        <v>2533</v>
      </c>
      <c r="Q522" s="32"/>
      <c r="R522" s="48" t="s">
        <v>216</v>
      </c>
      <c r="S522" s="32"/>
    </row>
    <row r="523" spans="2:19" x14ac:dyDescent="0.3">
      <c r="B523" t="s">
        <v>4348</v>
      </c>
      <c r="C523" s="11" t="s">
        <v>174</v>
      </c>
      <c r="D523">
        <v>1</v>
      </c>
      <c r="E523" t="s">
        <v>160</v>
      </c>
      <c r="F523" s="92" t="s">
        <v>1072</v>
      </c>
      <c r="G523" s="15" t="str">
        <f>LEFT([1]modificado!$O$2, FIND(" ", [1]modificado!$O$2 &amp; " ") - 1)</f>
        <v>3M</v>
      </c>
      <c r="H523" s="47" t="str">
        <f>RIGHT([1]!Tabla2[[#This Row],[Marca y Modelo]], LEN([1]!Tabla2[[#This Row],[Marca y Modelo]]) - FIND(" ", [1]!Tabla2[[#This Row],[Marca y Modelo]]))</f>
        <v>1385301MX</v>
      </c>
      <c r="I523" s="76"/>
      <c r="J523" s="76"/>
      <c r="K523" s="92" t="s">
        <v>4171</v>
      </c>
      <c r="L523" s="92" t="s">
        <v>3134</v>
      </c>
      <c r="M523" s="92" t="s">
        <v>1404</v>
      </c>
      <c r="N523" s="92" t="s">
        <v>1936</v>
      </c>
      <c r="O523" s="77"/>
      <c r="P523" s="92" t="s">
        <v>2533</v>
      </c>
      <c r="Q523" s="32"/>
      <c r="R523" s="48" t="s">
        <v>216</v>
      </c>
      <c r="S523" s="32"/>
    </row>
    <row r="524" spans="2:19" x14ac:dyDescent="0.3">
      <c r="B524" t="s">
        <v>4348</v>
      </c>
      <c r="C524" s="11" t="s">
        <v>174</v>
      </c>
      <c r="D524">
        <v>1</v>
      </c>
      <c r="E524" t="s">
        <v>160</v>
      </c>
      <c r="F524" s="91" t="s">
        <v>1072</v>
      </c>
      <c r="G524" s="15" t="str">
        <f>LEFT([1]modificado!$O$2, FIND(" ", [1]modificado!$O$2 &amp; " ") - 1)</f>
        <v>3M</v>
      </c>
      <c r="H524" s="47" t="str">
        <f>RIGHT([1]!Tabla2[[#This Row],[Marca y Modelo]], LEN([1]!Tabla2[[#This Row],[Marca y Modelo]]) - FIND(" ", [1]!Tabla2[[#This Row],[Marca y Modelo]]))</f>
        <v>1385301MX</v>
      </c>
      <c r="I524" s="76"/>
      <c r="J524" s="76"/>
      <c r="K524" s="91" t="s">
        <v>4171</v>
      </c>
      <c r="L524" s="91" t="s">
        <v>3135</v>
      </c>
      <c r="M524" s="91" t="s">
        <v>1404</v>
      </c>
      <c r="N524" s="91" t="s">
        <v>1937</v>
      </c>
      <c r="O524" s="77"/>
      <c r="P524" s="91" t="s">
        <v>2533</v>
      </c>
      <c r="Q524" s="32"/>
      <c r="R524" s="48" t="s">
        <v>216</v>
      </c>
      <c r="S524" s="32"/>
    </row>
    <row r="525" spans="2:19" x14ac:dyDescent="0.3">
      <c r="B525" t="s">
        <v>4348</v>
      </c>
      <c r="C525" s="11" t="s">
        <v>174</v>
      </c>
      <c r="D525">
        <v>1</v>
      </c>
      <c r="E525" t="s">
        <v>160</v>
      </c>
      <c r="F525" s="92" t="s">
        <v>1080</v>
      </c>
      <c r="G525" s="15" t="str">
        <f>LEFT([1]modificado!$O$2, FIND(" ", [1]modificado!$O$2 &amp; " ") - 1)</f>
        <v>3M</v>
      </c>
      <c r="H525" s="47" t="str">
        <f>RIGHT([1]!Tabla2[[#This Row],[Marca y Modelo]], LEN([1]!Tabla2[[#This Row],[Marca y Modelo]]) - FIND(" ", [1]!Tabla2[[#This Row],[Marca y Modelo]]))</f>
        <v>3312</v>
      </c>
      <c r="I525" s="76"/>
      <c r="J525" s="76"/>
      <c r="K525" s="92" t="s">
        <v>4171</v>
      </c>
      <c r="L525" s="92" t="s">
        <v>3136</v>
      </c>
      <c r="M525" s="92" t="s">
        <v>1404</v>
      </c>
      <c r="N525" s="92" t="s">
        <v>1938</v>
      </c>
      <c r="O525" s="77"/>
      <c r="P525" s="92" t="s">
        <v>2533</v>
      </c>
      <c r="Q525" s="32"/>
      <c r="R525" s="48" t="s">
        <v>216</v>
      </c>
      <c r="S525" s="32"/>
    </row>
    <row r="526" spans="2:19" x14ac:dyDescent="0.3">
      <c r="B526" t="s">
        <v>4348</v>
      </c>
      <c r="C526" s="11" t="s">
        <v>174</v>
      </c>
      <c r="D526">
        <v>1</v>
      </c>
      <c r="E526" t="s">
        <v>160</v>
      </c>
      <c r="F526" s="91" t="s">
        <v>1072</v>
      </c>
      <c r="G526" s="15" t="str">
        <f>LEFT([1]modificado!$O$2, FIND(" ", [1]modificado!$O$2 &amp; " ") - 1)</f>
        <v>3M</v>
      </c>
      <c r="H526" s="47" t="str">
        <f>RIGHT([1]!Tabla2[[#This Row],[Marca y Modelo]], LEN([1]!Tabla2[[#This Row],[Marca y Modelo]]) - FIND(" ", [1]!Tabla2[[#This Row],[Marca y Modelo]]))</f>
        <v>1385301MX</v>
      </c>
      <c r="I526" s="76"/>
      <c r="J526" s="76"/>
      <c r="K526" s="91" t="s">
        <v>4171</v>
      </c>
      <c r="L526" s="91" t="s">
        <v>3137</v>
      </c>
      <c r="M526" s="91" t="s">
        <v>1404</v>
      </c>
      <c r="N526" s="91" t="s">
        <v>1939</v>
      </c>
      <c r="O526" s="77"/>
      <c r="P526" s="91" t="s">
        <v>2533</v>
      </c>
      <c r="Q526" s="32"/>
      <c r="R526" s="48" t="s">
        <v>216</v>
      </c>
      <c r="S526" s="32"/>
    </row>
    <row r="527" spans="2:19" x14ac:dyDescent="0.3">
      <c r="B527" t="s">
        <v>4348</v>
      </c>
      <c r="C527" s="11" t="s">
        <v>174</v>
      </c>
      <c r="D527">
        <v>1</v>
      </c>
      <c r="E527" t="s">
        <v>160</v>
      </c>
      <c r="F527" s="92" t="s">
        <v>1072</v>
      </c>
      <c r="G527" s="15" t="str">
        <f>LEFT([1]modificado!$O$2, FIND(" ", [1]modificado!$O$2 &amp; " ") - 1)</f>
        <v>3M</v>
      </c>
      <c r="H527" s="47" t="str">
        <f>RIGHT([1]!Tabla2[[#This Row],[Marca y Modelo]], LEN([1]!Tabla2[[#This Row],[Marca y Modelo]]) - FIND(" ", [1]!Tabla2[[#This Row],[Marca y Modelo]]))</f>
        <v>1385301MX</v>
      </c>
      <c r="I527" s="76"/>
      <c r="J527" s="76"/>
      <c r="K527" s="92" t="s">
        <v>4171</v>
      </c>
      <c r="L527" s="92" t="s">
        <v>3138</v>
      </c>
      <c r="M527" s="92" t="s">
        <v>1404</v>
      </c>
      <c r="N527" s="92" t="s">
        <v>1940</v>
      </c>
      <c r="O527" s="77"/>
      <c r="P527" s="92" t="s">
        <v>2533</v>
      </c>
      <c r="Q527" s="32"/>
      <c r="R527" s="48" t="s">
        <v>216</v>
      </c>
      <c r="S527" s="32"/>
    </row>
    <row r="528" spans="2:19" x14ac:dyDescent="0.3">
      <c r="B528" t="s">
        <v>4348</v>
      </c>
      <c r="C528" s="11" t="s">
        <v>174</v>
      </c>
      <c r="D528">
        <v>1</v>
      </c>
      <c r="E528" t="s">
        <v>160</v>
      </c>
      <c r="F528" s="91" t="s">
        <v>1076</v>
      </c>
      <c r="G528" s="15" t="str">
        <f>LEFT([1]modificado!$O$2, FIND(" ", [1]modificado!$O$2 &amp; " ") - 1)</f>
        <v>3M</v>
      </c>
      <c r="H528" s="47" t="str">
        <f>RIGHT([1]!Tabla2[[#This Row],[Marca y Modelo]], LEN([1]!Tabla2[[#This Row],[Marca y Modelo]]) - FIND(" ", [1]!Tabla2[[#This Row],[Marca y Modelo]]))</f>
        <v>4712-6</v>
      </c>
      <c r="I528" s="76"/>
      <c r="J528" s="76"/>
      <c r="K528" s="91" t="s">
        <v>4172</v>
      </c>
      <c r="L528" s="91" t="s">
        <v>3139</v>
      </c>
      <c r="M528" s="91" t="s">
        <v>1404</v>
      </c>
      <c r="N528" s="91" t="s">
        <v>1941</v>
      </c>
      <c r="O528" s="77"/>
      <c r="P528" s="91" t="s">
        <v>2533</v>
      </c>
      <c r="Q528" s="32"/>
      <c r="R528" s="48" t="s">
        <v>216</v>
      </c>
      <c r="S528" s="32"/>
    </row>
    <row r="529" spans="2:19" x14ac:dyDescent="0.3">
      <c r="B529" t="s">
        <v>4348</v>
      </c>
      <c r="C529" s="11" t="s">
        <v>174</v>
      </c>
      <c r="D529">
        <v>1</v>
      </c>
      <c r="E529" t="s">
        <v>160</v>
      </c>
      <c r="F529" s="92" t="s">
        <v>1076</v>
      </c>
      <c r="G529" s="15" t="str">
        <f>LEFT([1]modificado!$O$2, FIND(" ", [1]modificado!$O$2 &amp; " ") - 1)</f>
        <v>3M</v>
      </c>
      <c r="H529" s="47" t="str">
        <f>RIGHT([1]!Tabla2[[#This Row],[Marca y Modelo]], LEN([1]!Tabla2[[#This Row],[Marca y Modelo]]) - FIND(" ", [1]!Tabla2[[#This Row],[Marca y Modelo]]))</f>
        <v>4712-6</v>
      </c>
      <c r="I529" s="76"/>
      <c r="J529" s="76"/>
      <c r="K529" s="92" t="s">
        <v>4172</v>
      </c>
      <c r="L529" s="92" t="s">
        <v>3140</v>
      </c>
      <c r="M529" s="92" t="s">
        <v>1404</v>
      </c>
      <c r="N529" s="92" t="s">
        <v>1942</v>
      </c>
      <c r="O529" s="77"/>
      <c r="P529" s="92" t="s">
        <v>2533</v>
      </c>
      <c r="Q529" s="32"/>
      <c r="R529" s="48" t="s">
        <v>216</v>
      </c>
      <c r="S529" s="32"/>
    </row>
    <row r="530" spans="2:19" x14ac:dyDescent="0.3">
      <c r="B530" t="s">
        <v>4348</v>
      </c>
      <c r="C530" s="11" t="s">
        <v>174</v>
      </c>
      <c r="D530">
        <v>1</v>
      </c>
      <c r="E530" t="s">
        <v>160</v>
      </c>
      <c r="F530" s="91" t="s">
        <v>1076</v>
      </c>
      <c r="G530" s="15" t="str">
        <f>LEFT([1]modificado!$O$2, FIND(" ", [1]modificado!$O$2 &amp; " ") - 1)</f>
        <v>3M</v>
      </c>
      <c r="H530" s="47" t="str">
        <f>RIGHT([1]!Tabla2[[#This Row],[Marca y Modelo]], LEN([1]!Tabla2[[#This Row],[Marca y Modelo]]) - FIND(" ", [1]!Tabla2[[#This Row],[Marca y Modelo]]))</f>
        <v>4712-6</v>
      </c>
      <c r="I530" s="76"/>
      <c r="J530" s="76"/>
      <c r="K530" s="91" t="s">
        <v>4172</v>
      </c>
      <c r="L530" s="91" t="s">
        <v>3141</v>
      </c>
      <c r="M530" s="91" t="s">
        <v>1404</v>
      </c>
      <c r="N530" s="91" t="s">
        <v>1943</v>
      </c>
      <c r="O530" s="77"/>
      <c r="P530" s="91" t="s">
        <v>2533</v>
      </c>
      <c r="Q530" s="32"/>
      <c r="R530" s="48" t="s">
        <v>216</v>
      </c>
      <c r="S530" s="32"/>
    </row>
    <row r="531" spans="2:19" x14ac:dyDescent="0.3">
      <c r="B531" t="s">
        <v>4348</v>
      </c>
      <c r="C531" s="11" t="s">
        <v>174</v>
      </c>
      <c r="D531">
        <v>1</v>
      </c>
      <c r="E531" t="s">
        <v>160</v>
      </c>
      <c r="F531" s="92" t="s">
        <v>1076</v>
      </c>
      <c r="G531" s="15" t="str">
        <f>LEFT([1]modificado!$O$2, FIND(" ", [1]modificado!$O$2 &amp; " ") - 1)</f>
        <v>3M</v>
      </c>
      <c r="H531" s="47" t="str">
        <f>RIGHT([1]!Tabla2[[#This Row],[Marca y Modelo]], LEN([1]!Tabla2[[#This Row],[Marca y Modelo]]) - FIND(" ", [1]!Tabla2[[#This Row],[Marca y Modelo]]))</f>
        <v>4712-6</v>
      </c>
      <c r="I531" s="76"/>
      <c r="J531" s="76"/>
      <c r="K531" s="92" t="s">
        <v>4173</v>
      </c>
      <c r="L531" s="92" t="s">
        <v>3142</v>
      </c>
      <c r="M531" s="92" t="s">
        <v>1404</v>
      </c>
      <c r="N531" s="92" t="s">
        <v>1944</v>
      </c>
      <c r="O531" s="77"/>
      <c r="P531" s="92" t="s">
        <v>2533</v>
      </c>
      <c r="Q531" s="32"/>
      <c r="R531" s="48" t="s">
        <v>216</v>
      </c>
      <c r="S531" s="32"/>
    </row>
    <row r="532" spans="2:19" x14ac:dyDescent="0.3">
      <c r="B532" t="s">
        <v>4349</v>
      </c>
      <c r="C532" s="11" t="s">
        <v>174</v>
      </c>
      <c r="D532">
        <v>1</v>
      </c>
      <c r="E532" t="s">
        <v>160</v>
      </c>
      <c r="F532" s="91" t="s">
        <v>1059</v>
      </c>
      <c r="G532" s="15" t="str">
        <f>LEFT([1]modificado!$O$2, FIND(" ", [1]modificado!$O$2 &amp; " ") - 1)</f>
        <v>3M</v>
      </c>
      <c r="H532" s="47" t="str">
        <f>RIGHT([1]!Tabla2[[#This Row],[Marca y Modelo]], LEN([1]!Tabla2[[#This Row],[Marca y Modelo]]) - FIND(" ", [1]!Tabla2[[#This Row],[Marca y Modelo]]))</f>
        <v>911</v>
      </c>
      <c r="I532" s="76"/>
      <c r="J532" s="76"/>
      <c r="K532" s="91" t="s">
        <v>4174</v>
      </c>
      <c r="L532" s="91" t="s">
        <v>3143</v>
      </c>
      <c r="M532" s="91" t="s">
        <v>1404</v>
      </c>
      <c r="N532" s="91" t="s">
        <v>1945</v>
      </c>
      <c r="O532" s="77"/>
      <c r="P532" s="91" t="s">
        <v>2533</v>
      </c>
      <c r="Q532" s="32"/>
      <c r="R532" s="48" t="s">
        <v>216</v>
      </c>
      <c r="S532" s="32"/>
    </row>
    <row r="533" spans="2:19" x14ac:dyDescent="0.3">
      <c r="B533" t="s">
        <v>4348</v>
      </c>
      <c r="C533" s="11" t="s">
        <v>174</v>
      </c>
      <c r="D533">
        <v>1</v>
      </c>
      <c r="E533" t="s">
        <v>160</v>
      </c>
      <c r="F533" s="92" t="s">
        <v>1076</v>
      </c>
      <c r="G533" s="15" t="str">
        <f>LEFT([1]modificado!$O$2, FIND(" ", [1]modificado!$O$2 &amp; " ") - 1)</f>
        <v>3M</v>
      </c>
      <c r="H533" s="47" t="str">
        <f>RIGHT([1]!Tabla2[[#This Row],[Marca y Modelo]], LEN([1]!Tabla2[[#This Row],[Marca y Modelo]]) - FIND(" ", [1]!Tabla2[[#This Row],[Marca y Modelo]]))</f>
        <v>4712-6</v>
      </c>
      <c r="I533" s="76"/>
      <c r="J533" s="76"/>
      <c r="K533" s="92" t="s">
        <v>4173</v>
      </c>
      <c r="L533" s="92" t="s">
        <v>3144</v>
      </c>
      <c r="M533" s="92" t="s">
        <v>1404</v>
      </c>
      <c r="N533" s="92" t="s">
        <v>1946</v>
      </c>
      <c r="O533" s="77"/>
      <c r="P533" s="92" t="s">
        <v>2533</v>
      </c>
      <c r="Q533" s="32"/>
      <c r="R533" s="48" t="s">
        <v>216</v>
      </c>
      <c r="S533" s="32"/>
    </row>
    <row r="534" spans="2:19" x14ac:dyDescent="0.3">
      <c r="B534" t="s">
        <v>4348</v>
      </c>
      <c r="C534" s="11" t="s">
        <v>174</v>
      </c>
      <c r="D534">
        <v>1</v>
      </c>
      <c r="E534" t="s">
        <v>160</v>
      </c>
      <c r="F534" s="91" t="s">
        <v>1076</v>
      </c>
      <c r="G534" s="15" t="str">
        <f>LEFT([1]modificado!$O$2, FIND(" ", [1]modificado!$O$2 &amp; " ") - 1)</f>
        <v>3M</v>
      </c>
      <c r="H534" s="78" t="str">
        <f>RIGHT([1]!Tabla2[[#This Row],[Marca y Modelo]], LEN([1]!Tabla2[[#This Row],[Marca y Modelo]]) - FIND(" ", [1]!Tabla2[[#This Row],[Marca y Modelo]]))</f>
        <v>4712-6</v>
      </c>
      <c r="I534" s="76"/>
      <c r="J534" s="76"/>
      <c r="K534" s="91" t="s">
        <v>4173</v>
      </c>
      <c r="L534" s="91" t="s">
        <v>3145</v>
      </c>
      <c r="M534" s="91" t="s">
        <v>1404</v>
      </c>
      <c r="N534" s="91" t="s">
        <v>1947</v>
      </c>
      <c r="O534" s="77"/>
      <c r="P534" s="91" t="s">
        <v>2533</v>
      </c>
      <c r="Q534" s="32"/>
      <c r="R534" s="48" t="s">
        <v>216</v>
      </c>
      <c r="S534" s="32"/>
    </row>
    <row r="535" spans="2:19" x14ac:dyDescent="0.3">
      <c r="B535" t="s">
        <v>4348</v>
      </c>
      <c r="C535" s="11" t="s">
        <v>174</v>
      </c>
      <c r="D535">
        <v>1</v>
      </c>
      <c r="E535" t="s">
        <v>160</v>
      </c>
      <c r="F535" s="92" t="s">
        <v>1076</v>
      </c>
      <c r="G535" s="15" t="str">
        <f>LEFT([1]modificado!$O$2, FIND(" ", [1]modificado!$O$2 &amp; " ") - 1)</f>
        <v>3M</v>
      </c>
      <c r="H535" s="47" t="str">
        <f>RIGHT([1]!Tabla2[[#This Row],[Marca y Modelo]], LEN([1]!Tabla2[[#This Row],[Marca y Modelo]]) - FIND(" ", [1]!Tabla2[[#This Row],[Marca y Modelo]]))</f>
        <v>4712-6</v>
      </c>
      <c r="I535" s="76"/>
      <c r="J535" s="76"/>
      <c r="K535" s="92" t="s">
        <v>4173</v>
      </c>
      <c r="L535" s="92" t="s">
        <v>3146</v>
      </c>
      <c r="M535" s="92" t="s">
        <v>1404</v>
      </c>
      <c r="N535" s="92" t="s">
        <v>1948</v>
      </c>
      <c r="O535" s="77"/>
      <c r="P535" s="92" t="s">
        <v>2533</v>
      </c>
      <c r="Q535" s="32"/>
      <c r="R535" s="48" t="s">
        <v>216</v>
      </c>
      <c r="S535" s="32"/>
    </row>
    <row r="536" spans="2:19" x14ac:dyDescent="0.3">
      <c r="B536" t="s">
        <v>4348</v>
      </c>
      <c r="C536" s="11" t="s">
        <v>174</v>
      </c>
      <c r="D536">
        <v>1</v>
      </c>
      <c r="E536" t="s">
        <v>160</v>
      </c>
      <c r="F536" s="91" t="s">
        <v>1076</v>
      </c>
      <c r="G536" s="15" t="str">
        <f>LEFT([1]modificado!$O$2, FIND(" ", [1]modificado!$O$2 &amp; " ") - 1)</f>
        <v>3M</v>
      </c>
      <c r="H536" s="47" t="str">
        <f>RIGHT([1]!Tabla2[[#This Row],[Marca y Modelo]], LEN([1]!Tabla2[[#This Row],[Marca y Modelo]]) - FIND(" ", [1]!Tabla2[[#This Row],[Marca y Modelo]]))</f>
        <v>4712-6</v>
      </c>
      <c r="I536" s="76"/>
      <c r="J536" s="76"/>
      <c r="K536" s="91" t="s">
        <v>4173</v>
      </c>
      <c r="L536" s="91" t="s">
        <v>3147</v>
      </c>
      <c r="M536" s="91" t="s">
        <v>1404</v>
      </c>
      <c r="N536" s="91" t="s">
        <v>1949</v>
      </c>
      <c r="O536" s="77"/>
      <c r="P536" s="91" t="s">
        <v>2533</v>
      </c>
      <c r="Q536" s="32"/>
      <c r="R536" s="48" t="s">
        <v>216</v>
      </c>
      <c r="S536" s="32"/>
    </row>
    <row r="537" spans="2:19" x14ac:dyDescent="0.3">
      <c r="B537" t="str">
        <f>LEFT(Tabla3890134177220392[[#This Row],[Descripción del equipo]], FIND(" ", Tabla3890134177220392[[#This Row],[Descripción del equipo]] &amp; " ") - 1)</f>
        <v>Arnes</v>
      </c>
      <c r="C537" s="11" t="s">
        <v>174</v>
      </c>
      <c r="D537">
        <v>1</v>
      </c>
      <c r="E537" t="s">
        <v>160</v>
      </c>
      <c r="F537" s="92" t="s">
        <v>1062</v>
      </c>
      <c r="G537" s="15" t="str">
        <f>LEFT([1]modificado!$O$2, FIND(" ", [1]modificado!$O$2 &amp; " ") - 1)</f>
        <v>3M</v>
      </c>
      <c r="H537" s="47" t="str">
        <f>RIGHT([1]!Tabla2[[#This Row],[Marca y Modelo]], LEN([1]!Tabla2[[#This Row],[Marca y Modelo]]) - FIND(" ", [1]!Tabla2[[#This Row],[Marca y Modelo]]))</f>
        <v>10955-LOGO</v>
      </c>
      <c r="I537" s="76"/>
      <c r="J537" s="76"/>
      <c r="K537" s="92" t="s">
        <v>4173</v>
      </c>
      <c r="L537" s="92" t="s">
        <v>3148</v>
      </c>
      <c r="M537" s="92" t="s">
        <v>1404</v>
      </c>
      <c r="N537" s="92" t="s">
        <v>1950</v>
      </c>
      <c r="O537" s="77"/>
      <c r="P537" s="92" t="s">
        <v>2533</v>
      </c>
      <c r="Q537" s="32"/>
      <c r="R537" s="48" t="s">
        <v>216</v>
      </c>
      <c r="S537" s="32"/>
    </row>
    <row r="538" spans="2:19" x14ac:dyDescent="0.3">
      <c r="B538" t="str">
        <f>LEFT(Tabla3890134177220392[[#This Row],[Descripción del equipo]], FIND(" ", Tabla3890134177220392[[#This Row],[Descripción del equipo]] &amp; " ") - 1)</f>
        <v>Arnes</v>
      </c>
      <c r="C538" s="11" t="s">
        <v>174</v>
      </c>
      <c r="D538">
        <v>1</v>
      </c>
      <c r="E538" t="s">
        <v>160</v>
      </c>
      <c r="F538" s="91" t="s">
        <v>1068</v>
      </c>
      <c r="G538" s="15" t="str">
        <f>LEFT([1]modificado!$O$2, FIND(" ", [1]modificado!$O$2 &amp; " ") - 1)</f>
        <v>3M</v>
      </c>
      <c r="H538" s="47" t="str">
        <f>RIGHT([1]!Tabla2[[#This Row],[Marca y Modelo]], LEN([1]!Tabla2[[#This Row],[Marca y Modelo]]) - FIND(" ", [1]!Tabla2[[#This Row],[Marca y Modelo]]))</f>
        <v>1021-LOGO</v>
      </c>
      <c r="I538" s="76"/>
      <c r="J538" s="76"/>
      <c r="K538" s="91" t="s">
        <v>4175</v>
      </c>
      <c r="L538" s="91" t="s">
        <v>3149</v>
      </c>
      <c r="M538" s="91" t="s">
        <v>1404</v>
      </c>
      <c r="N538" s="91" t="s">
        <v>1951</v>
      </c>
      <c r="O538" s="77"/>
      <c r="P538" s="91" t="s">
        <v>2533</v>
      </c>
      <c r="Q538" s="32"/>
      <c r="R538" s="48" t="s">
        <v>216</v>
      </c>
      <c r="S538" s="32"/>
    </row>
    <row r="539" spans="2:19" x14ac:dyDescent="0.3">
      <c r="B539" t="str">
        <f>LEFT(Tabla3890134177220392[[#This Row],[Descripción del equipo]], FIND(" ", Tabla3890134177220392[[#This Row],[Descripción del equipo]] &amp; " ") - 1)</f>
        <v>Arnes</v>
      </c>
      <c r="C539" s="11" t="s">
        <v>174</v>
      </c>
      <c r="D539">
        <v>1</v>
      </c>
      <c r="E539" t="s">
        <v>160</v>
      </c>
      <c r="F539" s="92" t="s">
        <v>1056</v>
      </c>
      <c r="G539" s="15" t="str">
        <f>LEFT([1]modificado!$O$2, FIND(" ", [1]modificado!$O$2 &amp; " ") - 1)</f>
        <v>3M</v>
      </c>
      <c r="H539" s="47" t="str">
        <f>RIGHT([1]!Tabla2[[#This Row],[Marca y Modelo]], LEN([1]!Tabla2[[#This Row],[Marca y Modelo]]) - FIND(" ", [1]!Tabla2[[#This Row],[Marca y Modelo]]))</f>
        <v>10911F-LOGO</v>
      </c>
      <c r="I539" s="76"/>
      <c r="J539" s="76"/>
      <c r="K539" s="92" t="s">
        <v>4175</v>
      </c>
      <c r="L539" s="92" t="s">
        <v>3150</v>
      </c>
      <c r="M539" s="92" t="s">
        <v>1404</v>
      </c>
      <c r="N539" s="92" t="s">
        <v>1952</v>
      </c>
      <c r="O539" s="77"/>
      <c r="P539" s="92" t="s">
        <v>2533</v>
      </c>
      <c r="Q539" s="32"/>
      <c r="R539" s="48" t="s">
        <v>216</v>
      </c>
      <c r="S539" s="32"/>
    </row>
    <row r="540" spans="2:19" x14ac:dyDescent="0.3">
      <c r="B540" t="str">
        <f>LEFT(Tabla3890134177220392[[#This Row],[Descripción del equipo]], FIND(" ", Tabla3890134177220392[[#This Row],[Descripción del equipo]] &amp; " ") - 1)</f>
        <v>Arnes</v>
      </c>
      <c r="C540" s="11" t="s">
        <v>174</v>
      </c>
      <c r="D540">
        <v>1</v>
      </c>
      <c r="E540" t="s">
        <v>160</v>
      </c>
      <c r="F540" s="91" t="s">
        <v>1062</v>
      </c>
      <c r="G540" s="15" t="str">
        <f>LEFT([1]modificado!$O$2, FIND(" ", [1]modificado!$O$2 &amp; " ") - 1)</f>
        <v>3M</v>
      </c>
      <c r="H540" s="47" t="str">
        <f>RIGHT([1]!Tabla2[[#This Row],[Marca y Modelo]], LEN([1]!Tabla2[[#This Row],[Marca y Modelo]]) - FIND(" ", [1]!Tabla2[[#This Row],[Marca y Modelo]]))</f>
        <v>10955-LOGO</v>
      </c>
      <c r="I540" s="76"/>
      <c r="J540" s="76"/>
      <c r="K540" s="91" t="s">
        <v>4175</v>
      </c>
      <c r="L540" s="91" t="s">
        <v>3151</v>
      </c>
      <c r="M540" s="91" t="s">
        <v>1404</v>
      </c>
      <c r="N540" s="91" t="s">
        <v>1953</v>
      </c>
      <c r="O540" s="77"/>
      <c r="P540" s="91" t="s">
        <v>2533</v>
      </c>
      <c r="Q540" s="32"/>
      <c r="R540" s="48" t="s">
        <v>216</v>
      </c>
      <c r="S540" s="32"/>
    </row>
    <row r="541" spans="2:19" x14ac:dyDescent="0.3">
      <c r="B541" t="s">
        <v>4348</v>
      </c>
      <c r="C541" s="11" t="s">
        <v>174</v>
      </c>
      <c r="D541">
        <v>1</v>
      </c>
      <c r="E541" t="s">
        <v>160</v>
      </c>
      <c r="F541" s="92" t="s">
        <v>1060</v>
      </c>
      <c r="G541" s="15" t="str">
        <f>LEFT([1]modificado!$O$2, FIND(" ", [1]modificado!$O$2 &amp; " ") - 1)</f>
        <v>3M</v>
      </c>
      <c r="H541" s="47" t="str">
        <f>RIGHT([1]!Tabla2[[#This Row],[Marca y Modelo]], LEN([1]!Tabla2[[#This Row],[Marca y Modelo]]) - FIND(" ", [1]!Tabla2[[#This Row],[Marca y Modelo]]))</f>
        <v>209550-4-0241</v>
      </c>
      <c r="I541" s="76"/>
      <c r="J541" s="76"/>
      <c r="K541" s="92" t="s">
        <v>4173</v>
      </c>
      <c r="L541" s="92" t="s">
        <v>3152</v>
      </c>
      <c r="M541" s="92" t="s">
        <v>1404</v>
      </c>
      <c r="N541" s="92" t="s">
        <v>1954</v>
      </c>
      <c r="O541" s="77"/>
      <c r="P541" s="92" t="s">
        <v>2533</v>
      </c>
      <c r="Q541" s="32"/>
      <c r="R541" s="48" t="s">
        <v>216</v>
      </c>
      <c r="S541" s="32"/>
    </row>
    <row r="542" spans="2:19" x14ac:dyDescent="0.3">
      <c r="B542" t="str">
        <f>LEFT(Tabla3890134177220392[[#This Row],[Descripción del equipo]], FIND(" ", Tabla3890134177220392[[#This Row],[Descripción del equipo]] &amp; " ") - 1)</f>
        <v>Arnes</v>
      </c>
      <c r="C542" s="11" t="s">
        <v>174</v>
      </c>
      <c r="D542">
        <v>1</v>
      </c>
      <c r="E542" t="s">
        <v>160</v>
      </c>
      <c r="F542" s="91" t="s">
        <v>1056</v>
      </c>
      <c r="G542" s="15" t="str">
        <f>LEFT([1]modificado!$O$2, FIND(" ", [1]modificado!$O$2 &amp; " ") - 1)</f>
        <v>3M</v>
      </c>
      <c r="H542" s="47" t="str">
        <f>RIGHT([1]!Tabla2[[#This Row],[Marca y Modelo]], LEN([1]!Tabla2[[#This Row],[Marca y Modelo]]) - FIND(" ", [1]!Tabla2[[#This Row],[Marca y Modelo]]))</f>
        <v>412P</v>
      </c>
      <c r="I542" s="76"/>
      <c r="J542" s="76"/>
      <c r="K542" s="91" t="s">
        <v>4176</v>
      </c>
      <c r="L542" s="91" t="s">
        <v>3153</v>
      </c>
      <c r="M542" s="91" t="s">
        <v>1404</v>
      </c>
      <c r="N542" s="91" t="s">
        <v>1955</v>
      </c>
      <c r="O542" s="77"/>
      <c r="P542" s="91" t="s">
        <v>2533</v>
      </c>
      <c r="Q542" s="32"/>
      <c r="R542" s="48" t="s">
        <v>216</v>
      </c>
      <c r="S542" s="32"/>
    </row>
    <row r="543" spans="2:19" x14ac:dyDescent="0.3">
      <c r="B543" t="s">
        <v>4348</v>
      </c>
      <c r="C543" s="11" t="s">
        <v>174</v>
      </c>
      <c r="D543">
        <v>1</v>
      </c>
      <c r="E543" t="s">
        <v>160</v>
      </c>
      <c r="F543" s="92" t="s">
        <v>1057</v>
      </c>
      <c r="G543" s="15" t="str">
        <f>LEFT([1]modificado!$O$2, FIND(" ", [1]modificado!$O$2 &amp; " ") - 1)</f>
        <v>3M</v>
      </c>
      <c r="H543" s="47" t="str">
        <f>RIGHT([1]!Tabla2[[#This Row],[Marca y Modelo]], LEN([1]!Tabla2[[#This Row],[Marca y Modelo]]) - FIND(" ", [1]!Tabla2[[#This Row],[Marca y Modelo]]))</f>
        <v>671EC</v>
      </c>
      <c r="I543" s="76"/>
      <c r="J543" s="76"/>
      <c r="K543" s="92" t="s">
        <v>4177</v>
      </c>
      <c r="L543" s="92" t="s">
        <v>3154</v>
      </c>
      <c r="M543" s="92" t="s">
        <v>1404</v>
      </c>
      <c r="N543" s="92" t="s">
        <v>1956</v>
      </c>
      <c r="O543" s="77"/>
      <c r="P543" s="92" t="s">
        <v>2533</v>
      </c>
      <c r="Q543" s="32"/>
      <c r="R543" s="48" t="s">
        <v>216</v>
      </c>
      <c r="S543" s="32"/>
    </row>
    <row r="544" spans="2:19" x14ac:dyDescent="0.3">
      <c r="B544" t="s">
        <v>4348</v>
      </c>
      <c r="C544" s="11" t="s">
        <v>174</v>
      </c>
      <c r="D544">
        <v>1</v>
      </c>
      <c r="E544" t="s">
        <v>160</v>
      </c>
      <c r="F544" s="91" t="s">
        <v>1057</v>
      </c>
      <c r="G544" s="15" t="str">
        <f>LEFT([1]modificado!$O$2, FIND(" ", [1]modificado!$O$2 &amp; " ") - 1)</f>
        <v>3M</v>
      </c>
      <c r="H544" s="47" t="str">
        <f>RIGHT([1]!Tabla2[[#This Row],[Marca y Modelo]], LEN([1]!Tabla2[[#This Row],[Marca y Modelo]]) - FIND(" ", [1]!Tabla2[[#This Row],[Marca y Modelo]]))</f>
        <v>671EC</v>
      </c>
      <c r="I544" s="76"/>
      <c r="J544" s="76"/>
      <c r="K544" s="91" t="s">
        <v>4177</v>
      </c>
      <c r="L544" s="91" t="s">
        <v>3155</v>
      </c>
      <c r="M544" s="91" t="s">
        <v>1404</v>
      </c>
      <c r="N544" s="91" t="s">
        <v>1957</v>
      </c>
      <c r="O544" s="77"/>
      <c r="P544" s="91" t="s">
        <v>2533</v>
      </c>
      <c r="Q544" s="32"/>
      <c r="R544" s="48" t="s">
        <v>216</v>
      </c>
      <c r="S544" s="32"/>
    </row>
    <row r="545" spans="2:19" x14ac:dyDescent="0.3">
      <c r="B545" t="s">
        <v>4348</v>
      </c>
      <c r="C545" s="11" t="s">
        <v>174</v>
      </c>
      <c r="D545">
        <v>1</v>
      </c>
      <c r="E545" t="s">
        <v>160</v>
      </c>
      <c r="F545" s="92" t="s">
        <v>1057</v>
      </c>
      <c r="G545" s="15" t="str">
        <f>LEFT([1]modificado!$O$2, FIND(" ", [1]modificado!$O$2 &amp; " ") - 1)</f>
        <v>3M</v>
      </c>
      <c r="H545" s="47" t="str">
        <f>RIGHT([1]!Tabla2[[#This Row],[Marca y Modelo]], LEN([1]!Tabla2[[#This Row],[Marca y Modelo]]) - FIND(" ", [1]!Tabla2[[#This Row],[Marca y Modelo]]))</f>
        <v>671EC</v>
      </c>
      <c r="I545" s="76"/>
      <c r="J545" s="76"/>
      <c r="K545" s="92" t="s">
        <v>4177</v>
      </c>
      <c r="L545" s="92" t="s">
        <v>3156</v>
      </c>
      <c r="M545" s="92" t="s">
        <v>1404</v>
      </c>
      <c r="N545" s="92" t="s">
        <v>1958</v>
      </c>
      <c r="O545" s="77"/>
      <c r="P545" s="92" t="s">
        <v>2533</v>
      </c>
      <c r="Q545" s="32"/>
      <c r="R545" s="48" t="s">
        <v>216</v>
      </c>
      <c r="S545" s="32"/>
    </row>
    <row r="546" spans="2:19" x14ac:dyDescent="0.3">
      <c r="B546" t="s">
        <v>4348</v>
      </c>
      <c r="C546" s="11" t="s">
        <v>174</v>
      </c>
      <c r="D546">
        <v>1</v>
      </c>
      <c r="E546" t="s">
        <v>160</v>
      </c>
      <c r="F546" s="91" t="s">
        <v>1057</v>
      </c>
      <c r="G546" s="15" t="str">
        <f>LEFT([1]modificado!$O$2, FIND(" ", [1]modificado!$O$2 &amp; " ") - 1)</f>
        <v>3M</v>
      </c>
      <c r="H546" s="47" t="str">
        <f>RIGHT([1]!Tabla2[[#This Row],[Marca y Modelo]], LEN([1]!Tabla2[[#This Row],[Marca y Modelo]]) - FIND(" ", [1]!Tabla2[[#This Row],[Marca y Modelo]]))</f>
        <v>671EC</v>
      </c>
      <c r="I546" s="76"/>
      <c r="J546" s="76"/>
      <c r="K546" s="91" t="s">
        <v>4177</v>
      </c>
      <c r="L546" s="91" t="s">
        <v>3157</v>
      </c>
      <c r="M546" s="91" t="s">
        <v>1404</v>
      </c>
      <c r="N546" s="91" t="s">
        <v>1959</v>
      </c>
      <c r="O546" s="77"/>
      <c r="P546" s="91" t="s">
        <v>2533</v>
      </c>
      <c r="Q546" s="32"/>
      <c r="R546" s="48" t="s">
        <v>216</v>
      </c>
      <c r="S546" s="32"/>
    </row>
    <row r="547" spans="2:19" x14ac:dyDescent="0.3">
      <c r="B547" t="s">
        <v>4348</v>
      </c>
      <c r="C547" s="11" t="s">
        <v>174</v>
      </c>
      <c r="D547">
        <v>1</v>
      </c>
      <c r="E547" t="s">
        <v>160</v>
      </c>
      <c r="F547" s="92" t="s">
        <v>1057</v>
      </c>
      <c r="G547" s="15" t="str">
        <f>LEFT([1]modificado!$O$2, FIND(" ", [1]modificado!$O$2 &amp; " ") - 1)</f>
        <v>3M</v>
      </c>
      <c r="H547" s="47" t="str">
        <f>RIGHT([1]!Tabla2[[#This Row],[Marca y Modelo]], LEN([1]!Tabla2[[#This Row],[Marca y Modelo]]) - FIND(" ", [1]!Tabla2[[#This Row],[Marca y Modelo]]))</f>
        <v>671EC</v>
      </c>
      <c r="I547" s="76"/>
      <c r="J547" s="76"/>
      <c r="K547" s="92" t="s">
        <v>4177</v>
      </c>
      <c r="L547" s="92" t="s">
        <v>3158</v>
      </c>
      <c r="M547" s="92" t="s">
        <v>1404</v>
      </c>
      <c r="N547" s="92" t="s">
        <v>1960</v>
      </c>
      <c r="O547" s="77"/>
      <c r="P547" s="92" t="s">
        <v>2533</v>
      </c>
      <c r="Q547" s="32"/>
      <c r="R547" s="48" t="s">
        <v>216</v>
      </c>
      <c r="S547" s="32"/>
    </row>
    <row r="548" spans="2:19" x14ac:dyDescent="0.3">
      <c r="B548" t="s">
        <v>4348</v>
      </c>
      <c r="C548" s="11" t="s">
        <v>174</v>
      </c>
      <c r="D548">
        <v>1</v>
      </c>
      <c r="E548" t="s">
        <v>160</v>
      </c>
      <c r="F548" s="91" t="s">
        <v>1057</v>
      </c>
      <c r="G548" s="15" t="str">
        <f>LEFT([1]modificado!$O$2, FIND(" ", [1]modificado!$O$2 &amp; " ") - 1)</f>
        <v>3M</v>
      </c>
      <c r="H548" s="47" t="str">
        <f>RIGHT([1]!Tabla2[[#This Row],[Marca y Modelo]], LEN([1]!Tabla2[[#This Row],[Marca y Modelo]]) - FIND(" ", [1]!Tabla2[[#This Row],[Marca y Modelo]]))</f>
        <v>671EC</v>
      </c>
      <c r="I548" s="76"/>
      <c r="J548" s="76"/>
      <c r="K548" s="91" t="s">
        <v>4177</v>
      </c>
      <c r="L548" s="91" t="s">
        <v>3159</v>
      </c>
      <c r="M548" s="91" t="s">
        <v>1404</v>
      </c>
      <c r="N548" s="91" t="s">
        <v>1961</v>
      </c>
      <c r="O548" s="77"/>
      <c r="P548" s="91" t="s">
        <v>2533</v>
      </c>
      <c r="Q548" s="32"/>
      <c r="R548" s="48" t="s">
        <v>216</v>
      </c>
      <c r="S548" s="32"/>
    </row>
    <row r="549" spans="2:19" x14ac:dyDescent="0.3">
      <c r="B549" t="s">
        <v>4348</v>
      </c>
      <c r="C549" s="11" t="s">
        <v>174</v>
      </c>
      <c r="D549">
        <v>1</v>
      </c>
      <c r="E549" t="s">
        <v>160</v>
      </c>
      <c r="F549" s="92" t="s">
        <v>1057</v>
      </c>
      <c r="G549" s="15" t="str">
        <f>LEFT([1]modificado!$O$2, FIND(" ", [1]modificado!$O$2 &amp; " ") - 1)</f>
        <v>3M</v>
      </c>
      <c r="H549" s="47" t="str">
        <f>RIGHT([1]!Tabla2[[#This Row],[Marca y Modelo]], LEN([1]!Tabla2[[#This Row],[Marca y Modelo]]) - FIND(" ", [1]!Tabla2[[#This Row],[Marca y Modelo]]))</f>
        <v>671EC</v>
      </c>
      <c r="I549" s="76"/>
      <c r="J549" s="76"/>
      <c r="K549" s="92" t="s">
        <v>4177</v>
      </c>
      <c r="L549" s="92" t="s">
        <v>3160</v>
      </c>
      <c r="M549" s="92" t="s">
        <v>1404</v>
      </c>
      <c r="N549" s="92" t="s">
        <v>1962</v>
      </c>
      <c r="O549" s="77"/>
      <c r="P549" s="92" t="s">
        <v>2533</v>
      </c>
      <c r="Q549" s="32"/>
      <c r="R549" s="48" t="s">
        <v>216</v>
      </c>
      <c r="S549" s="32"/>
    </row>
    <row r="550" spans="2:19" x14ac:dyDescent="0.3">
      <c r="B550" t="str">
        <f>LEFT(Tabla3890134177220392[[#This Row],[Descripción del equipo]], FIND(" ", Tabla3890134177220392[[#This Row],[Descripción del equipo]] &amp; " ") - 1)</f>
        <v>Arnes</v>
      </c>
      <c r="C550" s="11" t="s">
        <v>173</v>
      </c>
      <c r="D550">
        <v>1</v>
      </c>
      <c r="E550" t="s">
        <v>160</v>
      </c>
      <c r="F550" s="91" t="s">
        <v>1056</v>
      </c>
      <c r="G550" s="15" t="str">
        <f>LEFT([1]modificado!$O$2, FIND(" ", [1]modificado!$O$2 &amp; " ") - 1)</f>
        <v>3M</v>
      </c>
      <c r="H550" s="47" t="str">
        <f>RIGHT([1]!Tabla2[[#This Row],[Marca y Modelo]], LEN([1]!Tabla2[[#This Row],[Marca y Modelo]]) - FIND(" ", [1]!Tabla2[[#This Row],[Marca y Modelo]]))</f>
        <v>Musitani Space</v>
      </c>
      <c r="I550" s="76"/>
      <c r="J550" s="76"/>
      <c r="K550" s="91" t="s">
        <v>4178</v>
      </c>
      <c r="L550" s="91" t="s">
        <v>3161</v>
      </c>
      <c r="M550" s="91" t="s">
        <v>1406</v>
      </c>
      <c r="N550" s="91" t="s">
        <v>1963</v>
      </c>
      <c r="O550" s="77"/>
      <c r="P550" s="91" t="s">
        <v>2534</v>
      </c>
      <c r="Q550" s="32"/>
      <c r="R550" s="48" t="s">
        <v>216</v>
      </c>
      <c r="S550" s="32"/>
    </row>
    <row r="551" spans="2:19" x14ac:dyDescent="0.3">
      <c r="B551" t="str">
        <f>LEFT(Tabla3890134177220392[[#This Row],[Descripción del equipo]], FIND(" ", Tabla3890134177220392[[#This Row],[Descripción del equipo]] &amp; " ") - 1)</f>
        <v>Arnes</v>
      </c>
      <c r="C551" s="11" t="s">
        <v>173</v>
      </c>
      <c r="D551">
        <v>1</v>
      </c>
      <c r="E551" t="s">
        <v>160</v>
      </c>
      <c r="F551" s="92" t="s">
        <v>1056</v>
      </c>
      <c r="G551" s="15" t="str">
        <f>LEFT([1]modificado!$O$2, FIND(" ", [1]modificado!$O$2 &amp; " ") - 1)</f>
        <v>3M</v>
      </c>
      <c r="H551" s="47" t="str">
        <f>RIGHT([1]!Tabla2[[#This Row],[Marca y Modelo]], LEN([1]!Tabla2[[#This Row],[Marca y Modelo]]) - FIND(" ", [1]!Tabla2[[#This Row],[Marca y Modelo]]))</f>
        <v>Musitani Space</v>
      </c>
      <c r="I551" s="76"/>
      <c r="J551" s="76"/>
      <c r="K551" s="92" t="s">
        <v>4178</v>
      </c>
      <c r="L551" s="92" t="s">
        <v>3162</v>
      </c>
      <c r="M551" s="92" t="s">
        <v>1406</v>
      </c>
      <c r="N551" s="92" t="s">
        <v>1964</v>
      </c>
      <c r="O551" s="77"/>
      <c r="P551" s="92" t="s">
        <v>2534</v>
      </c>
      <c r="Q551" s="32"/>
      <c r="R551" s="48" t="s">
        <v>216</v>
      </c>
      <c r="S551" s="32"/>
    </row>
    <row r="552" spans="2:19" x14ac:dyDescent="0.3">
      <c r="B552" t="str">
        <f>LEFT(Tabla3890134177220392[[#This Row],[Descripción del equipo]], FIND(" ", Tabla3890134177220392[[#This Row],[Descripción del equipo]] &amp; " ") - 1)</f>
        <v>Arnes</v>
      </c>
      <c r="C552" s="11" t="s">
        <v>173</v>
      </c>
      <c r="D552">
        <v>1</v>
      </c>
      <c r="E552" t="s">
        <v>160</v>
      </c>
      <c r="F552" s="91" t="s">
        <v>1056</v>
      </c>
      <c r="G552" s="15" t="str">
        <f>LEFT([1]modificado!$O$2, FIND(" ", [1]modificado!$O$2 &amp; " ") - 1)</f>
        <v>3M</v>
      </c>
      <c r="H552" s="47" t="str">
        <f>RIGHT([1]!Tabla2[[#This Row],[Marca y Modelo]], LEN([1]!Tabla2[[#This Row],[Marca y Modelo]]) - FIND(" ", [1]!Tabla2[[#This Row],[Marca y Modelo]]))</f>
        <v>Basic Lion</v>
      </c>
      <c r="I552" s="76"/>
      <c r="J552" s="76"/>
      <c r="K552" s="91" t="s">
        <v>4178</v>
      </c>
      <c r="L552" s="91" t="s">
        <v>3163</v>
      </c>
      <c r="M552" s="91" t="s">
        <v>1404</v>
      </c>
      <c r="N552" s="91" t="s">
        <v>1965</v>
      </c>
      <c r="O552" s="77"/>
      <c r="P552" s="91" t="s">
        <v>2534</v>
      </c>
      <c r="Q552" s="32"/>
      <c r="R552" s="48" t="s">
        <v>216</v>
      </c>
      <c r="S552" s="32"/>
    </row>
    <row r="553" spans="2:19" x14ac:dyDescent="0.3">
      <c r="B553" t="str">
        <f>LEFT(Tabla3890134177220392[[#This Row],[Descripción del equipo]], FIND(" ", Tabla3890134177220392[[#This Row],[Descripción del equipo]] &amp; " ") - 1)</f>
        <v>Arnes</v>
      </c>
      <c r="C553" s="11" t="s">
        <v>173</v>
      </c>
      <c r="D553">
        <v>1</v>
      </c>
      <c r="E553" t="s">
        <v>160</v>
      </c>
      <c r="F553" s="92" t="s">
        <v>1056</v>
      </c>
      <c r="G553" s="15" t="str">
        <f>LEFT([1]modificado!$O$2, FIND(" ", [1]modificado!$O$2 &amp; " ") - 1)</f>
        <v>3M</v>
      </c>
      <c r="H553" s="47" t="str">
        <f>RIGHT([1]!Tabla2[[#This Row],[Marca y Modelo]], LEN([1]!Tabla2[[#This Row],[Marca y Modelo]]) - FIND(" ", [1]!Tabla2[[#This Row],[Marca y Modelo]]))</f>
        <v>Basic Lion</v>
      </c>
      <c r="I553" s="76"/>
      <c r="J553" s="76"/>
      <c r="K553" s="92" t="s">
        <v>4178</v>
      </c>
      <c r="L553" s="92" t="s">
        <v>3164</v>
      </c>
      <c r="M553" s="92" t="s">
        <v>1404</v>
      </c>
      <c r="N553" s="92" t="s">
        <v>1966</v>
      </c>
      <c r="O553" s="77"/>
      <c r="P553" s="92" t="s">
        <v>2534</v>
      </c>
      <c r="Q553" s="32"/>
      <c r="R553" s="48" t="s">
        <v>216</v>
      </c>
      <c r="S553" s="32"/>
    </row>
    <row r="554" spans="2:19" x14ac:dyDescent="0.3">
      <c r="B554" t="str">
        <f>LEFT(Tabla3890134177220392[[#This Row],[Descripción del equipo]], FIND(" ", Tabla3890134177220392[[#This Row],[Descripción del equipo]] &amp; " ") - 1)</f>
        <v>Arnes</v>
      </c>
      <c r="C554" s="11" t="s">
        <v>173</v>
      </c>
      <c r="D554">
        <v>1</v>
      </c>
      <c r="E554" t="s">
        <v>160</v>
      </c>
      <c r="F554" s="91" t="s">
        <v>1056</v>
      </c>
      <c r="G554" s="15" t="str">
        <f>LEFT([1]modificado!$O$2, FIND(" ", [1]modificado!$O$2 &amp; " ") - 1)</f>
        <v>3M</v>
      </c>
      <c r="H554" s="47" t="str">
        <f>RIGHT([1]!Tabla2[[#This Row],[Marca y Modelo]], LEN([1]!Tabla2[[#This Row],[Marca y Modelo]]) - FIND(" ", [1]!Tabla2[[#This Row],[Marca y Modelo]]))</f>
        <v>Basic Lion</v>
      </c>
      <c r="I554" s="76"/>
      <c r="J554" s="76"/>
      <c r="K554" s="91" t="s">
        <v>4178</v>
      </c>
      <c r="L554" s="91" t="s">
        <v>3165</v>
      </c>
      <c r="M554" s="91" t="s">
        <v>1404</v>
      </c>
      <c r="N554" s="91" t="s">
        <v>1967</v>
      </c>
      <c r="O554" s="77"/>
      <c r="P554" s="91" t="s">
        <v>2534</v>
      </c>
      <c r="Q554" s="32"/>
      <c r="R554" s="48" t="s">
        <v>216</v>
      </c>
      <c r="S554" s="32"/>
    </row>
    <row r="555" spans="2:19" x14ac:dyDescent="0.3">
      <c r="B555" t="str">
        <f>LEFT(Tabla3890134177220392[[#This Row],[Descripción del equipo]], FIND(" ", Tabla3890134177220392[[#This Row],[Descripción del equipo]] &amp; " ") - 1)</f>
        <v>Arnes</v>
      </c>
      <c r="C555" s="11" t="s">
        <v>173</v>
      </c>
      <c r="D555">
        <v>1</v>
      </c>
      <c r="E555" t="s">
        <v>160</v>
      </c>
      <c r="F555" s="92" t="s">
        <v>1056</v>
      </c>
      <c r="G555" s="15" t="str">
        <f>LEFT([1]modificado!$O$2, FIND(" ", [1]modificado!$O$2 &amp; " ") - 1)</f>
        <v>3M</v>
      </c>
      <c r="H555" s="47" t="str">
        <f>RIGHT([1]!Tabla2[[#This Row],[Marca y Modelo]], LEN([1]!Tabla2[[#This Row],[Marca y Modelo]]) - FIND(" ", [1]!Tabla2[[#This Row],[Marca y Modelo]]))</f>
        <v>Basic Lion</v>
      </c>
      <c r="I555" s="76"/>
      <c r="J555" s="76"/>
      <c r="K555" s="92" t="s">
        <v>4178</v>
      </c>
      <c r="L555" s="92" t="s">
        <v>3166</v>
      </c>
      <c r="M555" s="92" t="s">
        <v>1404</v>
      </c>
      <c r="N555" s="92" t="s">
        <v>1968</v>
      </c>
      <c r="O555" s="77"/>
      <c r="P555" s="92" t="s">
        <v>2534</v>
      </c>
      <c r="Q555" s="32"/>
      <c r="R555" s="48" t="s">
        <v>216</v>
      </c>
      <c r="S555" s="32"/>
    </row>
    <row r="556" spans="2:19" x14ac:dyDescent="0.3">
      <c r="B556" t="str">
        <f>LEFT(Tabla3890134177220392[[#This Row],[Descripción del equipo]], FIND(" ", Tabla3890134177220392[[#This Row],[Descripción del equipo]] &amp; " ") - 1)</f>
        <v>Arnes</v>
      </c>
      <c r="C556" s="11" t="s">
        <v>173</v>
      </c>
      <c r="D556">
        <v>1</v>
      </c>
      <c r="E556" t="s">
        <v>160</v>
      </c>
      <c r="F556" s="91" t="s">
        <v>1056</v>
      </c>
      <c r="G556" s="15" t="str">
        <f>LEFT([1]modificado!$O$2, FIND(" ", [1]modificado!$O$2 &amp; " ") - 1)</f>
        <v>3M</v>
      </c>
      <c r="H556" s="47" t="str">
        <f>RIGHT([1]!Tabla2[[#This Row],[Marca y Modelo]], LEN([1]!Tabla2[[#This Row],[Marca y Modelo]]) - FIND(" ", [1]!Tabla2[[#This Row],[Marca y Modelo]]))</f>
        <v>Musitani Space</v>
      </c>
      <c r="I556" s="76"/>
      <c r="J556" s="76"/>
      <c r="K556" s="91" t="s">
        <v>4178</v>
      </c>
      <c r="L556" s="91" t="s">
        <v>3167</v>
      </c>
      <c r="M556" s="91" t="s">
        <v>1406</v>
      </c>
      <c r="N556" s="91" t="s">
        <v>1969</v>
      </c>
      <c r="O556" s="77"/>
      <c r="P556" s="91" t="s">
        <v>2534</v>
      </c>
      <c r="Q556" s="32"/>
      <c r="R556" s="48" t="s">
        <v>216</v>
      </c>
      <c r="S556" s="32"/>
    </row>
    <row r="557" spans="2:19" x14ac:dyDescent="0.3">
      <c r="B557" t="str">
        <f>LEFT(Tabla3890134177220392[[#This Row],[Descripción del equipo]], FIND(" ", Tabla3890134177220392[[#This Row],[Descripción del equipo]] &amp; " ") - 1)</f>
        <v>Arnes</v>
      </c>
      <c r="C557" s="11" t="s">
        <v>173</v>
      </c>
      <c r="D557">
        <v>1</v>
      </c>
      <c r="E557" t="s">
        <v>160</v>
      </c>
      <c r="F557" s="92" t="s">
        <v>1056</v>
      </c>
      <c r="G557" s="15" t="str">
        <f>LEFT([1]modificado!$O$2, FIND(" ", [1]modificado!$O$2 &amp; " ") - 1)</f>
        <v>3M</v>
      </c>
      <c r="H557" s="47" t="str">
        <f>RIGHT([1]!Tabla2[[#This Row],[Marca y Modelo]], LEN([1]!Tabla2[[#This Row],[Marca y Modelo]]) - FIND(" ", [1]!Tabla2[[#This Row],[Marca y Modelo]]))</f>
        <v>Musitani Space</v>
      </c>
      <c r="I557" s="76"/>
      <c r="J557" s="76"/>
      <c r="K557" s="92" t="s">
        <v>4178</v>
      </c>
      <c r="L557" s="92" t="s">
        <v>3168</v>
      </c>
      <c r="M557" s="92" t="s">
        <v>1406</v>
      </c>
      <c r="N557" s="92" t="s">
        <v>1970</v>
      </c>
      <c r="O557" s="77"/>
      <c r="P557" s="92" t="s">
        <v>2534</v>
      </c>
      <c r="Q557" s="32"/>
      <c r="R557" s="48" t="s">
        <v>216</v>
      </c>
      <c r="S557" s="32"/>
    </row>
    <row r="558" spans="2:19" x14ac:dyDescent="0.3">
      <c r="B558" t="str">
        <f>LEFT(Tabla3890134177220392[[#This Row],[Descripción del equipo]], FIND(" ", Tabla3890134177220392[[#This Row],[Descripción del equipo]] &amp; " ") - 1)</f>
        <v>Arnes</v>
      </c>
      <c r="C558" s="11" t="s">
        <v>173</v>
      </c>
      <c r="D558">
        <v>1</v>
      </c>
      <c r="E558" t="s">
        <v>160</v>
      </c>
      <c r="F558" s="91" t="s">
        <v>1056</v>
      </c>
      <c r="G558" s="15" t="str">
        <f>LEFT([1]modificado!$O$2, FIND(" ", [1]modificado!$O$2 &amp; " ") - 1)</f>
        <v>3M</v>
      </c>
      <c r="H558" s="47" t="str">
        <f>RIGHT([1]!Tabla2[[#This Row],[Marca y Modelo]], LEN([1]!Tabla2[[#This Row],[Marca y Modelo]]) - FIND(" ", [1]!Tabla2[[#This Row],[Marca y Modelo]]))</f>
        <v>Musitani Space</v>
      </c>
      <c r="I558" s="76"/>
      <c r="J558" s="76"/>
      <c r="K558" s="91" t="s">
        <v>4178</v>
      </c>
      <c r="L558" s="91" t="s">
        <v>3169</v>
      </c>
      <c r="M558" s="91" t="s">
        <v>1406</v>
      </c>
      <c r="N558" s="91" t="s">
        <v>1971</v>
      </c>
      <c r="O558" s="77"/>
      <c r="P558" s="91" t="s">
        <v>2534</v>
      </c>
      <c r="Q558" s="32"/>
      <c r="R558" s="48" t="s">
        <v>216</v>
      </c>
      <c r="S558" s="32"/>
    </row>
    <row r="559" spans="2:19" x14ac:dyDescent="0.3">
      <c r="B559" t="str">
        <f>LEFT(Tabla3890134177220392[[#This Row],[Descripción del equipo]], FIND(" ", Tabla3890134177220392[[#This Row],[Descripción del equipo]] &amp; " ") - 1)</f>
        <v>Arnes</v>
      </c>
      <c r="C559" s="11" t="s">
        <v>173</v>
      </c>
      <c r="D559">
        <v>1</v>
      </c>
      <c r="E559" t="s">
        <v>160</v>
      </c>
      <c r="F559" s="92" t="s">
        <v>1056</v>
      </c>
      <c r="G559" s="15" t="str">
        <f>LEFT([1]modificado!$O$2, FIND(" ", [1]modificado!$O$2 &amp; " ") - 1)</f>
        <v>3M</v>
      </c>
      <c r="H559" s="47" t="str">
        <f>RIGHT([1]!Tabla2[[#This Row],[Marca y Modelo]], LEN([1]!Tabla2[[#This Row],[Marca y Modelo]]) - FIND(" ", [1]!Tabla2[[#This Row],[Marca y Modelo]]))</f>
        <v>Musitani Space</v>
      </c>
      <c r="I559" s="76"/>
      <c r="J559" s="76"/>
      <c r="K559" s="92" t="s">
        <v>4178</v>
      </c>
      <c r="L559" s="92" t="s">
        <v>3170</v>
      </c>
      <c r="M559" s="92" t="s">
        <v>1406</v>
      </c>
      <c r="N559" s="92" t="s">
        <v>1972</v>
      </c>
      <c r="O559" s="77"/>
      <c r="P559" s="92" t="s">
        <v>2534</v>
      </c>
      <c r="Q559" s="32"/>
      <c r="R559" s="48" t="s">
        <v>216</v>
      </c>
      <c r="S559" s="32"/>
    </row>
    <row r="560" spans="2:19" x14ac:dyDescent="0.3">
      <c r="B560" t="str">
        <f>LEFT(Tabla3890134177220392[[#This Row],[Descripción del equipo]], FIND(" ", Tabla3890134177220392[[#This Row],[Descripción del equipo]] &amp; " ") - 1)</f>
        <v>Arnes</v>
      </c>
      <c r="C560" s="11" t="s">
        <v>173</v>
      </c>
      <c r="D560">
        <v>1</v>
      </c>
      <c r="E560" t="s">
        <v>160</v>
      </c>
      <c r="F560" s="91" t="s">
        <v>1056</v>
      </c>
      <c r="G560" s="15" t="str">
        <f>LEFT([1]modificado!$O$2, FIND(" ", [1]modificado!$O$2 &amp; " ") - 1)</f>
        <v>3M</v>
      </c>
      <c r="H560" s="47" t="str">
        <f>RIGHT([1]!Tabla2[[#This Row],[Marca y Modelo]], LEN([1]!Tabla2[[#This Row],[Marca y Modelo]]) - FIND(" ", [1]!Tabla2[[#This Row],[Marca y Modelo]]))</f>
        <v>Basic Lion</v>
      </c>
      <c r="I560" s="76"/>
      <c r="J560" s="76"/>
      <c r="K560" s="91" t="s">
        <v>4178</v>
      </c>
      <c r="L560" s="91" t="s">
        <v>3171</v>
      </c>
      <c r="M560" s="91" t="s">
        <v>1404</v>
      </c>
      <c r="N560" s="91" t="s">
        <v>1973</v>
      </c>
      <c r="O560" s="77"/>
      <c r="P560" s="91" t="s">
        <v>2534</v>
      </c>
      <c r="Q560" s="32"/>
      <c r="R560" s="48" t="s">
        <v>216</v>
      </c>
      <c r="S560" s="32"/>
    </row>
    <row r="561" spans="2:19" x14ac:dyDescent="0.3">
      <c r="B561" t="str">
        <f>LEFT(Tabla3890134177220392[[#This Row],[Descripción del equipo]], FIND(" ", Tabla3890134177220392[[#This Row],[Descripción del equipo]] &amp; " ") - 1)</f>
        <v>Arnes</v>
      </c>
      <c r="C561" s="11" t="s">
        <v>173</v>
      </c>
      <c r="D561">
        <v>1</v>
      </c>
      <c r="E561" t="s">
        <v>160</v>
      </c>
      <c r="F561" s="92" t="s">
        <v>1056</v>
      </c>
      <c r="G561" s="15" t="str">
        <f>LEFT([1]modificado!$O$2, FIND(" ", [1]modificado!$O$2 &amp; " ") - 1)</f>
        <v>3M</v>
      </c>
      <c r="H561" s="47" t="str">
        <f>RIGHT([1]!Tabla2[[#This Row],[Marca y Modelo]], LEN([1]!Tabla2[[#This Row],[Marca y Modelo]]) - FIND(" ", [1]!Tabla2[[#This Row],[Marca y Modelo]]))</f>
        <v>Basic Lion</v>
      </c>
      <c r="I561" s="76"/>
      <c r="J561" s="76"/>
      <c r="K561" s="92" t="s">
        <v>4178</v>
      </c>
      <c r="L561" s="92" t="s">
        <v>3172</v>
      </c>
      <c r="M561" s="92" t="s">
        <v>1404</v>
      </c>
      <c r="N561" s="92" t="s">
        <v>1974</v>
      </c>
      <c r="O561" s="77"/>
      <c r="P561" s="92" t="s">
        <v>2534</v>
      </c>
      <c r="Q561" s="32"/>
      <c r="R561" s="48" t="s">
        <v>216</v>
      </c>
      <c r="S561" s="32"/>
    </row>
    <row r="562" spans="2:19" x14ac:dyDescent="0.3">
      <c r="B562" t="str">
        <f>LEFT(Tabla3890134177220392[[#This Row],[Descripción del equipo]], FIND(" ", Tabla3890134177220392[[#This Row],[Descripción del equipo]] &amp; " ") - 1)</f>
        <v>Arnes</v>
      </c>
      <c r="C562" s="11" t="s">
        <v>173</v>
      </c>
      <c r="D562">
        <v>1</v>
      </c>
      <c r="E562" t="s">
        <v>160</v>
      </c>
      <c r="F562" s="91" t="s">
        <v>1056</v>
      </c>
      <c r="G562" s="15" t="str">
        <f>LEFT([1]modificado!$O$2, FIND(" ", [1]modificado!$O$2 &amp; " ") - 1)</f>
        <v>3M</v>
      </c>
      <c r="H562" s="47" t="str">
        <f>RIGHT([1]!Tabla2[[#This Row],[Marca y Modelo]], LEN([1]!Tabla2[[#This Row],[Marca y Modelo]]) - FIND(" ", [1]!Tabla2[[#This Row],[Marca y Modelo]]))</f>
        <v>Musitani Space</v>
      </c>
      <c r="I562" s="76"/>
      <c r="J562" s="76"/>
      <c r="K562" s="91" t="s">
        <v>4178</v>
      </c>
      <c r="L562" s="91" t="s">
        <v>3173</v>
      </c>
      <c r="M562" s="91" t="s">
        <v>1406</v>
      </c>
      <c r="N562" s="91" t="s">
        <v>1975</v>
      </c>
      <c r="O562" s="77"/>
      <c r="P562" s="91" t="s">
        <v>2534</v>
      </c>
      <c r="Q562" s="32"/>
      <c r="R562" s="48" t="s">
        <v>216</v>
      </c>
      <c r="S562" s="32"/>
    </row>
    <row r="563" spans="2:19" x14ac:dyDescent="0.3">
      <c r="B563" t="str">
        <f>LEFT(Tabla3890134177220392[[#This Row],[Descripción del equipo]], FIND(" ", Tabla3890134177220392[[#This Row],[Descripción del equipo]] &amp; " ") - 1)</f>
        <v>Arnes</v>
      </c>
      <c r="C563" s="11" t="s">
        <v>173</v>
      </c>
      <c r="D563">
        <v>1</v>
      </c>
      <c r="E563" t="s">
        <v>160</v>
      </c>
      <c r="F563" s="92" t="s">
        <v>1056</v>
      </c>
      <c r="G563" s="15" t="str">
        <f>LEFT([1]modificado!$O$2, FIND(" ", [1]modificado!$O$2 &amp; " ") - 1)</f>
        <v>3M</v>
      </c>
      <c r="H563" s="47" t="str">
        <f>RIGHT([1]!Tabla2[[#This Row],[Marca y Modelo]], LEN([1]!Tabla2[[#This Row],[Marca y Modelo]]) - FIND(" ", [1]!Tabla2[[#This Row],[Marca y Modelo]]))</f>
        <v>Musitani Space</v>
      </c>
      <c r="I563" s="76"/>
      <c r="J563" s="76"/>
      <c r="K563" s="92" t="s">
        <v>4178</v>
      </c>
      <c r="L563" s="92" t="s">
        <v>3174</v>
      </c>
      <c r="M563" s="92" t="s">
        <v>1406</v>
      </c>
      <c r="N563" s="92" t="s">
        <v>1976</v>
      </c>
      <c r="O563" s="77"/>
      <c r="P563" s="92" t="s">
        <v>2534</v>
      </c>
      <c r="Q563" s="32"/>
      <c r="R563" s="48" t="s">
        <v>216</v>
      </c>
      <c r="S563" s="32"/>
    </row>
    <row r="564" spans="2:19" x14ac:dyDescent="0.3">
      <c r="B564" t="str">
        <f>LEFT(Tabla3890134177220392[[#This Row],[Descripción del equipo]], FIND(" ", Tabla3890134177220392[[#This Row],[Descripción del equipo]] &amp; " ") - 1)</f>
        <v>Arnes</v>
      </c>
      <c r="C564" s="11" t="s">
        <v>173</v>
      </c>
      <c r="D564">
        <v>1</v>
      </c>
      <c r="E564" t="s">
        <v>160</v>
      </c>
      <c r="F564" s="91" t="s">
        <v>1056</v>
      </c>
      <c r="G564" s="15" t="str">
        <f>LEFT([1]modificado!$O$2, FIND(" ", [1]modificado!$O$2 &amp; " ") - 1)</f>
        <v>3M</v>
      </c>
      <c r="H564" s="47" t="str">
        <f>RIGHT([1]!Tabla2[[#This Row],[Marca y Modelo]], LEN([1]!Tabla2[[#This Row],[Marca y Modelo]]) - FIND(" ", [1]!Tabla2[[#This Row],[Marca y Modelo]]))</f>
        <v>Basic Lion</v>
      </c>
      <c r="I564" s="76"/>
      <c r="J564" s="76"/>
      <c r="K564" s="91" t="s">
        <v>4178</v>
      </c>
      <c r="L564" s="91" t="s">
        <v>3175</v>
      </c>
      <c r="M564" s="91" t="s">
        <v>1404</v>
      </c>
      <c r="N564" s="91" t="s">
        <v>1977</v>
      </c>
      <c r="O564" s="77"/>
      <c r="P564" s="91" t="s">
        <v>2534</v>
      </c>
      <c r="Q564" s="32"/>
      <c r="R564" s="48" t="s">
        <v>216</v>
      </c>
      <c r="S564" s="32"/>
    </row>
    <row r="565" spans="2:19" x14ac:dyDescent="0.3">
      <c r="B565" t="str">
        <f>LEFT(Tabla3890134177220392[[#This Row],[Descripción del equipo]], FIND(" ", Tabla3890134177220392[[#This Row],[Descripción del equipo]] &amp; " ") - 1)</f>
        <v>Arnes</v>
      </c>
      <c r="C565" s="11" t="s">
        <v>173</v>
      </c>
      <c r="D565">
        <v>1</v>
      </c>
      <c r="E565" t="s">
        <v>160</v>
      </c>
      <c r="F565" s="92" t="s">
        <v>1056</v>
      </c>
      <c r="G565" s="15" t="str">
        <f>LEFT([1]modificado!$O$2, FIND(" ", [1]modificado!$O$2 &amp; " ") - 1)</f>
        <v>3M</v>
      </c>
      <c r="H565" s="47" t="str">
        <f>RIGHT([1]!Tabla2[[#This Row],[Marca y Modelo]], LEN([1]!Tabla2[[#This Row],[Marca y Modelo]]) - FIND(" ", [1]!Tabla2[[#This Row],[Marca y Modelo]]))</f>
        <v>Basic Lion</v>
      </c>
      <c r="I565" s="76"/>
      <c r="J565" s="76"/>
      <c r="K565" s="92" t="s">
        <v>4178</v>
      </c>
      <c r="L565" s="92" t="s">
        <v>3176</v>
      </c>
      <c r="M565" s="92" t="s">
        <v>1404</v>
      </c>
      <c r="N565" s="92" t="s">
        <v>1978</v>
      </c>
      <c r="O565" s="77"/>
      <c r="P565" s="92" t="s">
        <v>2534</v>
      </c>
      <c r="Q565" s="32"/>
      <c r="R565" s="48" t="s">
        <v>216</v>
      </c>
      <c r="S565" s="32"/>
    </row>
    <row r="566" spans="2:19" x14ac:dyDescent="0.3">
      <c r="B566" t="str">
        <f>LEFT(Tabla3890134177220392[[#This Row],[Descripción del equipo]], FIND(" ", Tabla3890134177220392[[#This Row],[Descripción del equipo]] &amp; " ") - 1)</f>
        <v>Arnes</v>
      </c>
      <c r="C566" s="11" t="s">
        <v>173</v>
      </c>
      <c r="D566">
        <v>1</v>
      </c>
      <c r="E566" t="s">
        <v>160</v>
      </c>
      <c r="F566" s="91" t="s">
        <v>1068</v>
      </c>
      <c r="G566" s="15" t="str">
        <f>LEFT([1]modificado!$O$2, FIND(" ", [1]modificado!$O$2 &amp; " ") - 1)</f>
        <v>3M</v>
      </c>
      <c r="H566" s="47" t="str">
        <f>RIGHT([1]!Tabla2[[#This Row],[Marca y Modelo]], LEN([1]!Tabla2[[#This Row],[Marca y Modelo]]) - FIND(" ", [1]!Tabla2[[#This Row],[Marca y Modelo]]))</f>
        <v>1021-LOGO</v>
      </c>
      <c r="I566" s="76"/>
      <c r="J566" s="76"/>
      <c r="K566" s="91" t="s">
        <v>4179</v>
      </c>
      <c r="L566" s="91" t="s">
        <v>3177</v>
      </c>
      <c r="M566" s="91" t="s">
        <v>1404</v>
      </c>
      <c r="N566" s="91" t="s">
        <v>1979</v>
      </c>
      <c r="O566" s="77"/>
      <c r="P566" s="91" t="s">
        <v>2534</v>
      </c>
      <c r="Q566" s="32"/>
      <c r="R566" s="48" t="s">
        <v>216</v>
      </c>
      <c r="S566" s="32"/>
    </row>
    <row r="567" spans="2:19" x14ac:dyDescent="0.3">
      <c r="B567" t="str">
        <f>LEFT(Tabla3890134177220392[[#This Row],[Descripción del equipo]], FIND(" ", Tabla3890134177220392[[#This Row],[Descripción del equipo]] &amp; " ") - 1)</f>
        <v>Arnes</v>
      </c>
      <c r="C567" s="11" t="s">
        <v>173</v>
      </c>
      <c r="D567">
        <v>1</v>
      </c>
      <c r="E567" t="s">
        <v>160</v>
      </c>
      <c r="F567" s="92" t="s">
        <v>1068</v>
      </c>
      <c r="G567" s="15" t="str">
        <f>LEFT([1]modificado!$O$2, FIND(" ", [1]modificado!$O$2 &amp; " ") - 1)</f>
        <v>3M</v>
      </c>
      <c r="H567" s="47" t="str">
        <f>RIGHT([1]!Tabla2[[#This Row],[Marca y Modelo]], LEN([1]!Tabla2[[#This Row],[Marca y Modelo]]) - FIND(" ", [1]!Tabla2[[#This Row],[Marca y Modelo]]))</f>
        <v>1021-LOGO</v>
      </c>
      <c r="I567" s="76"/>
      <c r="J567" s="76"/>
      <c r="K567" s="92" t="s">
        <v>4179</v>
      </c>
      <c r="L567" s="92" t="s">
        <v>3178</v>
      </c>
      <c r="M567" s="92" t="s">
        <v>1404</v>
      </c>
      <c r="N567" s="92" t="s">
        <v>1980</v>
      </c>
      <c r="O567" s="77"/>
      <c r="P567" s="92" t="s">
        <v>2534</v>
      </c>
      <c r="Q567" s="32"/>
      <c r="R567" s="48" t="s">
        <v>216</v>
      </c>
      <c r="S567" s="32"/>
    </row>
    <row r="568" spans="2:19" x14ac:dyDescent="0.3">
      <c r="B568" t="str">
        <f>LEFT(Tabla3890134177220392[[#This Row],[Descripción del equipo]], FIND(" ", Tabla3890134177220392[[#This Row],[Descripción del equipo]] &amp; " ") - 1)</f>
        <v>Arnes</v>
      </c>
      <c r="C568" s="11" t="s">
        <v>173</v>
      </c>
      <c r="D568">
        <v>1</v>
      </c>
      <c r="E568" t="s">
        <v>160</v>
      </c>
      <c r="F568" s="91" t="s">
        <v>1056</v>
      </c>
      <c r="G568" s="15" t="str">
        <f>LEFT([1]modificado!$O$2, FIND(" ", [1]modificado!$O$2 &amp; " ") - 1)</f>
        <v>3M</v>
      </c>
      <c r="H568" s="47" t="str">
        <f>RIGHT([1]!Tabla2[[#This Row],[Marca y Modelo]], LEN([1]!Tabla2[[#This Row],[Marca y Modelo]]) - FIND(" ", [1]!Tabla2[[#This Row],[Marca y Modelo]]))</f>
        <v>10911F-LOGO</v>
      </c>
      <c r="I568" s="76"/>
      <c r="J568" s="76"/>
      <c r="K568" s="91" t="s">
        <v>4179</v>
      </c>
      <c r="L568" s="91" t="s">
        <v>3179</v>
      </c>
      <c r="M568" s="91" t="s">
        <v>1404</v>
      </c>
      <c r="N568" s="91" t="s">
        <v>1981</v>
      </c>
      <c r="O568" s="77"/>
      <c r="P568" s="91" t="s">
        <v>2534</v>
      </c>
      <c r="Q568" s="32"/>
      <c r="R568" s="48" t="s">
        <v>216</v>
      </c>
      <c r="S568" s="32"/>
    </row>
    <row r="569" spans="2:19" x14ac:dyDescent="0.3">
      <c r="B569" t="str">
        <f>LEFT(Tabla3890134177220392[[#This Row],[Descripción del equipo]], FIND(" ", Tabla3890134177220392[[#This Row],[Descripción del equipo]] &amp; " ") - 1)</f>
        <v>Arnes</v>
      </c>
      <c r="C569" s="11" t="s">
        <v>173</v>
      </c>
      <c r="D569">
        <v>1</v>
      </c>
      <c r="E569" t="s">
        <v>160</v>
      </c>
      <c r="F569" s="92" t="s">
        <v>1056</v>
      </c>
      <c r="G569" s="15" t="str">
        <f>LEFT([1]modificado!$O$2, FIND(" ", [1]modificado!$O$2 &amp; " ") - 1)</f>
        <v>3M</v>
      </c>
      <c r="H569" s="47" t="str">
        <f>RIGHT([1]!Tabla2[[#This Row],[Marca y Modelo]], LEN([1]!Tabla2[[#This Row],[Marca y Modelo]]) - FIND(" ", [1]!Tabla2[[#This Row],[Marca y Modelo]]))</f>
        <v>Basic Lion</v>
      </c>
      <c r="I569" s="76"/>
      <c r="J569" s="76"/>
      <c r="K569" s="92" t="s">
        <v>4179</v>
      </c>
      <c r="L569" s="92" t="s">
        <v>3180</v>
      </c>
      <c r="M569" s="92" t="s">
        <v>1404</v>
      </c>
      <c r="N569" s="92" t="s">
        <v>1982</v>
      </c>
      <c r="O569" s="77"/>
      <c r="P569" s="92" t="s">
        <v>2534</v>
      </c>
      <c r="Q569" s="32"/>
      <c r="R569" s="48" t="s">
        <v>216</v>
      </c>
      <c r="S569" s="32"/>
    </row>
    <row r="570" spans="2:19" x14ac:dyDescent="0.3">
      <c r="B570" t="str">
        <f>LEFT(Tabla3890134177220392[[#This Row],[Descripción del equipo]], FIND(" ", Tabla3890134177220392[[#This Row],[Descripción del equipo]] &amp; " ") - 1)</f>
        <v>Arnes</v>
      </c>
      <c r="C570" s="11" t="s">
        <v>173</v>
      </c>
      <c r="D570">
        <v>1</v>
      </c>
      <c r="E570" t="s">
        <v>160</v>
      </c>
      <c r="F570" s="91" t="s">
        <v>1056</v>
      </c>
      <c r="G570" s="15" t="str">
        <f>LEFT([1]modificado!$O$2, FIND(" ", [1]modificado!$O$2 &amp; " ") - 1)</f>
        <v>3M</v>
      </c>
      <c r="H570" s="47" t="str">
        <f>RIGHT([1]!Tabla2[[#This Row],[Marca y Modelo]], LEN([1]!Tabla2[[#This Row],[Marca y Modelo]]) - FIND(" ", [1]!Tabla2[[#This Row],[Marca y Modelo]]))</f>
        <v>Basic Lion</v>
      </c>
      <c r="I570" s="76"/>
      <c r="J570" s="76"/>
      <c r="K570" s="91" t="s">
        <v>4179</v>
      </c>
      <c r="L570" s="91" t="s">
        <v>3181</v>
      </c>
      <c r="M570" s="91" t="s">
        <v>1404</v>
      </c>
      <c r="N570" s="91" t="s">
        <v>1983</v>
      </c>
      <c r="O570" s="77"/>
      <c r="P570" s="91" t="s">
        <v>2534</v>
      </c>
      <c r="Q570" s="32"/>
      <c r="R570" s="48" t="s">
        <v>216</v>
      </c>
      <c r="S570" s="32"/>
    </row>
    <row r="571" spans="2:19" x14ac:dyDescent="0.3">
      <c r="B571" t="str">
        <f>LEFT(Tabla3890134177220392[[#This Row],[Descripción del equipo]], FIND(" ", Tabla3890134177220392[[#This Row],[Descripción del equipo]] &amp; " ") - 1)</f>
        <v>Arnes</v>
      </c>
      <c r="C571" s="11" t="s">
        <v>173</v>
      </c>
      <c r="D571">
        <v>1</v>
      </c>
      <c r="E571" t="s">
        <v>160</v>
      </c>
      <c r="F571" s="92" t="s">
        <v>1056</v>
      </c>
      <c r="G571" s="15" t="str">
        <f>LEFT([1]modificado!$O$2, FIND(" ", [1]modificado!$O$2 &amp; " ") - 1)</f>
        <v>3M</v>
      </c>
      <c r="H571" s="47" t="str">
        <f>RIGHT([1]!Tabla2[[#This Row],[Marca y Modelo]], LEN([1]!Tabla2[[#This Row],[Marca y Modelo]]) - FIND(" ", [1]!Tabla2[[#This Row],[Marca y Modelo]]))</f>
        <v>Basic Lion</v>
      </c>
      <c r="I571" s="76"/>
      <c r="J571" s="76"/>
      <c r="K571" s="92" t="s">
        <v>4179</v>
      </c>
      <c r="L571" s="92" t="s">
        <v>3182</v>
      </c>
      <c r="M571" s="92" t="s">
        <v>1404</v>
      </c>
      <c r="N571" s="92" t="s">
        <v>1984</v>
      </c>
      <c r="O571" s="77"/>
      <c r="P571" s="92" t="s">
        <v>2534</v>
      </c>
      <c r="Q571" s="32"/>
      <c r="R571" s="48" t="s">
        <v>216</v>
      </c>
      <c r="S571" s="32"/>
    </row>
    <row r="572" spans="2:19" x14ac:dyDescent="0.3">
      <c r="B572" t="str">
        <f>LEFT(Tabla3890134177220392[[#This Row],[Descripción del equipo]], FIND(" ", Tabla3890134177220392[[#This Row],[Descripción del equipo]] &amp; " ") - 1)</f>
        <v>Arnes</v>
      </c>
      <c r="C572" s="11" t="s">
        <v>173</v>
      </c>
      <c r="D572">
        <v>1</v>
      </c>
      <c r="E572" t="s">
        <v>160</v>
      </c>
      <c r="F572" s="91" t="s">
        <v>1056</v>
      </c>
      <c r="G572" s="15" t="str">
        <f>LEFT([1]modificado!$O$2, FIND(" ", [1]modificado!$O$2 &amp; " ") - 1)</f>
        <v>3M</v>
      </c>
      <c r="H572" s="47" t="str">
        <f>RIGHT([1]!Tabla2[[#This Row],[Marca y Modelo]], LEN([1]!Tabla2[[#This Row],[Marca y Modelo]]) - FIND(" ", [1]!Tabla2[[#This Row],[Marca y Modelo]]))</f>
        <v>Musitani Space</v>
      </c>
      <c r="I572" s="76"/>
      <c r="J572" s="76"/>
      <c r="K572" s="91" t="s">
        <v>4179</v>
      </c>
      <c r="L572" s="91" t="s">
        <v>3183</v>
      </c>
      <c r="M572" s="91" t="s">
        <v>1406</v>
      </c>
      <c r="N572" s="91" t="s">
        <v>1985</v>
      </c>
      <c r="O572" s="77"/>
      <c r="P572" s="91" t="s">
        <v>2534</v>
      </c>
      <c r="Q572" s="32"/>
      <c r="R572" s="48" t="s">
        <v>216</v>
      </c>
      <c r="S572" s="32"/>
    </row>
    <row r="573" spans="2:19" x14ac:dyDescent="0.3">
      <c r="B573" t="str">
        <f>LEFT(Tabla3890134177220392[[#This Row],[Descripción del equipo]], FIND(" ", Tabla3890134177220392[[#This Row],[Descripción del equipo]] &amp; " ") - 1)</f>
        <v>Arnes</v>
      </c>
      <c r="C573" s="11" t="s">
        <v>173</v>
      </c>
      <c r="D573">
        <v>1</v>
      </c>
      <c r="E573" t="s">
        <v>160</v>
      </c>
      <c r="F573" s="92" t="s">
        <v>1056</v>
      </c>
      <c r="G573" s="15" t="str">
        <f>LEFT([1]modificado!$O$2, FIND(" ", [1]modificado!$O$2 &amp; " ") - 1)</f>
        <v>3M</v>
      </c>
      <c r="H573" s="47" t="str">
        <f>RIGHT([1]!Tabla2[[#This Row],[Marca y Modelo]], LEN([1]!Tabla2[[#This Row],[Marca y Modelo]]) - FIND(" ", [1]!Tabla2[[#This Row],[Marca y Modelo]]))</f>
        <v>Basic Lion</v>
      </c>
      <c r="I573" s="76"/>
      <c r="J573" s="76"/>
      <c r="K573" s="92" t="s">
        <v>4179</v>
      </c>
      <c r="L573" s="92" t="s">
        <v>3184</v>
      </c>
      <c r="M573" s="92" t="s">
        <v>1404</v>
      </c>
      <c r="N573" s="92" t="s">
        <v>1986</v>
      </c>
      <c r="O573" s="77"/>
      <c r="P573" s="92" t="s">
        <v>2534</v>
      </c>
      <c r="Q573" s="32"/>
      <c r="R573" s="48" t="s">
        <v>216</v>
      </c>
      <c r="S573" s="32"/>
    </row>
    <row r="574" spans="2:19" x14ac:dyDescent="0.3">
      <c r="B574" t="str">
        <f>LEFT(Tabla3890134177220392[[#This Row],[Descripción del equipo]], FIND(" ", Tabla3890134177220392[[#This Row],[Descripción del equipo]] &amp; " ") - 1)</f>
        <v>Arnes</v>
      </c>
      <c r="C574" s="11" t="s">
        <v>173</v>
      </c>
      <c r="D574">
        <v>1</v>
      </c>
      <c r="E574" t="s">
        <v>160</v>
      </c>
      <c r="F574" s="91" t="s">
        <v>1056</v>
      </c>
      <c r="G574" s="15" t="str">
        <f>LEFT([1]modificado!$O$2, FIND(" ", [1]modificado!$O$2 &amp; " ") - 1)</f>
        <v>3M</v>
      </c>
      <c r="H574" s="47" t="str">
        <f>RIGHT([1]!Tabla2[[#This Row],[Marca y Modelo]], LEN([1]!Tabla2[[#This Row],[Marca y Modelo]]) - FIND(" ", [1]!Tabla2[[#This Row],[Marca y Modelo]]))</f>
        <v>Basic Lion</v>
      </c>
      <c r="I574" s="76"/>
      <c r="J574" s="76"/>
      <c r="K574" s="91" t="s">
        <v>4179</v>
      </c>
      <c r="L574" s="91" t="s">
        <v>3185</v>
      </c>
      <c r="M574" s="91" t="s">
        <v>1404</v>
      </c>
      <c r="N574" s="91" t="s">
        <v>1987</v>
      </c>
      <c r="O574" s="77"/>
      <c r="P574" s="91" t="s">
        <v>2534</v>
      </c>
      <c r="Q574" s="32"/>
      <c r="R574" s="48" t="s">
        <v>216</v>
      </c>
      <c r="S574" s="32"/>
    </row>
    <row r="575" spans="2:19" x14ac:dyDescent="0.3">
      <c r="B575" t="str">
        <f>LEFT(Tabla3890134177220392[[#This Row],[Descripción del equipo]], FIND(" ", Tabla3890134177220392[[#This Row],[Descripción del equipo]] &amp; " ") - 1)</f>
        <v>Arnes</v>
      </c>
      <c r="C575" s="11" t="s">
        <v>173</v>
      </c>
      <c r="D575">
        <v>1</v>
      </c>
      <c r="E575" t="s">
        <v>160</v>
      </c>
      <c r="F575" s="92" t="s">
        <v>1056</v>
      </c>
      <c r="G575" s="15" t="str">
        <f>LEFT([1]modificado!$O$2, FIND(" ", [1]modificado!$O$2 &amp; " ") - 1)</f>
        <v>3M</v>
      </c>
      <c r="H575" s="47" t="str">
        <f>RIGHT([1]!Tabla2[[#This Row],[Marca y Modelo]], LEN([1]!Tabla2[[#This Row],[Marca y Modelo]]) - FIND(" ", [1]!Tabla2[[#This Row],[Marca y Modelo]]))</f>
        <v>Basic Lion</v>
      </c>
      <c r="I575" s="76"/>
      <c r="J575" s="76"/>
      <c r="K575" s="92" t="s">
        <v>4179</v>
      </c>
      <c r="L575" s="92" t="s">
        <v>3186</v>
      </c>
      <c r="M575" s="92" t="s">
        <v>1404</v>
      </c>
      <c r="N575" s="92" t="s">
        <v>1988</v>
      </c>
      <c r="O575" s="77"/>
      <c r="P575" s="92" t="s">
        <v>2534</v>
      </c>
      <c r="Q575" s="32"/>
      <c r="R575" s="48" t="s">
        <v>216</v>
      </c>
      <c r="S575" s="32"/>
    </row>
    <row r="576" spans="2:19" x14ac:dyDescent="0.3">
      <c r="B576" t="str">
        <f>LEFT(Tabla3890134177220392[[#This Row],[Descripción del equipo]], FIND(" ", Tabla3890134177220392[[#This Row],[Descripción del equipo]] &amp; " ") - 1)</f>
        <v>Arnes</v>
      </c>
      <c r="C576" s="11" t="s">
        <v>173</v>
      </c>
      <c r="D576">
        <v>1</v>
      </c>
      <c r="E576" t="s">
        <v>160</v>
      </c>
      <c r="F576" s="91" t="s">
        <v>1056</v>
      </c>
      <c r="G576" s="15" t="str">
        <f>LEFT([1]modificado!$O$2, FIND(" ", [1]modificado!$O$2 &amp; " ") - 1)</f>
        <v>3M</v>
      </c>
      <c r="H576" s="47" t="str">
        <f>RIGHT([1]!Tabla2[[#This Row],[Marca y Modelo]], LEN([1]!Tabla2[[#This Row],[Marca y Modelo]]) - FIND(" ", [1]!Tabla2[[#This Row],[Marca y Modelo]]))</f>
        <v>Musitani Space</v>
      </c>
      <c r="I576" s="76"/>
      <c r="J576" s="76"/>
      <c r="K576" s="91" t="s">
        <v>4179</v>
      </c>
      <c r="L576" s="91" t="s">
        <v>3187</v>
      </c>
      <c r="M576" s="91" t="s">
        <v>1406</v>
      </c>
      <c r="N576" s="91" t="s">
        <v>1989</v>
      </c>
      <c r="O576" s="77"/>
      <c r="P576" s="91" t="s">
        <v>2534</v>
      </c>
      <c r="Q576" s="32"/>
      <c r="R576" s="48" t="s">
        <v>216</v>
      </c>
      <c r="S576" s="32"/>
    </row>
    <row r="577" spans="2:19" x14ac:dyDescent="0.3">
      <c r="B577" t="str">
        <f>LEFT(Tabla3890134177220392[[#This Row],[Descripción del equipo]], FIND(" ", Tabla3890134177220392[[#This Row],[Descripción del equipo]] &amp; " ") - 1)</f>
        <v>Arnes</v>
      </c>
      <c r="C577" s="11" t="s">
        <v>173</v>
      </c>
      <c r="D577">
        <v>1</v>
      </c>
      <c r="E577" t="s">
        <v>160</v>
      </c>
      <c r="F577" s="92" t="s">
        <v>1056</v>
      </c>
      <c r="G577" s="15" t="str">
        <f>LEFT([1]modificado!$O$2, FIND(" ", [1]modificado!$O$2 &amp; " ") - 1)</f>
        <v>3M</v>
      </c>
      <c r="H577" s="47" t="str">
        <f>RIGHT([1]!Tabla2[[#This Row],[Marca y Modelo]], LEN([1]!Tabla2[[#This Row],[Marca y Modelo]]) - FIND(" ", [1]!Tabla2[[#This Row],[Marca y Modelo]]))</f>
        <v>Musitani Space</v>
      </c>
      <c r="I577" s="76"/>
      <c r="J577" s="76"/>
      <c r="K577" s="92" t="s">
        <v>4179</v>
      </c>
      <c r="L577" s="92" t="s">
        <v>3188</v>
      </c>
      <c r="M577" s="92" t="s">
        <v>1406</v>
      </c>
      <c r="N577" s="92" t="s">
        <v>1990</v>
      </c>
      <c r="O577" s="77"/>
      <c r="P577" s="92" t="s">
        <v>2534</v>
      </c>
      <c r="Q577" s="32"/>
      <c r="R577" s="48" t="s">
        <v>216</v>
      </c>
      <c r="S577" s="32"/>
    </row>
    <row r="578" spans="2:19" x14ac:dyDescent="0.3">
      <c r="B578" t="str">
        <f>LEFT(Tabla3890134177220392[[#This Row],[Descripción del equipo]], FIND(" ", Tabla3890134177220392[[#This Row],[Descripción del equipo]] &amp; " ") - 1)</f>
        <v>Arnes</v>
      </c>
      <c r="C578" s="11" t="s">
        <v>173</v>
      </c>
      <c r="D578">
        <v>1</v>
      </c>
      <c r="E578" t="s">
        <v>160</v>
      </c>
      <c r="F578" s="91" t="s">
        <v>1056</v>
      </c>
      <c r="G578" s="15" t="str">
        <f>LEFT([1]modificado!$O$2, FIND(" ", [1]modificado!$O$2 &amp; " ") - 1)</f>
        <v>3M</v>
      </c>
      <c r="H578" s="47" t="str">
        <f>RIGHT([1]!Tabla2[[#This Row],[Marca y Modelo]], LEN([1]!Tabla2[[#This Row],[Marca y Modelo]]) - FIND(" ", [1]!Tabla2[[#This Row],[Marca y Modelo]]))</f>
        <v>10911F-LOGO</v>
      </c>
      <c r="I578" s="76"/>
      <c r="J578" s="76"/>
      <c r="K578" s="91" t="s">
        <v>4179</v>
      </c>
      <c r="L578" s="91" t="s">
        <v>3189</v>
      </c>
      <c r="M578" s="91" t="s">
        <v>1404</v>
      </c>
      <c r="N578" s="91" t="s">
        <v>1991</v>
      </c>
      <c r="O578" s="77"/>
      <c r="P578" s="91" t="s">
        <v>2534</v>
      </c>
      <c r="Q578" s="32"/>
      <c r="R578" s="48" t="s">
        <v>216</v>
      </c>
      <c r="S578" s="32"/>
    </row>
    <row r="579" spans="2:19" x14ac:dyDescent="0.3">
      <c r="B579" t="str">
        <f>LEFT(Tabla3890134177220392[[#This Row],[Descripción del equipo]], FIND(" ", Tabla3890134177220392[[#This Row],[Descripción del equipo]] &amp; " ") - 1)</f>
        <v>Arnes</v>
      </c>
      <c r="C579" s="11" t="s">
        <v>173</v>
      </c>
      <c r="D579">
        <v>1</v>
      </c>
      <c r="E579" t="s">
        <v>160</v>
      </c>
      <c r="F579" s="92" t="s">
        <v>1056</v>
      </c>
      <c r="G579" s="15" t="str">
        <f>LEFT([1]modificado!$O$2, FIND(" ", [1]modificado!$O$2 &amp; " ") - 1)</f>
        <v>3M</v>
      </c>
      <c r="H579" s="47" t="str">
        <f>RIGHT([1]!Tabla2[[#This Row],[Marca y Modelo]], LEN([1]!Tabla2[[#This Row],[Marca y Modelo]]) - FIND(" ", [1]!Tabla2[[#This Row],[Marca y Modelo]]))</f>
        <v>Basic Lion</v>
      </c>
      <c r="I579" s="76"/>
      <c r="J579" s="76"/>
      <c r="K579" s="92" t="s">
        <v>4179</v>
      </c>
      <c r="L579" s="92" t="s">
        <v>3190</v>
      </c>
      <c r="M579" s="92" t="s">
        <v>1404</v>
      </c>
      <c r="N579" s="92" t="s">
        <v>1992</v>
      </c>
      <c r="O579" s="77"/>
      <c r="P579" s="92" t="s">
        <v>2534</v>
      </c>
      <c r="Q579" s="32"/>
      <c r="R579" s="48" t="s">
        <v>216</v>
      </c>
      <c r="S579" s="32"/>
    </row>
    <row r="580" spans="2:19" x14ac:dyDescent="0.3">
      <c r="B580" t="s">
        <v>4348</v>
      </c>
      <c r="C580" s="11" t="s">
        <v>173</v>
      </c>
      <c r="D580">
        <v>1</v>
      </c>
      <c r="E580" t="s">
        <v>160</v>
      </c>
      <c r="F580" s="91" t="s">
        <v>1060</v>
      </c>
      <c r="G580" s="15" t="str">
        <f>LEFT([1]modificado!$O$2, FIND(" ", [1]modificado!$O$2 &amp; " ") - 1)</f>
        <v>3M</v>
      </c>
      <c r="H580" s="47" t="str">
        <f>RIGHT([1]!Tabla2[[#This Row],[Marca y Modelo]], LEN([1]!Tabla2[[#This Row],[Marca y Modelo]]) - FIND(" ", [1]!Tabla2[[#This Row],[Marca y Modelo]]))</f>
        <v>209550-4-0241</v>
      </c>
      <c r="I580" s="76"/>
      <c r="J580" s="76"/>
      <c r="K580" s="91" t="s">
        <v>4180</v>
      </c>
      <c r="L580" s="91" t="s">
        <v>3191</v>
      </c>
      <c r="M580" s="91" t="s">
        <v>1404</v>
      </c>
      <c r="N580" s="91" t="s">
        <v>1993</v>
      </c>
      <c r="O580" s="77"/>
      <c r="P580" s="91" t="s">
        <v>2534</v>
      </c>
      <c r="Q580" s="32"/>
      <c r="R580" s="48" t="s">
        <v>216</v>
      </c>
      <c r="S580" s="32"/>
    </row>
    <row r="581" spans="2:19" x14ac:dyDescent="0.3">
      <c r="B581" t="s">
        <v>4348</v>
      </c>
      <c r="C581" s="11" t="s">
        <v>173</v>
      </c>
      <c r="D581">
        <v>1</v>
      </c>
      <c r="E581" t="s">
        <v>160</v>
      </c>
      <c r="F581" s="92" t="s">
        <v>1060</v>
      </c>
      <c r="G581" s="15" t="str">
        <f>LEFT([1]modificado!$O$2, FIND(" ", [1]modificado!$O$2 &amp; " ") - 1)</f>
        <v>3M</v>
      </c>
      <c r="H581" s="47"/>
      <c r="I581" s="76"/>
      <c r="J581" s="76"/>
      <c r="K581" s="92" t="s">
        <v>4180</v>
      </c>
      <c r="L581" s="92" t="s">
        <v>3192</v>
      </c>
      <c r="M581" s="92" t="s">
        <v>1404</v>
      </c>
      <c r="N581" s="92" t="s">
        <v>1994</v>
      </c>
      <c r="O581" s="77"/>
      <c r="P581" s="92" t="s">
        <v>2534</v>
      </c>
      <c r="Q581" s="32"/>
      <c r="R581" s="48" t="s">
        <v>216</v>
      </c>
      <c r="S581" s="32"/>
    </row>
    <row r="582" spans="2:19" x14ac:dyDescent="0.3">
      <c r="B582" t="s">
        <v>4348</v>
      </c>
      <c r="C582" s="11" t="s">
        <v>173</v>
      </c>
      <c r="D582">
        <v>1</v>
      </c>
      <c r="E582" t="s">
        <v>160</v>
      </c>
      <c r="F582" s="91" t="s">
        <v>1060</v>
      </c>
      <c r="G582" s="15" t="str">
        <f>LEFT([1]modificado!$O$2, FIND(" ", [1]modificado!$O$2 &amp; " ") - 1)</f>
        <v>3M</v>
      </c>
      <c r="H582" s="47" t="str">
        <f>RIGHT([1]!Tabla2[[#This Row],[Marca y Modelo]], LEN([1]!Tabla2[[#This Row],[Marca y Modelo]]) - FIND(" ", [1]!Tabla2[[#This Row],[Marca y Modelo]]))</f>
        <v>209550-4-0241</v>
      </c>
      <c r="I582" s="76"/>
      <c r="J582" s="76"/>
      <c r="K582" s="91" t="s">
        <v>4180</v>
      </c>
      <c r="L582" s="91" t="s">
        <v>3193</v>
      </c>
      <c r="M582" s="91" t="s">
        <v>1404</v>
      </c>
      <c r="N582" s="91" t="s">
        <v>1995</v>
      </c>
      <c r="O582" s="77"/>
      <c r="P582" s="91" t="s">
        <v>2534</v>
      </c>
      <c r="Q582" s="32"/>
      <c r="R582" s="48" t="s">
        <v>216</v>
      </c>
      <c r="S582" s="32"/>
    </row>
    <row r="583" spans="2:19" x14ac:dyDescent="0.3">
      <c r="B583" t="s">
        <v>4348</v>
      </c>
      <c r="C583" s="11" t="s">
        <v>173</v>
      </c>
      <c r="D583">
        <v>1</v>
      </c>
      <c r="E583" t="s">
        <v>160</v>
      </c>
      <c r="F583" s="92" t="s">
        <v>1060</v>
      </c>
      <c r="G583" s="15" t="str">
        <f>LEFT([1]modificado!$O$2, FIND(" ", [1]modificado!$O$2 &amp; " ") - 1)</f>
        <v>3M</v>
      </c>
      <c r="H583" s="47" t="str">
        <f>RIGHT([1]!Tabla2[[#This Row],[Marca y Modelo]], LEN([1]!Tabla2[[#This Row],[Marca y Modelo]]) - FIND(" ", [1]!Tabla2[[#This Row],[Marca y Modelo]]))</f>
        <v>209550-4-0241</v>
      </c>
      <c r="I583" s="76"/>
      <c r="J583" s="76"/>
      <c r="K583" s="92" t="s">
        <v>4180</v>
      </c>
      <c r="L583" s="92" t="s">
        <v>3194</v>
      </c>
      <c r="M583" s="92" t="s">
        <v>1404</v>
      </c>
      <c r="N583" s="92" t="s">
        <v>1996</v>
      </c>
      <c r="O583" s="77"/>
      <c r="P583" s="92" t="s">
        <v>2534</v>
      </c>
      <c r="Q583" s="32"/>
      <c r="R583" s="48" t="s">
        <v>216</v>
      </c>
      <c r="S583" s="32"/>
    </row>
    <row r="584" spans="2:19" x14ac:dyDescent="0.3">
      <c r="B584" t="s">
        <v>4348</v>
      </c>
      <c r="C584" s="11" t="s">
        <v>173</v>
      </c>
      <c r="D584">
        <v>1</v>
      </c>
      <c r="E584" t="s">
        <v>160</v>
      </c>
      <c r="F584" s="91" t="s">
        <v>1060</v>
      </c>
      <c r="G584" s="15" t="str">
        <f>LEFT([1]modificado!$O$2, FIND(" ", [1]modificado!$O$2 &amp; " ") - 1)</f>
        <v>3M</v>
      </c>
      <c r="H584" s="47" t="str">
        <f>RIGHT([1]!Tabla2[[#This Row],[Marca y Modelo]], LEN([1]!Tabla2[[#This Row],[Marca y Modelo]]) - FIND(" ", [1]!Tabla2[[#This Row],[Marca y Modelo]]))</f>
        <v>209550-4-0241</v>
      </c>
      <c r="I584" s="76"/>
      <c r="J584" s="76"/>
      <c r="K584" s="91" t="s">
        <v>4180</v>
      </c>
      <c r="L584" s="91" t="s">
        <v>3195</v>
      </c>
      <c r="M584" s="91" t="s">
        <v>1404</v>
      </c>
      <c r="N584" s="91" t="s">
        <v>1997</v>
      </c>
      <c r="O584" s="77"/>
      <c r="P584" s="91" t="s">
        <v>2534</v>
      </c>
      <c r="Q584" s="32"/>
      <c r="R584" s="48" t="s">
        <v>216</v>
      </c>
      <c r="S584" s="32"/>
    </row>
    <row r="585" spans="2:19" x14ac:dyDescent="0.3">
      <c r="B585" t="s">
        <v>4348</v>
      </c>
      <c r="C585" s="11" t="s">
        <v>173</v>
      </c>
      <c r="D585">
        <v>1</v>
      </c>
      <c r="E585" t="s">
        <v>160</v>
      </c>
      <c r="F585" s="92" t="s">
        <v>1060</v>
      </c>
      <c r="G585" s="15" t="str">
        <f>LEFT([1]modificado!$O$2, FIND(" ", [1]modificado!$O$2 &amp; " ") - 1)</f>
        <v>3M</v>
      </c>
      <c r="H585" s="47" t="str">
        <f>RIGHT([1]!Tabla2[[#This Row],[Marca y Modelo]], LEN([1]!Tabla2[[#This Row],[Marca y Modelo]]) - FIND(" ", [1]!Tabla2[[#This Row],[Marca y Modelo]]))</f>
        <v>209550-4-0241</v>
      </c>
      <c r="I585" s="76"/>
      <c r="J585" s="76"/>
      <c r="K585" s="92" t="s">
        <v>4180</v>
      </c>
      <c r="L585" s="92" t="s">
        <v>3196</v>
      </c>
      <c r="M585" s="92" t="s">
        <v>1404</v>
      </c>
      <c r="N585" s="92" t="s">
        <v>1998</v>
      </c>
      <c r="O585" s="77"/>
      <c r="P585" s="92" t="s">
        <v>2534</v>
      </c>
      <c r="Q585" s="32"/>
      <c r="R585" s="48" t="s">
        <v>216</v>
      </c>
      <c r="S585" s="32"/>
    </row>
    <row r="586" spans="2:19" x14ac:dyDescent="0.3">
      <c r="B586" t="s">
        <v>4348</v>
      </c>
      <c r="C586" s="11" t="s">
        <v>173</v>
      </c>
      <c r="D586">
        <v>1</v>
      </c>
      <c r="E586" t="s">
        <v>160</v>
      </c>
      <c r="F586" s="91" t="s">
        <v>1069</v>
      </c>
      <c r="G586" s="15" t="str">
        <f>LEFT([1]modificado!$O$2, FIND(" ", [1]modificado!$O$2 &amp; " ") - 1)</f>
        <v>3M</v>
      </c>
      <c r="H586" s="47"/>
      <c r="I586" s="76"/>
      <c r="J586" s="76"/>
      <c r="K586" s="91" t="s">
        <v>4180</v>
      </c>
      <c r="L586" s="91" t="s">
        <v>3197</v>
      </c>
      <c r="M586" s="91" t="s">
        <v>1404</v>
      </c>
      <c r="N586" s="91" t="s">
        <v>1999</v>
      </c>
      <c r="O586" s="77"/>
      <c r="P586" s="91" t="s">
        <v>2534</v>
      </c>
      <c r="Q586" s="32"/>
      <c r="R586" s="48" t="s">
        <v>216</v>
      </c>
      <c r="S586" s="32"/>
    </row>
    <row r="587" spans="2:19" x14ac:dyDescent="0.3">
      <c r="B587" t="s">
        <v>4348</v>
      </c>
      <c r="C587" s="11" t="s">
        <v>173</v>
      </c>
      <c r="D587">
        <v>1</v>
      </c>
      <c r="E587" t="s">
        <v>160</v>
      </c>
      <c r="F587" s="92" t="s">
        <v>1069</v>
      </c>
      <c r="G587" s="15" t="str">
        <f>LEFT([1]modificado!$O$2, FIND(" ", [1]modificado!$O$2 &amp; " ") - 1)</f>
        <v>3M</v>
      </c>
      <c r="H587" s="47"/>
      <c r="I587" s="76"/>
      <c r="J587" s="76"/>
      <c r="K587" s="92" t="s">
        <v>4180</v>
      </c>
      <c r="L587" s="92" t="s">
        <v>3198</v>
      </c>
      <c r="M587" s="92" t="s">
        <v>1404</v>
      </c>
      <c r="N587" s="92" t="s">
        <v>2000</v>
      </c>
      <c r="O587" s="77"/>
      <c r="P587" s="92" t="s">
        <v>2534</v>
      </c>
      <c r="Q587" s="32"/>
      <c r="R587" s="48" t="s">
        <v>216</v>
      </c>
      <c r="S587" s="32"/>
    </row>
    <row r="588" spans="2:19" x14ac:dyDescent="0.3">
      <c r="B588" t="s">
        <v>4348</v>
      </c>
      <c r="C588" s="11" t="s">
        <v>173</v>
      </c>
      <c r="D588">
        <v>1</v>
      </c>
      <c r="E588" t="s">
        <v>160</v>
      </c>
      <c r="F588" s="91" t="s">
        <v>1069</v>
      </c>
      <c r="G588" s="15" t="str">
        <f>LEFT([1]modificado!$O$2, FIND(" ", [1]modificado!$O$2 &amp; " ") - 1)</f>
        <v>3M</v>
      </c>
      <c r="H588" s="47"/>
      <c r="I588" s="76"/>
      <c r="J588" s="76"/>
      <c r="K588" s="91" t="s">
        <v>4180</v>
      </c>
      <c r="L588" s="91" t="s">
        <v>3199</v>
      </c>
      <c r="M588" s="91" t="s">
        <v>1404</v>
      </c>
      <c r="N588" s="91" t="s">
        <v>2001</v>
      </c>
      <c r="O588" s="77"/>
      <c r="P588" s="91" t="s">
        <v>2534</v>
      </c>
      <c r="Q588" s="32"/>
      <c r="R588" s="48" t="s">
        <v>216</v>
      </c>
      <c r="S588" s="32"/>
    </row>
    <row r="589" spans="2:19" x14ac:dyDescent="0.3">
      <c r="B589" t="s">
        <v>4348</v>
      </c>
      <c r="C589" s="11" t="s">
        <v>173</v>
      </c>
      <c r="D589">
        <v>1</v>
      </c>
      <c r="E589" t="s">
        <v>160</v>
      </c>
      <c r="F589" s="92" t="s">
        <v>1069</v>
      </c>
      <c r="G589" s="15" t="str">
        <f>LEFT([1]modificado!$O$2, FIND(" ", [1]modificado!$O$2 &amp; " ") - 1)</f>
        <v>3M</v>
      </c>
      <c r="H589" s="47"/>
      <c r="I589" s="76"/>
      <c r="J589" s="76"/>
      <c r="K589" s="92" t="s">
        <v>4180</v>
      </c>
      <c r="L589" s="92" t="s">
        <v>3200</v>
      </c>
      <c r="M589" s="92" t="s">
        <v>1404</v>
      </c>
      <c r="N589" s="92" t="s">
        <v>2002</v>
      </c>
      <c r="O589" s="77"/>
      <c r="P589" s="92" t="s">
        <v>2534</v>
      </c>
      <c r="Q589" s="32"/>
      <c r="R589" s="48" t="s">
        <v>216</v>
      </c>
      <c r="S589" s="32"/>
    </row>
    <row r="590" spans="2:19" x14ac:dyDescent="0.3">
      <c r="B590" t="s">
        <v>4348</v>
      </c>
      <c r="C590" s="11" t="s">
        <v>173</v>
      </c>
      <c r="D590">
        <v>1</v>
      </c>
      <c r="E590" t="s">
        <v>160</v>
      </c>
      <c r="F590" s="91" t="s">
        <v>1069</v>
      </c>
      <c r="G590" s="15" t="str">
        <f>LEFT([1]modificado!$O$2, FIND(" ", [1]modificado!$O$2 &amp; " ") - 1)</f>
        <v>3M</v>
      </c>
      <c r="H590" s="47"/>
      <c r="I590" s="76"/>
      <c r="J590" s="76"/>
      <c r="K590" s="91" t="s">
        <v>4181</v>
      </c>
      <c r="L590" s="91" t="s">
        <v>3201</v>
      </c>
      <c r="M590" s="91" t="s">
        <v>1404</v>
      </c>
      <c r="N590" s="91" t="s">
        <v>2003</v>
      </c>
      <c r="O590" s="77"/>
      <c r="P590" s="91" t="s">
        <v>2534</v>
      </c>
      <c r="Q590" s="32"/>
      <c r="R590" s="48" t="s">
        <v>216</v>
      </c>
      <c r="S590" s="32"/>
    </row>
    <row r="591" spans="2:19" x14ac:dyDescent="0.3">
      <c r="B591" t="s">
        <v>4348</v>
      </c>
      <c r="C591" s="11" t="s">
        <v>173</v>
      </c>
      <c r="D591">
        <v>1</v>
      </c>
      <c r="E591" t="s">
        <v>160</v>
      </c>
      <c r="F591" s="92" t="s">
        <v>1057</v>
      </c>
      <c r="G591" s="15" t="str">
        <f>LEFT([1]modificado!$O$2, FIND(" ", [1]modificado!$O$2 &amp; " ") - 1)</f>
        <v>3M</v>
      </c>
      <c r="H591" s="47"/>
      <c r="I591" s="76"/>
      <c r="J591" s="76"/>
      <c r="K591" s="92" t="s">
        <v>4181</v>
      </c>
      <c r="L591" s="92" t="s">
        <v>3202</v>
      </c>
      <c r="M591" s="92" t="s">
        <v>1405</v>
      </c>
      <c r="N591" s="92" t="s">
        <v>2004</v>
      </c>
      <c r="O591" s="77"/>
      <c r="P591" s="92" t="s">
        <v>2534</v>
      </c>
      <c r="Q591" s="32"/>
      <c r="R591" s="48" t="s">
        <v>216</v>
      </c>
      <c r="S591" s="32"/>
    </row>
    <row r="592" spans="2:19" x14ac:dyDescent="0.3">
      <c r="B592" t="s">
        <v>4348</v>
      </c>
      <c r="C592" s="11" t="s">
        <v>173</v>
      </c>
      <c r="D592">
        <v>1</v>
      </c>
      <c r="E592" t="s">
        <v>160</v>
      </c>
      <c r="F592" s="91" t="s">
        <v>1057</v>
      </c>
      <c r="G592" s="15" t="str">
        <f>LEFT([1]modificado!$O$2, FIND(" ", [1]modificado!$O$2 &amp; " ") - 1)</f>
        <v>3M</v>
      </c>
      <c r="H592" s="47" t="str">
        <f>RIGHT([1]!Tabla2[[#This Row],[Marca y Modelo]], LEN([1]!Tabla2[[#This Row],[Marca y Modelo]]) - FIND(" ", [1]!Tabla2[[#This Row],[Marca y Modelo]]))</f>
        <v>Basic Shock Absorbing</v>
      </c>
      <c r="I592" s="76"/>
      <c r="J592" s="76"/>
      <c r="K592" s="91" t="s">
        <v>4181</v>
      </c>
      <c r="L592" s="91" t="s">
        <v>3203</v>
      </c>
      <c r="M592" s="91" t="s">
        <v>1404</v>
      </c>
      <c r="N592" s="91" t="s">
        <v>2005</v>
      </c>
      <c r="O592" s="77"/>
      <c r="P592" s="91" t="s">
        <v>2534</v>
      </c>
      <c r="Q592" s="32"/>
      <c r="R592" s="48" t="s">
        <v>216</v>
      </c>
      <c r="S592" s="32"/>
    </row>
    <row r="593" spans="2:19" x14ac:dyDescent="0.3">
      <c r="B593" t="s">
        <v>4348</v>
      </c>
      <c r="C593" s="11" t="s">
        <v>173</v>
      </c>
      <c r="D593">
        <v>1</v>
      </c>
      <c r="E593" t="s">
        <v>160</v>
      </c>
      <c r="F593" s="92" t="s">
        <v>1057</v>
      </c>
      <c r="G593" s="15" t="str">
        <f>LEFT([1]modificado!$O$2, FIND(" ", [1]modificado!$O$2 &amp; " ") - 1)</f>
        <v>3M</v>
      </c>
      <c r="H593" s="47" t="str">
        <f>RIGHT([1]!Tabla2[[#This Row],[Marca y Modelo]], LEN([1]!Tabla2[[#This Row],[Marca y Modelo]]) - FIND(" ", [1]!Tabla2[[#This Row],[Marca y Modelo]]))</f>
        <v>Basic Shock Absorbing</v>
      </c>
      <c r="I593" s="76"/>
      <c r="J593" s="76"/>
      <c r="K593" s="92" t="s">
        <v>4181</v>
      </c>
      <c r="L593" s="92" t="s">
        <v>3204</v>
      </c>
      <c r="M593" s="92" t="s">
        <v>1404</v>
      </c>
      <c r="N593" s="92" t="s">
        <v>2006</v>
      </c>
      <c r="O593" s="77"/>
      <c r="P593" s="92" t="s">
        <v>2534</v>
      </c>
      <c r="Q593" s="32"/>
      <c r="R593" s="48" t="s">
        <v>216</v>
      </c>
      <c r="S593" s="32"/>
    </row>
    <row r="594" spans="2:19" x14ac:dyDescent="0.3">
      <c r="B594" t="s">
        <v>4348</v>
      </c>
      <c r="C594" s="11" t="s">
        <v>173</v>
      </c>
      <c r="D594">
        <v>1</v>
      </c>
      <c r="E594" t="s">
        <v>160</v>
      </c>
      <c r="F594" s="91" t="s">
        <v>1057</v>
      </c>
      <c r="G594" s="15" t="str">
        <f>LEFT([1]modificado!$O$2, FIND(" ", [1]modificado!$O$2 &amp; " ") - 1)</f>
        <v>3M</v>
      </c>
      <c r="H594" s="47" t="str">
        <f>RIGHT([1]!Tabla2[[#This Row],[Marca y Modelo]], LEN([1]!Tabla2[[#This Row],[Marca y Modelo]]) - FIND(" ", [1]!Tabla2[[#This Row],[Marca y Modelo]]))</f>
        <v>77400</v>
      </c>
      <c r="I594" s="76"/>
      <c r="J594" s="76"/>
      <c r="K594" s="91" t="s">
        <v>4181</v>
      </c>
      <c r="L594" s="91" t="s">
        <v>3205</v>
      </c>
      <c r="M594" s="91" t="s">
        <v>1405</v>
      </c>
      <c r="N594" s="91" t="s">
        <v>2007</v>
      </c>
      <c r="O594" s="77"/>
      <c r="P594" s="91" t="s">
        <v>2534</v>
      </c>
      <c r="Q594" s="32"/>
      <c r="R594" s="48" t="s">
        <v>216</v>
      </c>
      <c r="S594" s="32"/>
    </row>
    <row r="595" spans="2:19" x14ac:dyDescent="0.3">
      <c r="B595" t="s">
        <v>4348</v>
      </c>
      <c r="C595" s="11" t="s">
        <v>173</v>
      </c>
      <c r="D595">
        <v>1</v>
      </c>
      <c r="E595" t="s">
        <v>160</v>
      </c>
      <c r="F595" s="92" t="s">
        <v>1070</v>
      </c>
      <c r="G595" s="15" t="str">
        <f>LEFT([1]modificado!$O$2, FIND(" ", [1]modificado!$O$2 &amp; " ") - 1)</f>
        <v>3M</v>
      </c>
      <c r="H595" s="47" t="str">
        <f>RIGHT([1]!Tabla2[[#This Row],[Marca y Modelo]], LEN([1]!Tabla2[[#This Row],[Marca y Modelo]]) - FIND(" ", [1]!Tabla2[[#This Row],[Marca y Modelo]]))</f>
        <v>1340161</v>
      </c>
      <c r="I595" s="76"/>
      <c r="J595" s="76"/>
      <c r="K595" s="92" t="s">
        <v>4181</v>
      </c>
      <c r="L595" s="92" t="s">
        <v>3206</v>
      </c>
      <c r="M595" s="92" t="s">
        <v>1404</v>
      </c>
      <c r="N595" s="92" t="s">
        <v>2008</v>
      </c>
      <c r="O595" s="77"/>
      <c r="P595" s="92" t="s">
        <v>2534</v>
      </c>
      <c r="Q595" s="32"/>
      <c r="R595" s="48" t="s">
        <v>216</v>
      </c>
      <c r="S595" s="32"/>
    </row>
    <row r="596" spans="2:19" x14ac:dyDescent="0.3">
      <c r="B596" t="s">
        <v>4348</v>
      </c>
      <c r="C596" s="11" t="s">
        <v>173</v>
      </c>
      <c r="D596">
        <v>1</v>
      </c>
      <c r="E596" t="s">
        <v>160</v>
      </c>
      <c r="F596" s="91" t="s">
        <v>1057</v>
      </c>
      <c r="G596" s="15" t="str">
        <f>LEFT([1]modificado!$O$2, FIND(" ", [1]modificado!$O$2 &amp; " ") - 1)</f>
        <v>3M</v>
      </c>
      <c r="H596" s="47" t="str">
        <f>RIGHT([1]!Tabla2[[#This Row],[Marca y Modelo]], LEN([1]!Tabla2[[#This Row],[Marca y Modelo]]) - FIND(" ", [1]!Tabla2[[#This Row],[Marca y Modelo]]))</f>
        <v>77400</v>
      </c>
      <c r="I596" s="76"/>
      <c r="J596" s="76"/>
      <c r="K596" s="91" t="s">
        <v>4181</v>
      </c>
      <c r="L596" s="91" t="s">
        <v>3207</v>
      </c>
      <c r="M596" s="91" t="s">
        <v>1405</v>
      </c>
      <c r="N596" s="91" t="s">
        <v>2009</v>
      </c>
      <c r="O596" s="77"/>
      <c r="P596" s="91" t="s">
        <v>2534</v>
      </c>
      <c r="Q596" s="32"/>
      <c r="R596" s="48" t="s">
        <v>216</v>
      </c>
      <c r="S596" s="32"/>
    </row>
    <row r="597" spans="2:19" x14ac:dyDescent="0.3">
      <c r="B597" t="s">
        <v>4348</v>
      </c>
      <c r="C597" s="11" t="s">
        <v>173</v>
      </c>
      <c r="D597">
        <v>1</v>
      </c>
      <c r="E597" t="s">
        <v>160</v>
      </c>
      <c r="F597" s="92" t="s">
        <v>1057</v>
      </c>
      <c r="G597" s="15" t="str">
        <f>LEFT([1]modificado!$O$2, FIND(" ", [1]modificado!$O$2 &amp; " ") - 1)</f>
        <v>3M</v>
      </c>
      <c r="H597" s="47" t="str">
        <f>RIGHT([1]!Tabla2[[#This Row],[Marca y Modelo]], LEN([1]!Tabla2[[#This Row],[Marca y Modelo]]) - FIND(" ", [1]!Tabla2[[#This Row],[Marca y Modelo]]))</f>
        <v>77400</v>
      </c>
      <c r="I597" s="76"/>
      <c r="J597" s="76"/>
      <c r="K597" s="92" t="s">
        <v>4181</v>
      </c>
      <c r="L597" s="92" t="s">
        <v>3208</v>
      </c>
      <c r="M597" s="92" t="s">
        <v>1405</v>
      </c>
      <c r="N597" s="92" t="s">
        <v>2010</v>
      </c>
      <c r="O597" s="77"/>
      <c r="P597" s="92" t="s">
        <v>2534</v>
      </c>
      <c r="Q597" s="32"/>
      <c r="R597" s="48" t="s">
        <v>216</v>
      </c>
      <c r="S597" s="32"/>
    </row>
    <row r="598" spans="2:19" x14ac:dyDescent="0.3">
      <c r="B598" t="s">
        <v>4348</v>
      </c>
      <c r="C598" s="11" t="s">
        <v>173</v>
      </c>
      <c r="D598">
        <v>1</v>
      </c>
      <c r="E598" t="s">
        <v>160</v>
      </c>
      <c r="F598" s="91" t="s">
        <v>1057</v>
      </c>
      <c r="G598" s="15" t="str">
        <f>LEFT([1]modificado!$O$2, FIND(" ", [1]modificado!$O$2 &amp; " ") - 1)</f>
        <v>3M</v>
      </c>
      <c r="H598" s="47" t="str">
        <f>RIGHT([1]!Tabla2[[#This Row],[Marca y Modelo]], LEN([1]!Tabla2[[#This Row],[Marca y Modelo]]) - FIND(" ", [1]!Tabla2[[#This Row],[Marca y Modelo]]))</f>
        <v>77400</v>
      </c>
      <c r="I598" s="76"/>
      <c r="J598" s="76"/>
      <c r="K598" s="91" t="s">
        <v>4181</v>
      </c>
      <c r="L598" s="91" t="s">
        <v>3209</v>
      </c>
      <c r="M598" s="91" t="s">
        <v>1405</v>
      </c>
      <c r="N598" s="91" t="s">
        <v>2011</v>
      </c>
      <c r="O598" s="77"/>
      <c r="P598" s="91" t="s">
        <v>2534</v>
      </c>
      <c r="Q598" s="32"/>
      <c r="R598" s="48" t="s">
        <v>216</v>
      </c>
      <c r="S598" s="32"/>
    </row>
    <row r="599" spans="2:19" x14ac:dyDescent="0.3">
      <c r="B599" t="s">
        <v>4348</v>
      </c>
      <c r="C599" s="11" t="s">
        <v>173</v>
      </c>
      <c r="D599">
        <v>1</v>
      </c>
      <c r="E599" t="s">
        <v>160</v>
      </c>
      <c r="F599" s="92" t="s">
        <v>1057</v>
      </c>
      <c r="G599" s="15" t="str">
        <f>LEFT([1]modificado!$O$2, FIND(" ", [1]modificado!$O$2 &amp; " ") - 1)</f>
        <v>3M</v>
      </c>
      <c r="H599" s="47" t="str">
        <f>RIGHT([1]!Tabla2[[#This Row],[Marca y Modelo]], LEN([1]!Tabla2[[#This Row],[Marca y Modelo]]) - FIND(" ", [1]!Tabla2[[#This Row],[Marca y Modelo]]))</f>
        <v>77400</v>
      </c>
      <c r="I599" s="76"/>
      <c r="J599" s="76"/>
      <c r="K599" s="92" t="s">
        <v>4181</v>
      </c>
      <c r="L599" s="92" t="s">
        <v>3210</v>
      </c>
      <c r="M599" s="92" t="s">
        <v>1405</v>
      </c>
      <c r="N599" s="92" t="s">
        <v>2012</v>
      </c>
      <c r="O599" s="77"/>
      <c r="P599" s="92" t="s">
        <v>2534</v>
      </c>
      <c r="Q599" s="32"/>
      <c r="R599" s="48" t="s">
        <v>216</v>
      </c>
      <c r="S599" s="32"/>
    </row>
    <row r="600" spans="2:19" x14ac:dyDescent="0.3">
      <c r="B600" t="s">
        <v>4348</v>
      </c>
      <c r="C600" s="11" t="s">
        <v>173</v>
      </c>
      <c r="D600">
        <v>1</v>
      </c>
      <c r="E600" t="s">
        <v>160</v>
      </c>
      <c r="F600" s="91" t="s">
        <v>1070</v>
      </c>
      <c r="G600" s="15" t="str">
        <f>LEFT([1]modificado!$O$2, FIND(" ", [1]modificado!$O$2 &amp; " ") - 1)</f>
        <v>3M</v>
      </c>
      <c r="H600" s="47" t="str">
        <f>RIGHT([1]!Tabla2[[#This Row],[Marca y Modelo]], LEN([1]!Tabla2[[#This Row],[Marca y Modelo]]) - FIND(" ", [1]!Tabla2[[#This Row],[Marca y Modelo]]))</f>
        <v>1340161</v>
      </c>
      <c r="I600" s="76"/>
      <c r="J600" s="76"/>
      <c r="K600" s="91" t="s">
        <v>4181</v>
      </c>
      <c r="L600" s="91" t="s">
        <v>3211</v>
      </c>
      <c r="M600" s="91" t="s">
        <v>1404</v>
      </c>
      <c r="N600" s="91" t="s">
        <v>2013</v>
      </c>
      <c r="O600" s="77"/>
      <c r="P600" s="91" t="s">
        <v>2534</v>
      </c>
      <c r="Q600" s="32"/>
      <c r="R600" s="48" t="s">
        <v>216</v>
      </c>
      <c r="S600" s="32"/>
    </row>
    <row r="601" spans="2:19" x14ac:dyDescent="0.3">
      <c r="B601" t="s">
        <v>4348</v>
      </c>
      <c r="C601" s="11" t="s">
        <v>173</v>
      </c>
      <c r="D601">
        <v>1</v>
      </c>
      <c r="E601" t="s">
        <v>160</v>
      </c>
      <c r="F601" s="92" t="s">
        <v>1076</v>
      </c>
      <c r="G601" s="15" t="str">
        <f>LEFT([1]modificado!$O$2, FIND(" ", [1]modificado!$O$2 &amp; " ") - 1)</f>
        <v>3M</v>
      </c>
      <c r="H601" s="47" t="str">
        <f>RIGHT([1]!Tabla2[[#This Row],[Marca y Modelo]], LEN([1]!Tabla2[[#This Row],[Marca y Modelo]]) - FIND(" ", [1]!Tabla2[[#This Row],[Marca y Modelo]]))</f>
        <v>4712-6</v>
      </c>
      <c r="I601" s="76"/>
      <c r="J601" s="76"/>
      <c r="K601" s="92" t="s">
        <v>4181</v>
      </c>
      <c r="L601" s="92" t="s">
        <v>3212</v>
      </c>
      <c r="M601" s="92" t="s">
        <v>1404</v>
      </c>
      <c r="N601" s="92" t="s">
        <v>2014</v>
      </c>
      <c r="O601" s="77"/>
      <c r="P601" s="92" t="s">
        <v>2534</v>
      </c>
      <c r="Q601" s="32"/>
      <c r="R601" s="48" t="s">
        <v>216</v>
      </c>
      <c r="S601" s="32"/>
    </row>
    <row r="602" spans="2:19" x14ac:dyDescent="0.3">
      <c r="B602" t="s">
        <v>4348</v>
      </c>
      <c r="C602" s="11" t="s">
        <v>173</v>
      </c>
      <c r="D602">
        <v>1</v>
      </c>
      <c r="E602" t="s">
        <v>160</v>
      </c>
      <c r="F602" s="91" t="s">
        <v>1082</v>
      </c>
      <c r="G602" s="15" t="str">
        <f>LEFT([1]modificado!$O$2, FIND(" ", [1]modificado!$O$2 &amp; " ") - 1)</f>
        <v>3M</v>
      </c>
      <c r="H602" s="47" t="str">
        <f>RIGHT([1]!Tabla2[[#This Row],[Marca y Modelo]], LEN([1]!Tabla2[[#This Row],[Marca y Modelo]]) - FIND(" ", [1]!Tabla2[[#This Row],[Marca y Modelo]]))</f>
        <v>8928-27/18INBK</v>
      </c>
      <c r="I602" s="76"/>
      <c r="J602" s="76"/>
      <c r="K602" s="91" t="s">
        <v>4181</v>
      </c>
      <c r="L602" s="91" t="s">
        <v>3213</v>
      </c>
      <c r="M602" s="91" t="s">
        <v>1405</v>
      </c>
      <c r="N602" s="91" t="s">
        <v>2015</v>
      </c>
      <c r="O602" s="77"/>
      <c r="P602" s="91" t="s">
        <v>2534</v>
      </c>
      <c r="Q602" s="32"/>
      <c r="R602" s="48" t="s">
        <v>216</v>
      </c>
      <c r="S602" s="32"/>
    </row>
    <row r="603" spans="2:19" x14ac:dyDescent="0.3">
      <c r="B603" t="s">
        <v>4348</v>
      </c>
      <c r="C603" s="11" t="s">
        <v>173</v>
      </c>
      <c r="D603">
        <v>1</v>
      </c>
      <c r="E603" t="s">
        <v>160</v>
      </c>
      <c r="F603" s="92" t="s">
        <v>1082</v>
      </c>
      <c r="G603" s="15" t="str">
        <f>LEFT([1]modificado!$O$2, FIND(" ", [1]modificado!$O$2 &amp; " ") - 1)</f>
        <v>3M</v>
      </c>
      <c r="H603" s="47" t="str">
        <f>RIGHT([1]!Tabla2[[#This Row],[Marca y Modelo]], LEN([1]!Tabla2[[#This Row],[Marca y Modelo]]) - FIND(" ", [1]!Tabla2[[#This Row],[Marca y Modelo]]))</f>
        <v>8928-27/18INBK</v>
      </c>
      <c r="I603" s="76"/>
      <c r="J603" s="76"/>
      <c r="K603" s="92" t="s">
        <v>4181</v>
      </c>
      <c r="L603" s="92" t="s">
        <v>3214</v>
      </c>
      <c r="M603" s="92" t="s">
        <v>1405</v>
      </c>
      <c r="N603" s="92" t="s">
        <v>2016</v>
      </c>
      <c r="O603" s="77"/>
      <c r="P603" s="92" t="s">
        <v>2534</v>
      </c>
      <c r="Q603" s="32"/>
      <c r="R603" s="48" t="s">
        <v>216</v>
      </c>
      <c r="S603" s="32"/>
    </row>
    <row r="604" spans="2:19" x14ac:dyDescent="0.3">
      <c r="B604" t="s">
        <v>4348</v>
      </c>
      <c r="C604" s="11" t="s">
        <v>173</v>
      </c>
      <c r="D604">
        <v>1</v>
      </c>
      <c r="E604" t="s">
        <v>160</v>
      </c>
      <c r="F604" s="91" t="s">
        <v>1082</v>
      </c>
      <c r="G604" s="15" t="str">
        <f>LEFT([1]modificado!$O$2, FIND(" ", [1]modificado!$O$2 &amp; " ") - 1)</f>
        <v>3M</v>
      </c>
      <c r="H604" s="47" t="str">
        <f>RIGHT([1]!Tabla2[[#This Row],[Marca y Modelo]], LEN([1]!Tabla2[[#This Row],[Marca y Modelo]]) - FIND(" ", [1]!Tabla2[[#This Row],[Marca y Modelo]]))</f>
        <v>8928-27/18INBK</v>
      </c>
      <c r="I604" s="76"/>
      <c r="J604" s="76"/>
      <c r="K604" s="91" t="s">
        <v>4181</v>
      </c>
      <c r="L604" s="91" t="s">
        <v>3215</v>
      </c>
      <c r="M604" s="91" t="s">
        <v>1405</v>
      </c>
      <c r="N604" s="91" t="s">
        <v>2017</v>
      </c>
      <c r="O604" s="77"/>
      <c r="P604" s="91" t="s">
        <v>2534</v>
      </c>
      <c r="Q604" s="32"/>
      <c r="R604" s="48" t="s">
        <v>216</v>
      </c>
      <c r="S604" s="32"/>
    </row>
    <row r="605" spans="2:19" x14ac:dyDescent="0.3">
      <c r="B605" t="s">
        <v>4348</v>
      </c>
      <c r="C605" s="11" t="s">
        <v>173</v>
      </c>
      <c r="D605">
        <v>1</v>
      </c>
      <c r="E605" t="s">
        <v>160</v>
      </c>
      <c r="F605" s="92" t="s">
        <v>1072</v>
      </c>
      <c r="G605" s="15" t="str">
        <f>LEFT([1]modificado!$O$2, FIND(" ", [1]modificado!$O$2 &amp; " ") - 1)</f>
        <v>3M</v>
      </c>
      <c r="H605" s="47" t="str">
        <f>RIGHT([1]!Tabla2[[#This Row],[Marca y Modelo]], LEN([1]!Tabla2[[#This Row],[Marca y Modelo]]) - FIND(" ", [1]!Tabla2[[#This Row],[Marca y Modelo]]))</f>
        <v>1385301MX</v>
      </c>
      <c r="I605" s="76"/>
      <c r="J605" s="76"/>
      <c r="K605" s="92" t="s">
        <v>4182</v>
      </c>
      <c r="L605" s="92" t="s">
        <v>3216</v>
      </c>
      <c r="M605" s="92" t="s">
        <v>1404</v>
      </c>
      <c r="N605" s="92" t="s">
        <v>2018</v>
      </c>
      <c r="O605" s="77"/>
      <c r="P605" s="92" t="s">
        <v>2534</v>
      </c>
      <c r="Q605" s="32"/>
      <c r="R605" s="48" t="s">
        <v>216</v>
      </c>
      <c r="S605" s="32"/>
    </row>
    <row r="606" spans="2:19" x14ac:dyDescent="0.3">
      <c r="B606" t="s">
        <v>4348</v>
      </c>
      <c r="C606" s="11" t="s">
        <v>173</v>
      </c>
      <c r="D606">
        <v>1</v>
      </c>
      <c r="E606" t="s">
        <v>160</v>
      </c>
      <c r="F606" s="91" t="s">
        <v>1072</v>
      </c>
      <c r="G606" s="15" t="str">
        <f>LEFT([1]modificado!$O$2, FIND(" ", [1]modificado!$O$2 &amp; " ") - 1)</f>
        <v>3M</v>
      </c>
      <c r="H606" s="47" t="str">
        <f>RIGHT([1]!Tabla2[[#This Row],[Marca y Modelo]], LEN([1]!Tabla2[[#This Row],[Marca y Modelo]]) - FIND(" ", [1]!Tabla2[[#This Row],[Marca y Modelo]]))</f>
        <v>1385301MX</v>
      </c>
      <c r="I606" s="76"/>
      <c r="J606" s="76"/>
      <c r="K606" s="91" t="s">
        <v>4182</v>
      </c>
      <c r="L606" s="91" t="s">
        <v>3217</v>
      </c>
      <c r="M606" s="91" t="s">
        <v>1404</v>
      </c>
      <c r="N606" s="91" t="s">
        <v>2019</v>
      </c>
      <c r="O606" s="77"/>
      <c r="P606" s="91" t="s">
        <v>2534</v>
      </c>
      <c r="Q606" s="32"/>
      <c r="R606" s="48" t="s">
        <v>216</v>
      </c>
      <c r="S606" s="32"/>
    </row>
    <row r="607" spans="2:19" x14ac:dyDescent="0.3">
      <c r="B607" t="s">
        <v>4348</v>
      </c>
      <c r="C607" s="11" t="s">
        <v>173</v>
      </c>
      <c r="D607">
        <v>1</v>
      </c>
      <c r="E607" t="s">
        <v>160</v>
      </c>
      <c r="F607" s="92" t="s">
        <v>1072</v>
      </c>
      <c r="G607" s="15" t="str">
        <f>LEFT([1]modificado!$O$2, FIND(" ", [1]modificado!$O$2 &amp; " ") - 1)</f>
        <v>3M</v>
      </c>
      <c r="H607" s="47" t="str">
        <f>RIGHT([1]!Tabla2[[#This Row],[Marca y Modelo]], LEN([1]!Tabla2[[#This Row],[Marca y Modelo]]) - FIND(" ", [1]!Tabla2[[#This Row],[Marca y Modelo]]))</f>
        <v>1385301MX</v>
      </c>
      <c r="I607" s="76"/>
      <c r="J607" s="76"/>
      <c r="K607" s="92" t="s">
        <v>4182</v>
      </c>
      <c r="L607" s="92" t="s">
        <v>3218</v>
      </c>
      <c r="M607" s="92" t="s">
        <v>1404</v>
      </c>
      <c r="N607" s="92" t="s">
        <v>2020</v>
      </c>
      <c r="O607" s="77"/>
      <c r="P607" s="92" t="s">
        <v>2534</v>
      </c>
      <c r="Q607" s="32"/>
      <c r="R607" s="48" t="s">
        <v>216</v>
      </c>
      <c r="S607" s="32"/>
    </row>
    <row r="608" spans="2:19" x14ac:dyDescent="0.3">
      <c r="B608" t="s">
        <v>4348</v>
      </c>
      <c r="C608" s="11" t="s">
        <v>173</v>
      </c>
      <c r="D608">
        <v>1</v>
      </c>
      <c r="E608" t="s">
        <v>160</v>
      </c>
      <c r="F608" s="91" t="s">
        <v>1072</v>
      </c>
      <c r="G608" s="15" t="str">
        <f>LEFT([1]modificado!$O$2, FIND(" ", [1]modificado!$O$2 &amp; " ") - 1)</f>
        <v>3M</v>
      </c>
      <c r="H608" s="47" t="str">
        <f>RIGHT([1]!Tabla2[[#This Row],[Marca y Modelo]], LEN([1]!Tabla2[[#This Row],[Marca y Modelo]]) - FIND(" ", [1]!Tabla2[[#This Row],[Marca y Modelo]]))</f>
        <v>3250</v>
      </c>
      <c r="I608" s="76"/>
      <c r="J608" s="76"/>
      <c r="K608" s="91" t="s">
        <v>4182</v>
      </c>
      <c r="L608" s="91" t="s">
        <v>3219</v>
      </c>
      <c r="M608" s="91" t="s">
        <v>1404</v>
      </c>
      <c r="N608" s="91" t="s">
        <v>2021</v>
      </c>
      <c r="O608" s="77"/>
      <c r="P608" s="91" t="s">
        <v>2534</v>
      </c>
      <c r="Q608" s="32"/>
      <c r="R608" s="48" t="s">
        <v>216</v>
      </c>
      <c r="S608" s="32"/>
    </row>
    <row r="609" spans="2:19" x14ac:dyDescent="0.3">
      <c r="B609" t="str">
        <f>LEFT(Tabla3890134177220392[[#This Row],[Descripción del equipo]], FIND(" ", Tabla3890134177220392[[#This Row],[Descripción del equipo]] &amp; " ") - 1)</f>
        <v>Autoretractil</v>
      </c>
      <c r="C609" s="11" t="s">
        <v>173</v>
      </c>
      <c r="D609">
        <v>1</v>
      </c>
      <c r="E609" t="s">
        <v>160</v>
      </c>
      <c r="F609" s="92" t="s">
        <v>1058</v>
      </c>
      <c r="G609" s="15" t="str">
        <f>LEFT([1]modificado!$O$2, FIND(" ", [1]modificado!$O$2 &amp; " ") - 1)</f>
        <v>3M</v>
      </c>
      <c r="H609" s="47" t="str">
        <f>RIGHT([1]!Tabla2[[#This Row],[Marca y Modelo]], LEN([1]!Tabla2[[#This Row],[Marca y Modelo]]) - FIND(" ", [1]!Tabla2[[#This Row],[Marca y Modelo]]))</f>
        <v>3100414</v>
      </c>
      <c r="I609" s="76"/>
      <c r="J609" s="76"/>
      <c r="K609" s="92" t="s">
        <v>4183</v>
      </c>
      <c r="L609" s="92" t="s">
        <v>3220</v>
      </c>
      <c r="M609" s="92" t="s">
        <v>1404</v>
      </c>
      <c r="N609" s="92" t="s">
        <v>2022</v>
      </c>
      <c r="O609" s="77"/>
      <c r="P609" s="92" t="s">
        <v>2534</v>
      </c>
      <c r="Q609" s="32"/>
      <c r="R609" s="48" t="s">
        <v>216</v>
      </c>
      <c r="S609" s="32"/>
    </row>
    <row r="610" spans="2:19" x14ac:dyDescent="0.3">
      <c r="B610" t="s">
        <v>4348</v>
      </c>
      <c r="C610" s="11" t="s">
        <v>173</v>
      </c>
      <c r="D610">
        <v>1</v>
      </c>
      <c r="E610" t="s">
        <v>160</v>
      </c>
      <c r="F610" s="91" t="s">
        <v>1076</v>
      </c>
      <c r="G610" s="15" t="str">
        <f>LEFT([1]modificado!$O$2, FIND(" ", [1]modificado!$O$2 &amp; " ") - 1)</f>
        <v>3M</v>
      </c>
      <c r="H610" s="47" t="str">
        <f>RIGHT([1]!Tabla2[[#This Row],[Marca y Modelo]], LEN([1]!Tabla2[[#This Row],[Marca y Modelo]]) - FIND(" ", [1]!Tabla2[[#This Row],[Marca y Modelo]]))</f>
        <v>4712-6</v>
      </c>
      <c r="I610" s="76"/>
      <c r="J610" s="76"/>
      <c r="K610" s="91" t="s">
        <v>4181</v>
      </c>
      <c r="L610" s="91" t="s">
        <v>3221</v>
      </c>
      <c r="M610" s="91" t="s">
        <v>1404</v>
      </c>
      <c r="N610" s="91" t="s">
        <v>2023</v>
      </c>
      <c r="O610" s="77"/>
      <c r="P610" s="91" t="s">
        <v>2534</v>
      </c>
      <c r="Q610" s="32"/>
      <c r="R610" s="48" t="s">
        <v>216</v>
      </c>
      <c r="S610" s="32"/>
    </row>
    <row r="611" spans="2:19" x14ac:dyDescent="0.3">
      <c r="B611" t="str">
        <f>LEFT(Tabla3890134177220392[[#This Row],[Descripción del equipo]], FIND(" ", Tabla3890134177220392[[#This Row],[Descripción del equipo]] &amp; " ") - 1)</f>
        <v>Arnes</v>
      </c>
      <c r="C611" s="11" t="s">
        <v>173</v>
      </c>
      <c r="D611">
        <v>1</v>
      </c>
      <c r="E611" t="s">
        <v>160</v>
      </c>
      <c r="F611" s="92" t="s">
        <v>1056</v>
      </c>
      <c r="G611" s="15" t="str">
        <f>LEFT([1]modificado!$O$2, FIND(" ", [1]modificado!$O$2 &amp; " ") - 1)</f>
        <v>3M</v>
      </c>
      <c r="H611" s="47" t="str">
        <f>RIGHT([1]!Tabla2[[#This Row],[Marca y Modelo]], LEN([1]!Tabla2[[#This Row],[Marca y Modelo]]) - FIND(" ", [1]!Tabla2[[#This Row],[Marca y Modelo]]))</f>
        <v>1191205</v>
      </c>
      <c r="I611" s="76"/>
      <c r="J611" s="76"/>
      <c r="K611" s="92" t="s">
        <v>4184</v>
      </c>
      <c r="L611" s="92" t="s">
        <v>3222</v>
      </c>
      <c r="M611" s="92" t="s">
        <v>1404</v>
      </c>
      <c r="N611" s="92" t="s">
        <v>2024</v>
      </c>
      <c r="O611" s="77"/>
      <c r="P611" s="92" t="s">
        <v>2534</v>
      </c>
      <c r="Q611" s="32"/>
      <c r="R611" s="48" t="s">
        <v>216</v>
      </c>
      <c r="S611" s="32"/>
    </row>
    <row r="612" spans="2:19" x14ac:dyDescent="0.3">
      <c r="B612" t="str">
        <f>LEFT(Tabla3890134177220392[[#This Row],[Descripción del equipo]], FIND(" ", Tabla3890134177220392[[#This Row],[Descripción del equipo]] &amp; " ") - 1)</f>
        <v>Arnes</v>
      </c>
      <c r="C612" s="11" t="s">
        <v>173</v>
      </c>
      <c r="D612">
        <v>1</v>
      </c>
      <c r="E612" t="s">
        <v>160</v>
      </c>
      <c r="F612" s="91" t="s">
        <v>1056</v>
      </c>
      <c r="G612" s="90" t="str">
        <f>LEFT([1]modificado!$O$2, FIND(" ", [1]modificado!$O$2 &amp; " ") - 1)</f>
        <v>3M</v>
      </c>
      <c r="H612" s="47" t="str">
        <f>RIGHT([1]!Tabla2[[#This Row],[Marca y Modelo]], LEN([1]!Tabla2[[#This Row],[Marca y Modelo]]) - FIND(" ", [1]!Tabla2[[#This Row],[Marca y Modelo]]))</f>
        <v>1191205</v>
      </c>
      <c r="I612" s="76"/>
      <c r="J612" s="76"/>
      <c r="K612" s="91" t="s">
        <v>4184</v>
      </c>
      <c r="L612" s="91" t="s">
        <v>3223</v>
      </c>
      <c r="M612" s="91" t="s">
        <v>1404</v>
      </c>
      <c r="N612" s="91" t="s">
        <v>2025</v>
      </c>
      <c r="O612" s="77"/>
      <c r="P612" s="91" t="s">
        <v>2534</v>
      </c>
      <c r="Q612" s="32"/>
      <c r="R612" s="48" t="s">
        <v>216</v>
      </c>
      <c r="S612" s="32"/>
    </row>
    <row r="613" spans="2:19" x14ac:dyDescent="0.3">
      <c r="B613" t="str">
        <f>LEFT(Tabla3890134177220392[[#This Row],[Descripción del equipo]], FIND(" ", Tabla3890134177220392[[#This Row],[Descripción del equipo]] &amp; " ") - 1)</f>
        <v>Arnes</v>
      </c>
      <c r="C613" s="11" t="s">
        <v>173</v>
      </c>
      <c r="D613">
        <v>1</v>
      </c>
      <c r="E613" t="s">
        <v>160</v>
      </c>
      <c r="F613" s="92" t="s">
        <v>1056</v>
      </c>
      <c r="G613" s="90" t="str">
        <f>LEFT([1]modificado!$O$2, FIND(" ", [1]modificado!$O$2 &amp; " ") - 1)</f>
        <v>3M</v>
      </c>
      <c r="H613" s="47" t="str">
        <f>RIGHT([1]!Tabla2[[#This Row],[Marca y Modelo]], LEN([1]!Tabla2[[#This Row],[Marca y Modelo]]) - FIND(" ", [1]!Tabla2[[#This Row],[Marca y Modelo]]))</f>
        <v>1191205</v>
      </c>
      <c r="I613" s="76"/>
      <c r="J613" s="76"/>
      <c r="K613" s="92" t="s">
        <v>4184</v>
      </c>
      <c r="L613" s="92" t="s">
        <v>3224</v>
      </c>
      <c r="M613" s="92" t="s">
        <v>1404</v>
      </c>
      <c r="N613" s="92" t="s">
        <v>2026</v>
      </c>
      <c r="O613" s="77"/>
      <c r="P613" s="92" t="s">
        <v>2534</v>
      </c>
      <c r="Q613" s="32"/>
      <c r="R613" s="48" t="s">
        <v>216</v>
      </c>
      <c r="S613" s="32"/>
    </row>
    <row r="614" spans="2:19" x14ac:dyDescent="0.3">
      <c r="B614" t="str">
        <f>LEFT(Tabla3890134177220392[[#This Row],[Descripción del equipo]], FIND(" ", Tabla3890134177220392[[#This Row],[Descripción del equipo]] &amp; " ") - 1)</f>
        <v>Arnes</v>
      </c>
      <c r="C614" s="11" t="s">
        <v>173</v>
      </c>
      <c r="D614">
        <v>1</v>
      </c>
      <c r="E614" t="s">
        <v>160</v>
      </c>
      <c r="F614" s="91" t="s">
        <v>1056</v>
      </c>
      <c r="G614" s="90" t="str">
        <f>LEFT([1]modificado!$O$2, FIND(" ", [1]modificado!$O$2 &amp; " ") - 1)</f>
        <v>3M</v>
      </c>
      <c r="H614" s="47" t="str">
        <f>RIGHT([1]!Tabla2[[#This Row],[Marca y Modelo]], LEN([1]!Tabla2[[#This Row],[Marca y Modelo]]) - FIND(" ", [1]!Tabla2[[#This Row],[Marca y Modelo]]))</f>
        <v>1191205</v>
      </c>
      <c r="I614" s="76"/>
      <c r="J614" s="76"/>
      <c r="K614" s="91" t="s">
        <v>4184</v>
      </c>
      <c r="L614" s="91" t="s">
        <v>3225</v>
      </c>
      <c r="M614" s="91" t="s">
        <v>1404</v>
      </c>
      <c r="N614" s="91" t="s">
        <v>2027</v>
      </c>
      <c r="O614" s="77"/>
      <c r="P614" s="91" t="s">
        <v>2534</v>
      </c>
      <c r="Q614" s="32"/>
      <c r="R614" s="48" t="s">
        <v>216</v>
      </c>
      <c r="S614" s="32"/>
    </row>
    <row r="615" spans="2:19" x14ac:dyDescent="0.3">
      <c r="B615" t="str">
        <f>LEFT(Tabla3890134177220392[[#This Row],[Descripción del equipo]], FIND(" ", Tabla3890134177220392[[#This Row],[Descripción del equipo]] &amp; " ") - 1)</f>
        <v>Arnes</v>
      </c>
      <c r="C615" s="11" t="s">
        <v>173</v>
      </c>
      <c r="D615">
        <v>1</v>
      </c>
      <c r="E615" t="s">
        <v>160</v>
      </c>
      <c r="F615" s="92" t="s">
        <v>1056</v>
      </c>
      <c r="G615" s="90" t="str">
        <f>LEFT([1]modificado!$O$2, FIND(" ", [1]modificado!$O$2 &amp; " ") - 1)</f>
        <v>3M</v>
      </c>
      <c r="H615" s="47" t="str">
        <f>RIGHT([1]!Tabla2[[#This Row],[Marca y Modelo]], LEN([1]!Tabla2[[#This Row],[Marca y Modelo]]) - FIND(" ", [1]!Tabla2[[#This Row],[Marca y Modelo]]))</f>
        <v>1191205</v>
      </c>
      <c r="I615" s="76"/>
      <c r="J615" s="76"/>
      <c r="K615" s="92" t="s">
        <v>4184</v>
      </c>
      <c r="L615" s="92" t="s">
        <v>3226</v>
      </c>
      <c r="M615" s="92" t="s">
        <v>1404</v>
      </c>
      <c r="N615" s="92" t="s">
        <v>2028</v>
      </c>
      <c r="O615" s="77"/>
      <c r="P615" s="92" t="s">
        <v>2534</v>
      </c>
      <c r="Q615" s="32"/>
      <c r="R615" s="48" t="s">
        <v>216</v>
      </c>
      <c r="S615" s="32"/>
    </row>
    <row r="616" spans="2:19" x14ac:dyDescent="0.3">
      <c r="B616" t="str">
        <f>LEFT(Tabla3890134177220392[[#This Row],[Descripción del equipo]], FIND(" ", Tabla3890134177220392[[#This Row],[Descripción del equipo]] &amp; " ") - 1)</f>
        <v>Arnes</v>
      </c>
      <c r="C616" s="11" t="s">
        <v>173</v>
      </c>
      <c r="D616">
        <v>1</v>
      </c>
      <c r="E616" t="s">
        <v>160</v>
      </c>
      <c r="F616" s="91" t="s">
        <v>1056</v>
      </c>
      <c r="G616" s="90" t="str">
        <f>LEFT([1]modificado!$O$2, FIND(" ", [1]modificado!$O$2 &amp; " ") - 1)</f>
        <v>3M</v>
      </c>
      <c r="H616" s="47" t="str">
        <f>RIGHT([1]!Tabla2[[#This Row],[Marca y Modelo]], LEN([1]!Tabla2[[#This Row],[Marca y Modelo]]) - FIND(" ", [1]!Tabla2[[#This Row],[Marca y Modelo]]))</f>
        <v>1191205</v>
      </c>
      <c r="I616" s="76"/>
      <c r="J616" s="76"/>
      <c r="K616" s="91" t="s">
        <v>4184</v>
      </c>
      <c r="L616" s="91" t="s">
        <v>3227</v>
      </c>
      <c r="M616" s="91" t="s">
        <v>1404</v>
      </c>
      <c r="N616" s="91" t="s">
        <v>2029</v>
      </c>
      <c r="O616" s="77"/>
      <c r="P616" s="91" t="s">
        <v>2534</v>
      </c>
      <c r="Q616" s="32"/>
      <c r="R616" s="48" t="s">
        <v>216</v>
      </c>
      <c r="S616" s="32"/>
    </row>
    <row r="617" spans="2:19" x14ac:dyDescent="0.3">
      <c r="B617" t="str">
        <f>LEFT(Tabla3890134177220392[[#This Row],[Descripción del equipo]], FIND(" ", Tabla3890134177220392[[#This Row],[Descripción del equipo]] &amp; " ") - 1)</f>
        <v>Arnes</v>
      </c>
      <c r="C617" s="11" t="s">
        <v>173</v>
      </c>
      <c r="D617">
        <v>1</v>
      </c>
      <c r="E617" t="s">
        <v>160</v>
      </c>
      <c r="F617" s="92" t="s">
        <v>1056</v>
      </c>
      <c r="G617" s="90" t="str">
        <f>LEFT([1]modificado!$O$2, FIND(" ", [1]modificado!$O$2 &amp; " ") - 1)</f>
        <v>3M</v>
      </c>
      <c r="H617" s="47" t="str">
        <f>RIGHT([1]!Tabla2[[#This Row],[Marca y Modelo]], LEN([1]!Tabla2[[#This Row],[Marca y Modelo]]) - FIND(" ", [1]!Tabla2[[#This Row],[Marca y Modelo]]))</f>
        <v>1191205</v>
      </c>
      <c r="I617" s="76"/>
      <c r="J617" s="76"/>
      <c r="K617" s="92" t="s">
        <v>4184</v>
      </c>
      <c r="L617" s="92" t="s">
        <v>3228</v>
      </c>
      <c r="M617" s="92" t="s">
        <v>1404</v>
      </c>
      <c r="N617" s="92" t="s">
        <v>2030</v>
      </c>
      <c r="O617" s="77"/>
      <c r="P617" s="92" t="s">
        <v>2534</v>
      </c>
      <c r="Q617" s="32"/>
      <c r="R617" s="48" t="s">
        <v>216</v>
      </c>
      <c r="S617" s="32"/>
    </row>
    <row r="618" spans="2:19" x14ac:dyDescent="0.3">
      <c r="B618" t="str">
        <f>LEFT(Tabla3890134177220392[[#This Row],[Descripción del equipo]], FIND(" ", Tabla3890134177220392[[#This Row],[Descripción del equipo]] &amp; " ") - 1)</f>
        <v>Arnes</v>
      </c>
      <c r="C618" s="11" t="s">
        <v>173</v>
      </c>
      <c r="D618">
        <v>1</v>
      </c>
      <c r="E618" t="s">
        <v>160</v>
      </c>
      <c r="F618" s="91" t="s">
        <v>1056</v>
      </c>
      <c r="G618" s="90" t="str">
        <f>LEFT([1]modificado!$O$2, FIND(" ", [1]modificado!$O$2 &amp; " ") - 1)</f>
        <v>3M</v>
      </c>
      <c r="H618" s="47" t="str">
        <f>RIGHT([1]!Tabla2[[#This Row],[Marca y Modelo]], LEN([1]!Tabla2[[#This Row],[Marca y Modelo]]) - FIND(" ", [1]!Tabla2[[#This Row],[Marca y Modelo]]))</f>
        <v>1191205</v>
      </c>
      <c r="I618" s="76"/>
      <c r="J618" s="76"/>
      <c r="K618" s="91" t="s">
        <v>4185</v>
      </c>
      <c r="L618" s="91" t="s">
        <v>3229</v>
      </c>
      <c r="M618" s="91" t="s">
        <v>1404</v>
      </c>
      <c r="N618" s="91" t="s">
        <v>2031</v>
      </c>
      <c r="O618" s="77"/>
      <c r="P618" s="91" t="s">
        <v>2534</v>
      </c>
      <c r="Q618" s="32"/>
      <c r="R618" s="48" t="s">
        <v>216</v>
      </c>
      <c r="S618" s="32"/>
    </row>
    <row r="619" spans="2:19" x14ac:dyDescent="0.3">
      <c r="B619" t="str">
        <f>LEFT(Tabla3890134177220392[[#This Row],[Descripción del equipo]], FIND(" ", Tabla3890134177220392[[#This Row],[Descripción del equipo]] &amp; " ") - 1)</f>
        <v>Arnes</v>
      </c>
      <c r="C619" s="11" t="s">
        <v>173</v>
      </c>
      <c r="D619">
        <v>1</v>
      </c>
      <c r="E619" t="s">
        <v>160</v>
      </c>
      <c r="F619" s="92" t="s">
        <v>1068</v>
      </c>
      <c r="G619" s="90" t="str">
        <f>LEFT([1]modificado!$O$2, FIND(" ", [1]modificado!$O$2 &amp; " ") - 1)</f>
        <v>3M</v>
      </c>
      <c r="H619" s="47" t="str">
        <f>RIGHT([1]!Tabla2[[#This Row],[Marca y Modelo]], LEN([1]!Tabla2[[#This Row],[Marca y Modelo]]) - FIND(" ", [1]!Tabla2[[#This Row],[Marca y Modelo]]))</f>
        <v>1021-LOGO</v>
      </c>
      <c r="I619" s="76"/>
      <c r="J619" s="76"/>
      <c r="K619" s="92" t="s">
        <v>4185</v>
      </c>
      <c r="L619" s="92" t="s">
        <v>3230</v>
      </c>
      <c r="M619" s="92" t="s">
        <v>1404</v>
      </c>
      <c r="N619" s="92" t="s">
        <v>2032</v>
      </c>
      <c r="O619" s="77"/>
      <c r="P619" s="92" t="s">
        <v>2534</v>
      </c>
      <c r="Q619" s="32"/>
      <c r="R619" s="48" t="s">
        <v>216</v>
      </c>
      <c r="S619" s="32"/>
    </row>
    <row r="620" spans="2:19" x14ac:dyDescent="0.3">
      <c r="B620" t="s">
        <v>4348</v>
      </c>
      <c r="C620" s="11" t="s">
        <v>173</v>
      </c>
      <c r="D620">
        <v>1</v>
      </c>
      <c r="E620" t="s">
        <v>160</v>
      </c>
      <c r="F620" s="91" t="s">
        <v>1069</v>
      </c>
      <c r="G620" s="90" t="str">
        <f>LEFT([1]modificado!$O$2, FIND(" ", [1]modificado!$O$2 &amp; " ") - 1)</f>
        <v>3M</v>
      </c>
      <c r="H620" s="47"/>
      <c r="I620" s="76"/>
      <c r="J620" s="76"/>
      <c r="K620" s="91" t="s">
        <v>4186</v>
      </c>
      <c r="L620" s="91" t="s">
        <v>3231</v>
      </c>
      <c r="M620" s="91" t="s">
        <v>1404</v>
      </c>
      <c r="N620" s="91" t="s">
        <v>2033</v>
      </c>
      <c r="O620" s="77"/>
      <c r="P620" s="91" t="s">
        <v>2534</v>
      </c>
      <c r="Q620" s="32"/>
      <c r="R620" s="48" t="s">
        <v>216</v>
      </c>
      <c r="S620" s="32"/>
    </row>
    <row r="621" spans="2:19" x14ac:dyDescent="0.3">
      <c r="B621" t="s">
        <v>4348</v>
      </c>
      <c r="C621" s="11" t="s">
        <v>173</v>
      </c>
      <c r="D621">
        <v>1</v>
      </c>
      <c r="E621" t="s">
        <v>160</v>
      </c>
      <c r="F621" s="92" t="s">
        <v>1082</v>
      </c>
      <c r="G621" s="90" t="str">
        <f>LEFT([1]modificado!$O$2, FIND(" ", [1]modificado!$O$2 &amp; " ") - 1)</f>
        <v>3M</v>
      </c>
      <c r="H621" s="47" t="str">
        <f>RIGHT([1]!Tabla2[[#This Row],[Marca y Modelo]], LEN([1]!Tabla2[[#This Row],[Marca y Modelo]]) - FIND(" ", [1]!Tabla2[[#This Row],[Marca y Modelo]]))</f>
        <v>8928-27/18INBK</v>
      </c>
      <c r="I621" s="76"/>
      <c r="J621" s="76"/>
      <c r="K621" s="92" t="s">
        <v>4186</v>
      </c>
      <c r="L621" s="92" t="s">
        <v>3232</v>
      </c>
      <c r="M621" s="92" t="s">
        <v>1405</v>
      </c>
      <c r="N621" s="92" t="s">
        <v>2034</v>
      </c>
      <c r="O621" s="77"/>
      <c r="P621" s="92" t="s">
        <v>2534</v>
      </c>
      <c r="Q621" s="32"/>
      <c r="R621" s="48" t="s">
        <v>216</v>
      </c>
      <c r="S621" s="32"/>
    </row>
    <row r="622" spans="2:19" x14ac:dyDescent="0.3">
      <c r="B622" t="str">
        <f>LEFT(Tabla3890134177220392[[#This Row],[Descripción del equipo]], FIND(" ", Tabla3890134177220392[[#This Row],[Descripción del equipo]] &amp; " ") - 1)</f>
        <v>Arnes</v>
      </c>
      <c r="C622" s="11" t="s">
        <v>173</v>
      </c>
      <c r="D622">
        <v>1</v>
      </c>
      <c r="E622" t="s">
        <v>160</v>
      </c>
      <c r="F622" s="91" t="s">
        <v>1056</v>
      </c>
      <c r="G622" s="90" t="str">
        <f>LEFT([1]modificado!$O$2, FIND(" ", [1]modificado!$O$2 &amp; " ") - 1)</f>
        <v>3M</v>
      </c>
      <c r="H622" s="47" t="str">
        <f>RIGHT([1]!Tabla2[[#This Row],[Marca y Modelo]], LEN([1]!Tabla2[[#This Row],[Marca y Modelo]]) - FIND(" ", [1]!Tabla2[[#This Row],[Marca y Modelo]]))</f>
        <v>Basic Lion</v>
      </c>
      <c r="I622" s="76"/>
      <c r="J622" s="76"/>
      <c r="K622" s="91" t="s">
        <v>4185</v>
      </c>
      <c r="L622" s="91" t="s">
        <v>3233</v>
      </c>
      <c r="M622" s="91" t="s">
        <v>1404</v>
      </c>
      <c r="N622" s="91" t="s">
        <v>2035</v>
      </c>
      <c r="O622" s="77"/>
      <c r="P622" s="91" t="s">
        <v>2534</v>
      </c>
      <c r="Q622" s="32"/>
      <c r="R622" s="48" t="s">
        <v>216</v>
      </c>
      <c r="S622" s="32"/>
    </row>
    <row r="623" spans="2:19" x14ac:dyDescent="0.3">
      <c r="B623" t="str">
        <f>LEFT(Tabla3890134177220392[[#This Row],[Descripción del equipo]], FIND(" ", Tabla3890134177220392[[#This Row],[Descripción del equipo]] &amp; " ") - 1)</f>
        <v>Arnes</v>
      </c>
      <c r="C623" s="11" t="s">
        <v>173</v>
      </c>
      <c r="D623">
        <v>1</v>
      </c>
      <c r="E623" t="s">
        <v>160</v>
      </c>
      <c r="F623" s="92" t="s">
        <v>1056</v>
      </c>
      <c r="G623" s="90" t="str">
        <f>LEFT([1]modificado!$O$2, FIND(" ", [1]modificado!$O$2 &amp; " ") - 1)</f>
        <v>3M</v>
      </c>
      <c r="H623" s="47" t="str">
        <f>RIGHT([1]!Tabla2[[#This Row],[Marca y Modelo]], LEN([1]!Tabla2[[#This Row],[Marca y Modelo]]) - FIND(" ", [1]!Tabla2[[#This Row],[Marca y Modelo]]))</f>
        <v>Basic Lion</v>
      </c>
      <c r="I623" s="76"/>
      <c r="J623" s="76"/>
      <c r="K623" s="92" t="s">
        <v>4185</v>
      </c>
      <c r="L623" s="92" t="s">
        <v>3234</v>
      </c>
      <c r="M623" s="92" t="s">
        <v>1404</v>
      </c>
      <c r="N623" s="92" t="s">
        <v>2036</v>
      </c>
      <c r="O623" s="77"/>
      <c r="P623" s="92" t="s">
        <v>2534</v>
      </c>
      <c r="Q623" s="32"/>
      <c r="R623" s="48" t="s">
        <v>216</v>
      </c>
      <c r="S623" s="32"/>
    </row>
    <row r="624" spans="2:19" x14ac:dyDescent="0.3">
      <c r="B624" t="str">
        <f>LEFT(Tabla3890134177220392[[#This Row],[Descripción del equipo]], FIND(" ", Tabla3890134177220392[[#This Row],[Descripción del equipo]] &amp; " ") - 1)</f>
        <v>Arnes</v>
      </c>
      <c r="C624" s="11" t="s">
        <v>173</v>
      </c>
      <c r="D624">
        <v>1</v>
      </c>
      <c r="E624" t="s">
        <v>160</v>
      </c>
      <c r="F624" s="91" t="s">
        <v>1056</v>
      </c>
      <c r="G624" s="90" t="str">
        <f>LEFT([1]modificado!$O$2, FIND(" ", [1]modificado!$O$2 &amp; " ") - 1)</f>
        <v>3M</v>
      </c>
      <c r="H624" s="47" t="str">
        <f>RIGHT([1]!Tabla2[[#This Row],[Marca y Modelo]], LEN([1]!Tabla2[[#This Row],[Marca y Modelo]]) - FIND(" ", [1]!Tabla2[[#This Row],[Marca y Modelo]]))</f>
        <v>Basic Lion</v>
      </c>
      <c r="I624" s="76"/>
      <c r="J624" s="76"/>
      <c r="K624" s="91" t="s">
        <v>4185</v>
      </c>
      <c r="L624" s="91" t="s">
        <v>3235</v>
      </c>
      <c r="M624" s="91" t="s">
        <v>1404</v>
      </c>
      <c r="N624" s="91" t="s">
        <v>2037</v>
      </c>
      <c r="O624" s="77"/>
      <c r="P624" s="91" t="s">
        <v>2534</v>
      </c>
      <c r="Q624" s="32"/>
      <c r="R624" s="48" t="s">
        <v>216</v>
      </c>
      <c r="S624" s="32"/>
    </row>
    <row r="625" spans="2:19" x14ac:dyDescent="0.3">
      <c r="B625" t="str">
        <f>LEFT(Tabla3890134177220392[[#This Row],[Descripción del equipo]], FIND(" ", Tabla3890134177220392[[#This Row],[Descripción del equipo]] &amp; " ") - 1)</f>
        <v>Arnes</v>
      </c>
      <c r="C625" s="11" t="s">
        <v>173</v>
      </c>
      <c r="D625">
        <v>1</v>
      </c>
      <c r="E625" t="s">
        <v>160</v>
      </c>
      <c r="F625" s="92" t="s">
        <v>1056</v>
      </c>
      <c r="G625" s="90" t="str">
        <f>LEFT([1]modificado!$O$2, FIND(" ", [1]modificado!$O$2 &amp; " ") - 1)</f>
        <v>3M</v>
      </c>
      <c r="H625" s="47" t="str">
        <f>RIGHT([1]!Tabla2[[#This Row],[Marca y Modelo]], LEN([1]!Tabla2[[#This Row],[Marca y Modelo]]) - FIND(" ", [1]!Tabla2[[#This Row],[Marca y Modelo]]))</f>
        <v>Basic Tiger</v>
      </c>
      <c r="I625" s="76"/>
      <c r="J625" s="76"/>
      <c r="K625" s="92" t="s">
        <v>4185</v>
      </c>
      <c r="L625" s="92" t="s">
        <v>3236</v>
      </c>
      <c r="M625" s="92" t="s">
        <v>1404</v>
      </c>
      <c r="N625" s="92" t="s">
        <v>2038</v>
      </c>
      <c r="O625" s="77"/>
      <c r="P625" s="92" t="s">
        <v>2534</v>
      </c>
      <c r="Q625" s="32"/>
      <c r="R625" s="48" t="s">
        <v>216</v>
      </c>
      <c r="S625" s="32"/>
    </row>
    <row r="626" spans="2:19" x14ac:dyDescent="0.3">
      <c r="B626" t="str">
        <f>LEFT(Tabla3890134177220392[[#This Row],[Descripción del equipo]], FIND(" ", Tabla3890134177220392[[#This Row],[Descripción del equipo]] &amp; " ") - 1)</f>
        <v>Arnes</v>
      </c>
      <c r="C626" s="11" t="s">
        <v>173</v>
      </c>
      <c r="D626">
        <v>1</v>
      </c>
      <c r="E626" t="s">
        <v>160</v>
      </c>
      <c r="F626" s="91" t="s">
        <v>1056</v>
      </c>
      <c r="G626" s="90" t="str">
        <f>LEFT([1]modificado!$O$2, FIND(" ", [1]modificado!$O$2 &amp; " ") - 1)</f>
        <v>3M</v>
      </c>
      <c r="H626" s="47" t="str">
        <f>RIGHT([1]!Tabla2[[#This Row],[Marca y Modelo]], LEN([1]!Tabla2[[#This Row],[Marca y Modelo]]) - FIND(" ", [1]!Tabla2[[#This Row],[Marca y Modelo]]))</f>
        <v>Space</v>
      </c>
      <c r="I626" s="76"/>
      <c r="J626" s="76"/>
      <c r="K626" s="91" t="s">
        <v>4185</v>
      </c>
      <c r="L626" s="91" t="s">
        <v>3237</v>
      </c>
      <c r="M626" s="91" t="s">
        <v>1406</v>
      </c>
      <c r="N626" s="91" t="s">
        <v>2039</v>
      </c>
      <c r="O626" s="77"/>
      <c r="P626" s="91" t="s">
        <v>2534</v>
      </c>
      <c r="Q626" s="32"/>
      <c r="R626" s="48" t="s">
        <v>216</v>
      </c>
      <c r="S626" s="32"/>
    </row>
    <row r="627" spans="2:19" x14ac:dyDescent="0.3">
      <c r="B627" t="s">
        <v>4348</v>
      </c>
      <c r="C627" s="11" t="s">
        <v>173</v>
      </c>
      <c r="D627">
        <v>1</v>
      </c>
      <c r="E627" t="s">
        <v>160</v>
      </c>
      <c r="F627" s="92" t="s">
        <v>1057</v>
      </c>
      <c r="G627" s="90" t="str">
        <f>LEFT([1]modificado!$O$2, FIND(" ", [1]modificado!$O$2 &amp; " ") - 1)</f>
        <v>3M</v>
      </c>
      <c r="H627" s="47"/>
      <c r="I627" s="76"/>
      <c r="J627" s="76"/>
      <c r="K627" s="92" t="s">
        <v>4186</v>
      </c>
      <c r="L627" s="92" t="s">
        <v>3238</v>
      </c>
      <c r="M627" s="92" t="s">
        <v>1404</v>
      </c>
      <c r="N627" s="92" t="s">
        <v>2040</v>
      </c>
      <c r="O627" s="77"/>
      <c r="P627" s="92" t="s">
        <v>2534</v>
      </c>
      <c r="Q627" s="32"/>
      <c r="R627" s="48" t="s">
        <v>216</v>
      </c>
      <c r="S627" s="32"/>
    </row>
    <row r="628" spans="2:19" x14ac:dyDescent="0.3">
      <c r="B628" t="s">
        <v>4348</v>
      </c>
      <c r="C628" s="11" t="s">
        <v>173</v>
      </c>
      <c r="D628">
        <v>1</v>
      </c>
      <c r="E628" t="s">
        <v>160</v>
      </c>
      <c r="F628" s="91" t="s">
        <v>1057</v>
      </c>
      <c r="G628" s="90" t="str">
        <f>LEFT([1]modificado!$O$2, FIND(" ", [1]modificado!$O$2 &amp; " ") - 1)</f>
        <v>3M</v>
      </c>
      <c r="H628" s="47"/>
      <c r="I628" s="76"/>
      <c r="J628" s="76"/>
      <c r="K628" s="91" t="s">
        <v>4186</v>
      </c>
      <c r="L628" s="91" t="s">
        <v>3239</v>
      </c>
      <c r="M628" s="91" t="s">
        <v>1404</v>
      </c>
      <c r="N628" s="91" t="s">
        <v>2041</v>
      </c>
      <c r="O628" s="77"/>
      <c r="P628" s="91" t="s">
        <v>2534</v>
      </c>
      <c r="Q628" s="32"/>
      <c r="R628" s="48" t="s">
        <v>216</v>
      </c>
      <c r="S628" s="32"/>
    </row>
    <row r="629" spans="2:19" x14ac:dyDescent="0.3">
      <c r="B629" t="str">
        <f>LEFT(Tabla3890134177220392[[#This Row],[Descripción del equipo]], FIND(" ", Tabla3890134177220392[[#This Row],[Descripción del equipo]] &amp; " ") - 1)</f>
        <v>Arnes</v>
      </c>
      <c r="C629" s="11" t="s">
        <v>173</v>
      </c>
      <c r="D629">
        <v>1</v>
      </c>
      <c r="E629" t="s">
        <v>160</v>
      </c>
      <c r="F629" s="92" t="s">
        <v>1056</v>
      </c>
      <c r="G629" s="90" t="str">
        <f>LEFT([1]modificado!$O$2, FIND(" ", [1]modificado!$O$2 &amp; " ") - 1)</f>
        <v>3M</v>
      </c>
      <c r="H629" s="47" t="str">
        <f>RIGHT([1]!Tabla2[[#This Row],[Marca y Modelo]], LEN([1]!Tabla2[[#This Row],[Marca y Modelo]]) - FIND(" ", [1]!Tabla2[[#This Row],[Marca y Modelo]]))</f>
        <v>Basic Lion</v>
      </c>
      <c r="I629" s="76"/>
      <c r="J629" s="76"/>
      <c r="K629" s="92" t="s">
        <v>4185</v>
      </c>
      <c r="L629" s="92" t="s">
        <v>3240</v>
      </c>
      <c r="M629" s="92" t="s">
        <v>1404</v>
      </c>
      <c r="N629" s="92" t="s">
        <v>2042</v>
      </c>
      <c r="O629" s="77"/>
      <c r="P629" s="92" t="s">
        <v>2534</v>
      </c>
      <c r="Q629" s="32"/>
      <c r="R629" s="48" t="s">
        <v>216</v>
      </c>
      <c r="S629" s="32"/>
    </row>
    <row r="630" spans="2:19" x14ac:dyDescent="0.3">
      <c r="B630" t="str">
        <f>LEFT(Tabla3890134177220392[[#This Row],[Descripción del equipo]], FIND(" ", Tabla3890134177220392[[#This Row],[Descripción del equipo]] &amp; " ") - 1)</f>
        <v>Arnes</v>
      </c>
      <c r="C630" s="11" t="s">
        <v>173</v>
      </c>
      <c r="D630">
        <v>1</v>
      </c>
      <c r="E630" t="s">
        <v>160</v>
      </c>
      <c r="F630" s="91" t="s">
        <v>1056</v>
      </c>
      <c r="G630" s="90" t="str">
        <f>LEFT([1]modificado!$O$2, FIND(" ", [1]modificado!$O$2 &amp; " ") - 1)</f>
        <v>3M</v>
      </c>
      <c r="H630" s="47" t="str">
        <f>RIGHT([1]!Tabla2[[#This Row],[Marca y Modelo]], LEN([1]!Tabla2[[#This Row],[Marca y Modelo]]) - FIND(" ", [1]!Tabla2[[#This Row],[Marca y Modelo]]))</f>
        <v>Basic Lion</v>
      </c>
      <c r="I630" s="76"/>
      <c r="J630" s="76"/>
      <c r="K630" s="91" t="s">
        <v>4185</v>
      </c>
      <c r="L630" s="91" t="s">
        <v>3241</v>
      </c>
      <c r="M630" s="91" t="s">
        <v>1404</v>
      </c>
      <c r="N630" s="91" t="s">
        <v>2043</v>
      </c>
      <c r="O630" s="77"/>
      <c r="P630" s="91" t="s">
        <v>2534</v>
      </c>
      <c r="Q630" s="32"/>
      <c r="R630" s="48" t="s">
        <v>216</v>
      </c>
      <c r="S630" s="32"/>
    </row>
    <row r="631" spans="2:19" x14ac:dyDescent="0.3">
      <c r="B631" t="str">
        <f>LEFT(Tabla3890134177220392[[#This Row],[Descripción del equipo]], FIND(" ", Tabla3890134177220392[[#This Row],[Descripción del equipo]] &amp; " ") - 1)</f>
        <v>Arnes</v>
      </c>
      <c r="C631" s="11" t="s">
        <v>173</v>
      </c>
      <c r="D631">
        <v>1</v>
      </c>
      <c r="E631" t="s">
        <v>160</v>
      </c>
      <c r="F631" s="92" t="s">
        <v>1056</v>
      </c>
      <c r="G631" s="90" t="str">
        <f>LEFT([1]modificado!$O$2, FIND(" ", [1]modificado!$O$2 &amp; " ") - 1)</f>
        <v>3M</v>
      </c>
      <c r="H631" s="47" t="str">
        <f>RIGHT([1]!Tabla2[[#This Row],[Marca y Modelo]], LEN([1]!Tabla2[[#This Row],[Marca y Modelo]]) - FIND(" ", [1]!Tabla2[[#This Row],[Marca y Modelo]]))</f>
        <v>Space</v>
      </c>
      <c r="I631" s="76"/>
      <c r="J631" s="76"/>
      <c r="K631" s="92" t="s">
        <v>4185</v>
      </c>
      <c r="L631" s="92" t="s">
        <v>3242</v>
      </c>
      <c r="M631" s="92" t="s">
        <v>1405</v>
      </c>
      <c r="N631" s="92" t="s">
        <v>2044</v>
      </c>
      <c r="O631" s="77"/>
      <c r="P631" s="92" t="s">
        <v>2534</v>
      </c>
      <c r="Q631" s="32"/>
      <c r="R631" s="48" t="s">
        <v>216</v>
      </c>
      <c r="S631" s="32"/>
    </row>
    <row r="632" spans="2:19" x14ac:dyDescent="0.3">
      <c r="B632" t="str">
        <f>LEFT(Tabla3890134177220392[[#This Row],[Descripción del equipo]], FIND(" ", Tabla3890134177220392[[#This Row],[Descripción del equipo]] &amp; " ") - 1)</f>
        <v>Arnes</v>
      </c>
      <c r="C632" s="11" t="s">
        <v>173</v>
      </c>
      <c r="D632">
        <v>1</v>
      </c>
      <c r="E632" t="s">
        <v>160</v>
      </c>
      <c r="F632" s="91" t="s">
        <v>1056</v>
      </c>
      <c r="G632" s="90" t="str">
        <f>LEFT([1]modificado!$O$2, FIND(" ", [1]modificado!$O$2 &amp; " ") - 1)</f>
        <v>3M</v>
      </c>
      <c r="H632" s="47" t="str">
        <f>RIGHT([1]!Tabla2[[#This Row],[Marca y Modelo]], LEN([1]!Tabla2[[#This Row],[Marca y Modelo]]) - FIND(" ", [1]!Tabla2[[#This Row],[Marca y Modelo]]))</f>
        <v>Space</v>
      </c>
      <c r="I632" s="76"/>
      <c r="J632" s="76"/>
      <c r="K632" s="91" t="s">
        <v>4185</v>
      </c>
      <c r="L632" s="91" t="s">
        <v>3243</v>
      </c>
      <c r="M632" s="91" t="s">
        <v>1405</v>
      </c>
      <c r="N632" s="91" t="s">
        <v>2045</v>
      </c>
      <c r="O632" s="77"/>
      <c r="P632" s="91" t="s">
        <v>2534</v>
      </c>
      <c r="Q632" s="32"/>
      <c r="R632" s="48" t="s">
        <v>216</v>
      </c>
      <c r="S632" s="32"/>
    </row>
    <row r="633" spans="2:19" x14ac:dyDescent="0.3">
      <c r="B633" t="str">
        <f>LEFT(Tabla3890134177220392[[#This Row],[Descripción del equipo]], FIND(" ", Tabla3890134177220392[[#This Row],[Descripción del equipo]] &amp; " ") - 1)</f>
        <v>Arnes</v>
      </c>
      <c r="C633" s="11" t="s">
        <v>173</v>
      </c>
      <c r="D633">
        <v>1</v>
      </c>
      <c r="E633" t="s">
        <v>160</v>
      </c>
      <c r="F633" s="92" t="s">
        <v>1056</v>
      </c>
      <c r="G633" s="90" t="str">
        <f>LEFT([1]modificado!$O$2, FIND(" ", [1]modificado!$O$2 &amp; " ") - 1)</f>
        <v>3M</v>
      </c>
      <c r="H633" s="47" t="str">
        <f>RIGHT([1]!Tabla2[[#This Row],[Marca y Modelo]], LEN([1]!Tabla2[[#This Row],[Marca y Modelo]]) - FIND(" ", [1]!Tabla2[[#This Row],[Marca y Modelo]]))</f>
        <v>Space</v>
      </c>
      <c r="I633" s="76"/>
      <c r="J633" s="76"/>
      <c r="K633" s="92" t="s">
        <v>4185</v>
      </c>
      <c r="L633" s="92" t="s">
        <v>3244</v>
      </c>
      <c r="M633" s="92" t="s">
        <v>1405</v>
      </c>
      <c r="N633" s="92" t="s">
        <v>2046</v>
      </c>
      <c r="O633" s="77"/>
      <c r="P633" s="92" t="s">
        <v>2534</v>
      </c>
      <c r="Q633" s="32"/>
      <c r="R633" s="48" t="s">
        <v>216</v>
      </c>
      <c r="S633" s="32"/>
    </row>
    <row r="634" spans="2:19" x14ac:dyDescent="0.3">
      <c r="B634" t="s">
        <v>4348</v>
      </c>
      <c r="C634" s="11" t="s">
        <v>173</v>
      </c>
      <c r="D634">
        <v>1</v>
      </c>
      <c r="E634" t="s">
        <v>160</v>
      </c>
      <c r="F634" s="91" t="s">
        <v>1057</v>
      </c>
      <c r="G634" s="90" t="str">
        <f>LEFT([1]modificado!$O$2, FIND(" ", [1]modificado!$O$2 &amp; " ") - 1)</f>
        <v>3M</v>
      </c>
      <c r="H634" s="47" t="str">
        <f>RIGHT([1]!Tabla2[[#This Row],[Marca y Modelo]], LEN([1]!Tabla2[[#This Row],[Marca y Modelo]]) - FIND(" ", [1]!Tabla2[[#This Row],[Marca y Modelo]]))</f>
        <v>74551</v>
      </c>
      <c r="I634" s="76"/>
      <c r="J634" s="76"/>
      <c r="K634" s="91" t="s">
        <v>4186</v>
      </c>
      <c r="L634" s="91" t="s">
        <v>3245</v>
      </c>
      <c r="M634" s="91" t="s">
        <v>1406</v>
      </c>
      <c r="N634" s="91" t="s">
        <v>2047</v>
      </c>
      <c r="O634" s="77"/>
      <c r="P634" s="91" t="s">
        <v>2534</v>
      </c>
      <c r="Q634" s="32"/>
      <c r="R634" s="48" t="s">
        <v>216</v>
      </c>
      <c r="S634" s="32"/>
    </row>
    <row r="635" spans="2:19" x14ac:dyDescent="0.3">
      <c r="B635" t="s">
        <v>4348</v>
      </c>
      <c r="C635" s="11" t="s">
        <v>173</v>
      </c>
      <c r="D635">
        <v>1</v>
      </c>
      <c r="E635" t="s">
        <v>160</v>
      </c>
      <c r="F635" s="92" t="s">
        <v>1057</v>
      </c>
      <c r="G635" s="90" t="str">
        <f>LEFT([1]modificado!$O$2, FIND(" ", [1]modificado!$O$2 &amp; " ") - 1)</f>
        <v>3M</v>
      </c>
      <c r="H635" s="47" t="str">
        <f>RIGHT([1]!Tabla2[[#This Row],[Marca y Modelo]], LEN([1]!Tabla2[[#This Row],[Marca y Modelo]]) - FIND(" ", [1]!Tabla2[[#This Row],[Marca y Modelo]]))</f>
        <v>77400</v>
      </c>
      <c r="I635" s="76"/>
      <c r="J635" s="76"/>
      <c r="K635" s="92" t="s">
        <v>4186</v>
      </c>
      <c r="L635" s="92" t="s">
        <v>3246</v>
      </c>
      <c r="M635" s="92" t="s">
        <v>1405</v>
      </c>
      <c r="N635" s="92" t="s">
        <v>2048</v>
      </c>
      <c r="O635" s="77"/>
      <c r="P635" s="92" t="s">
        <v>2534</v>
      </c>
      <c r="Q635" s="32"/>
      <c r="R635" s="48" t="s">
        <v>216</v>
      </c>
      <c r="S635" s="32"/>
    </row>
    <row r="636" spans="2:19" x14ac:dyDescent="0.3">
      <c r="B636" t="s">
        <v>4348</v>
      </c>
      <c r="C636" s="11" t="s">
        <v>173</v>
      </c>
      <c r="D636">
        <v>1</v>
      </c>
      <c r="E636" t="s">
        <v>160</v>
      </c>
      <c r="F636" s="91" t="s">
        <v>1057</v>
      </c>
      <c r="G636" s="90" t="str">
        <f>LEFT([1]modificado!$O$2, FIND(" ", [1]modificado!$O$2 &amp; " ") - 1)</f>
        <v>3M</v>
      </c>
      <c r="H636" s="47"/>
      <c r="I636" s="76"/>
      <c r="J636" s="76"/>
      <c r="K636" s="91" t="s">
        <v>4186</v>
      </c>
      <c r="L636" s="91" t="s">
        <v>3247</v>
      </c>
      <c r="M636" s="91" t="s">
        <v>1404</v>
      </c>
      <c r="N636" s="91" t="s">
        <v>2049</v>
      </c>
      <c r="O636" s="77"/>
      <c r="P636" s="91" t="s">
        <v>2534</v>
      </c>
      <c r="Q636" s="32"/>
      <c r="R636" s="48" t="s">
        <v>216</v>
      </c>
      <c r="S636" s="32"/>
    </row>
    <row r="637" spans="2:19" x14ac:dyDescent="0.3">
      <c r="B637" t="s">
        <v>4348</v>
      </c>
      <c r="C637" s="11" t="s">
        <v>173</v>
      </c>
      <c r="D637">
        <v>1</v>
      </c>
      <c r="E637" t="s">
        <v>160</v>
      </c>
      <c r="F637" s="92" t="s">
        <v>1082</v>
      </c>
      <c r="G637" s="90" t="str">
        <f>LEFT([1]modificado!$O$2, FIND(" ", [1]modificado!$O$2 &amp; " ") - 1)</f>
        <v>3M</v>
      </c>
      <c r="H637" s="47" t="str">
        <f>RIGHT([1]!Tabla2[[#This Row],[Marca y Modelo]], LEN([1]!Tabla2[[#This Row],[Marca y Modelo]]) - FIND(" ", [1]!Tabla2[[#This Row],[Marca y Modelo]]))</f>
        <v>8928-27/18INBK</v>
      </c>
      <c r="I637" s="76"/>
      <c r="J637" s="76"/>
      <c r="K637" s="92" t="s">
        <v>4186</v>
      </c>
      <c r="L637" s="92" t="s">
        <v>3248</v>
      </c>
      <c r="M637" s="92" t="s">
        <v>1405</v>
      </c>
      <c r="N637" s="92" t="s">
        <v>2050</v>
      </c>
      <c r="O637" s="77"/>
      <c r="P637" s="92" t="s">
        <v>2534</v>
      </c>
      <c r="Q637" s="32"/>
      <c r="R637" s="48" t="s">
        <v>216</v>
      </c>
      <c r="S637" s="32"/>
    </row>
    <row r="638" spans="2:19" x14ac:dyDescent="0.3">
      <c r="B638" t="str">
        <f>LEFT(Tabla3890134177220392[[#This Row],[Descripción del equipo]], FIND(" ", Tabla3890134177220392[[#This Row],[Descripción del equipo]] &amp; " ") - 1)</f>
        <v>Arnes</v>
      </c>
      <c r="C638" s="11" t="s">
        <v>173</v>
      </c>
      <c r="D638">
        <v>1</v>
      </c>
      <c r="E638" t="s">
        <v>160</v>
      </c>
      <c r="F638" s="91" t="s">
        <v>1068</v>
      </c>
      <c r="G638" s="90" t="str">
        <f>LEFT([1]modificado!$O$2, FIND(" ", [1]modificado!$O$2 &amp; " ") - 1)</f>
        <v>3M</v>
      </c>
      <c r="H638" s="47" t="str">
        <f>RIGHT([1]!Tabla2[[#This Row],[Marca y Modelo]], LEN([1]!Tabla2[[#This Row],[Marca y Modelo]]) - FIND(" ", [1]!Tabla2[[#This Row],[Marca y Modelo]]))</f>
        <v>1021-LOGO</v>
      </c>
      <c r="I638" s="76"/>
      <c r="J638" s="76"/>
      <c r="K638" s="91" t="s">
        <v>4185</v>
      </c>
      <c r="L638" s="91" t="s">
        <v>3249</v>
      </c>
      <c r="M638" s="91" t="s">
        <v>1404</v>
      </c>
      <c r="N638" s="91" t="s">
        <v>2051</v>
      </c>
      <c r="O638" s="77"/>
      <c r="P638" s="91" t="s">
        <v>2534</v>
      </c>
      <c r="Q638" s="32"/>
      <c r="R638" s="48" t="s">
        <v>216</v>
      </c>
      <c r="S638" s="32"/>
    </row>
    <row r="639" spans="2:19" x14ac:dyDescent="0.3">
      <c r="B639" t="str">
        <f>LEFT(Tabla3890134177220392[[#This Row],[Descripción del equipo]], FIND(" ", Tabla3890134177220392[[#This Row],[Descripción del equipo]] &amp; " ") - 1)</f>
        <v>Arnes</v>
      </c>
      <c r="C639" s="11" t="s">
        <v>173</v>
      </c>
      <c r="D639">
        <v>1</v>
      </c>
      <c r="E639" t="s">
        <v>160</v>
      </c>
      <c r="F639" s="92" t="s">
        <v>1056</v>
      </c>
      <c r="G639" s="90" t="str">
        <f>LEFT([1]modificado!$O$2, FIND(" ", [1]modificado!$O$2 &amp; " ") - 1)</f>
        <v>3M</v>
      </c>
      <c r="H639" s="47" t="str">
        <f>RIGHT([1]!Tabla2[[#This Row],[Marca y Modelo]], LEN([1]!Tabla2[[#This Row],[Marca y Modelo]]) - FIND(" ", [1]!Tabla2[[#This Row],[Marca y Modelo]]))</f>
        <v>Basic Lion</v>
      </c>
      <c r="I639" s="76"/>
      <c r="J639" s="76"/>
      <c r="K639" s="92" t="s">
        <v>4185</v>
      </c>
      <c r="L639" s="92" t="s">
        <v>3250</v>
      </c>
      <c r="M639" s="92" t="s">
        <v>1404</v>
      </c>
      <c r="N639" s="92" t="s">
        <v>2052</v>
      </c>
      <c r="O639" s="77"/>
      <c r="P639" s="92" t="s">
        <v>2534</v>
      </c>
      <c r="Q639" s="32"/>
      <c r="R639" s="48" t="s">
        <v>216</v>
      </c>
      <c r="S639" s="32"/>
    </row>
    <row r="640" spans="2:19" x14ac:dyDescent="0.3">
      <c r="B640" t="str">
        <f>LEFT(Tabla3890134177220392[[#This Row],[Descripción del equipo]], FIND(" ", Tabla3890134177220392[[#This Row],[Descripción del equipo]] &amp; " ") - 1)</f>
        <v>Autoretractil</v>
      </c>
      <c r="C640" s="11" t="s">
        <v>173</v>
      </c>
      <c r="D640">
        <v>1</v>
      </c>
      <c r="E640" t="s">
        <v>160</v>
      </c>
      <c r="F640" s="91" t="s">
        <v>1058</v>
      </c>
      <c r="G640" s="90" t="str">
        <f>LEFT([1]modificado!$O$2, FIND(" ", [1]modificado!$O$2 &amp; " ") - 1)</f>
        <v>3M</v>
      </c>
      <c r="H640" s="47" t="str">
        <f>RIGHT([1]!Tabla2[[#This Row],[Marca y Modelo]], LEN([1]!Tabla2[[#This Row],[Marca y Modelo]]) - FIND(" ", [1]!Tabla2[[#This Row],[Marca y Modelo]]))</f>
        <v>3100414</v>
      </c>
      <c r="I640" s="76"/>
      <c r="J640" s="76"/>
      <c r="K640" s="91" t="s">
        <v>4187</v>
      </c>
      <c r="L640" s="91" t="s">
        <v>3251</v>
      </c>
      <c r="M640" s="91" t="s">
        <v>1404</v>
      </c>
      <c r="N640" s="91" t="s">
        <v>2053</v>
      </c>
      <c r="O640" s="77"/>
      <c r="P640" s="91" t="s">
        <v>2534</v>
      </c>
      <c r="Q640" s="32"/>
      <c r="R640" s="48" t="s">
        <v>216</v>
      </c>
      <c r="S640" s="32"/>
    </row>
    <row r="641" spans="2:19" x14ac:dyDescent="0.3">
      <c r="B641" t="str">
        <f>LEFT(Tabla3890134177220392[[#This Row],[Descripción del equipo]], FIND(" ", Tabla3890134177220392[[#This Row],[Descripción del equipo]] &amp; " ") - 1)</f>
        <v>Arnes</v>
      </c>
      <c r="C641" s="11" t="s">
        <v>173</v>
      </c>
      <c r="D641">
        <v>1</v>
      </c>
      <c r="E641" t="s">
        <v>160</v>
      </c>
      <c r="F641" s="92" t="s">
        <v>1056</v>
      </c>
      <c r="G641" s="90" t="str">
        <f>LEFT([1]modificado!$O$2, FIND(" ", [1]modificado!$O$2 &amp; " ") - 1)</f>
        <v>3M</v>
      </c>
      <c r="H641" s="47"/>
      <c r="I641" s="76"/>
      <c r="J641" s="76"/>
      <c r="K641" s="92" t="s">
        <v>4188</v>
      </c>
      <c r="L641" s="92" t="s">
        <v>3252</v>
      </c>
      <c r="M641" s="92" t="s">
        <v>1405</v>
      </c>
      <c r="N641" s="92" t="s">
        <v>2054</v>
      </c>
      <c r="O641" s="77"/>
      <c r="P641" s="92" t="s">
        <v>2534</v>
      </c>
      <c r="Q641" s="32"/>
      <c r="R641" s="48" t="s">
        <v>216</v>
      </c>
      <c r="S641" s="32"/>
    </row>
    <row r="642" spans="2:19" x14ac:dyDescent="0.3">
      <c r="B642" t="str">
        <f>LEFT(Tabla3890134177220392[[#This Row],[Descripción del equipo]], FIND(" ", Tabla3890134177220392[[#This Row],[Descripción del equipo]] &amp; " ") - 1)</f>
        <v>Arnes</v>
      </c>
      <c r="C642" s="11" t="s">
        <v>173</v>
      </c>
      <c r="D642">
        <v>1</v>
      </c>
      <c r="E642" t="s">
        <v>160</v>
      </c>
      <c r="F642" s="91" t="s">
        <v>1056</v>
      </c>
      <c r="G642" s="90" t="str">
        <f>LEFT([1]modificado!$O$2, FIND(" ", [1]modificado!$O$2 &amp; " ") - 1)</f>
        <v>3M</v>
      </c>
      <c r="H642" s="47" t="str">
        <f>RIGHT([1]!Tabla2[[#This Row],[Marca y Modelo]], LEN([1]!Tabla2[[#This Row],[Marca y Modelo]]) - FIND(" ", [1]!Tabla2[[#This Row],[Marca y Modelo]]))</f>
        <v>Musitani Space</v>
      </c>
      <c r="I642" s="76"/>
      <c r="J642" s="76"/>
      <c r="K642" s="91" t="s">
        <v>4188</v>
      </c>
      <c r="L642" s="91" t="s">
        <v>3253</v>
      </c>
      <c r="M642" s="91" t="s">
        <v>1406</v>
      </c>
      <c r="N642" s="91" t="s">
        <v>2055</v>
      </c>
      <c r="O642" s="77"/>
      <c r="P642" s="91" t="s">
        <v>2534</v>
      </c>
      <c r="Q642" s="32"/>
      <c r="R642" s="48" t="s">
        <v>216</v>
      </c>
      <c r="S642" s="32"/>
    </row>
    <row r="643" spans="2:19" x14ac:dyDescent="0.3">
      <c r="B643" t="str">
        <f>LEFT(Tabla3890134177220392[[#This Row],[Descripción del equipo]], FIND(" ", Tabla3890134177220392[[#This Row],[Descripción del equipo]] &amp; " ") - 1)</f>
        <v>Arnes</v>
      </c>
      <c r="C643" s="11" t="s">
        <v>173</v>
      </c>
      <c r="D643">
        <v>1</v>
      </c>
      <c r="E643" t="s">
        <v>160</v>
      </c>
      <c r="F643" s="92" t="s">
        <v>1056</v>
      </c>
      <c r="G643" s="90" t="str">
        <f>LEFT([1]modificado!$O$2, FIND(" ", [1]modificado!$O$2 &amp; " ") - 1)</f>
        <v>3M</v>
      </c>
      <c r="H643" s="47" t="str">
        <f>RIGHT([1]!Tabla2[[#This Row],[Marca y Modelo]], LEN([1]!Tabla2[[#This Row],[Marca y Modelo]]) - FIND(" ", [1]!Tabla2[[#This Row],[Marca y Modelo]]))</f>
        <v>Tiger</v>
      </c>
      <c r="I643" s="76"/>
      <c r="J643" s="76"/>
      <c r="K643" s="92" t="s">
        <v>4188</v>
      </c>
      <c r="L643" s="92" t="s">
        <v>3254</v>
      </c>
      <c r="M643" s="92" t="s">
        <v>1404</v>
      </c>
      <c r="N643" s="92" t="s">
        <v>2056</v>
      </c>
      <c r="O643" s="77"/>
      <c r="P643" s="92" t="s">
        <v>2534</v>
      </c>
      <c r="Q643" s="32"/>
      <c r="R643" s="48" t="s">
        <v>216</v>
      </c>
      <c r="S643" s="32"/>
    </row>
    <row r="644" spans="2:19" x14ac:dyDescent="0.3">
      <c r="B644" t="str">
        <f>LEFT(Tabla3890134177220392[[#This Row],[Descripción del equipo]], FIND(" ", Tabla3890134177220392[[#This Row],[Descripción del equipo]] &amp; " ") - 1)</f>
        <v>Arnes</v>
      </c>
      <c r="C644" s="11" t="s">
        <v>173</v>
      </c>
      <c r="D644">
        <v>1</v>
      </c>
      <c r="E644" t="s">
        <v>160</v>
      </c>
      <c r="F644" s="91" t="s">
        <v>1056</v>
      </c>
      <c r="G644" s="90" t="str">
        <f>LEFT([1]modificado!$O$2, FIND(" ", [1]modificado!$O$2 &amp; " ") - 1)</f>
        <v>3M</v>
      </c>
      <c r="H644" s="47" t="str">
        <f>RIGHT([1]!Tabla2[[#This Row],[Marca y Modelo]], LEN([1]!Tabla2[[#This Row],[Marca y Modelo]]) - FIND(" ", [1]!Tabla2[[#This Row],[Marca y Modelo]]))</f>
        <v>Space</v>
      </c>
      <c r="I644" s="76"/>
      <c r="J644" s="76"/>
      <c r="K644" s="91" t="s">
        <v>4188</v>
      </c>
      <c r="L644" s="91" t="s">
        <v>3255</v>
      </c>
      <c r="M644" s="91" t="s">
        <v>1406</v>
      </c>
      <c r="N644" s="91" t="s">
        <v>2057</v>
      </c>
      <c r="O644" s="77"/>
      <c r="P644" s="91" t="s">
        <v>2534</v>
      </c>
      <c r="Q644" s="32"/>
      <c r="R644" s="48" t="s">
        <v>216</v>
      </c>
      <c r="S644" s="32"/>
    </row>
    <row r="645" spans="2:19" x14ac:dyDescent="0.3">
      <c r="B645" t="s">
        <v>4348</v>
      </c>
      <c r="C645" s="11" t="s">
        <v>173</v>
      </c>
      <c r="D645">
        <v>1</v>
      </c>
      <c r="E645" t="s">
        <v>160</v>
      </c>
      <c r="F645" s="92" t="s">
        <v>1057</v>
      </c>
      <c r="G645" s="90" t="str">
        <f>LEFT([1]modificado!$O$2, FIND(" ", [1]modificado!$O$2 &amp; " ") - 1)</f>
        <v>3M</v>
      </c>
      <c r="H645" s="47"/>
      <c r="I645" s="76"/>
      <c r="J645" s="76"/>
      <c r="K645" s="92" t="s">
        <v>4189</v>
      </c>
      <c r="L645" s="92" t="s">
        <v>3256</v>
      </c>
      <c r="M645" s="92" t="s">
        <v>1406</v>
      </c>
      <c r="N645" s="92" t="s">
        <v>2058</v>
      </c>
      <c r="O645" s="77"/>
      <c r="P645" s="92" t="s">
        <v>2534</v>
      </c>
      <c r="Q645" s="32"/>
      <c r="R645" s="48" t="s">
        <v>216</v>
      </c>
      <c r="S645" s="32"/>
    </row>
    <row r="646" spans="2:19" x14ac:dyDescent="0.3">
      <c r="B646" t="s">
        <v>4348</v>
      </c>
      <c r="C646" s="11" t="s">
        <v>173</v>
      </c>
      <c r="D646">
        <v>1</v>
      </c>
      <c r="E646" t="s">
        <v>160</v>
      </c>
      <c r="F646" s="91" t="s">
        <v>1082</v>
      </c>
      <c r="G646" s="90" t="str">
        <f>LEFT([1]modificado!$O$2, FIND(" ", [1]modificado!$O$2 &amp; " ") - 1)</f>
        <v>3M</v>
      </c>
      <c r="H646" s="47" t="str">
        <f>RIGHT([1]!Tabla2[[#This Row],[Marca y Modelo]], LEN([1]!Tabla2[[#This Row],[Marca y Modelo]]) - FIND(" ", [1]!Tabla2[[#This Row],[Marca y Modelo]]))</f>
        <v>8928-27/18INBK</v>
      </c>
      <c r="I646" s="76"/>
      <c r="J646" s="76"/>
      <c r="K646" s="91" t="s">
        <v>4189</v>
      </c>
      <c r="L646" s="91" t="s">
        <v>3257</v>
      </c>
      <c r="M646" s="91" t="s">
        <v>1404</v>
      </c>
      <c r="N646" s="91" t="s">
        <v>2059</v>
      </c>
      <c r="O646" s="77"/>
      <c r="P646" s="91" t="s">
        <v>2534</v>
      </c>
      <c r="Q646" s="32"/>
      <c r="R646" s="48" t="s">
        <v>216</v>
      </c>
      <c r="S646" s="32"/>
    </row>
    <row r="647" spans="2:19" x14ac:dyDescent="0.3">
      <c r="B647" t="s">
        <v>4348</v>
      </c>
      <c r="C647" s="11" t="s">
        <v>173</v>
      </c>
      <c r="D647">
        <v>1</v>
      </c>
      <c r="E647" t="s">
        <v>160</v>
      </c>
      <c r="F647" s="92" t="s">
        <v>1082</v>
      </c>
      <c r="G647" s="90" t="str">
        <f>LEFT([1]modificado!$O$2, FIND(" ", [1]modificado!$O$2 &amp; " ") - 1)</f>
        <v>3M</v>
      </c>
      <c r="H647" s="47" t="str">
        <f>RIGHT([1]!Tabla2[[#This Row],[Marca y Modelo]], LEN([1]!Tabla2[[#This Row],[Marca y Modelo]]) - FIND(" ", [1]!Tabla2[[#This Row],[Marca y Modelo]]))</f>
        <v>8928-27/18INBK</v>
      </c>
      <c r="I647" s="76"/>
      <c r="J647" s="76"/>
      <c r="K647" s="92" t="s">
        <v>4189</v>
      </c>
      <c r="L647" s="92" t="s">
        <v>3258</v>
      </c>
      <c r="M647" s="92" t="s">
        <v>1404</v>
      </c>
      <c r="N647" s="92" t="s">
        <v>2060</v>
      </c>
      <c r="O647" s="77"/>
      <c r="P647" s="92" t="s">
        <v>2534</v>
      </c>
      <c r="Q647" s="32"/>
      <c r="R647" s="48" t="s">
        <v>216</v>
      </c>
      <c r="S647" s="32"/>
    </row>
    <row r="648" spans="2:19" x14ac:dyDescent="0.3">
      <c r="B648" t="str">
        <f>LEFT(Tabla3890134177220392[[#This Row],[Descripción del equipo]], FIND(" ", Tabla3890134177220392[[#This Row],[Descripción del equipo]] &amp; " ") - 1)</f>
        <v>Arnes</v>
      </c>
      <c r="C648" s="11" t="s">
        <v>173</v>
      </c>
      <c r="D648">
        <v>1</v>
      </c>
      <c r="E648" t="s">
        <v>160</v>
      </c>
      <c r="F648" s="91" t="s">
        <v>1056</v>
      </c>
      <c r="G648" s="90" t="str">
        <f>LEFT([1]modificado!$O$2, FIND(" ", [1]modificado!$O$2 &amp; " ") - 1)</f>
        <v>3M</v>
      </c>
      <c r="H648" s="47" t="str">
        <f>RIGHT([1]!Tabla2[[#This Row],[Marca y Modelo]], LEN([1]!Tabla2[[#This Row],[Marca y Modelo]]) - FIND(" ", [1]!Tabla2[[#This Row],[Marca y Modelo]]))</f>
        <v>Basic Lion</v>
      </c>
      <c r="I648" s="76"/>
      <c r="J648" s="76"/>
      <c r="K648" s="91" t="s">
        <v>4188</v>
      </c>
      <c r="L648" s="91" t="s">
        <v>3259</v>
      </c>
      <c r="M648" s="91" t="s">
        <v>1404</v>
      </c>
      <c r="N648" s="91" t="s">
        <v>2061</v>
      </c>
      <c r="O648" s="77"/>
      <c r="P648" s="91" t="s">
        <v>2534</v>
      </c>
      <c r="Q648" s="32"/>
      <c r="R648" s="48" t="s">
        <v>216</v>
      </c>
      <c r="S648" s="32"/>
    </row>
    <row r="649" spans="2:19" x14ac:dyDescent="0.3">
      <c r="B649" t="str">
        <f>LEFT(Tabla3890134177220392[[#This Row],[Descripción del equipo]], FIND(" ", Tabla3890134177220392[[#This Row],[Descripción del equipo]] &amp; " ") - 1)</f>
        <v>Arnes</v>
      </c>
      <c r="C649" s="11" t="s">
        <v>173</v>
      </c>
      <c r="D649">
        <v>1</v>
      </c>
      <c r="E649" t="s">
        <v>160</v>
      </c>
      <c r="F649" s="92" t="s">
        <v>1056</v>
      </c>
      <c r="G649" s="90" t="str">
        <f>LEFT([1]modificado!$O$2, FIND(" ", [1]modificado!$O$2 &amp; " ") - 1)</f>
        <v>3M</v>
      </c>
      <c r="H649" s="47" t="str">
        <f>RIGHT([1]!Tabla2[[#This Row],[Marca y Modelo]], LEN([1]!Tabla2[[#This Row],[Marca y Modelo]]) - FIND(" ", [1]!Tabla2[[#This Row],[Marca y Modelo]]))</f>
        <v>Basic Lion</v>
      </c>
      <c r="I649" s="76"/>
      <c r="J649" s="76"/>
      <c r="K649" s="92" t="s">
        <v>4188</v>
      </c>
      <c r="L649" s="92" t="s">
        <v>3260</v>
      </c>
      <c r="M649" s="92" t="s">
        <v>1404</v>
      </c>
      <c r="N649" s="92" t="s">
        <v>2062</v>
      </c>
      <c r="O649" s="77"/>
      <c r="P649" s="92" t="s">
        <v>2534</v>
      </c>
      <c r="Q649" s="32"/>
      <c r="R649" s="48" t="s">
        <v>216</v>
      </c>
      <c r="S649" s="32"/>
    </row>
    <row r="650" spans="2:19" x14ac:dyDescent="0.3">
      <c r="B650" t="str">
        <f>LEFT(Tabla3890134177220392[[#This Row],[Descripción del equipo]], FIND(" ", Tabla3890134177220392[[#This Row],[Descripción del equipo]] &amp; " ") - 1)</f>
        <v>Arnes</v>
      </c>
      <c r="C650" s="11" t="s">
        <v>173</v>
      </c>
      <c r="D650">
        <v>1</v>
      </c>
      <c r="E650" t="s">
        <v>160</v>
      </c>
      <c r="F650" s="91" t="s">
        <v>1056</v>
      </c>
      <c r="G650" s="90" t="str">
        <f>LEFT([1]modificado!$O$2, FIND(" ", [1]modificado!$O$2 &amp; " ") - 1)</f>
        <v>3M</v>
      </c>
      <c r="H650" s="47" t="str">
        <f>RIGHT([1]!Tabla2[[#This Row],[Marca y Modelo]], LEN([1]!Tabla2[[#This Row],[Marca y Modelo]]) - FIND(" ", [1]!Tabla2[[#This Row],[Marca y Modelo]]))</f>
        <v>Lion</v>
      </c>
      <c r="I650" s="76"/>
      <c r="J650" s="76"/>
      <c r="K650" s="91" t="s">
        <v>4188</v>
      </c>
      <c r="L650" s="91" t="s">
        <v>3261</v>
      </c>
      <c r="M650" s="91" t="s">
        <v>1405</v>
      </c>
      <c r="N650" s="91" t="s">
        <v>2063</v>
      </c>
      <c r="O650" s="77"/>
      <c r="P650" s="91" t="s">
        <v>2534</v>
      </c>
      <c r="Q650" s="32"/>
      <c r="R650" s="48" t="s">
        <v>216</v>
      </c>
      <c r="S650" s="32"/>
    </row>
    <row r="651" spans="2:19" x14ac:dyDescent="0.3">
      <c r="B651" t="str">
        <f>LEFT(Tabla3890134177220392[[#This Row],[Descripción del equipo]], FIND(" ", Tabla3890134177220392[[#This Row],[Descripción del equipo]] &amp; " ") - 1)</f>
        <v>Arnes</v>
      </c>
      <c r="C651" s="11" t="s">
        <v>173</v>
      </c>
      <c r="D651">
        <v>1</v>
      </c>
      <c r="E651" t="s">
        <v>160</v>
      </c>
      <c r="F651" s="92" t="s">
        <v>1056</v>
      </c>
      <c r="G651" s="90" t="str">
        <f>LEFT([1]modificado!$O$2, FIND(" ", [1]modificado!$O$2 &amp; " ") - 1)</f>
        <v>3M</v>
      </c>
      <c r="H651" s="47" t="str">
        <f>RIGHT([1]!Tabla2[[#This Row],[Marca y Modelo]], LEN([1]!Tabla2[[#This Row],[Marca y Modelo]]) - FIND(" ", [1]!Tabla2[[#This Row],[Marca y Modelo]]))</f>
        <v>Basic Lion</v>
      </c>
      <c r="I651" s="76"/>
      <c r="J651" s="76"/>
      <c r="K651" s="92" t="s">
        <v>4188</v>
      </c>
      <c r="L651" s="92" t="s">
        <v>3262</v>
      </c>
      <c r="M651" s="92" t="s">
        <v>1404</v>
      </c>
      <c r="N651" s="92" t="s">
        <v>2064</v>
      </c>
      <c r="O651" s="77"/>
      <c r="P651" s="92" t="s">
        <v>2534</v>
      </c>
      <c r="Q651" s="32"/>
      <c r="R651" s="48" t="s">
        <v>216</v>
      </c>
      <c r="S651" s="32"/>
    </row>
    <row r="652" spans="2:19" x14ac:dyDescent="0.3">
      <c r="B652" t="str">
        <f>LEFT(Tabla3890134177220392[[#This Row],[Descripción del equipo]], FIND(" ", Tabla3890134177220392[[#This Row],[Descripción del equipo]] &amp; " ") - 1)</f>
        <v>Arnes</v>
      </c>
      <c r="C652" s="11" t="s">
        <v>173</v>
      </c>
      <c r="D652">
        <v>1</v>
      </c>
      <c r="E652" t="s">
        <v>160</v>
      </c>
      <c r="F652" s="91" t="s">
        <v>1056</v>
      </c>
      <c r="G652" s="90" t="str">
        <f>LEFT([1]modificado!$O$2, FIND(" ", [1]modificado!$O$2 &amp; " ") - 1)</f>
        <v>3M</v>
      </c>
      <c r="H652" s="47" t="str">
        <f>RIGHT([1]!Tabla2[[#This Row],[Marca y Modelo]], LEN([1]!Tabla2[[#This Row],[Marca y Modelo]]) - FIND(" ", [1]!Tabla2[[#This Row],[Marca y Modelo]]))</f>
        <v>Tiger</v>
      </c>
      <c r="I652" s="76"/>
      <c r="J652" s="76"/>
      <c r="K652" s="91" t="s">
        <v>4188</v>
      </c>
      <c r="L652" s="91" t="s">
        <v>3263</v>
      </c>
      <c r="M652" s="91" t="s">
        <v>1404</v>
      </c>
      <c r="N652" s="91" t="s">
        <v>2065</v>
      </c>
      <c r="O652" s="77"/>
      <c r="P652" s="91" t="s">
        <v>2534</v>
      </c>
      <c r="Q652" s="32"/>
      <c r="R652" s="48" t="s">
        <v>216</v>
      </c>
      <c r="S652" s="32"/>
    </row>
    <row r="653" spans="2:19" x14ac:dyDescent="0.3">
      <c r="B653" t="str">
        <f>LEFT(Tabla3890134177220392[[#This Row],[Descripción del equipo]], FIND(" ", Tabla3890134177220392[[#This Row],[Descripción del equipo]] &amp; " ") - 1)</f>
        <v>Arnes</v>
      </c>
      <c r="C653" s="11" t="s">
        <v>173</v>
      </c>
      <c r="D653">
        <v>1</v>
      </c>
      <c r="E653" t="s">
        <v>160</v>
      </c>
      <c r="F653" s="92" t="s">
        <v>1056</v>
      </c>
      <c r="G653" s="90" t="str">
        <f>LEFT([1]modificado!$O$2, FIND(" ", [1]modificado!$O$2 &amp; " ") - 1)</f>
        <v>3M</v>
      </c>
      <c r="H653" s="47" t="str">
        <f>RIGHT([1]!Tabla2[[#This Row],[Marca y Modelo]], LEN([1]!Tabla2[[#This Row],[Marca y Modelo]]) - FIND(" ", [1]!Tabla2[[#This Row],[Marca y Modelo]]))</f>
        <v>10911F-LOGO</v>
      </c>
      <c r="I653" s="76"/>
      <c r="J653" s="76"/>
      <c r="K653" s="92" t="s">
        <v>4188</v>
      </c>
      <c r="L653" s="92" t="s">
        <v>3264</v>
      </c>
      <c r="M653" s="92" t="s">
        <v>1404</v>
      </c>
      <c r="N653" s="92" t="s">
        <v>2066</v>
      </c>
      <c r="O653" s="77"/>
      <c r="P653" s="92" t="s">
        <v>2534</v>
      </c>
      <c r="Q653" s="32"/>
      <c r="R653" s="48" t="s">
        <v>216</v>
      </c>
      <c r="S653" s="32"/>
    </row>
    <row r="654" spans="2:19" x14ac:dyDescent="0.3">
      <c r="B654" t="str">
        <f>LEFT(Tabla3890134177220392[[#This Row],[Descripción del equipo]], FIND(" ", Tabla3890134177220392[[#This Row],[Descripción del equipo]] &amp; " ") - 1)</f>
        <v>Arnes</v>
      </c>
      <c r="C654" s="11" t="s">
        <v>173</v>
      </c>
      <c r="D654">
        <v>1</v>
      </c>
      <c r="E654" t="s">
        <v>160</v>
      </c>
      <c r="F654" s="91" t="s">
        <v>1056</v>
      </c>
      <c r="G654" s="90" t="str">
        <f>LEFT([1]modificado!$O$2, FIND(" ", [1]modificado!$O$2 &amp; " ") - 1)</f>
        <v>3M</v>
      </c>
      <c r="H654" s="47" t="str">
        <f>RIGHT([1]!Tabla2[[#This Row],[Marca y Modelo]], LEN([1]!Tabla2[[#This Row],[Marca y Modelo]]) - FIND(" ", [1]!Tabla2[[#This Row],[Marca y Modelo]]))</f>
        <v>Musitani Space</v>
      </c>
      <c r="I654" s="76"/>
      <c r="J654" s="76"/>
      <c r="K654" s="91" t="s">
        <v>4188</v>
      </c>
      <c r="L654" s="91" t="s">
        <v>3265</v>
      </c>
      <c r="M654" s="91" t="s">
        <v>1406</v>
      </c>
      <c r="N654" s="91" t="s">
        <v>2067</v>
      </c>
      <c r="O654" s="77"/>
      <c r="P654" s="91" t="s">
        <v>2534</v>
      </c>
      <c r="Q654" s="32"/>
      <c r="R654" s="48" t="s">
        <v>216</v>
      </c>
      <c r="S654" s="32"/>
    </row>
    <row r="655" spans="2:19" x14ac:dyDescent="0.3">
      <c r="B655" t="str">
        <f>LEFT(Tabla3890134177220392[[#This Row],[Descripción del equipo]], FIND(" ", Tabla3890134177220392[[#This Row],[Descripción del equipo]] &amp; " ") - 1)</f>
        <v>Arnes</v>
      </c>
      <c r="C655" s="11" t="s">
        <v>173</v>
      </c>
      <c r="D655">
        <v>1</v>
      </c>
      <c r="E655" t="s">
        <v>160</v>
      </c>
      <c r="F655" s="92" t="s">
        <v>1056</v>
      </c>
      <c r="G655" s="90" t="str">
        <f>LEFT([1]modificado!$O$2, FIND(" ", [1]modificado!$O$2 &amp; " ") - 1)</f>
        <v>3M</v>
      </c>
      <c r="H655" s="47" t="str">
        <f>RIGHT([1]!Tabla2[[#This Row],[Marca y Modelo]], LEN([1]!Tabla2[[#This Row],[Marca y Modelo]]) - FIND(" ", [1]!Tabla2[[#This Row],[Marca y Modelo]]))</f>
        <v>Lion</v>
      </c>
      <c r="I655" s="76"/>
      <c r="J655" s="76"/>
      <c r="K655" s="92" t="s">
        <v>4188</v>
      </c>
      <c r="L655" s="92" t="s">
        <v>3266</v>
      </c>
      <c r="M655" s="92" t="s">
        <v>1406</v>
      </c>
      <c r="N655" s="92" t="s">
        <v>2068</v>
      </c>
      <c r="O655" s="77"/>
      <c r="P655" s="92" t="s">
        <v>2534</v>
      </c>
      <c r="Q655" s="32"/>
      <c r="R655" s="48" t="s">
        <v>216</v>
      </c>
      <c r="S655" s="32"/>
    </row>
    <row r="656" spans="2:19" x14ac:dyDescent="0.3">
      <c r="B656" t="s">
        <v>4348</v>
      </c>
      <c r="C656" s="11" t="s">
        <v>173</v>
      </c>
      <c r="D656">
        <v>1</v>
      </c>
      <c r="E656" t="s">
        <v>160</v>
      </c>
      <c r="F656" s="91" t="s">
        <v>1057</v>
      </c>
      <c r="G656" s="90" t="str">
        <f>LEFT([1]modificado!$O$2, FIND(" ", [1]modificado!$O$2 &amp; " ") - 1)</f>
        <v>3M</v>
      </c>
      <c r="H656" s="47" t="str">
        <f>RIGHT([1]!Tabla2[[#This Row],[Marca y Modelo]], LEN([1]!Tabla2[[#This Row],[Marca y Modelo]]) - FIND(" ", [1]!Tabla2[[#This Row],[Marca y Modelo]]))</f>
        <v>191026A</v>
      </c>
      <c r="I656" s="76"/>
      <c r="J656" s="76"/>
      <c r="K656" s="91" t="s">
        <v>4189</v>
      </c>
      <c r="L656" s="91" t="s">
        <v>3267</v>
      </c>
      <c r="M656" s="91" t="s">
        <v>1405</v>
      </c>
      <c r="N656" s="91" t="s">
        <v>2069</v>
      </c>
      <c r="O656" s="77"/>
      <c r="P656" s="91" t="s">
        <v>2534</v>
      </c>
      <c r="Q656" s="32"/>
      <c r="R656" s="48" t="s">
        <v>216</v>
      </c>
      <c r="S656" s="32"/>
    </row>
    <row r="657" spans="2:19" x14ac:dyDescent="0.3">
      <c r="B657" t="s">
        <v>4348</v>
      </c>
      <c r="C657" s="11" t="s">
        <v>173</v>
      </c>
      <c r="D657">
        <v>1</v>
      </c>
      <c r="E657" t="s">
        <v>160</v>
      </c>
      <c r="F657" s="92" t="s">
        <v>1057</v>
      </c>
      <c r="G657" s="90" t="str">
        <f>LEFT([1]modificado!$O$2, FIND(" ", [1]modificado!$O$2 &amp; " ") - 1)</f>
        <v>3M</v>
      </c>
      <c r="H657" s="47" t="str">
        <f>RIGHT([1]!Tabla2[[#This Row],[Marca y Modelo]], LEN([1]!Tabla2[[#This Row],[Marca y Modelo]]) - FIND(" ", [1]!Tabla2[[#This Row],[Marca y Modelo]]))</f>
        <v>191026A</v>
      </c>
      <c r="I657" s="76"/>
      <c r="J657" s="76"/>
      <c r="K657" s="92" t="s">
        <v>4189</v>
      </c>
      <c r="L657" s="92" t="s">
        <v>3268</v>
      </c>
      <c r="M657" s="92" t="s">
        <v>1406</v>
      </c>
      <c r="N657" s="92" t="s">
        <v>2070</v>
      </c>
      <c r="O657" s="77"/>
      <c r="P657" s="92" t="s">
        <v>2534</v>
      </c>
      <c r="Q657" s="32"/>
      <c r="R657" s="48" t="s">
        <v>216</v>
      </c>
      <c r="S657" s="32"/>
    </row>
    <row r="658" spans="2:19" x14ac:dyDescent="0.3">
      <c r="B658" t="s">
        <v>4348</v>
      </c>
      <c r="C658" s="11" t="s">
        <v>173</v>
      </c>
      <c r="D658">
        <v>1</v>
      </c>
      <c r="E658" t="s">
        <v>160</v>
      </c>
      <c r="F658" s="91" t="s">
        <v>1057</v>
      </c>
      <c r="G658" s="90" t="str">
        <f>LEFT([1]modificado!$O$2, FIND(" ", [1]modificado!$O$2 &amp; " ") - 1)</f>
        <v>3M</v>
      </c>
      <c r="H658" s="47" t="str">
        <f>RIGHT([1]!Tabla2[[#This Row],[Marca y Modelo]], LEN([1]!Tabla2[[#This Row],[Marca y Modelo]]) - FIND(" ", [1]!Tabla2[[#This Row],[Marca y Modelo]]))</f>
        <v>Basic Shock Absorbing</v>
      </c>
      <c r="I658" s="76"/>
      <c r="J658" s="76"/>
      <c r="K658" s="91" t="s">
        <v>4189</v>
      </c>
      <c r="L658" s="91" t="s">
        <v>3269</v>
      </c>
      <c r="M658" s="91" t="s">
        <v>1404</v>
      </c>
      <c r="N658" s="91" t="s">
        <v>2071</v>
      </c>
      <c r="O658" s="77"/>
      <c r="P658" s="91" t="s">
        <v>2534</v>
      </c>
      <c r="Q658" s="32"/>
      <c r="R658" s="48" t="s">
        <v>216</v>
      </c>
      <c r="S658" s="32"/>
    </row>
    <row r="659" spans="2:19" x14ac:dyDescent="0.3">
      <c r="B659" t="s">
        <v>4348</v>
      </c>
      <c r="C659" s="11" t="s">
        <v>173</v>
      </c>
      <c r="D659">
        <v>1</v>
      </c>
      <c r="E659" t="s">
        <v>160</v>
      </c>
      <c r="F659" s="92" t="s">
        <v>1057</v>
      </c>
      <c r="G659" s="90" t="str">
        <f>LEFT([1]modificado!$O$2, FIND(" ", [1]modificado!$O$2 &amp; " ") - 1)</f>
        <v>3M</v>
      </c>
      <c r="H659" s="47" t="str">
        <f>RIGHT([1]!Tabla2[[#This Row],[Marca y Modelo]], LEN([1]!Tabla2[[#This Row],[Marca y Modelo]]) - FIND(" ", [1]!Tabla2[[#This Row],[Marca y Modelo]]))</f>
        <v>191026A</v>
      </c>
      <c r="I659" s="76"/>
      <c r="J659" s="76"/>
      <c r="K659" s="92" t="s">
        <v>4189</v>
      </c>
      <c r="L659" s="92" t="s">
        <v>3270</v>
      </c>
      <c r="M659" s="92" t="s">
        <v>1405</v>
      </c>
      <c r="N659" s="92" t="s">
        <v>2072</v>
      </c>
      <c r="O659" s="77"/>
      <c r="P659" s="92" t="s">
        <v>2534</v>
      </c>
      <c r="Q659" s="32"/>
      <c r="R659" s="48" t="s">
        <v>216</v>
      </c>
      <c r="S659" s="32"/>
    </row>
    <row r="660" spans="2:19" x14ac:dyDescent="0.3">
      <c r="B660" t="s">
        <v>4348</v>
      </c>
      <c r="C660" s="11" t="s">
        <v>173</v>
      </c>
      <c r="D660">
        <v>1</v>
      </c>
      <c r="E660" t="s">
        <v>160</v>
      </c>
      <c r="F660" s="91" t="s">
        <v>1057</v>
      </c>
      <c r="G660" s="90" t="str">
        <f>LEFT([1]modificado!$O$2, FIND(" ", [1]modificado!$O$2 &amp; " ") - 1)</f>
        <v>3M</v>
      </c>
      <c r="H660" s="47" t="str">
        <f>RIGHT([1]!Tabla2[[#This Row],[Marca y Modelo]], LEN([1]!Tabla2[[#This Row],[Marca y Modelo]]) - FIND(" ", [1]!Tabla2[[#This Row],[Marca y Modelo]]))</f>
        <v>191026A</v>
      </c>
      <c r="I660" s="76"/>
      <c r="J660" s="76"/>
      <c r="K660" s="91" t="s">
        <v>4189</v>
      </c>
      <c r="L660" s="91" t="s">
        <v>3271</v>
      </c>
      <c r="M660" s="91" t="s">
        <v>1404</v>
      </c>
      <c r="N660" s="91" t="s">
        <v>2073</v>
      </c>
      <c r="O660" s="77"/>
      <c r="P660" s="91" t="s">
        <v>2534</v>
      </c>
      <c r="Q660" s="32"/>
      <c r="R660" s="48" t="s">
        <v>216</v>
      </c>
      <c r="S660" s="32"/>
    </row>
    <row r="661" spans="2:19" x14ac:dyDescent="0.3">
      <c r="B661" t="s">
        <v>4348</v>
      </c>
      <c r="C661" s="11" t="s">
        <v>173</v>
      </c>
      <c r="D661">
        <v>1</v>
      </c>
      <c r="E661" t="s">
        <v>160</v>
      </c>
      <c r="F661" s="92" t="s">
        <v>1057</v>
      </c>
      <c r="G661" s="90" t="str">
        <f>LEFT([1]modificado!$O$2, FIND(" ", [1]modificado!$O$2 &amp; " ") - 1)</f>
        <v>3M</v>
      </c>
      <c r="H661" s="47" t="str">
        <f>RIGHT([1]!Tabla2[[#This Row],[Marca y Modelo]], LEN([1]!Tabla2[[#This Row],[Marca y Modelo]]) - FIND(" ", [1]!Tabla2[[#This Row],[Marca y Modelo]]))</f>
        <v>191026A</v>
      </c>
      <c r="I661" s="76"/>
      <c r="J661" s="76"/>
      <c r="K661" s="92" t="s">
        <v>4189</v>
      </c>
      <c r="L661" s="92" t="s">
        <v>3272</v>
      </c>
      <c r="M661" s="92" t="s">
        <v>1404</v>
      </c>
      <c r="N661" s="92" t="s">
        <v>2074</v>
      </c>
      <c r="O661" s="77"/>
      <c r="P661" s="92" t="s">
        <v>2534</v>
      </c>
      <c r="Q661" s="32"/>
      <c r="R661" s="48" t="s">
        <v>216</v>
      </c>
      <c r="S661" s="32"/>
    </row>
    <row r="662" spans="2:19" x14ac:dyDescent="0.3">
      <c r="B662" t="s">
        <v>4348</v>
      </c>
      <c r="C662" s="11" t="s">
        <v>173</v>
      </c>
      <c r="D662">
        <v>1</v>
      </c>
      <c r="E662" t="s">
        <v>160</v>
      </c>
      <c r="F662" s="91" t="s">
        <v>1082</v>
      </c>
      <c r="G662" s="90" t="str">
        <f>LEFT([1]modificado!$O$2, FIND(" ", [1]modificado!$O$2 &amp; " ") - 1)</f>
        <v>3M</v>
      </c>
      <c r="H662" s="47" t="str">
        <f>RIGHT([1]!Tabla2[[#This Row],[Marca y Modelo]], LEN([1]!Tabla2[[#This Row],[Marca y Modelo]]) - FIND(" ", [1]!Tabla2[[#This Row],[Marca y Modelo]]))</f>
        <v>8928-27/18INBK</v>
      </c>
      <c r="I662" s="76"/>
      <c r="J662" s="76"/>
      <c r="K662" s="91" t="s">
        <v>4189</v>
      </c>
      <c r="L662" s="91" t="s">
        <v>3273</v>
      </c>
      <c r="M662" s="91" t="s">
        <v>1405</v>
      </c>
      <c r="N662" s="91" t="s">
        <v>2075</v>
      </c>
      <c r="O662" s="77"/>
      <c r="P662" s="91" t="s">
        <v>2534</v>
      </c>
      <c r="Q662" s="32"/>
      <c r="R662" s="48" t="s">
        <v>216</v>
      </c>
      <c r="S662" s="32"/>
    </row>
    <row r="663" spans="2:19" x14ac:dyDescent="0.3">
      <c r="B663" t="str">
        <f>LEFT(Tabla3890134177220392[[#This Row],[Descripción del equipo]], FIND(" ", Tabla3890134177220392[[#This Row],[Descripción del equipo]] &amp; " ") - 1)</f>
        <v>Autoretractil</v>
      </c>
      <c r="C663" s="11" t="s">
        <v>173</v>
      </c>
      <c r="D663">
        <v>1</v>
      </c>
      <c r="E663" t="s">
        <v>160</v>
      </c>
      <c r="F663" s="92" t="s">
        <v>1058</v>
      </c>
      <c r="G663" s="90" t="str">
        <f>LEFT([1]modificado!$O$2, FIND(" ", [1]modificado!$O$2 &amp; " ") - 1)</f>
        <v>3M</v>
      </c>
      <c r="H663" s="47" t="str">
        <f>RIGHT([1]!Tabla2[[#This Row],[Marca y Modelo]], LEN([1]!Tabla2[[#This Row],[Marca y Modelo]]) - FIND(" ", [1]!Tabla2[[#This Row],[Marca y Modelo]]))</f>
        <v>3100414</v>
      </c>
      <c r="I663" s="76"/>
      <c r="J663" s="76"/>
      <c r="K663" s="92" t="s">
        <v>4190</v>
      </c>
      <c r="L663" s="92" t="s">
        <v>3274</v>
      </c>
      <c r="M663" s="92" t="s">
        <v>1404</v>
      </c>
      <c r="N663" s="92" t="s">
        <v>2076</v>
      </c>
      <c r="O663" s="77"/>
      <c r="P663" s="92" t="s">
        <v>2534</v>
      </c>
      <c r="Q663" s="32"/>
      <c r="R663" s="48" t="s">
        <v>216</v>
      </c>
      <c r="S663" s="32"/>
    </row>
    <row r="664" spans="2:19" x14ac:dyDescent="0.3">
      <c r="B664" t="s">
        <v>4348</v>
      </c>
      <c r="C664" s="11" t="s">
        <v>173</v>
      </c>
      <c r="D664">
        <v>1</v>
      </c>
      <c r="E664" t="s">
        <v>160</v>
      </c>
      <c r="F664" s="91" t="s">
        <v>1083</v>
      </c>
      <c r="G664" s="90" t="str">
        <f>LEFT([1]modificado!$O$2, FIND(" ", [1]modificado!$O$2 &amp; " ") - 1)</f>
        <v>3M</v>
      </c>
      <c r="H664" s="47" t="str">
        <f>RIGHT([1]!Tabla2[[#This Row],[Marca y Modelo]], LEN([1]!Tabla2[[#This Row],[Marca y Modelo]]) - FIND(" ", [1]!Tabla2[[#This Row],[Marca y Modelo]]))</f>
        <v>3612-D-0241</v>
      </c>
      <c r="I664" s="76"/>
      <c r="J664" s="76"/>
      <c r="K664" s="91" t="s">
        <v>4189</v>
      </c>
      <c r="L664" s="91" t="s">
        <v>3275</v>
      </c>
      <c r="M664" s="91" t="s">
        <v>1404</v>
      </c>
      <c r="N664" s="91" t="s">
        <v>2077</v>
      </c>
      <c r="O664" s="77"/>
      <c r="P664" s="91" t="s">
        <v>2534</v>
      </c>
      <c r="Q664" s="32"/>
      <c r="R664" s="48" t="s">
        <v>216</v>
      </c>
      <c r="S664" s="32"/>
    </row>
    <row r="665" spans="2:19" x14ac:dyDescent="0.3">
      <c r="B665" t="s">
        <v>4348</v>
      </c>
      <c r="C665" s="11" t="s">
        <v>173</v>
      </c>
      <c r="D665">
        <v>1</v>
      </c>
      <c r="E665" t="s">
        <v>160</v>
      </c>
      <c r="F665" s="92" t="s">
        <v>1083</v>
      </c>
      <c r="G665" s="90" t="str">
        <f>LEFT([1]modificado!$O$2, FIND(" ", [1]modificado!$O$2 &amp; " ") - 1)</f>
        <v>3M</v>
      </c>
      <c r="H665" s="47" t="str">
        <f>RIGHT([1]!Tabla2[[#This Row],[Marca y Modelo]], LEN([1]!Tabla2[[#This Row],[Marca y Modelo]]) - FIND(" ", [1]!Tabla2[[#This Row],[Marca y Modelo]]))</f>
        <v>3612-D-0241</v>
      </c>
      <c r="I665" s="76"/>
      <c r="J665" s="76"/>
      <c r="K665" s="92" t="s">
        <v>4189</v>
      </c>
      <c r="L665" s="92" t="s">
        <v>3276</v>
      </c>
      <c r="M665" s="92" t="s">
        <v>1404</v>
      </c>
      <c r="N665" s="92" t="s">
        <v>2078</v>
      </c>
      <c r="O665" s="77"/>
      <c r="P665" s="92" t="s">
        <v>2534</v>
      </c>
      <c r="Q665" s="32"/>
      <c r="R665" s="48" t="s">
        <v>216</v>
      </c>
      <c r="S665" s="32"/>
    </row>
    <row r="666" spans="2:19" x14ac:dyDescent="0.3">
      <c r="B666" t="str">
        <f>LEFT(Tabla3890134177220392[[#This Row],[Descripción del equipo]], FIND(" ", Tabla3890134177220392[[#This Row],[Descripción del equipo]] &amp; " ") - 1)</f>
        <v>Arnes</v>
      </c>
      <c r="C666" s="11" t="s">
        <v>173</v>
      </c>
      <c r="D666">
        <v>1</v>
      </c>
      <c r="E666" t="s">
        <v>160</v>
      </c>
      <c r="F666" s="91" t="s">
        <v>1056</v>
      </c>
      <c r="G666" s="90" t="str">
        <f>LEFT([1]modificado!$O$2, FIND(" ", [1]modificado!$O$2 &amp; " ") - 1)</f>
        <v>3M</v>
      </c>
      <c r="H666" s="47" t="str">
        <f>RIGHT([1]!Tabla2[[#This Row],[Marca y Modelo]], LEN([1]!Tabla2[[#This Row],[Marca y Modelo]]) - FIND(" ", [1]!Tabla2[[#This Row],[Marca y Modelo]]))</f>
        <v>10911F-LOGO</v>
      </c>
      <c r="I666" s="76"/>
      <c r="J666" s="76"/>
      <c r="K666" s="91" t="s">
        <v>4191</v>
      </c>
      <c r="L666" s="91" t="s">
        <v>3277</v>
      </c>
      <c r="M666" s="91" t="s">
        <v>1404</v>
      </c>
      <c r="N666" s="91" t="s">
        <v>2079</v>
      </c>
      <c r="O666" s="77"/>
      <c r="P666" s="91" t="s">
        <v>2534</v>
      </c>
      <c r="Q666" s="32"/>
      <c r="R666" s="48" t="s">
        <v>216</v>
      </c>
      <c r="S666" s="32"/>
    </row>
    <row r="667" spans="2:19" x14ac:dyDescent="0.3">
      <c r="B667" t="str">
        <f>LEFT(Tabla3890134177220392[[#This Row],[Descripción del equipo]], FIND(" ", Tabla3890134177220392[[#This Row],[Descripción del equipo]] &amp; " ") - 1)</f>
        <v>Arnes</v>
      </c>
      <c r="C667" s="11" t="s">
        <v>173</v>
      </c>
      <c r="D667">
        <v>1</v>
      </c>
      <c r="E667" t="s">
        <v>160</v>
      </c>
      <c r="F667" s="92" t="s">
        <v>1056</v>
      </c>
      <c r="G667" s="90" t="str">
        <f>LEFT([1]modificado!$O$2, FIND(" ", [1]modificado!$O$2 &amp; " ") - 1)</f>
        <v>3M</v>
      </c>
      <c r="H667" s="47" t="str">
        <f>RIGHT([1]!Tabla2[[#This Row],[Marca y Modelo]], LEN([1]!Tabla2[[#This Row],[Marca y Modelo]]) - FIND(" ", [1]!Tabla2[[#This Row],[Marca y Modelo]]))</f>
        <v>Basic Lion</v>
      </c>
      <c r="I667" s="76"/>
      <c r="J667" s="76"/>
      <c r="K667" s="92" t="s">
        <v>4191</v>
      </c>
      <c r="L667" s="92" t="s">
        <v>3278</v>
      </c>
      <c r="M667" s="92" t="s">
        <v>1404</v>
      </c>
      <c r="N667" s="92" t="s">
        <v>2080</v>
      </c>
      <c r="O667" s="77"/>
      <c r="P667" s="92" t="s">
        <v>2534</v>
      </c>
      <c r="Q667" s="32"/>
      <c r="R667" s="48" t="s">
        <v>216</v>
      </c>
      <c r="S667" s="32"/>
    </row>
    <row r="668" spans="2:19" x14ac:dyDescent="0.3">
      <c r="B668" t="str">
        <f>LEFT(Tabla3890134177220392[[#This Row],[Descripción del equipo]], FIND(" ", Tabla3890134177220392[[#This Row],[Descripción del equipo]] &amp; " ") - 1)</f>
        <v>Arnes</v>
      </c>
      <c r="C668" s="11" t="s">
        <v>173</v>
      </c>
      <c r="D668">
        <v>1</v>
      </c>
      <c r="E668" t="s">
        <v>160</v>
      </c>
      <c r="F668" s="91" t="s">
        <v>1056</v>
      </c>
      <c r="G668" s="90" t="str">
        <f>LEFT([1]modificado!$O$2, FIND(" ", [1]modificado!$O$2 &amp; " ") - 1)</f>
        <v>3M</v>
      </c>
      <c r="H668" s="47" t="str">
        <f>RIGHT([1]!Tabla2[[#This Row],[Marca y Modelo]], LEN([1]!Tabla2[[#This Row],[Marca y Modelo]]) - FIND(" ", [1]!Tabla2[[#This Row],[Marca y Modelo]]))</f>
        <v>Basic Lion</v>
      </c>
      <c r="I668" s="76"/>
      <c r="J668" s="76"/>
      <c r="K668" s="91" t="s">
        <v>4191</v>
      </c>
      <c r="L668" s="91" t="s">
        <v>3279</v>
      </c>
      <c r="M668" s="91" t="s">
        <v>1404</v>
      </c>
      <c r="N668" s="91" t="s">
        <v>2081</v>
      </c>
      <c r="O668" s="77"/>
      <c r="P668" s="91" t="s">
        <v>2534</v>
      </c>
      <c r="Q668" s="32"/>
      <c r="R668" s="48" t="s">
        <v>216</v>
      </c>
      <c r="S668" s="32"/>
    </row>
    <row r="669" spans="2:19" x14ac:dyDescent="0.3">
      <c r="B669" t="str">
        <f>LEFT(Tabla3890134177220392[[#This Row],[Descripción del equipo]], FIND(" ", Tabla3890134177220392[[#This Row],[Descripción del equipo]] &amp; " ") - 1)</f>
        <v>Arnes</v>
      </c>
      <c r="C669" s="11" t="s">
        <v>173</v>
      </c>
      <c r="D669">
        <v>1</v>
      </c>
      <c r="E669" t="s">
        <v>160</v>
      </c>
      <c r="F669" s="92" t="s">
        <v>1056</v>
      </c>
      <c r="G669" s="90" t="str">
        <f>LEFT([1]modificado!$O$2, FIND(" ", [1]modificado!$O$2 &amp; " ") - 1)</f>
        <v>3M</v>
      </c>
      <c r="H669" s="47" t="str">
        <f>RIGHT([1]!Tabla2[[#This Row],[Marca y Modelo]], LEN([1]!Tabla2[[#This Row],[Marca y Modelo]]) - FIND(" ", [1]!Tabla2[[#This Row],[Marca y Modelo]]))</f>
        <v>Basic Lion</v>
      </c>
      <c r="I669" s="76"/>
      <c r="J669" s="76"/>
      <c r="K669" s="92" t="s">
        <v>4191</v>
      </c>
      <c r="L669" s="92" t="s">
        <v>3280</v>
      </c>
      <c r="M669" s="92" t="s">
        <v>1404</v>
      </c>
      <c r="N669" s="92" t="s">
        <v>2082</v>
      </c>
      <c r="O669" s="77"/>
      <c r="P669" s="92" t="s">
        <v>2534</v>
      </c>
      <c r="Q669" s="32"/>
      <c r="R669" s="48" t="s">
        <v>216</v>
      </c>
      <c r="S669" s="32"/>
    </row>
    <row r="670" spans="2:19" x14ac:dyDescent="0.3">
      <c r="B670" t="str">
        <f>LEFT(Tabla3890134177220392[[#This Row],[Descripción del equipo]], FIND(" ", Tabla3890134177220392[[#This Row],[Descripción del equipo]] &amp; " ") - 1)</f>
        <v>Arnes</v>
      </c>
      <c r="C670" s="11" t="s">
        <v>173</v>
      </c>
      <c r="D670">
        <v>1</v>
      </c>
      <c r="E670" t="s">
        <v>160</v>
      </c>
      <c r="F670" s="91" t="s">
        <v>1056</v>
      </c>
      <c r="G670" s="90" t="str">
        <f>LEFT([1]modificado!$O$2, FIND(" ", [1]modificado!$O$2 &amp; " ") - 1)</f>
        <v>3M</v>
      </c>
      <c r="H670" s="47" t="str">
        <f>RIGHT([1]!Tabla2[[#This Row],[Marca y Modelo]], LEN([1]!Tabla2[[#This Row],[Marca y Modelo]]) - FIND(" ", [1]!Tabla2[[#This Row],[Marca y Modelo]]))</f>
        <v>Basic Lion</v>
      </c>
      <c r="I670" s="76"/>
      <c r="J670" s="76"/>
      <c r="K670" s="91" t="s">
        <v>4191</v>
      </c>
      <c r="L670" s="91" t="s">
        <v>3281</v>
      </c>
      <c r="M670" s="91" t="s">
        <v>1404</v>
      </c>
      <c r="N670" s="91" t="s">
        <v>2083</v>
      </c>
      <c r="O670" s="77"/>
      <c r="P670" s="91" t="s">
        <v>2534</v>
      </c>
      <c r="Q670" s="32"/>
      <c r="R670" s="48" t="s">
        <v>216</v>
      </c>
      <c r="S670" s="32"/>
    </row>
    <row r="671" spans="2:19" x14ac:dyDescent="0.3">
      <c r="B671" t="str">
        <f>LEFT(Tabla3890134177220392[[#This Row],[Descripción del equipo]], FIND(" ", Tabla3890134177220392[[#This Row],[Descripción del equipo]] &amp; " ") - 1)</f>
        <v>Arnes</v>
      </c>
      <c r="C671" s="11" t="s">
        <v>173</v>
      </c>
      <c r="D671">
        <v>1</v>
      </c>
      <c r="E671" t="s">
        <v>160</v>
      </c>
      <c r="F671" s="92" t="s">
        <v>1068</v>
      </c>
      <c r="G671" s="90" t="str">
        <f>LEFT([1]modificado!$O$2, FIND(" ", [1]modificado!$O$2 &amp; " ") - 1)</f>
        <v>3M</v>
      </c>
      <c r="H671" s="47" t="str">
        <f>RIGHT([1]!Tabla2[[#This Row],[Marca y Modelo]], LEN([1]!Tabla2[[#This Row],[Marca y Modelo]]) - FIND(" ", [1]!Tabla2[[#This Row],[Marca y Modelo]]))</f>
        <v>1021-LOGO</v>
      </c>
      <c r="I671" s="76"/>
      <c r="J671" s="76"/>
      <c r="K671" s="92" t="s">
        <v>4191</v>
      </c>
      <c r="L671" s="92" t="s">
        <v>3282</v>
      </c>
      <c r="M671" s="92" t="s">
        <v>1404</v>
      </c>
      <c r="N671" s="92" t="s">
        <v>2084</v>
      </c>
      <c r="O671" s="77"/>
      <c r="P671" s="92" t="s">
        <v>2534</v>
      </c>
      <c r="Q671" s="32"/>
      <c r="R671" s="48" t="s">
        <v>216</v>
      </c>
      <c r="S671" s="32"/>
    </row>
    <row r="672" spans="2:19" x14ac:dyDescent="0.3">
      <c r="B672" t="str">
        <f>LEFT(Tabla3890134177220392[[#This Row],[Descripción del equipo]], FIND(" ", Tabla3890134177220392[[#This Row],[Descripción del equipo]] &amp; " ") - 1)</f>
        <v>Arnes</v>
      </c>
      <c r="C672" s="11" t="s">
        <v>173</v>
      </c>
      <c r="D672">
        <v>1</v>
      </c>
      <c r="E672" t="s">
        <v>160</v>
      </c>
      <c r="F672" s="91" t="s">
        <v>1056</v>
      </c>
      <c r="G672" s="90" t="str">
        <f>LEFT([1]modificado!$O$2, FIND(" ", [1]modificado!$O$2 &amp; " ") - 1)</f>
        <v>3M</v>
      </c>
      <c r="H672" s="47" t="str">
        <f>RIGHT([1]!Tabla2[[#This Row],[Marca y Modelo]], LEN([1]!Tabla2[[#This Row],[Marca y Modelo]]) - FIND(" ", [1]!Tabla2[[#This Row],[Marca y Modelo]]))</f>
        <v>1191205</v>
      </c>
      <c r="I672" s="76"/>
      <c r="J672" s="76"/>
      <c r="K672" s="91" t="s">
        <v>4191</v>
      </c>
      <c r="L672" s="91" t="s">
        <v>3283</v>
      </c>
      <c r="M672" s="91" t="s">
        <v>1404</v>
      </c>
      <c r="N672" s="91" t="s">
        <v>2085</v>
      </c>
      <c r="O672" s="77"/>
      <c r="P672" s="91" t="s">
        <v>2534</v>
      </c>
      <c r="Q672" s="32"/>
      <c r="R672" s="48" t="s">
        <v>216</v>
      </c>
      <c r="S672" s="32"/>
    </row>
    <row r="673" spans="2:19" x14ac:dyDescent="0.3">
      <c r="B673" t="str">
        <f>LEFT(Tabla3890134177220392[[#This Row],[Descripción del equipo]], FIND(" ", Tabla3890134177220392[[#This Row],[Descripción del equipo]] &amp; " ") - 1)</f>
        <v>Arnes</v>
      </c>
      <c r="C673" s="11" t="s">
        <v>173</v>
      </c>
      <c r="D673">
        <v>1</v>
      </c>
      <c r="E673" t="s">
        <v>160</v>
      </c>
      <c r="F673" s="92" t="s">
        <v>1056</v>
      </c>
      <c r="G673" s="90" t="str">
        <f>LEFT([1]modificado!$O$2, FIND(" ", [1]modificado!$O$2 &amp; " ") - 1)</f>
        <v>3M</v>
      </c>
      <c r="H673" s="47" t="str">
        <f>RIGHT([1]!Tabla2[[#This Row],[Marca y Modelo]], LEN([1]!Tabla2[[#This Row],[Marca y Modelo]]) - FIND(" ", [1]!Tabla2[[#This Row],[Marca y Modelo]]))</f>
        <v>Basic Lion</v>
      </c>
      <c r="I673" s="76"/>
      <c r="J673" s="76"/>
      <c r="K673" s="92" t="s">
        <v>4191</v>
      </c>
      <c r="L673" s="92" t="s">
        <v>3284</v>
      </c>
      <c r="M673" s="92" t="s">
        <v>1404</v>
      </c>
      <c r="N673" s="92" t="s">
        <v>2086</v>
      </c>
      <c r="O673" s="77"/>
      <c r="P673" s="92" t="s">
        <v>2534</v>
      </c>
      <c r="Q673" s="32"/>
      <c r="R673" s="48" t="s">
        <v>216</v>
      </c>
      <c r="S673" s="32"/>
    </row>
    <row r="674" spans="2:19" x14ac:dyDescent="0.3">
      <c r="B674" t="s">
        <v>4348</v>
      </c>
      <c r="C674" s="11" t="s">
        <v>173</v>
      </c>
      <c r="D674">
        <v>1</v>
      </c>
      <c r="E674" t="s">
        <v>160</v>
      </c>
      <c r="F674" s="91" t="s">
        <v>1070</v>
      </c>
      <c r="G674" s="90" t="str">
        <f>LEFT([1]modificado!$O$2, FIND(" ", [1]modificado!$O$2 &amp; " ") - 1)</f>
        <v>3M</v>
      </c>
      <c r="H674" s="47" t="str">
        <f>RIGHT([1]!Tabla2[[#This Row],[Marca y Modelo]], LEN([1]!Tabla2[[#This Row],[Marca y Modelo]]) - FIND(" ", [1]!Tabla2[[#This Row],[Marca y Modelo]]))</f>
        <v>1340161</v>
      </c>
      <c r="I674" s="76"/>
      <c r="J674" s="76"/>
      <c r="K674" s="91" t="s">
        <v>4192</v>
      </c>
      <c r="L674" s="91" t="s">
        <v>3285</v>
      </c>
      <c r="M674" s="91" t="s">
        <v>1404</v>
      </c>
      <c r="N674" s="91" t="s">
        <v>2087</v>
      </c>
      <c r="O674" s="77"/>
      <c r="P674" s="91" t="s">
        <v>2534</v>
      </c>
      <c r="Q674" s="32"/>
      <c r="R674" s="48" t="s">
        <v>216</v>
      </c>
      <c r="S674" s="32"/>
    </row>
    <row r="675" spans="2:19" x14ac:dyDescent="0.3">
      <c r="B675" t="s">
        <v>4348</v>
      </c>
      <c r="C675" s="11" t="s">
        <v>173</v>
      </c>
      <c r="D675">
        <v>1</v>
      </c>
      <c r="E675" t="s">
        <v>160</v>
      </c>
      <c r="F675" s="92" t="s">
        <v>1069</v>
      </c>
      <c r="G675" s="90" t="str">
        <f>LEFT([1]modificado!$O$2, FIND(" ", [1]modificado!$O$2 &amp; " ") - 1)</f>
        <v>3M</v>
      </c>
      <c r="H675" s="47"/>
      <c r="I675" s="76"/>
      <c r="J675" s="76"/>
      <c r="K675" s="92" t="s">
        <v>4192</v>
      </c>
      <c r="L675" s="92" t="s">
        <v>3286</v>
      </c>
      <c r="M675" s="92" t="s">
        <v>1404</v>
      </c>
      <c r="N675" s="92" t="s">
        <v>2088</v>
      </c>
      <c r="O675" s="77"/>
      <c r="P675" s="92" t="s">
        <v>2534</v>
      </c>
      <c r="Q675" s="32"/>
      <c r="R675" s="48" t="s">
        <v>216</v>
      </c>
      <c r="S675" s="32"/>
    </row>
    <row r="676" spans="2:19" x14ac:dyDescent="0.3">
      <c r="B676" t="s">
        <v>4348</v>
      </c>
      <c r="C676" s="11" t="s">
        <v>173</v>
      </c>
      <c r="D676">
        <v>1</v>
      </c>
      <c r="E676" t="s">
        <v>160</v>
      </c>
      <c r="F676" s="91" t="s">
        <v>1069</v>
      </c>
      <c r="G676" s="90" t="str">
        <f>LEFT([1]modificado!$O$2, FIND(" ", [1]modificado!$O$2 &amp; " ") - 1)</f>
        <v>3M</v>
      </c>
      <c r="H676" s="47"/>
      <c r="I676" s="76"/>
      <c r="J676" s="76"/>
      <c r="K676" s="91" t="s">
        <v>4192</v>
      </c>
      <c r="L676" s="91" t="s">
        <v>3287</v>
      </c>
      <c r="M676" s="91" t="s">
        <v>1404</v>
      </c>
      <c r="N676" s="91" t="s">
        <v>2089</v>
      </c>
      <c r="O676" s="77"/>
      <c r="P676" s="91" t="s">
        <v>2534</v>
      </c>
      <c r="Q676" s="32"/>
      <c r="R676" s="48" t="s">
        <v>216</v>
      </c>
      <c r="S676" s="32"/>
    </row>
    <row r="677" spans="2:19" x14ac:dyDescent="0.3">
      <c r="B677" t="s">
        <v>4348</v>
      </c>
      <c r="C677" s="11" t="s">
        <v>173</v>
      </c>
      <c r="D677">
        <v>1</v>
      </c>
      <c r="E677" t="s">
        <v>160</v>
      </c>
      <c r="F677" s="92" t="s">
        <v>1057</v>
      </c>
      <c r="G677" s="90" t="str">
        <f>LEFT([1]modificado!$O$2, FIND(" ", [1]modificado!$O$2 &amp; " ") - 1)</f>
        <v>3M</v>
      </c>
      <c r="H677" s="47"/>
      <c r="I677" s="76"/>
      <c r="J677" s="76"/>
      <c r="K677" s="92" t="s">
        <v>4192</v>
      </c>
      <c r="L677" s="92" t="s">
        <v>3288</v>
      </c>
      <c r="M677" s="92" t="s">
        <v>1404</v>
      </c>
      <c r="N677" s="92" t="s">
        <v>2090</v>
      </c>
      <c r="O677" s="77"/>
      <c r="P677" s="92" t="s">
        <v>2534</v>
      </c>
      <c r="Q677" s="32"/>
      <c r="R677" s="48" t="s">
        <v>216</v>
      </c>
      <c r="S677" s="32"/>
    </row>
    <row r="678" spans="2:19" x14ac:dyDescent="0.3">
      <c r="B678" t="s">
        <v>4348</v>
      </c>
      <c r="C678" s="11" t="s">
        <v>173</v>
      </c>
      <c r="D678">
        <v>1</v>
      </c>
      <c r="E678" t="s">
        <v>160</v>
      </c>
      <c r="F678" s="91" t="s">
        <v>1057</v>
      </c>
      <c r="G678" s="90" t="str">
        <f>LEFT([1]modificado!$O$2, FIND(" ", [1]modificado!$O$2 &amp; " ") - 1)</f>
        <v>3M</v>
      </c>
      <c r="H678" s="47" t="str">
        <f>RIGHT([1]!Tabla2[[#This Row],[Marca y Modelo]], LEN([1]!Tabla2[[#This Row],[Marca y Modelo]]) - FIND(" ", [1]!Tabla2[[#This Row],[Marca y Modelo]]))</f>
        <v>Basic Shock Absorbing</v>
      </c>
      <c r="I678" s="76"/>
      <c r="J678" s="76"/>
      <c r="K678" s="91" t="s">
        <v>4192</v>
      </c>
      <c r="L678" s="91" t="s">
        <v>3289</v>
      </c>
      <c r="M678" s="91" t="s">
        <v>1405</v>
      </c>
      <c r="N678" s="91" t="s">
        <v>2091</v>
      </c>
      <c r="O678" s="77"/>
      <c r="P678" s="91" t="s">
        <v>2534</v>
      </c>
      <c r="Q678" s="32"/>
      <c r="R678" s="48" t="s">
        <v>216</v>
      </c>
      <c r="S678" s="32"/>
    </row>
    <row r="679" spans="2:19" x14ac:dyDescent="0.3">
      <c r="B679" t="str">
        <f>LEFT(Tabla3890134177220392[[#This Row],[Descripción del equipo]], FIND(" ", Tabla3890134177220392[[#This Row],[Descripción del equipo]] &amp; " ") - 1)</f>
        <v>Autoretractil</v>
      </c>
      <c r="C679" s="11" t="s">
        <v>173</v>
      </c>
      <c r="D679">
        <v>1</v>
      </c>
      <c r="E679" t="s">
        <v>160</v>
      </c>
      <c r="F679" s="92" t="s">
        <v>1058</v>
      </c>
      <c r="G679" s="90" t="str">
        <f>LEFT([1]modificado!$O$2, FIND(" ", [1]modificado!$O$2 &amp; " ") - 1)</f>
        <v>3M</v>
      </c>
      <c r="H679" s="47" t="str">
        <f>RIGHT([1]!Tabla2[[#This Row],[Marca y Modelo]], LEN([1]!Tabla2[[#This Row],[Marca y Modelo]]) - FIND(" ", [1]!Tabla2[[#This Row],[Marca y Modelo]]))</f>
        <v>3100414</v>
      </c>
      <c r="I679" s="76"/>
      <c r="J679" s="76"/>
      <c r="K679" s="92" t="s">
        <v>4193</v>
      </c>
      <c r="L679" s="92" t="s">
        <v>3290</v>
      </c>
      <c r="M679" s="92" t="s">
        <v>1404</v>
      </c>
      <c r="N679" s="92" t="s">
        <v>2092</v>
      </c>
      <c r="O679" s="77"/>
      <c r="P679" s="92" t="s">
        <v>2534</v>
      </c>
      <c r="Q679" s="32"/>
      <c r="R679" s="48" t="s">
        <v>216</v>
      </c>
      <c r="S679" s="32"/>
    </row>
    <row r="680" spans="2:19" x14ac:dyDescent="0.3">
      <c r="B680" t="str">
        <f>LEFT(Tabla3890134177220392[[#This Row],[Descripción del equipo]], FIND(" ", Tabla3890134177220392[[#This Row],[Descripción del equipo]] &amp; " ") - 1)</f>
        <v>Arnes</v>
      </c>
      <c r="C680" s="11" t="s">
        <v>173</v>
      </c>
      <c r="D680">
        <v>1</v>
      </c>
      <c r="E680" t="s">
        <v>160</v>
      </c>
      <c r="F680" s="91" t="s">
        <v>1056</v>
      </c>
      <c r="G680" s="90" t="str">
        <f>LEFT([1]modificado!$O$2, FIND(" ", [1]modificado!$O$2 &amp; " ") - 1)</f>
        <v>3M</v>
      </c>
      <c r="H680" s="47" t="str">
        <f>RIGHT([1]!Tabla2[[#This Row],[Marca y Modelo]], LEN([1]!Tabla2[[#This Row],[Marca y Modelo]]) - FIND(" ", [1]!Tabla2[[#This Row],[Marca y Modelo]]))</f>
        <v>Basic Lion</v>
      </c>
      <c r="I680" s="76"/>
      <c r="J680" s="76"/>
      <c r="K680" s="91" t="s">
        <v>4191</v>
      </c>
      <c r="L680" s="91" t="s">
        <v>3291</v>
      </c>
      <c r="M680" s="91" t="s">
        <v>1404</v>
      </c>
      <c r="N680" s="91" t="s">
        <v>2093</v>
      </c>
      <c r="O680" s="77"/>
      <c r="P680" s="91" t="s">
        <v>2534</v>
      </c>
      <c r="Q680" s="32"/>
      <c r="R680" s="48" t="s">
        <v>216</v>
      </c>
      <c r="S680" s="32"/>
    </row>
    <row r="681" spans="2:19" x14ac:dyDescent="0.3">
      <c r="B681" t="str">
        <f>LEFT(Tabla3890134177220392[[#This Row],[Descripción del equipo]], FIND(" ", Tabla3890134177220392[[#This Row],[Descripción del equipo]] &amp; " ") - 1)</f>
        <v>Arnes</v>
      </c>
      <c r="C681" s="11" t="s">
        <v>173</v>
      </c>
      <c r="D681">
        <v>1</v>
      </c>
      <c r="E681" t="s">
        <v>160</v>
      </c>
      <c r="F681" s="92" t="s">
        <v>1056</v>
      </c>
      <c r="G681" s="90" t="str">
        <f>LEFT([1]modificado!$O$2, FIND(" ", [1]modificado!$O$2 &amp; " ") - 1)</f>
        <v>3M</v>
      </c>
      <c r="H681" s="47" t="str">
        <f>RIGHT([1]!Tabla2[[#This Row],[Marca y Modelo]], LEN([1]!Tabla2[[#This Row],[Marca y Modelo]]) - FIND(" ", [1]!Tabla2[[#This Row],[Marca y Modelo]]))</f>
        <v>Basic Tiger</v>
      </c>
      <c r="I681" s="76"/>
      <c r="J681" s="76"/>
      <c r="K681" s="92" t="s">
        <v>4191</v>
      </c>
      <c r="L681" s="92" t="s">
        <v>3292</v>
      </c>
      <c r="M681" s="92" t="s">
        <v>1404</v>
      </c>
      <c r="N681" s="92" t="s">
        <v>2094</v>
      </c>
      <c r="O681" s="77"/>
      <c r="P681" s="92" t="s">
        <v>2534</v>
      </c>
      <c r="Q681" s="32"/>
      <c r="R681" s="48" t="s">
        <v>216</v>
      </c>
      <c r="S681" s="32"/>
    </row>
    <row r="682" spans="2:19" x14ac:dyDescent="0.3">
      <c r="B682" t="s">
        <v>4348</v>
      </c>
      <c r="C682" s="11" t="s">
        <v>173</v>
      </c>
      <c r="D682">
        <v>1</v>
      </c>
      <c r="E682" t="s">
        <v>160</v>
      </c>
      <c r="F682" s="91" t="s">
        <v>1057</v>
      </c>
      <c r="G682" s="90" t="str">
        <f>LEFT([1]modificado!$O$2, FIND(" ", [1]modificado!$O$2 &amp; " ") - 1)</f>
        <v>3M</v>
      </c>
      <c r="H682" s="47"/>
      <c r="I682" s="76"/>
      <c r="J682" s="76"/>
      <c r="K682" s="91" t="s">
        <v>4192</v>
      </c>
      <c r="L682" s="91" t="s">
        <v>3293</v>
      </c>
      <c r="M682" s="91" t="s">
        <v>1404</v>
      </c>
      <c r="N682" s="91" t="s">
        <v>2095</v>
      </c>
      <c r="O682" s="77"/>
      <c r="P682" s="91" t="s">
        <v>2534</v>
      </c>
      <c r="Q682" s="32"/>
      <c r="R682" s="48" t="s">
        <v>216</v>
      </c>
      <c r="S682" s="32"/>
    </row>
    <row r="683" spans="2:19" x14ac:dyDescent="0.3">
      <c r="B683" t="s">
        <v>4348</v>
      </c>
      <c r="C683" s="11" t="s">
        <v>173</v>
      </c>
      <c r="D683">
        <v>1</v>
      </c>
      <c r="E683" t="s">
        <v>160</v>
      </c>
      <c r="F683" s="92" t="s">
        <v>1057</v>
      </c>
      <c r="G683" s="90" t="str">
        <f>LEFT([1]modificado!$O$2, FIND(" ", [1]modificado!$O$2 &amp; " ") - 1)</f>
        <v>3M</v>
      </c>
      <c r="H683" s="47"/>
      <c r="I683" s="76"/>
      <c r="J683" s="76"/>
      <c r="K683" s="92" t="s">
        <v>4192</v>
      </c>
      <c r="L683" s="92" t="s">
        <v>3294</v>
      </c>
      <c r="M683" s="92" t="s">
        <v>1404</v>
      </c>
      <c r="N683" s="92" t="s">
        <v>2096</v>
      </c>
      <c r="O683" s="77"/>
      <c r="P683" s="92" t="s">
        <v>2534</v>
      </c>
      <c r="Q683" s="32"/>
      <c r="R683" s="48" t="s">
        <v>216</v>
      </c>
      <c r="S683" s="32"/>
    </row>
    <row r="684" spans="2:19" x14ac:dyDescent="0.3">
      <c r="B684" t="s">
        <v>4348</v>
      </c>
      <c r="C684" s="11" t="s">
        <v>173</v>
      </c>
      <c r="D684">
        <v>1</v>
      </c>
      <c r="E684" t="s">
        <v>160</v>
      </c>
      <c r="F684" s="91" t="s">
        <v>1082</v>
      </c>
      <c r="G684" s="90" t="str">
        <f>LEFT([1]modificado!$O$2, FIND(" ", [1]modificado!$O$2 &amp; " ") - 1)</f>
        <v>3M</v>
      </c>
      <c r="H684" s="47" t="str">
        <f>RIGHT([1]!Tabla2[[#This Row],[Marca y Modelo]], LEN([1]!Tabla2[[#This Row],[Marca y Modelo]]) - FIND(" ", [1]!Tabla2[[#This Row],[Marca y Modelo]]))</f>
        <v>8928-27/18INBK</v>
      </c>
      <c r="I684" s="76"/>
      <c r="J684" s="76"/>
      <c r="K684" s="91" t="s">
        <v>4192</v>
      </c>
      <c r="L684" s="91" t="s">
        <v>3295</v>
      </c>
      <c r="M684" s="91" t="s">
        <v>1404</v>
      </c>
      <c r="N684" s="91" t="s">
        <v>2097</v>
      </c>
      <c r="O684" s="77"/>
      <c r="P684" s="91" t="s">
        <v>2534</v>
      </c>
      <c r="Q684" s="32"/>
      <c r="R684" s="48" t="s">
        <v>216</v>
      </c>
      <c r="S684" s="32"/>
    </row>
    <row r="685" spans="2:19" x14ac:dyDescent="0.3">
      <c r="B685" t="str">
        <f>LEFT(Tabla3890134177220392[[#This Row],[Descripción del equipo]], FIND(" ", Tabla3890134177220392[[#This Row],[Descripción del equipo]] &amp; " ") - 1)</f>
        <v>Arnes</v>
      </c>
      <c r="C685" s="11" t="s">
        <v>173</v>
      </c>
      <c r="D685">
        <v>1</v>
      </c>
      <c r="E685" t="s">
        <v>160</v>
      </c>
      <c r="F685" s="92" t="s">
        <v>1056</v>
      </c>
      <c r="G685" s="90" t="str">
        <f>LEFT([1]modificado!$O$2, FIND(" ", [1]modificado!$O$2 &amp; " ") - 1)</f>
        <v>3M</v>
      </c>
      <c r="H685" s="47" t="str">
        <f>RIGHT([1]!Tabla2[[#This Row],[Marca y Modelo]], LEN([1]!Tabla2[[#This Row],[Marca y Modelo]]) - FIND(" ", [1]!Tabla2[[#This Row],[Marca y Modelo]]))</f>
        <v>Space</v>
      </c>
      <c r="I685" s="76"/>
      <c r="J685" s="76"/>
      <c r="K685" s="92" t="s">
        <v>4194</v>
      </c>
      <c r="L685" s="92" t="s">
        <v>3296</v>
      </c>
      <c r="M685" s="92" t="s">
        <v>1406</v>
      </c>
      <c r="N685" s="92" t="s">
        <v>2098</v>
      </c>
      <c r="O685" s="77"/>
      <c r="P685" s="92" t="s">
        <v>2534</v>
      </c>
      <c r="Q685" s="32"/>
      <c r="R685" s="48" t="s">
        <v>216</v>
      </c>
      <c r="S685" s="32"/>
    </row>
    <row r="686" spans="2:19" x14ac:dyDescent="0.3">
      <c r="B686" t="str">
        <f>LEFT(Tabla3890134177220392[[#This Row],[Descripción del equipo]], FIND(" ", Tabla3890134177220392[[#This Row],[Descripción del equipo]] &amp; " ") - 1)</f>
        <v>Arnes</v>
      </c>
      <c r="C686" s="11" t="s">
        <v>173</v>
      </c>
      <c r="D686">
        <v>1</v>
      </c>
      <c r="E686" t="s">
        <v>160</v>
      </c>
      <c r="F686" s="91" t="s">
        <v>1056</v>
      </c>
      <c r="G686" s="90" t="str">
        <f>LEFT([1]modificado!$O$2, FIND(" ", [1]modificado!$O$2 &amp; " ") - 1)</f>
        <v>3M</v>
      </c>
      <c r="H686" s="47" t="str">
        <f>RIGHT([1]!Tabla2[[#This Row],[Marca y Modelo]], LEN([1]!Tabla2[[#This Row],[Marca y Modelo]]) - FIND(" ", [1]!Tabla2[[#This Row],[Marca y Modelo]]))</f>
        <v>Space</v>
      </c>
      <c r="I686" s="76"/>
      <c r="J686" s="76"/>
      <c r="K686" s="91" t="s">
        <v>4194</v>
      </c>
      <c r="L686" s="91" t="s">
        <v>3297</v>
      </c>
      <c r="M686" s="91" t="s">
        <v>1406</v>
      </c>
      <c r="N686" s="91" t="s">
        <v>2099</v>
      </c>
      <c r="O686" s="77"/>
      <c r="P686" s="91" t="s">
        <v>2534</v>
      </c>
      <c r="Q686" s="32"/>
      <c r="R686" s="48" t="s">
        <v>216</v>
      </c>
      <c r="S686" s="32"/>
    </row>
    <row r="687" spans="2:19" x14ac:dyDescent="0.3">
      <c r="B687" t="str">
        <f>LEFT(Tabla3890134177220392[[#This Row],[Descripción del equipo]], FIND(" ", Tabla3890134177220392[[#This Row],[Descripción del equipo]] &amp; " ") - 1)</f>
        <v>Arnes</v>
      </c>
      <c r="C687" s="11" t="s">
        <v>173</v>
      </c>
      <c r="D687">
        <v>1</v>
      </c>
      <c r="E687" t="s">
        <v>160</v>
      </c>
      <c r="F687" s="92" t="s">
        <v>1056</v>
      </c>
      <c r="G687" s="90" t="str">
        <f>LEFT([1]modificado!$O$2, FIND(" ", [1]modificado!$O$2 &amp; " ") - 1)</f>
        <v>3M</v>
      </c>
      <c r="H687" s="47" t="str">
        <f>RIGHT([1]!Tabla2[[#This Row],[Marca y Modelo]], LEN([1]!Tabla2[[#This Row],[Marca y Modelo]]) - FIND(" ", [1]!Tabla2[[#This Row],[Marca y Modelo]]))</f>
        <v>Basic Lion</v>
      </c>
      <c r="I687" s="76"/>
      <c r="J687" s="76"/>
      <c r="K687" s="92" t="s">
        <v>4194</v>
      </c>
      <c r="L687" s="92" t="s">
        <v>3298</v>
      </c>
      <c r="M687" s="92" t="s">
        <v>1404</v>
      </c>
      <c r="N687" s="92" t="s">
        <v>2100</v>
      </c>
      <c r="O687" s="77"/>
      <c r="P687" s="92" t="s">
        <v>2534</v>
      </c>
      <c r="Q687" s="32"/>
      <c r="R687" s="48" t="s">
        <v>216</v>
      </c>
      <c r="S687" s="32"/>
    </row>
    <row r="688" spans="2:19" x14ac:dyDescent="0.3">
      <c r="B688" t="str">
        <f>LEFT(Tabla3890134177220392[[#This Row],[Descripción del equipo]], FIND(" ", Tabla3890134177220392[[#This Row],[Descripción del equipo]] &amp; " ") - 1)</f>
        <v>Arnes</v>
      </c>
      <c r="C688" s="11" t="s">
        <v>173</v>
      </c>
      <c r="D688">
        <v>1</v>
      </c>
      <c r="E688" t="s">
        <v>160</v>
      </c>
      <c r="F688" s="91" t="s">
        <v>1056</v>
      </c>
      <c r="G688" s="90" t="str">
        <f>LEFT([1]modificado!$O$2, FIND(" ", [1]modificado!$O$2 &amp; " ") - 1)</f>
        <v>3M</v>
      </c>
      <c r="H688" s="47" t="str">
        <f>RIGHT([1]!Tabla2[[#This Row],[Marca y Modelo]], LEN([1]!Tabla2[[#This Row],[Marca y Modelo]]) - FIND(" ", [1]!Tabla2[[#This Row],[Marca y Modelo]]))</f>
        <v>Lion</v>
      </c>
      <c r="I688" s="76"/>
      <c r="J688" s="76"/>
      <c r="K688" s="91" t="s">
        <v>4194</v>
      </c>
      <c r="L688" s="91" t="s">
        <v>3299</v>
      </c>
      <c r="M688" s="91" t="s">
        <v>1405</v>
      </c>
      <c r="N688" s="91" t="s">
        <v>2101</v>
      </c>
      <c r="O688" s="77"/>
      <c r="P688" s="91" t="s">
        <v>2534</v>
      </c>
      <c r="Q688" s="32"/>
      <c r="R688" s="48" t="s">
        <v>216</v>
      </c>
      <c r="S688" s="32"/>
    </row>
    <row r="689" spans="2:19" x14ac:dyDescent="0.3">
      <c r="B689" t="str">
        <f>LEFT(Tabla3890134177220392[[#This Row],[Descripción del equipo]], FIND(" ", Tabla3890134177220392[[#This Row],[Descripción del equipo]] &amp; " ") - 1)</f>
        <v>Arnes</v>
      </c>
      <c r="C689" s="11" t="s">
        <v>173</v>
      </c>
      <c r="D689">
        <v>1</v>
      </c>
      <c r="E689" t="s">
        <v>160</v>
      </c>
      <c r="F689" s="92" t="s">
        <v>1056</v>
      </c>
      <c r="G689" s="90" t="str">
        <f>LEFT([1]modificado!$O$2, FIND(" ", [1]modificado!$O$2 &amp; " ") - 1)</f>
        <v>3M</v>
      </c>
      <c r="H689" s="47" t="str">
        <f>RIGHT([1]!Tabla2[[#This Row],[Marca y Modelo]], LEN([1]!Tabla2[[#This Row],[Marca y Modelo]]) - FIND(" ", [1]!Tabla2[[#This Row],[Marca y Modelo]]))</f>
        <v>Basic Lion</v>
      </c>
      <c r="I689" s="76"/>
      <c r="J689" s="76"/>
      <c r="K689" s="92" t="s">
        <v>4194</v>
      </c>
      <c r="L689" s="92" t="s">
        <v>3300</v>
      </c>
      <c r="M689" s="92" t="s">
        <v>1404</v>
      </c>
      <c r="N689" s="92" t="s">
        <v>2102</v>
      </c>
      <c r="O689" s="77"/>
      <c r="P689" s="92" t="s">
        <v>2534</v>
      </c>
      <c r="Q689" s="32"/>
      <c r="R689" s="48" t="s">
        <v>216</v>
      </c>
      <c r="S689" s="32"/>
    </row>
    <row r="690" spans="2:19" x14ac:dyDescent="0.3">
      <c r="B690" t="str">
        <f>LEFT(Tabla3890134177220392[[#This Row],[Descripción del equipo]], FIND(" ", Tabla3890134177220392[[#This Row],[Descripción del equipo]] &amp; " ") - 1)</f>
        <v>Arnes</v>
      </c>
      <c r="C690" s="11" t="s">
        <v>173</v>
      </c>
      <c r="D690">
        <v>1</v>
      </c>
      <c r="E690" t="s">
        <v>160</v>
      </c>
      <c r="F690" s="91" t="s">
        <v>1056</v>
      </c>
      <c r="G690" s="90" t="str">
        <f>LEFT([1]modificado!$O$2, FIND(" ", [1]modificado!$O$2 &amp; " ") - 1)</f>
        <v>3M</v>
      </c>
      <c r="H690" s="47" t="str">
        <f>RIGHT([1]!Tabla2[[#This Row],[Marca y Modelo]], LEN([1]!Tabla2[[#This Row],[Marca y Modelo]]) - FIND(" ", [1]!Tabla2[[#This Row],[Marca y Modelo]]))</f>
        <v>Basic Lion</v>
      </c>
      <c r="I690" s="76"/>
      <c r="J690" s="76"/>
      <c r="K690" s="91" t="s">
        <v>4194</v>
      </c>
      <c r="L690" s="91" t="s">
        <v>3301</v>
      </c>
      <c r="M690" s="91" t="s">
        <v>1404</v>
      </c>
      <c r="N690" s="91" t="s">
        <v>2103</v>
      </c>
      <c r="O690" s="77"/>
      <c r="P690" s="91" t="s">
        <v>2534</v>
      </c>
      <c r="Q690" s="32"/>
      <c r="R690" s="48" t="s">
        <v>216</v>
      </c>
      <c r="S690" s="32"/>
    </row>
    <row r="691" spans="2:19" x14ac:dyDescent="0.3">
      <c r="B691" t="s">
        <v>4348</v>
      </c>
      <c r="C691" s="11" t="s">
        <v>173</v>
      </c>
      <c r="D691">
        <v>1</v>
      </c>
      <c r="E691" t="s">
        <v>160</v>
      </c>
      <c r="F691" s="92" t="s">
        <v>1061</v>
      </c>
      <c r="G691" s="90" t="str">
        <f>LEFT([1]modificado!$O$2, FIND(" ", [1]modificado!$O$2 &amp; " ") - 1)</f>
        <v>3M</v>
      </c>
      <c r="H691" s="47" t="str">
        <f>RIGHT([1]!Tabla2[[#This Row],[Marca y Modelo]], LEN([1]!Tabla2[[#This Row],[Marca y Modelo]]) - FIND(" ", [1]!Tabla2[[#This Row],[Marca y Modelo]]))</f>
        <v>3210</v>
      </c>
      <c r="I691" s="76"/>
      <c r="J691" s="76"/>
      <c r="K691" s="92" t="s">
        <v>4195</v>
      </c>
      <c r="L691" s="92" t="s">
        <v>3302</v>
      </c>
      <c r="M691" s="92" t="s">
        <v>1404</v>
      </c>
      <c r="N691" s="92" t="s">
        <v>2104</v>
      </c>
      <c r="O691" s="77"/>
      <c r="P691" s="92" t="s">
        <v>2534</v>
      </c>
      <c r="Q691" s="32"/>
      <c r="R691" s="48" t="s">
        <v>216</v>
      </c>
      <c r="S691" s="32"/>
    </row>
    <row r="692" spans="2:19" x14ac:dyDescent="0.3">
      <c r="B692" t="s">
        <v>4348</v>
      </c>
      <c r="C692" s="11" t="s">
        <v>173</v>
      </c>
      <c r="D692">
        <v>1</v>
      </c>
      <c r="E692" t="s">
        <v>160</v>
      </c>
      <c r="F692" s="91" t="s">
        <v>1072</v>
      </c>
      <c r="G692" s="90" t="str">
        <f>LEFT([1]modificado!$O$2, FIND(" ", [1]modificado!$O$2 &amp; " ") - 1)</f>
        <v>3M</v>
      </c>
      <c r="H692" s="47" t="str">
        <f>RIGHT([1]!Tabla2[[#This Row],[Marca y Modelo]], LEN([1]!Tabla2[[#This Row],[Marca y Modelo]]) - FIND(" ", [1]!Tabla2[[#This Row],[Marca y Modelo]]))</f>
        <v>3250</v>
      </c>
      <c r="I692" s="76"/>
      <c r="J692" s="76"/>
      <c r="K692" s="91" t="s">
        <v>4196</v>
      </c>
      <c r="L692" s="91" t="s">
        <v>3303</v>
      </c>
      <c r="M692" s="91" t="s">
        <v>1404</v>
      </c>
      <c r="N692" s="91" t="s">
        <v>2105</v>
      </c>
      <c r="O692" s="77"/>
      <c r="P692" s="91" t="s">
        <v>2534</v>
      </c>
      <c r="Q692" s="32"/>
      <c r="R692" s="48" t="s">
        <v>216</v>
      </c>
      <c r="S692" s="32"/>
    </row>
    <row r="693" spans="2:19" x14ac:dyDescent="0.3">
      <c r="B693" t="s">
        <v>4348</v>
      </c>
      <c r="C693" s="11" t="s">
        <v>173</v>
      </c>
      <c r="D693">
        <v>1</v>
      </c>
      <c r="E693" t="s">
        <v>160</v>
      </c>
      <c r="F693" s="92" t="s">
        <v>1072</v>
      </c>
      <c r="G693" s="90" t="str">
        <f>LEFT([1]modificado!$O$2, FIND(" ", [1]modificado!$O$2 &amp; " ") - 1)</f>
        <v>3M</v>
      </c>
      <c r="H693" s="47" t="str">
        <f>RIGHT([1]!Tabla2[[#This Row],[Marca y Modelo]], LEN([1]!Tabla2[[#This Row],[Marca y Modelo]]) - FIND(" ", [1]!Tabla2[[#This Row],[Marca y Modelo]]))</f>
        <v>1385301MX</v>
      </c>
      <c r="I693" s="76"/>
      <c r="J693" s="76"/>
      <c r="K693" s="92" t="s">
        <v>4196</v>
      </c>
      <c r="L693" s="92" t="s">
        <v>3304</v>
      </c>
      <c r="M693" s="92" t="s">
        <v>1404</v>
      </c>
      <c r="N693" s="92" t="s">
        <v>2106</v>
      </c>
      <c r="O693" s="77"/>
      <c r="P693" s="92" t="s">
        <v>2534</v>
      </c>
      <c r="Q693" s="32"/>
      <c r="R693" s="48" t="s">
        <v>216</v>
      </c>
      <c r="S693" s="32"/>
    </row>
    <row r="694" spans="2:19" x14ac:dyDescent="0.3">
      <c r="B694" t="s">
        <v>4348</v>
      </c>
      <c r="C694" s="11" t="s">
        <v>173</v>
      </c>
      <c r="D694">
        <v>1</v>
      </c>
      <c r="E694" t="s">
        <v>160</v>
      </c>
      <c r="F694" s="91" t="s">
        <v>1072</v>
      </c>
      <c r="G694" s="90" t="str">
        <f>LEFT([1]modificado!$O$2, FIND(" ", [1]modificado!$O$2 &amp; " ") - 1)</f>
        <v>3M</v>
      </c>
      <c r="H694" s="47" t="str">
        <f>RIGHT([1]!Tabla2[[#This Row],[Marca y Modelo]], LEN([1]!Tabla2[[#This Row],[Marca y Modelo]]) - FIND(" ", [1]!Tabla2[[#This Row],[Marca y Modelo]]))</f>
        <v>3260</v>
      </c>
      <c r="I694" s="76"/>
      <c r="J694" s="76"/>
      <c r="K694" s="91" t="s">
        <v>4196</v>
      </c>
      <c r="L694" s="91" t="s">
        <v>3305</v>
      </c>
      <c r="M694" s="91" t="s">
        <v>1404</v>
      </c>
      <c r="N694" s="91" t="s">
        <v>2107</v>
      </c>
      <c r="O694" s="77"/>
      <c r="P694" s="91" t="s">
        <v>2534</v>
      </c>
      <c r="Q694" s="32"/>
      <c r="R694" s="48" t="s">
        <v>216</v>
      </c>
      <c r="S694" s="32"/>
    </row>
    <row r="695" spans="2:19" x14ac:dyDescent="0.3">
      <c r="B695" t="s">
        <v>4348</v>
      </c>
      <c r="C695" s="11" t="s">
        <v>173</v>
      </c>
      <c r="D695">
        <v>1</v>
      </c>
      <c r="E695" t="s">
        <v>160</v>
      </c>
      <c r="F695" s="92" t="s">
        <v>1072</v>
      </c>
      <c r="G695" s="90" t="str">
        <f>LEFT([1]modificado!$O$2, FIND(" ", [1]modificado!$O$2 &amp; " ") - 1)</f>
        <v>3M</v>
      </c>
      <c r="H695" s="47" t="str">
        <f>RIGHT([1]!Tabla2[[#This Row],[Marca y Modelo]], LEN([1]!Tabla2[[#This Row],[Marca y Modelo]]) - FIND(" ", [1]!Tabla2[[#This Row],[Marca y Modelo]]))</f>
        <v>3250</v>
      </c>
      <c r="I695" s="76"/>
      <c r="J695" s="76"/>
      <c r="K695" s="92" t="s">
        <v>4196</v>
      </c>
      <c r="L695" s="92" t="s">
        <v>3306</v>
      </c>
      <c r="M695" s="92" t="s">
        <v>1404</v>
      </c>
      <c r="N695" s="92" t="s">
        <v>2108</v>
      </c>
      <c r="O695" s="77"/>
      <c r="P695" s="92" t="s">
        <v>2534</v>
      </c>
      <c r="Q695" s="32"/>
      <c r="R695" s="48" t="s">
        <v>216</v>
      </c>
      <c r="S695" s="32"/>
    </row>
    <row r="696" spans="2:19" x14ac:dyDescent="0.3">
      <c r="B696" t="str">
        <f>LEFT(Tabla3890134177220392[[#This Row],[Descripción del equipo]], FIND(" ", Tabla3890134177220392[[#This Row],[Descripción del equipo]] &amp; " ") - 1)</f>
        <v>Arnes</v>
      </c>
      <c r="C696" s="11" t="s">
        <v>173</v>
      </c>
      <c r="D696">
        <v>1</v>
      </c>
      <c r="E696" t="s">
        <v>160</v>
      </c>
      <c r="F696" s="91" t="s">
        <v>1056</v>
      </c>
      <c r="G696" s="90" t="str">
        <f>LEFT([1]modificado!$O$2, FIND(" ", [1]modificado!$O$2 &amp; " ") - 1)</f>
        <v>3M</v>
      </c>
      <c r="H696" s="47" t="str">
        <f>RIGHT([1]!Tabla2[[#This Row],[Marca y Modelo]], LEN([1]!Tabla2[[#This Row],[Marca y Modelo]]) - FIND(" ", [1]!Tabla2[[#This Row],[Marca y Modelo]]))</f>
        <v>Space</v>
      </c>
      <c r="I696" s="76"/>
      <c r="J696" s="76"/>
      <c r="K696" s="91" t="s">
        <v>4194</v>
      </c>
      <c r="L696" s="91" t="s">
        <v>3307</v>
      </c>
      <c r="M696" s="91" t="s">
        <v>1406</v>
      </c>
      <c r="N696" s="91" t="s">
        <v>2109</v>
      </c>
      <c r="O696" s="77"/>
      <c r="P696" s="91" t="s">
        <v>2534</v>
      </c>
      <c r="Q696" s="32"/>
      <c r="R696" s="48" t="s">
        <v>216</v>
      </c>
      <c r="S696" s="32"/>
    </row>
    <row r="697" spans="2:19" x14ac:dyDescent="0.3">
      <c r="B697" t="str">
        <f>LEFT(Tabla3890134177220392[[#This Row],[Descripción del equipo]], FIND(" ", Tabla3890134177220392[[#This Row],[Descripción del equipo]] &amp; " ") - 1)</f>
        <v>Autoretractil</v>
      </c>
      <c r="C697" s="11" t="s">
        <v>173</v>
      </c>
      <c r="D697">
        <v>1</v>
      </c>
      <c r="E697" t="s">
        <v>160</v>
      </c>
      <c r="F697" s="92" t="s">
        <v>1058</v>
      </c>
      <c r="G697" s="90" t="str">
        <f>LEFT([1]modificado!$O$2, FIND(" ", [1]modificado!$O$2 &amp; " ") - 1)</f>
        <v>3M</v>
      </c>
      <c r="H697" s="47" t="str">
        <f>RIGHT([1]!Tabla2[[#This Row],[Marca y Modelo]], LEN([1]!Tabla2[[#This Row],[Marca y Modelo]]) - FIND(" ", [1]!Tabla2[[#This Row],[Marca y Modelo]]))</f>
        <v>3101277</v>
      </c>
      <c r="I697" s="76"/>
      <c r="J697" s="76"/>
      <c r="K697" s="92" t="s">
        <v>4197</v>
      </c>
      <c r="L697" s="92" t="s">
        <v>3308</v>
      </c>
      <c r="M697" s="92" t="s">
        <v>1404</v>
      </c>
      <c r="N697" s="92" t="s">
        <v>2110</v>
      </c>
      <c r="O697" s="77"/>
      <c r="P697" s="92" t="s">
        <v>2534</v>
      </c>
      <c r="Q697" s="32"/>
      <c r="R697" s="48" t="s">
        <v>216</v>
      </c>
      <c r="S697" s="32"/>
    </row>
    <row r="698" spans="2:19" x14ac:dyDescent="0.3">
      <c r="B698" t="str">
        <f>LEFT(Tabla3890134177220392[[#This Row],[Descripción del equipo]], FIND(" ", Tabla3890134177220392[[#This Row],[Descripción del equipo]] &amp; " ") - 1)</f>
        <v>Autoretractil</v>
      </c>
      <c r="C698" s="11" t="s">
        <v>173</v>
      </c>
      <c r="D698">
        <v>1</v>
      </c>
      <c r="E698" t="s">
        <v>160</v>
      </c>
      <c r="F698" s="91" t="s">
        <v>1058</v>
      </c>
      <c r="G698" s="90" t="str">
        <f>LEFT([1]modificado!$O$2, FIND(" ", [1]modificado!$O$2 &amp; " ") - 1)</f>
        <v>3M</v>
      </c>
      <c r="H698" s="47" t="str">
        <f>RIGHT([1]!Tabla2[[#This Row],[Marca y Modelo]], LEN([1]!Tabla2[[#This Row],[Marca y Modelo]]) - FIND(" ", [1]!Tabla2[[#This Row],[Marca y Modelo]]))</f>
        <v>3100414</v>
      </c>
      <c r="I698" s="76"/>
      <c r="J698" s="76"/>
      <c r="K698" s="91" t="s">
        <v>4197</v>
      </c>
      <c r="L698" s="91" t="s">
        <v>3309</v>
      </c>
      <c r="M698" s="91" t="s">
        <v>1404</v>
      </c>
      <c r="N698" s="91" t="s">
        <v>2111</v>
      </c>
      <c r="O698" s="77"/>
      <c r="P698" s="91" t="s">
        <v>2534</v>
      </c>
      <c r="Q698" s="32"/>
      <c r="R698" s="48" t="s">
        <v>216</v>
      </c>
      <c r="S698" s="32"/>
    </row>
    <row r="699" spans="2:19" x14ac:dyDescent="0.3">
      <c r="B699" t="str">
        <f>LEFT(Tabla3890134177220392[[#This Row],[Descripción del equipo]], FIND(" ", Tabla3890134177220392[[#This Row],[Descripción del equipo]] &amp; " ") - 1)</f>
        <v>Autoretractil</v>
      </c>
      <c r="C699" s="11" t="s">
        <v>173</v>
      </c>
      <c r="D699">
        <v>1</v>
      </c>
      <c r="E699" t="s">
        <v>160</v>
      </c>
      <c r="F699" s="92" t="s">
        <v>1058</v>
      </c>
      <c r="G699" s="90" t="str">
        <f>LEFT([1]modificado!$O$2, FIND(" ", [1]modificado!$O$2 &amp; " ") - 1)</f>
        <v>3M</v>
      </c>
      <c r="H699" s="47" t="str">
        <f>RIGHT([1]!Tabla2[[#This Row],[Marca y Modelo]], LEN([1]!Tabla2[[#This Row],[Marca y Modelo]]) - FIND(" ", [1]!Tabla2[[#This Row],[Marca y Modelo]]))</f>
        <v>3100425</v>
      </c>
      <c r="I699" s="76"/>
      <c r="J699" s="76"/>
      <c r="K699" s="92" t="s">
        <v>4197</v>
      </c>
      <c r="L699" s="92" t="s">
        <v>3310</v>
      </c>
      <c r="M699" s="92" t="s">
        <v>1404</v>
      </c>
      <c r="N699" s="92" t="s">
        <v>2112</v>
      </c>
      <c r="O699" s="77"/>
      <c r="P699" s="92" t="s">
        <v>2534</v>
      </c>
      <c r="Q699" s="32"/>
      <c r="R699" s="48" t="s">
        <v>216</v>
      </c>
      <c r="S699" s="32"/>
    </row>
    <row r="700" spans="2:19" x14ac:dyDescent="0.3">
      <c r="B700" t="str">
        <f>LEFT(Tabla3890134177220392[[#This Row],[Descripción del equipo]], FIND(" ", Tabla3890134177220392[[#This Row],[Descripción del equipo]] &amp; " ") - 1)</f>
        <v>Autoretractil</v>
      </c>
      <c r="C700" s="11" t="s">
        <v>173</v>
      </c>
      <c r="D700">
        <v>1</v>
      </c>
      <c r="E700" t="s">
        <v>160</v>
      </c>
      <c r="F700" s="91" t="s">
        <v>1058</v>
      </c>
      <c r="G700" s="90" t="str">
        <f>LEFT([1]modificado!$O$2, FIND(" ", [1]modificado!$O$2 &amp; " ") - 1)</f>
        <v>3M</v>
      </c>
      <c r="H700" s="47" t="str">
        <f>RIGHT([1]!Tabla2[[#This Row],[Marca y Modelo]], LEN([1]!Tabla2[[#This Row],[Marca y Modelo]]) - FIND(" ", [1]!Tabla2[[#This Row],[Marca y Modelo]]))</f>
        <v>3100414</v>
      </c>
      <c r="I700" s="76"/>
      <c r="J700" s="76"/>
      <c r="K700" s="91" t="s">
        <v>4197</v>
      </c>
      <c r="L700" s="91" t="s">
        <v>3311</v>
      </c>
      <c r="M700" s="91" t="s">
        <v>1404</v>
      </c>
      <c r="N700" s="91" t="s">
        <v>2113</v>
      </c>
      <c r="O700" s="77"/>
      <c r="P700" s="91" t="s">
        <v>2534</v>
      </c>
      <c r="Q700" s="32"/>
      <c r="R700" s="48" t="s">
        <v>216</v>
      </c>
      <c r="S700" s="32"/>
    </row>
    <row r="701" spans="2:19" x14ac:dyDescent="0.3">
      <c r="B701" t="str">
        <f>LEFT(Tabla3890134177220392[[#This Row],[Descripción del equipo]], FIND(" ", Tabla3890134177220392[[#This Row],[Descripción del equipo]] &amp; " ") - 1)</f>
        <v>Autoretractil</v>
      </c>
      <c r="C701" s="11" t="s">
        <v>173</v>
      </c>
      <c r="D701">
        <v>1</v>
      </c>
      <c r="E701" t="s">
        <v>160</v>
      </c>
      <c r="F701" s="92" t="s">
        <v>1058</v>
      </c>
      <c r="G701" s="90" t="str">
        <f>LEFT([1]modificado!$O$2, FIND(" ", [1]modificado!$O$2 &amp; " ") - 1)</f>
        <v>3M</v>
      </c>
      <c r="H701" s="47" t="str">
        <f>RIGHT([1]!Tabla2[[#This Row],[Marca y Modelo]], LEN([1]!Tabla2[[#This Row],[Marca y Modelo]]) - FIND(" ", [1]!Tabla2[[#This Row],[Marca y Modelo]]))</f>
        <v>3100414</v>
      </c>
      <c r="I701" s="76"/>
      <c r="J701" s="76"/>
      <c r="K701" s="92" t="s">
        <v>4197</v>
      </c>
      <c r="L701" s="92" t="s">
        <v>3312</v>
      </c>
      <c r="M701" s="92" t="s">
        <v>1404</v>
      </c>
      <c r="N701" s="92" t="s">
        <v>2114</v>
      </c>
      <c r="O701" s="77"/>
      <c r="P701" s="92" t="s">
        <v>2534</v>
      </c>
      <c r="Q701" s="32"/>
      <c r="R701" s="48" t="s">
        <v>216</v>
      </c>
      <c r="S701" s="32"/>
    </row>
    <row r="702" spans="2:19" x14ac:dyDescent="0.3">
      <c r="B702" t="str">
        <f>LEFT(Tabla3890134177220392[[#This Row],[Descripción del equipo]], FIND(" ", Tabla3890134177220392[[#This Row],[Descripción del equipo]] &amp; " ") - 1)</f>
        <v>Arnes</v>
      </c>
      <c r="C702" s="11" t="s">
        <v>173</v>
      </c>
      <c r="D702">
        <v>1</v>
      </c>
      <c r="E702" t="s">
        <v>160</v>
      </c>
      <c r="F702" s="91" t="s">
        <v>1068</v>
      </c>
      <c r="G702" s="90" t="str">
        <f>LEFT([1]modificado!$O$2, FIND(" ", [1]modificado!$O$2 &amp; " ") - 1)</f>
        <v>3M</v>
      </c>
      <c r="H702" s="47" t="str">
        <f>RIGHT([1]!Tabla2[[#This Row],[Marca y Modelo]], LEN([1]!Tabla2[[#This Row],[Marca y Modelo]]) - FIND(" ", [1]!Tabla2[[#This Row],[Marca y Modelo]]))</f>
        <v>1021-LOGO</v>
      </c>
      <c r="I702" s="76"/>
      <c r="J702" s="76"/>
      <c r="K702" s="91" t="s">
        <v>4194</v>
      </c>
      <c r="L702" s="91" t="s">
        <v>3313</v>
      </c>
      <c r="M702" s="91" t="s">
        <v>1404</v>
      </c>
      <c r="N702" s="91" t="s">
        <v>2115</v>
      </c>
      <c r="O702" s="77"/>
      <c r="P702" s="91" t="s">
        <v>2534</v>
      </c>
      <c r="Q702" s="32"/>
      <c r="R702" s="48" t="s">
        <v>216</v>
      </c>
      <c r="S702" s="32"/>
    </row>
    <row r="703" spans="2:19" x14ac:dyDescent="0.3">
      <c r="B703" t="str">
        <f>LEFT(Tabla3890134177220392[[#This Row],[Descripción del equipo]], FIND(" ", Tabla3890134177220392[[#This Row],[Descripción del equipo]] &amp; " ") - 1)</f>
        <v>Autoretractil</v>
      </c>
      <c r="C703" s="11" t="s">
        <v>173</v>
      </c>
      <c r="D703">
        <v>1</v>
      </c>
      <c r="E703" t="s">
        <v>160</v>
      </c>
      <c r="F703" s="92" t="s">
        <v>1058</v>
      </c>
      <c r="G703" s="90" t="str">
        <f>LEFT([1]modificado!$O$2, FIND(" ", [1]modificado!$O$2 &amp; " ") - 1)</f>
        <v>3M</v>
      </c>
      <c r="H703" s="47" t="str">
        <f>RIGHT([1]!Tabla2[[#This Row],[Marca y Modelo]], LEN([1]!Tabla2[[#This Row],[Marca y Modelo]]) - FIND(" ", [1]!Tabla2[[#This Row],[Marca y Modelo]]))</f>
        <v>3100414</v>
      </c>
      <c r="I703" s="76"/>
      <c r="J703" s="76"/>
      <c r="K703" s="92" t="s">
        <v>4197</v>
      </c>
      <c r="L703" s="92" t="s">
        <v>3314</v>
      </c>
      <c r="M703" s="92" t="s">
        <v>1404</v>
      </c>
      <c r="N703" s="92" t="s">
        <v>2116</v>
      </c>
      <c r="O703" s="77"/>
      <c r="P703" s="92" t="s">
        <v>2534</v>
      </c>
      <c r="Q703" s="32"/>
      <c r="R703" s="48" t="s">
        <v>216</v>
      </c>
      <c r="S703" s="32"/>
    </row>
    <row r="704" spans="2:19" x14ac:dyDescent="0.3">
      <c r="B704" t="str">
        <f>LEFT(Tabla3890134177220392[[#This Row],[Descripción del equipo]], FIND(" ", Tabla3890134177220392[[#This Row],[Descripción del equipo]] &amp; " ") - 1)</f>
        <v>Arnes</v>
      </c>
      <c r="C704" s="11" t="s">
        <v>173</v>
      </c>
      <c r="D704">
        <v>1</v>
      </c>
      <c r="E704" t="s">
        <v>160</v>
      </c>
      <c r="F704" s="91" t="s">
        <v>1068</v>
      </c>
      <c r="G704" s="90" t="str">
        <f>LEFT([1]modificado!$O$2, FIND(" ", [1]modificado!$O$2 &amp; " ") - 1)</f>
        <v>3M</v>
      </c>
      <c r="H704" s="47" t="str">
        <f>RIGHT([1]!Tabla2[[#This Row],[Marca y Modelo]], LEN([1]!Tabla2[[#This Row],[Marca y Modelo]]) - FIND(" ", [1]!Tabla2[[#This Row],[Marca y Modelo]]))</f>
        <v>1021-LOGO</v>
      </c>
      <c r="I704" s="76"/>
      <c r="J704" s="76"/>
      <c r="K704" s="91" t="s">
        <v>4198</v>
      </c>
      <c r="L704" s="91" t="s">
        <v>3315</v>
      </c>
      <c r="M704" s="91" t="s">
        <v>1404</v>
      </c>
      <c r="N704" s="91" t="s">
        <v>2117</v>
      </c>
      <c r="O704" s="77"/>
      <c r="P704" s="91" t="s">
        <v>2534</v>
      </c>
      <c r="Q704" s="32"/>
      <c r="R704" s="48" t="s">
        <v>216</v>
      </c>
      <c r="S704" s="32"/>
    </row>
    <row r="705" spans="2:19" x14ac:dyDescent="0.3">
      <c r="B705" t="str">
        <f>LEFT(Tabla3890134177220392[[#This Row],[Descripción del equipo]], FIND(" ", Tabla3890134177220392[[#This Row],[Descripción del equipo]] &amp; " ") - 1)</f>
        <v>Arnes</v>
      </c>
      <c r="C705" s="11" t="s">
        <v>173</v>
      </c>
      <c r="D705">
        <v>1</v>
      </c>
      <c r="E705" t="s">
        <v>160</v>
      </c>
      <c r="F705" s="92" t="s">
        <v>1056</v>
      </c>
      <c r="G705" s="90" t="str">
        <f>LEFT([1]modificado!$O$2, FIND(" ", [1]modificado!$O$2 &amp; " ") - 1)</f>
        <v>3M</v>
      </c>
      <c r="H705" s="47" t="str">
        <f>RIGHT([1]!Tabla2[[#This Row],[Marca y Modelo]], LEN([1]!Tabla2[[#This Row],[Marca y Modelo]]) - FIND(" ", [1]!Tabla2[[#This Row],[Marca y Modelo]]))</f>
        <v>Tiger</v>
      </c>
      <c r="I705" s="76"/>
      <c r="J705" s="76"/>
      <c r="K705" s="92" t="s">
        <v>4198</v>
      </c>
      <c r="L705" s="92" t="s">
        <v>3316</v>
      </c>
      <c r="M705" s="92" t="s">
        <v>1404</v>
      </c>
      <c r="N705" s="92" t="s">
        <v>2118</v>
      </c>
      <c r="O705" s="77"/>
      <c r="P705" s="92" t="s">
        <v>2534</v>
      </c>
      <c r="Q705" s="32"/>
      <c r="R705" s="48" t="s">
        <v>216</v>
      </c>
      <c r="S705" s="32"/>
    </row>
    <row r="706" spans="2:19" x14ac:dyDescent="0.3">
      <c r="B706" t="str">
        <f>LEFT(Tabla3890134177220392[[#This Row],[Descripción del equipo]], FIND(" ", Tabla3890134177220392[[#This Row],[Descripción del equipo]] &amp; " ") - 1)</f>
        <v>Arnes</v>
      </c>
      <c r="C706" s="11" t="s">
        <v>173</v>
      </c>
      <c r="D706">
        <v>1</v>
      </c>
      <c r="E706" t="s">
        <v>160</v>
      </c>
      <c r="F706" s="91" t="s">
        <v>1056</v>
      </c>
      <c r="G706" s="90" t="str">
        <f>LEFT([1]modificado!$O$2, FIND(" ", [1]modificado!$O$2 &amp; " ") - 1)</f>
        <v>3M</v>
      </c>
      <c r="H706" s="47" t="str">
        <f>RIGHT([1]!Tabla2[[#This Row],[Marca y Modelo]], LEN([1]!Tabla2[[#This Row],[Marca y Modelo]]) - FIND(" ", [1]!Tabla2[[#This Row],[Marca y Modelo]]))</f>
        <v>Tiger</v>
      </c>
      <c r="I706" s="76"/>
      <c r="J706" s="76"/>
      <c r="K706" s="91" t="s">
        <v>4198</v>
      </c>
      <c r="L706" s="91" t="s">
        <v>3317</v>
      </c>
      <c r="M706" s="91" t="s">
        <v>1404</v>
      </c>
      <c r="N706" s="91" t="s">
        <v>2119</v>
      </c>
      <c r="O706" s="77"/>
      <c r="P706" s="91" t="s">
        <v>2534</v>
      </c>
      <c r="Q706" s="32"/>
      <c r="R706" s="48" t="s">
        <v>216</v>
      </c>
      <c r="S706" s="32"/>
    </row>
    <row r="707" spans="2:19" x14ac:dyDescent="0.3">
      <c r="B707" t="s">
        <v>4348</v>
      </c>
      <c r="C707" s="11" t="s">
        <v>173</v>
      </c>
      <c r="D707">
        <v>1</v>
      </c>
      <c r="E707" t="s">
        <v>160</v>
      </c>
      <c r="F707" s="92" t="s">
        <v>1061</v>
      </c>
      <c r="G707" s="90" t="str">
        <f>LEFT([1]modificado!$O$2, FIND(" ", [1]modificado!$O$2 &amp; " ") - 1)</f>
        <v>3M</v>
      </c>
      <c r="H707" s="47" t="str">
        <f>RIGHT([1]!Tabla2[[#This Row],[Marca y Modelo]], LEN([1]!Tabla2[[#This Row],[Marca y Modelo]]) - FIND(" ", [1]!Tabla2[[#This Row],[Marca y Modelo]]))</f>
        <v>3210</v>
      </c>
      <c r="I707" s="76"/>
      <c r="J707" s="76"/>
      <c r="K707" s="92" t="s">
        <v>4199</v>
      </c>
      <c r="L707" s="92" t="s">
        <v>3318</v>
      </c>
      <c r="M707" s="92" t="s">
        <v>1404</v>
      </c>
      <c r="N707" s="92" t="s">
        <v>2120</v>
      </c>
      <c r="O707" s="77"/>
      <c r="P707" s="92" t="s">
        <v>2534</v>
      </c>
      <c r="Q707" s="32"/>
      <c r="R707" s="48" t="s">
        <v>216</v>
      </c>
      <c r="S707" s="32"/>
    </row>
    <row r="708" spans="2:19" x14ac:dyDescent="0.3">
      <c r="B708" t="s">
        <v>4349</v>
      </c>
      <c r="C708" s="11" t="s">
        <v>173</v>
      </c>
      <c r="D708">
        <v>1</v>
      </c>
      <c r="E708" t="s">
        <v>160</v>
      </c>
      <c r="F708" s="91" t="s">
        <v>1059</v>
      </c>
      <c r="G708" s="90" t="str">
        <f>LEFT([1]modificado!$O$2, FIND(" ", [1]modificado!$O$2 &amp; " ") - 1)</f>
        <v>3M</v>
      </c>
      <c r="H708" s="47"/>
      <c r="I708" s="76"/>
      <c r="J708" s="76"/>
      <c r="K708" s="91" t="s">
        <v>4200</v>
      </c>
      <c r="L708" s="91" t="s">
        <v>3319</v>
      </c>
      <c r="M708" s="91" t="s">
        <v>1404</v>
      </c>
      <c r="N708" s="91" t="s">
        <v>2121</v>
      </c>
      <c r="O708" s="77"/>
      <c r="P708" s="91" t="s">
        <v>2534</v>
      </c>
      <c r="Q708" s="32"/>
      <c r="R708" s="48" t="s">
        <v>216</v>
      </c>
      <c r="S708" s="32"/>
    </row>
    <row r="709" spans="2:19" x14ac:dyDescent="0.3">
      <c r="B709" t="s">
        <v>4349</v>
      </c>
      <c r="C709" s="11" t="s">
        <v>173</v>
      </c>
      <c r="D709">
        <v>1</v>
      </c>
      <c r="E709" t="s">
        <v>160</v>
      </c>
      <c r="F709" s="92" t="s">
        <v>1059</v>
      </c>
      <c r="G709" s="90" t="str">
        <f>LEFT([1]modificado!$O$2, FIND(" ", [1]modificado!$O$2 &amp; " ") - 1)</f>
        <v>3M</v>
      </c>
      <c r="H709" s="47"/>
      <c r="I709" s="76"/>
      <c r="J709" s="76"/>
      <c r="K709" s="92" t="s">
        <v>4200</v>
      </c>
      <c r="L709" s="92" t="s">
        <v>3320</v>
      </c>
      <c r="M709" s="92" t="s">
        <v>1404</v>
      </c>
      <c r="N709" s="92" t="s">
        <v>2122</v>
      </c>
      <c r="O709" s="77"/>
      <c r="P709" s="92" t="s">
        <v>2534</v>
      </c>
      <c r="Q709" s="32"/>
      <c r="R709" s="48" t="s">
        <v>216</v>
      </c>
      <c r="S709" s="32"/>
    </row>
    <row r="710" spans="2:19" x14ac:dyDescent="0.3">
      <c r="B710" t="s">
        <v>4349</v>
      </c>
      <c r="C710" s="11" t="s">
        <v>173</v>
      </c>
      <c r="D710">
        <v>1</v>
      </c>
      <c r="E710" t="s">
        <v>160</v>
      </c>
      <c r="F710" s="91" t="s">
        <v>1059</v>
      </c>
      <c r="G710" s="90" t="str">
        <f>LEFT([1]modificado!$O$2, FIND(" ", [1]modificado!$O$2 &amp; " ") - 1)</f>
        <v>3M</v>
      </c>
      <c r="H710" s="47" t="str">
        <f>RIGHT([1]!Tabla2[[#This Row],[Marca y Modelo]], LEN([1]!Tabla2[[#This Row],[Marca y Modelo]]) - FIND(" ", [1]!Tabla2[[#This Row],[Marca y Modelo]]))</f>
        <v>4550-U</v>
      </c>
      <c r="I710" s="76"/>
      <c r="J710" s="76"/>
      <c r="K710" s="91" t="s">
        <v>4200</v>
      </c>
      <c r="L710" s="91" t="s">
        <v>3321</v>
      </c>
      <c r="M710" s="91" t="s">
        <v>1404</v>
      </c>
      <c r="N710" s="91" t="s">
        <v>2123</v>
      </c>
      <c r="O710" s="77"/>
      <c r="P710" s="91" t="s">
        <v>2534</v>
      </c>
      <c r="Q710" s="32"/>
      <c r="R710" s="48" t="s">
        <v>216</v>
      </c>
      <c r="S710" s="32"/>
    </row>
    <row r="711" spans="2:19" x14ac:dyDescent="0.3">
      <c r="B711" t="s">
        <v>4349</v>
      </c>
      <c r="C711" s="11" t="s">
        <v>173</v>
      </c>
      <c r="D711">
        <v>1</v>
      </c>
      <c r="E711" t="s">
        <v>160</v>
      </c>
      <c r="F711" s="92" t="s">
        <v>1059</v>
      </c>
      <c r="G711" s="90" t="str">
        <f>LEFT([1]modificado!$O$2, FIND(" ", [1]modificado!$O$2 &amp; " ") - 1)</f>
        <v>3M</v>
      </c>
      <c r="H711" s="47" t="str">
        <f>RIGHT([1]!Tabla2[[#This Row],[Marca y Modelo]], LEN([1]!Tabla2[[#This Row],[Marca y Modelo]]) - FIND(" ", [1]!Tabla2[[#This Row],[Marca y Modelo]]))</f>
        <v>1003006</v>
      </c>
      <c r="I711" s="76"/>
      <c r="J711" s="76"/>
      <c r="K711" s="92" t="s">
        <v>4200</v>
      </c>
      <c r="L711" s="92" t="s">
        <v>3322</v>
      </c>
      <c r="M711" s="92" t="s">
        <v>1404</v>
      </c>
      <c r="N711" s="92" t="s">
        <v>2124</v>
      </c>
      <c r="O711" s="77"/>
      <c r="P711" s="92" t="s">
        <v>2534</v>
      </c>
      <c r="Q711" s="32"/>
      <c r="R711" s="48" t="s">
        <v>216</v>
      </c>
      <c r="S711" s="32"/>
    </row>
    <row r="712" spans="2:19" x14ac:dyDescent="0.3">
      <c r="B712" t="str">
        <f>LEFT(Tabla3890134177220392[[#This Row],[Descripción del equipo]], FIND(" ", Tabla3890134177220392[[#This Row],[Descripción del equipo]] &amp; " ") - 1)</f>
        <v>Autoretractil</v>
      </c>
      <c r="C712" s="11" t="s">
        <v>173</v>
      </c>
      <c r="D712">
        <v>1</v>
      </c>
      <c r="E712" t="s">
        <v>160</v>
      </c>
      <c r="F712" s="91" t="s">
        <v>1058</v>
      </c>
      <c r="G712" s="90" t="str">
        <f>LEFT([1]modificado!$O$2, FIND(" ", [1]modificado!$O$2 &amp; " ") - 1)</f>
        <v>3M</v>
      </c>
      <c r="H712" s="47" t="str">
        <f>RIGHT([1]!Tabla2[[#This Row],[Marca y Modelo]], LEN([1]!Tabla2[[#This Row],[Marca y Modelo]]) - FIND(" ", [1]!Tabla2[[#This Row],[Marca y Modelo]]))</f>
        <v>3101277</v>
      </c>
      <c r="I712" s="76"/>
      <c r="J712" s="76"/>
      <c r="K712" s="91" t="s">
        <v>4201</v>
      </c>
      <c r="L712" s="91" t="s">
        <v>3323</v>
      </c>
      <c r="M712" s="91" t="s">
        <v>1404</v>
      </c>
      <c r="N712" s="91" t="s">
        <v>2125</v>
      </c>
      <c r="O712" s="77"/>
      <c r="P712" s="91" t="s">
        <v>2534</v>
      </c>
      <c r="Q712" s="32"/>
      <c r="R712" s="48" t="s">
        <v>216</v>
      </c>
      <c r="S712" s="32"/>
    </row>
    <row r="713" spans="2:19" x14ac:dyDescent="0.3">
      <c r="B713" t="str">
        <f>LEFT(Tabla3890134177220392[[#This Row],[Descripción del equipo]], FIND(" ", Tabla3890134177220392[[#This Row],[Descripción del equipo]] &amp; " ") - 1)</f>
        <v>Autoretractil</v>
      </c>
      <c r="C713" s="11" t="s">
        <v>173</v>
      </c>
      <c r="D713">
        <v>1</v>
      </c>
      <c r="E713" t="s">
        <v>160</v>
      </c>
      <c r="F713" s="92" t="s">
        <v>1058</v>
      </c>
      <c r="G713" s="90" t="str">
        <f>LEFT([1]modificado!$O$2, FIND(" ", [1]modificado!$O$2 &amp; " ") - 1)</f>
        <v>3M</v>
      </c>
      <c r="H713" s="47" t="str">
        <f>RIGHT([1]!Tabla2[[#This Row],[Marca y Modelo]], LEN([1]!Tabla2[[#This Row],[Marca y Modelo]]) - FIND(" ", [1]!Tabla2[[#This Row],[Marca y Modelo]]))</f>
        <v>3101277</v>
      </c>
      <c r="I713" s="76"/>
      <c r="J713" s="76"/>
      <c r="K713" s="92" t="s">
        <v>4201</v>
      </c>
      <c r="L713" s="92" t="s">
        <v>3324</v>
      </c>
      <c r="M713" s="92" t="s">
        <v>1404</v>
      </c>
      <c r="N713" s="92" t="s">
        <v>2126</v>
      </c>
      <c r="O713" s="77"/>
      <c r="P713" s="92" t="s">
        <v>2534</v>
      </c>
      <c r="Q713" s="32"/>
      <c r="R713" s="48" t="s">
        <v>216</v>
      </c>
      <c r="S713" s="32"/>
    </row>
    <row r="714" spans="2:19" x14ac:dyDescent="0.3">
      <c r="B714" t="str">
        <f>LEFT(Tabla3890134177220392[[#This Row],[Descripción del equipo]], FIND(" ", Tabla3890134177220392[[#This Row],[Descripción del equipo]] &amp; " ") - 1)</f>
        <v>Autoretractil</v>
      </c>
      <c r="C714" s="11" t="s">
        <v>173</v>
      </c>
      <c r="D714">
        <v>1</v>
      </c>
      <c r="E714" t="s">
        <v>160</v>
      </c>
      <c r="F714" s="91" t="s">
        <v>1058</v>
      </c>
      <c r="G714" s="90" t="str">
        <f>LEFT([1]modificado!$O$2, FIND(" ", [1]modificado!$O$2 &amp; " ") - 1)</f>
        <v>3M</v>
      </c>
      <c r="H714" s="47" t="str">
        <f>RIGHT([1]!Tabla2[[#This Row],[Marca y Modelo]], LEN([1]!Tabla2[[#This Row],[Marca y Modelo]]) - FIND(" ", [1]!Tabla2[[#This Row],[Marca y Modelo]]))</f>
        <v>3100512</v>
      </c>
      <c r="I714" s="76"/>
      <c r="J714" s="76"/>
      <c r="K714" s="91" t="s">
        <v>4201</v>
      </c>
      <c r="L714" s="91" t="s">
        <v>3325</v>
      </c>
      <c r="M714" s="91" t="s">
        <v>1404</v>
      </c>
      <c r="N714" s="91" t="s">
        <v>2127</v>
      </c>
      <c r="O714" s="77"/>
      <c r="P714" s="91" t="s">
        <v>2534</v>
      </c>
      <c r="Q714" s="32"/>
      <c r="R714" s="48" t="s">
        <v>216</v>
      </c>
      <c r="S714" s="32"/>
    </row>
    <row r="715" spans="2:19" x14ac:dyDescent="0.3">
      <c r="B715" t="str">
        <f>LEFT(Tabla3890134177220392[[#This Row],[Descripción del equipo]], FIND(" ", Tabla3890134177220392[[#This Row],[Descripción del equipo]] &amp; " ") - 1)</f>
        <v>Retractil</v>
      </c>
      <c r="C715" s="11" t="s">
        <v>173</v>
      </c>
      <c r="D715">
        <v>1</v>
      </c>
      <c r="E715" t="s">
        <v>160</v>
      </c>
      <c r="F715" s="92" t="s">
        <v>18</v>
      </c>
      <c r="G715" s="90" t="str">
        <f>LEFT([1]modificado!$O$2, FIND(" ", [1]modificado!$O$2 &amp; " ") - 1)</f>
        <v>3M</v>
      </c>
      <c r="H715" s="47" t="str">
        <f>RIGHT([1]!Tabla2[[#This Row],[Marca y Modelo]], LEN([1]!Tabla2[[#This Row],[Marca y Modelo]]) - FIND(" ", [1]!Tabla2[[#This Row],[Marca y Modelo]]))</f>
        <v>3590500</v>
      </c>
      <c r="I715" s="76"/>
      <c r="J715" s="76"/>
      <c r="K715" s="92" t="s">
        <v>4202</v>
      </c>
      <c r="L715" s="92" t="s">
        <v>3326</v>
      </c>
      <c r="M715" s="92" t="s">
        <v>1404</v>
      </c>
      <c r="N715" s="92" t="s">
        <v>2128</v>
      </c>
      <c r="O715" s="77"/>
      <c r="P715" s="92" t="s">
        <v>2534</v>
      </c>
      <c r="Q715" s="32"/>
      <c r="R715" s="48" t="s">
        <v>216</v>
      </c>
      <c r="S715" s="32"/>
    </row>
    <row r="716" spans="2:19" x14ac:dyDescent="0.3">
      <c r="B716" t="str">
        <f>LEFT(Tabla3890134177220392[[#This Row],[Descripción del equipo]], FIND(" ", Tabla3890134177220392[[#This Row],[Descripción del equipo]] &amp; " ") - 1)</f>
        <v>Retractil</v>
      </c>
      <c r="C716" s="11" t="s">
        <v>173</v>
      </c>
      <c r="D716">
        <v>1</v>
      </c>
      <c r="E716" t="s">
        <v>160</v>
      </c>
      <c r="F716" s="91" t="s">
        <v>18</v>
      </c>
      <c r="G716" s="90" t="str">
        <f>LEFT([1]modificado!$O$2, FIND(" ", [1]modificado!$O$2 &amp; " ") - 1)</f>
        <v>3M</v>
      </c>
      <c r="H716" s="47" t="str">
        <f>RIGHT([1]!Tabla2[[#This Row],[Marca y Modelo]], LEN([1]!Tabla2[[#This Row],[Marca y Modelo]]) - FIND(" ", [1]!Tabla2[[#This Row],[Marca y Modelo]]))</f>
        <v>3590500</v>
      </c>
      <c r="I716" s="76"/>
      <c r="J716" s="76"/>
      <c r="K716" s="91" t="s">
        <v>4202</v>
      </c>
      <c r="L716" s="91" t="s">
        <v>3327</v>
      </c>
      <c r="M716" s="91" t="s">
        <v>1404</v>
      </c>
      <c r="N716" s="91" t="s">
        <v>2129</v>
      </c>
      <c r="O716" s="77"/>
      <c r="P716" s="91" t="s">
        <v>2534</v>
      </c>
      <c r="Q716" s="32"/>
      <c r="R716" s="48" t="s">
        <v>216</v>
      </c>
      <c r="S716" s="32"/>
    </row>
    <row r="717" spans="2:19" x14ac:dyDescent="0.3">
      <c r="B717" t="str">
        <f>LEFT(Tabla3890134177220392[[#This Row],[Descripción del equipo]], FIND(" ", Tabla3890134177220392[[#This Row],[Descripción del equipo]] &amp; " ") - 1)</f>
        <v>Retractil</v>
      </c>
      <c r="C717" s="11" t="s">
        <v>173</v>
      </c>
      <c r="D717">
        <v>1</v>
      </c>
      <c r="E717" t="s">
        <v>160</v>
      </c>
      <c r="F717" s="92" t="s">
        <v>18</v>
      </c>
      <c r="G717" s="90" t="str">
        <f>LEFT([1]modificado!$O$2, FIND(" ", [1]modificado!$O$2 &amp; " ") - 1)</f>
        <v>3M</v>
      </c>
      <c r="H717" s="47" t="str">
        <f>RIGHT([1]!Tabla2[[#This Row],[Marca y Modelo]], LEN([1]!Tabla2[[#This Row],[Marca y Modelo]]) - FIND(" ", [1]!Tabla2[[#This Row],[Marca y Modelo]]))</f>
        <v>3590500</v>
      </c>
      <c r="I717" s="76"/>
      <c r="J717" s="76"/>
      <c r="K717" s="92" t="s">
        <v>4202</v>
      </c>
      <c r="L717" s="92" t="s">
        <v>3328</v>
      </c>
      <c r="M717" s="92" t="s">
        <v>1404</v>
      </c>
      <c r="N717" s="92" t="s">
        <v>2130</v>
      </c>
      <c r="O717" s="77"/>
      <c r="P717" s="92" t="s">
        <v>2534</v>
      </c>
      <c r="Q717" s="32"/>
      <c r="R717" s="48" t="s">
        <v>216</v>
      </c>
      <c r="S717" s="32"/>
    </row>
    <row r="718" spans="2:19" x14ac:dyDescent="0.3">
      <c r="B718" t="str">
        <f>LEFT(Tabla3890134177220392[[#This Row],[Descripción del equipo]], FIND(" ", Tabla3890134177220392[[#This Row],[Descripción del equipo]] &amp; " ") - 1)</f>
        <v>Retractil</v>
      </c>
      <c r="C718" s="11" t="s">
        <v>173</v>
      </c>
      <c r="D718">
        <v>1</v>
      </c>
      <c r="E718" t="s">
        <v>160</v>
      </c>
      <c r="F718" s="91" t="s">
        <v>18</v>
      </c>
      <c r="G718" s="90" t="str">
        <f>LEFT([1]modificado!$O$2, FIND(" ", [1]modificado!$O$2 &amp; " ") - 1)</f>
        <v>3M</v>
      </c>
      <c r="H718" s="47" t="str">
        <f>RIGHT([1]!Tabla2[[#This Row],[Marca y Modelo]], LEN([1]!Tabla2[[#This Row],[Marca y Modelo]]) - FIND(" ", [1]!Tabla2[[#This Row],[Marca y Modelo]]))</f>
        <v>3590500</v>
      </c>
      <c r="I718" s="76"/>
      <c r="J718" s="76"/>
      <c r="K718" s="91" t="s">
        <v>4202</v>
      </c>
      <c r="L718" s="91" t="s">
        <v>3329</v>
      </c>
      <c r="M718" s="91" t="s">
        <v>1404</v>
      </c>
      <c r="N718" s="91" t="s">
        <v>2131</v>
      </c>
      <c r="O718" s="77"/>
      <c r="P718" s="91" t="s">
        <v>2534</v>
      </c>
      <c r="Q718" s="32"/>
      <c r="R718" s="48" t="s">
        <v>216</v>
      </c>
      <c r="S718" s="32"/>
    </row>
    <row r="719" spans="2:19" x14ac:dyDescent="0.3">
      <c r="B719" t="str">
        <f>LEFT(Tabla3890134177220392[[#This Row],[Descripción del equipo]], FIND(" ", Tabla3890134177220392[[#This Row],[Descripción del equipo]] &amp; " ") - 1)</f>
        <v>Retractil</v>
      </c>
      <c r="C719" s="11" t="s">
        <v>173</v>
      </c>
      <c r="D719">
        <v>1</v>
      </c>
      <c r="E719" t="s">
        <v>160</v>
      </c>
      <c r="F719" s="92" t="s">
        <v>18</v>
      </c>
      <c r="G719" s="90" t="str">
        <f>LEFT([1]modificado!$O$2, FIND(" ", [1]modificado!$O$2 &amp; " ") - 1)</f>
        <v>3M</v>
      </c>
      <c r="H719" s="47" t="str">
        <f>RIGHT([1]!Tabla2[[#This Row],[Marca y Modelo]], LEN([1]!Tabla2[[#This Row],[Marca y Modelo]]) - FIND(" ", [1]!Tabla2[[#This Row],[Marca y Modelo]]))</f>
        <v>3590500</v>
      </c>
      <c r="I719" s="76"/>
      <c r="J719" s="76"/>
      <c r="K719" s="92" t="s">
        <v>4202</v>
      </c>
      <c r="L719" s="92" t="s">
        <v>3330</v>
      </c>
      <c r="M719" s="92" t="s">
        <v>1404</v>
      </c>
      <c r="N719" s="92" t="s">
        <v>2132</v>
      </c>
      <c r="O719" s="77"/>
      <c r="P719" s="92" t="s">
        <v>2534</v>
      </c>
      <c r="Q719" s="32"/>
      <c r="R719" s="48" t="s">
        <v>216</v>
      </c>
      <c r="S719" s="32"/>
    </row>
    <row r="720" spans="2:19" x14ac:dyDescent="0.3">
      <c r="B720" t="str">
        <f>LEFT(Tabla3890134177220392[[#This Row],[Descripción del equipo]], FIND(" ", Tabla3890134177220392[[#This Row],[Descripción del equipo]] &amp; " ") - 1)</f>
        <v>Retractil</v>
      </c>
      <c r="C720" s="11" t="s">
        <v>173</v>
      </c>
      <c r="D720">
        <v>1</v>
      </c>
      <c r="E720" t="s">
        <v>160</v>
      </c>
      <c r="F720" s="91" t="s">
        <v>18</v>
      </c>
      <c r="G720" s="90" t="str">
        <f>LEFT([1]modificado!$O$2, FIND(" ", [1]modificado!$O$2 &amp; " ") - 1)</f>
        <v>3M</v>
      </c>
      <c r="H720" s="47" t="str">
        <f>RIGHT([1]!Tabla2[[#This Row],[Marca y Modelo]], LEN([1]!Tabla2[[#This Row],[Marca y Modelo]]) - FIND(" ", [1]!Tabla2[[#This Row],[Marca y Modelo]]))</f>
        <v>3590500</v>
      </c>
      <c r="I720" s="76"/>
      <c r="J720" s="76"/>
      <c r="K720" s="91" t="s">
        <v>4202</v>
      </c>
      <c r="L720" s="91" t="s">
        <v>3331</v>
      </c>
      <c r="M720" s="91" t="s">
        <v>1404</v>
      </c>
      <c r="N720" s="91" t="s">
        <v>2133</v>
      </c>
      <c r="O720" s="77"/>
      <c r="P720" s="91" t="s">
        <v>2534</v>
      </c>
      <c r="Q720" s="32"/>
      <c r="R720" s="48" t="s">
        <v>216</v>
      </c>
      <c r="S720" s="32"/>
    </row>
    <row r="721" spans="2:19" x14ac:dyDescent="0.3">
      <c r="B721" t="str">
        <f>LEFT(Tabla3890134177220392[[#This Row],[Descripción del equipo]], FIND(" ", Tabla3890134177220392[[#This Row],[Descripción del equipo]] &amp; " ") - 1)</f>
        <v>Retractil</v>
      </c>
      <c r="C721" s="11" t="s">
        <v>173</v>
      </c>
      <c r="D721">
        <v>1</v>
      </c>
      <c r="E721" t="s">
        <v>160</v>
      </c>
      <c r="F721" s="92" t="s">
        <v>18</v>
      </c>
      <c r="G721" s="90" t="str">
        <f>LEFT([1]modificado!$O$2, FIND(" ", [1]modificado!$O$2 &amp; " ") - 1)</f>
        <v>3M</v>
      </c>
      <c r="H721" s="47" t="str">
        <f>RIGHT([1]!Tabla2[[#This Row],[Marca y Modelo]], LEN([1]!Tabla2[[#This Row],[Marca y Modelo]]) - FIND(" ", [1]!Tabla2[[#This Row],[Marca y Modelo]]))</f>
        <v>3590500</v>
      </c>
      <c r="I721" s="76"/>
      <c r="J721" s="76"/>
      <c r="K721" s="92" t="s">
        <v>4202</v>
      </c>
      <c r="L721" s="92" t="s">
        <v>3332</v>
      </c>
      <c r="M721" s="92" t="s">
        <v>1404</v>
      </c>
      <c r="N721" s="92" t="s">
        <v>2134</v>
      </c>
      <c r="O721" s="77"/>
      <c r="P721" s="92" t="s">
        <v>2534</v>
      </c>
      <c r="Q721" s="32"/>
      <c r="R721" s="48" t="s">
        <v>216</v>
      </c>
      <c r="S721" s="32"/>
    </row>
    <row r="722" spans="2:19" x14ac:dyDescent="0.3">
      <c r="B722" t="str">
        <f>LEFT(Tabla3890134177220392[[#This Row],[Descripción del equipo]], FIND(" ", Tabla3890134177220392[[#This Row],[Descripción del equipo]] &amp; " ") - 1)</f>
        <v>Retractil</v>
      </c>
      <c r="C722" s="11" t="s">
        <v>173</v>
      </c>
      <c r="D722">
        <v>1</v>
      </c>
      <c r="E722" t="s">
        <v>160</v>
      </c>
      <c r="F722" s="91" t="s">
        <v>18</v>
      </c>
      <c r="G722" s="90" t="str">
        <f>LEFT([1]modificado!$O$2, FIND(" ", [1]modificado!$O$2 &amp; " ") - 1)</f>
        <v>3M</v>
      </c>
      <c r="H722" s="47" t="str">
        <f>RIGHT([1]!Tabla2[[#This Row],[Marca y Modelo]], LEN([1]!Tabla2[[#This Row],[Marca y Modelo]]) - FIND(" ", [1]!Tabla2[[#This Row],[Marca y Modelo]]))</f>
        <v>3590500</v>
      </c>
      <c r="I722" s="76"/>
      <c r="J722" s="76"/>
      <c r="K722" s="91" t="s">
        <v>4202</v>
      </c>
      <c r="L722" s="91" t="s">
        <v>3333</v>
      </c>
      <c r="M722" s="91" t="s">
        <v>1404</v>
      </c>
      <c r="N722" s="91" t="s">
        <v>2135</v>
      </c>
      <c r="O722" s="77"/>
      <c r="P722" s="91" t="s">
        <v>2534</v>
      </c>
      <c r="Q722" s="32"/>
      <c r="R722" s="48" t="s">
        <v>216</v>
      </c>
      <c r="S722" s="32"/>
    </row>
    <row r="723" spans="2:19" x14ac:dyDescent="0.3">
      <c r="B723" t="str">
        <f>LEFT(Tabla3890134177220392[[#This Row],[Descripción del equipo]], FIND(" ", Tabla3890134177220392[[#This Row],[Descripción del equipo]] &amp; " ") - 1)</f>
        <v>Retractil</v>
      </c>
      <c r="C723" s="11" t="s">
        <v>173</v>
      </c>
      <c r="D723">
        <v>1</v>
      </c>
      <c r="E723" t="s">
        <v>160</v>
      </c>
      <c r="F723" s="92" t="s">
        <v>18</v>
      </c>
      <c r="G723" s="90" t="str">
        <f>LEFT([1]modificado!$O$2, FIND(" ", [1]modificado!$O$2 &amp; " ") - 1)</f>
        <v>3M</v>
      </c>
      <c r="H723" s="47" t="str">
        <f>RIGHT([1]!Tabla2[[#This Row],[Marca y Modelo]], LEN([1]!Tabla2[[#This Row],[Marca y Modelo]]) - FIND(" ", [1]!Tabla2[[#This Row],[Marca y Modelo]]))</f>
        <v>3590500</v>
      </c>
      <c r="I723" s="76"/>
      <c r="J723" s="76"/>
      <c r="K723" s="92" t="s">
        <v>4202</v>
      </c>
      <c r="L723" s="92" t="s">
        <v>3334</v>
      </c>
      <c r="M723" s="92" t="s">
        <v>1404</v>
      </c>
      <c r="N723" s="92" t="s">
        <v>2136</v>
      </c>
      <c r="O723" s="77"/>
      <c r="P723" s="92" t="s">
        <v>2534</v>
      </c>
      <c r="Q723" s="32"/>
      <c r="R723" s="48" t="s">
        <v>216</v>
      </c>
      <c r="S723" s="32"/>
    </row>
    <row r="724" spans="2:19" x14ac:dyDescent="0.3">
      <c r="B724" t="str">
        <f>LEFT(Tabla3890134177220392[[#This Row],[Descripción del equipo]], FIND(" ", Tabla3890134177220392[[#This Row],[Descripción del equipo]] &amp; " ") - 1)</f>
        <v>Retractil</v>
      </c>
      <c r="C724" s="11" t="s">
        <v>173</v>
      </c>
      <c r="D724">
        <v>1</v>
      </c>
      <c r="E724" t="s">
        <v>160</v>
      </c>
      <c r="F724" s="91" t="s">
        <v>18</v>
      </c>
      <c r="G724" s="90" t="str">
        <f>LEFT([1]modificado!$O$2, FIND(" ", [1]modificado!$O$2 &amp; " ") - 1)</f>
        <v>3M</v>
      </c>
      <c r="H724" s="47" t="str">
        <f>RIGHT([1]!Tabla2[[#This Row],[Marca y Modelo]], LEN([1]!Tabla2[[#This Row],[Marca y Modelo]]) - FIND(" ", [1]!Tabla2[[#This Row],[Marca y Modelo]]))</f>
        <v>3590500</v>
      </c>
      <c r="I724" s="76"/>
      <c r="J724" s="76"/>
      <c r="K724" s="91" t="s">
        <v>4202</v>
      </c>
      <c r="L724" s="91" t="s">
        <v>3335</v>
      </c>
      <c r="M724" s="91" t="s">
        <v>1404</v>
      </c>
      <c r="N724" s="91" t="s">
        <v>2137</v>
      </c>
      <c r="O724" s="77"/>
      <c r="P724" s="91" t="s">
        <v>2534</v>
      </c>
      <c r="Q724" s="32"/>
      <c r="R724" s="48" t="s">
        <v>216</v>
      </c>
      <c r="S724" s="32"/>
    </row>
    <row r="725" spans="2:19" x14ac:dyDescent="0.3">
      <c r="B725" t="str">
        <f>LEFT(Tabla3890134177220392[[#This Row],[Descripción del equipo]], FIND(" ", Tabla3890134177220392[[#This Row],[Descripción del equipo]] &amp; " ") - 1)</f>
        <v>Retractil</v>
      </c>
      <c r="C725" s="11" t="s">
        <v>173</v>
      </c>
      <c r="D725">
        <v>1</v>
      </c>
      <c r="E725" t="s">
        <v>160</v>
      </c>
      <c r="F725" s="92" t="s">
        <v>18</v>
      </c>
      <c r="G725" s="90" t="str">
        <f>LEFT([1]modificado!$O$2, FIND(" ", [1]modificado!$O$2 &amp; " ") - 1)</f>
        <v>3M</v>
      </c>
      <c r="H725" s="47" t="str">
        <f>RIGHT([1]!Tabla2[[#This Row],[Marca y Modelo]], LEN([1]!Tabla2[[#This Row],[Marca y Modelo]]) - FIND(" ", [1]!Tabla2[[#This Row],[Marca y Modelo]]))</f>
        <v>3590500</v>
      </c>
      <c r="I725" s="76"/>
      <c r="J725" s="76"/>
      <c r="K725" s="92" t="s">
        <v>4202</v>
      </c>
      <c r="L725" s="92" t="s">
        <v>3336</v>
      </c>
      <c r="M725" s="92" t="s">
        <v>1404</v>
      </c>
      <c r="N725" s="92" t="s">
        <v>2138</v>
      </c>
      <c r="O725" s="77"/>
      <c r="P725" s="92" t="s">
        <v>2534</v>
      </c>
      <c r="Q725" s="32"/>
      <c r="R725" s="48" t="s">
        <v>216</v>
      </c>
      <c r="S725" s="32"/>
    </row>
    <row r="726" spans="2:19" x14ac:dyDescent="0.3">
      <c r="B726" t="str">
        <f>LEFT(Tabla3890134177220392[[#This Row],[Descripción del equipo]], FIND(" ", Tabla3890134177220392[[#This Row],[Descripción del equipo]] &amp; " ") - 1)</f>
        <v>Retractil</v>
      </c>
      <c r="C726" s="11" t="s">
        <v>173</v>
      </c>
      <c r="D726">
        <v>1</v>
      </c>
      <c r="E726" t="s">
        <v>160</v>
      </c>
      <c r="F726" s="91" t="s">
        <v>18</v>
      </c>
      <c r="G726" s="90" t="str">
        <f>LEFT([1]modificado!$O$2, FIND(" ", [1]modificado!$O$2 &amp; " ") - 1)</f>
        <v>3M</v>
      </c>
      <c r="H726" s="47" t="str">
        <f>RIGHT([1]!Tabla2[[#This Row],[Marca y Modelo]], LEN([1]!Tabla2[[#This Row],[Marca y Modelo]]) - FIND(" ", [1]!Tabla2[[#This Row],[Marca y Modelo]]))</f>
        <v>3590500</v>
      </c>
      <c r="I726" s="76"/>
      <c r="J726" s="76"/>
      <c r="K726" s="91" t="s">
        <v>4202</v>
      </c>
      <c r="L726" s="91" t="s">
        <v>3337</v>
      </c>
      <c r="M726" s="91" t="s">
        <v>1404</v>
      </c>
      <c r="N726" s="91" t="s">
        <v>2139</v>
      </c>
      <c r="O726" s="77"/>
      <c r="P726" s="91" t="s">
        <v>2534</v>
      </c>
      <c r="Q726" s="32"/>
      <c r="R726" s="48" t="s">
        <v>216</v>
      </c>
      <c r="S726" s="32"/>
    </row>
    <row r="727" spans="2:19" x14ac:dyDescent="0.3">
      <c r="B727" t="str">
        <f>LEFT(Tabla3890134177220392[[#This Row],[Descripción del equipo]], FIND(" ", Tabla3890134177220392[[#This Row],[Descripción del equipo]] &amp; " ") - 1)</f>
        <v>Retractil</v>
      </c>
      <c r="C727" s="11" t="s">
        <v>173</v>
      </c>
      <c r="D727">
        <v>1</v>
      </c>
      <c r="E727" t="s">
        <v>160</v>
      </c>
      <c r="F727" s="92" t="s">
        <v>18</v>
      </c>
      <c r="G727" s="90" t="str">
        <f>LEFT([1]modificado!$O$2, FIND(" ", [1]modificado!$O$2 &amp; " ") - 1)</f>
        <v>3M</v>
      </c>
      <c r="H727" s="47" t="str">
        <f>RIGHT([1]!Tabla2[[#This Row],[Marca y Modelo]], LEN([1]!Tabla2[[#This Row],[Marca y Modelo]]) - FIND(" ", [1]!Tabla2[[#This Row],[Marca y Modelo]]))</f>
        <v>3590500</v>
      </c>
      <c r="I727" s="76"/>
      <c r="J727" s="76"/>
      <c r="K727" s="92" t="s">
        <v>4202</v>
      </c>
      <c r="L727" s="92" t="s">
        <v>3338</v>
      </c>
      <c r="M727" s="92" t="s">
        <v>1404</v>
      </c>
      <c r="N727" s="92" t="s">
        <v>2140</v>
      </c>
      <c r="O727" s="77"/>
      <c r="P727" s="92" t="s">
        <v>2534</v>
      </c>
      <c r="Q727" s="32"/>
      <c r="R727" s="48" t="s">
        <v>216</v>
      </c>
      <c r="S727" s="32"/>
    </row>
    <row r="728" spans="2:19" x14ac:dyDescent="0.3">
      <c r="B728" t="str">
        <f>LEFT(Tabla3890134177220392[[#This Row],[Descripción del equipo]], FIND(" ", Tabla3890134177220392[[#This Row],[Descripción del equipo]] &amp; " ") - 1)</f>
        <v>Retractil</v>
      </c>
      <c r="C728" s="11" t="s">
        <v>173</v>
      </c>
      <c r="D728">
        <v>1</v>
      </c>
      <c r="E728" t="s">
        <v>160</v>
      </c>
      <c r="F728" s="91" t="s">
        <v>18</v>
      </c>
      <c r="G728" s="90" t="str">
        <f>LEFT([1]modificado!$O$2, FIND(" ", [1]modificado!$O$2 &amp; " ") - 1)</f>
        <v>3M</v>
      </c>
      <c r="H728" s="47" t="str">
        <f>RIGHT([1]!Tabla2[[#This Row],[Marca y Modelo]], LEN([1]!Tabla2[[#This Row],[Marca y Modelo]]) - FIND(" ", [1]!Tabla2[[#This Row],[Marca y Modelo]]))</f>
        <v>3590500</v>
      </c>
      <c r="I728" s="76"/>
      <c r="J728" s="76"/>
      <c r="K728" s="91" t="s">
        <v>4202</v>
      </c>
      <c r="L728" s="91" t="s">
        <v>3339</v>
      </c>
      <c r="M728" s="91" t="s">
        <v>1404</v>
      </c>
      <c r="N728" s="91" t="s">
        <v>2141</v>
      </c>
      <c r="O728" s="77"/>
      <c r="P728" s="91" t="s">
        <v>2534</v>
      </c>
      <c r="Q728" s="32"/>
      <c r="R728" s="48" t="s">
        <v>216</v>
      </c>
      <c r="S728" s="32"/>
    </row>
    <row r="729" spans="2:19" x14ac:dyDescent="0.3">
      <c r="B729" t="str">
        <f>LEFT(Tabla3890134177220392[[#This Row],[Descripción del equipo]], FIND(" ", Tabla3890134177220392[[#This Row],[Descripción del equipo]] &amp; " ") - 1)</f>
        <v>Retractil</v>
      </c>
      <c r="C729" s="11" t="s">
        <v>173</v>
      </c>
      <c r="D729">
        <v>1</v>
      </c>
      <c r="E729" t="s">
        <v>160</v>
      </c>
      <c r="F729" s="92" t="s">
        <v>18</v>
      </c>
      <c r="G729" s="90" t="str">
        <f>LEFT([1]modificado!$O$2, FIND(" ", [1]modificado!$O$2 &amp; " ") - 1)</f>
        <v>3M</v>
      </c>
      <c r="H729" s="47" t="str">
        <f>RIGHT([1]!Tabla2[[#This Row],[Marca y Modelo]], LEN([1]!Tabla2[[#This Row],[Marca y Modelo]]) - FIND(" ", [1]!Tabla2[[#This Row],[Marca y Modelo]]))</f>
        <v>3590500</v>
      </c>
      <c r="I729" s="76"/>
      <c r="J729" s="76"/>
      <c r="K729" s="92" t="s">
        <v>4202</v>
      </c>
      <c r="L729" s="92" t="s">
        <v>3340</v>
      </c>
      <c r="M729" s="92" t="s">
        <v>1404</v>
      </c>
      <c r="N729" s="92" t="s">
        <v>2142</v>
      </c>
      <c r="O729" s="77"/>
      <c r="P729" s="92" t="s">
        <v>2534</v>
      </c>
      <c r="Q729" s="32"/>
      <c r="R729" s="48" t="s">
        <v>216</v>
      </c>
      <c r="S729" s="32"/>
    </row>
    <row r="730" spans="2:19" x14ac:dyDescent="0.3">
      <c r="B730" t="str">
        <f>LEFT(Tabla3890134177220392[[#This Row],[Descripción del equipo]], FIND(" ", Tabla3890134177220392[[#This Row],[Descripción del equipo]] &amp; " ") - 1)</f>
        <v>Retractil</v>
      </c>
      <c r="C730" s="11" t="s">
        <v>173</v>
      </c>
      <c r="D730">
        <v>1</v>
      </c>
      <c r="E730" t="s">
        <v>160</v>
      </c>
      <c r="F730" s="91" t="s">
        <v>18</v>
      </c>
      <c r="G730" s="90" t="str">
        <f>LEFT([1]modificado!$O$2, FIND(" ", [1]modificado!$O$2 &amp; " ") - 1)</f>
        <v>3M</v>
      </c>
      <c r="H730" s="47" t="str">
        <f>RIGHT([1]!Tabla2[[#This Row],[Marca y Modelo]], LEN([1]!Tabla2[[#This Row],[Marca y Modelo]]) - FIND(" ", [1]!Tabla2[[#This Row],[Marca y Modelo]]))</f>
        <v>3590500</v>
      </c>
      <c r="I730" s="76"/>
      <c r="J730" s="76"/>
      <c r="K730" s="91" t="s">
        <v>4202</v>
      </c>
      <c r="L730" s="91" t="s">
        <v>3341</v>
      </c>
      <c r="M730" s="91" t="s">
        <v>1404</v>
      </c>
      <c r="N730" s="91" t="s">
        <v>2143</v>
      </c>
      <c r="O730" s="77"/>
      <c r="P730" s="91" t="s">
        <v>2534</v>
      </c>
      <c r="Q730" s="32"/>
      <c r="R730" s="48" t="s">
        <v>216</v>
      </c>
      <c r="S730" s="32"/>
    </row>
    <row r="731" spans="2:19" x14ac:dyDescent="0.3">
      <c r="B731" t="str">
        <f>LEFT(Tabla3890134177220392[[#This Row],[Descripción del equipo]], FIND(" ", Tabla3890134177220392[[#This Row],[Descripción del equipo]] &amp; " ") - 1)</f>
        <v>Retractil</v>
      </c>
      <c r="C731" s="11" t="s">
        <v>173</v>
      </c>
      <c r="D731">
        <v>1</v>
      </c>
      <c r="E731" t="s">
        <v>160</v>
      </c>
      <c r="F731" s="92" t="s">
        <v>18</v>
      </c>
      <c r="G731" s="90" t="str">
        <f>LEFT([1]modificado!$O$2, FIND(" ", [1]modificado!$O$2 &amp; " ") - 1)</f>
        <v>3M</v>
      </c>
      <c r="H731" s="47" t="str">
        <f>RIGHT([1]!Tabla2[[#This Row],[Marca y Modelo]], LEN([1]!Tabla2[[#This Row],[Marca y Modelo]]) - FIND(" ", [1]!Tabla2[[#This Row],[Marca y Modelo]]))</f>
        <v>3590500</v>
      </c>
      <c r="I731" s="76"/>
      <c r="J731" s="76"/>
      <c r="K731" s="92" t="s">
        <v>4202</v>
      </c>
      <c r="L731" s="92" t="s">
        <v>3342</v>
      </c>
      <c r="M731" s="92" t="s">
        <v>1404</v>
      </c>
      <c r="N731" s="92" t="s">
        <v>2144</v>
      </c>
      <c r="O731" s="77"/>
      <c r="P731" s="92" t="s">
        <v>2534</v>
      </c>
      <c r="Q731" s="32"/>
      <c r="R731" s="48" t="s">
        <v>216</v>
      </c>
      <c r="S731" s="32"/>
    </row>
    <row r="732" spans="2:19" x14ac:dyDescent="0.3">
      <c r="B732" t="str">
        <f>LEFT(Tabla3890134177220392[[#This Row],[Descripción del equipo]], FIND(" ", Tabla3890134177220392[[#This Row],[Descripción del equipo]] &amp; " ") - 1)</f>
        <v>Retractil</v>
      </c>
      <c r="C732" s="11" t="s">
        <v>173</v>
      </c>
      <c r="D732">
        <v>1</v>
      </c>
      <c r="E732" t="s">
        <v>160</v>
      </c>
      <c r="F732" s="91" t="s">
        <v>18</v>
      </c>
      <c r="G732" s="90" t="str">
        <f>LEFT([1]modificado!$O$2, FIND(" ", [1]modificado!$O$2 &amp; " ") - 1)</f>
        <v>3M</v>
      </c>
      <c r="H732" s="47" t="str">
        <f>RIGHT([1]!Tabla2[[#This Row],[Marca y Modelo]], LEN([1]!Tabla2[[#This Row],[Marca y Modelo]]) - FIND(" ", [1]!Tabla2[[#This Row],[Marca y Modelo]]))</f>
        <v>3590500</v>
      </c>
      <c r="I732" s="76"/>
      <c r="J732" s="76"/>
      <c r="K732" s="91" t="s">
        <v>4202</v>
      </c>
      <c r="L732" s="91" t="s">
        <v>3343</v>
      </c>
      <c r="M732" s="91" t="s">
        <v>1404</v>
      </c>
      <c r="N732" s="91" t="s">
        <v>2145</v>
      </c>
      <c r="O732" s="77"/>
      <c r="P732" s="91" t="s">
        <v>2534</v>
      </c>
      <c r="Q732" s="32"/>
      <c r="R732" s="48" t="s">
        <v>216</v>
      </c>
      <c r="S732" s="32"/>
    </row>
    <row r="733" spans="2:19" x14ac:dyDescent="0.3">
      <c r="B733" t="str">
        <f>LEFT(Tabla3890134177220392[[#This Row],[Descripción del equipo]], FIND(" ", Tabla3890134177220392[[#This Row],[Descripción del equipo]] &amp; " ") - 1)</f>
        <v>Retractil</v>
      </c>
      <c r="C733" s="11" t="s">
        <v>173</v>
      </c>
      <c r="D733">
        <v>1</v>
      </c>
      <c r="E733" t="s">
        <v>160</v>
      </c>
      <c r="F733" s="92" t="s">
        <v>18</v>
      </c>
      <c r="G733" s="90" t="str">
        <f>LEFT([1]modificado!$O$2, FIND(" ", [1]modificado!$O$2 &amp; " ") - 1)</f>
        <v>3M</v>
      </c>
      <c r="H733" s="47" t="str">
        <f>RIGHT([1]!Tabla2[[#This Row],[Marca y Modelo]], LEN([1]!Tabla2[[#This Row],[Marca y Modelo]]) - FIND(" ", [1]!Tabla2[[#This Row],[Marca y Modelo]]))</f>
        <v>3590500</v>
      </c>
      <c r="I733" s="76"/>
      <c r="J733" s="76"/>
      <c r="K733" s="92" t="s">
        <v>4202</v>
      </c>
      <c r="L733" s="92" t="s">
        <v>3344</v>
      </c>
      <c r="M733" s="92" t="s">
        <v>1404</v>
      </c>
      <c r="N733" s="92" t="s">
        <v>2146</v>
      </c>
      <c r="O733" s="77"/>
      <c r="P733" s="92" t="s">
        <v>2534</v>
      </c>
      <c r="Q733" s="32"/>
      <c r="R733" s="48" t="s">
        <v>216</v>
      </c>
      <c r="S733" s="32"/>
    </row>
    <row r="734" spans="2:19" x14ac:dyDescent="0.3">
      <c r="B734" t="str">
        <f>LEFT(Tabla3890134177220392[[#This Row],[Descripción del equipo]], FIND(" ", Tabla3890134177220392[[#This Row],[Descripción del equipo]] &amp; " ") - 1)</f>
        <v>Retractil</v>
      </c>
      <c r="C734" s="11" t="s">
        <v>173</v>
      </c>
      <c r="D734">
        <v>1</v>
      </c>
      <c r="E734" t="s">
        <v>160</v>
      </c>
      <c r="F734" s="91" t="s">
        <v>18</v>
      </c>
      <c r="G734" s="90" t="str">
        <f>LEFT([1]modificado!$O$2, FIND(" ", [1]modificado!$O$2 &amp; " ") - 1)</f>
        <v>3M</v>
      </c>
      <c r="H734" s="47" t="str">
        <f>RIGHT([1]!Tabla2[[#This Row],[Marca y Modelo]], LEN([1]!Tabla2[[#This Row],[Marca y Modelo]]) - FIND(" ", [1]!Tabla2[[#This Row],[Marca y Modelo]]))</f>
        <v>3590500</v>
      </c>
      <c r="I734" s="76"/>
      <c r="J734" s="76"/>
      <c r="K734" s="91" t="s">
        <v>4202</v>
      </c>
      <c r="L734" s="91" t="s">
        <v>3345</v>
      </c>
      <c r="M734" s="91" t="s">
        <v>1404</v>
      </c>
      <c r="N734" s="91" t="s">
        <v>2147</v>
      </c>
      <c r="O734" s="77"/>
      <c r="P734" s="91" t="s">
        <v>2534</v>
      </c>
      <c r="Q734" s="32"/>
      <c r="R734" s="48" t="s">
        <v>216</v>
      </c>
      <c r="S734" s="32"/>
    </row>
    <row r="735" spans="2:19" x14ac:dyDescent="0.3">
      <c r="B735" t="str">
        <f>LEFT(Tabla3890134177220392[[#This Row],[Descripción del equipo]], FIND(" ", Tabla3890134177220392[[#This Row],[Descripción del equipo]] &amp; " ") - 1)</f>
        <v>Retractil</v>
      </c>
      <c r="C735" s="11" t="s">
        <v>173</v>
      </c>
      <c r="D735">
        <v>1</v>
      </c>
      <c r="E735" t="s">
        <v>160</v>
      </c>
      <c r="F735" s="92" t="s">
        <v>18</v>
      </c>
      <c r="G735" s="90" t="str">
        <f>LEFT([1]modificado!$O$2, FIND(" ", [1]modificado!$O$2 &amp; " ") - 1)</f>
        <v>3M</v>
      </c>
      <c r="H735" s="47" t="str">
        <f>RIGHT([1]!Tabla2[[#This Row],[Marca y Modelo]], LEN([1]!Tabla2[[#This Row],[Marca y Modelo]]) - FIND(" ", [1]!Tabla2[[#This Row],[Marca y Modelo]]))</f>
        <v>3590500</v>
      </c>
      <c r="I735" s="76"/>
      <c r="J735" s="76"/>
      <c r="K735" s="92" t="s">
        <v>4202</v>
      </c>
      <c r="L735" s="92" t="s">
        <v>3346</v>
      </c>
      <c r="M735" s="92" t="s">
        <v>1404</v>
      </c>
      <c r="N735" s="92" t="s">
        <v>2148</v>
      </c>
      <c r="O735" s="77"/>
      <c r="P735" s="92" t="s">
        <v>2534</v>
      </c>
      <c r="Q735" s="32"/>
      <c r="R735" s="48" t="s">
        <v>216</v>
      </c>
      <c r="S735" s="32"/>
    </row>
    <row r="736" spans="2:19" x14ac:dyDescent="0.3">
      <c r="B736" t="str">
        <f>LEFT(Tabla3890134177220392[[#This Row],[Descripción del equipo]], FIND(" ", Tabla3890134177220392[[#This Row],[Descripción del equipo]] &amp; " ") - 1)</f>
        <v>Retractil</v>
      </c>
      <c r="C736" s="11" t="s">
        <v>173</v>
      </c>
      <c r="D736">
        <v>1</v>
      </c>
      <c r="E736" t="s">
        <v>160</v>
      </c>
      <c r="F736" s="91" t="s">
        <v>18</v>
      </c>
      <c r="G736" s="90" t="str">
        <f>LEFT([1]modificado!$O$2, FIND(" ", [1]modificado!$O$2 &amp; " ") - 1)</f>
        <v>3M</v>
      </c>
      <c r="H736" s="47" t="str">
        <f>RIGHT([1]!Tabla2[[#This Row],[Marca y Modelo]], LEN([1]!Tabla2[[#This Row],[Marca y Modelo]]) - FIND(" ", [1]!Tabla2[[#This Row],[Marca y Modelo]]))</f>
        <v>3590500</v>
      </c>
      <c r="I736" s="76"/>
      <c r="J736" s="76"/>
      <c r="K736" s="91" t="s">
        <v>4202</v>
      </c>
      <c r="L736" s="91" t="s">
        <v>3347</v>
      </c>
      <c r="M736" s="91" t="s">
        <v>1404</v>
      </c>
      <c r="N736" s="91" t="s">
        <v>2149</v>
      </c>
      <c r="O736" s="77"/>
      <c r="P736" s="91" t="s">
        <v>2534</v>
      </c>
      <c r="Q736" s="32"/>
      <c r="R736" s="48" t="s">
        <v>216</v>
      </c>
      <c r="S736" s="32"/>
    </row>
    <row r="737" spans="2:19" x14ac:dyDescent="0.3">
      <c r="B737" t="str">
        <f>LEFT(Tabla3890134177220392[[#This Row],[Descripción del equipo]], FIND(" ", Tabla3890134177220392[[#This Row],[Descripción del equipo]] &amp; " ") - 1)</f>
        <v>Retractil</v>
      </c>
      <c r="C737" s="11" t="s">
        <v>173</v>
      </c>
      <c r="D737">
        <v>1</v>
      </c>
      <c r="E737" t="s">
        <v>160</v>
      </c>
      <c r="F737" s="92" t="s">
        <v>18</v>
      </c>
      <c r="G737" s="90" t="str">
        <f>LEFT([1]modificado!$O$2, FIND(" ", [1]modificado!$O$2 &amp; " ") - 1)</f>
        <v>3M</v>
      </c>
      <c r="H737" s="47" t="str">
        <f>RIGHT([1]!Tabla2[[#This Row],[Marca y Modelo]], LEN([1]!Tabla2[[#This Row],[Marca y Modelo]]) - FIND(" ", [1]!Tabla2[[#This Row],[Marca y Modelo]]))</f>
        <v>3590500</v>
      </c>
      <c r="I737" s="76"/>
      <c r="J737" s="76"/>
      <c r="K737" s="92" t="s">
        <v>4202</v>
      </c>
      <c r="L737" s="92" t="s">
        <v>3348</v>
      </c>
      <c r="M737" s="92" t="s">
        <v>1404</v>
      </c>
      <c r="N737" s="92" t="s">
        <v>2150</v>
      </c>
      <c r="O737" s="77"/>
      <c r="P737" s="92" t="s">
        <v>2534</v>
      </c>
      <c r="Q737" s="32"/>
      <c r="R737" s="48" t="s">
        <v>216</v>
      </c>
      <c r="S737" s="32"/>
    </row>
    <row r="738" spans="2:19" x14ac:dyDescent="0.3">
      <c r="B738" t="str">
        <f>LEFT(Tabla3890134177220392[[#This Row],[Descripción del equipo]], FIND(" ", Tabla3890134177220392[[#This Row],[Descripción del equipo]] &amp; " ") - 1)</f>
        <v>Retractil</v>
      </c>
      <c r="C738" s="11" t="s">
        <v>173</v>
      </c>
      <c r="D738">
        <v>1</v>
      </c>
      <c r="E738" t="s">
        <v>160</v>
      </c>
      <c r="F738" s="91" t="s">
        <v>18</v>
      </c>
      <c r="G738" s="90" t="str">
        <f>LEFT([1]modificado!$O$2, FIND(" ", [1]modificado!$O$2 &amp; " ") - 1)</f>
        <v>3M</v>
      </c>
      <c r="H738" s="47" t="str">
        <f>RIGHT([1]!Tabla2[[#This Row],[Marca y Modelo]], LEN([1]!Tabla2[[#This Row],[Marca y Modelo]]) - FIND(" ", [1]!Tabla2[[#This Row],[Marca y Modelo]]))</f>
        <v>3590500</v>
      </c>
      <c r="I738" s="76"/>
      <c r="J738" s="76"/>
      <c r="K738" s="91" t="s">
        <v>4202</v>
      </c>
      <c r="L738" s="91" t="s">
        <v>3349</v>
      </c>
      <c r="M738" s="91" t="s">
        <v>1404</v>
      </c>
      <c r="N738" s="91" t="s">
        <v>2151</v>
      </c>
      <c r="O738" s="77"/>
      <c r="P738" s="91" t="s">
        <v>2534</v>
      </c>
      <c r="Q738" s="32"/>
      <c r="R738" s="48" t="s">
        <v>216</v>
      </c>
      <c r="S738" s="32"/>
    </row>
    <row r="739" spans="2:19" x14ac:dyDescent="0.3">
      <c r="B739" t="str">
        <f>LEFT(Tabla3890134177220392[[#This Row],[Descripción del equipo]], FIND(" ", Tabla3890134177220392[[#This Row],[Descripción del equipo]] &amp; " ") - 1)</f>
        <v>Retractil</v>
      </c>
      <c r="C739" s="11" t="s">
        <v>173</v>
      </c>
      <c r="D739">
        <v>1</v>
      </c>
      <c r="E739" t="s">
        <v>160</v>
      </c>
      <c r="F739" s="92" t="s">
        <v>18</v>
      </c>
      <c r="G739" s="90" t="str">
        <f>LEFT([1]modificado!$O$2, FIND(" ", [1]modificado!$O$2 &amp; " ") - 1)</f>
        <v>3M</v>
      </c>
      <c r="H739" s="47" t="str">
        <f>RIGHT([1]!Tabla2[[#This Row],[Marca y Modelo]], LEN([1]!Tabla2[[#This Row],[Marca y Modelo]]) - FIND(" ", [1]!Tabla2[[#This Row],[Marca y Modelo]]))</f>
        <v>3590500</v>
      </c>
      <c r="I739" s="76"/>
      <c r="J739" s="76"/>
      <c r="K739" s="92" t="s">
        <v>4202</v>
      </c>
      <c r="L739" s="92" t="s">
        <v>3350</v>
      </c>
      <c r="M739" s="92" t="s">
        <v>1404</v>
      </c>
      <c r="N739" s="92" t="s">
        <v>2152</v>
      </c>
      <c r="O739" s="77"/>
      <c r="P739" s="92" t="s">
        <v>2534</v>
      </c>
      <c r="Q739" s="32"/>
      <c r="R739" s="48" t="s">
        <v>216</v>
      </c>
      <c r="S739" s="32"/>
    </row>
    <row r="740" spans="2:19" x14ac:dyDescent="0.3">
      <c r="B740" t="str">
        <f>LEFT(Tabla3890134177220392[[#This Row],[Descripción del equipo]], FIND(" ", Tabla3890134177220392[[#This Row],[Descripción del equipo]] &amp; " ") - 1)</f>
        <v>Retractil</v>
      </c>
      <c r="C740" s="11" t="s">
        <v>173</v>
      </c>
      <c r="D740">
        <v>1</v>
      </c>
      <c r="E740" t="s">
        <v>160</v>
      </c>
      <c r="F740" s="91" t="s">
        <v>18</v>
      </c>
      <c r="G740" s="90" t="str">
        <f>LEFT([1]modificado!$O$2, FIND(" ", [1]modificado!$O$2 &amp; " ") - 1)</f>
        <v>3M</v>
      </c>
      <c r="H740" s="47" t="str">
        <f>RIGHT([1]!Tabla2[[#This Row],[Marca y Modelo]], LEN([1]!Tabla2[[#This Row],[Marca y Modelo]]) - FIND(" ", [1]!Tabla2[[#This Row],[Marca y Modelo]]))</f>
        <v>3590500</v>
      </c>
      <c r="I740" s="76"/>
      <c r="J740" s="76"/>
      <c r="K740" s="91" t="s">
        <v>4202</v>
      </c>
      <c r="L740" s="91" t="s">
        <v>3351</v>
      </c>
      <c r="M740" s="91" t="s">
        <v>1404</v>
      </c>
      <c r="N740" s="91" t="s">
        <v>2153</v>
      </c>
      <c r="O740" s="77"/>
      <c r="P740" s="91" t="s">
        <v>2534</v>
      </c>
      <c r="Q740" s="32"/>
      <c r="R740" s="48" t="s">
        <v>216</v>
      </c>
      <c r="S740" s="32"/>
    </row>
    <row r="741" spans="2:19" x14ac:dyDescent="0.3">
      <c r="B741" t="str">
        <f>LEFT(Tabla3890134177220392[[#This Row],[Descripción del equipo]], FIND(" ", Tabla3890134177220392[[#This Row],[Descripción del equipo]] &amp; " ") - 1)</f>
        <v>Retractil</v>
      </c>
      <c r="C741" s="11" t="s">
        <v>173</v>
      </c>
      <c r="D741">
        <v>1</v>
      </c>
      <c r="E741" t="s">
        <v>160</v>
      </c>
      <c r="F741" s="92" t="s">
        <v>18</v>
      </c>
      <c r="G741" s="90" t="str">
        <f>LEFT([1]modificado!$O$2, FIND(" ", [1]modificado!$O$2 &amp; " ") - 1)</f>
        <v>3M</v>
      </c>
      <c r="H741" s="47" t="str">
        <f>RIGHT([1]!Tabla2[[#This Row],[Marca y Modelo]], LEN([1]!Tabla2[[#This Row],[Marca y Modelo]]) - FIND(" ", [1]!Tabla2[[#This Row],[Marca y Modelo]]))</f>
        <v>3590500</v>
      </c>
      <c r="I741" s="76"/>
      <c r="J741" s="76"/>
      <c r="K741" s="92" t="s">
        <v>4202</v>
      </c>
      <c r="L741" s="92" t="s">
        <v>3352</v>
      </c>
      <c r="M741" s="92" t="s">
        <v>1404</v>
      </c>
      <c r="N741" s="92" t="s">
        <v>2154</v>
      </c>
      <c r="O741" s="77"/>
      <c r="P741" s="92" t="s">
        <v>2534</v>
      </c>
      <c r="Q741" s="32"/>
      <c r="R741" s="48" t="s">
        <v>216</v>
      </c>
      <c r="S741" s="32"/>
    </row>
    <row r="742" spans="2:19" x14ac:dyDescent="0.3">
      <c r="B742" t="str">
        <f>LEFT(Tabla3890134177220392[[#This Row],[Descripción del equipo]], FIND(" ", Tabla3890134177220392[[#This Row],[Descripción del equipo]] &amp; " ") - 1)</f>
        <v>Retractil</v>
      </c>
      <c r="C742" s="11" t="s">
        <v>173</v>
      </c>
      <c r="D742">
        <v>1</v>
      </c>
      <c r="E742" t="s">
        <v>160</v>
      </c>
      <c r="F742" s="91" t="s">
        <v>18</v>
      </c>
      <c r="G742" s="90" t="str">
        <f>LEFT([1]modificado!$O$2, FIND(" ", [1]modificado!$O$2 &amp; " ") - 1)</f>
        <v>3M</v>
      </c>
      <c r="H742" s="47" t="str">
        <f>RIGHT([1]!Tabla2[[#This Row],[Marca y Modelo]], LEN([1]!Tabla2[[#This Row],[Marca y Modelo]]) - FIND(" ", [1]!Tabla2[[#This Row],[Marca y Modelo]]))</f>
        <v>3590500</v>
      </c>
      <c r="I742" s="76"/>
      <c r="J742" s="76"/>
      <c r="K742" s="91" t="s">
        <v>4202</v>
      </c>
      <c r="L742" s="91" t="s">
        <v>3353</v>
      </c>
      <c r="M742" s="91" t="s">
        <v>1404</v>
      </c>
      <c r="N742" s="91" t="s">
        <v>2155</v>
      </c>
      <c r="O742" s="77"/>
      <c r="P742" s="91" t="s">
        <v>2534</v>
      </c>
      <c r="Q742" s="32"/>
      <c r="R742" s="48" t="s">
        <v>216</v>
      </c>
      <c r="S742" s="32"/>
    </row>
    <row r="743" spans="2:19" x14ac:dyDescent="0.3">
      <c r="B743" t="str">
        <f>LEFT(Tabla3890134177220392[[#This Row],[Descripción del equipo]], FIND(" ", Tabla3890134177220392[[#This Row],[Descripción del equipo]] &amp; " ") - 1)</f>
        <v>Retractil</v>
      </c>
      <c r="C743" s="11" t="s">
        <v>173</v>
      </c>
      <c r="D743">
        <v>1</v>
      </c>
      <c r="E743" t="s">
        <v>160</v>
      </c>
      <c r="F743" s="92" t="s">
        <v>18</v>
      </c>
      <c r="G743" s="90" t="str">
        <f>LEFT([1]modificado!$O$2, FIND(" ", [1]modificado!$O$2 &amp; " ") - 1)</f>
        <v>3M</v>
      </c>
      <c r="H743" s="47" t="str">
        <f>RIGHT([1]!Tabla2[[#This Row],[Marca y Modelo]], LEN([1]!Tabla2[[#This Row],[Marca y Modelo]]) - FIND(" ", [1]!Tabla2[[#This Row],[Marca y Modelo]]))</f>
        <v>3590500</v>
      </c>
      <c r="I743" s="76"/>
      <c r="J743" s="76"/>
      <c r="K743" s="92" t="s">
        <v>4202</v>
      </c>
      <c r="L743" s="92" t="s">
        <v>3354</v>
      </c>
      <c r="M743" s="92" t="s">
        <v>1404</v>
      </c>
      <c r="N743" s="92" t="s">
        <v>2156</v>
      </c>
      <c r="O743" s="77"/>
      <c r="P743" s="92" t="s">
        <v>2534</v>
      </c>
      <c r="Q743" s="32"/>
      <c r="R743" s="48" t="s">
        <v>216</v>
      </c>
      <c r="S743" s="32"/>
    </row>
    <row r="744" spans="2:19" x14ac:dyDescent="0.3">
      <c r="B744" t="str">
        <f>LEFT(Tabla3890134177220392[[#This Row],[Descripción del equipo]], FIND(" ", Tabla3890134177220392[[#This Row],[Descripción del equipo]] &amp; " ") - 1)</f>
        <v>Retractil</v>
      </c>
      <c r="C744" s="11" t="s">
        <v>173</v>
      </c>
      <c r="D744">
        <v>1</v>
      </c>
      <c r="E744" t="s">
        <v>160</v>
      </c>
      <c r="F744" s="91" t="s">
        <v>18</v>
      </c>
      <c r="G744" s="90" t="str">
        <f>LEFT([1]modificado!$O$2, FIND(" ", [1]modificado!$O$2 &amp; " ") - 1)</f>
        <v>3M</v>
      </c>
      <c r="H744" s="47" t="str">
        <f>RIGHT([1]!Tabla2[[#This Row],[Marca y Modelo]], LEN([1]!Tabla2[[#This Row],[Marca y Modelo]]) - FIND(" ", [1]!Tabla2[[#This Row],[Marca y Modelo]]))</f>
        <v>3590500</v>
      </c>
      <c r="I744" s="76"/>
      <c r="J744" s="76"/>
      <c r="K744" s="91" t="s">
        <v>4202</v>
      </c>
      <c r="L744" s="91" t="s">
        <v>3355</v>
      </c>
      <c r="M744" s="91" t="s">
        <v>1404</v>
      </c>
      <c r="N744" s="91" t="s">
        <v>2157</v>
      </c>
      <c r="O744" s="77"/>
      <c r="P744" s="91" t="s">
        <v>2534</v>
      </c>
      <c r="Q744" s="32"/>
      <c r="R744" s="48" t="s">
        <v>216</v>
      </c>
      <c r="S744" s="32"/>
    </row>
    <row r="745" spans="2:19" x14ac:dyDescent="0.3">
      <c r="B745" t="str">
        <f>LEFT(Tabla3890134177220392[[#This Row],[Descripción del equipo]], FIND(" ", Tabla3890134177220392[[#This Row],[Descripción del equipo]] &amp; " ") - 1)</f>
        <v>Retractil</v>
      </c>
      <c r="C745" s="11" t="s">
        <v>173</v>
      </c>
      <c r="D745">
        <v>1</v>
      </c>
      <c r="E745" t="s">
        <v>160</v>
      </c>
      <c r="F745" s="92" t="s">
        <v>18</v>
      </c>
      <c r="G745" s="90" t="str">
        <f>LEFT([1]modificado!$O$2, FIND(" ", [1]modificado!$O$2 &amp; " ") - 1)</f>
        <v>3M</v>
      </c>
      <c r="H745" s="47" t="str">
        <f>RIGHT([1]!Tabla2[[#This Row],[Marca y Modelo]], LEN([1]!Tabla2[[#This Row],[Marca y Modelo]]) - FIND(" ", [1]!Tabla2[[#This Row],[Marca y Modelo]]))</f>
        <v>3503874</v>
      </c>
      <c r="I745" s="76"/>
      <c r="J745" s="76"/>
      <c r="K745" s="92" t="s">
        <v>4203</v>
      </c>
      <c r="L745" s="92" t="s">
        <v>3356</v>
      </c>
      <c r="M745" s="92" t="s">
        <v>1404</v>
      </c>
      <c r="N745" s="92" t="s">
        <v>2158</v>
      </c>
      <c r="O745" s="77"/>
      <c r="P745" s="92" t="s">
        <v>2534</v>
      </c>
      <c r="Q745" s="32"/>
      <c r="R745" s="48" t="s">
        <v>216</v>
      </c>
      <c r="S745" s="32"/>
    </row>
    <row r="746" spans="2:19" x14ac:dyDescent="0.3">
      <c r="B746" t="str">
        <f>LEFT(Tabla3890134177220392[[#This Row],[Descripción del equipo]], FIND(" ", Tabla3890134177220392[[#This Row],[Descripción del equipo]] &amp; " ") - 1)</f>
        <v>Retractil</v>
      </c>
      <c r="C746" s="11" t="s">
        <v>173</v>
      </c>
      <c r="D746">
        <v>1</v>
      </c>
      <c r="E746" t="s">
        <v>160</v>
      </c>
      <c r="F746" s="91" t="s">
        <v>18</v>
      </c>
      <c r="G746" s="90" t="str">
        <f>LEFT([1]modificado!$O$2, FIND(" ", [1]modificado!$O$2 &amp; " ") - 1)</f>
        <v>3M</v>
      </c>
      <c r="H746" s="47" t="str">
        <f>RIGHT([1]!Tabla2[[#This Row],[Marca y Modelo]], LEN([1]!Tabla2[[#This Row],[Marca y Modelo]]) - FIND(" ", [1]!Tabla2[[#This Row],[Marca y Modelo]]))</f>
        <v>3503874</v>
      </c>
      <c r="I746" s="76"/>
      <c r="J746" s="76"/>
      <c r="K746" s="91" t="s">
        <v>4203</v>
      </c>
      <c r="L746" s="91" t="s">
        <v>3357</v>
      </c>
      <c r="M746" s="91" t="s">
        <v>1404</v>
      </c>
      <c r="N746" s="91" t="s">
        <v>2159</v>
      </c>
      <c r="O746" s="77"/>
      <c r="P746" s="91" t="s">
        <v>2534</v>
      </c>
      <c r="Q746" s="32"/>
      <c r="R746" s="48" t="s">
        <v>216</v>
      </c>
      <c r="S746" s="32"/>
    </row>
    <row r="747" spans="2:19" x14ac:dyDescent="0.3">
      <c r="B747" t="s">
        <v>4348</v>
      </c>
      <c r="C747" s="11" t="s">
        <v>173</v>
      </c>
      <c r="D747">
        <v>1</v>
      </c>
      <c r="E747" t="s">
        <v>160</v>
      </c>
      <c r="F747" s="92" t="s">
        <v>1072</v>
      </c>
      <c r="G747" s="90" t="str">
        <f>LEFT([1]modificado!$O$2, FIND(" ", [1]modificado!$O$2 &amp; " ") - 1)</f>
        <v>3M</v>
      </c>
      <c r="H747" s="47" t="str">
        <f>RIGHT([1]!Tabla2[[#This Row],[Marca y Modelo]], LEN([1]!Tabla2[[#This Row],[Marca y Modelo]]) - FIND(" ", [1]!Tabla2[[#This Row],[Marca y Modelo]]))</f>
        <v>1231016</v>
      </c>
      <c r="I747" s="76"/>
      <c r="J747" s="76"/>
      <c r="K747" s="92" t="s">
        <v>4204</v>
      </c>
      <c r="L747" s="92" t="s">
        <v>3358</v>
      </c>
      <c r="M747" s="92" t="s">
        <v>1404</v>
      </c>
      <c r="N747" s="92" t="s">
        <v>2160</v>
      </c>
      <c r="O747" s="77"/>
      <c r="P747" s="92" t="s">
        <v>2534</v>
      </c>
      <c r="Q747" s="32"/>
      <c r="R747" s="48" t="s">
        <v>216</v>
      </c>
      <c r="S747" s="32"/>
    </row>
    <row r="748" spans="2:19" x14ac:dyDescent="0.3">
      <c r="B748" t="s">
        <v>4348</v>
      </c>
      <c r="C748" s="11" t="s">
        <v>173</v>
      </c>
      <c r="D748">
        <v>1</v>
      </c>
      <c r="E748" t="s">
        <v>160</v>
      </c>
      <c r="F748" s="91" t="s">
        <v>1072</v>
      </c>
      <c r="G748" s="90" t="str">
        <f>LEFT([1]modificado!$O$2, FIND(" ", [1]modificado!$O$2 &amp; " ") - 1)</f>
        <v>3M</v>
      </c>
      <c r="H748" s="47" t="str">
        <f>RIGHT([1]!Tabla2[[#This Row],[Marca y Modelo]], LEN([1]!Tabla2[[#This Row],[Marca y Modelo]]) - FIND(" ", [1]!Tabla2[[#This Row],[Marca y Modelo]]))</f>
        <v>1231016</v>
      </c>
      <c r="I748" s="76"/>
      <c r="J748" s="76"/>
      <c r="K748" s="91" t="s">
        <v>4204</v>
      </c>
      <c r="L748" s="91" t="s">
        <v>3359</v>
      </c>
      <c r="M748" s="91" t="s">
        <v>1404</v>
      </c>
      <c r="N748" s="91" t="s">
        <v>2161</v>
      </c>
      <c r="O748" s="77"/>
      <c r="P748" s="91" t="s">
        <v>2534</v>
      </c>
      <c r="Q748" s="32"/>
      <c r="R748" s="48" t="s">
        <v>216</v>
      </c>
      <c r="S748" s="32"/>
    </row>
    <row r="749" spans="2:19" x14ac:dyDescent="0.3">
      <c r="B749" t="s">
        <v>4348</v>
      </c>
      <c r="C749" s="11" t="s">
        <v>173</v>
      </c>
      <c r="D749">
        <v>1</v>
      </c>
      <c r="E749" t="s">
        <v>160</v>
      </c>
      <c r="F749" s="92" t="s">
        <v>1072</v>
      </c>
      <c r="G749" s="90" t="str">
        <f>LEFT([1]modificado!$O$2, FIND(" ", [1]modificado!$O$2 &amp; " ") - 1)</f>
        <v>3M</v>
      </c>
      <c r="H749" s="47" t="str">
        <f>RIGHT([1]!Tabla2[[#This Row],[Marca y Modelo]], LEN([1]!Tabla2[[#This Row],[Marca y Modelo]]) - FIND(" ", [1]!Tabla2[[#This Row],[Marca y Modelo]]))</f>
        <v>1231016</v>
      </c>
      <c r="I749" s="76"/>
      <c r="J749" s="76"/>
      <c r="K749" s="92" t="s">
        <v>4204</v>
      </c>
      <c r="L749" s="92" t="s">
        <v>3360</v>
      </c>
      <c r="M749" s="92" t="s">
        <v>1404</v>
      </c>
      <c r="N749" s="92" t="s">
        <v>2162</v>
      </c>
      <c r="O749" s="77"/>
      <c r="P749" s="92" t="s">
        <v>2534</v>
      </c>
      <c r="Q749" s="32"/>
      <c r="R749" s="48" t="s">
        <v>216</v>
      </c>
      <c r="S749" s="32"/>
    </row>
    <row r="750" spans="2:19" x14ac:dyDescent="0.3">
      <c r="B750" t="s">
        <v>4348</v>
      </c>
      <c r="C750" s="11" t="s">
        <v>173</v>
      </c>
      <c r="D750">
        <v>1</v>
      </c>
      <c r="E750" t="s">
        <v>160</v>
      </c>
      <c r="F750" s="91" t="s">
        <v>1072</v>
      </c>
      <c r="G750" s="90" t="str">
        <f>LEFT([1]modificado!$O$2, FIND(" ", [1]modificado!$O$2 &amp; " ") - 1)</f>
        <v>3M</v>
      </c>
      <c r="H750" s="47" t="str">
        <f>RIGHT([1]!Tabla2[[#This Row],[Marca y Modelo]], LEN([1]!Tabla2[[#This Row],[Marca y Modelo]]) - FIND(" ", [1]!Tabla2[[#This Row],[Marca y Modelo]]))</f>
        <v>1231016</v>
      </c>
      <c r="I750" s="76"/>
      <c r="J750" s="76"/>
      <c r="K750" s="91" t="s">
        <v>4204</v>
      </c>
      <c r="L750" s="91" t="s">
        <v>3361</v>
      </c>
      <c r="M750" s="91" t="s">
        <v>1404</v>
      </c>
      <c r="N750" s="91" t="s">
        <v>2163</v>
      </c>
      <c r="O750" s="77"/>
      <c r="P750" s="91" t="s">
        <v>2534</v>
      </c>
      <c r="Q750" s="32"/>
      <c r="R750" s="48" t="s">
        <v>216</v>
      </c>
      <c r="S750" s="32"/>
    </row>
    <row r="751" spans="2:19" x14ac:dyDescent="0.3">
      <c r="B751" t="s">
        <v>4348</v>
      </c>
      <c r="C751" s="11" t="s">
        <v>173</v>
      </c>
      <c r="D751">
        <v>1</v>
      </c>
      <c r="E751" t="s">
        <v>160</v>
      </c>
      <c r="F751" s="92" t="s">
        <v>1072</v>
      </c>
      <c r="G751" s="90" t="str">
        <f>LEFT([1]modificado!$O$2, FIND(" ", [1]modificado!$O$2 &amp; " ") - 1)</f>
        <v>3M</v>
      </c>
      <c r="H751" s="47" t="str">
        <f>RIGHT([1]!Tabla2[[#This Row],[Marca y Modelo]], LEN([1]!Tabla2[[#This Row],[Marca y Modelo]]) - FIND(" ", [1]!Tabla2[[#This Row],[Marca y Modelo]]))</f>
        <v>1231016</v>
      </c>
      <c r="I751" s="76"/>
      <c r="J751" s="76"/>
      <c r="K751" s="92" t="s">
        <v>4204</v>
      </c>
      <c r="L751" s="92" t="s">
        <v>3362</v>
      </c>
      <c r="M751" s="92" t="s">
        <v>1404</v>
      </c>
      <c r="N751" s="92" t="s">
        <v>2164</v>
      </c>
      <c r="O751" s="77"/>
      <c r="P751" s="92" t="s">
        <v>2534</v>
      </c>
      <c r="Q751" s="32"/>
      <c r="R751" s="48" t="s">
        <v>216</v>
      </c>
      <c r="S751" s="32"/>
    </row>
    <row r="752" spans="2:19" x14ac:dyDescent="0.3">
      <c r="B752" t="s">
        <v>4348</v>
      </c>
      <c r="C752" s="11" t="s">
        <v>173</v>
      </c>
      <c r="D752">
        <v>1</v>
      </c>
      <c r="E752" t="s">
        <v>160</v>
      </c>
      <c r="F752" s="91" t="s">
        <v>1072</v>
      </c>
      <c r="G752" s="90" t="str">
        <f>LEFT([1]modificado!$O$2, FIND(" ", [1]modificado!$O$2 &amp; " ") - 1)</f>
        <v>3M</v>
      </c>
      <c r="H752" s="47" t="str">
        <f>RIGHT([1]!Tabla2[[#This Row],[Marca y Modelo]], LEN([1]!Tabla2[[#This Row],[Marca y Modelo]]) - FIND(" ", [1]!Tabla2[[#This Row],[Marca y Modelo]]))</f>
        <v>1231016</v>
      </c>
      <c r="I752" s="76"/>
      <c r="J752" s="76"/>
      <c r="K752" s="91" t="s">
        <v>4204</v>
      </c>
      <c r="L752" s="91" t="s">
        <v>3363</v>
      </c>
      <c r="M752" s="91" t="s">
        <v>1404</v>
      </c>
      <c r="N752" s="91" t="s">
        <v>2165</v>
      </c>
      <c r="O752" s="77"/>
      <c r="P752" s="91" t="s">
        <v>2534</v>
      </c>
      <c r="Q752" s="32"/>
      <c r="R752" s="48" t="s">
        <v>216</v>
      </c>
      <c r="S752" s="32"/>
    </row>
    <row r="753" spans="2:19" x14ac:dyDescent="0.3">
      <c r="B753" t="str">
        <f>LEFT(Tabla3890134177220392[[#This Row],[Descripción del equipo]], FIND(" ", Tabla3890134177220392[[#This Row],[Descripción del equipo]] &amp; " ") - 1)</f>
        <v>Autoretractil</v>
      </c>
      <c r="C753" s="11" t="s">
        <v>173</v>
      </c>
      <c r="D753">
        <v>1</v>
      </c>
      <c r="E753" t="s">
        <v>160</v>
      </c>
      <c r="F753" s="92" t="s">
        <v>1058</v>
      </c>
      <c r="G753" s="90" t="str">
        <f>LEFT([1]modificado!$O$2, FIND(" ", [1]modificado!$O$2 &amp; " ") - 1)</f>
        <v>3M</v>
      </c>
      <c r="H753" s="47" t="str">
        <f>RIGHT([1]!Tabla2[[#This Row],[Marca y Modelo]], LEN([1]!Tabla2[[#This Row],[Marca y Modelo]]) - FIND(" ", [1]!Tabla2[[#This Row],[Marca y Modelo]]))</f>
        <v>3100512</v>
      </c>
      <c r="I753" s="76"/>
      <c r="J753" s="76"/>
      <c r="K753" s="92" t="s">
        <v>4205</v>
      </c>
      <c r="L753" s="92" t="s">
        <v>3364</v>
      </c>
      <c r="M753" s="92" t="s">
        <v>1404</v>
      </c>
      <c r="N753" s="92" t="s">
        <v>2166</v>
      </c>
      <c r="O753" s="77"/>
      <c r="P753" s="92" t="s">
        <v>2534</v>
      </c>
      <c r="Q753" s="32"/>
      <c r="R753" s="48" t="s">
        <v>216</v>
      </c>
      <c r="S753" s="32"/>
    </row>
    <row r="754" spans="2:19" x14ac:dyDescent="0.3">
      <c r="B754" t="s">
        <v>4349</v>
      </c>
      <c r="C754" s="11" t="s">
        <v>173</v>
      </c>
      <c r="D754">
        <v>1</v>
      </c>
      <c r="E754" t="s">
        <v>160</v>
      </c>
      <c r="F754" s="91" t="s">
        <v>1059</v>
      </c>
      <c r="G754" s="90" t="str">
        <f>LEFT([1]modificado!$O$2, FIND(" ", [1]modificado!$O$2 &amp; " ") - 1)</f>
        <v>3M</v>
      </c>
      <c r="H754" s="47" t="str">
        <f>RIGHT([1]!Tabla2[[#This Row],[Marca y Modelo]], LEN([1]!Tabla2[[#This Row],[Marca y Modelo]]) - FIND(" ", [1]!Tabla2[[#This Row],[Marca y Modelo]]))</f>
        <v>911</v>
      </c>
      <c r="I754" s="76"/>
      <c r="J754" s="76"/>
      <c r="K754" s="91" t="s">
        <v>4206</v>
      </c>
      <c r="L754" s="91" t="s">
        <v>3365</v>
      </c>
      <c r="M754" s="91" t="s">
        <v>1404</v>
      </c>
      <c r="N754" s="91" t="s">
        <v>2167</v>
      </c>
      <c r="O754" s="77"/>
      <c r="P754" s="91" t="s">
        <v>2534</v>
      </c>
      <c r="Q754" s="32"/>
      <c r="R754" s="48" t="s">
        <v>216</v>
      </c>
      <c r="S754" s="32"/>
    </row>
    <row r="755" spans="2:19" x14ac:dyDescent="0.3">
      <c r="B755" t="s">
        <v>4349</v>
      </c>
      <c r="C755" s="11" t="s">
        <v>173</v>
      </c>
      <c r="D755">
        <v>1</v>
      </c>
      <c r="E755" t="s">
        <v>160</v>
      </c>
      <c r="F755" s="92" t="s">
        <v>1059</v>
      </c>
      <c r="G755" s="90" t="str">
        <f>LEFT([1]modificado!$O$2, FIND(" ", [1]modificado!$O$2 &amp; " ") - 1)</f>
        <v>3M</v>
      </c>
      <c r="H755" s="47" t="str">
        <f>RIGHT([1]!Tabla2[[#This Row],[Marca y Modelo]], LEN([1]!Tabla2[[#This Row],[Marca y Modelo]]) - FIND(" ", [1]!Tabla2[[#This Row],[Marca y Modelo]]))</f>
        <v>911</v>
      </c>
      <c r="I755" s="76"/>
      <c r="J755" s="76"/>
      <c r="K755" s="92" t="s">
        <v>4206</v>
      </c>
      <c r="L755" s="92" t="s">
        <v>3366</v>
      </c>
      <c r="M755" s="92" t="s">
        <v>1404</v>
      </c>
      <c r="N755" s="92" t="s">
        <v>2168</v>
      </c>
      <c r="O755" s="77"/>
      <c r="P755" s="92" t="s">
        <v>2534</v>
      </c>
      <c r="Q755" s="32"/>
      <c r="R755" s="48" t="s">
        <v>216</v>
      </c>
      <c r="S755" s="32"/>
    </row>
    <row r="756" spans="2:19" x14ac:dyDescent="0.3">
      <c r="B756" t="s">
        <v>4349</v>
      </c>
      <c r="C756" s="11" t="s">
        <v>173</v>
      </c>
      <c r="D756">
        <v>1</v>
      </c>
      <c r="E756" t="s">
        <v>160</v>
      </c>
      <c r="F756" s="91" t="s">
        <v>1059</v>
      </c>
      <c r="G756" s="90" t="str">
        <f>LEFT([1]modificado!$O$2, FIND(" ", [1]modificado!$O$2 &amp; " ") - 1)</f>
        <v>3M</v>
      </c>
      <c r="H756" s="47" t="str">
        <f>RIGHT([1]!Tabla2[[#This Row],[Marca y Modelo]], LEN([1]!Tabla2[[#This Row],[Marca y Modelo]]) - FIND(" ", [1]!Tabla2[[#This Row],[Marca y Modelo]]))</f>
        <v>4550-U</v>
      </c>
      <c r="I756" s="76"/>
      <c r="J756" s="76"/>
      <c r="K756" s="91" t="s">
        <v>4206</v>
      </c>
      <c r="L756" s="91" t="s">
        <v>3367</v>
      </c>
      <c r="M756" s="91" t="s">
        <v>1404</v>
      </c>
      <c r="N756" s="91" t="s">
        <v>2169</v>
      </c>
      <c r="O756" s="77"/>
      <c r="P756" s="91" t="s">
        <v>2534</v>
      </c>
      <c r="Q756" s="32"/>
      <c r="R756" s="48" t="s">
        <v>216</v>
      </c>
      <c r="S756" s="32"/>
    </row>
    <row r="757" spans="2:19" x14ac:dyDescent="0.3">
      <c r="B757" t="str">
        <f>LEFT(Tabla3890134177220392[[#This Row],[Descripción del equipo]], FIND(" ", Tabla3890134177220392[[#This Row],[Descripción del equipo]] &amp; " ") - 1)</f>
        <v>Arnes</v>
      </c>
      <c r="C757" s="11" t="s">
        <v>173</v>
      </c>
      <c r="D757">
        <v>1</v>
      </c>
      <c r="E757" t="s">
        <v>160</v>
      </c>
      <c r="F757" s="92" t="s">
        <v>1056</v>
      </c>
      <c r="G757" s="90" t="str">
        <f>LEFT([1]modificado!$O$2, FIND(" ", [1]modificado!$O$2 &amp; " ") - 1)</f>
        <v>3M</v>
      </c>
      <c r="H757" s="47" t="str">
        <f>RIGHT([1]!Tabla2[[#This Row],[Marca y Modelo]], LEN([1]!Tabla2[[#This Row],[Marca y Modelo]]) - FIND(" ", [1]!Tabla2[[#This Row],[Marca y Modelo]]))</f>
        <v>Musitani Space</v>
      </c>
      <c r="I757" s="76"/>
      <c r="J757" s="76"/>
      <c r="K757" s="92" t="s">
        <v>4207</v>
      </c>
      <c r="L757" s="92" t="s">
        <v>3368</v>
      </c>
      <c r="M757" s="92" t="s">
        <v>1406</v>
      </c>
      <c r="N757" s="92" t="s">
        <v>2170</v>
      </c>
      <c r="O757" s="77"/>
      <c r="P757" s="92" t="s">
        <v>2534</v>
      </c>
      <c r="Q757" s="32"/>
      <c r="R757" s="48" t="s">
        <v>216</v>
      </c>
      <c r="S757" s="32"/>
    </row>
    <row r="758" spans="2:19" x14ac:dyDescent="0.3">
      <c r="B758" t="str">
        <f>LEFT(Tabla3890134177220392[[#This Row],[Descripción del equipo]], FIND(" ", Tabla3890134177220392[[#This Row],[Descripción del equipo]] &amp; " ") - 1)</f>
        <v>Arnes</v>
      </c>
      <c r="C758" s="11" t="s">
        <v>173</v>
      </c>
      <c r="D758">
        <v>1</v>
      </c>
      <c r="E758" t="s">
        <v>160</v>
      </c>
      <c r="F758" s="91" t="s">
        <v>1056</v>
      </c>
      <c r="G758" s="90" t="str">
        <f>LEFT([1]modificado!$O$2, FIND(" ", [1]modificado!$O$2 &amp; " ") - 1)</f>
        <v>3M</v>
      </c>
      <c r="H758" s="47" t="str">
        <f>RIGHT([1]!Tabla2[[#This Row],[Marca y Modelo]], LEN([1]!Tabla2[[#This Row],[Marca y Modelo]]) - FIND(" ", [1]!Tabla2[[#This Row],[Marca y Modelo]]))</f>
        <v>1191205</v>
      </c>
      <c r="I758" s="76"/>
      <c r="J758" s="76"/>
      <c r="K758" s="91" t="s">
        <v>4207</v>
      </c>
      <c r="L758" s="91" t="s">
        <v>3369</v>
      </c>
      <c r="M758" s="91" t="s">
        <v>1404</v>
      </c>
      <c r="N758" s="91" t="s">
        <v>2171</v>
      </c>
      <c r="O758" s="77"/>
      <c r="P758" s="91" t="s">
        <v>2534</v>
      </c>
      <c r="Q758" s="32"/>
      <c r="R758" s="48" t="s">
        <v>216</v>
      </c>
      <c r="S758" s="32"/>
    </row>
    <row r="759" spans="2:19" x14ac:dyDescent="0.3">
      <c r="B759" t="str">
        <f>LEFT(Tabla3890134177220392[[#This Row],[Descripción del equipo]], FIND(" ", Tabla3890134177220392[[#This Row],[Descripción del equipo]] &amp; " ") - 1)</f>
        <v>Arnes</v>
      </c>
      <c r="C759" s="11" t="s">
        <v>173</v>
      </c>
      <c r="D759">
        <v>1</v>
      </c>
      <c r="E759" t="s">
        <v>160</v>
      </c>
      <c r="F759" s="92" t="s">
        <v>1056</v>
      </c>
      <c r="G759" s="90" t="str">
        <f>LEFT([1]modificado!$O$2, FIND(" ", [1]modificado!$O$2 &amp; " ") - 1)</f>
        <v>3M</v>
      </c>
      <c r="H759" s="47" t="str">
        <f>RIGHT([1]!Tabla2[[#This Row],[Marca y Modelo]], LEN([1]!Tabla2[[#This Row],[Marca y Modelo]]) - FIND(" ", [1]!Tabla2[[#This Row],[Marca y Modelo]]))</f>
        <v>Musitani Space</v>
      </c>
      <c r="I759" s="76"/>
      <c r="J759" s="76"/>
      <c r="K759" s="92" t="s">
        <v>4207</v>
      </c>
      <c r="L759" s="92" t="s">
        <v>3370</v>
      </c>
      <c r="M759" s="92" t="s">
        <v>1406</v>
      </c>
      <c r="N759" s="92" t="s">
        <v>2172</v>
      </c>
      <c r="O759" s="77"/>
      <c r="P759" s="92" t="s">
        <v>2534</v>
      </c>
      <c r="Q759" s="32"/>
      <c r="R759" s="48" t="s">
        <v>216</v>
      </c>
      <c r="S759" s="32"/>
    </row>
    <row r="760" spans="2:19" x14ac:dyDescent="0.3">
      <c r="B760" t="str">
        <f>LEFT(Tabla3890134177220392[[#This Row],[Descripción del equipo]], FIND(" ", Tabla3890134177220392[[#This Row],[Descripción del equipo]] &amp; " ") - 1)</f>
        <v>Autoretractil</v>
      </c>
      <c r="C760" s="11" t="s">
        <v>173</v>
      </c>
      <c r="D760">
        <v>1</v>
      </c>
      <c r="E760" t="s">
        <v>160</v>
      </c>
      <c r="F760" s="91" t="s">
        <v>1058</v>
      </c>
      <c r="G760" s="90" t="str">
        <f>LEFT([1]modificado!$O$2, FIND(" ", [1]modificado!$O$2 &amp; " ") - 1)</f>
        <v>3M</v>
      </c>
      <c r="H760" s="47" t="str">
        <f>RIGHT([1]!Tabla2[[#This Row],[Marca y Modelo]], LEN([1]!Tabla2[[#This Row],[Marca y Modelo]]) - FIND(" ", [1]!Tabla2[[#This Row],[Marca y Modelo]]))</f>
        <v>Nano Lok</v>
      </c>
      <c r="I760" s="76"/>
      <c r="J760" s="76"/>
      <c r="K760" s="91" t="s">
        <v>4205</v>
      </c>
      <c r="L760" s="91" t="s">
        <v>3371</v>
      </c>
      <c r="M760" s="91" t="s">
        <v>1404</v>
      </c>
      <c r="N760" s="91" t="s">
        <v>2173</v>
      </c>
      <c r="O760" s="77"/>
      <c r="P760" s="91" t="s">
        <v>2534</v>
      </c>
      <c r="Q760" s="32"/>
      <c r="R760" s="48" t="s">
        <v>216</v>
      </c>
      <c r="S760" s="32"/>
    </row>
    <row r="761" spans="2:19" x14ac:dyDescent="0.3">
      <c r="B761" t="str">
        <f>LEFT(Tabla3890134177220392[[#This Row],[Descripción del equipo]], FIND(" ", Tabla3890134177220392[[#This Row],[Descripción del equipo]] &amp; " ") - 1)</f>
        <v>Arnes</v>
      </c>
      <c r="C761" s="11" t="s">
        <v>173</v>
      </c>
      <c r="D761">
        <v>1</v>
      </c>
      <c r="E761" t="s">
        <v>160</v>
      </c>
      <c r="F761" s="92" t="s">
        <v>1056</v>
      </c>
      <c r="G761" s="90" t="str">
        <f>LEFT([1]modificado!$O$2, FIND(" ", [1]modificado!$O$2 &amp; " ") - 1)</f>
        <v>3M</v>
      </c>
      <c r="H761" s="47" t="str">
        <f>RIGHT([1]!Tabla2[[#This Row],[Marca y Modelo]], LEN([1]!Tabla2[[#This Row],[Marca y Modelo]]) - FIND(" ", [1]!Tabla2[[#This Row],[Marca y Modelo]]))</f>
        <v>10911F-LOGO</v>
      </c>
      <c r="I761" s="76"/>
      <c r="J761" s="76"/>
      <c r="K761" s="92" t="s">
        <v>4207</v>
      </c>
      <c r="L761" s="92" t="s">
        <v>3372</v>
      </c>
      <c r="M761" s="92" t="s">
        <v>1404</v>
      </c>
      <c r="N761" s="92" t="s">
        <v>2174</v>
      </c>
      <c r="O761" s="77"/>
      <c r="P761" s="92" t="s">
        <v>2534</v>
      </c>
      <c r="Q761" s="32"/>
      <c r="R761" s="48" t="s">
        <v>216</v>
      </c>
      <c r="S761" s="32"/>
    </row>
    <row r="762" spans="2:19" x14ac:dyDescent="0.3">
      <c r="B762" t="str">
        <f>LEFT(Tabla3890134177220392[[#This Row],[Descripción del equipo]], FIND(" ", Tabla3890134177220392[[#This Row],[Descripción del equipo]] &amp; " ") - 1)</f>
        <v>Arnes</v>
      </c>
      <c r="C762" s="11" t="s">
        <v>173</v>
      </c>
      <c r="D762">
        <v>1</v>
      </c>
      <c r="E762" t="s">
        <v>160</v>
      </c>
      <c r="F762" s="91" t="s">
        <v>1056</v>
      </c>
      <c r="G762" s="90" t="str">
        <f>LEFT([1]modificado!$O$2, FIND(" ", [1]modificado!$O$2 &amp; " ") - 1)</f>
        <v>3M</v>
      </c>
      <c r="H762" s="47" t="str">
        <f>RIGHT([1]!Tabla2[[#This Row],[Marca y Modelo]], LEN([1]!Tabla2[[#This Row],[Marca y Modelo]]) - FIND(" ", [1]!Tabla2[[#This Row],[Marca y Modelo]]))</f>
        <v>Musitani Space</v>
      </c>
      <c r="I762" s="76"/>
      <c r="J762" s="76"/>
      <c r="K762" s="91" t="s">
        <v>4207</v>
      </c>
      <c r="L762" s="91" t="s">
        <v>3373</v>
      </c>
      <c r="M762" s="91" t="s">
        <v>1406</v>
      </c>
      <c r="N762" s="91" t="s">
        <v>2175</v>
      </c>
      <c r="O762" s="77"/>
      <c r="P762" s="91" t="s">
        <v>2534</v>
      </c>
      <c r="Q762" s="32"/>
      <c r="R762" s="48" t="s">
        <v>216</v>
      </c>
      <c r="S762" s="32"/>
    </row>
    <row r="763" spans="2:19" x14ac:dyDescent="0.3">
      <c r="B763" t="str">
        <f>LEFT(Tabla3890134177220392[[#This Row],[Descripción del equipo]], FIND(" ", Tabla3890134177220392[[#This Row],[Descripción del equipo]] &amp; " ") - 1)</f>
        <v>Arnes</v>
      </c>
      <c r="C763" s="11" t="s">
        <v>173</v>
      </c>
      <c r="D763">
        <v>1</v>
      </c>
      <c r="E763" t="s">
        <v>160</v>
      </c>
      <c r="F763" s="92" t="s">
        <v>1056</v>
      </c>
      <c r="G763" s="90" t="str">
        <f>LEFT([1]modificado!$O$2, FIND(" ", [1]modificado!$O$2 &amp; " ") - 1)</f>
        <v>3M</v>
      </c>
      <c r="H763" s="47" t="str">
        <f>RIGHT([1]!Tabla2[[#This Row],[Marca y Modelo]], LEN([1]!Tabla2[[#This Row],[Marca y Modelo]]) - FIND(" ", [1]!Tabla2[[#This Row],[Marca y Modelo]]))</f>
        <v>10911F-LOGO</v>
      </c>
      <c r="I763" s="76"/>
      <c r="J763" s="76"/>
      <c r="K763" s="92" t="s">
        <v>4207</v>
      </c>
      <c r="L763" s="92" t="s">
        <v>3374</v>
      </c>
      <c r="M763" s="92" t="s">
        <v>1404</v>
      </c>
      <c r="N763" s="92" t="s">
        <v>2176</v>
      </c>
      <c r="O763" s="77"/>
      <c r="P763" s="92" t="s">
        <v>2534</v>
      </c>
      <c r="Q763" s="32"/>
      <c r="R763" s="48" t="s">
        <v>216</v>
      </c>
      <c r="S763" s="32"/>
    </row>
    <row r="764" spans="2:19" x14ac:dyDescent="0.3">
      <c r="B764" t="s">
        <v>4348</v>
      </c>
      <c r="C764" s="11" t="s">
        <v>173</v>
      </c>
      <c r="D764">
        <v>1</v>
      </c>
      <c r="E764" t="s">
        <v>160</v>
      </c>
      <c r="F764" s="91" t="s">
        <v>1060</v>
      </c>
      <c r="G764" s="90" t="str">
        <f>LEFT([1]modificado!$O$2, FIND(" ", [1]modificado!$O$2 &amp; " ") - 1)</f>
        <v>3M</v>
      </c>
      <c r="H764" s="47" t="str">
        <f>RIGHT([1]!Tabla2[[#This Row],[Marca y Modelo]], LEN([1]!Tabla2[[#This Row],[Marca y Modelo]]) - FIND(" ", [1]!Tabla2[[#This Row],[Marca y Modelo]]))</f>
        <v>209550-4-0241</v>
      </c>
      <c r="I764" s="76"/>
      <c r="J764" s="76"/>
      <c r="K764" s="91" t="s">
        <v>4208</v>
      </c>
      <c r="L764" s="91" t="s">
        <v>3375</v>
      </c>
      <c r="M764" s="91" t="s">
        <v>1404</v>
      </c>
      <c r="N764" s="91" t="s">
        <v>2177</v>
      </c>
      <c r="O764" s="77"/>
      <c r="P764" s="91" t="s">
        <v>2534</v>
      </c>
      <c r="Q764" s="32"/>
      <c r="R764" s="48" t="s">
        <v>216</v>
      </c>
      <c r="S764" s="32"/>
    </row>
    <row r="765" spans="2:19" x14ac:dyDescent="0.3">
      <c r="B765" t="s">
        <v>4348</v>
      </c>
      <c r="C765" s="11" t="s">
        <v>173</v>
      </c>
      <c r="D765">
        <v>1</v>
      </c>
      <c r="E765" t="s">
        <v>160</v>
      </c>
      <c r="F765" s="92" t="s">
        <v>1072</v>
      </c>
      <c r="G765" s="90" t="str">
        <f>LEFT([1]modificado!$O$2, FIND(" ", [1]modificado!$O$2 &amp; " ") - 1)</f>
        <v>3M</v>
      </c>
      <c r="H765" s="47" t="str">
        <f>RIGHT([1]!Tabla2[[#This Row],[Marca y Modelo]], LEN([1]!Tabla2[[#This Row],[Marca y Modelo]]) - FIND(" ", [1]!Tabla2[[#This Row],[Marca y Modelo]]))</f>
        <v>3250</v>
      </c>
      <c r="I765" s="76"/>
      <c r="J765" s="76"/>
      <c r="K765" s="92" t="s">
        <v>4209</v>
      </c>
      <c r="L765" s="92" t="s">
        <v>3376</v>
      </c>
      <c r="M765" s="92" t="s">
        <v>1404</v>
      </c>
      <c r="N765" s="92" t="s">
        <v>2178</v>
      </c>
      <c r="O765" s="77"/>
      <c r="P765" s="92" t="s">
        <v>2534</v>
      </c>
      <c r="Q765" s="32"/>
      <c r="R765" s="48" t="s">
        <v>216</v>
      </c>
      <c r="S765" s="32"/>
    </row>
    <row r="766" spans="2:19" x14ac:dyDescent="0.3">
      <c r="B766" t="str">
        <f>LEFT(Tabla3890134177220392[[#This Row],[Descripción del equipo]], FIND(" ", Tabla3890134177220392[[#This Row],[Descripción del equipo]] &amp; " ") - 1)</f>
        <v>Arnes</v>
      </c>
      <c r="C766" s="11" t="s">
        <v>173</v>
      </c>
      <c r="D766">
        <v>1</v>
      </c>
      <c r="E766" t="s">
        <v>160</v>
      </c>
      <c r="F766" s="91" t="s">
        <v>1056</v>
      </c>
      <c r="G766" s="90" t="str">
        <f>LEFT([1]modificado!$O$2, FIND(" ", [1]modificado!$O$2 &amp; " ") - 1)</f>
        <v>3M</v>
      </c>
      <c r="H766" s="47"/>
      <c r="I766" s="76"/>
      <c r="J766" s="76"/>
      <c r="K766" s="91" t="s">
        <v>4210</v>
      </c>
      <c r="L766" s="91" t="s">
        <v>3377</v>
      </c>
      <c r="M766" s="91" t="s">
        <v>1404</v>
      </c>
      <c r="N766" s="91" t="s">
        <v>2179</v>
      </c>
      <c r="O766" s="77"/>
      <c r="P766" s="91" t="s">
        <v>2534</v>
      </c>
      <c r="Q766" s="32"/>
      <c r="R766" s="48" t="s">
        <v>216</v>
      </c>
      <c r="S766" s="32"/>
    </row>
    <row r="767" spans="2:19" x14ac:dyDescent="0.3">
      <c r="B767" t="str">
        <f>LEFT(Tabla3890134177220392[[#This Row],[Descripción del equipo]], FIND(" ", Tabla3890134177220392[[#This Row],[Descripción del equipo]] &amp; " ") - 1)</f>
        <v>Arnes</v>
      </c>
      <c r="C767" s="11" t="s">
        <v>173</v>
      </c>
      <c r="D767">
        <v>1</v>
      </c>
      <c r="E767" t="s">
        <v>160</v>
      </c>
      <c r="F767" s="92" t="s">
        <v>1056</v>
      </c>
      <c r="G767" s="90" t="str">
        <f>LEFT([1]modificado!$O$2, FIND(" ", [1]modificado!$O$2 &amp; " ") - 1)</f>
        <v>3M</v>
      </c>
      <c r="H767" s="47" t="str">
        <f>RIGHT([1]!Tabla2[[#This Row],[Marca y Modelo]], LEN([1]!Tabla2[[#This Row],[Marca y Modelo]]) - FIND(" ", [1]!Tabla2[[#This Row],[Marca y Modelo]]))</f>
        <v>Basic Lion</v>
      </c>
      <c r="I767" s="76"/>
      <c r="J767" s="76"/>
      <c r="K767" s="92" t="s">
        <v>4210</v>
      </c>
      <c r="L767" s="92" t="s">
        <v>3378</v>
      </c>
      <c r="M767" s="92" t="s">
        <v>1404</v>
      </c>
      <c r="N767" s="92" t="s">
        <v>2180</v>
      </c>
      <c r="O767" s="77"/>
      <c r="P767" s="92" t="s">
        <v>2534</v>
      </c>
      <c r="Q767" s="32"/>
      <c r="R767" s="48" t="s">
        <v>216</v>
      </c>
      <c r="S767" s="32"/>
    </row>
    <row r="768" spans="2:19" x14ac:dyDescent="0.3">
      <c r="B768" t="s">
        <v>4348</v>
      </c>
      <c r="C768" s="11" t="s">
        <v>173</v>
      </c>
      <c r="D768">
        <v>1</v>
      </c>
      <c r="E768" t="s">
        <v>160</v>
      </c>
      <c r="F768" s="91" t="s">
        <v>1060</v>
      </c>
      <c r="G768" s="90" t="str">
        <f>LEFT([1]modificado!$O$2, FIND(" ", [1]modificado!$O$2 &amp; " ") - 1)</f>
        <v>3M</v>
      </c>
      <c r="H768" s="47" t="str">
        <f>RIGHT([1]!Tabla2[[#This Row],[Marca y Modelo]], LEN([1]!Tabla2[[#This Row],[Marca y Modelo]]) - FIND(" ", [1]!Tabla2[[#This Row],[Marca y Modelo]]))</f>
        <v>209550-4-0241</v>
      </c>
      <c r="I768" s="76"/>
      <c r="J768" s="76"/>
      <c r="K768" s="91" t="s">
        <v>4211</v>
      </c>
      <c r="L768" s="91" t="s">
        <v>3379</v>
      </c>
      <c r="M768" s="91" t="s">
        <v>1404</v>
      </c>
      <c r="N768" s="91" t="s">
        <v>2181</v>
      </c>
      <c r="O768" s="77"/>
      <c r="P768" s="91" t="s">
        <v>2534</v>
      </c>
      <c r="Q768" s="32"/>
      <c r="R768" s="48" t="s">
        <v>216</v>
      </c>
      <c r="S768" s="32"/>
    </row>
    <row r="769" spans="2:19" x14ac:dyDescent="0.3">
      <c r="B769" t="str">
        <f>LEFT(Tabla3890134177220392[[#This Row],[Descripción del equipo]], FIND(" ", Tabla3890134177220392[[#This Row],[Descripción del equipo]] &amp; " ") - 1)</f>
        <v>Arnes</v>
      </c>
      <c r="C769" s="11" t="s">
        <v>173</v>
      </c>
      <c r="D769">
        <v>1</v>
      </c>
      <c r="E769" t="s">
        <v>160</v>
      </c>
      <c r="F769" s="92" t="s">
        <v>1056</v>
      </c>
      <c r="G769" s="90" t="str">
        <f>LEFT([1]modificado!$O$2, FIND(" ", [1]modificado!$O$2 &amp; " ") - 1)</f>
        <v>3M</v>
      </c>
      <c r="H769" s="47" t="str">
        <f>RIGHT([1]!Tabla2[[#This Row],[Marca y Modelo]], LEN([1]!Tabla2[[#This Row],[Marca y Modelo]]) - FIND(" ", [1]!Tabla2[[#This Row],[Marca y Modelo]]))</f>
        <v>Space</v>
      </c>
      <c r="I769" s="76"/>
      <c r="J769" s="76"/>
      <c r="K769" s="92" t="s">
        <v>4210</v>
      </c>
      <c r="L769" s="92" t="s">
        <v>3380</v>
      </c>
      <c r="M769" s="92" t="s">
        <v>1406</v>
      </c>
      <c r="N769" s="92" t="s">
        <v>2182</v>
      </c>
      <c r="O769" s="77"/>
      <c r="P769" s="92" t="s">
        <v>2534</v>
      </c>
      <c r="Q769" s="32"/>
      <c r="R769" s="48" t="s">
        <v>216</v>
      </c>
      <c r="S769" s="32"/>
    </row>
    <row r="770" spans="2:19" x14ac:dyDescent="0.3">
      <c r="B770" t="str">
        <f>LEFT(Tabla3890134177220392[[#This Row],[Descripción del equipo]], FIND(" ", Tabla3890134177220392[[#This Row],[Descripción del equipo]] &amp; " ") - 1)</f>
        <v>Arnes</v>
      </c>
      <c r="C770" s="11" t="s">
        <v>173</v>
      </c>
      <c r="D770">
        <v>1</v>
      </c>
      <c r="E770" t="s">
        <v>160</v>
      </c>
      <c r="F770" s="91" t="s">
        <v>1056</v>
      </c>
      <c r="G770" s="90" t="str">
        <f>LEFT([1]modificado!$O$2, FIND(" ", [1]modificado!$O$2 &amp; " ") - 1)</f>
        <v>3M</v>
      </c>
      <c r="H770" s="47" t="str">
        <f>RIGHT([1]!Tabla2[[#This Row],[Marca y Modelo]], LEN([1]!Tabla2[[#This Row],[Marca y Modelo]]) - FIND(" ", [1]!Tabla2[[#This Row],[Marca y Modelo]]))</f>
        <v>Space</v>
      </c>
      <c r="I770" s="76"/>
      <c r="J770" s="76"/>
      <c r="K770" s="91" t="s">
        <v>4210</v>
      </c>
      <c r="L770" s="91" t="s">
        <v>3381</v>
      </c>
      <c r="M770" s="91" t="s">
        <v>1404</v>
      </c>
      <c r="N770" s="91" t="s">
        <v>2183</v>
      </c>
      <c r="O770" s="77"/>
      <c r="P770" s="91" t="s">
        <v>2534</v>
      </c>
      <c r="Q770" s="32"/>
      <c r="R770" s="48" t="s">
        <v>216</v>
      </c>
      <c r="S770" s="32"/>
    </row>
    <row r="771" spans="2:19" x14ac:dyDescent="0.3">
      <c r="B771" t="str">
        <f>LEFT(Tabla3890134177220392[[#This Row],[Descripción del equipo]], FIND(" ", Tabla3890134177220392[[#This Row],[Descripción del equipo]] &amp; " ") - 1)</f>
        <v>Arnes</v>
      </c>
      <c r="C771" s="11" t="s">
        <v>173</v>
      </c>
      <c r="D771">
        <v>1</v>
      </c>
      <c r="E771" t="s">
        <v>160</v>
      </c>
      <c r="F771" s="92" t="s">
        <v>1056</v>
      </c>
      <c r="G771" s="90" t="str">
        <f>LEFT([1]modificado!$O$2, FIND(" ", [1]modificado!$O$2 &amp; " ") - 1)</f>
        <v>3M</v>
      </c>
      <c r="H771" s="47" t="str">
        <f>RIGHT([1]!Tabla2[[#This Row],[Marca y Modelo]], LEN([1]!Tabla2[[#This Row],[Marca y Modelo]]) - FIND(" ", [1]!Tabla2[[#This Row],[Marca y Modelo]]))</f>
        <v>Lion A</v>
      </c>
      <c r="I771" s="76"/>
      <c r="J771" s="76"/>
      <c r="K771" s="92" t="s">
        <v>4210</v>
      </c>
      <c r="L771" s="92" t="s">
        <v>3382</v>
      </c>
      <c r="M771" s="92" t="s">
        <v>1404</v>
      </c>
      <c r="N771" s="92" t="s">
        <v>2184</v>
      </c>
      <c r="O771" s="77"/>
      <c r="P771" s="92" t="s">
        <v>2534</v>
      </c>
      <c r="Q771" s="32"/>
      <c r="R771" s="48" t="s">
        <v>216</v>
      </c>
      <c r="S771" s="32"/>
    </row>
    <row r="772" spans="2:19" x14ac:dyDescent="0.3">
      <c r="B772" t="str">
        <f>LEFT(Tabla3890134177220392[[#This Row],[Descripción del equipo]], FIND(" ", Tabla3890134177220392[[#This Row],[Descripción del equipo]] &amp; " ") - 1)</f>
        <v>Arnes</v>
      </c>
      <c r="C772" s="11" t="s">
        <v>173</v>
      </c>
      <c r="D772">
        <v>1</v>
      </c>
      <c r="E772" t="s">
        <v>160</v>
      </c>
      <c r="F772" s="91" t="s">
        <v>1056</v>
      </c>
      <c r="G772" s="90" t="str">
        <f>LEFT([1]modificado!$O$2, FIND(" ", [1]modificado!$O$2 &amp; " ") - 1)</f>
        <v>3M</v>
      </c>
      <c r="H772" s="47" t="str">
        <f>RIGHT([1]!Tabla2[[#This Row],[Marca y Modelo]], LEN([1]!Tabla2[[#This Row],[Marca y Modelo]]) - FIND(" ", [1]!Tabla2[[#This Row],[Marca y Modelo]]))</f>
        <v>1191205</v>
      </c>
      <c r="I772" s="76"/>
      <c r="J772" s="76"/>
      <c r="K772" s="91" t="s">
        <v>4212</v>
      </c>
      <c r="L772" s="91" t="s">
        <v>3383</v>
      </c>
      <c r="M772" s="91" t="s">
        <v>1404</v>
      </c>
      <c r="N772" s="91" t="s">
        <v>2185</v>
      </c>
      <c r="O772" s="77"/>
      <c r="P772" s="91" t="s">
        <v>2534</v>
      </c>
      <c r="Q772" s="32"/>
      <c r="R772" s="48" t="s">
        <v>216</v>
      </c>
      <c r="S772" s="32"/>
    </row>
    <row r="773" spans="2:19" x14ac:dyDescent="0.3">
      <c r="B773" t="str">
        <f>LEFT(Tabla3890134177220392[[#This Row],[Descripción del equipo]], FIND(" ", Tabla3890134177220392[[#This Row],[Descripción del equipo]] &amp; " ") - 1)</f>
        <v>Arnes</v>
      </c>
      <c r="C773" s="11" t="s">
        <v>173</v>
      </c>
      <c r="D773">
        <v>1</v>
      </c>
      <c r="E773" t="s">
        <v>160</v>
      </c>
      <c r="F773" s="92" t="s">
        <v>1056</v>
      </c>
      <c r="G773" s="90" t="str">
        <f>LEFT([1]modificado!$O$2, FIND(" ", [1]modificado!$O$2 &amp; " ") - 1)</f>
        <v>3M</v>
      </c>
      <c r="H773" s="47" t="str">
        <f>RIGHT([1]!Tabla2[[#This Row],[Marca y Modelo]], LEN([1]!Tabla2[[#This Row],[Marca y Modelo]]) - FIND(" ", [1]!Tabla2[[#This Row],[Marca y Modelo]]))</f>
        <v>1191205</v>
      </c>
      <c r="I773" s="76"/>
      <c r="J773" s="76"/>
      <c r="K773" s="92" t="s">
        <v>4212</v>
      </c>
      <c r="L773" s="92" t="s">
        <v>3384</v>
      </c>
      <c r="M773" s="92" t="s">
        <v>1404</v>
      </c>
      <c r="N773" s="92" t="s">
        <v>2186</v>
      </c>
      <c r="O773" s="77"/>
      <c r="P773" s="92" t="s">
        <v>2534</v>
      </c>
      <c r="Q773" s="32"/>
      <c r="R773" s="48" t="s">
        <v>216</v>
      </c>
      <c r="S773" s="32"/>
    </row>
    <row r="774" spans="2:19" x14ac:dyDescent="0.3">
      <c r="B774" t="str">
        <f>LEFT(Tabla3890134177220392[[#This Row],[Descripción del equipo]], FIND(" ", Tabla3890134177220392[[#This Row],[Descripción del equipo]] &amp; " ") - 1)</f>
        <v>Arnes</v>
      </c>
      <c r="C774" s="11" t="s">
        <v>173</v>
      </c>
      <c r="D774">
        <v>1</v>
      </c>
      <c r="E774" t="s">
        <v>160</v>
      </c>
      <c r="F774" s="91" t="s">
        <v>1056</v>
      </c>
      <c r="G774" s="90" t="str">
        <f>LEFT([1]modificado!$O$2, FIND(" ", [1]modificado!$O$2 &amp; " ") - 1)</f>
        <v>3M</v>
      </c>
      <c r="H774" s="47" t="str">
        <f>RIGHT([1]!Tabla2[[#This Row],[Marca y Modelo]], LEN([1]!Tabla2[[#This Row],[Marca y Modelo]]) - FIND(" ", [1]!Tabla2[[#This Row],[Marca y Modelo]]))</f>
        <v>1191205</v>
      </c>
      <c r="I774" s="76"/>
      <c r="J774" s="76"/>
      <c r="K774" s="91" t="s">
        <v>4212</v>
      </c>
      <c r="L774" s="91" t="s">
        <v>3385</v>
      </c>
      <c r="M774" s="91" t="s">
        <v>1404</v>
      </c>
      <c r="N774" s="91" t="s">
        <v>2187</v>
      </c>
      <c r="O774" s="77"/>
      <c r="P774" s="91" t="s">
        <v>2534</v>
      </c>
      <c r="Q774" s="32"/>
      <c r="R774" s="48" t="s">
        <v>216</v>
      </c>
      <c r="S774" s="32"/>
    </row>
    <row r="775" spans="2:19" x14ac:dyDescent="0.3">
      <c r="B775" t="str">
        <f>LEFT(Tabla3890134177220392[[#This Row],[Descripción del equipo]], FIND(" ", Tabla3890134177220392[[#This Row],[Descripción del equipo]] &amp; " ") - 1)</f>
        <v>Arnes</v>
      </c>
      <c r="C775" s="11" t="s">
        <v>173</v>
      </c>
      <c r="D775">
        <v>1</v>
      </c>
      <c r="E775" t="s">
        <v>160</v>
      </c>
      <c r="F775" s="92" t="s">
        <v>1056</v>
      </c>
      <c r="G775" s="90" t="str">
        <f>LEFT([1]modificado!$O$2, FIND(" ", [1]modificado!$O$2 &amp; " ") - 1)</f>
        <v>3M</v>
      </c>
      <c r="H775" s="47" t="str">
        <f>RIGHT([1]!Tabla2[[#This Row],[Marca y Modelo]], LEN([1]!Tabla2[[#This Row],[Marca y Modelo]]) - FIND(" ", [1]!Tabla2[[#This Row],[Marca y Modelo]]))</f>
        <v>1191205</v>
      </c>
      <c r="I775" s="76"/>
      <c r="J775" s="76"/>
      <c r="K775" s="92" t="s">
        <v>4212</v>
      </c>
      <c r="L775" s="92" t="s">
        <v>3386</v>
      </c>
      <c r="M775" s="92" t="s">
        <v>1404</v>
      </c>
      <c r="N775" s="92" t="s">
        <v>2188</v>
      </c>
      <c r="O775" s="77"/>
      <c r="P775" s="92" t="s">
        <v>2534</v>
      </c>
      <c r="Q775" s="32"/>
      <c r="R775" s="48" t="s">
        <v>216</v>
      </c>
      <c r="S775" s="32"/>
    </row>
    <row r="776" spans="2:19" x14ac:dyDescent="0.3">
      <c r="B776" t="str">
        <f>LEFT(Tabla3890134177220392[[#This Row],[Descripción del equipo]], FIND(" ", Tabla3890134177220392[[#This Row],[Descripción del equipo]] &amp; " ") - 1)</f>
        <v>Arnes</v>
      </c>
      <c r="C776" s="11" t="s">
        <v>173</v>
      </c>
      <c r="D776">
        <v>1</v>
      </c>
      <c r="E776" t="s">
        <v>160</v>
      </c>
      <c r="F776" s="91" t="s">
        <v>1056</v>
      </c>
      <c r="G776" s="90" t="str">
        <f>LEFT([1]modificado!$O$2, FIND(" ", [1]modificado!$O$2 &amp; " ") - 1)</f>
        <v>3M</v>
      </c>
      <c r="H776" s="47" t="str">
        <f>RIGHT([1]!Tabla2[[#This Row],[Marca y Modelo]], LEN([1]!Tabla2[[#This Row],[Marca y Modelo]]) - FIND(" ", [1]!Tabla2[[#This Row],[Marca y Modelo]]))</f>
        <v>1191205</v>
      </c>
      <c r="I776" s="76"/>
      <c r="J776" s="76"/>
      <c r="K776" s="91" t="s">
        <v>4212</v>
      </c>
      <c r="L776" s="91" t="s">
        <v>3387</v>
      </c>
      <c r="M776" s="91" t="s">
        <v>1404</v>
      </c>
      <c r="N776" s="91" t="s">
        <v>2189</v>
      </c>
      <c r="O776" s="77"/>
      <c r="P776" s="91" t="s">
        <v>2534</v>
      </c>
      <c r="Q776" s="32"/>
      <c r="R776" s="48" t="s">
        <v>216</v>
      </c>
      <c r="S776" s="32"/>
    </row>
    <row r="777" spans="2:19" x14ac:dyDescent="0.3">
      <c r="B777" t="str">
        <f>LEFT(Tabla3890134177220392[[#This Row],[Descripción del equipo]], FIND(" ", Tabla3890134177220392[[#This Row],[Descripción del equipo]] &amp; " ") - 1)</f>
        <v>Arnes</v>
      </c>
      <c r="C777" s="11" t="s">
        <v>173</v>
      </c>
      <c r="D777">
        <v>1</v>
      </c>
      <c r="E777" t="s">
        <v>160</v>
      </c>
      <c r="F777" s="92" t="s">
        <v>1056</v>
      </c>
      <c r="G777" s="90" t="str">
        <f>LEFT([1]modificado!$O$2, FIND(" ", [1]modificado!$O$2 &amp; " ") - 1)</f>
        <v>3M</v>
      </c>
      <c r="H777" s="47" t="str">
        <f>RIGHT([1]!Tabla2[[#This Row],[Marca y Modelo]], LEN([1]!Tabla2[[#This Row],[Marca y Modelo]]) - FIND(" ", [1]!Tabla2[[#This Row],[Marca y Modelo]]))</f>
        <v>1191205</v>
      </c>
      <c r="I777" s="76"/>
      <c r="J777" s="76"/>
      <c r="K777" s="92" t="s">
        <v>4212</v>
      </c>
      <c r="L777" s="92" t="s">
        <v>3388</v>
      </c>
      <c r="M777" s="92" t="s">
        <v>1404</v>
      </c>
      <c r="N777" s="92" t="s">
        <v>2190</v>
      </c>
      <c r="O777" s="77"/>
      <c r="P777" s="92" t="s">
        <v>2534</v>
      </c>
      <c r="Q777" s="32"/>
      <c r="R777" s="48" t="s">
        <v>216</v>
      </c>
      <c r="S777" s="32"/>
    </row>
    <row r="778" spans="2:19" x14ac:dyDescent="0.3">
      <c r="B778" t="str">
        <f>LEFT(Tabla3890134177220392[[#This Row],[Descripción del equipo]], FIND(" ", Tabla3890134177220392[[#This Row],[Descripción del equipo]] &amp; " ") - 1)</f>
        <v>Arnes</v>
      </c>
      <c r="C778" s="11" t="s">
        <v>173</v>
      </c>
      <c r="D778">
        <v>1</v>
      </c>
      <c r="E778" t="s">
        <v>160</v>
      </c>
      <c r="F778" s="91" t="s">
        <v>1056</v>
      </c>
      <c r="G778" s="90" t="str">
        <f>LEFT([1]modificado!$O$2, FIND(" ", [1]modificado!$O$2 &amp; " ") - 1)</f>
        <v>3M</v>
      </c>
      <c r="H778" s="47" t="str">
        <f>RIGHT([1]!Tabla2[[#This Row],[Marca y Modelo]], LEN([1]!Tabla2[[#This Row],[Marca y Modelo]]) - FIND(" ", [1]!Tabla2[[#This Row],[Marca y Modelo]]))</f>
        <v>1191205</v>
      </c>
      <c r="I778" s="76"/>
      <c r="J778" s="76"/>
      <c r="K778" s="91" t="s">
        <v>4212</v>
      </c>
      <c r="L778" s="91" t="s">
        <v>3389</v>
      </c>
      <c r="M778" s="91" t="s">
        <v>1404</v>
      </c>
      <c r="N778" s="91" t="s">
        <v>2191</v>
      </c>
      <c r="O778" s="77"/>
      <c r="P778" s="91" t="s">
        <v>2534</v>
      </c>
      <c r="Q778" s="32"/>
      <c r="R778" s="48" t="s">
        <v>216</v>
      </c>
      <c r="S778" s="32"/>
    </row>
    <row r="779" spans="2:19" x14ac:dyDescent="0.3">
      <c r="B779" t="str">
        <f>LEFT(Tabla3890134177220392[[#This Row],[Descripción del equipo]], FIND(" ", Tabla3890134177220392[[#This Row],[Descripción del equipo]] &amp; " ") - 1)</f>
        <v>Arnes</v>
      </c>
      <c r="C779" s="11" t="s">
        <v>173</v>
      </c>
      <c r="D779">
        <v>1</v>
      </c>
      <c r="E779" t="s">
        <v>160</v>
      </c>
      <c r="F779" s="92" t="s">
        <v>1056</v>
      </c>
      <c r="G779" s="90" t="str">
        <f>LEFT([1]modificado!$O$2, FIND(" ", [1]modificado!$O$2 &amp; " ") - 1)</f>
        <v>3M</v>
      </c>
      <c r="H779" s="47" t="str">
        <f>RIGHT([1]!Tabla2[[#This Row],[Marca y Modelo]], LEN([1]!Tabla2[[#This Row],[Marca y Modelo]]) - FIND(" ", [1]!Tabla2[[#This Row],[Marca y Modelo]]))</f>
        <v>1191205</v>
      </c>
      <c r="I779" s="76"/>
      <c r="J779" s="76"/>
      <c r="K779" s="92" t="s">
        <v>4212</v>
      </c>
      <c r="L779" s="92" t="s">
        <v>3390</v>
      </c>
      <c r="M779" s="92" t="s">
        <v>1404</v>
      </c>
      <c r="N779" s="92" t="s">
        <v>2192</v>
      </c>
      <c r="O779" s="77"/>
      <c r="P779" s="92" t="s">
        <v>2534</v>
      </c>
      <c r="Q779" s="32"/>
      <c r="R779" s="48" t="s">
        <v>216</v>
      </c>
      <c r="S779" s="32"/>
    </row>
    <row r="780" spans="2:19" x14ac:dyDescent="0.3">
      <c r="B780" t="str">
        <f>LEFT(Tabla3890134177220392[[#This Row],[Descripción del equipo]], FIND(" ", Tabla3890134177220392[[#This Row],[Descripción del equipo]] &amp; " ") - 1)</f>
        <v>Arnes</v>
      </c>
      <c r="C780" s="11" t="s">
        <v>173</v>
      </c>
      <c r="D780">
        <v>1</v>
      </c>
      <c r="E780" t="s">
        <v>160</v>
      </c>
      <c r="F780" s="91" t="s">
        <v>1056</v>
      </c>
      <c r="G780" s="90" t="str">
        <f>LEFT([1]modificado!$O$2, FIND(" ", [1]modificado!$O$2 &amp; " ") - 1)</f>
        <v>3M</v>
      </c>
      <c r="H780" s="47" t="str">
        <f>RIGHT([1]!Tabla2[[#This Row],[Marca y Modelo]], LEN([1]!Tabla2[[#This Row],[Marca y Modelo]]) - FIND(" ", [1]!Tabla2[[#This Row],[Marca y Modelo]]))</f>
        <v>1191205</v>
      </c>
      <c r="I780" s="76"/>
      <c r="J780" s="76"/>
      <c r="K780" s="91" t="s">
        <v>4212</v>
      </c>
      <c r="L780" s="91" t="s">
        <v>3391</v>
      </c>
      <c r="M780" s="91" t="s">
        <v>1404</v>
      </c>
      <c r="N780" s="91" t="s">
        <v>2193</v>
      </c>
      <c r="O780" s="77"/>
      <c r="P780" s="91" t="s">
        <v>2534</v>
      </c>
      <c r="Q780" s="32"/>
      <c r="R780" s="48" t="s">
        <v>216</v>
      </c>
      <c r="S780" s="32"/>
    </row>
    <row r="781" spans="2:19" x14ac:dyDescent="0.3">
      <c r="B781" t="str">
        <f>LEFT(Tabla3890134177220392[[#This Row],[Descripción del equipo]], FIND(" ", Tabla3890134177220392[[#This Row],[Descripción del equipo]] &amp; " ") - 1)</f>
        <v>Autoretractil</v>
      </c>
      <c r="C781" s="11" t="s">
        <v>173</v>
      </c>
      <c r="D781">
        <v>1</v>
      </c>
      <c r="E781" t="s">
        <v>160</v>
      </c>
      <c r="F781" s="92" t="s">
        <v>1058</v>
      </c>
      <c r="G781" s="90" t="str">
        <f>LEFT([1]modificado!$O$2, FIND(" ", [1]modificado!$O$2 &amp; " ") - 1)</f>
        <v>3M</v>
      </c>
      <c r="H781" s="47" t="str">
        <f>RIGHT([1]!Tabla2[[#This Row],[Marca y Modelo]], LEN([1]!Tabla2[[#This Row],[Marca y Modelo]]) - FIND(" ", [1]!Tabla2[[#This Row],[Marca y Modelo]]))</f>
        <v>Nano Lok</v>
      </c>
      <c r="I781" s="76"/>
      <c r="J781" s="76"/>
      <c r="K781" s="92" t="s">
        <v>4213</v>
      </c>
      <c r="L781" s="92" t="s">
        <v>3392</v>
      </c>
      <c r="M781" s="92" t="s">
        <v>1404</v>
      </c>
      <c r="N781" s="92" t="s">
        <v>2194</v>
      </c>
      <c r="O781" s="77"/>
      <c r="P781" s="92" t="s">
        <v>2534</v>
      </c>
      <c r="Q781" s="32"/>
      <c r="R781" s="48" t="s">
        <v>216</v>
      </c>
      <c r="S781" s="32"/>
    </row>
    <row r="782" spans="2:19" x14ac:dyDescent="0.3">
      <c r="B782" t="str">
        <f>LEFT(Tabla3890134177220392[[#This Row],[Descripción del equipo]], FIND(" ", Tabla3890134177220392[[#This Row],[Descripción del equipo]] &amp; " ") - 1)</f>
        <v>Autoretractil</v>
      </c>
      <c r="C782" s="11" t="s">
        <v>173</v>
      </c>
      <c r="D782">
        <v>1</v>
      </c>
      <c r="E782" t="s">
        <v>160</v>
      </c>
      <c r="F782" s="91" t="s">
        <v>1058</v>
      </c>
      <c r="G782" s="90" t="str">
        <f>LEFT([1]modificado!$O$2, FIND(" ", [1]modificado!$O$2 &amp; " ") - 1)</f>
        <v>3M</v>
      </c>
      <c r="H782" s="47" t="str">
        <f>RIGHT([1]!Tabla2[[#This Row],[Marca y Modelo]], LEN([1]!Tabla2[[#This Row],[Marca y Modelo]]) - FIND(" ", [1]!Tabla2[[#This Row],[Marca y Modelo]]))</f>
        <v>Nano Lok</v>
      </c>
      <c r="I782" s="76"/>
      <c r="J782" s="76"/>
      <c r="K782" s="91" t="s">
        <v>4213</v>
      </c>
      <c r="L782" s="91" t="s">
        <v>3393</v>
      </c>
      <c r="M782" s="91" t="s">
        <v>1404</v>
      </c>
      <c r="N782" s="91" t="s">
        <v>2195</v>
      </c>
      <c r="O782" s="77"/>
      <c r="P782" s="91" t="s">
        <v>2534</v>
      </c>
      <c r="Q782" s="32"/>
      <c r="R782" s="48" t="s">
        <v>216</v>
      </c>
      <c r="S782" s="32"/>
    </row>
    <row r="783" spans="2:19" x14ac:dyDescent="0.3">
      <c r="B783" t="str">
        <f>LEFT(Tabla3890134177220392[[#This Row],[Descripción del equipo]], FIND(" ", Tabla3890134177220392[[#This Row],[Descripción del equipo]] &amp; " ") - 1)</f>
        <v>Autoretractil</v>
      </c>
      <c r="C783" s="11" t="s">
        <v>173</v>
      </c>
      <c r="D783">
        <v>1</v>
      </c>
      <c r="E783" t="s">
        <v>160</v>
      </c>
      <c r="F783" s="92" t="s">
        <v>1058</v>
      </c>
      <c r="G783" s="90" t="str">
        <f>LEFT([1]modificado!$O$2, FIND(" ", [1]modificado!$O$2 &amp; " ") - 1)</f>
        <v>3M</v>
      </c>
      <c r="H783" s="47" t="str">
        <f>RIGHT([1]!Tabla2[[#This Row],[Marca y Modelo]], LEN([1]!Tabla2[[#This Row],[Marca y Modelo]]) - FIND(" ", [1]!Tabla2[[#This Row],[Marca y Modelo]]))</f>
        <v>Nano Lok</v>
      </c>
      <c r="I783" s="76"/>
      <c r="J783" s="76"/>
      <c r="K783" s="92" t="s">
        <v>4213</v>
      </c>
      <c r="L783" s="92" t="s">
        <v>3394</v>
      </c>
      <c r="M783" s="92" t="s">
        <v>1404</v>
      </c>
      <c r="N783" s="92" t="s">
        <v>2196</v>
      </c>
      <c r="O783" s="77"/>
      <c r="P783" s="92" t="s">
        <v>2534</v>
      </c>
      <c r="Q783" s="32"/>
      <c r="R783" s="48" t="s">
        <v>216</v>
      </c>
      <c r="S783" s="32"/>
    </row>
    <row r="784" spans="2:19" x14ac:dyDescent="0.3">
      <c r="B784" t="str">
        <f>LEFT(Tabla3890134177220392[[#This Row],[Descripción del equipo]], FIND(" ", Tabla3890134177220392[[#This Row],[Descripción del equipo]] &amp; " ") - 1)</f>
        <v>Autoretractil</v>
      </c>
      <c r="C784" s="11" t="s">
        <v>173</v>
      </c>
      <c r="D784">
        <v>1</v>
      </c>
      <c r="E784" t="s">
        <v>160</v>
      </c>
      <c r="F784" s="91" t="s">
        <v>1058</v>
      </c>
      <c r="G784" s="90" t="str">
        <f>LEFT([1]modificado!$O$2, FIND(" ", [1]modificado!$O$2 &amp; " ") - 1)</f>
        <v>3M</v>
      </c>
      <c r="H784" s="47" t="str">
        <f>RIGHT([1]!Tabla2[[#This Row],[Marca y Modelo]], LEN([1]!Tabla2[[#This Row],[Marca y Modelo]]) - FIND(" ", [1]!Tabla2[[#This Row],[Marca y Modelo]]))</f>
        <v>Nano Lok</v>
      </c>
      <c r="I784" s="76"/>
      <c r="J784" s="76"/>
      <c r="K784" s="91" t="s">
        <v>4213</v>
      </c>
      <c r="L784" s="91" t="s">
        <v>3395</v>
      </c>
      <c r="M784" s="91" t="s">
        <v>1404</v>
      </c>
      <c r="N784" s="91" t="s">
        <v>2197</v>
      </c>
      <c r="O784" s="77"/>
      <c r="P784" s="91" t="s">
        <v>2534</v>
      </c>
      <c r="Q784" s="32"/>
      <c r="R784" s="48" t="s">
        <v>216</v>
      </c>
      <c r="S784" s="32"/>
    </row>
    <row r="785" spans="2:19" x14ac:dyDescent="0.3">
      <c r="B785" t="s">
        <v>4348</v>
      </c>
      <c r="C785" s="11" t="s">
        <v>173</v>
      </c>
      <c r="D785">
        <v>1</v>
      </c>
      <c r="E785" t="s">
        <v>160</v>
      </c>
      <c r="F785" s="92" t="s">
        <v>1057</v>
      </c>
      <c r="G785" s="90" t="str">
        <f>LEFT([1]modificado!$O$2, FIND(" ", [1]modificado!$O$2 &amp; " ") - 1)</f>
        <v>3M</v>
      </c>
      <c r="H785" s="47"/>
      <c r="I785" s="76"/>
      <c r="J785" s="76"/>
      <c r="K785" s="92" t="s">
        <v>4214</v>
      </c>
      <c r="L785" s="92" t="s">
        <v>3396</v>
      </c>
      <c r="M785" s="92" t="s">
        <v>1405</v>
      </c>
      <c r="N785" s="92" t="s">
        <v>2198</v>
      </c>
      <c r="O785" s="77"/>
      <c r="P785" s="92" t="s">
        <v>2534</v>
      </c>
      <c r="Q785" s="32"/>
      <c r="R785" s="48" t="s">
        <v>216</v>
      </c>
      <c r="S785" s="32"/>
    </row>
    <row r="786" spans="2:19" x14ac:dyDescent="0.3">
      <c r="B786" t="s">
        <v>4348</v>
      </c>
      <c r="C786" s="11" t="s">
        <v>173</v>
      </c>
      <c r="D786">
        <v>1</v>
      </c>
      <c r="E786" t="s">
        <v>160</v>
      </c>
      <c r="F786" s="91" t="s">
        <v>1057</v>
      </c>
      <c r="G786" s="90" t="str">
        <f>LEFT([1]modificado!$O$2, FIND(" ", [1]modificado!$O$2 &amp; " ") - 1)</f>
        <v>3M</v>
      </c>
      <c r="H786" s="47" t="str">
        <f>RIGHT([1]!Tabla2[[#This Row],[Marca y Modelo]], LEN([1]!Tabla2[[#This Row],[Marca y Modelo]]) - FIND(" ", [1]!Tabla2[[#This Row],[Marca y Modelo]]))</f>
        <v>191026A</v>
      </c>
      <c r="I786" s="76"/>
      <c r="J786" s="76"/>
      <c r="K786" s="91" t="s">
        <v>4214</v>
      </c>
      <c r="L786" s="91" t="s">
        <v>3397</v>
      </c>
      <c r="M786" s="91" t="s">
        <v>1405</v>
      </c>
      <c r="N786" s="91" t="s">
        <v>2199</v>
      </c>
      <c r="O786" s="77"/>
      <c r="P786" s="91" t="s">
        <v>2534</v>
      </c>
      <c r="Q786" s="32"/>
      <c r="R786" s="48" t="s">
        <v>216</v>
      </c>
      <c r="S786" s="32"/>
    </row>
    <row r="787" spans="2:19" x14ac:dyDescent="0.3">
      <c r="B787" t="s">
        <v>4348</v>
      </c>
      <c r="C787" s="11" t="s">
        <v>173</v>
      </c>
      <c r="D787">
        <v>1</v>
      </c>
      <c r="E787" t="s">
        <v>160</v>
      </c>
      <c r="F787" s="92" t="s">
        <v>1057</v>
      </c>
      <c r="G787" s="90" t="str">
        <f>LEFT([1]modificado!$O$2, FIND(" ", [1]modificado!$O$2 &amp; " ") - 1)</f>
        <v>3M</v>
      </c>
      <c r="H787" s="47" t="str">
        <f>RIGHT([1]!Tabla2[[#This Row],[Marca y Modelo]], LEN([1]!Tabla2[[#This Row],[Marca y Modelo]]) - FIND(" ", [1]!Tabla2[[#This Row],[Marca y Modelo]]))</f>
        <v>191026</v>
      </c>
      <c r="I787" s="76"/>
      <c r="J787" s="76"/>
      <c r="K787" s="92" t="s">
        <v>4214</v>
      </c>
      <c r="L787" s="92" t="s">
        <v>3398</v>
      </c>
      <c r="M787" s="92" t="s">
        <v>1405</v>
      </c>
      <c r="N787" s="92" t="s">
        <v>2200</v>
      </c>
      <c r="O787" s="77"/>
      <c r="P787" s="92" t="s">
        <v>2534</v>
      </c>
      <c r="Q787" s="32"/>
      <c r="R787" s="48" t="s">
        <v>216</v>
      </c>
      <c r="S787" s="32"/>
    </row>
    <row r="788" spans="2:19" x14ac:dyDescent="0.3">
      <c r="B788" t="s">
        <v>4348</v>
      </c>
      <c r="C788" s="11" t="s">
        <v>173</v>
      </c>
      <c r="D788">
        <v>1</v>
      </c>
      <c r="E788" t="s">
        <v>160</v>
      </c>
      <c r="F788" s="91" t="s">
        <v>1060</v>
      </c>
      <c r="G788" s="90" t="str">
        <f>LEFT([1]modificado!$O$2, FIND(" ", [1]modificado!$O$2 &amp; " ") - 1)</f>
        <v>3M</v>
      </c>
      <c r="H788" s="47" t="str">
        <f>RIGHT([1]!Tabla2[[#This Row],[Marca y Modelo]], LEN([1]!Tabla2[[#This Row],[Marca y Modelo]]) - FIND(" ", [1]!Tabla2[[#This Row],[Marca y Modelo]]))</f>
        <v>209550-4-0241</v>
      </c>
      <c r="I788" s="76"/>
      <c r="J788" s="76"/>
      <c r="K788" s="91" t="s">
        <v>4214</v>
      </c>
      <c r="L788" s="91" t="s">
        <v>3399</v>
      </c>
      <c r="M788" s="91" t="s">
        <v>1404</v>
      </c>
      <c r="N788" s="91" t="s">
        <v>2201</v>
      </c>
      <c r="O788" s="77"/>
      <c r="P788" s="91" t="s">
        <v>2534</v>
      </c>
      <c r="Q788" s="32"/>
      <c r="R788" s="48" t="s">
        <v>216</v>
      </c>
      <c r="S788" s="32"/>
    </row>
    <row r="789" spans="2:19" x14ac:dyDescent="0.3">
      <c r="B789" t="str">
        <f>LEFT(Tabla3890134177220392[[#This Row],[Descripción del equipo]], FIND(" ", Tabla3890134177220392[[#This Row],[Descripción del equipo]] &amp; " ") - 1)</f>
        <v>Autoretractil</v>
      </c>
      <c r="C789" s="11" t="s">
        <v>173</v>
      </c>
      <c r="D789">
        <v>1</v>
      </c>
      <c r="E789" t="s">
        <v>160</v>
      </c>
      <c r="F789" s="92" t="s">
        <v>1058</v>
      </c>
      <c r="G789" s="90" t="str">
        <f>LEFT([1]modificado!$O$2, FIND(" ", [1]modificado!$O$2 &amp; " ") - 1)</f>
        <v>3M</v>
      </c>
      <c r="H789" s="47" t="str">
        <f>RIGHT([1]!Tabla2[[#This Row],[Marca y Modelo]], LEN([1]!Tabla2[[#This Row],[Marca y Modelo]]) - FIND(" ", [1]!Tabla2[[#This Row],[Marca y Modelo]]))</f>
        <v>3100414</v>
      </c>
      <c r="I789" s="76"/>
      <c r="J789" s="76"/>
      <c r="K789" s="92" t="s">
        <v>4213</v>
      </c>
      <c r="L789" s="92" t="s">
        <v>3400</v>
      </c>
      <c r="M789" s="92" t="s">
        <v>1404</v>
      </c>
      <c r="N789" s="92" t="s">
        <v>2202</v>
      </c>
      <c r="O789" s="77"/>
      <c r="P789" s="92" t="s">
        <v>2534</v>
      </c>
      <c r="Q789" s="32"/>
      <c r="R789" s="48" t="s">
        <v>216</v>
      </c>
      <c r="S789" s="32"/>
    </row>
    <row r="790" spans="2:19" x14ac:dyDescent="0.3">
      <c r="B790" t="str">
        <f>LEFT(Tabla3890134177220392[[#This Row],[Descripción del equipo]], FIND(" ", Tabla3890134177220392[[#This Row],[Descripción del equipo]] &amp; " ") - 1)</f>
        <v>Autoretractil</v>
      </c>
      <c r="C790" s="11" t="s">
        <v>173</v>
      </c>
      <c r="D790">
        <v>1</v>
      </c>
      <c r="E790" t="s">
        <v>160</v>
      </c>
      <c r="F790" s="91" t="s">
        <v>1058</v>
      </c>
      <c r="G790" s="90" t="str">
        <f>LEFT([1]modificado!$O$2, FIND(" ", [1]modificado!$O$2 &amp; " ") - 1)</f>
        <v>3M</v>
      </c>
      <c r="H790" s="47" t="str">
        <f>RIGHT([1]!Tabla2[[#This Row],[Marca y Modelo]], LEN([1]!Tabla2[[#This Row],[Marca y Modelo]]) - FIND(" ", [1]!Tabla2[[#This Row],[Marca y Modelo]]))</f>
        <v>3100414</v>
      </c>
      <c r="I790" s="76"/>
      <c r="J790" s="76"/>
      <c r="K790" s="91" t="s">
        <v>4213</v>
      </c>
      <c r="L790" s="91" t="s">
        <v>3401</v>
      </c>
      <c r="M790" s="91" t="s">
        <v>1404</v>
      </c>
      <c r="N790" s="91" t="s">
        <v>2203</v>
      </c>
      <c r="O790" s="77"/>
      <c r="P790" s="91" t="s">
        <v>2534</v>
      </c>
      <c r="Q790" s="32"/>
      <c r="R790" s="48" t="s">
        <v>216</v>
      </c>
      <c r="S790" s="32"/>
    </row>
    <row r="791" spans="2:19" x14ac:dyDescent="0.3">
      <c r="B791" t="str">
        <f>LEFT(Tabla3890134177220392[[#This Row],[Descripción del equipo]], FIND(" ", Tabla3890134177220392[[#This Row],[Descripción del equipo]] &amp; " ") - 1)</f>
        <v>Autoretractil</v>
      </c>
      <c r="C791" s="11" t="s">
        <v>173</v>
      </c>
      <c r="D791">
        <v>1</v>
      </c>
      <c r="E791" t="s">
        <v>160</v>
      </c>
      <c r="F791" s="92" t="s">
        <v>1058</v>
      </c>
      <c r="G791" s="90" t="str">
        <f>LEFT([1]modificado!$O$2, FIND(" ", [1]modificado!$O$2 &amp; " ") - 1)</f>
        <v>3M</v>
      </c>
      <c r="H791" s="47" t="str">
        <f>RIGHT([1]!Tabla2[[#This Row],[Marca y Modelo]], LEN([1]!Tabla2[[#This Row],[Marca y Modelo]]) - FIND(" ", [1]!Tabla2[[#This Row],[Marca y Modelo]]))</f>
        <v>Nano Lok</v>
      </c>
      <c r="I791" s="76"/>
      <c r="J791" s="76"/>
      <c r="K791" s="92" t="s">
        <v>4215</v>
      </c>
      <c r="L791" s="92" t="s">
        <v>3402</v>
      </c>
      <c r="M791" s="92" t="s">
        <v>1404</v>
      </c>
      <c r="N791" s="92" t="s">
        <v>2204</v>
      </c>
      <c r="O791" s="77"/>
      <c r="P791" s="92" t="s">
        <v>2534</v>
      </c>
      <c r="Q791" s="32"/>
      <c r="R791" s="48" t="s">
        <v>216</v>
      </c>
      <c r="S791" s="32"/>
    </row>
    <row r="792" spans="2:19" x14ac:dyDescent="0.3">
      <c r="B792" t="str">
        <f>LEFT(Tabla3890134177220392[[#This Row],[Descripción del equipo]], FIND(" ", Tabla3890134177220392[[#This Row],[Descripción del equipo]] &amp; " ") - 1)</f>
        <v>Autoretractil</v>
      </c>
      <c r="C792" s="11" t="s">
        <v>173</v>
      </c>
      <c r="D792">
        <v>1</v>
      </c>
      <c r="E792" t="s">
        <v>160</v>
      </c>
      <c r="F792" s="91" t="s">
        <v>1058</v>
      </c>
      <c r="G792" s="90" t="str">
        <f>LEFT([1]modificado!$O$2, FIND(" ", [1]modificado!$O$2 &amp; " ") - 1)</f>
        <v>3M</v>
      </c>
      <c r="H792" s="47" t="str">
        <f>RIGHT([1]!Tabla2[[#This Row],[Marca y Modelo]], LEN([1]!Tabla2[[#This Row],[Marca y Modelo]]) - FIND(" ", [1]!Tabla2[[#This Row],[Marca y Modelo]]))</f>
        <v>Nano Lok</v>
      </c>
      <c r="I792" s="76"/>
      <c r="J792" s="76"/>
      <c r="K792" s="91" t="s">
        <v>4215</v>
      </c>
      <c r="L792" s="91" t="s">
        <v>3403</v>
      </c>
      <c r="M792" s="91" t="s">
        <v>1404</v>
      </c>
      <c r="N792" s="91" t="s">
        <v>2205</v>
      </c>
      <c r="O792" s="77"/>
      <c r="P792" s="91" t="s">
        <v>2534</v>
      </c>
      <c r="Q792" s="32"/>
      <c r="R792" s="48" t="s">
        <v>216</v>
      </c>
      <c r="S792" s="32"/>
    </row>
    <row r="793" spans="2:19" x14ac:dyDescent="0.3">
      <c r="B793" t="str">
        <f>LEFT(Tabla3890134177220392[[#This Row],[Descripción del equipo]], FIND(" ", Tabla3890134177220392[[#This Row],[Descripción del equipo]] &amp; " ") - 1)</f>
        <v>Autoretractil</v>
      </c>
      <c r="C793" s="11" t="s">
        <v>173</v>
      </c>
      <c r="D793">
        <v>1</v>
      </c>
      <c r="E793" t="s">
        <v>160</v>
      </c>
      <c r="F793" s="92" t="s">
        <v>1058</v>
      </c>
      <c r="G793" s="90" t="str">
        <f>LEFT([1]modificado!$O$2, FIND(" ", [1]modificado!$O$2 &amp; " ") - 1)</f>
        <v>3M</v>
      </c>
      <c r="H793" s="47" t="str">
        <f>RIGHT([1]!Tabla2[[#This Row],[Marca y Modelo]], LEN([1]!Tabla2[[#This Row],[Marca y Modelo]]) - FIND(" ", [1]!Tabla2[[#This Row],[Marca y Modelo]]))</f>
        <v>Nano Lok</v>
      </c>
      <c r="I793" s="76"/>
      <c r="J793" s="76"/>
      <c r="K793" s="92" t="s">
        <v>4215</v>
      </c>
      <c r="L793" s="92" t="s">
        <v>3404</v>
      </c>
      <c r="M793" s="92" t="s">
        <v>1404</v>
      </c>
      <c r="N793" s="92" t="s">
        <v>2206</v>
      </c>
      <c r="O793" s="77"/>
      <c r="P793" s="92" t="s">
        <v>2534</v>
      </c>
      <c r="Q793" s="32"/>
      <c r="R793" s="48" t="s">
        <v>216</v>
      </c>
      <c r="S793" s="32"/>
    </row>
    <row r="794" spans="2:19" x14ac:dyDescent="0.3">
      <c r="B794" t="str">
        <f>LEFT(Tabla3890134177220392[[#This Row],[Descripción del equipo]], FIND(" ", Tabla3890134177220392[[#This Row],[Descripción del equipo]] &amp; " ") - 1)</f>
        <v>Autoretractil</v>
      </c>
      <c r="C794" s="11" t="s">
        <v>173</v>
      </c>
      <c r="D794">
        <v>1</v>
      </c>
      <c r="E794" t="s">
        <v>160</v>
      </c>
      <c r="F794" s="91" t="s">
        <v>1058</v>
      </c>
      <c r="G794" s="90" t="str">
        <f>LEFT([1]modificado!$O$2, FIND(" ", [1]modificado!$O$2 &amp; " ") - 1)</f>
        <v>3M</v>
      </c>
      <c r="H794" s="47" t="str">
        <f>RIGHT([1]!Tabla2[[#This Row],[Marca y Modelo]], LEN([1]!Tabla2[[#This Row],[Marca y Modelo]]) - FIND(" ", [1]!Tabla2[[#This Row],[Marca y Modelo]]))</f>
        <v>Nano Lok</v>
      </c>
      <c r="I794" s="76"/>
      <c r="J794" s="76"/>
      <c r="K794" s="91" t="s">
        <v>4215</v>
      </c>
      <c r="L794" s="91" t="s">
        <v>3405</v>
      </c>
      <c r="M794" s="91" t="s">
        <v>1404</v>
      </c>
      <c r="N794" s="91" t="s">
        <v>2207</v>
      </c>
      <c r="O794" s="77"/>
      <c r="P794" s="91" t="s">
        <v>2534</v>
      </c>
      <c r="Q794" s="32"/>
      <c r="R794" s="48" t="s">
        <v>216</v>
      </c>
      <c r="S794" s="32"/>
    </row>
    <row r="795" spans="2:19" x14ac:dyDescent="0.3">
      <c r="B795" t="str">
        <f>LEFT(Tabla3890134177220392[[#This Row],[Descripción del equipo]], FIND(" ", Tabla3890134177220392[[#This Row],[Descripción del equipo]] &amp; " ") - 1)</f>
        <v>Autoretractil</v>
      </c>
      <c r="C795" s="11" t="s">
        <v>173</v>
      </c>
      <c r="D795">
        <v>1</v>
      </c>
      <c r="E795" t="s">
        <v>160</v>
      </c>
      <c r="F795" s="92" t="s">
        <v>1058</v>
      </c>
      <c r="G795" s="90" t="str">
        <f>LEFT([1]modificado!$O$2, FIND(" ", [1]modificado!$O$2 &amp; " ") - 1)</f>
        <v>3M</v>
      </c>
      <c r="H795" s="47" t="str">
        <f>RIGHT([1]!Tabla2[[#This Row],[Marca y Modelo]], LEN([1]!Tabla2[[#This Row],[Marca y Modelo]]) - FIND(" ", [1]!Tabla2[[#This Row],[Marca y Modelo]]))</f>
        <v>Nano Lok</v>
      </c>
      <c r="I795" s="76"/>
      <c r="J795" s="76"/>
      <c r="K795" s="92" t="s">
        <v>4215</v>
      </c>
      <c r="L795" s="92" t="s">
        <v>3406</v>
      </c>
      <c r="M795" s="92" t="s">
        <v>1404</v>
      </c>
      <c r="N795" s="92" t="s">
        <v>2208</v>
      </c>
      <c r="O795" s="77"/>
      <c r="P795" s="92" t="s">
        <v>2534</v>
      </c>
      <c r="Q795" s="32"/>
      <c r="R795" s="48" t="s">
        <v>216</v>
      </c>
      <c r="S795" s="32"/>
    </row>
    <row r="796" spans="2:19" x14ac:dyDescent="0.3">
      <c r="B796" t="str">
        <f>LEFT(Tabla3890134177220392[[#This Row],[Descripción del equipo]], FIND(" ", Tabla3890134177220392[[#This Row],[Descripción del equipo]] &amp; " ") - 1)</f>
        <v>Autoretractil</v>
      </c>
      <c r="C796" s="11" t="s">
        <v>173</v>
      </c>
      <c r="D796">
        <v>1</v>
      </c>
      <c r="E796" t="s">
        <v>160</v>
      </c>
      <c r="F796" s="91" t="s">
        <v>1058</v>
      </c>
      <c r="G796" s="90" t="str">
        <f>LEFT([1]modificado!$O$2, FIND(" ", [1]modificado!$O$2 &amp; " ") - 1)</f>
        <v>3M</v>
      </c>
      <c r="H796" s="47" t="str">
        <f>RIGHT([1]!Tabla2[[#This Row],[Marca y Modelo]], LEN([1]!Tabla2[[#This Row],[Marca y Modelo]]) - FIND(" ", [1]!Tabla2[[#This Row],[Marca y Modelo]]))</f>
        <v>Nano Lok</v>
      </c>
      <c r="I796" s="76"/>
      <c r="J796" s="76"/>
      <c r="K796" s="91" t="s">
        <v>4215</v>
      </c>
      <c r="L796" s="91" t="s">
        <v>3407</v>
      </c>
      <c r="M796" s="91" t="s">
        <v>1404</v>
      </c>
      <c r="N796" s="91" t="s">
        <v>2209</v>
      </c>
      <c r="O796" s="77"/>
      <c r="P796" s="91" t="s">
        <v>2534</v>
      </c>
      <c r="Q796" s="32"/>
      <c r="R796" s="48" t="s">
        <v>216</v>
      </c>
      <c r="S796" s="32"/>
    </row>
    <row r="797" spans="2:19" x14ac:dyDescent="0.3">
      <c r="B797" t="str">
        <f>LEFT(Tabla3890134177220392[[#This Row],[Descripción del equipo]], FIND(" ", Tabla3890134177220392[[#This Row],[Descripción del equipo]] &amp; " ") - 1)</f>
        <v>Autoretractil</v>
      </c>
      <c r="C797" s="11" t="s">
        <v>173</v>
      </c>
      <c r="D797">
        <v>1</v>
      </c>
      <c r="E797" t="s">
        <v>160</v>
      </c>
      <c r="F797" s="92" t="s">
        <v>1058</v>
      </c>
      <c r="G797" s="90" t="str">
        <f>LEFT([1]modificado!$O$2, FIND(" ", [1]modificado!$O$2 &amp; " ") - 1)</f>
        <v>3M</v>
      </c>
      <c r="H797" s="47" t="str">
        <f>RIGHT([1]!Tabla2[[#This Row],[Marca y Modelo]], LEN([1]!Tabla2[[#This Row],[Marca y Modelo]]) - FIND(" ", [1]!Tabla2[[#This Row],[Marca y Modelo]]))</f>
        <v>Nano Lok</v>
      </c>
      <c r="I797" s="76"/>
      <c r="J797" s="76"/>
      <c r="K797" s="92" t="s">
        <v>4215</v>
      </c>
      <c r="L797" s="92" t="s">
        <v>3408</v>
      </c>
      <c r="M797" s="92" t="s">
        <v>1404</v>
      </c>
      <c r="N797" s="92" t="s">
        <v>2210</v>
      </c>
      <c r="O797" s="77"/>
      <c r="P797" s="92" t="s">
        <v>2534</v>
      </c>
      <c r="Q797" s="32"/>
      <c r="R797" s="48" t="s">
        <v>216</v>
      </c>
      <c r="S797" s="32"/>
    </row>
    <row r="798" spans="2:19" x14ac:dyDescent="0.3">
      <c r="B798" t="str">
        <f>LEFT(Tabla3890134177220392[[#This Row],[Descripción del equipo]], FIND(" ", Tabla3890134177220392[[#This Row],[Descripción del equipo]] &amp; " ") - 1)</f>
        <v>Autoretractil</v>
      </c>
      <c r="C798" s="11" t="s">
        <v>173</v>
      </c>
      <c r="D798">
        <v>1</v>
      </c>
      <c r="E798" t="s">
        <v>160</v>
      </c>
      <c r="F798" s="91" t="s">
        <v>1058</v>
      </c>
      <c r="G798" s="90" t="str">
        <f>LEFT([1]modificado!$O$2, FIND(" ", [1]modificado!$O$2 &amp; " ") - 1)</f>
        <v>3M</v>
      </c>
      <c r="H798" s="47" t="str">
        <f>RIGHT([1]!Tabla2[[#This Row],[Marca y Modelo]], LEN([1]!Tabla2[[#This Row],[Marca y Modelo]]) - FIND(" ", [1]!Tabla2[[#This Row],[Marca y Modelo]]))</f>
        <v>Nano Lok</v>
      </c>
      <c r="I798" s="76"/>
      <c r="J798" s="76"/>
      <c r="K798" s="91" t="s">
        <v>4215</v>
      </c>
      <c r="L798" s="91" t="s">
        <v>3409</v>
      </c>
      <c r="M798" s="91" t="s">
        <v>1404</v>
      </c>
      <c r="N798" s="91" t="s">
        <v>2211</v>
      </c>
      <c r="O798" s="77"/>
      <c r="P798" s="91" t="s">
        <v>2534</v>
      </c>
      <c r="Q798" s="32"/>
      <c r="R798" s="48" t="s">
        <v>216</v>
      </c>
      <c r="S798" s="32"/>
    </row>
    <row r="799" spans="2:19" x14ac:dyDescent="0.3">
      <c r="B799" t="str">
        <f>LEFT(Tabla3890134177220392[[#This Row],[Descripción del equipo]], FIND(" ", Tabla3890134177220392[[#This Row],[Descripción del equipo]] &amp; " ") - 1)</f>
        <v>Autoretractil</v>
      </c>
      <c r="C799" s="11" t="s">
        <v>173</v>
      </c>
      <c r="D799">
        <v>1</v>
      </c>
      <c r="E799" t="s">
        <v>160</v>
      </c>
      <c r="F799" s="92" t="s">
        <v>1058</v>
      </c>
      <c r="G799" s="90" t="str">
        <f>LEFT([1]modificado!$O$2, FIND(" ", [1]modificado!$O$2 &amp; " ") - 1)</f>
        <v>3M</v>
      </c>
      <c r="H799" s="47" t="str">
        <f>RIGHT([1]!Tabla2[[#This Row],[Marca y Modelo]], LEN([1]!Tabla2[[#This Row],[Marca y Modelo]]) - FIND(" ", [1]!Tabla2[[#This Row],[Marca y Modelo]]))</f>
        <v>Nano Lok</v>
      </c>
      <c r="I799" s="76"/>
      <c r="J799" s="76"/>
      <c r="K799" s="92" t="s">
        <v>4215</v>
      </c>
      <c r="L799" s="92" t="s">
        <v>3410</v>
      </c>
      <c r="M799" s="92" t="s">
        <v>1404</v>
      </c>
      <c r="N799" s="92" t="s">
        <v>2212</v>
      </c>
      <c r="O799" s="77"/>
      <c r="P799" s="92" t="s">
        <v>2534</v>
      </c>
      <c r="Q799" s="32"/>
      <c r="R799" s="48" t="s">
        <v>216</v>
      </c>
      <c r="S799" s="32"/>
    </row>
    <row r="800" spans="2:19" x14ac:dyDescent="0.3">
      <c r="B800" t="str">
        <f>LEFT(Tabla3890134177220392[[#This Row],[Descripción del equipo]], FIND(" ", Tabla3890134177220392[[#This Row],[Descripción del equipo]] &amp; " ") - 1)</f>
        <v>Autoretractil</v>
      </c>
      <c r="C800" s="11" t="s">
        <v>173</v>
      </c>
      <c r="D800">
        <v>1</v>
      </c>
      <c r="E800" t="s">
        <v>160</v>
      </c>
      <c r="F800" s="91" t="s">
        <v>1058</v>
      </c>
      <c r="G800" s="90" t="str">
        <f>LEFT([1]modificado!$O$2, FIND(" ", [1]modificado!$O$2 &amp; " ") - 1)</f>
        <v>3M</v>
      </c>
      <c r="H800" s="47" t="str">
        <f>RIGHT([1]!Tabla2[[#This Row],[Marca y Modelo]], LEN([1]!Tabla2[[#This Row],[Marca y Modelo]]) - FIND(" ", [1]!Tabla2[[#This Row],[Marca y Modelo]]))</f>
        <v>Nano Lok</v>
      </c>
      <c r="I800" s="76"/>
      <c r="J800" s="76"/>
      <c r="K800" s="91" t="s">
        <v>4215</v>
      </c>
      <c r="L800" s="91" t="s">
        <v>3411</v>
      </c>
      <c r="M800" s="91" t="s">
        <v>1404</v>
      </c>
      <c r="N800" s="91" t="s">
        <v>2213</v>
      </c>
      <c r="O800" s="77"/>
      <c r="P800" s="91" t="s">
        <v>2534</v>
      </c>
      <c r="Q800" s="32"/>
      <c r="R800" s="48" t="s">
        <v>216</v>
      </c>
      <c r="S800" s="32"/>
    </row>
    <row r="801" spans="2:19" x14ac:dyDescent="0.3">
      <c r="B801" t="str">
        <f>LEFT(Tabla3890134177220392[[#This Row],[Descripción del equipo]], FIND(" ", Tabla3890134177220392[[#This Row],[Descripción del equipo]] &amp; " ") - 1)</f>
        <v>Autoretractil</v>
      </c>
      <c r="C801" s="11" t="s">
        <v>173</v>
      </c>
      <c r="D801">
        <v>1</v>
      </c>
      <c r="E801" t="s">
        <v>160</v>
      </c>
      <c r="F801" s="92" t="s">
        <v>1058</v>
      </c>
      <c r="G801" s="90" t="str">
        <f>LEFT([1]modificado!$O$2, FIND(" ", [1]modificado!$O$2 &amp; " ") - 1)</f>
        <v>3M</v>
      </c>
      <c r="H801" s="47" t="str">
        <f>RIGHT([1]!Tabla2[[#This Row],[Marca y Modelo]], LEN([1]!Tabla2[[#This Row],[Marca y Modelo]]) - FIND(" ", [1]!Tabla2[[#This Row],[Marca y Modelo]]))</f>
        <v>Nano Lok</v>
      </c>
      <c r="I801" s="76"/>
      <c r="J801" s="76"/>
      <c r="K801" s="92" t="s">
        <v>4215</v>
      </c>
      <c r="L801" s="92" t="s">
        <v>3412</v>
      </c>
      <c r="M801" s="92" t="s">
        <v>1404</v>
      </c>
      <c r="N801" s="92" t="s">
        <v>2214</v>
      </c>
      <c r="O801" s="77"/>
      <c r="P801" s="92" t="s">
        <v>2534</v>
      </c>
      <c r="Q801" s="32"/>
      <c r="R801" s="48" t="s">
        <v>216</v>
      </c>
      <c r="S801" s="32"/>
    </row>
    <row r="802" spans="2:19" x14ac:dyDescent="0.3">
      <c r="B802" t="str">
        <f>LEFT(Tabla3890134177220392[[#This Row],[Descripción del equipo]], FIND(" ", Tabla3890134177220392[[#This Row],[Descripción del equipo]] &amp; " ") - 1)</f>
        <v>Autoretractil</v>
      </c>
      <c r="C802" s="11" t="s">
        <v>173</v>
      </c>
      <c r="D802">
        <v>1</v>
      </c>
      <c r="E802" t="s">
        <v>160</v>
      </c>
      <c r="F802" s="91" t="s">
        <v>1058</v>
      </c>
      <c r="G802" s="90" t="str">
        <f>LEFT([1]modificado!$O$2, FIND(" ", [1]modificado!$O$2 &amp; " ") - 1)</f>
        <v>3M</v>
      </c>
      <c r="H802" s="47" t="str">
        <f>RIGHT([1]!Tabla2[[#This Row],[Marca y Modelo]], LEN([1]!Tabla2[[#This Row],[Marca y Modelo]]) - FIND(" ", [1]!Tabla2[[#This Row],[Marca y Modelo]]))</f>
        <v>Nano Lok</v>
      </c>
      <c r="I802" s="76"/>
      <c r="J802" s="76"/>
      <c r="K802" s="91" t="s">
        <v>4215</v>
      </c>
      <c r="L802" s="91" t="s">
        <v>3413</v>
      </c>
      <c r="M802" s="91" t="s">
        <v>1404</v>
      </c>
      <c r="N802" s="91" t="s">
        <v>2215</v>
      </c>
      <c r="O802" s="77"/>
      <c r="P802" s="91" t="s">
        <v>2534</v>
      </c>
      <c r="Q802" s="32"/>
      <c r="R802" s="48" t="s">
        <v>216</v>
      </c>
      <c r="S802" s="32"/>
    </row>
    <row r="803" spans="2:19" x14ac:dyDescent="0.3">
      <c r="B803" t="str">
        <f>LEFT(Tabla3890134177220392[[#This Row],[Descripción del equipo]], FIND(" ", Tabla3890134177220392[[#This Row],[Descripción del equipo]] &amp; " ") - 1)</f>
        <v>Autoretractil</v>
      </c>
      <c r="C803" s="11" t="s">
        <v>173</v>
      </c>
      <c r="D803">
        <v>1</v>
      </c>
      <c r="E803" t="s">
        <v>160</v>
      </c>
      <c r="F803" s="92" t="s">
        <v>1058</v>
      </c>
      <c r="G803" s="90" t="str">
        <f>LEFT([1]modificado!$O$2, FIND(" ", [1]modificado!$O$2 &amp; " ") - 1)</f>
        <v>3M</v>
      </c>
      <c r="H803" s="47" t="str">
        <f>RIGHT([1]!Tabla2[[#This Row],[Marca y Modelo]], LEN([1]!Tabla2[[#This Row],[Marca y Modelo]]) - FIND(" ", [1]!Tabla2[[#This Row],[Marca y Modelo]]))</f>
        <v>Nano Lok</v>
      </c>
      <c r="I803" s="76"/>
      <c r="J803" s="76"/>
      <c r="K803" s="92" t="s">
        <v>4215</v>
      </c>
      <c r="L803" s="92" t="s">
        <v>3414</v>
      </c>
      <c r="M803" s="92" t="s">
        <v>1404</v>
      </c>
      <c r="N803" s="92" t="s">
        <v>2216</v>
      </c>
      <c r="O803" s="77"/>
      <c r="P803" s="92" t="s">
        <v>2534</v>
      </c>
      <c r="Q803" s="32"/>
      <c r="R803" s="48" t="s">
        <v>216</v>
      </c>
      <c r="S803" s="32"/>
    </row>
    <row r="804" spans="2:19" x14ac:dyDescent="0.3">
      <c r="B804" t="str">
        <f>LEFT(Tabla3890134177220392[[#This Row],[Descripción del equipo]], FIND(" ", Tabla3890134177220392[[#This Row],[Descripción del equipo]] &amp; " ") - 1)</f>
        <v>Autoretractil</v>
      </c>
      <c r="C804" s="11" t="s">
        <v>173</v>
      </c>
      <c r="D804">
        <v>1</v>
      </c>
      <c r="E804" t="s">
        <v>160</v>
      </c>
      <c r="F804" s="91" t="s">
        <v>1058</v>
      </c>
      <c r="G804" s="90" t="str">
        <f>LEFT([1]modificado!$O$2, FIND(" ", [1]modificado!$O$2 &amp; " ") - 1)</f>
        <v>3M</v>
      </c>
      <c r="H804" s="47" t="str">
        <f>RIGHT([1]!Tabla2[[#This Row],[Marca y Modelo]], LEN([1]!Tabla2[[#This Row],[Marca y Modelo]]) - FIND(" ", [1]!Tabla2[[#This Row],[Marca y Modelo]]))</f>
        <v>Nano Lok</v>
      </c>
      <c r="I804" s="76"/>
      <c r="J804" s="76"/>
      <c r="K804" s="91" t="s">
        <v>4215</v>
      </c>
      <c r="L804" s="91" t="s">
        <v>3415</v>
      </c>
      <c r="M804" s="91" t="s">
        <v>1404</v>
      </c>
      <c r="N804" s="91" t="s">
        <v>2217</v>
      </c>
      <c r="O804" s="77"/>
      <c r="P804" s="91" t="s">
        <v>2534</v>
      </c>
      <c r="Q804" s="32"/>
      <c r="R804" s="48" t="s">
        <v>216</v>
      </c>
      <c r="S804" s="32"/>
    </row>
    <row r="805" spans="2:19" x14ac:dyDescent="0.3">
      <c r="B805" t="str">
        <f>LEFT(Tabla3890134177220392[[#This Row],[Descripción del equipo]], FIND(" ", Tabla3890134177220392[[#This Row],[Descripción del equipo]] &amp; " ") - 1)</f>
        <v>Autoretractil</v>
      </c>
      <c r="C805" s="11" t="s">
        <v>173</v>
      </c>
      <c r="D805">
        <v>1</v>
      </c>
      <c r="E805" t="s">
        <v>160</v>
      </c>
      <c r="F805" s="92" t="s">
        <v>1058</v>
      </c>
      <c r="G805" s="90" t="str">
        <f>LEFT([1]modificado!$O$2, FIND(" ", [1]modificado!$O$2 &amp; " ") - 1)</f>
        <v>3M</v>
      </c>
      <c r="H805" s="47" t="str">
        <f>RIGHT([1]!Tabla2[[#This Row],[Marca y Modelo]], LEN([1]!Tabla2[[#This Row],[Marca y Modelo]]) - FIND(" ", [1]!Tabla2[[#This Row],[Marca y Modelo]]))</f>
        <v>Nano Lok</v>
      </c>
      <c r="I805" s="76"/>
      <c r="J805" s="76"/>
      <c r="K805" s="92" t="s">
        <v>4216</v>
      </c>
      <c r="L805" s="92" t="s">
        <v>3416</v>
      </c>
      <c r="M805" s="92" t="s">
        <v>1404</v>
      </c>
      <c r="N805" s="92" t="s">
        <v>2218</v>
      </c>
      <c r="O805" s="77"/>
      <c r="P805" s="92" t="s">
        <v>2534</v>
      </c>
      <c r="Q805" s="32"/>
      <c r="R805" s="48" t="s">
        <v>216</v>
      </c>
      <c r="S805" s="32"/>
    </row>
    <row r="806" spans="2:19" x14ac:dyDescent="0.3">
      <c r="B806" t="str">
        <f>LEFT(Tabla3890134177220392[[#This Row],[Descripción del equipo]], FIND(" ", Tabla3890134177220392[[#This Row],[Descripción del equipo]] &amp; " ") - 1)</f>
        <v>Autoretractil</v>
      </c>
      <c r="C806" s="11" t="s">
        <v>173</v>
      </c>
      <c r="D806">
        <v>1</v>
      </c>
      <c r="E806" t="s">
        <v>160</v>
      </c>
      <c r="F806" s="91" t="s">
        <v>1058</v>
      </c>
      <c r="G806" s="90" t="str">
        <f>LEFT([1]modificado!$O$2, FIND(" ", [1]modificado!$O$2 &amp; " ") - 1)</f>
        <v>3M</v>
      </c>
      <c r="H806" s="47" t="str">
        <f>RIGHT([1]!Tabla2[[#This Row],[Marca y Modelo]], LEN([1]!Tabla2[[#This Row],[Marca y Modelo]]) - FIND(" ", [1]!Tabla2[[#This Row],[Marca y Modelo]]))</f>
        <v>Nano Lok</v>
      </c>
      <c r="I806" s="76"/>
      <c r="J806" s="76"/>
      <c r="K806" s="91" t="s">
        <v>4216</v>
      </c>
      <c r="L806" s="91" t="s">
        <v>3417</v>
      </c>
      <c r="M806" s="91" t="s">
        <v>1404</v>
      </c>
      <c r="N806" s="91" t="s">
        <v>2219</v>
      </c>
      <c r="O806" s="77"/>
      <c r="P806" s="91" t="s">
        <v>2534</v>
      </c>
      <c r="Q806" s="32"/>
      <c r="R806" s="48" t="s">
        <v>216</v>
      </c>
      <c r="S806" s="32"/>
    </row>
    <row r="807" spans="2:19" x14ac:dyDescent="0.3">
      <c r="B807" t="str">
        <f>LEFT(Tabla3890134177220392[[#This Row],[Descripción del equipo]], FIND(" ", Tabla3890134177220392[[#This Row],[Descripción del equipo]] &amp; " ") - 1)</f>
        <v>Arnes</v>
      </c>
      <c r="C807" s="11" t="s">
        <v>173</v>
      </c>
      <c r="D807">
        <v>1</v>
      </c>
      <c r="E807" t="s">
        <v>160</v>
      </c>
      <c r="F807" s="92" t="s">
        <v>1068</v>
      </c>
      <c r="G807" s="90" t="str">
        <f>LEFT([1]modificado!$O$2, FIND(" ", [1]modificado!$O$2 &amp; " ") - 1)</f>
        <v>3M</v>
      </c>
      <c r="H807" s="47" t="str">
        <f>RIGHT([1]!Tabla2[[#This Row],[Marca y Modelo]], LEN([1]!Tabla2[[#This Row],[Marca y Modelo]]) - FIND(" ", [1]!Tabla2[[#This Row],[Marca y Modelo]]))</f>
        <v>1104625</v>
      </c>
      <c r="I807" s="76"/>
      <c r="J807" s="76"/>
      <c r="K807" s="92" t="s">
        <v>4217</v>
      </c>
      <c r="L807" s="92" t="s">
        <v>3418</v>
      </c>
      <c r="M807" s="92" t="s">
        <v>1404</v>
      </c>
      <c r="N807" s="92" t="s">
        <v>2220</v>
      </c>
      <c r="O807" s="77"/>
      <c r="P807" s="92" t="s">
        <v>2534</v>
      </c>
      <c r="Q807" s="32"/>
      <c r="R807" s="48" t="s">
        <v>216</v>
      </c>
      <c r="S807" s="32"/>
    </row>
    <row r="808" spans="2:19" x14ac:dyDescent="0.3">
      <c r="B808" t="str">
        <f>LEFT(Tabla3890134177220392[[#This Row],[Descripción del equipo]], FIND(" ", Tabla3890134177220392[[#This Row],[Descripción del equipo]] &amp; " ") - 1)</f>
        <v>Arnes</v>
      </c>
      <c r="C808" s="11" t="s">
        <v>173</v>
      </c>
      <c r="D808">
        <v>1</v>
      </c>
      <c r="E808" t="s">
        <v>160</v>
      </c>
      <c r="F808" s="91" t="s">
        <v>1068</v>
      </c>
      <c r="G808" s="90" t="str">
        <f>LEFT([1]modificado!$O$2, FIND(" ", [1]modificado!$O$2 &amp; " ") - 1)</f>
        <v>3M</v>
      </c>
      <c r="H808" s="47" t="str">
        <f>RIGHT([1]!Tabla2[[#This Row],[Marca y Modelo]], LEN([1]!Tabla2[[#This Row],[Marca y Modelo]]) - FIND(" ", [1]!Tabla2[[#This Row],[Marca y Modelo]]))</f>
        <v>1104625</v>
      </c>
      <c r="I808" s="76"/>
      <c r="J808" s="76"/>
      <c r="K808" s="91" t="s">
        <v>4218</v>
      </c>
      <c r="L808" s="91" t="s">
        <v>3419</v>
      </c>
      <c r="M808" s="91" t="s">
        <v>1404</v>
      </c>
      <c r="N808" s="91" t="s">
        <v>2221</v>
      </c>
      <c r="O808" s="77"/>
      <c r="P808" s="91" t="s">
        <v>2534</v>
      </c>
      <c r="Q808" s="32"/>
      <c r="R808" s="48" t="s">
        <v>216</v>
      </c>
      <c r="S808" s="32"/>
    </row>
    <row r="809" spans="2:19" x14ac:dyDescent="0.3">
      <c r="B809" t="str">
        <f>LEFT(Tabla3890134177220392[[#This Row],[Descripción del equipo]], FIND(" ", Tabla3890134177220392[[#This Row],[Descripción del equipo]] &amp; " ") - 1)</f>
        <v>Arnes</v>
      </c>
      <c r="C809" s="11" t="s">
        <v>173</v>
      </c>
      <c r="D809">
        <v>1</v>
      </c>
      <c r="E809" t="s">
        <v>160</v>
      </c>
      <c r="F809" s="92" t="s">
        <v>1056</v>
      </c>
      <c r="G809" s="90" t="str">
        <f>LEFT([1]modificado!$O$2, FIND(" ", [1]modificado!$O$2 &amp; " ") - 1)</f>
        <v>3M</v>
      </c>
      <c r="H809" s="47" t="str">
        <f>RIGHT([1]!Tabla2[[#This Row],[Marca y Modelo]], LEN([1]!Tabla2[[#This Row],[Marca y Modelo]]) - FIND(" ", [1]!Tabla2[[#This Row],[Marca y Modelo]]))</f>
        <v>1110600</v>
      </c>
      <c r="I809" s="76"/>
      <c r="J809" s="76"/>
      <c r="K809" s="92" t="s">
        <v>4217</v>
      </c>
      <c r="L809" s="92" t="s">
        <v>3420</v>
      </c>
      <c r="M809" s="92" t="s">
        <v>1404</v>
      </c>
      <c r="N809" s="92" t="s">
        <v>2222</v>
      </c>
      <c r="O809" s="77"/>
      <c r="P809" s="92" t="s">
        <v>2534</v>
      </c>
      <c r="Q809" s="32"/>
      <c r="R809" s="48" t="s">
        <v>216</v>
      </c>
      <c r="S809" s="32"/>
    </row>
    <row r="810" spans="2:19" x14ac:dyDescent="0.3">
      <c r="B810" t="str">
        <f>LEFT(Tabla3890134177220392[[#This Row],[Descripción del equipo]], FIND(" ", Tabla3890134177220392[[#This Row],[Descripción del equipo]] &amp; " ") - 1)</f>
        <v>Arnes</v>
      </c>
      <c r="C810" s="11" t="s">
        <v>173</v>
      </c>
      <c r="D810">
        <v>1</v>
      </c>
      <c r="E810" t="s">
        <v>160</v>
      </c>
      <c r="F810" s="91" t="s">
        <v>1056</v>
      </c>
      <c r="G810" s="90" t="str">
        <f>LEFT([1]modificado!$O$2, FIND(" ", [1]modificado!$O$2 &amp; " ") - 1)</f>
        <v>3M</v>
      </c>
      <c r="H810" s="47" t="str">
        <f>RIGHT([1]!Tabla2[[#This Row],[Marca y Modelo]], LEN([1]!Tabla2[[#This Row],[Marca y Modelo]]) - FIND(" ", [1]!Tabla2[[#This Row],[Marca y Modelo]]))</f>
        <v>1110600</v>
      </c>
      <c r="I810" s="76"/>
      <c r="J810" s="76"/>
      <c r="K810" s="91" t="s">
        <v>4217</v>
      </c>
      <c r="L810" s="91" t="s">
        <v>3421</v>
      </c>
      <c r="M810" s="91" t="s">
        <v>1404</v>
      </c>
      <c r="N810" s="91" t="s">
        <v>2223</v>
      </c>
      <c r="O810" s="77"/>
      <c r="P810" s="91" t="s">
        <v>2534</v>
      </c>
      <c r="Q810" s="32"/>
      <c r="R810" s="48" t="s">
        <v>216</v>
      </c>
      <c r="S810" s="32"/>
    </row>
    <row r="811" spans="2:19" x14ac:dyDescent="0.3">
      <c r="B811" t="str">
        <f>LEFT(Tabla3890134177220392[[#This Row],[Descripción del equipo]], FIND(" ", Tabla3890134177220392[[#This Row],[Descripción del equipo]] &amp; " ") - 1)</f>
        <v>Arnes</v>
      </c>
      <c r="C811" s="11" t="s">
        <v>173</v>
      </c>
      <c r="D811">
        <v>1</v>
      </c>
      <c r="E811" t="s">
        <v>160</v>
      </c>
      <c r="F811" s="92" t="s">
        <v>1056</v>
      </c>
      <c r="G811" s="90" t="str">
        <f>LEFT([1]modificado!$O$2, FIND(" ", [1]modificado!$O$2 &amp; " ") - 1)</f>
        <v>3M</v>
      </c>
      <c r="H811" s="47" t="str">
        <f>RIGHT([1]!Tabla2[[#This Row],[Marca y Modelo]], LEN([1]!Tabla2[[#This Row],[Marca y Modelo]]) - FIND(" ", [1]!Tabla2[[#This Row],[Marca y Modelo]]))</f>
        <v>1110600</v>
      </c>
      <c r="I811" s="76"/>
      <c r="J811" s="76"/>
      <c r="K811" s="92" t="s">
        <v>4217</v>
      </c>
      <c r="L811" s="92" t="s">
        <v>3422</v>
      </c>
      <c r="M811" s="92" t="s">
        <v>1404</v>
      </c>
      <c r="N811" s="92" t="s">
        <v>2224</v>
      </c>
      <c r="O811" s="77"/>
      <c r="P811" s="92" t="s">
        <v>2534</v>
      </c>
      <c r="Q811" s="32"/>
      <c r="R811" s="48" t="s">
        <v>216</v>
      </c>
      <c r="S811" s="32"/>
    </row>
    <row r="812" spans="2:19" x14ac:dyDescent="0.3">
      <c r="B812" t="str">
        <f>LEFT(Tabla3890134177220392[[#This Row],[Descripción del equipo]], FIND(" ", Tabla3890134177220392[[#This Row],[Descripción del equipo]] &amp; " ") - 1)</f>
        <v>Arnes</v>
      </c>
      <c r="C812" s="11" t="s">
        <v>173</v>
      </c>
      <c r="D812">
        <v>1</v>
      </c>
      <c r="E812" t="s">
        <v>160</v>
      </c>
      <c r="F812" s="91" t="s">
        <v>1056</v>
      </c>
      <c r="G812" s="90" t="str">
        <f>LEFT([1]modificado!$O$2, FIND(" ", [1]modificado!$O$2 &amp; " ") - 1)</f>
        <v>3M</v>
      </c>
      <c r="H812" s="47" t="str">
        <f>RIGHT([1]!Tabla2[[#This Row],[Marca y Modelo]], LEN([1]!Tabla2[[#This Row],[Marca y Modelo]]) - FIND(" ", [1]!Tabla2[[#This Row],[Marca y Modelo]]))</f>
        <v>1110600</v>
      </c>
      <c r="I812" s="76"/>
      <c r="J812" s="76"/>
      <c r="K812" s="91" t="s">
        <v>4217</v>
      </c>
      <c r="L812" s="91" t="s">
        <v>3423</v>
      </c>
      <c r="M812" s="91" t="s">
        <v>1404</v>
      </c>
      <c r="N812" s="91" t="s">
        <v>2225</v>
      </c>
      <c r="O812" s="77"/>
      <c r="P812" s="91" t="s">
        <v>2534</v>
      </c>
      <c r="Q812" s="32"/>
      <c r="R812" s="48" t="s">
        <v>216</v>
      </c>
      <c r="S812" s="32"/>
    </row>
    <row r="813" spans="2:19" x14ac:dyDescent="0.3">
      <c r="B813" t="str">
        <f>LEFT(Tabla3890134177220392[[#This Row],[Descripción del equipo]], FIND(" ", Tabla3890134177220392[[#This Row],[Descripción del equipo]] &amp; " ") - 1)</f>
        <v>Arnes</v>
      </c>
      <c r="C813" s="11" t="s">
        <v>173</v>
      </c>
      <c r="D813">
        <v>1</v>
      </c>
      <c r="E813" t="s">
        <v>160</v>
      </c>
      <c r="F813" s="92" t="s">
        <v>1056</v>
      </c>
      <c r="G813" s="90" t="str">
        <f>LEFT([1]modificado!$O$2, FIND(" ", [1]modificado!$O$2 &amp; " ") - 1)</f>
        <v>3M</v>
      </c>
      <c r="H813" s="47" t="str">
        <f>RIGHT([1]!Tabla2[[#This Row],[Marca y Modelo]], LEN([1]!Tabla2[[#This Row],[Marca y Modelo]]) - FIND(" ", [1]!Tabla2[[#This Row],[Marca y Modelo]]))</f>
        <v>1110600</v>
      </c>
      <c r="I813" s="76"/>
      <c r="J813" s="76"/>
      <c r="K813" s="92" t="s">
        <v>4217</v>
      </c>
      <c r="L813" s="92" t="s">
        <v>3424</v>
      </c>
      <c r="M813" s="92" t="s">
        <v>1404</v>
      </c>
      <c r="N813" s="92" t="s">
        <v>2226</v>
      </c>
      <c r="O813" s="77"/>
      <c r="P813" s="92" t="s">
        <v>2534</v>
      </c>
      <c r="Q813" s="32"/>
      <c r="R813" s="48" t="s">
        <v>216</v>
      </c>
      <c r="S813" s="32"/>
    </row>
    <row r="814" spans="2:19" x14ac:dyDescent="0.3">
      <c r="B814" t="s">
        <v>4348</v>
      </c>
      <c r="C814" s="11" t="s">
        <v>173</v>
      </c>
      <c r="D814">
        <v>1</v>
      </c>
      <c r="E814" t="s">
        <v>160</v>
      </c>
      <c r="F814" s="91" t="s">
        <v>1057</v>
      </c>
      <c r="G814" s="90" t="str">
        <f>LEFT([1]modificado!$O$2, FIND(" ", [1]modificado!$O$2 &amp; " ") - 1)</f>
        <v>3M</v>
      </c>
      <c r="H814" s="47" t="str">
        <f>RIGHT([1]!Tabla2[[#This Row],[Marca y Modelo]], LEN([1]!Tabla2[[#This Row],[Marca y Modelo]]) - FIND(" ", [1]!Tabla2[[#This Row],[Marca y Modelo]]))</f>
        <v>1246245</v>
      </c>
      <c r="I814" s="76"/>
      <c r="J814" s="76"/>
      <c r="K814" s="91" t="s">
        <v>4219</v>
      </c>
      <c r="L814" s="91" t="s">
        <v>3425</v>
      </c>
      <c r="M814" s="91" t="s">
        <v>1404</v>
      </c>
      <c r="N814" s="91" t="s">
        <v>2227</v>
      </c>
      <c r="O814" s="77"/>
      <c r="P814" s="91" t="s">
        <v>2534</v>
      </c>
      <c r="Q814" s="32"/>
      <c r="R814" s="48" t="s">
        <v>216</v>
      </c>
      <c r="S814" s="32"/>
    </row>
    <row r="815" spans="2:19" x14ac:dyDescent="0.3">
      <c r="B815" t="s">
        <v>4348</v>
      </c>
      <c r="C815" s="11" t="s">
        <v>173</v>
      </c>
      <c r="D815">
        <v>1</v>
      </c>
      <c r="E815" t="s">
        <v>160</v>
      </c>
      <c r="F815" s="92" t="s">
        <v>1057</v>
      </c>
      <c r="G815" s="90" t="str">
        <f>LEFT([1]modificado!$O$2, FIND(" ", [1]modificado!$O$2 &amp; " ") - 1)</f>
        <v>3M</v>
      </c>
      <c r="H815" s="47" t="str">
        <f>RIGHT([1]!Tabla2[[#This Row],[Marca y Modelo]], LEN([1]!Tabla2[[#This Row],[Marca y Modelo]]) - FIND(" ", [1]!Tabla2[[#This Row],[Marca y Modelo]]))</f>
        <v>1246245</v>
      </c>
      <c r="I815" s="76"/>
      <c r="J815" s="76"/>
      <c r="K815" s="92" t="s">
        <v>4219</v>
      </c>
      <c r="L815" s="92" t="s">
        <v>3426</v>
      </c>
      <c r="M815" s="92" t="s">
        <v>1404</v>
      </c>
      <c r="N815" s="92" t="s">
        <v>2228</v>
      </c>
      <c r="O815" s="77"/>
      <c r="P815" s="92" t="s">
        <v>2534</v>
      </c>
      <c r="Q815" s="32"/>
      <c r="R815" s="48" t="s">
        <v>216</v>
      </c>
      <c r="S815" s="32"/>
    </row>
    <row r="816" spans="2:19" x14ac:dyDescent="0.3">
      <c r="B816" t="s">
        <v>4348</v>
      </c>
      <c r="C816" s="11" t="s">
        <v>173</v>
      </c>
      <c r="D816">
        <v>1</v>
      </c>
      <c r="E816" t="s">
        <v>160</v>
      </c>
      <c r="F816" s="91" t="s">
        <v>1057</v>
      </c>
      <c r="G816" s="90" t="str">
        <f>LEFT([1]modificado!$O$2, FIND(" ", [1]modificado!$O$2 &amp; " ") - 1)</f>
        <v>3M</v>
      </c>
      <c r="H816" s="47" t="str">
        <f>RIGHT([1]!Tabla2[[#This Row],[Marca y Modelo]], LEN([1]!Tabla2[[#This Row],[Marca y Modelo]]) - FIND(" ", [1]!Tabla2[[#This Row],[Marca y Modelo]]))</f>
        <v>1246245</v>
      </c>
      <c r="I816" s="76"/>
      <c r="J816" s="76"/>
      <c r="K816" s="91" t="s">
        <v>4220</v>
      </c>
      <c r="L816" s="91" t="s">
        <v>3427</v>
      </c>
      <c r="M816" s="91" t="s">
        <v>1404</v>
      </c>
      <c r="N816" s="91" t="s">
        <v>2229</v>
      </c>
      <c r="O816" s="77"/>
      <c r="P816" s="91" t="s">
        <v>2534</v>
      </c>
      <c r="Q816" s="32"/>
      <c r="R816" s="48" t="s">
        <v>216</v>
      </c>
      <c r="S816" s="32"/>
    </row>
    <row r="817" spans="2:19" x14ac:dyDescent="0.3">
      <c r="B817" t="s">
        <v>4348</v>
      </c>
      <c r="C817" s="11" t="s">
        <v>173</v>
      </c>
      <c r="D817">
        <v>1</v>
      </c>
      <c r="E817" t="s">
        <v>160</v>
      </c>
      <c r="F817" s="92" t="s">
        <v>1057</v>
      </c>
      <c r="G817" s="90" t="str">
        <f>LEFT([1]modificado!$O$2, FIND(" ", [1]modificado!$O$2 &amp; " ") - 1)</f>
        <v>3M</v>
      </c>
      <c r="H817" s="47" t="str">
        <f>RIGHT([1]!Tabla2[[#This Row],[Marca y Modelo]], LEN([1]!Tabla2[[#This Row],[Marca y Modelo]]) - FIND(" ", [1]!Tabla2[[#This Row],[Marca y Modelo]]))</f>
        <v>1246245</v>
      </c>
      <c r="I817" s="76"/>
      <c r="J817" s="76"/>
      <c r="K817" s="92" t="s">
        <v>4220</v>
      </c>
      <c r="L817" s="92" t="s">
        <v>3428</v>
      </c>
      <c r="M817" s="92" t="s">
        <v>1404</v>
      </c>
      <c r="N817" s="92" t="s">
        <v>2230</v>
      </c>
      <c r="O817" s="77"/>
      <c r="P817" s="92" t="s">
        <v>2534</v>
      </c>
      <c r="Q817" s="32"/>
      <c r="R817" s="48" t="s">
        <v>216</v>
      </c>
      <c r="S817" s="32"/>
    </row>
    <row r="818" spans="2:19" x14ac:dyDescent="0.3">
      <c r="B818" t="s">
        <v>4348</v>
      </c>
      <c r="C818" s="11" t="s">
        <v>173</v>
      </c>
      <c r="D818">
        <v>1</v>
      </c>
      <c r="E818" t="s">
        <v>160</v>
      </c>
      <c r="F818" s="91" t="s">
        <v>1057</v>
      </c>
      <c r="G818" s="90" t="str">
        <f>LEFT([1]modificado!$O$2, FIND(" ", [1]modificado!$O$2 &amp; " ") - 1)</f>
        <v>3M</v>
      </c>
      <c r="H818" s="47" t="str">
        <f>RIGHT([1]!Tabla2[[#This Row],[Marca y Modelo]], LEN([1]!Tabla2[[#This Row],[Marca y Modelo]]) - FIND(" ", [1]!Tabla2[[#This Row],[Marca y Modelo]]))</f>
        <v>1246245</v>
      </c>
      <c r="I818" s="76"/>
      <c r="J818" s="76"/>
      <c r="K818" s="91" t="s">
        <v>4220</v>
      </c>
      <c r="L818" s="91" t="s">
        <v>3429</v>
      </c>
      <c r="M818" s="91" t="s">
        <v>1404</v>
      </c>
      <c r="N818" s="91" t="s">
        <v>2231</v>
      </c>
      <c r="O818" s="77"/>
      <c r="P818" s="91" t="s">
        <v>2534</v>
      </c>
      <c r="Q818" s="32"/>
      <c r="R818" s="48" t="s">
        <v>216</v>
      </c>
      <c r="S818" s="32"/>
    </row>
    <row r="819" spans="2:19" x14ac:dyDescent="0.3">
      <c r="B819" t="s">
        <v>4348</v>
      </c>
      <c r="C819" s="11" t="s">
        <v>173</v>
      </c>
      <c r="D819">
        <v>1</v>
      </c>
      <c r="E819" t="s">
        <v>160</v>
      </c>
      <c r="F819" s="92" t="s">
        <v>1057</v>
      </c>
      <c r="G819" s="90" t="str">
        <f>LEFT([1]modificado!$O$2, FIND(" ", [1]modificado!$O$2 &amp; " ") - 1)</f>
        <v>3M</v>
      </c>
      <c r="H819" s="47" t="str">
        <f>RIGHT([1]!Tabla2[[#This Row],[Marca y Modelo]], LEN([1]!Tabla2[[#This Row],[Marca y Modelo]]) - FIND(" ", [1]!Tabla2[[#This Row],[Marca y Modelo]]))</f>
        <v>1246245</v>
      </c>
      <c r="I819" s="76"/>
      <c r="J819" s="76"/>
      <c r="K819" s="92" t="s">
        <v>4220</v>
      </c>
      <c r="L819" s="92" t="s">
        <v>3430</v>
      </c>
      <c r="M819" s="92" t="s">
        <v>1404</v>
      </c>
      <c r="N819" s="92" t="s">
        <v>2232</v>
      </c>
      <c r="O819" s="77"/>
      <c r="P819" s="92" t="s">
        <v>2534</v>
      </c>
      <c r="Q819" s="32"/>
      <c r="R819" s="48" t="s">
        <v>216</v>
      </c>
      <c r="S819" s="32"/>
    </row>
    <row r="820" spans="2:19" ht="28.8" x14ac:dyDescent="0.3">
      <c r="B820" t="str">
        <f>LEFT(Tabla3890134177220392[[#This Row],[Descripción del equipo]], FIND(" ", Tabla3890134177220392[[#This Row],[Descripción del equipo]] &amp; " ") - 1)</f>
        <v>Arnes</v>
      </c>
      <c r="C820" s="11" t="s">
        <v>177</v>
      </c>
      <c r="D820">
        <v>1</v>
      </c>
      <c r="E820" t="s">
        <v>160</v>
      </c>
      <c r="F820" s="91" t="s">
        <v>1056</v>
      </c>
      <c r="G820" s="90" t="str">
        <f>LEFT([1]modificado!$O$2, FIND(" ", [1]modificado!$O$2 &amp; " ") - 1)</f>
        <v>3M</v>
      </c>
      <c r="H820" s="47" t="str">
        <f>RIGHT([1]!Tabla2[[#This Row],[Marca y Modelo]], LEN([1]!Tabla2[[#This Row],[Marca y Modelo]]) - FIND(" ", [1]!Tabla2[[#This Row],[Marca y Modelo]]))</f>
        <v>Space</v>
      </c>
      <c r="I820" s="76"/>
      <c r="J820" s="76"/>
      <c r="K820" s="91" t="s">
        <v>4221</v>
      </c>
      <c r="L820" s="91" t="s">
        <v>3431</v>
      </c>
      <c r="M820" s="91" t="s">
        <v>1406</v>
      </c>
      <c r="N820" s="91" t="s">
        <v>2233</v>
      </c>
      <c r="O820" s="77"/>
      <c r="P820" s="91" t="s">
        <v>2535</v>
      </c>
      <c r="Q820" s="32"/>
      <c r="R820" s="48" t="s">
        <v>216</v>
      </c>
      <c r="S820" s="32"/>
    </row>
    <row r="821" spans="2:19" ht="28.8" x14ac:dyDescent="0.3">
      <c r="B821" t="str">
        <f>LEFT(Tabla3890134177220392[[#This Row],[Descripción del equipo]], FIND(" ", Tabla3890134177220392[[#This Row],[Descripción del equipo]] &amp; " ") - 1)</f>
        <v>Arnes</v>
      </c>
      <c r="C821" s="11" t="s">
        <v>177</v>
      </c>
      <c r="D821">
        <v>1</v>
      </c>
      <c r="E821" t="s">
        <v>160</v>
      </c>
      <c r="F821" s="92" t="s">
        <v>1056</v>
      </c>
      <c r="G821" s="90" t="str">
        <f>LEFT([1]modificado!$O$2, FIND(" ", [1]modificado!$O$2 &amp; " ") - 1)</f>
        <v>3M</v>
      </c>
      <c r="H821" s="47" t="str">
        <f>RIGHT([1]!Tabla2[[#This Row],[Marca y Modelo]], LEN([1]!Tabla2[[#This Row],[Marca y Modelo]]) - FIND(" ", [1]!Tabla2[[#This Row],[Marca y Modelo]]))</f>
        <v>Tiger</v>
      </c>
      <c r="I821" s="76"/>
      <c r="J821" s="76"/>
      <c r="K821" s="92" t="s">
        <v>4221</v>
      </c>
      <c r="L821" s="92" t="s">
        <v>3432</v>
      </c>
      <c r="M821" s="92" t="s">
        <v>1406</v>
      </c>
      <c r="N821" s="92" t="s">
        <v>2234</v>
      </c>
      <c r="O821" s="77"/>
      <c r="P821" s="92" t="s">
        <v>2535</v>
      </c>
      <c r="Q821" s="32"/>
      <c r="R821" s="48" t="s">
        <v>216</v>
      </c>
      <c r="S821" s="32"/>
    </row>
    <row r="822" spans="2:19" ht="28.8" x14ac:dyDescent="0.3">
      <c r="B822" t="str">
        <f>LEFT(Tabla3890134177220392[[#This Row],[Descripción del equipo]], FIND(" ", Tabla3890134177220392[[#This Row],[Descripción del equipo]] &amp; " ") - 1)</f>
        <v>Arnes</v>
      </c>
      <c r="C822" s="11" t="s">
        <v>177</v>
      </c>
      <c r="D822">
        <v>1</v>
      </c>
      <c r="E822" t="s">
        <v>160</v>
      </c>
      <c r="F822" s="91" t="s">
        <v>1056</v>
      </c>
      <c r="G822" s="90" t="str">
        <f>LEFT([1]modificado!$O$2, FIND(" ", [1]modificado!$O$2 &amp; " ") - 1)</f>
        <v>3M</v>
      </c>
      <c r="H822" s="47" t="str">
        <f>RIGHT([1]!Tabla2[[#This Row],[Marca y Modelo]], LEN([1]!Tabla2[[#This Row],[Marca y Modelo]]) - FIND(" ", [1]!Tabla2[[#This Row],[Marca y Modelo]]))</f>
        <v>Tiger</v>
      </c>
      <c r="I822" s="76"/>
      <c r="J822" s="76"/>
      <c r="K822" s="91" t="s">
        <v>4221</v>
      </c>
      <c r="L822" s="91" t="s">
        <v>3433</v>
      </c>
      <c r="M822" s="91" t="s">
        <v>1406</v>
      </c>
      <c r="N822" s="91" t="s">
        <v>2235</v>
      </c>
      <c r="O822" s="77"/>
      <c r="P822" s="91" t="s">
        <v>2535</v>
      </c>
      <c r="Q822" s="32"/>
      <c r="R822" s="48" t="s">
        <v>216</v>
      </c>
      <c r="S822" s="32"/>
    </row>
    <row r="823" spans="2:19" ht="28.8" x14ac:dyDescent="0.3">
      <c r="B823" t="str">
        <f>LEFT(Tabla3890134177220392[[#This Row],[Descripción del equipo]], FIND(" ", Tabla3890134177220392[[#This Row],[Descripción del equipo]] &amp; " ") - 1)</f>
        <v>Arnes</v>
      </c>
      <c r="C823" s="11" t="s">
        <v>177</v>
      </c>
      <c r="D823">
        <v>1</v>
      </c>
      <c r="E823" t="s">
        <v>160</v>
      </c>
      <c r="F823" s="92" t="s">
        <v>1056</v>
      </c>
      <c r="G823" s="90" t="str">
        <f>LEFT([1]modificado!$O$2, FIND(" ", [1]modificado!$O$2 &amp; " ") - 1)</f>
        <v>3M</v>
      </c>
      <c r="H823" s="47" t="str">
        <f>RIGHT([1]!Tabla2[[#This Row],[Marca y Modelo]], LEN([1]!Tabla2[[#This Row],[Marca y Modelo]]) - FIND(" ", [1]!Tabla2[[#This Row],[Marca y Modelo]]))</f>
        <v>Space</v>
      </c>
      <c r="I823" s="76"/>
      <c r="J823" s="76"/>
      <c r="K823" s="92" t="s">
        <v>4221</v>
      </c>
      <c r="L823" s="92" t="s">
        <v>3434</v>
      </c>
      <c r="M823" s="92" t="s">
        <v>1406</v>
      </c>
      <c r="N823" s="92" t="s">
        <v>2236</v>
      </c>
      <c r="O823" s="77"/>
      <c r="P823" s="92" t="s">
        <v>2535</v>
      </c>
      <c r="Q823" s="32"/>
      <c r="R823" s="48" t="s">
        <v>216</v>
      </c>
      <c r="S823" s="32"/>
    </row>
    <row r="824" spans="2:19" ht="28.8" x14ac:dyDescent="0.3">
      <c r="B824" t="str">
        <f>LEFT(Tabla3890134177220392[[#This Row],[Descripción del equipo]], FIND(" ", Tabla3890134177220392[[#This Row],[Descripción del equipo]] &amp; " ") - 1)</f>
        <v>Arnes</v>
      </c>
      <c r="C824" s="11" t="s">
        <v>177</v>
      </c>
      <c r="D824">
        <v>1</v>
      </c>
      <c r="E824" t="s">
        <v>160</v>
      </c>
      <c r="F824" s="91" t="s">
        <v>1056</v>
      </c>
      <c r="G824" s="90" t="str">
        <f>LEFT([1]modificado!$O$2, FIND(" ", [1]modificado!$O$2 &amp; " ") - 1)</f>
        <v>3M</v>
      </c>
      <c r="H824" s="47" t="str">
        <f>RIGHT([1]!Tabla2[[#This Row],[Marca y Modelo]], LEN([1]!Tabla2[[#This Row],[Marca y Modelo]]) - FIND(" ", [1]!Tabla2[[#This Row],[Marca y Modelo]]))</f>
        <v>Space</v>
      </c>
      <c r="I824" s="76"/>
      <c r="J824" s="76"/>
      <c r="K824" s="91" t="s">
        <v>4221</v>
      </c>
      <c r="L824" s="91" t="s">
        <v>3435</v>
      </c>
      <c r="M824" s="91" t="s">
        <v>1406</v>
      </c>
      <c r="N824" s="91" t="s">
        <v>2237</v>
      </c>
      <c r="O824" s="77"/>
      <c r="P824" s="91" t="s">
        <v>2535</v>
      </c>
      <c r="Q824" s="32"/>
      <c r="R824" s="48" t="s">
        <v>216</v>
      </c>
      <c r="S824" s="32"/>
    </row>
    <row r="825" spans="2:19" ht="28.8" x14ac:dyDescent="0.3">
      <c r="B825" t="str">
        <f>LEFT(Tabla3890134177220392[[#This Row],[Descripción del equipo]], FIND(" ", Tabla3890134177220392[[#This Row],[Descripción del equipo]] &amp; " ") - 1)</f>
        <v>Arnes</v>
      </c>
      <c r="C825" s="11" t="s">
        <v>177</v>
      </c>
      <c r="D825">
        <v>1</v>
      </c>
      <c r="E825" t="s">
        <v>160</v>
      </c>
      <c r="F825" s="92" t="s">
        <v>1056</v>
      </c>
      <c r="G825" s="90" t="str">
        <f>LEFT([1]modificado!$O$2, FIND(" ", [1]modificado!$O$2 &amp; " ") - 1)</f>
        <v>3M</v>
      </c>
      <c r="H825" s="47" t="str">
        <f>RIGHT([1]!Tabla2[[#This Row],[Marca y Modelo]], LEN([1]!Tabla2[[#This Row],[Marca y Modelo]]) - FIND(" ", [1]!Tabla2[[#This Row],[Marca y Modelo]]))</f>
        <v>Lion</v>
      </c>
      <c r="I825" s="76"/>
      <c r="J825" s="76"/>
      <c r="K825" s="92" t="s">
        <v>4221</v>
      </c>
      <c r="L825" s="92" t="s">
        <v>3436</v>
      </c>
      <c r="M825" s="92" t="s">
        <v>1405</v>
      </c>
      <c r="N825" s="92" t="s">
        <v>2238</v>
      </c>
      <c r="O825" s="77"/>
      <c r="P825" s="92" t="s">
        <v>2535</v>
      </c>
      <c r="Q825" s="32"/>
      <c r="R825" s="48" t="s">
        <v>216</v>
      </c>
      <c r="S825" s="32"/>
    </row>
    <row r="826" spans="2:19" ht="28.8" x14ac:dyDescent="0.3">
      <c r="B826" t="str">
        <f>LEFT(Tabla3890134177220392[[#This Row],[Descripción del equipo]], FIND(" ", Tabla3890134177220392[[#This Row],[Descripción del equipo]] &amp; " ") - 1)</f>
        <v>Arnes</v>
      </c>
      <c r="C826" s="11" t="s">
        <v>177</v>
      </c>
      <c r="D826">
        <v>1</v>
      </c>
      <c r="E826" t="s">
        <v>160</v>
      </c>
      <c r="F826" s="91" t="s">
        <v>1056</v>
      </c>
      <c r="G826" s="90" t="str">
        <f>LEFT([1]modificado!$O$2, FIND(" ", [1]modificado!$O$2 &amp; " ") - 1)</f>
        <v>3M</v>
      </c>
      <c r="H826" s="47" t="str">
        <f>RIGHT([1]!Tabla2[[#This Row],[Marca y Modelo]], LEN([1]!Tabla2[[#This Row],[Marca y Modelo]]) - FIND(" ", [1]!Tabla2[[#This Row],[Marca y Modelo]]))</f>
        <v>Space</v>
      </c>
      <c r="I826" s="76"/>
      <c r="J826" s="76"/>
      <c r="K826" s="91" t="s">
        <v>4221</v>
      </c>
      <c r="L826" s="91" t="s">
        <v>3437</v>
      </c>
      <c r="M826" s="91" t="s">
        <v>1406</v>
      </c>
      <c r="N826" s="91" t="s">
        <v>2239</v>
      </c>
      <c r="O826" s="77"/>
      <c r="P826" s="91" t="s">
        <v>2535</v>
      </c>
      <c r="Q826" s="32"/>
      <c r="R826" s="48" t="s">
        <v>216</v>
      </c>
      <c r="S826" s="32"/>
    </row>
    <row r="827" spans="2:19" ht="28.8" x14ac:dyDescent="0.3">
      <c r="B827" t="str">
        <f>LEFT(Tabla3890134177220392[[#This Row],[Descripción del equipo]], FIND(" ", Tabla3890134177220392[[#This Row],[Descripción del equipo]] &amp; " ") - 1)</f>
        <v>Arnes</v>
      </c>
      <c r="C827" s="11" t="s">
        <v>177</v>
      </c>
      <c r="D827">
        <v>1</v>
      </c>
      <c r="E827" t="s">
        <v>160</v>
      </c>
      <c r="F827" s="92" t="s">
        <v>1056</v>
      </c>
      <c r="G827" s="90" t="str">
        <f>LEFT([1]modificado!$O$2, FIND(" ", [1]modificado!$O$2 &amp; " ") - 1)</f>
        <v>3M</v>
      </c>
      <c r="H827" s="47" t="str">
        <f>RIGHT([1]!Tabla2[[#This Row],[Marca y Modelo]], LEN([1]!Tabla2[[#This Row],[Marca y Modelo]]) - FIND(" ", [1]!Tabla2[[#This Row],[Marca y Modelo]]))</f>
        <v>Musitani Space</v>
      </c>
      <c r="I827" s="76"/>
      <c r="J827" s="76"/>
      <c r="K827" s="92" t="s">
        <v>4221</v>
      </c>
      <c r="L827" s="92" t="s">
        <v>3438</v>
      </c>
      <c r="M827" s="92" t="s">
        <v>1406</v>
      </c>
      <c r="N827" s="92" t="s">
        <v>2240</v>
      </c>
      <c r="O827" s="77"/>
      <c r="P827" s="92" t="s">
        <v>2535</v>
      </c>
      <c r="Q827" s="32"/>
      <c r="R827" s="48" t="s">
        <v>216</v>
      </c>
      <c r="S827" s="32"/>
    </row>
    <row r="828" spans="2:19" ht="28.8" x14ac:dyDescent="0.3">
      <c r="B828" t="str">
        <f>LEFT(Tabla3890134177220392[[#This Row],[Descripción del equipo]], FIND(" ", Tabla3890134177220392[[#This Row],[Descripción del equipo]] &amp; " ") - 1)</f>
        <v>Arnes</v>
      </c>
      <c r="C828" s="11" t="s">
        <v>177</v>
      </c>
      <c r="D828">
        <v>1</v>
      </c>
      <c r="E828" t="s">
        <v>160</v>
      </c>
      <c r="F828" s="91" t="s">
        <v>1056</v>
      </c>
      <c r="G828" s="90" t="str">
        <f>LEFT([1]modificado!$O$2, FIND(" ", [1]modificado!$O$2 &amp; " ") - 1)</f>
        <v>3M</v>
      </c>
      <c r="H828" s="47" t="str">
        <f>RIGHT([1]!Tabla2[[#This Row],[Marca y Modelo]], LEN([1]!Tabla2[[#This Row],[Marca y Modelo]]) - FIND(" ", [1]!Tabla2[[#This Row],[Marca y Modelo]]))</f>
        <v>Musitani Space</v>
      </c>
      <c r="I828" s="76"/>
      <c r="J828" s="76"/>
      <c r="K828" s="91" t="s">
        <v>4221</v>
      </c>
      <c r="L828" s="91" t="s">
        <v>3439</v>
      </c>
      <c r="M828" s="91" t="s">
        <v>1406</v>
      </c>
      <c r="N828" s="91" t="s">
        <v>2241</v>
      </c>
      <c r="O828" s="77"/>
      <c r="P828" s="91" t="s">
        <v>2535</v>
      </c>
      <c r="Q828" s="32"/>
      <c r="R828" s="48" t="s">
        <v>216</v>
      </c>
      <c r="S828" s="32"/>
    </row>
    <row r="829" spans="2:19" ht="28.8" x14ac:dyDescent="0.3">
      <c r="B829" t="str">
        <f>LEFT(Tabla3890134177220392[[#This Row],[Descripción del equipo]], FIND(" ", Tabla3890134177220392[[#This Row],[Descripción del equipo]] &amp; " ") - 1)</f>
        <v>Arnes</v>
      </c>
      <c r="C829" s="11" t="s">
        <v>177</v>
      </c>
      <c r="D829">
        <v>1</v>
      </c>
      <c r="E829" t="s">
        <v>160</v>
      </c>
      <c r="F829" s="92" t="s">
        <v>1056</v>
      </c>
      <c r="G829" s="90" t="str">
        <f>LEFT([1]modificado!$O$2, FIND(" ", [1]modificado!$O$2 &amp; " ") - 1)</f>
        <v>3M</v>
      </c>
      <c r="H829" s="47" t="str">
        <f>RIGHT([1]!Tabla2[[#This Row],[Marca y Modelo]], LEN([1]!Tabla2[[#This Row],[Marca y Modelo]]) - FIND(" ", [1]!Tabla2[[#This Row],[Marca y Modelo]]))</f>
        <v>Musitani Space</v>
      </c>
      <c r="I829" s="76"/>
      <c r="J829" s="76"/>
      <c r="K829" s="92" t="s">
        <v>4221</v>
      </c>
      <c r="L829" s="92" t="s">
        <v>3440</v>
      </c>
      <c r="M829" s="92" t="s">
        <v>1406</v>
      </c>
      <c r="N829" s="92" t="s">
        <v>2242</v>
      </c>
      <c r="O829" s="77"/>
      <c r="P829" s="92" t="s">
        <v>2535</v>
      </c>
      <c r="Q829" s="32"/>
      <c r="R829" s="48" t="s">
        <v>216</v>
      </c>
      <c r="S829" s="32"/>
    </row>
    <row r="830" spans="2:19" ht="28.8" x14ac:dyDescent="0.3">
      <c r="B830" t="str">
        <f>LEFT(Tabla3890134177220392[[#This Row],[Descripción del equipo]], FIND(" ", Tabla3890134177220392[[#This Row],[Descripción del equipo]] &amp; " ") - 1)</f>
        <v>Arnes</v>
      </c>
      <c r="C830" s="11" t="s">
        <v>177</v>
      </c>
      <c r="D830">
        <v>1</v>
      </c>
      <c r="E830" t="s">
        <v>160</v>
      </c>
      <c r="F830" s="91" t="s">
        <v>1056</v>
      </c>
      <c r="G830" s="90" t="str">
        <f>LEFT([1]modificado!$O$2, FIND(" ", [1]modificado!$O$2 &amp; " ") - 1)</f>
        <v>3M</v>
      </c>
      <c r="H830" s="47" t="str">
        <f>RIGHT([1]!Tabla2[[#This Row],[Marca y Modelo]], LEN([1]!Tabla2[[#This Row],[Marca y Modelo]]) - FIND(" ", [1]!Tabla2[[#This Row],[Marca y Modelo]]))</f>
        <v>10911F-LOGO</v>
      </c>
      <c r="I830" s="76"/>
      <c r="J830" s="76"/>
      <c r="K830" s="91" t="s">
        <v>4221</v>
      </c>
      <c r="L830" s="91" t="s">
        <v>3441</v>
      </c>
      <c r="M830" s="91" t="s">
        <v>1404</v>
      </c>
      <c r="N830" s="91" t="s">
        <v>2243</v>
      </c>
      <c r="O830" s="77"/>
      <c r="P830" s="91" t="s">
        <v>2535</v>
      </c>
      <c r="Q830" s="32"/>
      <c r="R830" s="48" t="s">
        <v>216</v>
      </c>
      <c r="S830" s="32"/>
    </row>
    <row r="831" spans="2:19" ht="28.8" x14ac:dyDescent="0.3">
      <c r="B831" t="str">
        <f>LEFT(Tabla3890134177220392[[#This Row],[Descripción del equipo]], FIND(" ", Tabla3890134177220392[[#This Row],[Descripción del equipo]] &amp; " ") - 1)</f>
        <v>Arnes</v>
      </c>
      <c r="C831" s="11" t="s">
        <v>177</v>
      </c>
      <c r="D831">
        <v>1</v>
      </c>
      <c r="E831" t="s">
        <v>160</v>
      </c>
      <c r="F831" s="92" t="s">
        <v>1056</v>
      </c>
      <c r="G831" s="90" t="str">
        <f>LEFT([1]modificado!$O$2, FIND(" ", [1]modificado!$O$2 &amp; " ") - 1)</f>
        <v>3M</v>
      </c>
      <c r="H831" s="47" t="str">
        <f>RIGHT([1]!Tabla2[[#This Row],[Marca y Modelo]], LEN([1]!Tabla2[[#This Row],[Marca y Modelo]]) - FIND(" ", [1]!Tabla2[[#This Row],[Marca y Modelo]]))</f>
        <v>Lion</v>
      </c>
      <c r="I831" s="76"/>
      <c r="J831" s="76"/>
      <c r="K831" s="92" t="s">
        <v>4221</v>
      </c>
      <c r="L831" s="92" t="s">
        <v>3442</v>
      </c>
      <c r="M831" s="92" t="s">
        <v>1405</v>
      </c>
      <c r="N831" s="92" t="s">
        <v>2244</v>
      </c>
      <c r="O831" s="77"/>
      <c r="P831" s="92" t="s">
        <v>2535</v>
      </c>
      <c r="Q831" s="32"/>
      <c r="R831" s="48" t="s">
        <v>216</v>
      </c>
      <c r="S831" s="32"/>
    </row>
    <row r="832" spans="2:19" ht="28.8" x14ac:dyDescent="0.3">
      <c r="B832" t="str">
        <f>LEFT(Tabla3890134177220392[[#This Row],[Descripción del equipo]], FIND(" ", Tabla3890134177220392[[#This Row],[Descripción del equipo]] &amp; " ") - 1)</f>
        <v>Arnes</v>
      </c>
      <c r="C832" s="11" t="s">
        <v>177</v>
      </c>
      <c r="D832">
        <v>1</v>
      </c>
      <c r="E832" t="s">
        <v>160</v>
      </c>
      <c r="F832" s="91" t="s">
        <v>1056</v>
      </c>
      <c r="G832" s="90" t="str">
        <f>LEFT([1]modificado!$O$2, FIND(" ", [1]modificado!$O$2 &amp; " ") - 1)</f>
        <v>3M</v>
      </c>
      <c r="H832" s="47" t="str">
        <f>RIGHT([1]!Tabla2[[#This Row],[Marca y Modelo]], LEN([1]!Tabla2[[#This Row],[Marca y Modelo]]) - FIND(" ", [1]!Tabla2[[#This Row],[Marca y Modelo]]))</f>
        <v>Tiger</v>
      </c>
      <c r="I832" s="76"/>
      <c r="J832" s="76"/>
      <c r="K832" s="91" t="s">
        <v>4221</v>
      </c>
      <c r="L832" s="91" t="s">
        <v>3443</v>
      </c>
      <c r="M832" s="91" t="s">
        <v>1405</v>
      </c>
      <c r="N832" s="91" t="s">
        <v>2245</v>
      </c>
      <c r="O832" s="77"/>
      <c r="P832" s="91" t="s">
        <v>2535</v>
      </c>
      <c r="Q832" s="32"/>
      <c r="R832" s="48" t="s">
        <v>216</v>
      </c>
      <c r="S832" s="32"/>
    </row>
    <row r="833" spans="2:19" ht="28.8" x14ac:dyDescent="0.3">
      <c r="B833" t="str">
        <f>LEFT(Tabla3890134177220392[[#This Row],[Descripción del equipo]], FIND(" ", Tabla3890134177220392[[#This Row],[Descripción del equipo]] &amp; " ") - 1)</f>
        <v>Arnes</v>
      </c>
      <c r="C833" s="11" t="s">
        <v>177</v>
      </c>
      <c r="D833">
        <v>1</v>
      </c>
      <c r="E833" t="s">
        <v>160</v>
      </c>
      <c r="F833" s="92" t="s">
        <v>1056</v>
      </c>
      <c r="G833" s="90" t="str">
        <f>LEFT([1]modificado!$O$2, FIND(" ", [1]modificado!$O$2 &amp; " ") - 1)</f>
        <v>3M</v>
      </c>
      <c r="H833" s="47" t="str">
        <f>RIGHT([1]!Tabla2[[#This Row],[Marca y Modelo]], LEN([1]!Tabla2[[#This Row],[Marca y Modelo]]) - FIND(" ", [1]!Tabla2[[#This Row],[Marca y Modelo]]))</f>
        <v>Tiger</v>
      </c>
      <c r="I833" s="76"/>
      <c r="J833" s="76"/>
      <c r="K833" s="92" t="s">
        <v>4221</v>
      </c>
      <c r="L833" s="92" t="s">
        <v>3444</v>
      </c>
      <c r="M833" s="92" t="s">
        <v>1404</v>
      </c>
      <c r="N833" s="92" t="s">
        <v>2246</v>
      </c>
      <c r="O833" s="77"/>
      <c r="P833" s="92" t="s">
        <v>2535</v>
      </c>
      <c r="Q833" s="32"/>
      <c r="R833" s="48" t="s">
        <v>216</v>
      </c>
      <c r="S833" s="32"/>
    </row>
    <row r="834" spans="2:19" ht="28.8" x14ac:dyDescent="0.3">
      <c r="B834" t="str">
        <f>LEFT(Tabla3890134177220392[[#This Row],[Descripción del equipo]], FIND(" ", Tabla3890134177220392[[#This Row],[Descripción del equipo]] &amp; " ") - 1)</f>
        <v>Arnes</v>
      </c>
      <c r="C834" s="11" t="s">
        <v>177</v>
      </c>
      <c r="D834">
        <v>1</v>
      </c>
      <c r="E834" t="s">
        <v>160</v>
      </c>
      <c r="F834" s="91" t="s">
        <v>1056</v>
      </c>
      <c r="G834" s="90" t="str">
        <f>LEFT([1]modificado!$O$2, FIND(" ", [1]modificado!$O$2 &amp; " ") - 1)</f>
        <v>3M</v>
      </c>
      <c r="H834" s="47" t="str">
        <f>RIGHT([1]!Tabla2[[#This Row],[Marca y Modelo]], LEN([1]!Tabla2[[#This Row],[Marca y Modelo]]) - FIND(" ", [1]!Tabla2[[#This Row],[Marca y Modelo]]))</f>
        <v>Musitani Space</v>
      </c>
      <c r="I834" s="76"/>
      <c r="J834" s="76"/>
      <c r="K834" s="91" t="s">
        <v>4221</v>
      </c>
      <c r="L834" s="91" t="s">
        <v>3445</v>
      </c>
      <c r="M834" s="91" t="s">
        <v>1406</v>
      </c>
      <c r="N834" s="91" t="s">
        <v>2247</v>
      </c>
      <c r="O834" s="77"/>
      <c r="P834" s="91" t="s">
        <v>2535</v>
      </c>
      <c r="Q834" s="32"/>
      <c r="R834" s="48" t="s">
        <v>216</v>
      </c>
      <c r="S834" s="32"/>
    </row>
    <row r="835" spans="2:19" ht="28.8" x14ac:dyDescent="0.3">
      <c r="B835" t="str">
        <f>LEFT(Tabla3890134177220392[[#This Row],[Descripción del equipo]], FIND(" ", Tabla3890134177220392[[#This Row],[Descripción del equipo]] &amp; " ") - 1)</f>
        <v>Arnes</v>
      </c>
      <c r="C835" s="11" t="s">
        <v>177</v>
      </c>
      <c r="D835">
        <v>1</v>
      </c>
      <c r="E835" t="s">
        <v>160</v>
      </c>
      <c r="F835" s="92" t="s">
        <v>1056</v>
      </c>
      <c r="G835" s="90" t="str">
        <f>LEFT([1]modificado!$O$2, FIND(" ", [1]modificado!$O$2 &amp; " ") - 1)</f>
        <v>3M</v>
      </c>
      <c r="H835" s="47" t="str">
        <f>RIGHT([1]!Tabla2[[#This Row],[Marca y Modelo]], LEN([1]!Tabla2[[#This Row],[Marca y Modelo]]) - FIND(" ", [1]!Tabla2[[#This Row],[Marca y Modelo]]))</f>
        <v>Musitani Lion</v>
      </c>
      <c r="I835" s="76"/>
      <c r="J835" s="76"/>
      <c r="K835" s="92" t="s">
        <v>4221</v>
      </c>
      <c r="L835" s="92" t="s">
        <v>3446</v>
      </c>
      <c r="M835" s="92" t="s">
        <v>1404</v>
      </c>
      <c r="N835" s="92" t="s">
        <v>2248</v>
      </c>
      <c r="O835" s="77"/>
      <c r="P835" s="92" t="s">
        <v>2535</v>
      </c>
      <c r="Q835" s="32"/>
      <c r="R835" s="48" t="s">
        <v>216</v>
      </c>
      <c r="S835" s="32"/>
    </row>
    <row r="836" spans="2:19" ht="28.8" x14ac:dyDescent="0.3">
      <c r="B836" t="str">
        <f>LEFT(Tabla3890134177220392[[#This Row],[Descripción del equipo]], FIND(" ", Tabla3890134177220392[[#This Row],[Descripción del equipo]] &amp; " ") - 1)</f>
        <v>Arnes</v>
      </c>
      <c r="C836" s="11" t="s">
        <v>177</v>
      </c>
      <c r="D836">
        <v>1</v>
      </c>
      <c r="E836" t="s">
        <v>160</v>
      </c>
      <c r="F836" s="91" t="s">
        <v>1056</v>
      </c>
      <c r="G836" s="90" t="str">
        <f>LEFT([1]modificado!$O$2, FIND(" ", [1]modificado!$O$2 &amp; " ") - 1)</f>
        <v>3M</v>
      </c>
      <c r="H836" s="47" t="str">
        <f>RIGHT([1]!Tabla2[[#This Row],[Marca y Modelo]], LEN([1]!Tabla2[[#This Row],[Marca y Modelo]]) - FIND(" ", [1]!Tabla2[[#This Row],[Marca y Modelo]]))</f>
        <v>Tiger</v>
      </c>
      <c r="I836" s="76"/>
      <c r="J836" s="76"/>
      <c r="K836" s="91" t="s">
        <v>4221</v>
      </c>
      <c r="L836" s="91" t="s">
        <v>3447</v>
      </c>
      <c r="M836" s="91" t="s">
        <v>1406</v>
      </c>
      <c r="N836" s="91" t="s">
        <v>2249</v>
      </c>
      <c r="O836" s="77"/>
      <c r="P836" s="91" t="s">
        <v>2535</v>
      </c>
      <c r="Q836" s="32"/>
      <c r="R836" s="48" t="s">
        <v>216</v>
      </c>
      <c r="S836" s="32"/>
    </row>
    <row r="837" spans="2:19" ht="28.8" x14ac:dyDescent="0.3">
      <c r="B837" t="str">
        <f>LEFT(Tabla3890134177220392[[#This Row],[Descripción del equipo]], FIND(" ", Tabla3890134177220392[[#This Row],[Descripción del equipo]] &amp; " ") - 1)</f>
        <v>Arnes</v>
      </c>
      <c r="C837" s="11" t="s">
        <v>177</v>
      </c>
      <c r="D837">
        <v>1</v>
      </c>
      <c r="E837" t="s">
        <v>160</v>
      </c>
      <c r="F837" s="92" t="s">
        <v>1056</v>
      </c>
      <c r="G837" s="90" t="str">
        <f>LEFT([1]modificado!$O$2, FIND(" ", [1]modificado!$O$2 &amp; " ") - 1)</f>
        <v>3M</v>
      </c>
      <c r="H837" s="47" t="str">
        <f>RIGHT([1]!Tabla2[[#This Row],[Marca y Modelo]], LEN([1]!Tabla2[[#This Row],[Marca y Modelo]]) - FIND(" ", [1]!Tabla2[[#This Row],[Marca y Modelo]]))</f>
        <v>Lion</v>
      </c>
      <c r="I837" s="76"/>
      <c r="J837" s="76"/>
      <c r="K837" s="92" t="s">
        <v>4221</v>
      </c>
      <c r="L837" s="92" t="s">
        <v>3448</v>
      </c>
      <c r="M837" s="92" t="s">
        <v>1406</v>
      </c>
      <c r="N837" s="92" t="s">
        <v>2250</v>
      </c>
      <c r="O837" s="77"/>
      <c r="P837" s="92" t="s">
        <v>2535</v>
      </c>
      <c r="Q837" s="32"/>
      <c r="R837" s="48" t="s">
        <v>216</v>
      </c>
      <c r="S837" s="32"/>
    </row>
    <row r="838" spans="2:19" ht="28.8" x14ac:dyDescent="0.3">
      <c r="B838" t="str">
        <f>LEFT(Tabla3890134177220392[[#This Row],[Descripción del equipo]], FIND(" ", Tabla3890134177220392[[#This Row],[Descripción del equipo]] &amp; " ") - 1)</f>
        <v>Arnes</v>
      </c>
      <c r="C838" s="11" t="s">
        <v>177</v>
      </c>
      <c r="D838">
        <v>1</v>
      </c>
      <c r="E838" t="s">
        <v>160</v>
      </c>
      <c r="F838" s="91" t="s">
        <v>1056</v>
      </c>
      <c r="G838" s="90" t="str">
        <f>LEFT([1]modificado!$O$2, FIND(" ", [1]modificado!$O$2 &amp; " ") - 1)</f>
        <v>3M</v>
      </c>
      <c r="H838" s="47" t="str">
        <f>RIGHT([1]!Tabla2[[#This Row],[Marca y Modelo]], LEN([1]!Tabla2[[#This Row],[Marca y Modelo]]) - FIND(" ", [1]!Tabla2[[#This Row],[Marca y Modelo]]))</f>
        <v>Musitani Space</v>
      </c>
      <c r="I838" s="76"/>
      <c r="J838" s="76"/>
      <c r="K838" s="91" t="s">
        <v>4221</v>
      </c>
      <c r="L838" s="91" t="s">
        <v>3449</v>
      </c>
      <c r="M838" s="91" t="s">
        <v>1406</v>
      </c>
      <c r="N838" s="91" t="s">
        <v>2251</v>
      </c>
      <c r="O838" s="77"/>
      <c r="P838" s="91" t="s">
        <v>2535</v>
      </c>
      <c r="Q838" s="32"/>
      <c r="R838" s="48" t="s">
        <v>216</v>
      </c>
      <c r="S838" s="32"/>
    </row>
    <row r="839" spans="2:19" ht="28.8" x14ac:dyDescent="0.3">
      <c r="B839" t="str">
        <f>LEFT(Tabla3890134177220392[[#This Row],[Descripción del equipo]], FIND(" ", Tabla3890134177220392[[#This Row],[Descripción del equipo]] &amp; " ") - 1)</f>
        <v>Arnes</v>
      </c>
      <c r="C839" s="11" t="s">
        <v>177</v>
      </c>
      <c r="D839">
        <v>1</v>
      </c>
      <c r="E839" t="s">
        <v>160</v>
      </c>
      <c r="F839" s="92" t="s">
        <v>1056</v>
      </c>
      <c r="G839" s="90" t="str">
        <f>LEFT([1]modificado!$O$2, FIND(" ", [1]modificado!$O$2 &amp; " ") - 1)</f>
        <v>3M</v>
      </c>
      <c r="H839" s="47" t="str">
        <f>RIGHT([1]!Tabla2[[#This Row],[Marca y Modelo]], LEN([1]!Tabla2[[#This Row],[Marca y Modelo]]) - FIND(" ", [1]!Tabla2[[#This Row],[Marca y Modelo]]))</f>
        <v>Tiger</v>
      </c>
      <c r="I839" s="76"/>
      <c r="J839" s="76"/>
      <c r="K839" s="92" t="s">
        <v>4221</v>
      </c>
      <c r="L839" s="92" t="s">
        <v>3450</v>
      </c>
      <c r="M839" s="92" t="s">
        <v>1406</v>
      </c>
      <c r="N839" s="92" t="s">
        <v>2252</v>
      </c>
      <c r="O839" s="77"/>
      <c r="P839" s="92" t="s">
        <v>2535</v>
      </c>
      <c r="Q839" s="32"/>
      <c r="R839" s="48" t="s">
        <v>216</v>
      </c>
      <c r="S839" s="32"/>
    </row>
    <row r="840" spans="2:19" ht="28.8" x14ac:dyDescent="0.3">
      <c r="B840" t="str">
        <f>LEFT(Tabla3890134177220392[[#This Row],[Descripción del equipo]], FIND(" ", Tabla3890134177220392[[#This Row],[Descripción del equipo]] &amp; " ") - 1)</f>
        <v>Autoretractil</v>
      </c>
      <c r="C840" s="11" t="s">
        <v>177</v>
      </c>
      <c r="D840">
        <v>1</v>
      </c>
      <c r="E840" t="s">
        <v>160</v>
      </c>
      <c r="F840" s="91" t="s">
        <v>1058</v>
      </c>
      <c r="G840" s="90" t="str">
        <f>LEFT([1]modificado!$O$2, FIND(" ", [1]modificado!$O$2 &amp; " ") - 1)</f>
        <v>3M</v>
      </c>
      <c r="H840" s="47" t="str">
        <f>RIGHT([1]!Tabla2[[#This Row],[Marca y Modelo]], LEN([1]!Tabla2[[#This Row],[Marca y Modelo]]) - FIND(" ", [1]!Tabla2[[#This Row],[Marca y Modelo]]))</f>
        <v>Nano Lok</v>
      </c>
      <c r="I840" s="76"/>
      <c r="J840" s="76"/>
      <c r="K840" s="91" t="s">
        <v>4222</v>
      </c>
      <c r="L840" s="91" t="s">
        <v>3451</v>
      </c>
      <c r="M840" s="91" t="s">
        <v>1404</v>
      </c>
      <c r="N840" s="91" t="s">
        <v>2253</v>
      </c>
      <c r="O840" s="77"/>
      <c r="P840" s="91" t="s">
        <v>2535</v>
      </c>
      <c r="Q840" s="32"/>
      <c r="R840" s="48" t="s">
        <v>216</v>
      </c>
      <c r="S840" s="32"/>
    </row>
    <row r="841" spans="2:19" ht="28.8" x14ac:dyDescent="0.3">
      <c r="B841" t="str">
        <f>LEFT(Tabla3890134177220392[[#This Row],[Descripción del equipo]], FIND(" ", Tabla3890134177220392[[#This Row],[Descripción del equipo]] &amp; " ") - 1)</f>
        <v>Autoretractil</v>
      </c>
      <c r="C841" s="11" t="s">
        <v>177</v>
      </c>
      <c r="D841">
        <v>1</v>
      </c>
      <c r="E841" t="s">
        <v>160</v>
      </c>
      <c r="F841" s="92" t="s">
        <v>1058</v>
      </c>
      <c r="G841" s="90" t="str">
        <f>LEFT([1]modificado!$O$2, FIND(" ", [1]modificado!$O$2 &amp; " ") - 1)</f>
        <v>3M</v>
      </c>
      <c r="H841" s="47"/>
      <c r="I841" s="76"/>
      <c r="J841" s="76"/>
      <c r="K841" s="92" t="s">
        <v>4222</v>
      </c>
      <c r="L841" s="92" t="s">
        <v>3452</v>
      </c>
      <c r="M841" s="92" t="s">
        <v>1404</v>
      </c>
      <c r="N841" s="92" t="s">
        <v>2254</v>
      </c>
      <c r="O841" s="77"/>
      <c r="P841" s="92" t="s">
        <v>2535</v>
      </c>
      <c r="Q841" s="32"/>
      <c r="R841" s="48" t="s">
        <v>216</v>
      </c>
      <c r="S841" s="32"/>
    </row>
    <row r="842" spans="2:19" ht="28.8" x14ac:dyDescent="0.3">
      <c r="B842" t="str">
        <f>LEFT(Tabla3890134177220392[[#This Row],[Descripción del equipo]], FIND(" ", Tabla3890134177220392[[#This Row],[Descripción del equipo]] &amp; " ") - 1)</f>
        <v>Autoretractil</v>
      </c>
      <c r="C842" s="11" t="s">
        <v>177</v>
      </c>
      <c r="D842">
        <v>1</v>
      </c>
      <c r="E842" t="s">
        <v>160</v>
      </c>
      <c r="F842" s="91" t="s">
        <v>1058</v>
      </c>
      <c r="G842" s="90" t="str">
        <f>LEFT([1]modificado!$O$2, FIND(" ", [1]modificado!$O$2 &amp; " ") - 1)</f>
        <v>3M</v>
      </c>
      <c r="H842" s="47" t="str">
        <f>RIGHT([1]!Tabla2[[#This Row],[Marca y Modelo]], LEN([1]!Tabla2[[#This Row],[Marca y Modelo]]) - FIND(" ", [1]!Tabla2[[#This Row],[Marca y Modelo]]))</f>
        <v>3100425</v>
      </c>
      <c r="I842" s="76"/>
      <c r="J842" s="76"/>
      <c r="K842" s="91" t="s">
        <v>4222</v>
      </c>
      <c r="L842" s="91" t="s">
        <v>3453</v>
      </c>
      <c r="M842" s="91" t="s">
        <v>1404</v>
      </c>
      <c r="N842" s="91" t="s">
        <v>2255</v>
      </c>
      <c r="O842" s="77"/>
      <c r="P842" s="91" t="s">
        <v>2535</v>
      </c>
      <c r="Q842" s="32"/>
      <c r="R842" s="48" t="s">
        <v>216</v>
      </c>
      <c r="S842" s="32"/>
    </row>
    <row r="843" spans="2:19" ht="28.8" x14ac:dyDescent="0.3">
      <c r="B843" t="str">
        <f>LEFT(Tabla3890134177220392[[#This Row],[Descripción del equipo]], FIND(" ", Tabla3890134177220392[[#This Row],[Descripción del equipo]] &amp; " ") - 1)</f>
        <v>Autoretractil</v>
      </c>
      <c r="C843" s="11" t="s">
        <v>177</v>
      </c>
      <c r="D843">
        <v>1</v>
      </c>
      <c r="E843" t="s">
        <v>160</v>
      </c>
      <c r="F843" s="92" t="s">
        <v>1058</v>
      </c>
      <c r="G843" s="90" t="str">
        <f>LEFT([1]modificado!$O$2, FIND(" ", [1]modificado!$O$2 &amp; " ") - 1)</f>
        <v>3M</v>
      </c>
      <c r="H843" s="47" t="str">
        <f>RIGHT([1]!Tabla2[[#This Row],[Marca y Modelo]], LEN([1]!Tabla2[[#This Row],[Marca y Modelo]]) - FIND(" ", [1]!Tabla2[[#This Row],[Marca y Modelo]]))</f>
        <v>Nano Lok</v>
      </c>
      <c r="I843" s="76"/>
      <c r="J843" s="76"/>
      <c r="K843" s="92" t="s">
        <v>4222</v>
      </c>
      <c r="L843" s="92" t="s">
        <v>3454</v>
      </c>
      <c r="M843" s="92" t="s">
        <v>1404</v>
      </c>
      <c r="N843" s="92" t="s">
        <v>2256</v>
      </c>
      <c r="O843" s="77"/>
      <c r="P843" s="92" t="s">
        <v>2535</v>
      </c>
      <c r="Q843" s="32"/>
      <c r="R843" s="48" t="s">
        <v>216</v>
      </c>
      <c r="S843" s="32"/>
    </row>
    <row r="844" spans="2:19" ht="28.8" x14ac:dyDescent="0.3">
      <c r="B844" t="str">
        <f>LEFT(Tabla3890134177220392[[#This Row],[Descripción del equipo]], FIND(" ", Tabla3890134177220392[[#This Row],[Descripción del equipo]] &amp; " ") - 1)</f>
        <v>Autoretractil</v>
      </c>
      <c r="C844" s="11" t="s">
        <v>177</v>
      </c>
      <c r="D844">
        <v>1</v>
      </c>
      <c r="E844" t="s">
        <v>160</v>
      </c>
      <c r="F844" s="91" t="s">
        <v>1058</v>
      </c>
      <c r="G844" s="90" t="str">
        <f>LEFT([1]modificado!$O$2, FIND(" ", [1]modificado!$O$2 &amp; " ") - 1)</f>
        <v>3M</v>
      </c>
      <c r="H844" s="47" t="str">
        <f>RIGHT([1]!Tabla2[[#This Row],[Marca y Modelo]], LEN([1]!Tabla2[[#This Row],[Marca y Modelo]]) - FIND(" ", [1]!Tabla2[[#This Row],[Marca y Modelo]]))</f>
        <v>Nano Lok</v>
      </c>
      <c r="I844" s="76"/>
      <c r="J844" s="76"/>
      <c r="K844" s="91" t="s">
        <v>4222</v>
      </c>
      <c r="L844" s="91" t="s">
        <v>3455</v>
      </c>
      <c r="M844" s="91" t="s">
        <v>1404</v>
      </c>
      <c r="N844" s="91" t="s">
        <v>2257</v>
      </c>
      <c r="O844" s="77"/>
      <c r="P844" s="91" t="s">
        <v>2535</v>
      </c>
      <c r="Q844" s="32"/>
      <c r="R844" s="48" t="s">
        <v>216</v>
      </c>
      <c r="S844" s="32"/>
    </row>
    <row r="845" spans="2:19" ht="28.8" x14ac:dyDescent="0.3">
      <c r="B845" t="str">
        <f>LEFT(Tabla3890134177220392[[#This Row],[Descripción del equipo]], FIND(" ", Tabla3890134177220392[[#This Row],[Descripción del equipo]] &amp; " ") - 1)</f>
        <v>Autoretractil</v>
      </c>
      <c r="C845" s="11" t="s">
        <v>177</v>
      </c>
      <c r="D845">
        <v>1</v>
      </c>
      <c r="E845" t="s">
        <v>160</v>
      </c>
      <c r="F845" s="92" t="s">
        <v>1058</v>
      </c>
      <c r="G845" s="90" t="str">
        <f>LEFT([1]modificado!$O$2, FIND(" ", [1]modificado!$O$2 &amp; " ") - 1)</f>
        <v>3M</v>
      </c>
      <c r="H845" s="47" t="str">
        <f>RIGHT([1]!Tabla2[[#This Row],[Marca y Modelo]], LEN([1]!Tabla2[[#This Row],[Marca y Modelo]]) - FIND(" ", [1]!Tabla2[[#This Row],[Marca y Modelo]]))</f>
        <v>3100405</v>
      </c>
      <c r="I845" s="76"/>
      <c r="J845" s="76"/>
      <c r="K845" s="92" t="s">
        <v>4222</v>
      </c>
      <c r="L845" s="92" t="s">
        <v>3456</v>
      </c>
      <c r="M845" s="92" t="s">
        <v>1404</v>
      </c>
      <c r="N845" s="92" t="s">
        <v>2258</v>
      </c>
      <c r="O845" s="77"/>
      <c r="P845" s="92" t="s">
        <v>2535</v>
      </c>
      <c r="Q845" s="32"/>
      <c r="R845" s="48" t="s">
        <v>216</v>
      </c>
      <c r="S845" s="32"/>
    </row>
    <row r="846" spans="2:19" ht="28.8" x14ac:dyDescent="0.3">
      <c r="B846" t="str">
        <f>LEFT(Tabla3890134177220392[[#This Row],[Descripción del equipo]], FIND(" ", Tabla3890134177220392[[#This Row],[Descripción del equipo]] &amp; " ") - 1)</f>
        <v>Autoretractil</v>
      </c>
      <c r="C846" s="11" t="s">
        <v>177</v>
      </c>
      <c r="D846">
        <v>1</v>
      </c>
      <c r="E846" t="s">
        <v>160</v>
      </c>
      <c r="F846" s="91" t="s">
        <v>1058</v>
      </c>
      <c r="G846" s="90" t="str">
        <f>LEFT([1]modificado!$O$2, FIND(" ", [1]modificado!$O$2 &amp; " ") - 1)</f>
        <v>3M</v>
      </c>
      <c r="H846" s="47" t="str">
        <f>RIGHT([1]!Tabla2[[#This Row],[Marca y Modelo]], LEN([1]!Tabla2[[#This Row],[Marca y Modelo]]) - FIND(" ", [1]!Tabla2[[#This Row],[Marca y Modelo]]))</f>
        <v>3100414</v>
      </c>
      <c r="I846" s="76"/>
      <c r="J846" s="76"/>
      <c r="K846" s="91" t="s">
        <v>4222</v>
      </c>
      <c r="L846" s="91" t="s">
        <v>3457</v>
      </c>
      <c r="M846" s="91" t="s">
        <v>1404</v>
      </c>
      <c r="N846" s="91" t="s">
        <v>2259</v>
      </c>
      <c r="O846" s="77"/>
      <c r="P846" s="91" t="s">
        <v>2535</v>
      </c>
      <c r="Q846" s="32"/>
      <c r="R846" s="48" t="s">
        <v>216</v>
      </c>
      <c r="S846" s="32"/>
    </row>
    <row r="847" spans="2:19" ht="28.8" x14ac:dyDescent="0.3">
      <c r="B847" t="str">
        <f>LEFT(Tabla3890134177220392[[#This Row],[Descripción del equipo]], FIND(" ", Tabla3890134177220392[[#This Row],[Descripción del equipo]] &amp; " ") - 1)</f>
        <v>Autoretractil</v>
      </c>
      <c r="C847" s="11" t="s">
        <v>177</v>
      </c>
      <c r="D847">
        <v>1</v>
      </c>
      <c r="E847" t="s">
        <v>160</v>
      </c>
      <c r="F847" s="92" t="s">
        <v>1058</v>
      </c>
      <c r="G847" s="90" t="str">
        <f>LEFT([1]modificado!$O$2, FIND(" ", [1]modificado!$O$2 &amp; " ") - 1)</f>
        <v>3M</v>
      </c>
      <c r="H847" s="47" t="str">
        <f>RIGHT([1]!Tabla2[[#This Row],[Marca y Modelo]], LEN([1]!Tabla2[[#This Row],[Marca y Modelo]]) - FIND(" ", [1]!Tabla2[[#This Row],[Marca y Modelo]]))</f>
        <v>3100425</v>
      </c>
      <c r="I847" s="76"/>
      <c r="J847" s="76"/>
      <c r="K847" s="92" t="s">
        <v>4222</v>
      </c>
      <c r="L847" s="92" t="s">
        <v>3458</v>
      </c>
      <c r="M847" s="92" t="s">
        <v>1404</v>
      </c>
      <c r="N847" s="92" t="s">
        <v>2260</v>
      </c>
      <c r="O847" s="77"/>
      <c r="P847" s="92" t="s">
        <v>2535</v>
      </c>
      <c r="Q847" s="32"/>
      <c r="R847" s="48" t="s">
        <v>216</v>
      </c>
      <c r="S847" s="32"/>
    </row>
    <row r="848" spans="2:19" ht="28.8" x14ac:dyDescent="0.3">
      <c r="B848" t="str">
        <f>LEFT(Tabla3890134177220392[[#This Row],[Descripción del equipo]], FIND(" ", Tabla3890134177220392[[#This Row],[Descripción del equipo]] &amp; " ") - 1)</f>
        <v>Autoretractil</v>
      </c>
      <c r="C848" s="11" t="s">
        <v>177</v>
      </c>
      <c r="D848">
        <v>1</v>
      </c>
      <c r="E848" t="s">
        <v>160</v>
      </c>
      <c r="F848" s="91" t="s">
        <v>1058</v>
      </c>
      <c r="G848" s="90" t="str">
        <f>LEFT([1]modificado!$O$2, FIND(" ", [1]modificado!$O$2 &amp; " ") - 1)</f>
        <v>3M</v>
      </c>
      <c r="H848" s="47" t="str">
        <f>RIGHT([1]!Tabla2[[#This Row],[Marca y Modelo]], LEN([1]!Tabla2[[#This Row],[Marca y Modelo]]) - FIND(" ", [1]!Tabla2[[#This Row],[Marca y Modelo]]))</f>
        <v>3100414</v>
      </c>
      <c r="I848" s="76"/>
      <c r="J848" s="76"/>
      <c r="K848" s="91" t="s">
        <v>4222</v>
      </c>
      <c r="L848" s="91" t="s">
        <v>3459</v>
      </c>
      <c r="M848" s="91" t="s">
        <v>1404</v>
      </c>
      <c r="N848" s="91" t="s">
        <v>2261</v>
      </c>
      <c r="O848" s="77"/>
      <c r="P848" s="91" t="s">
        <v>2535</v>
      </c>
      <c r="Q848" s="32"/>
      <c r="R848" s="48" t="s">
        <v>216</v>
      </c>
      <c r="S848" s="32"/>
    </row>
    <row r="849" spans="2:19" ht="28.8" x14ac:dyDescent="0.3">
      <c r="B849" t="str">
        <f>LEFT(Tabla3890134177220392[[#This Row],[Descripción del equipo]], FIND(" ", Tabla3890134177220392[[#This Row],[Descripción del equipo]] &amp; " ") - 1)</f>
        <v>Autoretractil</v>
      </c>
      <c r="C849" s="11" t="s">
        <v>177</v>
      </c>
      <c r="D849">
        <v>1</v>
      </c>
      <c r="E849" t="s">
        <v>160</v>
      </c>
      <c r="F849" s="92" t="s">
        <v>1058</v>
      </c>
      <c r="G849" s="90" t="str">
        <f>LEFT([1]modificado!$O$2, FIND(" ", [1]modificado!$O$2 &amp; " ") - 1)</f>
        <v>3M</v>
      </c>
      <c r="H849" s="47" t="str">
        <f>RIGHT([1]!Tabla2[[#This Row],[Marca y Modelo]], LEN([1]!Tabla2[[#This Row],[Marca y Modelo]]) - FIND(" ", [1]!Tabla2[[#This Row],[Marca y Modelo]]))</f>
        <v>3100425</v>
      </c>
      <c r="I849" s="76"/>
      <c r="J849" s="76"/>
      <c r="K849" s="92" t="s">
        <v>4222</v>
      </c>
      <c r="L849" s="92" t="s">
        <v>3460</v>
      </c>
      <c r="M849" s="92" t="s">
        <v>1404</v>
      </c>
      <c r="N849" s="92" t="s">
        <v>2262</v>
      </c>
      <c r="O849" s="77"/>
      <c r="P849" s="92" t="s">
        <v>2535</v>
      </c>
      <c r="Q849" s="32"/>
      <c r="R849" s="48" t="s">
        <v>216</v>
      </c>
      <c r="S849" s="32"/>
    </row>
    <row r="850" spans="2:19" ht="28.8" x14ac:dyDescent="0.3">
      <c r="B850" t="str">
        <f>LEFT(Tabla3890134177220392[[#This Row],[Descripción del equipo]], FIND(" ", Tabla3890134177220392[[#This Row],[Descripción del equipo]] &amp; " ") - 1)</f>
        <v>Arnes</v>
      </c>
      <c r="C850" s="11" t="s">
        <v>177</v>
      </c>
      <c r="D850">
        <v>1</v>
      </c>
      <c r="E850" t="s">
        <v>160</v>
      </c>
      <c r="F850" s="91" t="s">
        <v>1056</v>
      </c>
      <c r="G850" s="90" t="str">
        <f>LEFT([1]modificado!$O$2, FIND(" ", [1]modificado!$O$2 &amp; " ") - 1)</f>
        <v>3M</v>
      </c>
      <c r="H850" s="47" t="str">
        <f>RIGHT([1]!Tabla2[[#This Row],[Marca y Modelo]], LEN([1]!Tabla2[[#This Row],[Marca y Modelo]]) - FIND(" ", [1]!Tabla2[[#This Row],[Marca y Modelo]]))</f>
        <v>Space</v>
      </c>
      <c r="I850" s="76"/>
      <c r="J850" s="76"/>
      <c r="K850" s="91" t="s">
        <v>4223</v>
      </c>
      <c r="L850" s="91" t="s">
        <v>3461</v>
      </c>
      <c r="M850" s="91" t="s">
        <v>1406</v>
      </c>
      <c r="N850" s="91" t="s">
        <v>2263</v>
      </c>
      <c r="O850" s="77"/>
      <c r="P850" s="91" t="s">
        <v>2535</v>
      </c>
      <c r="Q850" s="32"/>
      <c r="R850" s="48" t="s">
        <v>216</v>
      </c>
      <c r="S850" s="32"/>
    </row>
    <row r="851" spans="2:19" ht="28.8" x14ac:dyDescent="0.3">
      <c r="B851" t="str">
        <f>LEFT(Tabla3890134177220392[[#This Row],[Descripción del equipo]], FIND(" ", Tabla3890134177220392[[#This Row],[Descripción del equipo]] &amp; " ") - 1)</f>
        <v>Arnes</v>
      </c>
      <c r="C851" s="11" t="s">
        <v>177</v>
      </c>
      <c r="D851">
        <v>1</v>
      </c>
      <c r="E851" t="s">
        <v>160</v>
      </c>
      <c r="F851" s="92" t="s">
        <v>1056</v>
      </c>
      <c r="G851" s="90" t="str">
        <f>LEFT([1]modificado!$O$2, FIND(" ", [1]modificado!$O$2 &amp; " ") - 1)</f>
        <v>3M</v>
      </c>
      <c r="H851" s="47" t="str">
        <f>RIGHT([1]!Tabla2[[#This Row],[Marca y Modelo]], LEN([1]!Tabla2[[#This Row],[Marca y Modelo]]) - FIND(" ", [1]!Tabla2[[#This Row],[Marca y Modelo]]))</f>
        <v>Space</v>
      </c>
      <c r="I851" s="76"/>
      <c r="J851" s="76"/>
      <c r="K851" s="92" t="s">
        <v>4223</v>
      </c>
      <c r="L851" s="92" t="s">
        <v>3462</v>
      </c>
      <c r="M851" s="92" t="s">
        <v>1406</v>
      </c>
      <c r="N851" s="92" t="s">
        <v>2264</v>
      </c>
      <c r="O851" s="77"/>
      <c r="P851" s="92" t="s">
        <v>2535</v>
      </c>
      <c r="Q851" s="32"/>
      <c r="R851" s="48" t="s">
        <v>216</v>
      </c>
      <c r="S851" s="32"/>
    </row>
    <row r="852" spans="2:19" ht="28.8" x14ac:dyDescent="0.3">
      <c r="B852" t="str">
        <f>LEFT(Tabla3890134177220392[[#This Row],[Descripción del equipo]], FIND(" ", Tabla3890134177220392[[#This Row],[Descripción del equipo]] &amp; " ") - 1)</f>
        <v>Arnes</v>
      </c>
      <c r="C852" s="11" t="s">
        <v>177</v>
      </c>
      <c r="D852">
        <v>1</v>
      </c>
      <c r="E852" t="s">
        <v>160</v>
      </c>
      <c r="F852" s="91" t="s">
        <v>1056</v>
      </c>
      <c r="G852" s="90" t="str">
        <f>LEFT([1]modificado!$O$2, FIND(" ", [1]modificado!$O$2 &amp; " ") - 1)</f>
        <v>3M</v>
      </c>
      <c r="H852" s="47" t="str">
        <f>RIGHT([1]!Tabla2[[#This Row],[Marca y Modelo]], LEN([1]!Tabla2[[#This Row],[Marca y Modelo]]) - FIND(" ", [1]!Tabla2[[#This Row],[Marca y Modelo]]))</f>
        <v>Space</v>
      </c>
      <c r="I852" s="76"/>
      <c r="J852" s="76"/>
      <c r="K852" s="91" t="s">
        <v>4223</v>
      </c>
      <c r="L852" s="91" t="s">
        <v>3463</v>
      </c>
      <c r="M852" s="91" t="s">
        <v>1406</v>
      </c>
      <c r="N852" s="91" t="s">
        <v>2265</v>
      </c>
      <c r="O852" s="77"/>
      <c r="P852" s="91" t="s">
        <v>2535</v>
      </c>
      <c r="Q852" s="32"/>
      <c r="R852" s="48" t="s">
        <v>216</v>
      </c>
      <c r="S852" s="32"/>
    </row>
    <row r="853" spans="2:19" ht="28.8" x14ac:dyDescent="0.3">
      <c r="B853" t="str">
        <f>LEFT(Tabla3890134177220392[[#This Row],[Descripción del equipo]], FIND(" ", Tabla3890134177220392[[#This Row],[Descripción del equipo]] &amp; " ") - 1)</f>
        <v>Autoretractil</v>
      </c>
      <c r="C853" s="11" t="s">
        <v>177</v>
      </c>
      <c r="D853">
        <v>1</v>
      </c>
      <c r="E853" t="s">
        <v>160</v>
      </c>
      <c r="F853" s="92" t="s">
        <v>1058</v>
      </c>
      <c r="G853" s="90" t="str">
        <f>LEFT([1]modificado!$O$2, FIND(" ", [1]modificado!$O$2 &amp; " ") - 1)</f>
        <v>3M</v>
      </c>
      <c r="H853" s="47" t="str">
        <f>RIGHT([1]!Tabla2[[#This Row],[Marca y Modelo]], LEN([1]!Tabla2[[#This Row],[Marca y Modelo]]) - FIND(" ", [1]!Tabla2[[#This Row],[Marca y Modelo]]))</f>
        <v>3101277</v>
      </c>
      <c r="I853" s="76"/>
      <c r="J853" s="76"/>
      <c r="K853" s="92" t="s">
        <v>4224</v>
      </c>
      <c r="L853" s="92" t="s">
        <v>3464</v>
      </c>
      <c r="M853" s="92" t="s">
        <v>1404</v>
      </c>
      <c r="N853" s="92" t="s">
        <v>2266</v>
      </c>
      <c r="O853" s="77"/>
      <c r="P853" s="92" t="s">
        <v>2535</v>
      </c>
      <c r="Q853" s="32"/>
      <c r="R853" s="48" t="s">
        <v>216</v>
      </c>
      <c r="S853" s="32"/>
    </row>
    <row r="854" spans="2:19" ht="28.8" x14ac:dyDescent="0.3">
      <c r="B854" t="str">
        <f>LEFT(Tabla3890134177220392[[#This Row],[Descripción del equipo]], FIND(" ", Tabla3890134177220392[[#This Row],[Descripción del equipo]] &amp; " ") - 1)</f>
        <v>Autoretractil</v>
      </c>
      <c r="C854" s="11" t="s">
        <v>177</v>
      </c>
      <c r="D854">
        <v>1</v>
      </c>
      <c r="E854" t="s">
        <v>160</v>
      </c>
      <c r="F854" s="91" t="s">
        <v>1058</v>
      </c>
      <c r="G854" s="90" t="str">
        <f>LEFT([1]modificado!$O$2, FIND(" ", [1]modificado!$O$2 &amp; " ") - 1)</f>
        <v>3M</v>
      </c>
      <c r="H854" s="47"/>
      <c r="I854" s="76"/>
      <c r="J854" s="76"/>
      <c r="K854" s="91" t="s">
        <v>4224</v>
      </c>
      <c r="L854" s="91" t="s">
        <v>3465</v>
      </c>
      <c r="M854" s="91" t="s">
        <v>1404</v>
      </c>
      <c r="N854" s="91" t="s">
        <v>2267</v>
      </c>
      <c r="O854" s="77"/>
      <c r="P854" s="91" t="s">
        <v>2535</v>
      </c>
      <c r="Q854" s="32"/>
      <c r="R854" s="48" t="s">
        <v>216</v>
      </c>
      <c r="S854" s="32"/>
    </row>
    <row r="855" spans="2:19" ht="28.8" x14ac:dyDescent="0.3">
      <c r="B855" t="str">
        <f>LEFT(Tabla3890134177220392[[#This Row],[Descripción del equipo]], FIND(" ", Tabla3890134177220392[[#This Row],[Descripción del equipo]] &amp; " ") - 1)</f>
        <v>Autoretractil</v>
      </c>
      <c r="C855" s="11" t="s">
        <v>177</v>
      </c>
      <c r="D855">
        <v>1</v>
      </c>
      <c r="E855" t="s">
        <v>160</v>
      </c>
      <c r="F855" s="92" t="s">
        <v>1058</v>
      </c>
      <c r="G855" s="90" t="str">
        <f>LEFT([1]modificado!$O$2, FIND(" ", [1]modificado!$O$2 &amp; " ") - 1)</f>
        <v>3M</v>
      </c>
      <c r="H855" s="47"/>
      <c r="I855" s="76"/>
      <c r="J855" s="76"/>
      <c r="K855" s="92" t="s">
        <v>4224</v>
      </c>
      <c r="L855" s="92" t="s">
        <v>3466</v>
      </c>
      <c r="M855" s="92" t="s">
        <v>1404</v>
      </c>
      <c r="N855" s="92" t="s">
        <v>2268</v>
      </c>
      <c r="O855" s="77"/>
      <c r="P855" s="92" t="s">
        <v>2535</v>
      </c>
      <c r="Q855" s="32"/>
      <c r="R855" s="48" t="s">
        <v>216</v>
      </c>
      <c r="S855" s="32"/>
    </row>
    <row r="856" spans="2:19" ht="28.8" x14ac:dyDescent="0.3">
      <c r="B856" t="str">
        <f>LEFT(Tabla3890134177220392[[#This Row],[Descripción del equipo]], FIND(" ", Tabla3890134177220392[[#This Row],[Descripción del equipo]] &amp; " ") - 1)</f>
        <v>Autoretractil</v>
      </c>
      <c r="C856" s="11" t="s">
        <v>177</v>
      </c>
      <c r="D856">
        <v>1</v>
      </c>
      <c r="E856" t="s">
        <v>160</v>
      </c>
      <c r="F856" s="91" t="s">
        <v>1058</v>
      </c>
      <c r="G856" s="90" t="str">
        <f>LEFT([1]modificado!$O$2, FIND(" ", [1]modificado!$O$2 &amp; " ") - 1)</f>
        <v>3M</v>
      </c>
      <c r="H856" s="47" t="str">
        <f>RIGHT([1]!Tabla2[[#This Row],[Marca y Modelo]], LEN([1]!Tabla2[[#This Row],[Marca y Modelo]]) - FIND(" ", [1]!Tabla2[[#This Row],[Marca y Modelo]]))</f>
        <v>Nano Lok</v>
      </c>
      <c r="I856" s="76"/>
      <c r="J856" s="76"/>
      <c r="K856" s="91" t="s">
        <v>4224</v>
      </c>
      <c r="L856" s="91" t="s">
        <v>3467</v>
      </c>
      <c r="M856" s="91" t="s">
        <v>1404</v>
      </c>
      <c r="N856" s="91" t="s">
        <v>2269</v>
      </c>
      <c r="O856" s="77"/>
      <c r="P856" s="91" t="s">
        <v>2535</v>
      </c>
      <c r="Q856" s="32"/>
      <c r="R856" s="48" t="s">
        <v>216</v>
      </c>
      <c r="S856" s="32"/>
    </row>
    <row r="857" spans="2:19" ht="28.8" x14ac:dyDescent="0.3">
      <c r="B857" t="str">
        <f>LEFT(Tabla3890134177220392[[#This Row],[Descripción del equipo]], FIND(" ", Tabla3890134177220392[[#This Row],[Descripción del equipo]] &amp; " ") - 1)</f>
        <v>Autoretractil</v>
      </c>
      <c r="C857" s="11" t="s">
        <v>177</v>
      </c>
      <c r="D857">
        <v>1</v>
      </c>
      <c r="E857" t="s">
        <v>160</v>
      </c>
      <c r="F857" s="92" t="s">
        <v>1058</v>
      </c>
      <c r="G857" s="90" t="str">
        <f>LEFT([1]modificado!$O$2, FIND(" ", [1]modificado!$O$2 &amp; " ") - 1)</f>
        <v>3M</v>
      </c>
      <c r="H857" s="47" t="str">
        <f>RIGHT([1]!Tabla2[[#This Row],[Marca y Modelo]], LEN([1]!Tabla2[[#This Row],[Marca y Modelo]]) - FIND(" ", [1]!Tabla2[[#This Row],[Marca y Modelo]]))</f>
        <v>Nano Lok</v>
      </c>
      <c r="I857" s="76"/>
      <c r="J857" s="76"/>
      <c r="K857" s="92" t="s">
        <v>4224</v>
      </c>
      <c r="L857" s="92" t="s">
        <v>3468</v>
      </c>
      <c r="M857" s="92" t="s">
        <v>1404</v>
      </c>
      <c r="N857" s="92" t="s">
        <v>2270</v>
      </c>
      <c r="O857" s="77"/>
      <c r="P857" s="92" t="s">
        <v>2535</v>
      </c>
      <c r="Q857" s="32"/>
      <c r="R857" s="48" t="s">
        <v>216</v>
      </c>
      <c r="S857" s="32"/>
    </row>
    <row r="858" spans="2:19" ht="28.8" x14ac:dyDescent="0.3">
      <c r="B858" t="str">
        <f>LEFT(Tabla3890134177220392[[#This Row],[Descripción del equipo]], FIND(" ", Tabla3890134177220392[[#This Row],[Descripción del equipo]] &amp; " ") - 1)</f>
        <v>Arnes</v>
      </c>
      <c r="C858" s="11" t="s">
        <v>177</v>
      </c>
      <c r="D858">
        <v>1</v>
      </c>
      <c r="E858" t="s">
        <v>160</v>
      </c>
      <c r="F858" s="91" t="s">
        <v>1056</v>
      </c>
      <c r="G858" s="90" t="str">
        <f>LEFT([1]modificado!$O$2, FIND(" ", [1]modificado!$O$2 &amp; " ") - 1)</f>
        <v>3M</v>
      </c>
      <c r="H858" s="47" t="str">
        <f>RIGHT([1]!Tabla2[[#This Row],[Marca y Modelo]], LEN([1]!Tabla2[[#This Row],[Marca y Modelo]]) - FIND(" ", [1]!Tabla2[[#This Row],[Marca y Modelo]]))</f>
        <v>10911F-LOGO</v>
      </c>
      <c r="I858" s="76"/>
      <c r="J858" s="76"/>
      <c r="K858" s="91" t="s">
        <v>4225</v>
      </c>
      <c r="L858" s="91" t="s">
        <v>3469</v>
      </c>
      <c r="M858" s="91" t="s">
        <v>1404</v>
      </c>
      <c r="N858" s="91" t="s">
        <v>2271</v>
      </c>
      <c r="O858" s="77"/>
      <c r="P858" s="91" t="s">
        <v>2535</v>
      </c>
      <c r="Q858" s="32"/>
      <c r="R858" s="48" t="s">
        <v>216</v>
      </c>
      <c r="S858" s="32"/>
    </row>
    <row r="859" spans="2:19" ht="28.8" x14ac:dyDescent="0.3">
      <c r="B859" t="str">
        <f>LEFT(Tabla3890134177220392[[#This Row],[Descripción del equipo]], FIND(" ", Tabla3890134177220392[[#This Row],[Descripción del equipo]] &amp; " ") - 1)</f>
        <v>Arnes</v>
      </c>
      <c r="C859" s="11" t="s">
        <v>177</v>
      </c>
      <c r="D859">
        <v>1</v>
      </c>
      <c r="E859" t="s">
        <v>160</v>
      </c>
      <c r="F859" s="92" t="s">
        <v>1056</v>
      </c>
      <c r="G859" s="90" t="str">
        <f>LEFT([1]modificado!$O$2, FIND(" ", [1]modificado!$O$2 &amp; " ") - 1)</f>
        <v>3M</v>
      </c>
      <c r="H859" s="47" t="str">
        <f>RIGHT([1]!Tabla2[[#This Row],[Marca y Modelo]], LEN([1]!Tabla2[[#This Row],[Marca y Modelo]]) - FIND(" ", [1]!Tabla2[[#This Row],[Marca y Modelo]]))</f>
        <v>Tiger</v>
      </c>
      <c r="I859" s="76"/>
      <c r="J859" s="76"/>
      <c r="K859" s="92" t="s">
        <v>4225</v>
      </c>
      <c r="L859" s="92" t="s">
        <v>3470</v>
      </c>
      <c r="M859" s="92" t="s">
        <v>1404</v>
      </c>
      <c r="N859" s="92" t="s">
        <v>2272</v>
      </c>
      <c r="O859" s="77"/>
      <c r="P859" s="92" t="s">
        <v>2535</v>
      </c>
      <c r="Q859" s="32"/>
      <c r="R859" s="48" t="s">
        <v>216</v>
      </c>
      <c r="S859" s="32"/>
    </row>
    <row r="860" spans="2:19" ht="28.8" x14ac:dyDescent="0.3">
      <c r="B860" t="str">
        <f>LEFT(Tabla3890134177220392[[#This Row],[Descripción del equipo]], FIND(" ", Tabla3890134177220392[[#This Row],[Descripción del equipo]] &amp; " ") - 1)</f>
        <v>Arnes</v>
      </c>
      <c r="C860" s="11" t="s">
        <v>177</v>
      </c>
      <c r="D860">
        <v>1</v>
      </c>
      <c r="E860" t="s">
        <v>160</v>
      </c>
      <c r="F860" s="91" t="s">
        <v>1056</v>
      </c>
      <c r="G860" s="90" t="str">
        <f>LEFT([1]modificado!$O$2, FIND(" ", [1]modificado!$O$2 &amp; " ") - 1)</f>
        <v>3M</v>
      </c>
      <c r="H860" s="47" t="str">
        <f>RIGHT([1]!Tabla2[[#This Row],[Marca y Modelo]], LEN([1]!Tabla2[[#This Row],[Marca y Modelo]]) - FIND(" ", [1]!Tabla2[[#This Row],[Marca y Modelo]]))</f>
        <v>Musitani Space</v>
      </c>
      <c r="I860" s="76"/>
      <c r="J860" s="76"/>
      <c r="K860" s="91" t="s">
        <v>4225</v>
      </c>
      <c r="L860" s="91" t="s">
        <v>3471</v>
      </c>
      <c r="M860" s="91" t="s">
        <v>1406</v>
      </c>
      <c r="N860" s="91" t="s">
        <v>2273</v>
      </c>
      <c r="O860" s="77"/>
      <c r="P860" s="91" t="s">
        <v>2535</v>
      </c>
      <c r="Q860" s="32"/>
      <c r="R860" s="48" t="s">
        <v>216</v>
      </c>
      <c r="S860" s="32"/>
    </row>
    <row r="861" spans="2:19" ht="28.8" x14ac:dyDescent="0.3">
      <c r="B861" t="s">
        <v>4348</v>
      </c>
      <c r="C861" s="11" t="s">
        <v>177</v>
      </c>
      <c r="D861">
        <v>1</v>
      </c>
      <c r="E861" t="s">
        <v>160</v>
      </c>
      <c r="F861" s="92" t="s">
        <v>1060</v>
      </c>
      <c r="G861" s="90" t="str">
        <f>LEFT([1]modificado!$O$2, FIND(" ", [1]modificado!$O$2 &amp; " ") - 1)</f>
        <v>3M</v>
      </c>
      <c r="H861" s="47" t="str">
        <f>RIGHT([1]!Tabla2[[#This Row],[Marca y Modelo]], LEN([1]!Tabla2[[#This Row],[Marca y Modelo]]) - FIND(" ", [1]!Tabla2[[#This Row],[Marca y Modelo]]))</f>
        <v>209550-4-0241</v>
      </c>
      <c r="I861" s="76"/>
      <c r="J861" s="76"/>
      <c r="K861" s="92" t="s">
        <v>4226</v>
      </c>
      <c r="L861" s="92" t="s">
        <v>3472</v>
      </c>
      <c r="M861" s="92" t="s">
        <v>1404</v>
      </c>
      <c r="N861" s="92" t="s">
        <v>2274</v>
      </c>
      <c r="O861" s="77"/>
      <c r="P861" s="92" t="s">
        <v>2535</v>
      </c>
      <c r="Q861" s="32"/>
      <c r="R861" s="48" t="s">
        <v>216</v>
      </c>
      <c r="S861" s="32"/>
    </row>
    <row r="862" spans="2:19" ht="28.8" x14ac:dyDescent="0.3">
      <c r="B862" t="s">
        <v>4348</v>
      </c>
      <c r="C862" s="11" t="s">
        <v>177</v>
      </c>
      <c r="D862">
        <v>1</v>
      </c>
      <c r="E862" t="s">
        <v>160</v>
      </c>
      <c r="F862" s="91" t="s">
        <v>1057</v>
      </c>
      <c r="G862" s="90" t="str">
        <f>LEFT([1]modificado!$O$2, FIND(" ", [1]modificado!$O$2 &amp; " ") - 1)</f>
        <v>3M</v>
      </c>
      <c r="H862" s="47"/>
      <c r="I862" s="76"/>
      <c r="J862" s="76"/>
      <c r="K862" s="91" t="s">
        <v>4226</v>
      </c>
      <c r="L862" s="91" t="s">
        <v>3473</v>
      </c>
      <c r="M862" s="91" t="s">
        <v>1405</v>
      </c>
      <c r="N862" s="91" t="s">
        <v>2275</v>
      </c>
      <c r="O862" s="77"/>
      <c r="P862" s="91" t="s">
        <v>2535</v>
      </c>
      <c r="Q862" s="32"/>
      <c r="R862" s="48" t="s">
        <v>216</v>
      </c>
      <c r="S862" s="32"/>
    </row>
    <row r="863" spans="2:19" ht="28.8" x14ac:dyDescent="0.3">
      <c r="B863" t="s">
        <v>4348</v>
      </c>
      <c r="C863" s="11" t="s">
        <v>177</v>
      </c>
      <c r="D863">
        <v>1</v>
      </c>
      <c r="E863" t="s">
        <v>160</v>
      </c>
      <c r="F863" s="92" t="s">
        <v>1057</v>
      </c>
      <c r="G863" s="90" t="str">
        <f>LEFT([1]modificado!$O$2, FIND(" ", [1]modificado!$O$2 &amp; " ") - 1)</f>
        <v>3M</v>
      </c>
      <c r="H863" s="47" t="str">
        <f>RIGHT([1]!Tabla2[[#This Row],[Marca y Modelo]], LEN([1]!Tabla2[[#This Row],[Marca y Modelo]]) - FIND(" ", [1]!Tabla2[[#This Row],[Marca y Modelo]]))</f>
        <v>Basic Shock Absorbing</v>
      </c>
      <c r="I863" s="76"/>
      <c r="J863" s="76"/>
      <c r="K863" s="92" t="s">
        <v>4226</v>
      </c>
      <c r="L863" s="92" t="s">
        <v>3474</v>
      </c>
      <c r="M863" s="92" t="s">
        <v>1404</v>
      </c>
      <c r="N863" s="92" t="s">
        <v>2276</v>
      </c>
      <c r="O863" s="77"/>
      <c r="P863" s="92" t="s">
        <v>2535</v>
      </c>
      <c r="Q863" s="32"/>
      <c r="R863" s="48" t="s">
        <v>216</v>
      </c>
      <c r="S863" s="32"/>
    </row>
    <row r="864" spans="2:19" ht="28.8" x14ac:dyDescent="0.3">
      <c r="B864" t="str">
        <f>LEFT(Tabla3890134177220392[[#This Row],[Descripción del equipo]], FIND(" ", Tabla3890134177220392[[#This Row],[Descripción del equipo]] &amp; " ") - 1)</f>
        <v>Arnes</v>
      </c>
      <c r="C864" s="11" t="s">
        <v>177</v>
      </c>
      <c r="D864">
        <v>1</v>
      </c>
      <c r="E864" t="s">
        <v>160</v>
      </c>
      <c r="F864" s="91" t="s">
        <v>1056</v>
      </c>
      <c r="G864" s="90" t="str">
        <f>LEFT([1]modificado!$O$2, FIND(" ", [1]modificado!$O$2 &amp; " ") - 1)</f>
        <v>3M</v>
      </c>
      <c r="H864" s="47" t="str">
        <f>RIGHT([1]!Tabla2[[#This Row],[Marca y Modelo]], LEN([1]!Tabla2[[#This Row],[Marca y Modelo]]) - FIND(" ", [1]!Tabla2[[#This Row],[Marca y Modelo]]))</f>
        <v>10911F-LOGO</v>
      </c>
      <c r="I864" s="76"/>
      <c r="J864" s="76"/>
      <c r="K864" s="91" t="s">
        <v>4225</v>
      </c>
      <c r="L864" s="91" t="s">
        <v>3475</v>
      </c>
      <c r="M864" s="91" t="s">
        <v>1404</v>
      </c>
      <c r="N864" s="91" t="s">
        <v>2277</v>
      </c>
      <c r="O864" s="77"/>
      <c r="P864" s="91" t="s">
        <v>2535</v>
      </c>
      <c r="Q864" s="32"/>
      <c r="R864" s="48" t="s">
        <v>216</v>
      </c>
      <c r="S864" s="32"/>
    </row>
    <row r="865" spans="2:19" ht="28.8" x14ac:dyDescent="0.3">
      <c r="B865" t="str">
        <f>LEFT(Tabla3890134177220392[[#This Row],[Descripción del equipo]], FIND(" ", Tabla3890134177220392[[#This Row],[Descripción del equipo]] &amp; " ") - 1)</f>
        <v>Arnes</v>
      </c>
      <c r="C865" s="11" t="s">
        <v>177</v>
      </c>
      <c r="D865">
        <v>1</v>
      </c>
      <c r="E865" t="s">
        <v>160</v>
      </c>
      <c r="F865" s="92" t="s">
        <v>1056</v>
      </c>
      <c r="G865" s="90" t="str">
        <f>LEFT([1]modificado!$O$2, FIND(" ", [1]modificado!$O$2 &amp; " ") - 1)</f>
        <v>3M</v>
      </c>
      <c r="H865" s="47" t="str">
        <f>RIGHT([1]!Tabla2[[#This Row],[Marca y Modelo]], LEN([1]!Tabla2[[#This Row],[Marca y Modelo]]) - FIND(" ", [1]!Tabla2[[#This Row],[Marca y Modelo]]))</f>
        <v>Space</v>
      </c>
      <c r="I865" s="76"/>
      <c r="J865" s="76"/>
      <c r="K865" s="92" t="s">
        <v>4225</v>
      </c>
      <c r="L865" s="92" t="s">
        <v>3476</v>
      </c>
      <c r="M865" s="92" t="s">
        <v>1406</v>
      </c>
      <c r="N865" s="92" t="s">
        <v>2278</v>
      </c>
      <c r="O865" s="77"/>
      <c r="P865" s="92" t="s">
        <v>2535</v>
      </c>
      <c r="Q865" s="32"/>
      <c r="R865" s="48" t="s">
        <v>216</v>
      </c>
      <c r="S865" s="32"/>
    </row>
    <row r="866" spans="2:19" ht="28.8" x14ac:dyDescent="0.3">
      <c r="B866" t="s">
        <v>4348</v>
      </c>
      <c r="C866" s="11" t="s">
        <v>177</v>
      </c>
      <c r="D866">
        <v>1</v>
      </c>
      <c r="E866" t="s">
        <v>160</v>
      </c>
      <c r="F866" s="91" t="s">
        <v>1070</v>
      </c>
      <c r="G866" s="90" t="str">
        <f>LEFT([1]modificado!$O$2, FIND(" ", [1]modificado!$O$2 &amp; " ") - 1)</f>
        <v>3M</v>
      </c>
      <c r="H866" s="47"/>
      <c r="I866" s="76"/>
      <c r="J866" s="76"/>
      <c r="K866" s="91" t="s">
        <v>4226</v>
      </c>
      <c r="L866" s="91" t="s">
        <v>3477</v>
      </c>
      <c r="M866" s="91" t="s">
        <v>1404</v>
      </c>
      <c r="N866" s="91" t="s">
        <v>2279</v>
      </c>
      <c r="O866" s="77"/>
      <c r="P866" s="91" t="s">
        <v>2535</v>
      </c>
      <c r="Q866" s="32"/>
      <c r="R866" s="48" t="s">
        <v>216</v>
      </c>
      <c r="S866" s="32"/>
    </row>
    <row r="867" spans="2:19" ht="28.8" x14ac:dyDescent="0.3">
      <c r="B867" t="s">
        <v>4348</v>
      </c>
      <c r="C867" s="11" t="s">
        <v>177</v>
      </c>
      <c r="D867">
        <v>1</v>
      </c>
      <c r="E867" t="s">
        <v>160</v>
      </c>
      <c r="F867" s="92" t="s">
        <v>1060</v>
      </c>
      <c r="G867" s="90" t="str">
        <f>LEFT([1]modificado!$O$2, FIND(" ", [1]modificado!$O$2 &amp; " ") - 1)</f>
        <v>3M</v>
      </c>
      <c r="H867" s="47" t="str">
        <f>RIGHT([1]!Tabla2[[#This Row],[Marca y Modelo]], LEN([1]!Tabla2[[#This Row],[Marca y Modelo]]) - FIND(" ", [1]!Tabla2[[#This Row],[Marca y Modelo]]))</f>
        <v>209550-4-0241</v>
      </c>
      <c r="I867" s="76"/>
      <c r="J867" s="76"/>
      <c r="K867" s="92" t="s">
        <v>4226</v>
      </c>
      <c r="L867" s="92" t="s">
        <v>3478</v>
      </c>
      <c r="M867" s="92" t="s">
        <v>1404</v>
      </c>
      <c r="N867" s="92" t="s">
        <v>2280</v>
      </c>
      <c r="O867" s="77"/>
      <c r="P867" s="92" t="s">
        <v>2535</v>
      </c>
      <c r="Q867" s="32"/>
      <c r="R867" s="48" t="s">
        <v>216</v>
      </c>
      <c r="S867" s="32"/>
    </row>
    <row r="868" spans="2:19" ht="28.8" x14ac:dyDescent="0.3">
      <c r="B868" t="s">
        <v>4348</v>
      </c>
      <c r="C868" s="11" t="s">
        <v>177</v>
      </c>
      <c r="D868">
        <v>1</v>
      </c>
      <c r="E868" t="s">
        <v>160</v>
      </c>
      <c r="F868" s="91" t="s">
        <v>1057</v>
      </c>
      <c r="G868" s="90" t="str">
        <f>LEFT([1]modificado!$O$2, FIND(" ", [1]modificado!$O$2 &amp; " ") - 1)</f>
        <v>3M</v>
      </c>
      <c r="H868" s="47"/>
      <c r="I868" s="76"/>
      <c r="J868" s="76"/>
      <c r="K868" s="91" t="s">
        <v>4226</v>
      </c>
      <c r="L868" s="91" t="s">
        <v>3479</v>
      </c>
      <c r="M868" s="91" t="s">
        <v>1404</v>
      </c>
      <c r="N868" s="91" t="s">
        <v>2281</v>
      </c>
      <c r="O868" s="77"/>
      <c r="P868" s="91" t="s">
        <v>2535</v>
      </c>
      <c r="Q868" s="32"/>
      <c r="R868" s="48" t="s">
        <v>216</v>
      </c>
      <c r="S868" s="32"/>
    </row>
    <row r="869" spans="2:19" ht="28.8" x14ac:dyDescent="0.3">
      <c r="B869" t="s">
        <v>4348</v>
      </c>
      <c r="C869" s="11" t="s">
        <v>177</v>
      </c>
      <c r="D869">
        <v>1</v>
      </c>
      <c r="E869" t="s">
        <v>160</v>
      </c>
      <c r="F869" s="92" t="s">
        <v>1070</v>
      </c>
      <c r="G869" s="90" t="str">
        <f>LEFT([1]modificado!$O$2, FIND(" ", [1]modificado!$O$2 &amp; " ") - 1)</f>
        <v>3M</v>
      </c>
      <c r="H869" s="47" t="str">
        <f>RIGHT([1]!Tabla2[[#This Row],[Marca y Modelo]], LEN([1]!Tabla2[[#This Row],[Marca y Modelo]]) - FIND(" ", [1]!Tabla2[[#This Row],[Marca y Modelo]]))</f>
        <v>4750/0241</v>
      </c>
      <c r="I869" s="76"/>
      <c r="J869" s="76"/>
      <c r="K869" s="92" t="s">
        <v>4226</v>
      </c>
      <c r="L869" s="92" t="s">
        <v>3480</v>
      </c>
      <c r="M869" s="92" t="s">
        <v>1404</v>
      </c>
      <c r="N869" s="92" t="s">
        <v>2282</v>
      </c>
      <c r="O869" s="77"/>
      <c r="P869" s="92" t="s">
        <v>2535</v>
      </c>
      <c r="Q869" s="32"/>
      <c r="R869" s="48" t="s">
        <v>216</v>
      </c>
      <c r="S869" s="32"/>
    </row>
    <row r="870" spans="2:19" ht="28.8" x14ac:dyDescent="0.3">
      <c r="B870" t="s">
        <v>4348</v>
      </c>
      <c r="C870" s="11" t="s">
        <v>177</v>
      </c>
      <c r="D870">
        <v>1</v>
      </c>
      <c r="E870" t="s">
        <v>160</v>
      </c>
      <c r="F870" s="91" t="s">
        <v>1057</v>
      </c>
      <c r="G870" s="90" t="str">
        <f>LEFT([1]modificado!$O$2, FIND(" ", [1]modificado!$O$2 &amp; " ") - 1)</f>
        <v>3M</v>
      </c>
      <c r="H870" s="47" t="str">
        <f>RIGHT([1]!Tabla2[[#This Row],[Marca y Modelo]], LEN([1]!Tabla2[[#This Row],[Marca y Modelo]]) - FIND(" ", [1]!Tabla2[[#This Row],[Marca y Modelo]]))</f>
        <v>Musitani</v>
      </c>
      <c r="I870" s="76"/>
      <c r="J870" s="76"/>
      <c r="K870" s="91" t="s">
        <v>4226</v>
      </c>
      <c r="L870" s="91" t="s">
        <v>3481</v>
      </c>
      <c r="M870" s="91" t="s">
        <v>1406</v>
      </c>
      <c r="N870" s="91" t="s">
        <v>2283</v>
      </c>
      <c r="O870" s="77"/>
      <c r="P870" s="91" t="s">
        <v>2535</v>
      </c>
      <c r="Q870" s="32"/>
      <c r="R870" s="48" t="s">
        <v>216</v>
      </c>
      <c r="S870" s="32"/>
    </row>
    <row r="871" spans="2:19" ht="28.8" x14ac:dyDescent="0.3">
      <c r="B871" t="s">
        <v>4348</v>
      </c>
      <c r="C871" s="11" t="s">
        <v>177</v>
      </c>
      <c r="D871">
        <v>1</v>
      </c>
      <c r="E871" t="s">
        <v>160</v>
      </c>
      <c r="F871" s="92" t="s">
        <v>1060</v>
      </c>
      <c r="G871" s="90" t="str">
        <f>LEFT([1]modificado!$O$2, FIND(" ", [1]modificado!$O$2 &amp; " ") - 1)</f>
        <v>3M</v>
      </c>
      <c r="H871" s="47" t="str">
        <f>RIGHT([1]!Tabla2[[#This Row],[Marca y Modelo]], LEN([1]!Tabla2[[#This Row],[Marca y Modelo]]) - FIND(" ", [1]!Tabla2[[#This Row],[Marca y Modelo]]))</f>
        <v>209550-4-0241</v>
      </c>
      <c r="I871" s="76"/>
      <c r="J871" s="76"/>
      <c r="K871" s="92" t="s">
        <v>4226</v>
      </c>
      <c r="L871" s="92" t="s">
        <v>3482</v>
      </c>
      <c r="M871" s="92" t="s">
        <v>1404</v>
      </c>
      <c r="N871" s="92" t="s">
        <v>2284</v>
      </c>
      <c r="O871" s="77"/>
      <c r="P871" s="92" t="s">
        <v>2535</v>
      </c>
      <c r="Q871" s="32"/>
      <c r="R871" s="48" t="s">
        <v>216</v>
      </c>
      <c r="S871" s="32"/>
    </row>
    <row r="872" spans="2:19" ht="28.8" x14ac:dyDescent="0.3">
      <c r="B872" t="s">
        <v>4348</v>
      </c>
      <c r="C872" s="11" t="s">
        <v>177</v>
      </c>
      <c r="D872">
        <v>1</v>
      </c>
      <c r="E872" t="s">
        <v>160</v>
      </c>
      <c r="F872" s="91" t="s">
        <v>1057</v>
      </c>
      <c r="G872" s="90" t="str">
        <f>LEFT([1]modificado!$O$2, FIND(" ", [1]modificado!$O$2 &amp; " ") - 1)</f>
        <v>3M</v>
      </c>
      <c r="H872" s="47" t="str">
        <f>RIGHT([1]!Tabla2[[#This Row],[Marca y Modelo]], LEN([1]!Tabla2[[#This Row],[Marca y Modelo]]) - FIND(" ", [1]!Tabla2[[#This Row],[Marca y Modelo]]))</f>
        <v>Musitani</v>
      </c>
      <c r="I872" s="76"/>
      <c r="J872" s="76"/>
      <c r="K872" s="91" t="s">
        <v>4226</v>
      </c>
      <c r="L872" s="91" t="s">
        <v>3483</v>
      </c>
      <c r="M872" s="91" t="s">
        <v>1406</v>
      </c>
      <c r="N872" s="91" t="s">
        <v>2285</v>
      </c>
      <c r="O872" s="77"/>
      <c r="P872" s="91" t="s">
        <v>2535</v>
      </c>
      <c r="Q872" s="32"/>
      <c r="R872" s="48" t="s">
        <v>216</v>
      </c>
      <c r="S872" s="32"/>
    </row>
    <row r="873" spans="2:19" ht="28.8" x14ac:dyDescent="0.3">
      <c r="B873" t="s">
        <v>4348</v>
      </c>
      <c r="C873" s="11" t="s">
        <v>177</v>
      </c>
      <c r="D873">
        <v>1</v>
      </c>
      <c r="E873" t="s">
        <v>160</v>
      </c>
      <c r="F873" s="92" t="s">
        <v>1060</v>
      </c>
      <c r="G873" s="90" t="str">
        <f>LEFT([1]modificado!$O$2, FIND(" ", [1]modificado!$O$2 &amp; " ") - 1)</f>
        <v>3M</v>
      </c>
      <c r="H873" s="47" t="str">
        <f>RIGHT([1]!Tabla2[[#This Row],[Marca y Modelo]], LEN([1]!Tabla2[[#This Row],[Marca y Modelo]]) - FIND(" ", [1]!Tabla2[[#This Row],[Marca y Modelo]]))</f>
        <v>209550-4-0241</v>
      </c>
      <c r="I873" s="76"/>
      <c r="J873" s="76"/>
      <c r="K873" s="92" t="s">
        <v>4226</v>
      </c>
      <c r="L873" s="92" t="s">
        <v>3484</v>
      </c>
      <c r="M873" s="92" t="s">
        <v>1404</v>
      </c>
      <c r="N873" s="92" t="s">
        <v>2286</v>
      </c>
      <c r="O873" s="77"/>
      <c r="P873" s="92" t="s">
        <v>2535</v>
      </c>
      <c r="Q873" s="32"/>
      <c r="R873" s="48" t="s">
        <v>216</v>
      </c>
      <c r="S873" s="32"/>
    </row>
    <row r="874" spans="2:19" ht="28.8" x14ac:dyDescent="0.3">
      <c r="B874" t="s">
        <v>4348</v>
      </c>
      <c r="C874" s="11" t="s">
        <v>177</v>
      </c>
      <c r="D874">
        <v>1</v>
      </c>
      <c r="E874" t="s">
        <v>160</v>
      </c>
      <c r="F874" s="91" t="s">
        <v>1057</v>
      </c>
      <c r="G874" s="90" t="str">
        <f>LEFT([1]modificado!$O$2, FIND(" ", [1]modificado!$O$2 &amp; " ") - 1)</f>
        <v>3M</v>
      </c>
      <c r="H874" s="47" t="str">
        <f>RIGHT([1]!Tabla2[[#This Row],[Marca y Modelo]], LEN([1]!Tabla2[[#This Row],[Marca y Modelo]]) - FIND(" ", [1]!Tabla2[[#This Row],[Marca y Modelo]]))</f>
        <v>Musitani</v>
      </c>
      <c r="I874" s="76"/>
      <c r="J874" s="76"/>
      <c r="K874" s="91" t="s">
        <v>4226</v>
      </c>
      <c r="L874" s="91" t="s">
        <v>3485</v>
      </c>
      <c r="M874" s="91" t="s">
        <v>1406</v>
      </c>
      <c r="N874" s="91" t="s">
        <v>2287</v>
      </c>
      <c r="O874" s="77"/>
      <c r="P874" s="91" t="s">
        <v>2535</v>
      </c>
      <c r="Q874" s="32"/>
      <c r="R874" s="48" t="s">
        <v>216</v>
      </c>
      <c r="S874" s="32"/>
    </row>
    <row r="875" spans="2:19" ht="28.8" x14ac:dyDescent="0.3">
      <c r="B875" t="s">
        <v>4348</v>
      </c>
      <c r="C875" s="11" t="s">
        <v>177</v>
      </c>
      <c r="D875">
        <v>1</v>
      </c>
      <c r="E875" t="s">
        <v>160</v>
      </c>
      <c r="F875" s="92" t="s">
        <v>1057</v>
      </c>
      <c r="G875" s="90" t="str">
        <f>LEFT([1]modificado!$O$2, FIND(" ", [1]modificado!$O$2 &amp; " ") - 1)</f>
        <v>3M</v>
      </c>
      <c r="H875" s="47" t="str">
        <f>RIGHT([1]!Tabla2[[#This Row],[Marca y Modelo]], LEN([1]!Tabla2[[#This Row],[Marca y Modelo]]) - FIND(" ", [1]!Tabla2[[#This Row],[Marca y Modelo]]))</f>
        <v>Musitani</v>
      </c>
      <c r="I875" s="76"/>
      <c r="J875" s="76"/>
      <c r="K875" s="92" t="s">
        <v>4226</v>
      </c>
      <c r="L875" s="92" t="s">
        <v>3486</v>
      </c>
      <c r="M875" s="92" t="s">
        <v>1404</v>
      </c>
      <c r="N875" s="92" t="s">
        <v>2288</v>
      </c>
      <c r="O875" s="77"/>
      <c r="P875" s="92" t="s">
        <v>2535</v>
      </c>
      <c r="Q875" s="32"/>
      <c r="R875" s="48" t="s">
        <v>216</v>
      </c>
      <c r="S875" s="32"/>
    </row>
    <row r="876" spans="2:19" ht="28.8" x14ac:dyDescent="0.3">
      <c r="B876" t="s">
        <v>4348</v>
      </c>
      <c r="C876" s="11" t="s">
        <v>177</v>
      </c>
      <c r="D876">
        <v>1</v>
      </c>
      <c r="E876" t="s">
        <v>160</v>
      </c>
      <c r="F876" s="91" t="s">
        <v>1057</v>
      </c>
      <c r="G876" s="90" t="str">
        <f>LEFT([1]modificado!$O$2, FIND(" ", [1]modificado!$O$2 &amp; " ") - 1)</f>
        <v>3M</v>
      </c>
      <c r="H876" s="47"/>
      <c r="I876" s="76"/>
      <c r="J876" s="76"/>
      <c r="K876" s="91" t="s">
        <v>4226</v>
      </c>
      <c r="L876" s="91" t="s">
        <v>3487</v>
      </c>
      <c r="M876" s="91" t="s">
        <v>1406</v>
      </c>
      <c r="N876" s="91" t="s">
        <v>2289</v>
      </c>
      <c r="O876" s="77"/>
      <c r="P876" s="91" t="s">
        <v>2535</v>
      </c>
      <c r="Q876" s="32"/>
      <c r="R876" s="48" t="s">
        <v>216</v>
      </c>
      <c r="S876" s="32"/>
    </row>
    <row r="877" spans="2:19" ht="28.8" x14ac:dyDescent="0.3">
      <c r="B877" t="str">
        <f>LEFT(Tabla3890134177220392[[#This Row],[Descripción del equipo]], FIND(" ", Tabla3890134177220392[[#This Row],[Descripción del equipo]] &amp; " ") - 1)</f>
        <v>Arnes</v>
      </c>
      <c r="C877" s="11" t="s">
        <v>177</v>
      </c>
      <c r="D877">
        <v>1</v>
      </c>
      <c r="E877" t="s">
        <v>160</v>
      </c>
      <c r="F877" s="92" t="s">
        <v>1056</v>
      </c>
      <c r="G877" s="90" t="str">
        <f>LEFT([1]modificado!$O$2, FIND(" ", [1]modificado!$O$2 &amp; " ") - 1)</f>
        <v>3M</v>
      </c>
      <c r="H877" s="47" t="str">
        <f>RIGHT([1]!Tabla2[[#This Row],[Marca y Modelo]], LEN([1]!Tabla2[[#This Row],[Marca y Modelo]]) - FIND(" ", [1]!Tabla2[[#This Row],[Marca y Modelo]]))</f>
        <v>Space</v>
      </c>
      <c r="I877" s="76"/>
      <c r="J877" s="76"/>
      <c r="K877" s="92" t="s">
        <v>4225</v>
      </c>
      <c r="L877" s="92" t="s">
        <v>3488</v>
      </c>
      <c r="M877" s="92" t="s">
        <v>1406</v>
      </c>
      <c r="N877" s="92" t="s">
        <v>2290</v>
      </c>
      <c r="O877" s="77"/>
      <c r="P877" s="92" t="s">
        <v>2535</v>
      </c>
      <c r="Q877" s="32"/>
      <c r="R877" s="48" t="s">
        <v>216</v>
      </c>
      <c r="S877" s="32"/>
    </row>
    <row r="878" spans="2:19" ht="28.8" x14ac:dyDescent="0.3">
      <c r="B878" t="s">
        <v>4348</v>
      </c>
      <c r="C878" s="11" t="s">
        <v>177</v>
      </c>
      <c r="D878">
        <v>1</v>
      </c>
      <c r="E878" t="s">
        <v>160</v>
      </c>
      <c r="F878" s="91" t="s">
        <v>1057</v>
      </c>
      <c r="G878" s="90" t="str">
        <f>LEFT([1]modificado!$O$2, FIND(" ", [1]modificado!$O$2 &amp; " ") - 1)</f>
        <v>3M</v>
      </c>
      <c r="H878" s="47" t="str">
        <f>RIGHT([1]!Tabla2[[#This Row],[Marca y Modelo]], LEN([1]!Tabla2[[#This Row],[Marca y Modelo]]) - FIND(" ", [1]!Tabla2[[#This Row],[Marca y Modelo]]))</f>
        <v>Musitani</v>
      </c>
      <c r="I878" s="76"/>
      <c r="J878" s="76"/>
      <c r="K878" s="91" t="s">
        <v>4226</v>
      </c>
      <c r="L878" s="91" t="s">
        <v>3489</v>
      </c>
      <c r="M878" s="91" t="s">
        <v>1405</v>
      </c>
      <c r="N878" s="91" t="s">
        <v>2291</v>
      </c>
      <c r="O878" s="77"/>
      <c r="P878" s="91" t="s">
        <v>2535</v>
      </c>
      <c r="Q878" s="32"/>
      <c r="R878" s="48" t="s">
        <v>216</v>
      </c>
      <c r="S878" s="32"/>
    </row>
    <row r="879" spans="2:19" ht="28.8" x14ac:dyDescent="0.3">
      <c r="B879" t="s">
        <v>4348</v>
      </c>
      <c r="C879" s="11" t="s">
        <v>177</v>
      </c>
      <c r="D879">
        <v>1</v>
      </c>
      <c r="E879" t="s">
        <v>160</v>
      </c>
      <c r="F879" s="92" t="s">
        <v>1072</v>
      </c>
      <c r="G879" s="90" t="str">
        <f>LEFT([1]modificado!$O$2, FIND(" ", [1]modificado!$O$2 &amp; " ") - 1)</f>
        <v>3M</v>
      </c>
      <c r="H879" s="47" t="str">
        <f>RIGHT([1]!Tabla2[[#This Row],[Marca y Modelo]], LEN([1]!Tabla2[[#This Row],[Marca y Modelo]]) - FIND(" ", [1]!Tabla2[[#This Row],[Marca y Modelo]]))</f>
        <v>3250</v>
      </c>
      <c r="I879" s="76"/>
      <c r="J879" s="76"/>
      <c r="K879" s="92" t="s">
        <v>4227</v>
      </c>
      <c r="L879" s="92" t="s">
        <v>3490</v>
      </c>
      <c r="M879" s="92" t="s">
        <v>1404</v>
      </c>
      <c r="N879" s="92" t="s">
        <v>2292</v>
      </c>
      <c r="O879" s="77"/>
      <c r="P879" s="92" t="s">
        <v>2535</v>
      </c>
      <c r="Q879" s="32"/>
      <c r="R879" s="48" t="s">
        <v>216</v>
      </c>
      <c r="S879" s="32"/>
    </row>
    <row r="880" spans="2:19" ht="28.8" x14ac:dyDescent="0.3">
      <c r="B880" t="s">
        <v>4348</v>
      </c>
      <c r="C880" s="11" t="s">
        <v>177</v>
      </c>
      <c r="D880">
        <v>1</v>
      </c>
      <c r="E880" t="s">
        <v>160</v>
      </c>
      <c r="F880" s="91" t="s">
        <v>1072</v>
      </c>
      <c r="G880" s="90" t="str">
        <f>LEFT([1]modificado!$O$2, FIND(" ", [1]modificado!$O$2 &amp; " ") - 1)</f>
        <v>3M</v>
      </c>
      <c r="H880" s="47" t="str">
        <f>RIGHT([1]!Tabla2[[#This Row],[Marca y Modelo]], LEN([1]!Tabla2[[#This Row],[Marca y Modelo]]) - FIND(" ", [1]!Tabla2[[#This Row],[Marca y Modelo]]))</f>
        <v>3250</v>
      </c>
      <c r="I880" s="76"/>
      <c r="J880" s="76"/>
      <c r="K880" s="91" t="s">
        <v>4227</v>
      </c>
      <c r="L880" s="91" t="s">
        <v>3491</v>
      </c>
      <c r="M880" s="91" t="s">
        <v>1404</v>
      </c>
      <c r="N880" s="91" t="s">
        <v>2293</v>
      </c>
      <c r="O880" s="77"/>
      <c r="P880" s="91" t="s">
        <v>2535</v>
      </c>
      <c r="Q880" s="32"/>
      <c r="R880" s="48" t="s">
        <v>216</v>
      </c>
      <c r="S880" s="32"/>
    </row>
    <row r="881" spans="2:19" ht="28.8" x14ac:dyDescent="0.3">
      <c r="B881" t="s">
        <v>4348</v>
      </c>
      <c r="C881" s="11" t="s">
        <v>177</v>
      </c>
      <c r="D881">
        <v>1</v>
      </c>
      <c r="E881" t="s">
        <v>160</v>
      </c>
      <c r="F881" s="92" t="s">
        <v>1082</v>
      </c>
      <c r="G881" s="90" t="str">
        <f>LEFT([1]modificado!$O$2, FIND(" ", [1]modificado!$O$2 &amp; " ") - 1)</f>
        <v>3M</v>
      </c>
      <c r="H881" s="47" t="str">
        <f>RIGHT([1]!Tabla2[[#This Row],[Marca y Modelo]], LEN([1]!Tabla2[[#This Row],[Marca y Modelo]]) - FIND(" ", [1]!Tabla2[[#This Row],[Marca y Modelo]]))</f>
        <v>Lanyards</v>
      </c>
      <c r="I881" s="76"/>
      <c r="J881" s="76"/>
      <c r="K881" s="92" t="s">
        <v>4228</v>
      </c>
      <c r="L881" s="92" t="s">
        <v>3492</v>
      </c>
      <c r="M881" s="92" t="s">
        <v>1405</v>
      </c>
      <c r="N881" s="92" t="s">
        <v>2294</v>
      </c>
      <c r="O881" s="77"/>
      <c r="P881" s="92" t="s">
        <v>2535</v>
      </c>
      <c r="Q881" s="32"/>
      <c r="R881" s="48" t="s">
        <v>216</v>
      </c>
      <c r="S881" s="32"/>
    </row>
    <row r="882" spans="2:19" ht="28.8" x14ac:dyDescent="0.3">
      <c r="B882" t="s">
        <v>4348</v>
      </c>
      <c r="C882" s="11" t="s">
        <v>177</v>
      </c>
      <c r="D882">
        <v>1</v>
      </c>
      <c r="E882" t="s">
        <v>160</v>
      </c>
      <c r="F882" s="91" t="s">
        <v>1076</v>
      </c>
      <c r="G882" s="90" t="str">
        <f>LEFT([1]modificado!$O$2, FIND(" ", [1]modificado!$O$2 &amp; " ") - 1)</f>
        <v>3M</v>
      </c>
      <c r="H882" s="47" t="str">
        <f>RIGHT([1]!Tabla2[[#This Row],[Marca y Modelo]], LEN([1]!Tabla2[[#This Row],[Marca y Modelo]]) - FIND(" ", [1]!Tabla2[[#This Row],[Marca y Modelo]]))</f>
        <v>4712-6</v>
      </c>
      <c r="I882" s="76"/>
      <c r="J882" s="76"/>
      <c r="K882" s="91" t="s">
        <v>4228</v>
      </c>
      <c r="L882" s="91" t="s">
        <v>3493</v>
      </c>
      <c r="M882" s="91" t="s">
        <v>1404</v>
      </c>
      <c r="N882" s="91" t="s">
        <v>2295</v>
      </c>
      <c r="O882" s="77"/>
      <c r="P882" s="91" t="s">
        <v>2535</v>
      </c>
      <c r="Q882" s="32"/>
      <c r="R882" s="48" t="s">
        <v>216</v>
      </c>
      <c r="S882" s="32"/>
    </row>
    <row r="883" spans="2:19" ht="28.8" x14ac:dyDescent="0.3">
      <c r="B883" t="s">
        <v>4348</v>
      </c>
      <c r="C883" s="11" t="s">
        <v>177</v>
      </c>
      <c r="D883">
        <v>1</v>
      </c>
      <c r="E883" t="s">
        <v>160</v>
      </c>
      <c r="F883" s="92" t="s">
        <v>1075</v>
      </c>
      <c r="G883" s="90" t="str">
        <f>LEFT([1]modificado!$O$2, FIND(" ", [1]modificado!$O$2 &amp; " ") - 1)</f>
        <v>3M</v>
      </c>
      <c r="H883" s="47" t="str">
        <f>RIGHT([1]!Tabla2[[#This Row],[Marca y Modelo]], LEN([1]!Tabla2[[#This Row],[Marca y Modelo]]) - FIND(" ", [1]!Tabla2[[#This Row],[Marca y Modelo]]))</f>
        <v>SP3710-S</v>
      </c>
      <c r="I883" s="76"/>
      <c r="J883" s="76"/>
      <c r="K883" s="92" t="s">
        <v>4229</v>
      </c>
      <c r="L883" s="92" t="s">
        <v>3494</v>
      </c>
      <c r="M883" s="92" t="s">
        <v>1412</v>
      </c>
      <c r="N883" s="92" t="s">
        <v>2296</v>
      </c>
      <c r="O883" s="77"/>
      <c r="P883" s="92" t="s">
        <v>2535</v>
      </c>
      <c r="Q883" s="32"/>
      <c r="R883" s="48" t="s">
        <v>216</v>
      </c>
      <c r="S883" s="32"/>
    </row>
    <row r="884" spans="2:19" ht="28.8" x14ac:dyDescent="0.3">
      <c r="B884" t="s">
        <v>4348</v>
      </c>
      <c r="C884" s="11" t="s">
        <v>177</v>
      </c>
      <c r="D884">
        <v>1</v>
      </c>
      <c r="E884" t="s">
        <v>160</v>
      </c>
      <c r="F884" s="91" t="s">
        <v>1075</v>
      </c>
      <c r="G884" s="90" t="str">
        <f>LEFT([1]modificado!$O$2, FIND(" ", [1]modificado!$O$2 &amp; " ") - 1)</f>
        <v>3M</v>
      </c>
      <c r="H884" s="47" t="str">
        <f>RIGHT([1]!Tabla2[[#This Row],[Marca y Modelo]], LEN([1]!Tabla2[[#This Row],[Marca y Modelo]]) - FIND(" ", [1]!Tabla2[[#This Row],[Marca y Modelo]]))</f>
        <v>SP3710-S</v>
      </c>
      <c r="I884" s="76"/>
      <c r="J884" s="76"/>
      <c r="K884" s="91" t="s">
        <v>4229</v>
      </c>
      <c r="L884" s="91" t="s">
        <v>3495</v>
      </c>
      <c r="M884" s="91" t="s">
        <v>1412</v>
      </c>
      <c r="N884" s="91" t="s">
        <v>2297</v>
      </c>
      <c r="O884" s="77"/>
      <c r="P884" s="91" t="s">
        <v>2535</v>
      </c>
      <c r="Q884" s="32"/>
      <c r="R884" s="48" t="s">
        <v>216</v>
      </c>
      <c r="S884" s="32"/>
    </row>
    <row r="885" spans="2:19" ht="28.8" x14ac:dyDescent="0.3">
      <c r="B885" t="s">
        <v>4348</v>
      </c>
      <c r="C885" s="11" t="s">
        <v>177</v>
      </c>
      <c r="D885">
        <v>1</v>
      </c>
      <c r="E885" t="s">
        <v>160</v>
      </c>
      <c r="F885" s="92" t="s">
        <v>1075</v>
      </c>
      <c r="G885" s="90" t="str">
        <f>LEFT([1]modificado!$O$2, FIND(" ", [1]modificado!$O$2 &amp; " ") - 1)</f>
        <v>3M</v>
      </c>
      <c r="H885" s="47" t="str">
        <f>RIGHT([1]!Tabla2[[#This Row],[Marca y Modelo]], LEN([1]!Tabla2[[#This Row],[Marca y Modelo]]) - FIND(" ", [1]!Tabla2[[#This Row],[Marca y Modelo]]))</f>
        <v>SP3710-S</v>
      </c>
      <c r="I885" s="76"/>
      <c r="J885" s="76"/>
      <c r="K885" s="92" t="s">
        <v>4229</v>
      </c>
      <c r="L885" s="92" t="s">
        <v>3496</v>
      </c>
      <c r="M885" s="92" t="s">
        <v>1412</v>
      </c>
      <c r="N885" s="92" t="s">
        <v>2298</v>
      </c>
      <c r="O885" s="77"/>
      <c r="P885" s="92" t="s">
        <v>2535</v>
      </c>
      <c r="Q885" s="32"/>
      <c r="R885" s="48" t="s">
        <v>216</v>
      </c>
      <c r="S885" s="32"/>
    </row>
    <row r="886" spans="2:19" ht="28.8" x14ac:dyDescent="0.3">
      <c r="B886" t="s">
        <v>4348</v>
      </c>
      <c r="C886" s="11" t="s">
        <v>177</v>
      </c>
      <c r="D886">
        <v>1</v>
      </c>
      <c r="E886" t="s">
        <v>160</v>
      </c>
      <c r="F886" s="91" t="s">
        <v>1075</v>
      </c>
      <c r="G886" s="90" t="str">
        <f>LEFT([1]modificado!$O$2, FIND(" ", [1]modificado!$O$2 &amp; " ") - 1)</f>
        <v>3M</v>
      </c>
      <c r="H886" s="47" t="str">
        <f>RIGHT([1]!Tabla2[[#This Row],[Marca y Modelo]], LEN([1]!Tabla2[[#This Row],[Marca y Modelo]]) - FIND(" ", [1]!Tabla2[[#This Row],[Marca y Modelo]]))</f>
        <v>SP3710-S</v>
      </c>
      <c r="I886" s="76"/>
      <c r="J886" s="76"/>
      <c r="K886" s="91" t="s">
        <v>4229</v>
      </c>
      <c r="L886" s="91" t="s">
        <v>3497</v>
      </c>
      <c r="M886" s="91" t="s">
        <v>1412</v>
      </c>
      <c r="N886" s="91" t="s">
        <v>2299</v>
      </c>
      <c r="O886" s="77"/>
      <c r="P886" s="91" t="s">
        <v>2535</v>
      </c>
      <c r="Q886" s="32"/>
      <c r="R886" s="48" t="s">
        <v>216</v>
      </c>
      <c r="S886" s="32"/>
    </row>
    <row r="887" spans="2:19" ht="28.8" x14ac:dyDescent="0.3">
      <c r="B887" t="s">
        <v>4348</v>
      </c>
      <c r="C887" s="11" t="s">
        <v>177</v>
      </c>
      <c r="D887">
        <v>1</v>
      </c>
      <c r="E887" t="s">
        <v>160</v>
      </c>
      <c r="F887" s="92" t="s">
        <v>1061</v>
      </c>
      <c r="G887" s="90" t="str">
        <f>LEFT([1]modificado!$O$2, FIND(" ", [1]modificado!$O$2 &amp; " ") - 1)</f>
        <v>3M</v>
      </c>
      <c r="H887" s="47" t="str">
        <f>RIGHT([1]!Tabla2[[#This Row],[Marca y Modelo]], LEN([1]!Tabla2[[#This Row],[Marca y Modelo]]) - FIND(" ", [1]!Tabla2[[#This Row],[Marca y Modelo]]))</f>
        <v>3210</v>
      </c>
      <c r="I887" s="76"/>
      <c r="J887" s="76"/>
      <c r="K887" s="92" t="s">
        <v>4229</v>
      </c>
      <c r="L887" s="92" t="s">
        <v>3498</v>
      </c>
      <c r="M887" s="92" t="s">
        <v>1404</v>
      </c>
      <c r="N887" s="92" t="s">
        <v>2300</v>
      </c>
      <c r="O887" s="77"/>
      <c r="P887" s="92" t="s">
        <v>2535</v>
      </c>
      <c r="Q887" s="32"/>
      <c r="R887" s="48" t="s">
        <v>216</v>
      </c>
      <c r="S887" s="32"/>
    </row>
    <row r="888" spans="2:19" ht="28.8" x14ac:dyDescent="0.3">
      <c r="B888" t="s">
        <v>4348</v>
      </c>
      <c r="C888" s="11" t="s">
        <v>177</v>
      </c>
      <c r="D888">
        <v>1</v>
      </c>
      <c r="E888" t="s">
        <v>160</v>
      </c>
      <c r="F888" s="91" t="s">
        <v>1061</v>
      </c>
      <c r="G888" s="90" t="str">
        <f>LEFT([1]modificado!$O$2, FIND(" ", [1]modificado!$O$2 &amp; " ") - 1)</f>
        <v>3M</v>
      </c>
      <c r="H888" s="47" t="str">
        <f>RIGHT([1]!Tabla2[[#This Row],[Marca y Modelo]], LEN([1]!Tabla2[[#This Row],[Marca y Modelo]]) - FIND(" ", [1]!Tabla2[[#This Row],[Marca y Modelo]]))</f>
        <v>3210</v>
      </c>
      <c r="I888" s="76"/>
      <c r="J888" s="76"/>
      <c r="K888" s="91" t="s">
        <v>4229</v>
      </c>
      <c r="L888" s="91" t="s">
        <v>3499</v>
      </c>
      <c r="M888" s="91" t="s">
        <v>1404</v>
      </c>
      <c r="N888" s="91" t="s">
        <v>2301</v>
      </c>
      <c r="O888" s="77"/>
      <c r="P888" s="91" t="s">
        <v>2535</v>
      </c>
      <c r="Q888" s="32"/>
      <c r="R888" s="48" t="s">
        <v>216</v>
      </c>
      <c r="S888" s="32"/>
    </row>
    <row r="889" spans="2:19" ht="28.8" x14ac:dyDescent="0.3">
      <c r="B889" t="s">
        <v>4348</v>
      </c>
      <c r="C889" s="11" t="s">
        <v>177</v>
      </c>
      <c r="D889">
        <v>1</v>
      </c>
      <c r="E889" t="s">
        <v>160</v>
      </c>
      <c r="F889" s="92" t="s">
        <v>1061</v>
      </c>
      <c r="G889" s="90" t="str">
        <f>LEFT([1]modificado!$O$2, FIND(" ", [1]modificado!$O$2 &amp; " ") - 1)</f>
        <v>3M</v>
      </c>
      <c r="H889" s="47" t="str">
        <f>RIGHT([1]!Tabla2[[#This Row],[Marca y Modelo]], LEN([1]!Tabla2[[#This Row],[Marca y Modelo]]) - FIND(" ", [1]!Tabla2[[#This Row],[Marca y Modelo]]))</f>
        <v>3210</v>
      </c>
      <c r="I889" s="76"/>
      <c r="J889" s="76"/>
      <c r="K889" s="92" t="s">
        <v>4229</v>
      </c>
      <c r="L889" s="92" t="s">
        <v>3500</v>
      </c>
      <c r="M889" s="92" t="s">
        <v>1404</v>
      </c>
      <c r="N889" s="92" t="s">
        <v>2302</v>
      </c>
      <c r="O889" s="77"/>
      <c r="P889" s="92" t="s">
        <v>2535</v>
      </c>
      <c r="Q889" s="32"/>
      <c r="R889" s="48" t="s">
        <v>216</v>
      </c>
      <c r="S889" s="32"/>
    </row>
    <row r="890" spans="2:19" ht="28.8" x14ac:dyDescent="0.3">
      <c r="B890" t="s">
        <v>4348</v>
      </c>
      <c r="C890" s="11" t="s">
        <v>177</v>
      </c>
      <c r="D890">
        <v>1</v>
      </c>
      <c r="E890" t="s">
        <v>160</v>
      </c>
      <c r="F890" s="91" t="s">
        <v>1061</v>
      </c>
      <c r="G890" s="90" t="str">
        <f>LEFT([1]modificado!$O$2, FIND(" ", [1]modificado!$O$2 &amp; " ") - 1)</f>
        <v>3M</v>
      </c>
      <c r="H890" s="47" t="str">
        <f>RIGHT([1]!Tabla2[[#This Row],[Marca y Modelo]], LEN([1]!Tabla2[[#This Row],[Marca y Modelo]]) - FIND(" ", [1]!Tabla2[[#This Row],[Marca y Modelo]]))</f>
        <v>3210</v>
      </c>
      <c r="I890" s="76"/>
      <c r="J890" s="76"/>
      <c r="K890" s="91" t="s">
        <v>4229</v>
      </c>
      <c r="L890" s="91" t="s">
        <v>3501</v>
      </c>
      <c r="M890" s="91" t="s">
        <v>1404</v>
      </c>
      <c r="N890" s="91" t="s">
        <v>2303</v>
      </c>
      <c r="O890" s="77"/>
      <c r="P890" s="91" t="s">
        <v>2535</v>
      </c>
      <c r="Q890" s="32"/>
      <c r="R890" s="48" t="s">
        <v>216</v>
      </c>
      <c r="S890" s="32"/>
    </row>
    <row r="891" spans="2:19" ht="28.8" x14ac:dyDescent="0.3">
      <c r="B891" t="s">
        <v>4348</v>
      </c>
      <c r="C891" s="11" t="s">
        <v>177</v>
      </c>
      <c r="D891">
        <v>1</v>
      </c>
      <c r="E891" t="s">
        <v>160</v>
      </c>
      <c r="F891" s="92" t="s">
        <v>1072</v>
      </c>
      <c r="G891" s="90" t="str">
        <f>LEFT([1]modificado!$O$2, FIND(" ", [1]modificado!$O$2 &amp; " ") - 1)</f>
        <v>3M</v>
      </c>
      <c r="H891" s="47" t="str">
        <f>RIGHT([1]!Tabla2[[#This Row],[Marca y Modelo]], LEN([1]!Tabla2[[#This Row],[Marca y Modelo]]) - FIND(" ", [1]!Tabla2[[#This Row],[Marca y Modelo]]))</f>
        <v>3250</v>
      </c>
      <c r="I891" s="76"/>
      <c r="J891" s="76"/>
      <c r="K891" s="92" t="s">
        <v>4230</v>
      </c>
      <c r="L891" s="92" t="s">
        <v>3502</v>
      </c>
      <c r="M891" s="92" t="s">
        <v>1404</v>
      </c>
      <c r="N891" s="92" t="s">
        <v>2304</v>
      </c>
      <c r="O891" s="77"/>
      <c r="P891" s="92" t="s">
        <v>2535</v>
      </c>
      <c r="Q891" s="32"/>
      <c r="R891" s="48" t="s">
        <v>216</v>
      </c>
      <c r="S891" s="32"/>
    </row>
    <row r="892" spans="2:19" ht="28.8" x14ac:dyDescent="0.3">
      <c r="B892" t="s">
        <v>4348</v>
      </c>
      <c r="C892" s="11" t="s">
        <v>177</v>
      </c>
      <c r="D892">
        <v>1</v>
      </c>
      <c r="E892" t="s">
        <v>160</v>
      </c>
      <c r="F892" s="91" t="s">
        <v>1072</v>
      </c>
      <c r="G892" s="90" t="str">
        <f>LEFT([1]modificado!$O$2, FIND(" ", [1]modificado!$O$2 &amp; " ") - 1)</f>
        <v>3M</v>
      </c>
      <c r="H892" s="47" t="str">
        <f>RIGHT([1]!Tabla2[[#This Row],[Marca y Modelo]], LEN([1]!Tabla2[[#This Row],[Marca y Modelo]]) - FIND(" ", [1]!Tabla2[[#This Row],[Marca y Modelo]]))</f>
        <v>1385301</v>
      </c>
      <c r="I892" s="76"/>
      <c r="J892" s="76"/>
      <c r="K892" s="91" t="s">
        <v>4230</v>
      </c>
      <c r="L892" s="91" t="s">
        <v>3503</v>
      </c>
      <c r="M892" s="91" t="s">
        <v>1404</v>
      </c>
      <c r="N892" s="91" t="s">
        <v>2305</v>
      </c>
      <c r="O892" s="77"/>
      <c r="P892" s="91" t="s">
        <v>2535</v>
      </c>
      <c r="Q892" s="32"/>
      <c r="R892" s="48" t="s">
        <v>216</v>
      </c>
      <c r="S892" s="32"/>
    </row>
    <row r="893" spans="2:19" ht="28.8" x14ac:dyDescent="0.3">
      <c r="B893" t="s">
        <v>4348</v>
      </c>
      <c r="C893" s="11" t="s">
        <v>177</v>
      </c>
      <c r="D893">
        <v>1</v>
      </c>
      <c r="E893" t="s">
        <v>160</v>
      </c>
      <c r="F893" s="92" t="s">
        <v>1072</v>
      </c>
      <c r="G893" s="90" t="str">
        <f>LEFT([1]modificado!$O$2, FIND(" ", [1]modificado!$O$2 &amp; " ") - 1)</f>
        <v>3M</v>
      </c>
      <c r="H893" s="47" t="str">
        <f>RIGHT([1]!Tabla2[[#This Row],[Marca y Modelo]], LEN([1]!Tabla2[[#This Row],[Marca y Modelo]]) - FIND(" ", [1]!Tabla2[[#This Row],[Marca y Modelo]]))</f>
        <v>3250</v>
      </c>
      <c r="I893" s="76"/>
      <c r="J893" s="76"/>
      <c r="K893" s="92" t="s">
        <v>4230</v>
      </c>
      <c r="L893" s="92" t="s">
        <v>3504</v>
      </c>
      <c r="M893" s="92" t="s">
        <v>1404</v>
      </c>
      <c r="N893" s="92" t="s">
        <v>2306</v>
      </c>
      <c r="O893" s="77"/>
      <c r="P893" s="92" t="s">
        <v>2535</v>
      </c>
      <c r="Q893" s="32"/>
      <c r="R893" s="48" t="s">
        <v>216</v>
      </c>
      <c r="S893" s="32"/>
    </row>
    <row r="894" spans="2:19" ht="28.8" x14ac:dyDescent="0.3">
      <c r="B894" t="s">
        <v>4348</v>
      </c>
      <c r="C894" s="11" t="s">
        <v>177</v>
      </c>
      <c r="D894">
        <v>1</v>
      </c>
      <c r="E894" t="s">
        <v>160</v>
      </c>
      <c r="F894" s="91" t="s">
        <v>1072</v>
      </c>
      <c r="G894" s="90" t="str">
        <f>LEFT([1]modificado!$O$2, FIND(" ", [1]modificado!$O$2 &amp; " ") - 1)</f>
        <v>3M</v>
      </c>
      <c r="H894" s="47" t="str">
        <f>RIGHT([1]!Tabla2[[#This Row],[Marca y Modelo]], LEN([1]!Tabla2[[#This Row],[Marca y Modelo]]) - FIND(" ", [1]!Tabla2[[#This Row],[Marca y Modelo]]))</f>
        <v>3250</v>
      </c>
      <c r="I894" s="76"/>
      <c r="J894" s="76"/>
      <c r="K894" s="91" t="s">
        <v>4230</v>
      </c>
      <c r="L894" s="91" t="s">
        <v>3505</v>
      </c>
      <c r="M894" s="91" t="s">
        <v>1404</v>
      </c>
      <c r="N894" s="91" t="s">
        <v>2307</v>
      </c>
      <c r="O894" s="77"/>
      <c r="P894" s="91" t="s">
        <v>2535</v>
      </c>
      <c r="Q894" s="32"/>
      <c r="R894" s="48" t="s">
        <v>216</v>
      </c>
      <c r="S894" s="32"/>
    </row>
    <row r="895" spans="2:19" ht="28.8" x14ac:dyDescent="0.3">
      <c r="B895" t="s">
        <v>4348</v>
      </c>
      <c r="C895" s="11" t="s">
        <v>177</v>
      </c>
      <c r="D895">
        <v>1</v>
      </c>
      <c r="E895" t="s">
        <v>160</v>
      </c>
      <c r="F895" s="92" t="s">
        <v>1077</v>
      </c>
      <c r="G895" s="90" t="str">
        <f>LEFT([1]modificado!$O$2, FIND(" ", [1]modificado!$O$2 &amp; " ") - 1)</f>
        <v>3M</v>
      </c>
      <c r="H895" s="47" t="str">
        <f>RIGHT([1]!Tabla2[[#This Row],[Marca y Modelo]], LEN([1]!Tabla2[[#This Row],[Marca y Modelo]]) - FIND(" ", [1]!Tabla2[[#This Row],[Marca y Modelo]]))</f>
        <v>3312</v>
      </c>
      <c r="I895" s="76"/>
      <c r="J895" s="76"/>
      <c r="K895" s="92" t="s">
        <v>4229</v>
      </c>
      <c r="L895" s="92" t="s">
        <v>3506</v>
      </c>
      <c r="M895" s="92" t="s">
        <v>1404</v>
      </c>
      <c r="N895" s="92" t="s">
        <v>2308</v>
      </c>
      <c r="O895" s="77"/>
      <c r="P895" s="92" t="s">
        <v>2535</v>
      </c>
      <c r="Q895" s="32"/>
      <c r="R895" s="48" t="s">
        <v>216</v>
      </c>
      <c r="S895" s="32"/>
    </row>
    <row r="896" spans="2:19" ht="28.8" x14ac:dyDescent="0.3">
      <c r="B896" t="s">
        <v>4348</v>
      </c>
      <c r="C896" s="11" t="s">
        <v>177</v>
      </c>
      <c r="D896">
        <v>1</v>
      </c>
      <c r="E896" t="s">
        <v>160</v>
      </c>
      <c r="F896" s="91" t="s">
        <v>1077</v>
      </c>
      <c r="G896" s="90" t="str">
        <f>LEFT([1]modificado!$O$2, FIND(" ", [1]modificado!$O$2 &amp; " ") - 1)</f>
        <v>3M</v>
      </c>
      <c r="H896" s="47" t="str">
        <f>RIGHT([1]!Tabla2[[#This Row],[Marca y Modelo]], LEN([1]!Tabla2[[#This Row],[Marca y Modelo]]) - FIND(" ", [1]!Tabla2[[#This Row],[Marca y Modelo]]))</f>
        <v>3312</v>
      </c>
      <c r="I896" s="76"/>
      <c r="J896" s="76"/>
      <c r="K896" s="91" t="s">
        <v>4229</v>
      </c>
      <c r="L896" s="91" t="s">
        <v>3507</v>
      </c>
      <c r="M896" s="91" t="s">
        <v>1404</v>
      </c>
      <c r="N896" s="91" t="s">
        <v>2309</v>
      </c>
      <c r="O896" s="77"/>
      <c r="P896" s="91" t="s">
        <v>2535</v>
      </c>
      <c r="Q896" s="32"/>
      <c r="R896" s="48" t="s">
        <v>216</v>
      </c>
      <c r="S896" s="32"/>
    </row>
    <row r="897" spans="2:19" ht="28.8" x14ac:dyDescent="0.3">
      <c r="B897" t="s">
        <v>4348</v>
      </c>
      <c r="C897" s="11" t="s">
        <v>177</v>
      </c>
      <c r="D897">
        <v>1</v>
      </c>
      <c r="E897" t="s">
        <v>160</v>
      </c>
      <c r="F897" s="92" t="s">
        <v>1077</v>
      </c>
      <c r="G897" s="90" t="str">
        <f>LEFT([1]modificado!$O$2, FIND(" ", [1]modificado!$O$2 &amp; " ") - 1)</f>
        <v>3M</v>
      </c>
      <c r="H897" s="47" t="str">
        <f>RIGHT([1]!Tabla2[[#This Row],[Marca y Modelo]], LEN([1]!Tabla2[[#This Row],[Marca y Modelo]]) - FIND(" ", [1]!Tabla2[[#This Row],[Marca y Modelo]]))</f>
        <v>3312</v>
      </c>
      <c r="I897" s="76"/>
      <c r="J897" s="76"/>
      <c r="K897" s="92" t="s">
        <v>4229</v>
      </c>
      <c r="L897" s="92" t="s">
        <v>3508</v>
      </c>
      <c r="M897" s="92" t="s">
        <v>1404</v>
      </c>
      <c r="N897" s="92" t="s">
        <v>2310</v>
      </c>
      <c r="O897" s="77"/>
      <c r="P897" s="92" t="s">
        <v>2535</v>
      </c>
      <c r="Q897" s="32"/>
      <c r="R897" s="48" t="s">
        <v>216</v>
      </c>
      <c r="S897" s="32"/>
    </row>
    <row r="898" spans="2:19" ht="28.8" x14ac:dyDescent="0.3">
      <c r="B898" t="s">
        <v>4348</v>
      </c>
      <c r="C898" s="11" t="s">
        <v>177</v>
      </c>
      <c r="D898">
        <v>1</v>
      </c>
      <c r="E898" t="s">
        <v>160</v>
      </c>
      <c r="F898" s="91" t="s">
        <v>1077</v>
      </c>
      <c r="G898" s="90" t="str">
        <f>LEFT([1]modificado!$O$2, FIND(" ", [1]modificado!$O$2 &amp; " ") - 1)</f>
        <v>3M</v>
      </c>
      <c r="H898" s="47" t="str">
        <f>RIGHT([1]!Tabla2[[#This Row],[Marca y Modelo]], LEN([1]!Tabla2[[#This Row],[Marca y Modelo]]) - FIND(" ", [1]!Tabla2[[#This Row],[Marca y Modelo]]))</f>
        <v>3312</v>
      </c>
      <c r="I898" s="76"/>
      <c r="J898" s="76"/>
      <c r="K898" s="91" t="s">
        <v>4229</v>
      </c>
      <c r="L898" s="91" t="s">
        <v>3509</v>
      </c>
      <c r="M898" s="91" t="s">
        <v>1404</v>
      </c>
      <c r="N898" s="91" t="s">
        <v>2311</v>
      </c>
      <c r="O898" s="77"/>
      <c r="P898" s="91" t="s">
        <v>2535</v>
      </c>
      <c r="Q898" s="32"/>
      <c r="R898" s="48" t="s">
        <v>216</v>
      </c>
      <c r="S898" s="32"/>
    </row>
    <row r="899" spans="2:19" ht="28.8" x14ac:dyDescent="0.3">
      <c r="B899" t="s">
        <v>4348</v>
      </c>
      <c r="C899" s="11" t="s">
        <v>177</v>
      </c>
      <c r="D899">
        <v>1</v>
      </c>
      <c r="E899" t="s">
        <v>160</v>
      </c>
      <c r="F899" s="92" t="s">
        <v>1077</v>
      </c>
      <c r="G899" s="90" t="str">
        <f>LEFT([1]modificado!$O$2, FIND(" ", [1]modificado!$O$2 &amp; " ") - 1)</f>
        <v>3M</v>
      </c>
      <c r="H899" s="47" t="str">
        <f>RIGHT([1]!Tabla2[[#This Row],[Marca y Modelo]], LEN([1]!Tabla2[[#This Row],[Marca y Modelo]]) - FIND(" ", [1]!Tabla2[[#This Row],[Marca y Modelo]]))</f>
        <v>3312</v>
      </c>
      <c r="I899" s="76"/>
      <c r="J899" s="76"/>
      <c r="K899" s="92" t="s">
        <v>4229</v>
      </c>
      <c r="L899" s="92" t="s">
        <v>3510</v>
      </c>
      <c r="M899" s="92" t="s">
        <v>1404</v>
      </c>
      <c r="N899" s="92" t="s">
        <v>2312</v>
      </c>
      <c r="O899" s="77"/>
      <c r="P899" s="92" t="s">
        <v>2535</v>
      </c>
      <c r="Q899" s="32"/>
      <c r="R899" s="48" t="s">
        <v>216</v>
      </c>
      <c r="S899" s="32"/>
    </row>
    <row r="900" spans="2:19" ht="28.8" x14ac:dyDescent="0.3">
      <c r="B900" t="str">
        <f>LEFT(Tabla3890134177220392[[#This Row],[Descripción del equipo]], FIND(" ", Tabla3890134177220392[[#This Row],[Descripción del equipo]] &amp; " ") - 1)</f>
        <v>Arnes</v>
      </c>
      <c r="C900" s="11" t="s">
        <v>177</v>
      </c>
      <c r="D900">
        <v>1</v>
      </c>
      <c r="E900" t="s">
        <v>160</v>
      </c>
      <c r="F900" s="91" t="s">
        <v>1056</v>
      </c>
      <c r="G900" s="90" t="str">
        <f>LEFT([1]modificado!$O$2, FIND(" ", [1]modificado!$O$2 &amp; " ") - 1)</f>
        <v>3M</v>
      </c>
      <c r="H900" s="47" t="str">
        <f>RIGHT([1]!Tabla2[[#This Row],[Marca y Modelo]], LEN([1]!Tabla2[[#This Row],[Marca y Modelo]]) - FIND(" ", [1]!Tabla2[[#This Row],[Marca y Modelo]]))</f>
        <v>10911F-LOGO</v>
      </c>
      <c r="I900" s="76"/>
      <c r="J900" s="76"/>
      <c r="K900" s="91" t="s">
        <v>4231</v>
      </c>
      <c r="L900" s="91" t="s">
        <v>3511</v>
      </c>
      <c r="M900" s="91" t="s">
        <v>1404</v>
      </c>
      <c r="N900" s="91" t="s">
        <v>2313</v>
      </c>
      <c r="O900" s="77"/>
      <c r="P900" s="91" t="s">
        <v>2535</v>
      </c>
      <c r="Q900" s="32"/>
      <c r="R900" s="48" t="s">
        <v>216</v>
      </c>
      <c r="S900" s="32"/>
    </row>
    <row r="901" spans="2:19" ht="28.8" x14ac:dyDescent="0.3">
      <c r="B901" t="str">
        <f>LEFT(Tabla3890134177220392[[#This Row],[Descripción del equipo]], FIND(" ", Tabla3890134177220392[[#This Row],[Descripción del equipo]] &amp; " ") - 1)</f>
        <v>Arnes</v>
      </c>
      <c r="C901" s="11" t="s">
        <v>177</v>
      </c>
      <c r="D901">
        <v>1</v>
      </c>
      <c r="E901" t="s">
        <v>160</v>
      </c>
      <c r="F901" s="92" t="s">
        <v>1062</v>
      </c>
      <c r="G901" s="90" t="str">
        <f>LEFT([1]modificado!$O$2, FIND(" ", [1]modificado!$O$2 &amp; " ") - 1)</f>
        <v>3M</v>
      </c>
      <c r="H901" s="47" t="str">
        <f>RIGHT([1]!Tabla2[[#This Row],[Marca y Modelo]], LEN([1]!Tabla2[[#This Row],[Marca y Modelo]]) - FIND(" ", [1]!Tabla2[[#This Row],[Marca y Modelo]]))</f>
        <v>10955-LOGO</v>
      </c>
      <c r="I901" s="76"/>
      <c r="J901" s="76"/>
      <c r="K901" s="92" t="s">
        <v>4231</v>
      </c>
      <c r="L901" s="92" t="s">
        <v>3512</v>
      </c>
      <c r="M901" s="92" t="s">
        <v>1404</v>
      </c>
      <c r="N901" s="92" t="s">
        <v>2314</v>
      </c>
      <c r="O901" s="77"/>
      <c r="P901" s="92" t="s">
        <v>2535</v>
      </c>
      <c r="Q901" s="32"/>
      <c r="R901" s="48" t="s">
        <v>216</v>
      </c>
      <c r="S901" s="32"/>
    </row>
    <row r="902" spans="2:19" ht="28.8" x14ac:dyDescent="0.3">
      <c r="B902" t="s">
        <v>4348</v>
      </c>
      <c r="C902" s="11" t="s">
        <v>177</v>
      </c>
      <c r="D902">
        <v>1</v>
      </c>
      <c r="E902" t="s">
        <v>160</v>
      </c>
      <c r="F902" s="91" t="s">
        <v>1060</v>
      </c>
      <c r="G902" s="90" t="str">
        <f>LEFT([1]modificado!$O$2, FIND(" ", [1]modificado!$O$2 &amp; " ") - 1)</f>
        <v>3M</v>
      </c>
      <c r="H902" s="47" t="str">
        <f>RIGHT([1]!Tabla2[[#This Row],[Marca y Modelo]], LEN([1]!Tabla2[[#This Row],[Marca y Modelo]]) - FIND(" ", [1]!Tabla2[[#This Row],[Marca y Modelo]]))</f>
        <v>209550-4-0241</v>
      </c>
      <c r="I902" s="76"/>
      <c r="J902" s="76"/>
      <c r="K902" s="91" t="s">
        <v>4228</v>
      </c>
      <c r="L902" s="91" t="s">
        <v>3513</v>
      </c>
      <c r="M902" s="91" t="s">
        <v>1404</v>
      </c>
      <c r="N902" s="91" t="s">
        <v>2315</v>
      </c>
      <c r="O902" s="77"/>
      <c r="P902" s="91" t="s">
        <v>2535</v>
      </c>
      <c r="Q902" s="32"/>
      <c r="R902" s="48" t="s">
        <v>216</v>
      </c>
      <c r="S902" s="32"/>
    </row>
    <row r="903" spans="2:19" ht="28.8" x14ac:dyDescent="0.3">
      <c r="B903" t="s">
        <v>4348</v>
      </c>
      <c r="C903" s="11" t="s">
        <v>177</v>
      </c>
      <c r="D903">
        <v>1</v>
      </c>
      <c r="E903" t="s">
        <v>160</v>
      </c>
      <c r="F903" s="92" t="s">
        <v>1060</v>
      </c>
      <c r="G903" s="90" t="str">
        <f>LEFT([1]modificado!$O$2, FIND(" ", [1]modificado!$O$2 &amp; " ") - 1)</f>
        <v>3M</v>
      </c>
      <c r="H903" s="47" t="str">
        <f>RIGHT([1]!Tabla2[[#This Row],[Marca y Modelo]], LEN([1]!Tabla2[[#This Row],[Marca y Modelo]]) - FIND(" ", [1]!Tabla2[[#This Row],[Marca y Modelo]]))</f>
        <v>209550-4-0241</v>
      </c>
      <c r="I903" s="76"/>
      <c r="J903" s="76"/>
      <c r="K903" s="92" t="s">
        <v>4228</v>
      </c>
      <c r="L903" s="92" t="s">
        <v>3514</v>
      </c>
      <c r="M903" s="92" t="s">
        <v>1404</v>
      </c>
      <c r="N903" s="92" t="s">
        <v>2316</v>
      </c>
      <c r="O903" s="77"/>
      <c r="P903" s="92" t="s">
        <v>2535</v>
      </c>
      <c r="Q903" s="32"/>
      <c r="R903" s="48" t="s">
        <v>216</v>
      </c>
      <c r="S903" s="32"/>
    </row>
    <row r="904" spans="2:19" ht="28.8" x14ac:dyDescent="0.3">
      <c r="B904" t="str">
        <f>LEFT(Tabla3890134177220392[[#This Row],[Descripción del equipo]], FIND(" ", Tabla3890134177220392[[#This Row],[Descripción del equipo]] &amp; " ") - 1)</f>
        <v>Arnes</v>
      </c>
      <c r="C904" s="11" t="s">
        <v>177</v>
      </c>
      <c r="D904">
        <v>1</v>
      </c>
      <c r="E904" t="s">
        <v>160</v>
      </c>
      <c r="F904" s="91" t="s">
        <v>1056</v>
      </c>
      <c r="G904" s="90" t="str">
        <f>LEFT([1]modificado!$O$2, FIND(" ", [1]modificado!$O$2 &amp; " ") - 1)</f>
        <v>3M</v>
      </c>
      <c r="H904" s="47" t="str">
        <f>RIGHT([1]!Tabla2[[#This Row],[Marca y Modelo]], LEN([1]!Tabla2[[#This Row],[Marca y Modelo]]) - FIND(" ", [1]!Tabla2[[#This Row],[Marca y Modelo]]))</f>
        <v>Space</v>
      </c>
      <c r="I904" s="76"/>
      <c r="J904" s="76"/>
      <c r="K904" s="91" t="s">
        <v>4231</v>
      </c>
      <c r="L904" s="91" t="s">
        <v>3515</v>
      </c>
      <c r="M904" s="91" t="s">
        <v>1406</v>
      </c>
      <c r="N904" s="91" t="s">
        <v>2317</v>
      </c>
      <c r="O904" s="77"/>
      <c r="P904" s="91" t="s">
        <v>2535</v>
      </c>
      <c r="Q904" s="32"/>
      <c r="R904" s="48" t="s">
        <v>216</v>
      </c>
      <c r="S904" s="32"/>
    </row>
    <row r="905" spans="2:19" ht="28.8" x14ac:dyDescent="0.3">
      <c r="B905" t="s">
        <v>4348</v>
      </c>
      <c r="C905" s="11" t="s">
        <v>177</v>
      </c>
      <c r="D905">
        <v>1</v>
      </c>
      <c r="E905" t="s">
        <v>160</v>
      </c>
      <c r="F905" s="92" t="s">
        <v>1060</v>
      </c>
      <c r="G905" s="90" t="str">
        <f>LEFT([1]modificado!$O$2, FIND(" ", [1]modificado!$O$2 &amp; " ") - 1)</f>
        <v>3M</v>
      </c>
      <c r="H905" s="47" t="str">
        <f>RIGHT([1]!Tabla2[[#This Row],[Marca y Modelo]], LEN([1]!Tabla2[[#This Row],[Marca y Modelo]]) - FIND(" ", [1]!Tabla2[[#This Row],[Marca y Modelo]]))</f>
        <v>209550-4-0241</v>
      </c>
      <c r="I905" s="76"/>
      <c r="J905" s="76"/>
      <c r="K905" s="92" t="s">
        <v>4228</v>
      </c>
      <c r="L905" s="92" t="s">
        <v>3516</v>
      </c>
      <c r="M905" s="92" t="s">
        <v>1404</v>
      </c>
      <c r="N905" s="92" t="s">
        <v>2318</v>
      </c>
      <c r="O905" s="77"/>
      <c r="P905" s="92" t="s">
        <v>2535</v>
      </c>
      <c r="Q905" s="32"/>
      <c r="R905" s="48" t="s">
        <v>216</v>
      </c>
      <c r="S905" s="32"/>
    </row>
    <row r="906" spans="2:19" ht="28.8" x14ac:dyDescent="0.3">
      <c r="B906" t="str">
        <f>LEFT(Tabla3890134177220392[[#This Row],[Descripción del equipo]], FIND(" ", Tabla3890134177220392[[#This Row],[Descripción del equipo]] &amp; " ") - 1)</f>
        <v>Arnes</v>
      </c>
      <c r="C906" s="11" t="s">
        <v>177</v>
      </c>
      <c r="D906">
        <v>1</v>
      </c>
      <c r="E906" t="s">
        <v>160</v>
      </c>
      <c r="F906" s="91" t="s">
        <v>1056</v>
      </c>
      <c r="G906" s="90" t="str">
        <f>LEFT([1]modificado!$O$2, FIND(" ", [1]modificado!$O$2 &amp; " ") - 1)</f>
        <v>3M</v>
      </c>
      <c r="H906" s="47" t="str">
        <f>RIGHT([1]!Tabla2[[#This Row],[Marca y Modelo]], LEN([1]!Tabla2[[#This Row],[Marca y Modelo]]) - FIND(" ", [1]!Tabla2[[#This Row],[Marca y Modelo]]))</f>
        <v>Space</v>
      </c>
      <c r="I906" s="76"/>
      <c r="J906" s="76"/>
      <c r="K906" s="91" t="s">
        <v>4231</v>
      </c>
      <c r="L906" s="91" t="s">
        <v>3517</v>
      </c>
      <c r="M906" s="91" t="s">
        <v>1406</v>
      </c>
      <c r="N906" s="91" t="s">
        <v>2319</v>
      </c>
      <c r="O906" s="77"/>
      <c r="P906" s="91" t="s">
        <v>2535</v>
      </c>
      <c r="Q906" s="32"/>
      <c r="R906" s="48" t="s">
        <v>216</v>
      </c>
      <c r="S906" s="32"/>
    </row>
    <row r="907" spans="2:19" ht="28.8" x14ac:dyDescent="0.3">
      <c r="B907" t="str">
        <f>LEFT(Tabla3890134177220392[[#This Row],[Descripción del equipo]], FIND(" ", Tabla3890134177220392[[#This Row],[Descripción del equipo]] &amp; " ") - 1)</f>
        <v>Arnes</v>
      </c>
      <c r="C907" s="11" t="s">
        <v>177</v>
      </c>
      <c r="D907">
        <v>1</v>
      </c>
      <c r="E907" t="s">
        <v>160</v>
      </c>
      <c r="F907" s="92" t="s">
        <v>1056</v>
      </c>
      <c r="G907" s="90" t="str">
        <f>LEFT([1]modificado!$O$2, FIND(" ", [1]modificado!$O$2 &amp; " ") - 1)</f>
        <v>3M</v>
      </c>
      <c r="H907" s="47" t="str">
        <f>RIGHT([1]!Tabla2[[#This Row],[Marca y Modelo]], LEN([1]!Tabla2[[#This Row],[Marca y Modelo]]) - FIND(" ", [1]!Tabla2[[#This Row],[Marca y Modelo]]))</f>
        <v>10911F-LOGO</v>
      </c>
      <c r="I907" s="76"/>
      <c r="J907" s="76"/>
      <c r="K907" s="92" t="s">
        <v>4232</v>
      </c>
      <c r="L907" s="92" t="s">
        <v>3518</v>
      </c>
      <c r="M907" s="92" t="s">
        <v>1404</v>
      </c>
      <c r="N907" s="92" t="s">
        <v>2320</v>
      </c>
      <c r="O907" s="77"/>
      <c r="P907" s="92" t="s">
        <v>2535</v>
      </c>
      <c r="Q907" s="32"/>
      <c r="R907" s="48" t="s">
        <v>216</v>
      </c>
      <c r="S907" s="32"/>
    </row>
    <row r="908" spans="2:19" ht="28.8" x14ac:dyDescent="0.3">
      <c r="B908" t="s">
        <v>4348</v>
      </c>
      <c r="C908" s="11" t="s">
        <v>177</v>
      </c>
      <c r="D908">
        <v>1</v>
      </c>
      <c r="E908" t="s">
        <v>160</v>
      </c>
      <c r="F908" s="91" t="s">
        <v>1060</v>
      </c>
      <c r="G908" s="90" t="str">
        <f>LEFT([1]modificado!$O$2, FIND(" ", [1]modificado!$O$2 &amp; " ") - 1)</f>
        <v>3M</v>
      </c>
      <c r="H908" s="47" t="str">
        <f>RIGHT([1]!Tabla2[[#This Row],[Marca y Modelo]], LEN([1]!Tabla2[[#This Row],[Marca y Modelo]]) - FIND(" ", [1]!Tabla2[[#This Row],[Marca y Modelo]]))</f>
        <v>209550-4-0241</v>
      </c>
      <c r="I908" s="76"/>
      <c r="J908" s="76"/>
      <c r="K908" s="91" t="s">
        <v>4233</v>
      </c>
      <c r="L908" s="91" t="s">
        <v>3519</v>
      </c>
      <c r="M908" s="91" t="s">
        <v>1404</v>
      </c>
      <c r="N908" s="91" t="s">
        <v>2321</v>
      </c>
      <c r="O908" s="77"/>
      <c r="P908" s="91" t="s">
        <v>2535</v>
      </c>
      <c r="Q908" s="32"/>
      <c r="R908" s="48" t="s">
        <v>216</v>
      </c>
      <c r="S908" s="32"/>
    </row>
    <row r="909" spans="2:19" ht="28.8" x14ac:dyDescent="0.3">
      <c r="B909" t="s">
        <v>4348</v>
      </c>
      <c r="C909" s="11" t="s">
        <v>177</v>
      </c>
      <c r="D909">
        <v>1</v>
      </c>
      <c r="E909" t="s">
        <v>160</v>
      </c>
      <c r="F909" s="92" t="s">
        <v>1057</v>
      </c>
      <c r="G909" s="90" t="str">
        <f>LEFT([1]modificado!$O$2, FIND(" ", [1]modificado!$O$2 &amp; " ") - 1)</f>
        <v>3M</v>
      </c>
      <c r="H909" s="47"/>
      <c r="I909" s="76"/>
      <c r="J909" s="76"/>
      <c r="K909" s="92" t="s">
        <v>4234</v>
      </c>
      <c r="L909" s="92" t="s">
        <v>3520</v>
      </c>
      <c r="M909" s="92" t="s">
        <v>1405</v>
      </c>
      <c r="N909" s="92" t="s">
        <v>2322</v>
      </c>
      <c r="O909" s="77"/>
      <c r="P909" s="92" t="s">
        <v>2535</v>
      </c>
      <c r="Q909" s="32"/>
      <c r="R909" s="48" t="s">
        <v>216</v>
      </c>
      <c r="S909" s="32"/>
    </row>
    <row r="910" spans="2:19" ht="28.8" x14ac:dyDescent="0.3">
      <c r="B910" t="str">
        <f>LEFT(Tabla3890134177220392[[#This Row],[Descripción del equipo]], FIND(" ", Tabla3890134177220392[[#This Row],[Descripción del equipo]] &amp; " ") - 1)</f>
        <v>Arnes</v>
      </c>
      <c r="C910" s="11" t="s">
        <v>177</v>
      </c>
      <c r="D910">
        <v>1</v>
      </c>
      <c r="E910" t="s">
        <v>160</v>
      </c>
      <c r="F910" s="91" t="s">
        <v>1056</v>
      </c>
      <c r="G910" s="90" t="str">
        <f>LEFT([1]modificado!$O$2, FIND(" ", [1]modificado!$O$2 &amp; " ") - 1)</f>
        <v>3M</v>
      </c>
      <c r="H910" s="47" t="str">
        <f>RIGHT([1]!Tabla2[[#This Row],[Marca y Modelo]], LEN([1]!Tabla2[[#This Row],[Marca y Modelo]]) - FIND(" ", [1]!Tabla2[[#This Row],[Marca y Modelo]]))</f>
        <v>Space</v>
      </c>
      <c r="I910" s="76"/>
      <c r="J910" s="76"/>
      <c r="K910" s="91" t="s">
        <v>4235</v>
      </c>
      <c r="L910" s="91" t="s">
        <v>3521</v>
      </c>
      <c r="M910" s="91" t="s">
        <v>1405</v>
      </c>
      <c r="N910" s="91" t="s">
        <v>2323</v>
      </c>
      <c r="O910" s="77"/>
      <c r="P910" s="91" t="s">
        <v>2535</v>
      </c>
      <c r="Q910" s="32"/>
      <c r="R910" s="48" t="s">
        <v>216</v>
      </c>
      <c r="S910" s="32"/>
    </row>
    <row r="911" spans="2:19" ht="28.8" x14ac:dyDescent="0.3">
      <c r="B911" t="s">
        <v>4349</v>
      </c>
      <c r="C911" s="11" t="s">
        <v>177</v>
      </c>
      <c r="D911">
        <v>1</v>
      </c>
      <c r="E911" t="s">
        <v>160</v>
      </c>
      <c r="F911" s="92" t="s">
        <v>1059</v>
      </c>
      <c r="G911" s="90" t="str">
        <f>LEFT([1]modificado!$O$2, FIND(" ", [1]modificado!$O$2 &amp; " ") - 1)</f>
        <v>3M</v>
      </c>
      <c r="H911" s="47" t="str">
        <f>RIGHT([1]!Tabla2[[#This Row],[Marca y Modelo]], LEN([1]!Tabla2[[#This Row],[Marca y Modelo]]) - FIND(" ", [1]!Tabla2[[#This Row],[Marca y Modelo]]))</f>
        <v>4550-U</v>
      </c>
      <c r="I911" s="76"/>
      <c r="J911" s="76"/>
      <c r="K911" s="92" t="s">
        <v>4236</v>
      </c>
      <c r="L911" s="92" t="s">
        <v>3522</v>
      </c>
      <c r="M911" s="92" t="s">
        <v>1404</v>
      </c>
      <c r="N911" s="92" t="s">
        <v>2324</v>
      </c>
      <c r="O911" s="77"/>
      <c r="P911" s="92" t="s">
        <v>2535</v>
      </c>
      <c r="Q911" s="32"/>
      <c r="R911" s="48" t="s">
        <v>216</v>
      </c>
      <c r="S911" s="32"/>
    </row>
    <row r="912" spans="2:19" ht="28.8" x14ac:dyDescent="0.3">
      <c r="B912" t="str">
        <f>LEFT(Tabla3890134177220392[[#This Row],[Descripción del equipo]], FIND(" ", Tabla3890134177220392[[#This Row],[Descripción del equipo]] &amp; " ") - 1)</f>
        <v>Autoretractil</v>
      </c>
      <c r="C912" s="11" t="s">
        <v>177</v>
      </c>
      <c r="D912">
        <v>1</v>
      </c>
      <c r="E912" t="s">
        <v>160</v>
      </c>
      <c r="F912" s="91" t="s">
        <v>1058</v>
      </c>
      <c r="G912" s="90" t="str">
        <f>LEFT([1]modificado!$O$2, FIND(" ", [1]modificado!$O$2 &amp; " ") - 1)</f>
        <v>3M</v>
      </c>
      <c r="H912" s="47"/>
      <c r="I912" s="76"/>
      <c r="J912" s="76"/>
      <c r="K912" s="91" t="s">
        <v>4237</v>
      </c>
      <c r="L912" s="91" t="s">
        <v>3523</v>
      </c>
      <c r="M912" s="91" t="s">
        <v>1404</v>
      </c>
      <c r="N912" s="91" t="s">
        <v>2325</v>
      </c>
      <c r="O912" s="77"/>
      <c r="P912" s="91" t="s">
        <v>2535</v>
      </c>
      <c r="Q912" s="32"/>
      <c r="R912" s="48" t="s">
        <v>216</v>
      </c>
      <c r="S912" s="32"/>
    </row>
    <row r="913" spans="2:19" ht="28.8" x14ac:dyDescent="0.3">
      <c r="B913" t="s">
        <v>4348</v>
      </c>
      <c r="C913" s="11" t="s">
        <v>177</v>
      </c>
      <c r="D913">
        <v>1</v>
      </c>
      <c r="E913" t="s">
        <v>160</v>
      </c>
      <c r="F913" s="92" t="s">
        <v>1057</v>
      </c>
      <c r="G913" s="90" t="str">
        <f>LEFT([1]modificado!$O$2, FIND(" ", [1]modificado!$O$2 &amp; " ") - 1)</f>
        <v>3M</v>
      </c>
      <c r="H913" s="47" t="str">
        <f>RIGHT([1]!Tabla2[[#This Row],[Marca y Modelo]], LEN([1]!Tabla2[[#This Row],[Marca y Modelo]]) - FIND(" ", [1]!Tabla2[[#This Row],[Marca y Modelo]]))</f>
        <v>Musitani</v>
      </c>
      <c r="I913" s="76"/>
      <c r="J913" s="76"/>
      <c r="K913" s="92" t="s">
        <v>4238</v>
      </c>
      <c r="L913" s="92" t="s">
        <v>3524</v>
      </c>
      <c r="M913" s="92" t="s">
        <v>1404</v>
      </c>
      <c r="N913" s="92" t="s">
        <v>2326</v>
      </c>
      <c r="O913" s="77"/>
      <c r="P913" s="92" t="s">
        <v>2535</v>
      </c>
      <c r="Q913" s="32"/>
      <c r="R913" s="48" t="s">
        <v>216</v>
      </c>
      <c r="S913" s="32"/>
    </row>
    <row r="914" spans="2:19" ht="28.8" x14ac:dyDescent="0.3">
      <c r="B914" t="str">
        <f>LEFT(Tabla3890134177220392[[#This Row],[Descripción del equipo]], FIND(" ", Tabla3890134177220392[[#This Row],[Descripción del equipo]] &amp; " ") - 1)</f>
        <v>Arnes</v>
      </c>
      <c r="C914" s="11" t="s">
        <v>177</v>
      </c>
      <c r="D914">
        <v>1</v>
      </c>
      <c r="E914" t="s">
        <v>160</v>
      </c>
      <c r="F914" s="91" t="s">
        <v>1056</v>
      </c>
      <c r="G914" s="90" t="str">
        <f>LEFT([1]modificado!$O$2, FIND(" ", [1]modificado!$O$2 &amp; " ") - 1)</f>
        <v>3M</v>
      </c>
      <c r="H914" s="47" t="str">
        <f>RIGHT([1]!Tabla2[[#This Row],[Marca y Modelo]], LEN([1]!Tabla2[[#This Row],[Marca y Modelo]]) - FIND(" ", [1]!Tabla2[[#This Row],[Marca y Modelo]]))</f>
        <v>10911F-LOGO</v>
      </c>
      <c r="I914" s="76"/>
      <c r="J914" s="76"/>
      <c r="K914" s="91" t="s">
        <v>4239</v>
      </c>
      <c r="L914" s="91" t="s">
        <v>3525</v>
      </c>
      <c r="M914" s="91" t="s">
        <v>1404</v>
      </c>
      <c r="N914" s="91" t="s">
        <v>2327</v>
      </c>
      <c r="O914" s="77"/>
      <c r="P914" s="91" t="s">
        <v>2535</v>
      </c>
      <c r="Q914" s="32"/>
      <c r="R914" s="48" t="s">
        <v>216</v>
      </c>
      <c r="S914" s="32"/>
    </row>
    <row r="915" spans="2:19" ht="28.8" x14ac:dyDescent="0.3">
      <c r="B915" t="s">
        <v>4348</v>
      </c>
      <c r="C915" s="11" t="s">
        <v>177</v>
      </c>
      <c r="D915">
        <v>1</v>
      </c>
      <c r="E915" t="s">
        <v>160</v>
      </c>
      <c r="F915" s="92" t="s">
        <v>1057</v>
      </c>
      <c r="G915" s="90" t="str">
        <f>LEFT([1]modificado!$O$2, FIND(" ", [1]modificado!$O$2 &amp; " ") - 1)</f>
        <v>3M</v>
      </c>
      <c r="H915" s="47" t="str">
        <f>RIGHT([1]!Tabla2[[#This Row],[Marca y Modelo]], LEN([1]!Tabla2[[#This Row],[Marca y Modelo]]) - FIND(" ", [1]!Tabla2[[#This Row],[Marca y Modelo]]))</f>
        <v>Musitani</v>
      </c>
      <c r="I915" s="76"/>
      <c r="J915" s="76"/>
      <c r="K915" s="92" t="s">
        <v>4240</v>
      </c>
      <c r="L915" s="92" t="s">
        <v>3526</v>
      </c>
      <c r="M915" s="92" t="s">
        <v>1404</v>
      </c>
      <c r="N915" s="92" t="s">
        <v>2328</v>
      </c>
      <c r="O915" s="77"/>
      <c r="P915" s="92" t="s">
        <v>2535</v>
      </c>
      <c r="Q915" s="32"/>
      <c r="R915" s="48" t="s">
        <v>216</v>
      </c>
      <c r="S915" s="32"/>
    </row>
    <row r="916" spans="2:19" ht="28.8" x14ac:dyDescent="0.3">
      <c r="B916" t="str">
        <f>LEFT(Tabla3890134177220392[[#This Row],[Descripción del equipo]], FIND(" ", Tabla3890134177220392[[#This Row],[Descripción del equipo]] &amp; " ") - 1)</f>
        <v>Autoretractil</v>
      </c>
      <c r="C916" s="11" t="s">
        <v>177</v>
      </c>
      <c r="D916">
        <v>1</v>
      </c>
      <c r="E916" t="s">
        <v>160</v>
      </c>
      <c r="F916" s="91" t="s">
        <v>1058</v>
      </c>
      <c r="G916" s="90" t="str">
        <f>LEFT([1]modificado!$O$2, FIND(" ", [1]modificado!$O$2 &amp; " ") - 1)</f>
        <v>3M</v>
      </c>
      <c r="H916" s="47"/>
      <c r="I916" s="76"/>
      <c r="J916" s="76"/>
      <c r="K916" s="91" t="s">
        <v>4241</v>
      </c>
      <c r="L916" s="91" t="s">
        <v>3527</v>
      </c>
      <c r="M916" s="91" t="s">
        <v>1404</v>
      </c>
      <c r="N916" s="91" t="s">
        <v>2329</v>
      </c>
      <c r="O916" s="77"/>
      <c r="P916" s="91" t="s">
        <v>2535</v>
      </c>
      <c r="Q916" s="32"/>
      <c r="R916" s="48" t="s">
        <v>216</v>
      </c>
      <c r="S916" s="32"/>
    </row>
    <row r="917" spans="2:19" ht="28.8" x14ac:dyDescent="0.3">
      <c r="B917" t="s">
        <v>4349</v>
      </c>
      <c r="C917" s="11" t="s">
        <v>177</v>
      </c>
      <c r="D917">
        <v>1</v>
      </c>
      <c r="E917" t="s">
        <v>160</v>
      </c>
      <c r="F917" s="92" t="s">
        <v>1059</v>
      </c>
      <c r="G917" s="90" t="str">
        <f>LEFT([1]modificado!$O$2, FIND(" ", [1]modificado!$O$2 &amp; " ") - 1)</f>
        <v>3M</v>
      </c>
      <c r="H917" s="47" t="str">
        <f>RIGHT([1]!Tabla2[[#This Row],[Marca y Modelo]], LEN([1]!Tabla2[[#This Row],[Marca y Modelo]]) - FIND(" ", [1]!Tabla2[[#This Row],[Marca y Modelo]]))</f>
        <v>AJ450A6</v>
      </c>
      <c r="I917" s="76"/>
      <c r="J917" s="76"/>
      <c r="K917" s="92" t="s">
        <v>4242</v>
      </c>
      <c r="L917" s="92" t="s">
        <v>3528</v>
      </c>
      <c r="M917" s="92" t="s">
        <v>1404</v>
      </c>
      <c r="N917" s="92" t="s">
        <v>2324</v>
      </c>
      <c r="O917" s="77"/>
      <c r="P917" s="92" t="s">
        <v>2535</v>
      </c>
      <c r="Q917" s="32"/>
      <c r="R917" s="48" t="s">
        <v>216</v>
      </c>
      <c r="S917" s="32"/>
    </row>
    <row r="918" spans="2:19" ht="28.8" x14ac:dyDescent="0.3">
      <c r="B918" t="str">
        <f>LEFT(Tabla3890134177220392[[#This Row],[Descripción del equipo]], FIND(" ", Tabla3890134177220392[[#This Row],[Descripción del equipo]] &amp; " ") - 1)</f>
        <v>Arnes</v>
      </c>
      <c r="C918" s="11" t="s">
        <v>177</v>
      </c>
      <c r="D918">
        <v>1</v>
      </c>
      <c r="E918" t="s">
        <v>160</v>
      </c>
      <c r="F918" s="91" t="s">
        <v>1056</v>
      </c>
      <c r="G918" s="90" t="str">
        <f>LEFT([1]modificado!$O$2, FIND(" ", [1]modificado!$O$2 &amp; " ") - 1)</f>
        <v>3M</v>
      </c>
      <c r="H918" s="47" t="str">
        <f>RIGHT([1]!Tabla2[[#This Row],[Marca y Modelo]], LEN([1]!Tabla2[[#This Row],[Marca y Modelo]]) - FIND(" ", [1]!Tabla2[[#This Row],[Marca y Modelo]]))</f>
        <v>10911F-LOGO</v>
      </c>
      <c r="I918" s="76"/>
      <c r="J918" s="76"/>
      <c r="K918" s="91" t="s">
        <v>4243</v>
      </c>
      <c r="L918" s="91" t="s">
        <v>3529</v>
      </c>
      <c r="M918" s="91" t="s">
        <v>1404</v>
      </c>
      <c r="N918" s="91" t="s">
        <v>2330</v>
      </c>
      <c r="O918" s="77"/>
      <c r="P918" s="91" t="s">
        <v>2535</v>
      </c>
      <c r="Q918" s="32"/>
      <c r="R918" s="48" t="s">
        <v>216</v>
      </c>
      <c r="S918" s="32"/>
    </row>
    <row r="919" spans="2:19" ht="28.8" x14ac:dyDescent="0.3">
      <c r="B919" t="str">
        <f>LEFT(Tabla3890134177220392[[#This Row],[Descripción del equipo]], FIND(" ", Tabla3890134177220392[[#This Row],[Descripción del equipo]] &amp; " ") - 1)</f>
        <v>Arnes</v>
      </c>
      <c r="C919" s="11" t="s">
        <v>177</v>
      </c>
      <c r="D919">
        <v>1</v>
      </c>
      <c r="E919" t="s">
        <v>160</v>
      </c>
      <c r="F919" s="92" t="s">
        <v>1056</v>
      </c>
      <c r="G919" s="90" t="str">
        <f>LEFT([1]modificado!$O$2, FIND(" ", [1]modificado!$O$2 &amp; " ") - 1)</f>
        <v>3M</v>
      </c>
      <c r="H919" s="47" t="str">
        <f>RIGHT([1]!Tabla2[[#This Row],[Marca y Modelo]], LEN([1]!Tabla2[[#This Row],[Marca y Modelo]]) - FIND(" ", [1]!Tabla2[[#This Row],[Marca y Modelo]]))</f>
        <v>10911F-LOGO</v>
      </c>
      <c r="I919" s="76"/>
      <c r="J919" s="76"/>
      <c r="K919" s="92" t="s">
        <v>4243</v>
      </c>
      <c r="L919" s="92" t="s">
        <v>3530</v>
      </c>
      <c r="M919" s="92" t="s">
        <v>1404</v>
      </c>
      <c r="N919" s="92" t="s">
        <v>2331</v>
      </c>
      <c r="O919" s="77"/>
      <c r="P919" s="92" t="s">
        <v>2535</v>
      </c>
      <c r="Q919" s="32"/>
      <c r="R919" s="48" t="s">
        <v>216</v>
      </c>
      <c r="S919" s="32"/>
    </row>
    <row r="920" spans="2:19" ht="28.8" x14ac:dyDescent="0.3">
      <c r="B920" t="s">
        <v>28</v>
      </c>
      <c r="C920" s="11" t="s">
        <v>177</v>
      </c>
      <c r="D920">
        <v>1</v>
      </c>
      <c r="E920" t="s">
        <v>160</v>
      </c>
      <c r="F920" s="91" t="s">
        <v>1056</v>
      </c>
      <c r="G920" s="90" t="str">
        <f>LEFT([1]modificado!$O$2, FIND(" ", [1]modificado!$O$2 &amp; " ") - 1)</f>
        <v>3M</v>
      </c>
      <c r="H920" s="47" t="str">
        <f>RIGHT([1]!Tabla2[[#This Row],[Marca y Modelo]], LEN([1]!Tabla2[[#This Row],[Marca y Modelo]]) - FIND(" ", [1]!Tabla2[[#This Row],[Marca y Modelo]]))</f>
        <v>10911F-LOGO</v>
      </c>
      <c r="I920" s="76"/>
      <c r="J920" s="76"/>
      <c r="K920" s="91" t="s">
        <v>4243</v>
      </c>
      <c r="L920" s="91" t="s">
        <v>3531</v>
      </c>
      <c r="M920" s="91" t="s">
        <v>1404</v>
      </c>
      <c r="N920" s="91" t="s">
        <v>2332</v>
      </c>
      <c r="O920" s="77"/>
      <c r="P920" s="91" t="s">
        <v>2535</v>
      </c>
      <c r="Q920" s="32"/>
      <c r="R920" s="48" t="s">
        <v>216</v>
      </c>
      <c r="S920" s="32"/>
    </row>
    <row r="921" spans="2:19" ht="28.8" x14ac:dyDescent="0.3">
      <c r="B921" t="str">
        <f>LEFT(Tabla3890134177220392[[#This Row],[Descripción del equipo]], FIND(" ", Tabla3890134177220392[[#This Row],[Descripción del equipo]] &amp; " ") - 1)</f>
        <v>Arnes</v>
      </c>
      <c r="C921" s="11" t="s">
        <v>177</v>
      </c>
      <c r="D921">
        <v>1</v>
      </c>
      <c r="E921" t="s">
        <v>160</v>
      </c>
      <c r="F921" s="92" t="s">
        <v>1056</v>
      </c>
      <c r="G921" s="90" t="str">
        <f>LEFT([1]modificado!$O$2, FIND(" ", [1]modificado!$O$2 &amp; " ") - 1)</f>
        <v>3M</v>
      </c>
      <c r="H921" s="47" t="str">
        <f>RIGHT([1]!Tabla2[[#This Row],[Marca y Modelo]], LEN([1]!Tabla2[[#This Row],[Marca y Modelo]]) - FIND(" ", [1]!Tabla2[[#This Row],[Marca y Modelo]]))</f>
        <v>10911F-LOGO</v>
      </c>
      <c r="I921" s="76"/>
      <c r="J921" s="76"/>
      <c r="K921" s="92" t="s">
        <v>4243</v>
      </c>
      <c r="L921" s="92" t="s">
        <v>3532</v>
      </c>
      <c r="M921" s="92" t="s">
        <v>1404</v>
      </c>
      <c r="N921" s="92" t="s">
        <v>2333</v>
      </c>
      <c r="O921" s="77"/>
      <c r="P921" s="92" t="s">
        <v>2535</v>
      </c>
      <c r="Q921" s="32"/>
      <c r="R921" s="48" t="s">
        <v>216</v>
      </c>
      <c r="S921" s="32"/>
    </row>
    <row r="922" spans="2:19" ht="28.8" x14ac:dyDescent="0.3">
      <c r="B922" t="str">
        <f>LEFT(Tabla3890134177220392[[#This Row],[Descripción del equipo]], FIND(" ", Tabla3890134177220392[[#This Row],[Descripción del equipo]] &amp; " ") - 1)</f>
        <v>Arnes</v>
      </c>
      <c r="C922" s="11" t="s">
        <v>177</v>
      </c>
      <c r="D922">
        <v>1</v>
      </c>
      <c r="E922" t="s">
        <v>160</v>
      </c>
      <c r="F922" s="91" t="s">
        <v>1062</v>
      </c>
      <c r="G922" s="90" t="str">
        <f>LEFT([1]modificado!$O$2, FIND(" ", [1]modificado!$O$2 &amp; " ") - 1)</f>
        <v>3M</v>
      </c>
      <c r="H922" s="47" t="str">
        <f>RIGHT([1]!Tabla2[[#This Row],[Marca y Modelo]], LEN([1]!Tabla2[[#This Row],[Marca y Modelo]]) - FIND(" ", [1]!Tabla2[[#This Row],[Marca y Modelo]]))</f>
        <v>10955-LOGO</v>
      </c>
      <c r="I922" s="76"/>
      <c r="J922" s="76"/>
      <c r="K922" s="91" t="s">
        <v>4243</v>
      </c>
      <c r="L922" s="91" t="s">
        <v>3533</v>
      </c>
      <c r="M922" s="91" t="s">
        <v>1404</v>
      </c>
      <c r="N922" s="91" t="s">
        <v>2334</v>
      </c>
      <c r="O922" s="77"/>
      <c r="P922" s="91" t="s">
        <v>2535</v>
      </c>
      <c r="Q922" s="32"/>
      <c r="R922" s="48" t="s">
        <v>216</v>
      </c>
      <c r="S922" s="32"/>
    </row>
    <row r="923" spans="2:19" ht="28.8" x14ac:dyDescent="0.3">
      <c r="B923" t="s">
        <v>4348</v>
      </c>
      <c r="C923" s="11" t="s">
        <v>177</v>
      </c>
      <c r="D923">
        <v>1</v>
      </c>
      <c r="E923" t="s">
        <v>160</v>
      </c>
      <c r="F923" s="92" t="s">
        <v>1076</v>
      </c>
      <c r="G923" s="90" t="str">
        <f>LEFT([1]modificado!$O$2, FIND(" ", [1]modificado!$O$2 &amp; " ") - 1)</f>
        <v>3M</v>
      </c>
      <c r="H923" s="47" t="str">
        <f>RIGHT([1]!Tabla2[[#This Row],[Marca y Modelo]], LEN([1]!Tabla2[[#This Row],[Marca y Modelo]]) - FIND(" ", [1]!Tabla2[[#This Row],[Marca y Modelo]]))</f>
        <v>4712-6</v>
      </c>
      <c r="I923" s="76"/>
      <c r="J923" s="76"/>
      <c r="K923" s="92" t="s">
        <v>4244</v>
      </c>
      <c r="L923" s="92" t="s">
        <v>3534</v>
      </c>
      <c r="M923" s="92" t="s">
        <v>1404</v>
      </c>
      <c r="N923" s="92" t="s">
        <v>2335</v>
      </c>
      <c r="O923" s="77"/>
      <c r="P923" s="92" t="s">
        <v>2535</v>
      </c>
      <c r="Q923" s="32"/>
      <c r="R923" s="48" t="s">
        <v>216</v>
      </c>
      <c r="S923" s="32"/>
    </row>
    <row r="924" spans="2:19" ht="28.8" x14ac:dyDescent="0.3">
      <c r="B924" t="s">
        <v>4348</v>
      </c>
      <c r="C924" s="11" t="s">
        <v>177</v>
      </c>
      <c r="D924">
        <v>1</v>
      </c>
      <c r="E924" t="s">
        <v>160</v>
      </c>
      <c r="F924" s="91" t="s">
        <v>1060</v>
      </c>
      <c r="G924" s="90" t="str">
        <f>LEFT([1]modificado!$O$2, FIND(" ", [1]modificado!$O$2 &amp; " ") - 1)</f>
        <v>3M</v>
      </c>
      <c r="H924" s="47" t="str">
        <f>RIGHT([1]!Tabla2[[#This Row],[Marca y Modelo]], LEN([1]!Tabla2[[#This Row],[Marca y Modelo]]) - FIND(" ", [1]!Tabla2[[#This Row],[Marca y Modelo]]))</f>
        <v>209550-4-0241</v>
      </c>
      <c r="I924" s="76"/>
      <c r="J924" s="76"/>
      <c r="K924" s="91" t="s">
        <v>4244</v>
      </c>
      <c r="L924" s="91" t="s">
        <v>3535</v>
      </c>
      <c r="M924" s="91" t="s">
        <v>1404</v>
      </c>
      <c r="N924" s="91" t="s">
        <v>2336</v>
      </c>
      <c r="O924" s="77"/>
      <c r="P924" s="91" t="s">
        <v>2535</v>
      </c>
      <c r="Q924" s="32"/>
      <c r="R924" s="48" t="s">
        <v>216</v>
      </c>
      <c r="S924" s="32"/>
    </row>
    <row r="925" spans="2:19" ht="28.8" x14ac:dyDescent="0.3">
      <c r="B925" t="s">
        <v>4348</v>
      </c>
      <c r="C925" s="11" t="s">
        <v>177</v>
      </c>
      <c r="D925">
        <v>1</v>
      </c>
      <c r="E925" t="s">
        <v>160</v>
      </c>
      <c r="F925" s="92" t="s">
        <v>1076</v>
      </c>
      <c r="G925" s="90" t="str">
        <f>LEFT([1]modificado!$O$2, FIND(" ", [1]modificado!$O$2 &amp; " ") - 1)</f>
        <v>3M</v>
      </c>
      <c r="H925" s="47" t="str">
        <f>RIGHT([1]!Tabla2[[#This Row],[Marca y Modelo]], LEN([1]!Tabla2[[#This Row],[Marca y Modelo]]) - FIND(" ", [1]!Tabla2[[#This Row],[Marca y Modelo]]))</f>
        <v>4712-6</v>
      </c>
      <c r="I925" s="76"/>
      <c r="J925" s="76"/>
      <c r="K925" s="92" t="s">
        <v>4244</v>
      </c>
      <c r="L925" s="92" t="s">
        <v>3536</v>
      </c>
      <c r="M925" s="92" t="s">
        <v>1404</v>
      </c>
      <c r="N925" s="92" t="s">
        <v>2337</v>
      </c>
      <c r="O925" s="77"/>
      <c r="P925" s="92" t="s">
        <v>2535</v>
      </c>
      <c r="Q925" s="32"/>
      <c r="R925" s="48" t="s">
        <v>216</v>
      </c>
      <c r="S925" s="32"/>
    </row>
    <row r="926" spans="2:19" ht="28.8" x14ac:dyDescent="0.3">
      <c r="B926" t="s">
        <v>4348</v>
      </c>
      <c r="C926" s="11" t="s">
        <v>177</v>
      </c>
      <c r="D926">
        <v>1</v>
      </c>
      <c r="E926" t="s">
        <v>160</v>
      </c>
      <c r="F926" s="91" t="s">
        <v>1076</v>
      </c>
      <c r="G926" s="90" t="str">
        <f>LEFT([1]modificado!$O$2, FIND(" ", [1]modificado!$O$2 &amp; " ") - 1)</f>
        <v>3M</v>
      </c>
      <c r="H926" s="47" t="str">
        <f>RIGHT([1]!Tabla2[[#This Row],[Marca y Modelo]], LEN([1]!Tabla2[[#This Row],[Marca y Modelo]]) - FIND(" ", [1]!Tabla2[[#This Row],[Marca y Modelo]]))</f>
        <v>4712-6</v>
      </c>
      <c r="I926" s="76"/>
      <c r="J926" s="76"/>
      <c r="K926" s="91" t="s">
        <v>4244</v>
      </c>
      <c r="L926" s="91" t="s">
        <v>3537</v>
      </c>
      <c r="M926" s="91" t="s">
        <v>1404</v>
      </c>
      <c r="N926" s="91" t="s">
        <v>2338</v>
      </c>
      <c r="O926" s="77"/>
      <c r="P926" s="91" t="s">
        <v>2535</v>
      </c>
      <c r="Q926" s="32"/>
      <c r="R926" s="48" t="s">
        <v>216</v>
      </c>
      <c r="S926" s="32"/>
    </row>
    <row r="927" spans="2:19" ht="28.8" x14ac:dyDescent="0.3">
      <c r="B927" t="s">
        <v>4348</v>
      </c>
      <c r="C927" s="11" t="s">
        <v>177</v>
      </c>
      <c r="D927">
        <v>1</v>
      </c>
      <c r="E927" t="s">
        <v>160</v>
      </c>
      <c r="F927" s="92" t="s">
        <v>1076</v>
      </c>
      <c r="G927" s="90" t="str">
        <f>LEFT([1]modificado!$O$2, FIND(" ", [1]modificado!$O$2 &amp; " ") - 1)</f>
        <v>3M</v>
      </c>
      <c r="H927" s="47" t="str">
        <f>RIGHT([1]!Tabla2[[#This Row],[Marca y Modelo]], LEN([1]!Tabla2[[#This Row],[Marca y Modelo]]) - FIND(" ", [1]!Tabla2[[#This Row],[Marca y Modelo]]))</f>
        <v>4712-6</v>
      </c>
      <c r="I927" s="76"/>
      <c r="J927" s="76"/>
      <c r="K927" s="92" t="s">
        <v>4244</v>
      </c>
      <c r="L927" s="92" t="s">
        <v>3538</v>
      </c>
      <c r="M927" s="92" t="s">
        <v>1404</v>
      </c>
      <c r="N927" s="92" t="s">
        <v>2339</v>
      </c>
      <c r="O927" s="77"/>
      <c r="P927" s="92" t="s">
        <v>2535</v>
      </c>
      <c r="Q927" s="32"/>
      <c r="R927" s="48" t="s">
        <v>216</v>
      </c>
      <c r="S927" s="32"/>
    </row>
    <row r="928" spans="2:19" ht="28.8" x14ac:dyDescent="0.3">
      <c r="B928" t="s">
        <v>4348</v>
      </c>
      <c r="C928" s="11" t="s">
        <v>177</v>
      </c>
      <c r="D928">
        <v>1</v>
      </c>
      <c r="E928" t="s">
        <v>160</v>
      </c>
      <c r="F928" s="91" t="s">
        <v>1076</v>
      </c>
      <c r="G928" s="90" t="str">
        <f>LEFT([1]modificado!$O$2, FIND(" ", [1]modificado!$O$2 &amp; " ") - 1)</f>
        <v>3M</v>
      </c>
      <c r="H928" s="47" t="str">
        <f>RIGHT([1]!Tabla2[[#This Row],[Marca y Modelo]], LEN([1]!Tabla2[[#This Row],[Marca y Modelo]]) - FIND(" ", [1]!Tabla2[[#This Row],[Marca y Modelo]]))</f>
        <v>4712-6</v>
      </c>
      <c r="I928" s="76"/>
      <c r="J928" s="76"/>
      <c r="K928" s="91" t="s">
        <v>4244</v>
      </c>
      <c r="L928" s="91" t="s">
        <v>3539</v>
      </c>
      <c r="M928" s="91" t="s">
        <v>1404</v>
      </c>
      <c r="N928" s="91" t="s">
        <v>2340</v>
      </c>
      <c r="O928" s="77"/>
      <c r="P928" s="91" t="s">
        <v>2535</v>
      </c>
      <c r="Q928" s="32"/>
      <c r="R928" s="48" t="s">
        <v>216</v>
      </c>
      <c r="S928" s="32"/>
    </row>
    <row r="929" spans="2:19" ht="28.8" x14ac:dyDescent="0.3">
      <c r="B929" t="s">
        <v>4349</v>
      </c>
      <c r="C929" s="11" t="s">
        <v>177</v>
      </c>
      <c r="D929">
        <v>1</v>
      </c>
      <c r="E929" t="s">
        <v>160</v>
      </c>
      <c r="F929" s="92" t="s">
        <v>1059</v>
      </c>
      <c r="G929" s="90" t="str">
        <f>LEFT([1]modificado!$O$2, FIND(" ", [1]modificado!$O$2 &amp; " ") - 1)</f>
        <v>3M</v>
      </c>
      <c r="H929" s="47" t="str">
        <f>RIGHT([1]!Tabla2[[#This Row],[Marca y Modelo]], LEN([1]!Tabla2[[#This Row],[Marca y Modelo]]) - FIND(" ", [1]!Tabla2[[#This Row],[Marca y Modelo]]))</f>
        <v>AJ450A6</v>
      </c>
      <c r="I929" s="76"/>
      <c r="J929" s="76"/>
      <c r="K929" s="92" t="s">
        <v>4245</v>
      </c>
      <c r="L929" s="92" t="s">
        <v>3540</v>
      </c>
      <c r="M929" s="92" t="s">
        <v>1404</v>
      </c>
      <c r="N929" s="92" t="s">
        <v>2341</v>
      </c>
      <c r="O929" s="77"/>
      <c r="P929" s="92" t="s">
        <v>2535</v>
      </c>
      <c r="Q929" s="32"/>
      <c r="R929" s="48" t="s">
        <v>216</v>
      </c>
      <c r="S929" s="32"/>
    </row>
    <row r="930" spans="2:19" ht="28.8" x14ac:dyDescent="0.3">
      <c r="B930" t="str">
        <f>LEFT(Tabla3890134177220392[[#This Row],[Descripción del equipo]], FIND(" ", Tabla3890134177220392[[#This Row],[Descripción del equipo]] &amp; " ") - 1)</f>
        <v>Autoretractil</v>
      </c>
      <c r="C930" s="11" t="s">
        <v>177</v>
      </c>
      <c r="D930">
        <v>1</v>
      </c>
      <c r="E930" t="s">
        <v>160</v>
      </c>
      <c r="F930" s="91" t="s">
        <v>1058</v>
      </c>
      <c r="G930" s="90" t="str">
        <f>LEFT([1]modificado!$O$2, FIND(" ", [1]modificado!$O$2 &amp; " ") - 1)</f>
        <v>3M</v>
      </c>
      <c r="H930" s="47" t="str">
        <f>RIGHT([1]!Tabla2[[#This Row],[Marca y Modelo]], LEN([1]!Tabla2[[#This Row],[Marca y Modelo]]) - FIND(" ", [1]!Tabla2[[#This Row],[Marca y Modelo]]))</f>
        <v>3100425</v>
      </c>
      <c r="I930" s="76"/>
      <c r="J930" s="76"/>
      <c r="K930" s="91" t="s">
        <v>4246</v>
      </c>
      <c r="L930" s="91" t="s">
        <v>3541</v>
      </c>
      <c r="M930" s="91" t="s">
        <v>1404</v>
      </c>
      <c r="N930" s="91" t="s">
        <v>2342</v>
      </c>
      <c r="O930" s="77"/>
      <c r="P930" s="91" t="s">
        <v>2535</v>
      </c>
      <c r="Q930" s="32"/>
      <c r="R930" s="48" t="s">
        <v>216</v>
      </c>
      <c r="S930" s="32"/>
    </row>
    <row r="931" spans="2:19" ht="28.8" x14ac:dyDescent="0.3">
      <c r="B931" t="s">
        <v>4348</v>
      </c>
      <c r="C931" s="11" t="s">
        <v>177</v>
      </c>
      <c r="D931">
        <v>1</v>
      </c>
      <c r="E931" t="s">
        <v>160</v>
      </c>
      <c r="F931" s="92" t="s">
        <v>1076</v>
      </c>
      <c r="G931" s="90" t="str">
        <f>LEFT([1]modificado!$O$2, FIND(" ", [1]modificado!$O$2 &amp; " ") - 1)</f>
        <v>3M</v>
      </c>
      <c r="H931" s="47" t="str">
        <f>RIGHT([1]!Tabla2[[#This Row],[Marca y Modelo]], LEN([1]!Tabla2[[#This Row],[Marca y Modelo]]) - FIND(" ", [1]!Tabla2[[#This Row],[Marca y Modelo]]))</f>
        <v>4712-6</v>
      </c>
      <c r="I931" s="76"/>
      <c r="J931" s="76"/>
      <c r="K931" s="92" t="s">
        <v>4244</v>
      </c>
      <c r="L931" s="92" t="s">
        <v>3542</v>
      </c>
      <c r="M931" s="92" t="s">
        <v>1404</v>
      </c>
      <c r="N931" s="92" t="s">
        <v>2343</v>
      </c>
      <c r="O931" s="77"/>
      <c r="P931" s="92" t="s">
        <v>2535</v>
      </c>
      <c r="Q931" s="32"/>
      <c r="R931" s="48" t="s">
        <v>216</v>
      </c>
      <c r="S931" s="32"/>
    </row>
    <row r="932" spans="2:19" ht="28.8" x14ac:dyDescent="0.3">
      <c r="B932" t="s">
        <v>4348</v>
      </c>
      <c r="C932" s="11" t="s">
        <v>177</v>
      </c>
      <c r="D932">
        <v>1</v>
      </c>
      <c r="E932" t="s">
        <v>160</v>
      </c>
      <c r="F932" s="91" t="s">
        <v>1076</v>
      </c>
      <c r="G932" s="90" t="str">
        <f>LEFT([1]modificado!$O$2, FIND(" ", [1]modificado!$O$2 &amp; " ") - 1)</f>
        <v>3M</v>
      </c>
      <c r="H932" s="47" t="str">
        <f>RIGHT([1]!Tabla2[[#This Row],[Marca y Modelo]], LEN([1]!Tabla2[[#This Row],[Marca y Modelo]]) - FIND(" ", [1]!Tabla2[[#This Row],[Marca y Modelo]]))</f>
        <v>4712-6</v>
      </c>
      <c r="I932" s="76"/>
      <c r="J932" s="76"/>
      <c r="K932" s="91" t="s">
        <v>4244</v>
      </c>
      <c r="L932" s="91" t="s">
        <v>3543</v>
      </c>
      <c r="M932" s="91" t="s">
        <v>1404</v>
      </c>
      <c r="N932" s="91" t="s">
        <v>2344</v>
      </c>
      <c r="O932" s="77"/>
      <c r="P932" s="91" t="s">
        <v>2535</v>
      </c>
      <c r="Q932" s="32"/>
      <c r="R932" s="48" t="s">
        <v>216</v>
      </c>
      <c r="S932" s="32"/>
    </row>
    <row r="933" spans="2:19" ht="28.8" x14ac:dyDescent="0.3">
      <c r="B933" t="s">
        <v>4348</v>
      </c>
      <c r="C933" s="11" t="s">
        <v>177</v>
      </c>
      <c r="D933">
        <v>1</v>
      </c>
      <c r="E933" t="s">
        <v>160</v>
      </c>
      <c r="F933" s="92" t="s">
        <v>1076</v>
      </c>
      <c r="G933" s="90" t="str">
        <f>LEFT([1]modificado!$O$2, FIND(" ", [1]modificado!$O$2 &amp; " ") - 1)</f>
        <v>3M</v>
      </c>
      <c r="H933" s="47" t="str">
        <f>RIGHT([1]!Tabla2[[#This Row],[Marca y Modelo]], LEN([1]!Tabla2[[#This Row],[Marca y Modelo]]) - FIND(" ", [1]!Tabla2[[#This Row],[Marca y Modelo]]))</f>
        <v>4712-6</v>
      </c>
      <c r="I933" s="76"/>
      <c r="J933" s="76"/>
      <c r="K933" s="92" t="s">
        <v>4244</v>
      </c>
      <c r="L933" s="92" t="s">
        <v>3544</v>
      </c>
      <c r="M933" s="92" t="s">
        <v>1404</v>
      </c>
      <c r="N933" s="92" t="s">
        <v>2345</v>
      </c>
      <c r="O933" s="77"/>
      <c r="P933" s="92" t="s">
        <v>2535</v>
      </c>
      <c r="Q933" s="32"/>
      <c r="R933" s="48" t="s">
        <v>216</v>
      </c>
      <c r="S933" s="32"/>
    </row>
    <row r="934" spans="2:19" ht="28.8" x14ac:dyDescent="0.3">
      <c r="B934" t="s">
        <v>4348</v>
      </c>
      <c r="C934" s="11" t="s">
        <v>177</v>
      </c>
      <c r="D934">
        <v>1</v>
      </c>
      <c r="E934" t="s">
        <v>160</v>
      </c>
      <c r="F934" s="91" t="s">
        <v>1076</v>
      </c>
      <c r="G934" s="90" t="str">
        <f>LEFT([1]modificado!$O$2, FIND(" ", [1]modificado!$O$2 &amp; " ") - 1)</f>
        <v>3M</v>
      </c>
      <c r="H934" s="47" t="str">
        <f>RIGHT([1]!Tabla2[[#This Row],[Marca y Modelo]], LEN([1]!Tabla2[[#This Row],[Marca y Modelo]]) - FIND(" ", [1]!Tabla2[[#This Row],[Marca y Modelo]]))</f>
        <v>4712-6</v>
      </c>
      <c r="I934" s="76"/>
      <c r="J934" s="76"/>
      <c r="K934" s="91" t="s">
        <v>4244</v>
      </c>
      <c r="L934" s="91" t="s">
        <v>3545</v>
      </c>
      <c r="M934" s="91" t="s">
        <v>1404</v>
      </c>
      <c r="N934" s="91" t="s">
        <v>2346</v>
      </c>
      <c r="O934" s="77"/>
      <c r="P934" s="91" t="s">
        <v>2535</v>
      </c>
      <c r="Q934" s="32"/>
      <c r="R934" s="48" t="s">
        <v>216</v>
      </c>
      <c r="S934" s="32"/>
    </row>
    <row r="935" spans="2:19" ht="28.8" x14ac:dyDescent="0.3">
      <c r="B935" t="s">
        <v>4348</v>
      </c>
      <c r="C935" s="11" t="s">
        <v>177</v>
      </c>
      <c r="D935">
        <v>1</v>
      </c>
      <c r="E935" t="s">
        <v>160</v>
      </c>
      <c r="F935" s="92" t="s">
        <v>1076</v>
      </c>
      <c r="G935" s="90" t="str">
        <f>LEFT([1]modificado!$O$2, FIND(" ", [1]modificado!$O$2 &amp; " ") - 1)</f>
        <v>3M</v>
      </c>
      <c r="H935" s="47" t="str">
        <f>RIGHT([1]!Tabla2[[#This Row],[Marca y Modelo]], LEN([1]!Tabla2[[#This Row],[Marca y Modelo]]) - FIND(" ", [1]!Tabla2[[#This Row],[Marca y Modelo]]))</f>
        <v>4712-6</v>
      </c>
      <c r="I935" s="76"/>
      <c r="J935" s="76"/>
      <c r="K935" s="92" t="s">
        <v>4244</v>
      </c>
      <c r="L935" s="92" t="s">
        <v>3546</v>
      </c>
      <c r="M935" s="92" t="s">
        <v>1404</v>
      </c>
      <c r="N935" s="92" t="s">
        <v>2347</v>
      </c>
      <c r="O935" s="77"/>
      <c r="P935" s="92" t="s">
        <v>2535</v>
      </c>
      <c r="Q935" s="32"/>
      <c r="R935" s="48" t="s">
        <v>216</v>
      </c>
      <c r="S935" s="32"/>
    </row>
    <row r="936" spans="2:19" ht="28.8" x14ac:dyDescent="0.3">
      <c r="B936" t="s">
        <v>4348</v>
      </c>
      <c r="C936" s="11" t="s">
        <v>177</v>
      </c>
      <c r="D936">
        <v>1</v>
      </c>
      <c r="E936" t="s">
        <v>160</v>
      </c>
      <c r="F936" s="91" t="s">
        <v>1074</v>
      </c>
      <c r="G936" s="90" t="str">
        <f>LEFT([1]modificado!$O$2, FIND(" ", [1]modificado!$O$2 &amp; " ") - 1)</f>
        <v>3M</v>
      </c>
      <c r="H936" s="47" t="str">
        <f>RIGHT([1]!Tabla2[[#This Row],[Marca y Modelo]], LEN([1]!Tabla2[[#This Row],[Marca y Modelo]]) - FIND(" ", [1]!Tabla2[[#This Row],[Marca y Modelo]]))</f>
        <v>20226</v>
      </c>
      <c r="I936" s="76"/>
      <c r="J936" s="76"/>
      <c r="K936" s="91" t="s">
        <v>4244</v>
      </c>
      <c r="L936" s="91" t="s">
        <v>3547</v>
      </c>
      <c r="M936" s="91" t="s">
        <v>1406</v>
      </c>
      <c r="N936" s="91" t="s">
        <v>2348</v>
      </c>
      <c r="O936" s="77"/>
      <c r="P936" s="91" t="s">
        <v>2535</v>
      </c>
      <c r="Q936" s="32"/>
      <c r="R936" s="48" t="s">
        <v>216</v>
      </c>
      <c r="S936" s="32"/>
    </row>
    <row r="937" spans="2:19" ht="28.8" x14ac:dyDescent="0.3">
      <c r="B937" t="s">
        <v>4348</v>
      </c>
      <c r="C937" s="11" t="s">
        <v>177</v>
      </c>
      <c r="D937">
        <v>1</v>
      </c>
      <c r="E937" t="s">
        <v>160</v>
      </c>
      <c r="F937" s="92" t="s">
        <v>1074</v>
      </c>
      <c r="G937" s="90" t="str">
        <f>LEFT([1]modificado!$O$2, FIND(" ", [1]modificado!$O$2 &amp; " ") - 1)</f>
        <v>3M</v>
      </c>
      <c r="H937" s="47" t="str">
        <f>RIGHT([1]!Tabla2[[#This Row],[Marca y Modelo]], LEN([1]!Tabla2[[#This Row],[Marca y Modelo]]) - FIND(" ", [1]!Tabla2[[#This Row],[Marca y Modelo]]))</f>
        <v>20226</v>
      </c>
      <c r="I937" s="76"/>
      <c r="J937" s="76"/>
      <c r="K937" s="92" t="s">
        <v>4247</v>
      </c>
      <c r="L937" s="92" t="s">
        <v>3548</v>
      </c>
      <c r="M937" s="92" t="s">
        <v>1406</v>
      </c>
      <c r="N937" s="92" t="s">
        <v>2349</v>
      </c>
      <c r="O937" s="77"/>
      <c r="P937" s="92" t="s">
        <v>2535</v>
      </c>
      <c r="Q937" s="32"/>
      <c r="R937" s="48" t="s">
        <v>216</v>
      </c>
      <c r="S937" s="32"/>
    </row>
    <row r="938" spans="2:19" ht="28.8" x14ac:dyDescent="0.3">
      <c r="B938" t="s">
        <v>4348</v>
      </c>
      <c r="C938" s="11" t="s">
        <v>177</v>
      </c>
      <c r="D938">
        <v>1</v>
      </c>
      <c r="E938" t="s">
        <v>160</v>
      </c>
      <c r="F938" s="91" t="s">
        <v>1057</v>
      </c>
      <c r="G938" s="90" t="str">
        <f>LEFT([1]modificado!$O$2, FIND(" ", [1]modificado!$O$2 &amp; " ") - 1)</f>
        <v>3M</v>
      </c>
      <c r="H938" s="47" t="str">
        <f>RIGHT([1]!Tabla2[[#This Row],[Marca y Modelo]], LEN([1]!Tabla2[[#This Row],[Marca y Modelo]]) - FIND(" ", [1]!Tabla2[[#This Row],[Marca y Modelo]]))</f>
        <v>Musitani</v>
      </c>
      <c r="I938" s="76"/>
      <c r="J938" s="76"/>
      <c r="K938" s="91" t="s">
        <v>4247</v>
      </c>
      <c r="L938" s="91" t="s">
        <v>3549</v>
      </c>
      <c r="M938" s="91" t="s">
        <v>1404</v>
      </c>
      <c r="N938" s="91" t="s">
        <v>2350</v>
      </c>
      <c r="O938" s="77"/>
      <c r="P938" s="91" t="s">
        <v>2535</v>
      </c>
      <c r="Q938" s="32"/>
      <c r="R938" s="48" t="s">
        <v>216</v>
      </c>
      <c r="S938" s="32"/>
    </row>
    <row r="939" spans="2:19" ht="28.8" x14ac:dyDescent="0.3">
      <c r="B939" t="s">
        <v>4348</v>
      </c>
      <c r="C939" s="11" t="s">
        <v>177</v>
      </c>
      <c r="D939">
        <v>1</v>
      </c>
      <c r="E939" t="s">
        <v>160</v>
      </c>
      <c r="F939" s="92" t="s">
        <v>1072</v>
      </c>
      <c r="G939" s="90" t="str">
        <f>LEFT([1]modificado!$O$2, FIND(" ", [1]modificado!$O$2 &amp; " ") - 1)</f>
        <v>3M</v>
      </c>
      <c r="H939" s="47" t="str">
        <f>RIGHT([1]!Tabla2[[#This Row],[Marca y Modelo]], LEN([1]!Tabla2[[#This Row],[Marca y Modelo]]) - FIND(" ", [1]!Tabla2[[#This Row],[Marca y Modelo]]))</f>
        <v>3250</v>
      </c>
      <c r="I939" s="76"/>
      <c r="J939" s="76"/>
      <c r="K939" s="92" t="s">
        <v>4248</v>
      </c>
      <c r="L939" s="92" t="s">
        <v>3550</v>
      </c>
      <c r="M939" s="92" t="s">
        <v>1404</v>
      </c>
      <c r="N939" s="92" t="s">
        <v>2351</v>
      </c>
      <c r="O939" s="77"/>
      <c r="P939" s="92" t="s">
        <v>2535</v>
      </c>
      <c r="Q939" s="32"/>
      <c r="R939" s="48" t="s">
        <v>216</v>
      </c>
      <c r="S939" s="32"/>
    </row>
    <row r="940" spans="2:19" ht="28.8" x14ac:dyDescent="0.3">
      <c r="B940" t="str">
        <f>LEFT(Tabla3890134177220392[[#This Row],[Descripción del equipo]], FIND(" ", Tabla3890134177220392[[#This Row],[Descripción del equipo]] &amp; " ") - 1)</f>
        <v>Arnes</v>
      </c>
      <c r="C940" s="11" t="s">
        <v>177</v>
      </c>
      <c r="D940">
        <v>1</v>
      </c>
      <c r="E940" t="s">
        <v>160</v>
      </c>
      <c r="F940" s="91" t="s">
        <v>1056</v>
      </c>
      <c r="G940" s="90" t="str">
        <f>LEFT([1]modificado!$O$2, FIND(" ", [1]modificado!$O$2 &amp; " ") - 1)</f>
        <v>3M</v>
      </c>
      <c r="H940" s="47" t="str">
        <f>RIGHT([1]!Tabla2[[#This Row],[Marca y Modelo]], LEN([1]!Tabla2[[#This Row],[Marca y Modelo]]) - FIND(" ", [1]!Tabla2[[#This Row],[Marca y Modelo]]))</f>
        <v>Musitani Space</v>
      </c>
      <c r="I940" s="76"/>
      <c r="J940" s="76"/>
      <c r="K940" s="91" t="s">
        <v>4249</v>
      </c>
      <c r="L940" s="91" t="s">
        <v>3551</v>
      </c>
      <c r="M940" s="91" t="s">
        <v>1406</v>
      </c>
      <c r="N940" s="91" t="s">
        <v>2352</v>
      </c>
      <c r="O940" s="77"/>
      <c r="P940" s="91" t="s">
        <v>2535</v>
      </c>
      <c r="Q940" s="32"/>
      <c r="R940" s="48" t="s">
        <v>216</v>
      </c>
      <c r="S940" s="32"/>
    </row>
    <row r="941" spans="2:19" ht="28.8" x14ac:dyDescent="0.3">
      <c r="B941" t="str">
        <f>LEFT(Tabla3890134177220392[[#This Row],[Descripción del equipo]], FIND(" ", Tabla3890134177220392[[#This Row],[Descripción del equipo]] &amp; " ") - 1)</f>
        <v>Arnes</v>
      </c>
      <c r="C941" s="11" t="s">
        <v>177</v>
      </c>
      <c r="D941">
        <v>1</v>
      </c>
      <c r="E941" t="s">
        <v>160</v>
      </c>
      <c r="F941" s="92" t="s">
        <v>1056</v>
      </c>
      <c r="G941" s="90" t="str">
        <f>LEFT([1]modificado!$O$2, FIND(" ", [1]modificado!$O$2 &amp; " ") - 1)</f>
        <v>3M</v>
      </c>
      <c r="H941" s="47" t="str">
        <f>RIGHT([1]!Tabla2[[#This Row],[Marca y Modelo]], LEN([1]!Tabla2[[#This Row],[Marca y Modelo]]) - FIND(" ", [1]!Tabla2[[#This Row],[Marca y Modelo]]))</f>
        <v>1191205</v>
      </c>
      <c r="I941" s="76"/>
      <c r="J941" s="76"/>
      <c r="K941" s="92" t="s">
        <v>4250</v>
      </c>
      <c r="L941" s="92" t="s">
        <v>3552</v>
      </c>
      <c r="M941" s="92" t="s">
        <v>1404</v>
      </c>
      <c r="N941" s="92" t="s">
        <v>2353</v>
      </c>
      <c r="O941" s="77"/>
      <c r="P941" s="92" t="s">
        <v>2535</v>
      </c>
      <c r="Q941" s="32"/>
      <c r="R941" s="48" t="s">
        <v>216</v>
      </c>
      <c r="S941" s="32"/>
    </row>
    <row r="942" spans="2:19" ht="28.8" x14ac:dyDescent="0.3">
      <c r="B942" t="s">
        <v>4348</v>
      </c>
      <c r="C942" s="11" t="s">
        <v>177</v>
      </c>
      <c r="D942">
        <v>1</v>
      </c>
      <c r="E942" t="s">
        <v>160</v>
      </c>
      <c r="F942" s="91" t="s">
        <v>1057</v>
      </c>
      <c r="G942" s="90" t="str">
        <f>LEFT([1]modificado!$O$2, FIND(" ", [1]modificado!$O$2 &amp; " ") - 1)</f>
        <v>3M</v>
      </c>
      <c r="H942" s="47"/>
      <c r="I942" s="76"/>
      <c r="J942" s="76"/>
      <c r="K942" s="91" t="s">
        <v>4251</v>
      </c>
      <c r="L942" s="91" t="s">
        <v>3553</v>
      </c>
      <c r="M942" s="91" t="s">
        <v>1405</v>
      </c>
      <c r="N942" s="91" t="s">
        <v>2354</v>
      </c>
      <c r="O942" s="77"/>
      <c r="P942" s="91" t="s">
        <v>2535</v>
      </c>
      <c r="Q942" s="32"/>
      <c r="R942" s="48" t="s">
        <v>216</v>
      </c>
      <c r="S942" s="32"/>
    </row>
    <row r="943" spans="2:19" ht="28.8" x14ac:dyDescent="0.3">
      <c r="B943" t="s">
        <v>4349</v>
      </c>
      <c r="C943" s="11" t="s">
        <v>177</v>
      </c>
      <c r="D943">
        <v>1</v>
      </c>
      <c r="E943" t="s">
        <v>160</v>
      </c>
      <c r="F943" s="92" t="s">
        <v>1059</v>
      </c>
      <c r="G943" s="90" t="str">
        <f>LEFT([1]modificado!$O$2, FIND(" ", [1]modificado!$O$2 &amp; " ") - 1)</f>
        <v>3M</v>
      </c>
      <c r="H943" s="47" t="str">
        <f>RIGHT([1]!Tabla2[[#This Row],[Marca y Modelo]], LEN([1]!Tabla2[[#This Row],[Marca y Modelo]]) - FIND(" ", [1]!Tabla2[[#This Row],[Marca y Modelo]]))</f>
        <v>4550-U</v>
      </c>
      <c r="I943" s="76"/>
      <c r="J943" s="76"/>
      <c r="K943" s="92" t="s">
        <v>4252</v>
      </c>
      <c r="L943" s="92" t="s">
        <v>3554</v>
      </c>
      <c r="M943" s="92" t="s">
        <v>1404</v>
      </c>
      <c r="N943" s="92" t="s">
        <v>2355</v>
      </c>
      <c r="O943" s="77"/>
      <c r="P943" s="92" t="s">
        <v>2535</v>
      </c>
      <c r="Q943" s="32"/>
      <c r="R943" s="48" t="s">
        <v>216</v>
      </c>
      <c r="S943" s="32"/>
    </row>
    <row r="944" spans="2:19" ht="28.8" x14ac:dyDescent="0.3">
      <c r="B944" t="str">
        <f>LEFT(Tabla3890134177220392[[#This Row],[Descripción del equipo]], FIND(" ", Tabla3890134177220392[[#This Row],[Descripción del equipo]] &amp; " ") - 1)</f>
        <v>Autoretractil</v>
      </c>
      <c r="C944" s="11" t="s">
        <v>177</v>
      </c>
      <c r="D944">
        <v>1</v>
      </c>
      <c r="E944" t="s">
        <v>160</v>
      </c>
      <c r="F944" s="91" t="s">
        <v>1058</v>
      </c>
      <c r="G944" s="90" t="str">
        <f>LEFT([1]modificado!$O$2, FIND(" ", [1]modificado!$O$2 &amp; " ") - 1)</f>
        <v>3M</v>
      </c>
      <c r="H944" s="47"/>
      <c r="I944" s="76"/>
      <c r="J944" s="76"/>
      <c r="K944" s="91" t="s">
        <v>4253</v>
      </c>
      <c r="L944" s="91" t="s">
        <v>3555</v>
      </c>
      <c r="M944" s="91" t="s">
        <v>1404</v>
      </c>
      <c r="N944" s="91" t="s">
        <v>2356</v>
      </c>
      <c r="O944" s="77"/>
      <c r="P944" s="91" t="s">
        <v>2535</v>
      </c>
      <c r="Q944" s="32"/>
      <c r="R944" s="48" t="s">
        <v>216</v>
      </c>
      <c r="S944" s="32"/>
    </row>
    <row r="945" spans="2:19" ht="28.8" x14ac:dyDescent="0.3">
      <c r="B945" t="s">
        <v>4348</v>
      </c>
      <c r="C945" s="11" t="s">
        <v>177</v>
      </c>
      <c r="D945">
        <v>1</v>
      </c>
      <c r="E945" t="s">
        <v>160</v>
      </c>
      <c r="F945" s="92" t="s">
        <v>1057</v>
      </c>
      <c r="G945" s="90" t="str">
        <f>LEFT([1]modificado!$O$2, FIND(" ", [1]modificado!$O$2 &amp; " ") - 1)</f>
        <v>3M</v>
      </c>
      <c r="H945" s="47"/>
      <c r="I945" s="76"/>
      <c r="J945" s="76"/>
      <c r="K945" s="92" t="s">
        <v>4251</v>
      </c>
      <c r="L945" s="92" t="s">
        <v>3556</v>
      </c>
      <c r="M945" s="92" t="s">
        <v>1405</v>
      </c>
      <c r="N945" s="92" t="s">
        <v>2357</v>
      </c>
      <c r="O945" s="77"/>
      <c r="P945" s="92" t="s">
        <v>2535</v>
      </c>
      <c r="Q945" s="32"/>
      <c r="R945" s="48" t="s">
        <v>216</v>
      </c>
      <c r="S945" s="32"/>
    </row>
    <row r="946" spans="2:19" ht="28.8" x14ac:dyDescent="0.3">
      <c r="B946" t="str">
        <f>LEFT(Tabla3890134177220392[[#This Row],[Descripción del equipo]], FIND(" ", Tabla3890134177220392[[#This Row],[Descripción del equipo]] &amp; " ") - 1)</f>
        <v>Arnes</v>
      </c>
      <c r="C946" s="11" t="s">
        <v>177</v>
      </c>
      <c r="D946">
        <v>1</v>
      </c>
      <c r="E946" t="s">
        <v>160</v>
      </c>
      <c r="F946" s="91" t="s">
        <v>1056</v>
      </c>
      <c r="G946" s="90" t="str">
        <f>LEFT([1]modificado!$O$2, FIND(" ", [1]modificado!$O$2 &amp; " ") - 1)</f>
        <v>3M</v>
      </c>
      <c r="H946" s="47" t="str">
        <f>RIGHT([1]!Tabla2[[#This Row],[Marca y Modelo]], LEN([1]!Tabla2[[#This Row],[Marca y Modelo]]) - FIND(" ", [1]!Tabla2[[#This Row],[Marca y Modelo]]))</f>
        <v>Space</v>
      </c>
      <c r="I946" s="76"/>
      <c r="J946" s="76"/>
      <c r="K946" s="91" t="s">
        <v>4250</v>
      </c>
      <c r="L946" s="91" t="s">
        <v>3557</v>
      </c>
      <c r="M946" s="91" t="s">
        <v>1406</v>
      </c>
      <c r="N946" s="91" t="s">
        <v>2358</v>
      </c>
      <c r="O946" s="77"/>
      <c r="P946" s="91" t="s">
        <v>2535</v>
      </c>
      <c r="Q946" s="32"/>
      <c r="R946" s="48" t="s">
        <v>216</v>
      </c>
      <c r="S946" s="32"/>
    </row>
    <row r="947" spans="2:19" ht="28.8" x14ac:dyDescent="0.3">
      <c r="B947" t="s">
        <v>4349</v>
      </c>
      <c r="C947" s="11" t="s">
        <v>177</v>
      </c>
      <c r="D947">
        <v>1</v>
      </c>
      <c r="E947" t="s">
        <v>160</v>
      </c>
      <c r="F947" s="92" t="s">
        <v>1084</v>
      </c>
      <c r="G947" s="90" t="str">
        <f>LEFT([1]modificado!$O$2, FIND(" ", [1]modificado!$O$2 &amp; " ") - 1)</f>
        <v>3M</v>
      </c>
      <c r="H947" s="47" t="str">
        <f>RIGHT([1]!Tabla2[[#This Row],[Marca y Modelo]], LEN([1]!Tabla2[[#This Row],[Marca y Modelo]]) - FIND(" ", [1]!Tabla2[[#This Row],[Marca y Modelo]]))</f>
        <v>SWHR-100</v>
      </c>
      <c r="I947" s="76"/>
      <c r="J947" s="76"/>
      <c r="K947" s="92" t="s">
        <v>4254</v>
      </c>
      <c r="L947" s="92" t="s">
        <v>3558</v>
      </c>
      <c r="M947" s="92" t="s">
        <v>1412</v>
      </c>
      <c r="N947" s="92" t="s">
        <v>2359</v>
      </c>
      <c r="O947" s="77"/>
      <c r="P947" s="92" t="s">
        <v>2535</v>
      </c>
      <c r="Q947" s="32"/>
      <c r="R947" s="48" t="s">
        <v>216</v>
      </c>
      <c r="S947" s="32"/>
    </row>
    <row r="948" spans="2:19" ht="28.8" x14ac:dyDescent="0.3">
      <c r="B948" t="s">
        <v>4349</v>
      </c>
      <c r="C948" s="11" t="s">
        <v>177</v>
      </c>
      <c r="D948">
        <v>1</v>
      </c>
      <c r="E948" t="s">
        <v>160</v>
      </c>
      <c r="F948" s="91" t="s">
        <v>1059</v>
      </c>
      <c r="G948" s="90" t="str">
        <f>LEFT([1]modificado!$O$2, FIND(" ", [1]modificado!$O$2 &amp; " ") - 1)</f>
        <v>3M</v>
      </c>
      <c r="H948" s="47" t="str">
        <f>RIGHT([1]!Tabla2[[#This Row],[Marca y Modelo]], LEN([1]!Tabla2[[#This Row],[Marca y Modelo]]) - FIND(" ", [1]!Tabla2[[#This Row],[Marca y Modelo]]))</f>
        <v>4550</v>
      </c>
      <c r="I948" s="76"/>
      <c r="J948" s="76"/>
      <c r="K948" s="91" t="s">
        <v>4255</v>
      </c>
      <c r="L948" s="91" t="s">
        <v>3559</v>
      </c>
      <c r="M948" s="91" t="s">
        <v>1404</v>
      </c>
      <c r="N948" s="91" t="s">
        <v>2360</v>
      </c>
      <c r="O948" s="77"/>
      <c r="P948" s="91" t="s">
        <v>2535</v>
      </c>
      <c r="Q948" s="32"/>
      <c r="R948" s="48" t="s">
        <v>216</v>
      </c>
      <c r="S948" s="32"/>
    </row>
    <row r="949" spans="2:19" ht="28.8" x14ac:dyDescent="0.3">
      <c r="B949" t="s">
        <v>4349</v>
      </c>
      <c r="C949" s="11" t="s">
        <v>177</v>
      </c>
      <c r="D949">
        <v>1</v>
      </c>
      <c r="E949" t="s">
        <v>160</v>
      </c>
      <c r="F949" s="92" t="s">
        <v>1059</v>
      </c>
      <c r="G949" s="90" t="str">
        <f>LEFT([1]modificado!$O$2, FIND(" ", [1]modificado!$O$2 &amp; " ") - 1)</f>
        <v>3M</v>
      </c>
      <c r="H949" s="47" t="str">
        <f>RIGHT([1]!Tabla2[[#This Row],[Marca y Modelo]], LEN([1]!Tabla2[[#This Row],[Marca y Modelo]]) - FIND(" ", [1]!Tabla2[[#This Row],[Marca y Modelo]]))</f>
        <v>4550</v>
      </c>
      <c r="I949" s="76"/>
      <c r="J949" s="76"/>
      <c r="K949" s="92" t="s">
        <v>4255</v>
      </c>
      <c r="L949" s="92" t="s">
        <v>3560</v>
      </c>
      <c r="M949" s="92" t="s">
        <v>1404</v>
      </c>
      <c r="N949" s="92" t="s">
        <v>2361</v>
      </c>
      <c r="O949" s="77"/>
      <c r="P949" s="92" t="s">
        <v>2535</v>
      </c>
      <c r="Q949" s="32"/>
      <c r="R949" s="48" t="s">
        <v>216</v>
      </c>
      <c r="S949" s="32"/>
    </row>
    <row r="950" spans="2:19" ht="28.8" x14ac:dyDescent="0.3">
      <c r="B950" t="str">
        <f>LEFT(Tabla3890134177220392[[#This Row],[Descripción del equipo]], FIND(" ", Tabla3890134177220392[[#This Row],[Descripción del equipo]] &amp; " ") - 1)</f>
        <v>Arnes</v>
      </c>
      <c r="C950" s="11" t="s">
        <v>177</v>
      </c>
      <c r="D950">
        <v>1</v>
      </c>
      <c r="E950" t="s">
        <v>160</v>
      </c>
      <c r="F950" s="91" t="s">
        <v>1056</v>
      </c>
      <c r="G950" s="90" t="str">
        <f>LEFT([1]modificado!$O$2, FIND(" ", [1]modificado!$O$2 &amp; " ") - 1)</f>
        <v>3M</v>
      </c>
      <c r="H950" s="47" t="str">
        <f>RIGHT([1]!Tabla2[[#This Row],[Marca y Modelo]], LEN([1]!Tabla2[[#This Row],[Marca y Modelo]]) - FIND(" ", [1]!Tabla2[[#This Row],[Marca y Modelo]]))</f>
        <v>10911F-LOGO</v>
      </c>
      <c r="I950" s="76"/>
      <c r="J950" s="76"/>
      <c r="K950" s="91" t="s">
        <v>4256</v>
      </c>
      <c r="L950" s="91" t="s">
        <v>3561</v>
      </c>
      <c r="M950" s="91" t="s">
        <v>1404</v>
      </c>
      <c r="N950" s="91" t="s">
        <v>2362</v>
      </c>
      <c r="O950" s="77"/>
      <c r="P950" s="91" t="s">
        <v>2535</v>
      </c>
      <c r="Q950" s="32"/>
      <c r="R950" s="48" t="s">
        <v>216</v>
      </c>
      <c r="S950" s="32"/>
    </row>
    <row r="951" spans="2:19" ht="28.8" x14ac:dyDescent="0.3">
      <c r="B951" t="s">
        <v>4348</v>
      </c>
      <c r="C951" s="11" t="s">
        <v>177</v>
      </c>
      <c r="D951">
        <v>1</v>
      </c>
      <c r="E951" t="s">
        <v>160</v>
      </c>
      <c r="F951" s="92" t="s">
        <v>1060</v>
      </c>
      <c r="G951" s="90" t="str">
        <f>LEFT([1]modificado!$O$2, FIND(" ", [1]modificado!$O$2 &amp; " ") - 1)</f>
        <v>3M</v>
      </c>
      <c r="H951" s="47" t="str">
        <f>RIGHT([1]!Tabla2[[#This Row],[Marca y Modelo]], LEN([1]!Tabla2[[#This Row],[Marca y Modelo]]) - FIND(" ", [1]!Tabla2[[#This Row],[Marca y Modelo]]))</f>
        <v>209550-4-0241</v>
      </c>
      <c r="I951" s="76"/>
      <c r="J951" s="76"/>
      <c r="K951" s="92" t="s">
        <v>4257</v>
      </c>
      <c r="L951" s="92" t="s">
        <v>3562</v>
      </c>
      <c r="M951" s="92" t="s">
        <v>1404</v>
      </c>
      <c r="N951" s="92" t="s">
        <v>2363</v>
      </c>
      <c r="O951" s="77"/>
      <c r="P951" s="92" t="s">
        <v>2535</v>
      </c>
      <c r="Q951" s="32"/>
      <c r="R951" s="48" t="s">
        <v>216</v>
      </c>
      <c r="S951" s="32"/>
    </row>
    <row r="952" spans="2:19" ht="28.8" x14ac:dyDescent="0.3">
      <c r="B952" t="str">
        <f>LEFT(Tabla3890134177220392[[#This Row],[Descripción del equipo]], FIND(" ", Tabla3890134177220392[[#This Row],[Descripción del equipo]] &amp; " ") - 1)</f>
        <v>Arnes</v>
      </c>
      <c r="C952" s="11" t="s">
        <v>177</v>
      </c>
      <c r="D952">
        <v>1</v>
      </c>
      <c r="E952" t="s">
        <v>160</v>
      </c>
      <c r="F952" s="91" t="s">
        <v>1056</v>
      </c>
      <c r="G952" s="90" t="str">
        <f>LEFT([1]modificado!$O$2, FIND(" ", [1]modificado!$O$2 &amp; " ") - 1)</f>
        <v>3M</v>
      </c>
      <c r="H952" s="47" t="str">
        <f>RIGHT([1]!Tabla2[[#This Row],[Marca y Modelo]], LEN([1]!Tabla2[[#This Row],[Marca y Modelo]]) - FIND(" ", [1]!Tabla2[[#This Row],[Marca y Modelo]]))</f>
        <v>10911F-LOGO</v>
      </c>
      <c r="I952" s="76"/>
      <c r="J952" s="76"/>
      <c r="K952" s="91" t="s">
        <v>4258</v>
      </c>
      <c r="L952" s="91" t="s">
        <v>3563</v>
      </c>
      <c r="M952" s="91" t="s">
        <v>1404</v>
      </c>
      <c r="N952" s="91" t="s">
        <v>2364</v>
      </c>
      <c r="O952" s="77"/>
      <c r="P952" s="91" t="s">
        <v>2535</v>
      </c>
      <c r="Q952" s="32"/>
      <c r="R952" s="48" t="s">
        <v>216</v>
      </c>
      <c r="S952" s="32"/>
    </row>
    <row r="953" spans="2:19" ht="28.8" x14ac:dyDescent="0.3">
      <c r="B953" t="str">
        <f>LEFT(Tabla3890134177220392[[#This Row],[Descripción del equipo]], FIND(" ", Tabla3890134177220392[[#This Row],[Descripción del equipo]] &amp; " ") - 1)</f>
        <v>Arnes</v>
      </c>
      <c r="C953" s="11" t="s">
        <v>177</v>
      </c>
      <c r="D953">
        <v>1</v>
      </c>
      <c r="E953" t="s">
        <v>160</v>
      </c>
      <c r="F953" s="92" t="s">
        <v>1068</v>
      </c>
      <c r="G953" s="90" t="str">
        <f>LEFT([1]modificado!$O$2, FIND(" ", [1]modificado!$O$2 &amp; " ") - 1)</f>
        <v>3M</v>
      </c>
      <c r="H953" s="47" t="str">
        <f>RIGHT([1]!Tabla2[[#This Row],[Marca y Modelo]], LEN([1]!Tabla2[[#This Row],[Marca y Modelo]]) - FIND(" ", [1]!Tabla2[[#This Row],[Marca y Modelo]]))</f>
        <v>1021-LOGO</v>
      </c>
      <c r="I953" s="76"/>
      <c r="J953" s="76"/>
      <c r="K953" s="92" t="s">
        <v>4259</v>
      </c>
      <c r="L953" s="92" t="s">
        <v>3564</v>
      </c>
      <c r="M953" s="92" t="s">
        <v>1404</v>
      </c>
      <c r="N953" s="92" t="s">
        <v>2365</v>
      </c>
      <c r="O953" s="77"/>
      <c r="P953" s="92" t="s">
        <v>2535</v>
      </c>
      <c r="Q953" s="32"/>
      <c r="R953" s="48" t="s">
        <v>216</v>
      </c>
      <c r="S953" s="32"/>
    </row>
    <row r="954" spans="2:19" ht="28.8" x14ac:dyDescent="0.3">
      <c r="B954" t="str">
        <f>LEFT(Tabla3890134177220392[[#This Row],[Descripción del equipo]], FIND(" ", Tabla3890134177220392[[#This Row],[Descripción del equipo]] &amp; " ") - 1)</f>
        <v>Arnes</v>
      </c>
      <c r="C954" s="11" t="s">
        <v>177</v>
      </c>
      <c r="D954">
        <v>1</v>
      </c>
      <c r="E954" t="s">
        <v>160</v>
      </c>
      <c r="F954" s="91" t="s">
        <v>1068</v>
      </c>
      <c r="G954" s="90" t="str">
        <f>LEFT([1]modificado!$O$2, FIND(" ", [1]modificado!$O$2 &amp; " ") - 1)</f>
        <v>3M</v>
      </c>
      <c r="H954" s="47" t="str">
        <f>RIGHT([1]!Tabla2[[#This Row],[Marca y Modelo]], LEN([1]!Tabla2[[#This Row],[Marca y Modelo]]) - FIND(" ", [1]!Tabla2[[#This Row],[Marca y Modelo]]))</f>
        <v>1191381</v>
      </c>
      <c r="I954" s="76"/>
      <c r="J954" s="76"/>
      <c r="K954" s="91" t="s">
        <v>4259</v>
      </c>
      <c r="L954" s="91" t="s">
        <v>3565</v>
      </c>
      <c r="M954" s="91" t="s">
        <v>1404</v>
      </c>
      <c r="N954" s="91" t="s">
        <v>2366</v>
      </c>
      <c r="O954" s="77"/>
      <c r="P954" s="91" t="s">
        <v>2535</v>
      </c>
      <c r="Q954" s="32"/>
      <c r="R954" s="48" t="s">
        <v>216</v>
      </c>
      <c r="S954" s="32"/>
    </row>
    <row r="955" spans="2:19" ht="28.8" x14ac:dyDescent="0.3">
      <c r="B955" t="s">
        <v>4348</v>
      </c>
      <c r="C955" s="11" t="s">
        <v>177</v>
      </c>
      <c r="D955">
        <v>1</v>
      </c>
      <c r="E955" t="s">
        <v>160</v>
      </c>
      <c r="F955" s="92" t="s">
        <v>1074</v>
      </c>
      <c r="G955" s="90" t="str">
        <f>LEFT([1]modificado!$O$2, FIND(" ", [1]modificado!$O$2 &amp; " ") - 1)</f>
        <v>3M</v>
      </c>
      <c r="H955" s="47" t="str">
        <f>RIGHT([1]!Tabla2[[#This Row],[Marca y Modelo]], LEN([1]!Tabla2[[#This Row],[Marca y Modelo]]) - FIND(" ", [1]!Tabla2[[#This Row],[Marca y Modelo]]))</f>
        <v>20226</v>
      </c>
      <c r="I955" s="76"/>
      <c r="J955" s="76"/>
      <c r="K955" s="92" t="s">
        <v>4260</v>
      </c>
      <c r="L955" s="92" t="s">
        <v>3566</v>
      </c>
      <c r="M955" s="92" t="s">
        <v>1406</v>
      </c>
      <c r="N955" s="92" t="s">
        <v>2367</v>
      </c>
      <c r="O955" s="77"/>
      <c r="P955" s="92" t="s">
        <v>2535</v>
      </c>
      <c r="Q955" s="32"/>
      <c r="R955" s="48" t="s">
        <v>216</v>
      </c>
      <c r="S955" s="32"/>
    </row>
    <row r="956" spans="2:19" x14ac:dyDescent="0.3">
      <c r="B956" t="str">
        <f>LEFT(Tabla3890134177220392[[#This Row],[Descripción del equipo]], FIND(" ", Tabla3890134177220392[[#This Row],[Descripción del equipo]] &amp; " ") - 1)</f>
        <v>Arnes</v>
      </c>
      <c r="C956" s="11" t="s">
        <v>172</v>
      </c>
      <c r="D956">
        <v>1</v>
      </c>
      <c r="E956" t="s">
        <v>160</v>
      </c>
      <c r="F956" s="91" t="s">
        <v>1056</v>
      </c>
      <c r="G956" s="90" t="str">
        <f>LEFT([1]modificado!$O$2, FIND(" ", [1]modificado!$O$2 &amp; " ") - 1)</f>
        <v>3M</v>
      </c>
      <c r="H956" s="47" t="str">
        <f>RIGHT([1]!Tabla2[[#This Row],[Marca y Modelo]], LEN([1]!Tabla2[[#This Row],[Marca y Modelo]]) - FIND(" ", [1]!Tabla2[[#This Row],[Marca y Modelo]]))</f>
        <v>Space</v>
      </c>
      <c r="I956" s="76"/>
      <c r="J956" s="76"/>
      <c r="K956" s="91" t="s">
        <v>4261</v>
      </c>
      <c r="L956" s="91" t="s">
        <v>3567</v>
      </c>
      <c r="M956" s="91" t="s">
        <v>1406</v>
      </c>
      <c r="N956" s="91" t="s">
        <v>2368</v>
      </c>
      <c r="O956" s="77"/>
      <c r="P956" s="91" t="s">
        <v>2536</v>
      </c>
      <c r="Q956" s="32"/>
      <c r="R956" s="48" t="s">
        <v>216</v>
      </c>
      <c r="S956" s="32"/>
    </row>
    <row r="957" spans="2:19" x14ac:dyDescent="0.3">
      <c r="B957" t="str">
        <f>LEFT(Tabla3890134177220392[[#This Row],[Descripción del equipo]], FIND(" ", Tabla3890134177220392[[#This Row],[Descripción del equipo]] &amp; " ") - 1)</f>
        <v>Arnes</v>
      </c>
      <c r="C957" s="11" t="s">
        <v>172</v>
      </c>
      <c r="D957">
        <v>1</v>
      </c>
      <c r="E957" t="s">
        <v>160</v>
      </c>
      <c r="F957" s="92" t="s">
        <v>1056</v>
      </c>
      <c r="G957" s="90" t="str">
        <f>LEFT([1]modificado!$O$2, FIND(" ", [1]modificado!$O$2 &amp; " ") - 1)</f>
        <v>3M</v>
      </c>
      <c r="H957" s="47" t="str">
        <f>RIGHT([1]!Tabla2[[#This Row],[Marca y Modelo]], LEN([1]!Tabla2[[#This Row],[Marca y Modelo]]) - FIND(" ", [1]!Tabla2[[#This Row],[Marca y Modelo]]))</f>
        <v>Space</v>
      </c>
      <c r="I957" s="76"/>
      <c r="J957" s="76"/>
      <c r="K957" s="92" t="s">
        <v>4261</v>
      </c>
      <c r="L957" s="92" t="s">
        <v>3568</v>
      </c>
      <c r="M957" s="92" t="s">
        <v>1406</v>
      </c>
      <c r="N957" s="92" t="s">
        <v>2369</v>
      </c>
      <c r="O957" s="77"/>
      <c r="P957" s="92" t="s">
        <v>2536</v>
      </c>
      <c r="Q957" s="32"/>
      <c r="R957" s="48" t="s">
        <v>216</v>
      </c>
      <c r="S957" s="32"/>
    </row>
    <row r="958" spans="2:19" x14ac:dyDescent="0.3">
      <c r="B958" t="s">
        <v>4348</v>
      </c>
      <c r="C958" s="11" t="s">
        <v>172</v>
      </c>
      <c r="D958">
        <v>1</v>
      </c>
      <c r="E958" t="s">
        <v>160</v>
      </c>
      <c r="F958" s="91" t="s">
        <v>1057</v>
      </c>
      <c r="G958" s="90" t="str">
        <f>LEFT([1]modificado!$O$2, FIND(" ", [1]modificado!$O$2 &amp; " ") - 1)</f>
        <v>3M</v>
      </c>
      <c r="H958" s="47"/>
      <c r="I958" s="76"/>
      <c r="J958" s="76"/>
      <c r="K958" s="91" t="s">
        <v>4262</v>
      </c>
      <c r="L958" s="91" t="s">
        <v>3569</v>
      </c>
      <c r="M958" s="91" t="s">
        <v>1404</v>
      </c>
      <c r="N958" s="91" t="s">
        <v>2370</v>
      </c>
      <c r="O958" s="77"/>
      <c r="P958" s="91" t="s">
        <v>2536</v>
      </c>
      <c r="Q958" s="32"/>
      <c r="R958" s="48" t="s">
        <v>216</v>
      </c>
      <c r="S958" s="32"/>
    </row>
    <row r="959" spans="2:19" x14ac:dyDescent="0.3">
      <c r="B959" t="s">
        <v>28</v>
      </c>
      <c r="C959" s="11" t="s">
        <v>172</v>
      </c>
      <c r="D959">
        <v>1</v>
      </c>
      <c r="E959" t="s">
        <v>160</v>
      </c>
      <c r="F959" s="92" t="s">
        <v>1056</v>
      </c>
      <c r="G959" s="90" t="str">
        <f>LEFT([1]modificado!$O$2, FIND(" ", [1]modificado!$O$2 &amp; " ") - 1)</f>
        <v>3M</v>
      </c>
      <c r="H959" s="47" t="str">
        <f>RIGHT([1]!Tabla2[[#This Row],[Marca y Modelo]], LEN([1]!Tabla2[[#This Row],[Marca y Modelo]]) - FIND(" ", [1]!Tabla2[[#This Row],[Marca y Modelo]]))</f>
        <v>Space</v>
      </c>
      <c r="I959" s="76"/>
      <c r="J959" s="76"/>
      <c r="K959" s="92" t="s">
        <v>4261</v>
      </c>
      <c r="L959" s="92" t="s">
        <v>3570</v>
      </c>
      <c r="M959" s="92" t="s">
        <v>1406</v>
      </c>
      <c r="N959" s="92" t="s">
        <v>2371</v>
      </c>
      <c r="O959" s="77"/>
      <c r="P959" s="92" t="s">
        <v>2536</v>
      </c>
      <c r="Q959" s="32"/>
      <c r="R959" s="48" t="s">
        <v>216</v>
      </c>
      <c r="S959" s="32"/>
    </row>
    <row r="960" spans="2:19" x14ac:dyDescent="0.3">
      <c r="B960" t="s">
        <v>4348</v>
      </c>
      <c r="C960" s="11" t="s">
        <v>172</v>
      </c>
      <c r="D960">
        <v>1</v>
      </c>
      <c r="E960" t="s">
        <v>160</v>
      </c>
      <c r="F960" s="91" t="s">
        <v>1057</v>
      </c>
      <c r="G960" s="90" t="str">
        <f>LEFT([1]modificado!$O$2, FIND(" ", [1]modificado!$O$2 &amp; " ") - 1)</f>
        <v>3M</v>
      </c>
      <c r="H960" s="47"/>
      <c r="I960" s="76"/>
      <c r="J960" s="76"/>
      <c r="K960" s="91" t="s">
        <v>4262</v>
      </c>
      <c r="L960" s="91" t="s">
        <v>3571</v>
      </c>
      <c r="M960" s="91" t="s">
        <v>1404</v>
      </c>
      <c r="N960" s="91" t="s">
        <v>2372</v>
      </c>
      <c r="O960" s="77"/>
      <c r="P960" s="91" t="s">
        <v>2536</v>
      </c>
      <c r="Q960" s="32"/>
      <c r="R960" s="48" t="s">
        <v>216</v>
      </c>
      <c r="S960" s="32"/>
    </row>
    <row r="961" spans="2:19" x14ac:dyDescent="0.3">
      <c r="B961" t="str">
        <f>LEFT(Tabla3890134177220392[[#This Row],[Descripción del equipo]], FIND(" ", Tabla3890134177220392[[#This Row],[Descripción del equipo]] &amp; " ") - 1)</f>
        <v>Arnes</v>
      </c>
      <c r="C961" s="11" t="s">
        <v>172</v>
      </c>
      <c r="D961">
        <v>1</v>
      </c>
      <c r="E961" t="s">
        <v>160</v>
      </c>
      <c r="F961" s="92" t="s">
        <v>1056</v>
      </c>
      <c r="G961" s="90" t="str">
        <f>LEFT([1]modificado!$O$2, FIND(" ", [1]modificado!$O$2 &amp; " ") - 1)</f>
        <v>3M</v>
      </c>
      <c r="H961" s="47" t="str">
        <f>RIGHT([1]!Tabla2[[#This Row],[Marca y Modelo]], LEN([1]!Tabla2[[#This Row],[Marca y Modelo]]) - FIND(" ", [1]!Tabla2[[#This Row],[Marca y Modelo]]))</f>
        <v>Space</v>
      </c>
      <c r="I961" s="76"/>
      <c r="J961" s="76"/>
      <c r="K961" s="92" t="s">
        <v>4261</v>
      </c>
      <c r="L961" s="92" t="s">
        <v>3572</v>
      </c>
      <c r="M961" s="92" t="s">
        <v>1406</v>
      </c>
      <c r="N961" s="92" t="s">
        <v>2373</v>
      </c>
      <c r="O961" s="77"/>
      <c r="P961" s="92" t="s">
        <v>2536</v>
      </c>
      <c r="Q961" s="32"/>
      <c r="R961" s="48" t="s">
        <v>216</v>
      </c>
      <c r="S961" s="32"/>
    </row>
    <row r="962" spans="2:19" x14ac:dyDescent="0.3">
      <c r="B962" t="s">
        <v>4348</v>
      </c>
      <c r="C962" s="11" t="s">
        <v>172</v>
      </c>
      <c r="D962">
        <v>1</v>
      </c>
      <c r="E962" t="s">
        <v>160</v>
      </c>
      <c r="F962" s="91" t="s">
        <v>1057</v>
      </c>
      <c r="G962" s="90" t="str">
        <f>LEFT([1]modificado!$O$2, FIND(" ", [1]modificado!$O$2 &amp; " ") - 1)</f>
        <v>3M</v>
      </c>
      <c r="H962" s="47"/>
      <c r="I962" s="76"/>
      <c r="J962" s="76"/>
      <c r="K962" s="91" t="s">
        <v>4262</v>
      </c>
      <c r="L962" s="91" t="s">
        <v>3573</v>
      </c>
      <c r="M962" s="91" t="s">
        <v>1404</v>
      </c>
      <c r="N962" s="91" t="s">
        <v>2374</v>
      </c>
      <c r="O962" s="77"/>
      <c r="P962" s="91" t="s">
        <v>2536</v>
      </c>
      <c r="Q962" s="32"/>
      <c r="R962" s="48" t="s">
        <v>216</v>
      </c>
      <c r="S962" s="32"/>
    </row>
    <row r="963" spans="2:19" x14ac:dyDescent="0.3">
      <c r="B963" t="str">
        <f>LEFT(Tabla3890134177220392[[#This Row],[Descripción del equipo]], FIND(" ", Tabla3890134177220392[[#This Row],[Descripción del equipo]] &amp; " ") - 1)</f>
        <v>Arnes</v>
      </c>
      <c r="C963" s="11" t="s">
        <v>172</v>
      </c>
      <c r="D963">
        <v>1</v>
      </c>
      <c r="E963" t="s">
        <v>160</v>
      </c>
      <c r="F963" s="92" t="s">
        <v>1056</v>
      </c>
      <c r="G963" s="90" t="str">
        <f>LEFT([1]modificado!$O$2, FIND(" ", [1]modificado!$O$2 &amp; " ") - 1)</f>
        <v>3M</v>
      </c>
      <c r="H963" s="47" t="str">
        <f>RIGHT([1]!Tabla2[[#This Row],[Marca y Modelo]], LEN([1]!Tabla2[[#This Row],[Marca y Modelo]]) - FIND(" ", [1]!Tabla2[[#This Row],[Marca y Modelo]]))</f>
        <v>Space</v>
      </c>
      <c r="I963" s="76"/>
      <c r="J963" s="76"/>
      <c r="K963" s="92" t="s">
        <v>4261</v>
      </c>
      <c r="L963" s="92" t="s">
        <v>3574</v>
      </c>
      <c r="M963" s="92" t="s">
        <v>1406</v>
      </c>
      <c r="N963" s="92" t="s">
        <v>2375</v>
      </c>
      <c r="O963" s="77"/>
      <c r="P963" s="92" t="s">
        <v>2536</v>
      </c>
      <c r="Q963" s="32"/>
      <c r="R963" s="48" t="s">
        <v>216</v>
      </c>
      <c r="S963" s="32"/>
    </row>
    <row r="964" spans="2:19" x14ac:dyDescent="0.3">
      <c r="B964" t="str">
        <f>LEFT(Tabla3890134177220392[[#This Row],[Descripción del equipo]], FIND(" ", Tabla3890134177220392[[#This Row],[Descripción del equipo]] &amp; " ") - 1)</f>
        <v>Arnes</v>
      </c>
      <c r="C964" s="11" t="s">
        <v>172</v>
      </c>
      <c r="D964">
        <v>1</v>
      </c>
      <c r="E964" t="s">
        <v>160</v>
      </c>
      <c r="F964" s="91" t="s">
        <v>1056</v>
      </c>
      <c r="G964" s="90" t="str">
        <f>LEFT([1]modificado!$O$2, FIND(" ", [1]modificado!$O$2 &amp; " ") - 1)</f>
        <v>3M</v>
      </c>
      <c r="H964" s="47" t="str">
        <f>RIGHT([1]!Tabla2[[#This Row],[Marca y Modelo]], LEN([1]!Tabla2[[#This Row],[Marca y Modelo]]) - FIND(" ", [1]!Tabla2[[#This Row],[Marca y Modelo]]))</f>
        <v>Space</v>
      </c>
      <c r="I964" s="76"/>
      <c r="J964" s="76"/>
      <c r="K964" s="91" t="s">
        <v>4261</v>
      </c>
      <c r="L964" s="91" t="s">
        <v>3575</v>
      </c>
      <c r="M964" s="91" t="s">
        <v>1406</v>
      </c>
      <c r="N964" s="91" t="s">
        <v>2376</v>
      </c>
      <c r="O964" s="77"/>
      <c r="P964" s="91" t="s">
        <v>2536</v>
      </c>
      <c r="Q964" s="32"/>
      <c r="R964" s="48" t="s">
        <v>216</v>
      </c>
      <c r="S964" s="32"/>
    </row>
    <row r="965" spans="2:19" x14ac:dyDescent="0.3">
      <c r="B965" t="str">
        <f>LEFT(Tabla3890134177220392[[#This Row],[Descripción del equipo]], FIND(" ", Tabla3890134177220392[[#This Row],[Descripción del equipo]] &amp; " ") - 1)</f>
        <v>Arnes</v>
      </c>
      <c r="C965" s="11" t="s">
        <v>172</v>
      </c>
      <c r="D965">
        <v>1</v>
      </c>
      <c r="E965" t="s">
        <v>160</v>
      </c>
      <c r="F965" s="92" t="s">
        <v>1056</v>
      </c>
      <c r="G965" s="90" t="str">
        <f>LEFT([1]modificado!$O$2, FIND(" ", [1]modificado!$O$2 &amp; " ") - 1)</f>
        <v>3M</v>
      </c>
      <c r="H965" s="47" t="str">
        <f>RIGHT([1]!Tabla2[[#This Row],[Marca y Modelo]], LEN([1]!Tabla2[[#This Row],[Marca y Modelo]]) - FIND(" ", [1]!Tabla2[[#This Row],[Marca y Modelo]]))</f>
        <v>Space</v>
      </c>
      <c r="I965" s="76"/>
      <c r="J965" s="76"/>
      <c r="K965" s="92" t="s">
        <v>4261</v>
      </c>
      <c r="L965" s="92" t="s">
        <v>3576</v>
      </c>
      <c r="M965" s="92" t="s">
        <v>1406</v>
      </c>
      <c r="N965" s="92" t="s">
        <v>2377</v>
      </c>
      <c r="O965" s="77"/>
      <c r="P965" s="92" t="s">
        <v>2536</v>
      </c>
      <c r="Q965" s="32"/>
      <c r="R965" s="48" t="s">
        <v>216</v>
      </c>
      <c r="S965" s="32"/>
    </row>
    <row r="966" spans="2:19" x14ac:dyDescent="0.3">
      <c r="B966" t="s">
        <v>4348</v>
      </c>
      <c r="C966" s="11" t="s">
        <v>172</v>
      </c>
      <c r="D966">
        <v>1</v>
      </c>
      <c r="E966" t="s">
        <v>160</v>
      </c>
      <c r="F966" s="91" t="s">
        <v>1057</v>
      </c>
      <c r="G966" s="90" t="str">
        <f>LEFT([1]modificado!$O$2, FIND(" ", [1]modificado!$O$2 &amp; " ") - 1)</f>
        <v>3M</v>
      </c>
      <c r="H966" s="47"/>
      <c r="I966" s="76"/>
      <c r="J966" s="76"/>
      <c r="K966" s="91" t="s">
        <v>4262</v>
      </c>
      <c r="L966" s="91" t="s">
        <v>3577</v>
      </c>
      <c r="M966" s="91" t="s">
        <v>1404</v>
      </c>
      <c r="N966" s="91" t="s">
        <v>2378</v>
      </c>
      <c r="O966" s="77"/>
      <c r="P966" s="91" t="s">
        <v>2536</v>
      </c>
      <c r="Q966" s="32"/>
      <c r="R966" s="48" t="s">
        <v>216</v>
      </c>
      <c r="S966" s="32"/>
    </row>
    <row r="967" spans="2:19" x14ac:dyDescent="0.3">
      <c r="B967" t="str">
        <f>LEFT(Tabla3890134177220392[[#This Row],[Descripción del equipo]], FIND(" ", Tabla3890134177220392[[#This Row],[Descripción del equipo]] &amp; " ") - 1)</f>
        <v>Arnes</v>
      </c>
      <c r="C967" s="11" t="s">
        <v>172</v>
      </c>
      <c r="D967">
        <v>1</v>
      </c>
      <c r="E967" t="s">
        <v>160</v>
      </c>
      <c r="F967" s="92" t="s">
        <v>1056</v>
      </c>
      <c r="G967" s="90" t="str">
        <f>LEFT([1]modificado!$O$2, FIND(" ", [1]modificado!$O$2 &amp; " ") - 1)</f>
        <v>3M</v>
      </c>
      <c r="H967" s="47" t="str">
        <f>RIGHT([1]!Tabla2[[#This Row],[Marca y Modelo]], LEN([1]!Tabla2[[#This Row],[Marca y Modelo]]) - FIND(" ", [1]!Tabla2[[#This Row],[Marca y Modelo]]))</f>
        <v>Space</v>
      </c>
      <c r="I967" s="76"/>
      <c r="J967" s="76"/>
      <c r="K967" s="92" t="s">
        <v>4261</v>
      </c>
      <c r="L967" s="92" t="s">
        <v>3578</v>
      </c>
      <c r="M967" s="92" t="s">
        <v>1406</v>
      </c>
      <c r="N967" s="92" t="s">
        <v>2379</v>
      </c>
      <c r="O967" s="77"/>
      <c r="P967" s="92" t="s">
        <v>2536</v>
      </c>
      <c r="Q967" s="32"/>
      <c r="R967" s="48" t="s">
        <v>216</v>
      </c>
      <c r="S967" s="32"/>
    </row>
    <row r="968" spans="2:19" x14ac:dyDescent="0.3">
      <c r="B968" t="s">
        <v>4348</v>
      </c>
      <c r="C968" s="11" t="s">
        <v>172</v>
      </c>
      <c r="D968">
        <v>1</v>
      </c>
      <c r="E968" t="s">
        <v>160</v>
      </c>
      <c r="F968" s="91" t="s">
        <v>1057</v>
      </c>
      <c r="G968" s="90" t="str">
        <f>LEFT([1]modificado!$O$2, FIND(" ", [1]modificado!$O$2 &amp; " ") - 1)</f>
        <v>3M</v>
      </c>
      <c r="H968" s="47" t="str">
        <f>RIGHT([1]!Tabla2[[#This Row],[Marca y Modelo]], LEN([1]!Tabla2[[#This Row],[Marca y Modelo]]) - FIND(" ", [1]!Tabla2[[#This Row],[Marca y Modelo]]))</f>
        <v>Basic Shock Absorbing</v>
      </c>
      <c r="I968" s="76"/>
      <c r="J968" s="76"/>
      <c r="K968" s="91" t="s">
        <v>4262</v>
      </c>
      <c r="L968" s="91" t="s">
        <v>3579</v>
      </c>
      <c r="M968" s="91" t="s">
        <v>1405</v>
      </c>
      <c r="N968" s="91" t="s">
        <v>2380</v>
      </c>
      <c r="O968" s="77"/>
      <c r="P968" s="91" t="s">
        <v>2536</v>
      </c>
      <c r="Q968" s="32"/>
      <c r="R968" s="48" t="s">
        <v>216</v>
      </c>
      <c r="S968" s="32"/>
    </row>
    <row r="969" spans="2:19" x14ac:dyDescent="0.3">
      <c r="B969" t="str">
        <f>LEFT(Tabla3890134177220392[[#This Row],[Descripción del equipo]], FIND(" ", Tabla3890134177220392[[#This Row],[Descripción del equipo]] &amp; " ") - 1)</f>
        <v>Arnes</v>
      </c>
      <c r="C969" s="11" t="s">
        <v>172</v>
      </c>
      <c r="D969">
        <v>1</v>
      </c>
      <c r="E969" t="s">
        <v>160</v>
      </c>
      <c r="F969" s="92" t="s">
        <v>1056</v>
      </c>
      <c r="G969" s="90" t="str">
        <f>LEFT([1]modificado!$O$2, FIND(" ", [1]modificado!$O$2 &amp; " ") - 1)</f>
        <v>3M</v>
      </c>
      <c r="H969" s="47" t="str">
        <f>RIGHT([1]!Tabla2[[#This Row],[Marca y Modelo]], LEN([1]!Tabla2[[#This Row],[Marca y Modelo]]) - FIND(" ", [1]!Tabla2[[#This Row],[Marca y Modelo]]))</f>
        <v>Space</v>
      </c>
      <c r="I969" s="76"/>
      <c r="J969" s="76"/>
      <c r="K969" s="92" t="s">
        <v>4261</v>
      </c>
      <c r="L969" s="92" t="s">
        <v>3580</v>
      </c>
      <c r="M969" s="92" t="s">
        <v>1406</v>
      </c>
      <c r="N969" s="92" t="s">
        <v>2381</v>
      </c>
      <c r="O969" s="77"/>
      <c r="P969" s="92" t="s">
        <v>2536</v>
      </c>
      <c r="Q969" s="32"/>
      <c r="R969" s="48" t="s">
        <v>216</v>
      </c>
      <c r="S969" s="32"/>
    </row>
    <row r="970" spans="2:19" x14ac:dyDescent="0.3">
      <c r="B970" t="s">
        <v>4348</v>
      </c>
      <c r="C970" s="11" t="s">
        <v>172</v>
      </c>
      <c r="D970">
        <v>1</v>
      </c>
      <c r="E970" t="s">
        <v>160</v>
      </c>
      <c r="F970" s="91" t="s">
        <v>1057</v>
      </c>
      <c r="G970" s="90" t="str">
        <f>LEFT([1]modificado!$O$2, FIND(" ", [1]modificado!$O$2 &amp; " ") - 1)</f>
        <v>3M</v>
      </c>
      <c r="H970" s="47"/>
      <c r="I970" s="76"/>
      <c r="J970" s="76"/>
      <c r="K970" s="91" t="s">
        <v>4262</v>
      </c>
      <c r="L970" s="91" t="s">
        <v>3581</v>
      </c>
      <c r="M970" s="91" t="s">
        <v>1404</v>
      </c>
      <c r="N970" s="91" t="s">
        <v>2382</v>
      </c>
      <c r="O970" s="77"/>
      <c r="P970" s="91" t="s">
        <v>2536</v>
      </c>
      <c r="Q970" s="32"/>
      <c r="R970" s="48" t="s">
        <v>216</v>
      </c>
      <c r="S970" s="32"/>
    </row>
    <row r="971" spans="2:19" x14ac:dyDescent="0.3">
      <c r="B971" t="str">
        <f>LEFT(Tabla3890134177220392[[#This Row],[Descripción del equipo]], FIND(" ", Tabla3890134177220392[[#This Row],[Descripción del equipo]] &amp; " ") - 1)</f>
        <v>Arnes</v>
      </c>
      <c r="C971" s="11" t="s">
        <v>172</v>
      </c>
      <c r="D971">
        <v>1</v>
      </c>
      <c r="E971" t="s">
        <v>160</v>
      </c>
      <c r="F971" s="92" t="s">
        <v>1056</v>
      </c>
      <c r="G971" s="90" t="str">
        <f>LEFT([1]modificado!$O$2, FIND(" ", [1]modificado!$O$2 &amp; " ") - 1)</f>
        <v>3M</v>
      </c>
      <c r="H971" s="47"/>
      <c r="I971" s="76"/>
      <c r="J971" s="76"/>
      <c r="K971" s="92" t="s">
        <v>4261</v>
      </c>
      <c r="L971" s="92" t="s">
        <v>3582</v>
      </c>
      <c r="M971" s="92" t="s">
        <v>1406</v>
      </c>
      <c r="N971" s="92" t="s">
        <v>2383</v>
      </c>
      <c r="O971" s="77"/>
      <c r="P971" s="92" t="s">
        <v>2536</v>
      </c>
      <c r="Q971" s="32"/>
      <c r="R971" s="48" t="s">
        <v>216</v>
      </c>
      <c r="S971" s="32"/>
    </row>
    <row r="972" spans="2:19" x14ac:dyDescent="0.3">
      <c r="B972" t="str">
        <f>LEFT(Tabla3890134177220392[[#This Row],[Descripción del equipo]], FIND(" ", Tabla3890134177220392[[#This Row],[Descripción del equipo]] &amp; " ") - 1)</f>
        <v>Arnes</v>
      </c>
      <c r="C972" s="11" t="s">
        <v>172</v>
      </c>
      <c r="D972">
        <v>1</v>
      </c>
      <c r="E972" t="s">
        <v>160</v>
      </c>
      <c r="F972" s="91" t="s">
        <v>1056</v>
      </c>
      <c r="G972" s="90" t="str">
        <f>LEFT([1]modificado!$O$2, FIND(" ", [1]modificado!$O$2 &amp; " ") - 1)</f>
        <v>3M</v>
      </c>
      <c r="H972" s="47" t="str">
        <f>RIGHT([1]!Tabla2[[#This Row],[Marca y Modelo]], LEN([1]!Tabla2[[#This Row],[Marca y Modelo]]) - FIND(" ", [1]!Tabla2[[#This Row],[Marca y Modelo]]))</f>
        <v>Lion</v>
      </c>
      <c r="I972" s="76"/>
      <c r="J972" s="76"/>
      <c r="K972" s="91" t="s">
        <v>4261</v>
      </c>
      <c r="L972" s="91" t="s">
        <v>3583</v>
      </c>
      <c r="M972" s="91" t="s">
        <v>1405</v>
      </c>
      <c r="N972" s="91" t="s">
        <v>2384</v>
      </c>
      <c r="O972" s="77"/>
      <c r="P972" s="91" t="s">
        <v>2536</v>
      </c>
      <c r="Q972" s="32"/>
      <c r="R972" s="48" t="s">
        <v>216</v>
      </c>
      <c r="S972" s="32"/>
    </row>
    <row r="973" spans="2:19" x14ac:dyDescent="0.3">
      <c r="B973" t="s">
        <v>4348</v>
      </c>
      <c r="C973" s="11" t="s">
        <v>172</v>
      </c>
      <c r="D973">
        <v>1</v>
      </c>
      <c r="E973" t="s">
        <v>160</v>
      </c>
      <c r="F973" s="92" t="s">
        <v>1057</v>
      </c>
      <c r="G973" s="90" t="str">
        <f>LEFT([1]modificado!$O$2, FIND(" ", [1]modificado!$O$2 &amp; " ") - 1)</f>
        <v>3M</v>
      </c>
      <c r="H973" s="47"/>
      <c r="I973" s="76"/>
      <c r="J973" s="76"/>
      <c r="K973" s="92" t="s">
        <v>4262</v>
      </c>
      <c r="L973" s="92" t="s">
        <v>3584</v>
      </c>
      <c r="M973" s="92" t="s">
        <v>1405</v>
      </c>
      <c r="N973" s="92" t="s">
        <v>2385</v>
      </c>
      <c r="O973" s="77"/>
      <c r="P973" s="92" t="s">
        <v>2536</v>
      </c>
      <c r="Q973" s="32"/>
      <c r="R973" s="48" t="s">
        <v>216</v>
      </c>
      <c r="S973" s="32"/>
    </row>
    <row r="974" spans="2:19" x14ac:dyDescent="0.3">
      <c r="B974" t="str">
        <f>LEFT(Tabla3890134177220392[[#This Row],[Descripción del equipo]], FIND(" ", Tabla3890134177220392[[#This Row],[Descripción del equipo]] &amp; " ") - 1)</f>
        <v>Arnes</v>
      </c>
      <c r="C974" s="11" t="s">
        <v>172</v>
      </c>
      <c r="D974">
        <v>1</v>
      </c>
      <c r="E974" t="s">
        <v>160</v>
      </c>
      <c r="F974" s="91" t="s">
        <v>1056</v>
      </c>
      <c r="G974" s="90" t="str">
        <f>LEFT([1]modificado!$O$2, FIND(" ", [1]modificado!$O$2 &amp; " ") - 1)</f>
        <v>3M</v>
      </c>
      <c r="H974" s="47" t="str">
        <f>RIGHT([1]!Tabla2[[#This Row],[Marca y Modelo]], LEN([1]!Tabla2[[#This Row],[Marca y Modelo]]) - FIND(" ", [1]!Tabla2[[#This Row],[Marca y Modelo]]))</f>
        <v>Musitani Space</v>
      </c>
      <c r="I974" s="76"/>
      <c r="J974" s="76"/>
      <c r="K974" s="91" t="s">
        <v>4261</v>
      </c>
      <c r="L974" s="91" t="s">
        <v>3585</v>
      </c>
      <c r="M974" s="91" t="s">
        <v>1406</v>
      </c>
      <c r="N974" s="91" t="s">
        <v>2386</v>
      </c>
      <c r="O974" s="77"/>
      <c r="P974" s="91" t="s">
        <v>2536</v>
      </c>
      <c r="Q974" s="32"/>
      <c r="R974" s="48" t="s">
        <v>216</v>
      </c>
      <c r="S974" s="32"/>
    </row>
    <row r="975" spans="2:19" x14ac:dyDescent="0.3">
      <c r="B975" t="s">
        <v>4348</v>
      </c>
      <c r="C975" s="11" t="s">
        <v>172</v>
      </c>
      <c r="D975">
        <v>1</v>
      </c>
      <c r="E975" t="s">
        <v>160</v>
      </c>
      <c r="F975" s="92" t="s">
        <v>1057</v>
      </c>
      <c r="G975" s="90" t="str">
        <f>LEFT([1]modificado!$O$2, FIND(" ", [1]modificado!$O$2 &amp; " ") - 1)</f>
        <v>3M</v>
      </c>
      <c r="H975" s="47" t="str">
        <f>RIGHT([1]!Tabla2[[#This Row],[Marca y Modelo]], LEN([1]!Tabla2[[#This Row],[Marca y Modelo]]) - FIND(" ", [1]!Tabla2[[#This Row],[Marca y Modelo]]))</f>
        <v>Musitani</v>
      </c>
      <c r="I975" s="76"/>
      <c r="J975" s="76"/>
      <c r="K975" s="92" t="s">
        <v>4262</v>
      </c>
      <c r="L975" s="92" t="s">
        <v>3586</v>
      </c>
      <c r="M975" s="92" t="s">
        <v>1405</v>
      </c>
      <c r="N975" s="92" t="s">
        <v>2387</v>
      </c>
      <c r="O975" s="77"/>
      <c r="P975" s="92" t="s">
        <v>2536</v>
      </c>
      <c r="Q975" s="32"/>
      <c r="R975" s="48" t="s">
        <v>216</v>
      </c>
      <c r="S975" s="32"/>
    </row>
    <row r="976" spans="2:19" x14ac:dyDescent="0.3">
      <c r="B976" t="s">
        <v>4348</v>
      </c>
      <c r="C976" s="11" t="s">
        <v>172</v>
      </c>
      <c r="D976">
        <v>1</v>
      </c>
      <c r="E976" t="s">
        <v>160</v>
      </c>
      <c r="F976" s="91" t="s">
        <v>1057</v>
      </c>
      <c r="G976" s="90" t="str">
        <f>LEFT([1]modificado!$O$2, FIND(" ", [1]modificado!$O$2 &amp; " ") - 1)</f>
        <v>3M</v>
      </c>
      <c r="H976" s="47" t="str">
        <f>RIGHT([1]!Tabla2[[#This Row],[Marca y Modelo]], LEN([1]!Tabla2[[#This Row],[Marca y Modelo]]) - FIND(" ", [1]!Tabla2[[#This Row],[Marca y Modelo]]))</f>
        <v>1910</v>
      </c>
      <c r="I976" s="76"/>
      <c r="J976" s="76"/>
      <c r="K976" s="91" t="s">
        <v>4262</v>
      </c>
      <c r="L976" s="91" t="s">
        <v>3587</v>
      </c>
      <c r="M976" s="91" t="s">
        <v>1405</v>
      </c>
      <c r="N976" s="91" t="s">
        <v>2388</v>
      </c>
      <c r="O976" s="77"/>
      <c r="P976" s="91" t="s">
        <v>2536</v>
      </c>
      <c r="Q976" s="32"/>
      <c r="R976" s="48" t="s">
        <v>216</v>
      </c>
      <c r="S976" s="32"/>
    </row>
    <row r="977" spans="2:19" x14ac:dyDescent="0.3">
      <c r="B977" t="str">
        <f>LEFT(Tabla3890134177220392[[#This Row],[Descripción del equipo]], FIND(" ", Tabla3890134177220392[[#This Row],[Descripción del equipo]] &amp; " ") - 1)</f>
        <v>Arnes</v>
      </c>
      <c r="C977" s="11" t="s">
        <v>172</v>
      </c>
      <c r="D977">
        <v>1</v>
      </c>
      <c r="E977" t="s">
        <v>160</v>
      </c>
      <c r="F977" s="92" t="s">
        <v>1056</v>
      </c>
      <c r="G977" s="90" t="str">
        <f>LEFT([1]modificado!$O$2, FIND(" ", [1]modificado!$O$2 &amp; " ") - 1)</f>
        <v>3M</v>
      </c>
      <c r="H977" s="47" t="str">
        <f>RIGHT([1]!Tabla2[[#This Row],[Marca y Modelo]], LEN([1]!Tabla2[[#This Row],[Marca y Modelo]]) - FIND(" ", [1]!Tabla2[[#This Row],[Marca y Modelo]]))</f>
        <v>10911F-LOGO</v>
      </c>
      <c r="I977" s="76"/>
      <c r="J977" s="76"/>
      <c r="K977" s="92" t="s">
        <v>4263</v>
      </c>
      <c r="L977" s="92" t="s">
        <v>3588</v>
      </c>
      <c r="M977" s="92" t="s">
        <v>1404</v>
      </c>
      <c r="N977" s="92" t="s">
        <v>2389</v>
      </c>
      <c r="O977" s="77"/>
      <c r="P977" s="92" t="s">
        <v>2536</v>
      </c>
      <c r="Q977" s="32"/>
      <c r="R977" s="48" t="s">
        <v>216</v>
      </c>
      <c r="S977" s="32"/>
    </row>
    <row r="978" spans="2:19" x14ac:dyDescent="0.3">
      <c r="B978" t="s">
        <v>4348</v>
      </c>
      <c r="C978" s="11" t="s">
        <v>172</v>
      </c>
      <c r="D978">
        <v>1</v>
      </c>
      <c r="E978" t="s">
        <v>160</v>
      </c>
      <c r="F978" s="91" t="s">
        <v>1060</v>
      </c>
      <c r="G978" s="90" t="str">
        <f>LEFT([1]modificado!$O$2, FIND(" ", [1]modificado!$O$2 &amp; " ") - 1)</f>
        <v>3M</v>
      </c>
      <c r="H978" s="47" t="str">
        <f>RIGHT([1]!Tabla2[[#This Row],[Marca y Modelo]], LEN([1]!Tabla2[[#This Row],[Marca y Modelo]]) - FIND(" ", [1]!Tabla2[[#This Row],[Marca y Modelo]]))</f>
        <v>209550-4-0241</v>
      </c>
      <c r="I978" s="76"/>
      <c r="J978" s="76"/>
      <c r="K978" s="91" t="s">
        <v>4264</v>
      </c>
      <c r="L978" s="91" t="s">
        <v>3589</v>
      </c>
      <c r="M978" s="91" t="s">
        <v>1404</v>
      </c>
      <c r="N978" s="91" t="s">
        <v>2390</v>
      </c>
      <c r="O978" s="77"/>
      <c r="P978" s="91" t="s">
        <v>2536</v>
      </c>
      <c r="Q978" s="32"/>
      <c r="R978" s="48" t="s">
        <v>216</v>
      </c>
      <c r="S978" s="32"/>
    </row>
    <row r="979" spans="2:19" x14ac:dyDescent="0.3">
      <c r="B979" t="str">
        <f>LEFT(Tabla3890134177220392[[#This Row],[Descripción del equipo]], FIND(" ", Tabla3890134177220392[[#This Row],[Descripción del equipo]] &amp; " ") - 1)</f>
        <v>Arnes</v>
      </c>
      <c r="C979" s="11" t="s">
        <v>172</v>
      </c>
      <c r="D979">
        <v>1</v>
      </c>
      <c r="E979" t="s">
        <v>160</v>
      </c>
      <c r="F979" s="92" t="s">
        <v>1056</v>
      </c>
      <c r="G979" s="90" t="str">
        <f>LEFT([1]modificado!$O$2, FIND(" ", [1]modificado!$O$2 &amp; " ") - 1)</f>
        <v>3M</v>
      </c>
      <c r="H979" s="47" t="str">
        <f>RIGHT([1]!Tabla2[[#This Row],[Marca y Modelo]], LEN([1]!Tabla2[[#This Row],[Marca y Modelo]]) - FIND(" ", [1]!Tabla2[[#This Row],[Marca y Modelo]]))</f>
        <v>10911</v>
      </c>
      <c r="I979" s="76"/>
      <c r="J979" s="76"/>
      <c r="K979" s="92" t="s">
        <v>4263</v>
      </c>
      <c r="L979" s="92" t="s">
        <v>3590</v>
      </c>
      <c r="M979" s="92" t="s">
        <v>1404</v>
      </c>
      <c r="N979" s="92" t="s">
        <v>2391</v>
      </c>
      <c r="O979" s="77"/>
      <c r="P979" s="92" t="s">
        <v>2536</v>
      </c>
      <c r="Q979" s="32"/>
      <c r="R979" s="48" t="s">
        <v>216</v>
      </c>
      <c r="S979" s="32"/>
    </row>
    <row r="980" spans="2:19" x14ac:dyDescent="0.3">
      <c r="B980" t="s">
        <v>4348</v>
      </c>
      <c r="C980" s="11" t="s">
        <v>172</v>
      </c>
      <c r="D980">
        <v>1</v>
      </c>
      <c r="E980" t="s">
        <v>160</v>
      </c>
      <c r="F980" s="91" t="s">
        <v>1060</v>
      </c>
      <c r="G980" s="90" t="str">
        <f>LEFT([1]modificado!$O$2, FIND(" ", [1]modificado!$O$2 &amp; " ") - 1)</f>
        <v>3M</v>
      </c>
      <c r="H980" s="47" t="str">
        <f>RIGHT([1]!Tabla2[[#This Row],[Marca y Modelo]], LEN([1]!Tabla2[[#This Row],[Marca y Modelo]]) - FIND(" ", [1]!Tabla2[[#This Row],[Marca y Modelo]]))</f>
        <v>209550-4-0241</v>
      </c>
      <c r="I980" s="76"/>
      <c r="J980" s="76"/>
      <c r="K980" s="91" t="s">
        <v>4264</v>
      </c>
      <c r="L980" s="91" t="s">
        <v>3591</v>
      </c>
      <c r="M980" s="91" t="s">
        <v>1404</v>
      </c>
      <c r="N980" s="91" t="s">
        <v>2392</v>
      </c>
      <c r="O980" s="77"/>
      <c r="P980" s="91" t="s">
        <v>2536</v>
      </c>
      <c r="Q980" s="32"/>
      <c r="R980" s="48" t="s">
        <v>216</v>
      </c>
      <c r="S980" s="32"/>
    </row>
    <row r="981" spans="2:19" x14ac:dyDescent="0.3">
      <c r="B981" t="str">
        <f>LEFT(Tabla3890134177220392[[#This Row],[Descripción del equipo]], FIND(" ", Tabla3890134177220392[[#This Row],[Descripción del equipo]] &amp; " ") - 1)</f>
        <v>Arnes</v>
      </c>
      <c r="C981" s="11" t="s">
        <v>172</v>
      </c>
      <c r="D981">
        <v>1</v>
      </c>
      <c r="E981" t="s">
        <v>160</v>
      </c>
      <c r="F981" s="92" t="s">
        <v>1056</v>
      </c>
      <c r="G981" s="90" t="str">
        <f>LEFT([1]modificado!$O$2, FIND(" ", [1]modificado!$O$2 &amp; " ") - 1)</f>
        <v>3M</v>
      </c>
      <c r="H981" s="47" t="str">
        <f>RIGHT([1]!Tabla2[[#This Row],[Marca y Modelo]], LEN([1]!Tabla2[[#This Row],[Marca y Modelo]]) - FIND(" ", [1]!Tabla2[[#This Row],[Marca y Modelo]]))</f>
        <v>10911F-LOGO</v>
      </c>
      <c r="I981" s="76"/>
      <c r="J981" s="76"/>
      <c r="K981" s="92" t="s">
        <v>4263</v>
      </c>
      <c r="L981" s="92" t="s">
        <v>3592</v>
      </c>
      <c r="M981" s="92" t="s">
        <v>1404</v>
      </c>
      <c r="N981" s="92" t="s">
        <v>2393</v>
      </c>
      <c r="O981" s="77"/>
      <c r="P981" s="92" t="s">
        <v>2536</v>
      </c>
      <c r="Q981" s="32"/>
      <c r="R981" s="48" t="s">
        <v>216</v>
      </c>
      <c r="S981" s="32"/>
    </row>
    <row r="982" spans="2:19" x14ac:dyDescent="0.3">
      <c r="B982" t="s">
        <v>4348</v>
      </c>
      <c r="C982" s="11" t="s">
        <v>172</v>
      </c>
      <c r="D982">
        <v>1</v>
      </c>
      <c r="E982" t="s">
        <v>160</v>
      </c>
      <c r="F982" s="91" t="s">
        <v>1060</v>
      </c>
      <c r="G982" s="90" t="str">
        <f>LEFT([1]modificado!$O$2, FIND(" ", [1]modificado!$O$2 &amp; " ") - 1)</f>
        <v>3M</v>
      </c>
      <c r="H982" s="47" t="str">
        <f>RIGHT([1]!Tabla2[[#This Row],[Marca y Modelo]], LEN([1]!Tabla2[[#This Row],[Marca y Modelo]]) - FIND(" ", [1]!Tabla2[[#This Row],[Marca y Modelo]]))</f>
        <v>209550-4-0241</v>
      </c>
      <c r="I982" s="76"/>
      <c r="J982" s="76"/>
      <c r="K982" s="91" t="s">
        <v>4264</v>
      </c>
      <c r="L982" s="91" t="s">
        <v>3593</v>
      </c>
      <c r="M982" s="91" t="s">
        <v>1404</v>
      </c>
      <c r="N982" s="91" t="s">
        <v>2394</v>
      </c>
      <c r="O982" s="77"/>
      <c r="P982" s="91" t="s">
        <v>2536</v>
      </c>
      <c r="Q982" s="32"/>
      <c r="R982" s="48" t="s">
        <v>216</v>
      </c>
      <c r="S982" s="32"/>
    </row>
    <row r="983" spans="2:19" x14ac:dyDescent="0.3">
      <c r="B983" t="str">
        <f>LEFT(Tabla3890134177220392[[#This Row],[Descripción del equipo]], FIND(" ", Tabla3890134177220392[[#This Row],[Descripción del equipo]] &amp; " ") - 1)</f>
        <v>Arnes</v>
      </c>
      <c r="C983" s="11" t="s">
        <v>172</v>
      </c>
      <c r="D983">
        <v>1</v>
      </c>
      <c r="E983" t="s">
        <v>160</v>
      </c>
      <c r="F983" s="92" t="s">
        <v>1056</v>
      </c>
      <c r="G983" s="90" t="str">
        <f>LEFT([1]modificado!$O$2, FIND(" ", [1]modificado!$O$2 &amp; " ") - 1)</f>
        <v>3M</v>
      </c>
      <c r="H983" s="47" t="str">
        <f>RIGHT([1]!Tabla2[[#This Row],[Marca y Modelo]], LEN([1]!Tabla2[[#This Row],[Marca y Modelo]]) - FIND(" ", [1]!Tabla2[[#This Row],[Marca y Modelo]]))</f>
        <v>10911F-LOGO</v>
      </c>
      <c r="I983" s="76"/>
      <c r="J983" s="76"/>
      <c r="K983" s="92" t="s">
        <v>4263</v>
      </c>
      <c r="L983" s="92" t="s">
        <v>3594</v>
      </c>
      <c r="M983" s="92" t="s">
        <v>1404</v>
      </c>
      <c r="N983" s="92" t="s">
        <v>2395</v>
      </c>
      <c r="O983" s="77"/>
      <c r="P983" s="92" t="s">
        <v>2536</v>
      </c>
      <c r="Q983" s="32"/>
      <c r="R983" s="48" t="s">
        <v>216</v>
      </c>
      <c r="S983" s="32"/>
    </row>
    <row r="984" spans="2:19" x14ac:dyDescent="0.3">
      <c r="B984" t="str">
        <f>LEFT(Tabla3890134177220392[[#This Row],[Descripción del equipo]], FIND(" ", Tabla3890134177220392[[#This Row],[Descripción del equipo]] &amp; " ") - 1)</f>
        <v>Arnes</v>
      </c>
      <c r="C984" s="11" t="s">
        <v>172</v>
      </c>
      <c r="D984">
        <v>1</v>
      </c>
      <c r="E984" t="s">
        <v>160</v>
      </c>
      <c r="F984" s="91" t="s">
        <v>1056</v>
      </c>
      <c r="G984" s="90" t="str">
        <f>LEFT([1]modificado!$O$2, FIND(" ", [1]modificado!$O$2 &amp; " ") - 1)</f>
        <v>3M</v>
      </c>
      <c r="H984" s="47" t="str">
        <f>RIGHT([1]!Tabla2[[#This Row],[Marca y Modelo]], LEN([1]!Tabla2[[#This Row],[Marca y Modelo]]) - FIND(" ", [1]!Tabla2[[#This Row],[Marca y Modelo]]))</f>
        <v>18911F-LOGO</v>
      </c>
      <c r="I984" s="76"/>
      <c r="J984" s="76"/>
      <c r="K984" s="91" t="s">
        <v>4263</v>
      </c>
      <c r="L984" s="91" t="s">
        <v>3595</v>
      </c>
      <c r="M984" s="91" t="s">
        <v>1404</v>
      </c>
      <c r="N984" s="91" t="s">
        <v>2396</v>
      </c>
      <c r="O984" s="77"/>
      <c r="P984" s="91" t="s">
        <v>2536</v>
      </c>
      <c r="Q984" s="32"/>
      <c r="R984" s="48" t="s">
        <v>216</v>
      </c>
      <c r="S984" s="32"/>
    </row>
    <row r="985" spans="2:19" x14ac:dyDescent="0.3">
      <c r="B985" t="str">
        <f>LEFT(Tabla3890134177220392[[#This Row],[Descripción del equipo]], FIND(" ", Tabla3890134177220392[[#This Row],[Descripción del equipo]] &amp; " ") - 1)</f>
        <v>Arnes</v>
      </c>
      <c r="C985" s="11" t="s">
        <v>172</v>
      </c>
      <c r="D985">
        <v>1</v>
      </c>
      <c r="E985" t="s">
        <v>160</v>
      </c>
      <c r="F985" s="92" t="s">
        <v>1056</v>
      </c>
      <c r="G985" s="90" t="str">
        <f>LEFT([1]modificado!$O$2, FIND(" ", [1]modificado!$O$2 &amp; " ") - 1)</f>
        <v>3M</v>
      </c>
      <c r="H985" s="47" t="str">
        <f>RIGHT([1]!Tabla2[[#This Row],[Marca y Modelo]], LEN([1]!Tabla2[[#This Row],[Marca y Modelo]]) - FIND(" ", [1]!Tabla2[[#This Row],[Marca y Modelo]]))</f>
        <v>10911F-LOGO</v>
      </c>
      <c r="I985" s="76"/>
      <c r="J985" s="76"/>
      <c r="K985" s="92" t="s">
        <v>4263</v>
      </c>
      <c r="L985" s="92" t="s">
        <v>3596</v>
      </c>
      <c r="M985" s="92" t="s">
        <v>1404</v>
      </c>
      <c r="N985" s="92" t="s">
        <v>2397</v>
      </c>
      <c r="O985" s="77"/>
      <c r="P985" s="92" t="s">
        <v>2536</v>
      </c>
      <c r="Q985" s="32"/>
      <c r="R985" s="48" t="s">
        <v>216</v>
      </c>
      <c r="S985" s="32"/>
    </row>
    <row r="986" spans="2:19" x14ac:dyDescent="0.3">
      <c r="B986" t="str">
        <f>LEFT(Tabla3890134177220392[[#This Row],[Descripción del equipo]], FIND(" ", Tabla3890134177220392[[#This Row],[Descripción del equipo]] &amp; " ") - 1)</f>
        <v>Arnes</v>
      </c>
      <c r="C986" s="11" t="s">
        <v>172</v>
      </c>
      <c r="D986">
        <v>1</v>
      </c>
      <c r="E986" t="s">
        <v>160</v>
      </c>
      <c r="F986" s="91" t="s">
        <v>1056</v>
      </c>
      <c r="G986" s="90" t="str">
        <f>LEFT([1]modificado!$O$2, FIND(" ", [1]modificado!$O$2 &amp; " ") - 1)</f>
        <v>3M</v>
      </c>
      <c r="H986" s="47" t="str">
        <f>RIGHT([1]!Tabla2[[#This Row],[Marca y Modelo]], LEN([1]!Tabla2[[#This Row],[Marca y Modelo]]) - FIND(" ", [1]!Tabla2[[#This Row],[Marca y Modelo]]))</f>
        <v>10911</v>
      </c>
      <c r="I986" s="76"/>
      <c r="J986" s="76"/>
      <c r="K986" s="91" t="s">
        <v>4263</v>
      </c>
      <c r="L986" s="91" t="s">
        <v>3597</v>
      </c>
      <c r="M986" s="91" t="s">
        <v>1404</v>
      </c>
      <c r="N986" s="91" t="s">
        <v>2398</v>
      </c>
      <c r="O986" s="77"/>
      <c r="P986" s="91" t="s">
        <v>2536</v>
      </c>
      <c r="Q986" s="32"/>
      <c r="R986" s="48" t="s">
        <v>216</v>
      </c>
      <c r="S986" s="32"/>
    </row>
    <row r="987" spans="2:19" x14ac:dyDescent="0.3">
      <c r="B987" t="str">
        <f>LEFT(Tabla3890134177220392[[#This Row],[Descripción del equipo]], FIND(" ", Tabla3890134177220392[[#This Row],[Descripción del equipo]] &amp; " ") - 1)</f>
        <v>Arnes</v>
      </c>
      <c r="C987" s="11" t="s">
        <v>172</v>
      </c>
      <c r="D987">
        <v>1</v>
      </c>
      <c r="E987" t="s">
        <v>160</v>
      </c>
      <c r="F987" s="92" t="s">
        <v>1056</v>
      </c>
      <c r="G987" s="90" t="str">
        <f>LEFT([1]modificado!$O$2, FIND(" ", [1]modificado!$O$2 &amp; " ") - 1)</f>
        <v>3M</v>
      </c>
      <c r="H987" s="47" t="str">
        <f>RIGHT([1]!Tabla2[[#This Row],[Marca y Modelo]], LEN([1]!Tabla2[[#This Row],[Marca y Modelo]]) - FIND(" ", [1]!Tabla2[[#This Row],[Marca y Modelo]]))</f>
        <v>10911</v>
      </c>
      <c r="I987" s="76"/>
      <c r="J987" s="76"/>
      <c r="K987" s="92" t="s">
        <v>4263</v>
      </c>
      <c r="L987" s="92" t="s">
        <v>3598</v>
      </c>
      <c r="M987" s="92" t="s">
        <v>1404</v>
      </c>
      <c r="N987" s="92" t="s">
        <v>2399</v>
      </c>
      <c r="O987" s="77"/>
      <c r="P987" s="92" t="s">
        <v>2536</v>
      </c>
      <c r="Q987" s="32"/>
      <c r="R987" s="48" t="s">
        <v>216</v>
      </c>
      <c r="S987" s="32"/>
    </row>
    <row r="988" spans="2:19" x14ac:dyDescent="0.3">
      <c r="B988" t="str">
        <f>LEFT(Tabla3890134177220392[[#This Row],[Descripción del equipo]], FIND(" ", Tabla3890134177220392[[#This Row],[Descripción del equipo]] &amp; " ") - 1)</f>
        <v>Arnes</v>
      </c>
      <c r="C988" s="11" t="s">
        <v>172</v>
      </c>
      <c r="D988">
        <v>1</v>
      </c>
      <c r="E988" t="s">
        <v>160</v>
      </c>
      <c r="F988" s="91" t="s">
        <v>1056</v>
      </c>
      <c r="G988" s="90" t="str">
        <f>LEFT([1]modificado!$O$2, FIND(" ", [1]modificado!$O$2 &amp; " ") - 1)</f>
        <v>3M</v>
      </c>
      <c r="H988" s="47" t="str">
        <f>RIGHT([1]!Tabla2[[#This Row],[Marca y Modelo]], LEN([1]!Tabla2[[#This Row],[Marca y Modelo]]) - FIND(" ", [1]!Tabla2[[#This Row],[Marca y Modelo]]))</f>
        <v>10911</v>
      </c>
      <c r="I988" s="76"/>
      <c r="J988" s="76"/>
      <c r="K988" s="91" t="s">
        <v>4263</v>
      </c>
      <c r="L988" s="91" t="s">
        <v>3599</v>
      </c>
      <c r="M988" s="91" t="s">
        <v>1404</v>
      </c>
      <c r="N988" s="91" t="s">
        <v>2400</v>
      </c>
      <c r="O988" s="77"/>
      <c r="P988" s="91" t="s">
        <v>2536</v>
      </c>
      <c r="Q988" s="32"/>
      <c r="R988" s="48" t="s">
        <v>216</v>
      </c>
      <c r="S988" s="32"/>
    </row>
    <row r="989" spans="2:19" x14ac:dyDescent="0.3">
      <c r="B989" t="s">
        <v>4348</v>
      </c>
      <c r="C989" s="11" t="s">
        <v>172</v>
      </c>
      <c r="D989">
        <v>1</v>
      </c>
      <c r="E989" t="s">
        <v>160</v>
      </c>
      <c r="F989" s="92" t="s">
        <v>1060</v>
      </c>
      <c r="G989" s="90" t="str">
        <f>LEFT([1]modificado!$O$2, FIND(" ", [1]modificado!$O$2 &amp; " ") - 1)</f>
        <v>3M</v>
      </c>
      <c r="H989" s="47" t="str">
        <f>RIGHT([1]!Tabla2[[#This Row],[Marca y Modelo]], LEN([1]!Tabla2[[#This Row],[Marca y Modelo]]) - FIND(" ", [1]!Tabla2[[#This Row],[Marca y Modelo]]))</f>
        <v>209550-4-0241</v>
      </c>
      <c r="I989" s="76"/>
      <c r="J989" s="76"/>
      <c r="K989" s="92" t="s">
        <v>4264</v>
      </c>
      <c r="L989" s="92" t="s">
        <v>3600</v>
      </c>
      <c r="M989" s="92" t="s">
        <v>1404</v>
      </c>
      <c r="N989" s="92" t="s">
        <v>2401</v>
      </c>
      <c r="O989" s="77"/>
      <c r="P989" s="92" t="s">
        <v>2536</v>
      </c>
      <c r="Q989" s="32"/>
      <c r="R989" s="48" t="s">
        <v>216</v>
      </c>
      <c r="S989" s="32"/>
    </row>
    <row r="990" spans="2:19" x14ac:dyDescent="0.3">
      <c r="B990" t="str">
        <f>LEFT(Tabla3890134177220392[[#This Row],[Descripción del equipo]], FIND(" ", Tabla3890134177220392[[#This Row],[Descripción del equipo]] &amp; " ") - 1)</f>
        <v>Arnes</v>
      </c>
      <c r="C990" s="11" t="s">
        <v>172</v>
      </c>
      <c r="D990">
        <v>1</v>
      </c>
      <c r="E990" t="s">
        <v>160</v>
      </c>
      <c r="F990" s="91" t="s">
        <v>1056</v>
      </c>
      <c r="G990" s="90" t="str">
        <f>LEFT([1]modificado!$O$2, FIND(" ", [1]modificado!$O$2 &amp; " ") - 1)</f>
        <v>3M</v>
      </c>
      <c r="H990" s="47" t="str">
        <f>RIGHT([1]!Tabla2[[#This Row],[Marca y Modelo]], LEN([1]!Tabla2[[#This Row],[Marca y Modelo]]) - FIND(" ", [1]!Tabla2[[#This Row],[Marca y Modelo]]))</f>
        <v>10911F-LOGO</v>
      </c>
      <c r="I990" s="76"/>
      <c r="J990" s="76"/>
      <c r="K990" s="91" t="s">
        <v>4263</v>
      </c>
      <c r="L990" s="91" t="s">
        <v>3601</v>
      </c>
      <c r="M990" s="91" t="s">
        <v>1404</v>
      </c>
      <c r="N990" s="91" t="s">
        <v>2402</v>
      </c>
      <c r="O990" s="77"/>
      <c r="P990" s="91" t="s">
        <v>2536</v>
      </c>
      <c r="Q990" s="32"/>
      <c r="R990" s="48" t="s">
        <v>216</v>
      </c>
      <c r="S990" s="32"/>
    </row>
    <row r="991" spans="2:19" x14ac:dyDescent="0.3">
      <c r="B991" t="s">
        <v>4348</v>
      </c>
      <c r="C991" s="11" t="s">
        <v>172</v>
      </c>
      <c r="D991">
        <v>1</v>
      </c>
      <c r="E991" t="s">
        <v>160</v>
      </c>
      <c r="F991" s="92" t="s">
        <v>1060</v>
      </c>
      <c r="G991" s="90" t="str">
        <f>LEFT([1]modificado!$O$2, FIND(" ", [1]modificado!$O$2 &amp; " ") - 1)</f>
        <v>3M</v>
      </c>
      <c r="H991" s="47" t="str">
        <f>RIGHT([1]!Tabla2[[#This Row],[Marca y Modelo]], LEN([1]!Tabla2[[#This Row],[Marca y Modelo]]) - FIND(" ", [1]!Tabla2[[#This Row],[Marca y Modelo]]))</f>
        <v>209550-4-0241</v>
      </c>
      <c r="I991" s="76"/>
      <c r="J991" s="76"/>
      <c r="K991" s="92" t="s">
        <v>4264</v>
      </c>
      <c r="L991" s="92" t="s">
        <v>3602</v>
      </c>
      <c r="M991" s="92" t="s">
        <v>1404</v>
      </c>
      <c r="N991" s="92" t="s">
        <v>2392</v>
      </c>
      <c r="O991" s="77"/>
      <c r="P991" s="92" t="s">
        <v>2536</v>
      </c>
      <c r="Q991" s="32"/>
      <c r="R991" s="48" t="s">
        <v>216</v>
      </c>
      <c r="S991" s="32"/>
    </row>
    <row r="992" spans="2:19" x14ac:dyDescent="0.3">
      <c r="B992" t="str">
        <f>LEFT(Tabla3890134177220392[[#This Row],[Descripción del equipo]], FIND(" ", Tabla3890134177220392[[#This Row],[Descripción del equipo]] &amp; " ") - 1)</f>
        <v>Arnes</v>
      </c>
      <c r="C992" s="11" t="s">
        <v>172</v>
      </c>
      <c r="D992">
        <v>1</v>
      </c>
      <c r="E992" t="s">
        <v>160</v>
      </c>
      <c r="F992" s="91" t="s">
        <v>1056</v>
      </c>
      <c r="G992" s="90" t="str">
        <f>LEFT([1]modificado!$O$2, FIND(" ", [1]modificado!$O$2 &amp; " ") - 1)</f>
        <v>3M</v>
      </c>
      <c r="H992" s="47" t="str">
        <f>RIGHT([1]!Tabla2[[#This Row],[Marca y Modelo]], LEN([1]!Tabla2[[#This Row],[Marca y Modelo]]) - FIND(" ", [1]!Tabla2[[#This Row],[Marca y Modelo]]))</f>
        <v>10911F-LOGO</v>
      </c>
      <c r="I992" s="76"/>
      <c r="J992" s="76"/>
      <c r="K992" s="91" t="s">
        <v>4263</v>
      </c>
      <c r="L992" s="91" t="s">
        <v>3603</v>
      </c>
      <c r="M992" s="91" t="s">
        <v>1404</v>
      </c>
      <c r="N992" s="91" t="s">
        <v>2403</v>
      </c>
      <c r="O992" s="77"/>
      <c r="P992" s="91" t="s">
        <v>2536</v>
      </c>
      <c r="Q992" s="32"/>
      <c r="R992" s="48" t="s">
        <v>216</v>
      </c>
      <c r="S992" s="32"/>
    </row>
    <row r="993" spans="2:19" x14ac:dyDescent="0.3">
      <c r="B993" t="s">
        <v>4348</v>
      </c>
      <c r="C993" s="11" t="s">
        <v>172</v>
      </c>
      <c r="D993">
        <v>1</v>
      </c>
      <c r="E993" t="s">
        <v>160</v>
      </c>
      <c r="F993" s="92" t="s">
        <v>1060</v>
      </c>
      <c r="G993" s="90" t="str">
        <f>LEFT([1]modificado!$O$2, FIND(" ", [1]modificado!$O$2 &amp; " ") - 1)</f>
        <v>3M</v>
      </c>
      <c r="H993" s="47" t="str">
        <f>RIGHT([1]!Tabla2[[#This Row],[Marca y Modelo]], LEN([1]!Tabla2[[#This Row],[Marca y Modelo]]) - FIND(" ", [1]!Tabla2[[#This Row],[Marca y Modelo]]))</f>
        <v>209550-4-0241</v>
      </c>
      <c r="I993" s="76"/>
      <c r="J993" s="76"/>
      <c r="K993" s="92" t="s">
        <v>4264</v>
      </c>
      <c r="L993" s="92" t="s">
        <v>3604</v>
      </c>
      <c r="M993" s="92" t="s">
        <v>1404</v>
      </c>
      <c r="N993" s="92" t="s">
        <v>2404</v>
      </c>
      <c r="O993" s="77"/>
      <c r="P993" s="92" t="s">
        <v>2536</v>
      </c>
      <c r="Q993" s="32"/>
      <c r="R993" s="48" t="s">
        <v>216</v>
      </c>
      <c r="S993" s="32"/>
    </row>
    <row r="994" spans="2:19" x14ac:dyDescent="0.3">
      <c r="B994" t="s">
        <v>4348</v>
      </c>
      <c r="C994" s="11" t="s">
        <v>172</v>
      </c>
      <c r="D994">
        <v>1</v>
      </c>
      <c r="E994" t="s">
        <v>160</v>
      </c>
      <c r="F994" s="91" t="s">
        <v>1074</v>
      </c>
      <c r="G994" s="90" t="str">
        <f>LEFT([1]modificado!$O$2, FIND(" ", [1]modificado!$O$2 &amp; " ") - 1)</f>
        <v>3M</v>
      </c>
      <c r="H994" s="47" t="str">
        <f>RIGHT([1]!Tabla2[[#This Row],[Marca y Modelo]], LEN([1]!Tabla2[[#This Row],[Marca y Modelo]]) - FIND(" ", [1]!Tabla2[[#This Row],[Marca y Modelo]]))</f>
        <v>20226</v>
      </c>
      <c r="I994" s="76"/>
      <c r="J994" s="76"/>
      <c r="K994" s="91" t="s">
        <v>4264</v>
      </c>
      <c r="L994" s="91" t="s">
        <v>3605</v>
      </c>
      <c r="M994" s="91" t="s">
        <v>1406</v>
      </c>
      <c r="N994" s="91" t="s">
        <v>2405</v>
      </c>
      <c r="O994" s="77"/>
      <c r="P994" s="91" t="s">
        <v>2536</v>
      </c>
      <c r="Q994" s="32"/>
      <c r="R994" s="48" t="s">
        <v>216</v>
      </c>
      <c r="S994" s="32"/>
    </row>
    <row r="995" spans="2:19" x14ac:dyDescent="0.3">
      <c r="B995" t="s">
        <v>4348</v>
      </c>
      <c r="C995" s="11" t="s">
        <v>172</v>
      </c>
      <c r="D995">
        <v>1</v>
      </c>
      <c r="E995" t="s">
        <v>160</v>
      </c>
      <c r="F995" s="92" t="s">
        <v>1074</v>
      </c>
      <c r="G995" s="90" t="str">
        <f>LEFT([1]modificado!$O$2, FIND(" ", [1]modificado!$O$2 &amp; " ") - 1)</f>
        <v>3M</v>
      </c>
      <c r="H995" s="47" t="str">
        <f>RIGHT([1]!Tabla2[[#This Row],[Marca y Modelo]], LEN([1]!Tabla2[[#This Row],[Marca y Modelo]]) - FIND(" ", [1]!Tabla2[[#This Row],[Marca y Modelo]]))</f>
        <v>20226</v>
      </c>
      <c r="I995" s="76"/>
      <c r="J995" s="76"/>
      <c r="K995" s="92" t="s">
        <v>4264</v>
      </c>
      <c r="L995" s="92" t="s">
        <v>3606</v>
      </c>
      <c r="M995" s="92" t="s">
        <v>1406</v>
      </c>
      <c r="N995" s="92" t="s">
        <v>2406</v>
      </c>
      <c r="O995" s="77"/>
      <c r="P995" s="92" t="s">
        <v>2536</v>
      </c>
      <c r="Q995" s="32"/>
      <c r="R995" s="48" t="s">
        <v>216</v>
      </c>
      <c r="S995" s="32"/>
    </row>
    <row r="996" spans="2:19" x14ac:dyDescent="0.3">
      <c r="B996" t="s">
        <v>4348</v>
      </c>
      <c r="C996" s="11" t="s">
        <v>172</v>
      </c>
      <c r="D996">
        <v>1</v>
      </c>
      <c r="E996" t="s">
        <v>160</v>
      </c>
      <c r="F996" s="91" t="s">
        <v>1074</v>
      </c>
      <c r="G996" s="90" t="str">
        <f>LEFT([1]modificado!$O$2, FIND(" ", [1]modificado!$O$2 &amp; " ") - 1)</f>
        <v>3M</v>
      </c>
      <c r="H996" s="47" t="str">
        <f>RIGHT([1]!Tabla2[[#This Row],[Marca y Modelo]], LEN([1]!Tabla2[[#This Row],[Marca y Modelo]]) - FIND(" ", [1]!Tabla2[[#This Row],[Marca y Modelo]]))</f>
        <v>20226</v>
      </c>
      <c r="I996" s="76"/>
      <c r="J996" s="76"/>
      <c r="K996" s="91" t="s">
        <v>4264</v>
      </c>
      <c r="L996" s="91" t="s">
        <v>3607</v>
      </c>
      <c r="M996" s="91" t="s">
        <v>1406</v>
      </c>
      <c r="N996" s="91" t="s">
        <v>2407</v>
      </c>
      <c r="O996" s="77"/>
      <c r="P996" s="91" t="s">
        <v>2536</v>
      </c>
      <c r="Q996" s="32"/>
      <c r="R996" s="48" t="s">
        <v>216</v>
      </c>
      <c r="S996" s="32"/>
    </row>
    <row r="997" spans="2:19" x14ac:dyDescent="0.3">
      <c r="B997" t="str">
        <f>LEFT(Tabla3890134177220392[[#This Row],[Descripción del equipo]], FIND(" ", Tabla3890134177220392[[#This Row],[Descripción del equipo]] &amp; " ") - 1)</f>
        <v>Arnes</v>
      </c>
      <c r="C997" s="11" t="s">
        <v>172</v>
      </c>
      <c r="D997">
        <v>1</v>
      </c>
      <c r="E997" t="s">
        <v>160</v>
      </c>
      <c r="F997" s="92" t="s">
        <v>1062</v>
      </c>
      <c r="G997" s="90" t="str">
        <f>LEFT([1]modificado!$O$2, FIND(" ", [1]modificado!$O$2 &amp; " ") - 1)</f>
        <v>3M</v>
      </c>
      <c r="H997" s="47" t="str">
        <f>RIGHT([1]!Tabla2[[#This Row],[Marca y Modelo]], LEN([1]!Tabla2[[#This Row],[Marca y Modelo]]) - FIND(" ", [1]!Tabla2[[#This Row],[Marca y Modelo]]))</f>
        <v>10955-LOGO</v>
      </c>
      <c r="I997" s="76"/>
      <c r="J997" s="76"/>
      <c r="K997" s="92" t="s">
        <v>4263</v>
      </c>
      <c r="L997" s="92" t="s">
        <v>3608</v>
      </c>
      <c r="M997" s="92" t="s">
        <v>1404</v>
      </c>
      <c r="N997" s="92" t="s">
        <v>2408</v>
      </c>
      <c r="O997" s="77"/>
      <c r="P997" s="92" t="s">
        <v>2536</v>
      </c>
      <c r="Q997" s="32"/>
      <c r="R997" s="48" t="s">
        <v>216</v>
      </c>
      <c r="S997" s="32"/>
    </row>
    <row r="998" spans="2:19" x14ac:dyDescent="0.3">
      <c r="B998" t="str">
        <f>LEFT(Tabla3890134177220392[[#This Row],[Descripción del equipo]], FIND(" ", Tabla3890134177220392[[#This Row],[Descripción del equipo]] &amp; " ") - 1)</f>
        <v>Arnes</v>
      </c>
      <c r="C998" s="11" t="s">
        <v>172</v>
      </c>
      <c r="D998">
        <v>1</v>
      </c>
      <c r="E998" t="s">
        <v>160</v>
      </c>
      <c r="F998" s="91" t="s">
        <v>1062</v>
      </c>
      <c r="G998" s="90" t="str">
        <f>LEFT([1]modificado!$O$2, FIND(" ", [1]modificado!$O$2 &amp; " ") - 1)</f>
        <v>3M</v>
      </c>
      <c r="H998" s="47" t="str">
        <f>RIGHT([1]!Tabla2[[#This Row],[Marca y Modelo]], LEN([1]!Tabla2[[#This Row],[Marca y Modelo]]) - FIND(" ", [1]!Tabla2[[#This Row],[Marca y Modelo]]))</f>
        <v>10955-LOGO</v>
      </c>
      <c r="I998" s="76"/>
      <c r="J998" s="76"/>
      <c r="K998" s="91" t="s">
        <v>4263</v>
      </c>
      <c r="L998" s="91" t="s">
        <v>3609</v>
      </c>
      <c r="M998" s="91" t="s">
        <v>1404</v>
      </c>
      <c r="N998" s="91" t="s">
        <v>2409</v>
      </c>
      <c r="O998" s="77"/>
      <c r="P998" s="91" t="s">
        <v>2536</v>
      </c>
      <c r="Q998" s="32"/>
      <c r="R998" s="48" t="s">
        <v>216</v>
      </c>
      <c r="S998" s="32"/>
    </row>
    <row r="999" spans="2:19" x14ac:dyDescent="0.3">
      <c r="B999" t="str">
        <f>LEFT(Tabla3890134177220392[[#This Row],[Descripción del equipo]], FIND(" ", Tabla3890134177220392[[#This Row],[Descripción del equipo]] &amp; " ") - 1)</f>
        <v>Arnes</v>
      </c>
      <c r="C999" s="11" t="s">
        <v>172</v>
      </c>
      <c r="D999">
        <v>1</v>
      </c>
      <c r="E999" t="s">
        <v>160</v>
      </c>
      <c r="F999" s="92" t="s">
        <v>1062</v>
      </c>
      <c r="G999" s="90" t="str">
        <f>LEFT([1]modificado!$O$2, FIND(" ", [1]modificado!$O$2 &amp; " ") - 1)</f>
        <v>3M</v>
      </c>
      <c r="H999" s="47" t="str">
        <f>RIGHT([1]!Tabla2[[#This Row],[Marca y Modelo]], LEN([1]!Tabla2[[#This Row],[Marca y Modelo]]) - FIND(" ", [1]!Tabla2[[#This Row],[Marca y Modelo]]))</f>
        <v>10955-LOGO</v>
      </c>
      <c r="I999" s="76"/>
      <c r="J999" s="76"/>
      <c r="K999" s="92" t="s">
        <v>4263</v>
      </c>
      <c r="L999" s="92" t="s">
        <v>3610</v>
      </c>
      <c r="M999" s="92" t="s">
        <v>1404</v>
      </c>
      <c r="N999" s="92" t="s">
        <v>2410</v>
      </c>
      <c r="O999" s="77"/>
      <c r="P999" s="92" t="s">
        <v>2536</v>
      </c>
      <c r="Q999" s="32"/>
      <c r="R999" s="48" t="s">
        <v>216</v>
      </c>
      <c r="S999" s="32"/>
    </row>
    <row r="1000" spans="2:19" x14ac:dyDescent="0.3">
      <c r="B1000" t="str">
        <f>LEFT(Tabla3890134177220392[[#This Row],[Descripción del equipo]], FIND(" ", Tabla3890134177220392[[#This Row],[Descripción del equipo]] &amp; " ") - 1)</f>
        <v>Arnes</v>
      </c>
      <c r="C1000" s="11" t="s">
        <v>172</v>
      </c>
      <c r="D1000">
        <v>1</v>
      </c>
      <c r="E1000" t="s">
        <v>160</v>
      </c>
      <c r="F1000" s="91" t="s">
        <v>1062</v>
      </c>
      <c r="G1000" s="90" t="str">
        <f>LEFT([1]modificado!$O$2, FIND(" ", [1]modificado!$O$2 &amp; " ") - 1)</f>
        <v>3M</v>
      </c>
      <c r="H1000" s="47" t="str">
        <f>RIGHT([1]!Tabla2[[#This Row],[Marca y Modelo]], LEN([1]!Tabla2[[#This Row],[Marca y Modelo]]) - FIND(" ", [1]!Tabla2[[#This Row],[Marca y Modelo]]))</f>
        <v>10955-LOGO</v>
      </c>
      <c r="I1000" s="76"/>
      <c r="J1000" s="76"/>
      <c r="K1000" s="91" t="s">
        <v>4263</v>
      </c>
      <c r="L1000" s="91" t="s">
        <v>3611</v>
      </c>
      <c r="M1000" s="91" t="s">
        <v>1404</v>
      </c>
      <c r="N1000" s="91" t="s">
        <v>2411</v>
      </c>
      <c r="O1000" s="77"/>
      <c r="P1000" s="91" t="s">
        <v>2536</v>
      </c>
      <c r="Q1000" s="32"/>
      <c r="R1000" s="48" t="s">
        <v>216</v>
      </c>
      <c r="S1000" s="32"/>
    </row>
    <row r="1001" spans="2:19" x14ac:dyDescent="0.3">
      <c r="B1001" t="str">
        <f>LEFT(Tabla3890134177220392[[#This Row],[Descripción del equipo]], FIND(" ", Tabla3890134177220392[[#This Row],[Descripción del equipo]] &amp; " ") - 1)</f>
        <v>Arnes</v>
      </c>
      <c r="C1001" s="11" t="s">
        <v>172</v>
      </c>
      <c r="D1001">
        <v>1</v>
      </c>
      <c r="E1001" t="s">
        <v>160</v>
      </c>
      <c r="F1001" s="92" t="s">
        <v>1056</v>
      </c>
      <c r="G1001" s="90" t="str">
        <f>LEFT([1]modificado!$O$2, FIND(" ", [1]modificado!$O$2 &amp; " ") - 1)</f>
        <v>3M</v>
      </c>
      <c r="H1001" s="47" t="str">
        <f>RIGHT([1]!Tabla2[[#This Row],[Marca y Modelo]], LEN([1]!Tabla2[[#This Row],[Marca y Modelo]]) - FIND(" ", [1]!Tabla2[[#This Row],[Marca y Modelo]]))</f>
        <v>10911F-LOGO</v>
      </c>
      <c r="I1001" s="76"/>
      <c r="J1001" s="76"/>
      <c r="K1001" s="92" t="s">
        <v>4265</v>
      </c>
      <c r="L1001" s="92" t="s">
        <v>3612</v>
      </c>
      <c r="M1001" s="92" t="s">
        <v>1404</v>
      </c>
      <c r="N1001" s="92" t="s">
        <v>2412</v>
      </c>
      <c r="O1001" s="77"/>
      <c r="P1001" s="92" t="s">
        <v>2536</v>
      </c>
      <c r="Q1001" s="32"/>
      <c r="R1001" s="48" t="s">
        <v>216</v>
      </c>
      <c r="S1001" s="32"/>
    </row>
    <row r="1002" spans="2:19" x14ac:dyDescent="0.3">
      <c r="B1002" t="s">
        <v>4348</v>
      </c>
      <c r="C1002" s="11" t="s">
        <v>172</v>
      </c>
      <c r="D1002">
        <v>1</v>
      </c>
      <c r="E1002" t="s">
        <v>160</v>
      </c>
      <c r="F1002" s="91" t="s">
        <v>1060</v>
      </c>
      <c r="G1002" s="90" t="str">
        <f>LEFT([1]modificado!$O$2, FIND(" ", [1]modificado!$O$2 &amp; " ") - 1)</f>
        <v>3M</v>
      </c>
      <c r="H1002" s="47" t="str">
        <f>RIGHT([1]!Tabla2[[#This Row],[Marca y Modelo]], LEN([1]!Tabla2[[#This Row],[Marca y Modelo]]) - FIND(" ", [1]!Tabla2[[#This Row],[Marca y Modelo]]))</f>
        <v>209550-4-0241</v>
      </c>
      <c r="I1002" s="76"/>
      <c r="J1002" s="76"/>
      <c r="K1002" s="91" t="s">
        <v>4266</v>
      </c>
      <c r="L1002" s="91" t="s">
        <v>3613</v>
      </c>
      <c r="M1002" s="91" t="s">
        <v>1404</v>
      </c>
      <c r="N1002" s="91" t="s">
        <v>2413</v>
      </c>
      <c r="O1002" s="77"/>
      <c r="P1002" s="91" t="s">
        <v>2536</v>
      </c>
      <c r="Q1002" s="32"/>
      <c r="R1002" s="48" t="s">
        <v>216</v>
      </c>
      <c r="S1002" s="32"/>
    </row>
    <row r="1003" spans="2:19" x14ac:dyDescent="0.3">
      <c r="B1003" t="str">
        <f>LEFT(Tabla3890134177220392[[#This Row],[Descripción del equipo]], FIND(" ", Tabla3890134177220392[[#This Row],[Descripción del equipo]] &amp; " ") - 1)</f>
        <v>Autoretractil</v>
      </c>
      <c r="C1003" s="11" t="s">
        <v>172</v>
      </c>
      <c r="D1003">
        <v>1</v>
      </c>
      <c r="E1003" t="s">
        <v>160</v>
      </c>
      <c r="F1003" s="92" t="s">
        <v>1058</v>
      </c>
      <c r="G1003" s="90" t="str">
        <f>LEFT([1]modificado!$O$2, FIND(" ", [1]modificado!$O$2 &amp; " ") - 1)</f>
        <v>3M</v>
      </c>
      <c r="H1003" s="47" t="s">
        <v>1402</v>
      </c>
      <c r="I1003" s="76"/>
      <c r="J1003" s="76"/>
      <c r="K1003" s="92" t="s">
        <v>4267</v>
      </c>
      <c r="L1003" s="92" t="s">
        <v>3614</v>
      </c>
      <c r="M1003" s="92" t="s">
        <v>1404</v>
      </c>
      <c r="N1003" s="92" t="s">
        <v>2414</v>
      </c>
      <c r="O1003" s="77"/>
      <c r="P1003" s="92" t="s">
        <v>2536</v>
      </c>
      <c r="Q1003" s="32"/>
      <c r="R1003" s="48" t="s">
        <v>216</v>
      </c>
      <c r="S1003" s="32"/>
    </row>
    <row r="1004" spans="2:19" x14ac:dyDescent="0.3">
      <c r="B1004" t="str">
        <f>LEFT(Tabla3890134177220392[[#This Row],[Descripción del equipo]], FIND(" ", Tabla3890134177220392[[#This Row],[Descripción del equipo]] &amp; " ") - 1)</f>
        <v>Arnes</v>
      </c>
      <c r="C1004" s="11" t="s">
        <v>172</v>
      </c>
      <c r="D1004">
        <v>1</v>
      </c>
      <c r="E1004" t="s">
        <v>160</v>
      </c>
      <c r="F1004" s="91" t="s">
        <v>1056</v>
      </c>
      <c r="G1004" s="90" t="str">
        <f>LEFT([1]modificado!$O$2, FIND(" ", [1]modificado!$O$2 &amp; " ") - 1)</f>
        <v>3M</v>
      </c>
      <c r="H1004" s="47" t="str">
        <f>RIGHT([1]!Tabla2[[#This Row],[Marca y Modelo]], LEN([1]!Tabla2[[#This Row],[Marca y Modelo]]) - FIND(" ", [1]!Tabla2[[#This Row],[Marca y Modelo]]))</f>
        <v>10911F-LOGO</v>
      </c>
      <c r="I1004" s="76"/>
      <c r="J1004" s="76"/>
      <c r="K1004" s="91" t="s">
        <v>4265</v>
      </c>
      <c r="L1004" s="91" t="s">
        <v>3615</v>
      </c>
      <c r="M1004" s="91" t="s">
        <v>1404</v>
      </c>
      <c r="N1004" s="91" t="s">
        <v>2415</v>
      </c>
      <c r="O1004" s="77"/>
      <c r="P1004" s="91" t="s">
        <v>2536</v>
      </c>
      <c r="Q1004" s="32"/>
      <c r="R1004" s="48" t="s">
        <v>216</v>
      </c>
      <c r="S1004" s="32"/>
    </row>
    <row r="1005" spans="2:19" x14ac:dyDescent="0.3">
      <c r="B1005" t="s">
        <v>4348</v>
      </c>
      <c r="C1005" s="11" t="s">
        <v>172</v>
      </c>
      <c r="D1005">
        <v>1</v>
      </c>
      <c r="E1005" t="s">
        <v>160</v>
      </c>
      <c r="F1005" s="92" t="s">
        <v>1060</v>
      </c>
      <c r="G1005" s="90" t="str">
        <f>LEFT([1]modificado!$O$2, FIND(" ", [1]modificado!$O$2 &amp; " ") - 1)</f>
        <v>3M</v>
      </c>
      <c r="H1005" s="47" t="str">
        <f>RIGHT([1]!Tabla2[[#This Row],[Marca y Modelo]], LEN([1]!Tabla2[[#This Row],[Marca y Modelo]]) - FIND(" ", [1]!Tabla2[[#This Row],[Marca y Modelo]]))</f>
        <v>209550-4-0241</v>
      </c>
      <c r="I1005" s="76"/>
      <c r="J1005" s="76"/>
      <c r="K1005" s="92" t="s">
        <v>4266</v>
      </c>
      <c r="L1005" s="92" t="s">
        <v>3616</v>
      </c>
      <c r="M1005" s="92" t="s">
        <v>1404</v>
      </c>
      <c r="N1005" s="92" t="s">
        <v>2416</v>
      </c>
      <c r="O1005" s="77"/>
      <c r="P1005" s="92" t="s">
        <v>2536</v>
      </c>
      <c r="Q1005" s="32"/>
      <c r="R1005" s="48" t="s">
        <v>216</v>
      </c>
      <c r="S1005" s="32"/>
    </row>
    <row r="1006" spans="2:19" x14ac:dyDescent="0.3">
      <c r="B1006" t="str">
        <f>LEFT(Tabla3890134177220392[[#This Row],[Descripción del equipo]], FIND(" ", Tabla3890134177220392[[#This Row],[Descripción del equipo]] &amp; " ") - 1)</f>
        <v>Autoretractil</v>
      </c>
      <c r="C1006" s="11" t="s">
        <v>172</v>
      </c>
      <c r="D1006">
        <v>1</v>
      </c>
      <c r="E1006" t="s">
        <v>160</v>
      </c>
      <c r="F1006" s="91" t="s">
        <v>1058</v>
      </c>
      <c r="G1006" s="90" t="str">
        <f>LEFT([1]modificado!$O$2, FIND(" ", [1]modificado!$O$2 &amp; " ") - 1)</f>
        <v>3M</v>
      </c>
      <c r="H1006" s="47"/>
      <c r="I1006" s="76"/>
      <c r="J1006" s="76"/>
      <c r="K1006" s="91" t="s">
        <v>4266</v>
      </c>
      <c r="L1006" s="91" t="s">
        <v>3617</v>
      </c>
      <c r="M1006" s="91" t="s">
        <v>1404</v>
      </c>
      <c r="N1006" s="91" t="s">
        <v>2417</v>
      </c>
      <c r="O1006" s="77"/>
      <c r="P1006" s="91" t="s">
        <v>2536</v>
      </c>
      <c r="Q1006" s="32"/>
      <c r="R1006" s="48" t="s">
        <v>216</v>
      </c>
      <c r="S1006" s="32"/>
    </row>
    <row r="1007" spans="2:19" x14ac:dyDescent="0.3">
      <c r="B1007" t="str">
        <f>LEFT(Tabla3890134177220392[[#This Row],[Descripción del equipo]], FIND(" ", Tabla3890134177220392[[#This Row],[Descripción del equipo]] &amp; " ") - 1)</f>
        <v>Autoretractil</v>
      </c>
      <c r="C1007" s="11" t="s">
        <v>172</v>
      </c>
      <c r="D1007">
        <v>1</v>
      </c>
      <c r="E1007" t="s">
        <v>160</v>
      </c>
      <c r="F1007" s="92" t="s">
        <v>1058</v>
      </c>
      <c r="G1007" s="90" t="str">
        <f>LEFT([1]modificado!$O$2, FIND(" ", [1]modificado!$O$2 &amp; " ") - 1)</f>
        <v>3M</v>
      </c>
      <c r="H1007" s="47" t="str">
        <f>RIGHT([1]!Tabla2[[#This Row],[Marca y Modelo]], LEN([1]!Tabla2[[#This Row],[Marca y Modelo]]) - FIND(" ", [1]!Tabla2[[#This Row],[Marca y Modelo]]))</f>
        <v>3101277</v>
      </c>
      <c r="I1007" s="76"/>
      <c r="J1007" s="76"/>
      <c r="K1007" s="92" t="s">
        <v>4267</v>
      </c>
      <c r="L1007" s="92" t="s">
        <v>3618</v>
      </c>
      <c r="M1007" s="92" t="s">
        <v>1404</v>
      </c>
      <c r="N1007" s="92" t="s">
        <v>2418</v>
      </c>
      <c r="O1007" s="77"/>
      <c r="P1007" s="92" t="s">
        <v>2536</v>
      </c>
      <c r="Q1007" s="32"/>
      <c r="R1007" s="48" t="s">
        <v>216</v>
      </c>
      <c r="S1007" s="32"/>
    </row>
    <row r="1008" spans="2:19" x14ac:dyDescent="0.3">
      <c r="B1008" t="str">
        <f>LEFT(Tabla3890134177220392[[#This Row],[Descripción del equipo]], FIND(" ", Tabla3890134177220392[[#This Row],[Descripción del equipo]] &amp; " ") - 1)</f>
        <v>Autoretractil</v>
      </c>
      <c r="C1008" s="11" t="s">
        <v>172</v>
      </c>
      <c r="D1008">
        <v>1</v>
      </c>
      <c r="E1008" t="s">
        <v>160</v>
      </c>
      <c r="F1008" s="91" t="s">
        <v>1058</v>
      </c>
      <c r="G1008" s="90" t="str">
        <f>LEFT([1]modificado!$O$2, FIND(" ", [1]modificado!$O$2 &amp; " ") - 1)</f>
        <v>3M</v>
      </c>
      <c r="H1008" s="47" t="str">
        <f>RIGHT([1]!Tabla2[[#This Row],[Marca y Modelo]], LEN([1]!Tabla2[[#This Row],[Marca y Modelo]]) - FIND(" ", [1]!Tabla2[[#This Row],[Marca y Modelo]]))</f>
        <v>3101277</v>
      </c>
      <c r="I1008" s="76"/>
      <c r="J1008" s="76"/>
      <c r="K1008" s="91" t="s">
        <v>4267</v>
      </c>
      <c r="L1008" s="91" t="s">
        <v>3619</v>
      </c>
      <c r="M1008" s="91" t="s">
        <v>1404</v>
      </c>
      <c r="N1008" s="91" t="s">
        <v>2419</v>
      </c>
      <c r="O1008" s="77"/>
      <c r="P1008" s="91" t="s">
        <v>2536</v>
      </c>
      <c r="Q1008" s="32"/>
      <c r="R1008" s="48" t="s">
        <v>216</v>
      </c>
      <c r="S1008" s="32"/>
    </row>
    <row r="1009" spans="2:19" x14ac:dyDescent="0.3">
      <c r="B1009" t="str">
        <f>LEFT(Tabla3890134177220392[[#This Row],[Descripción del equipo]], FIND(" ", Tabla3890134177220392[[#This Row],[Descripción del equipo]] &amp; " ") - 1)</f>
        <v>Arnes</v>
      </c>
      <c r="C1009" s="11" t="s">
        <v>172</v>
      </c>
      <c r="D1009">
        <v>1</v>
      </c>
      <c r="E1009" t="s">
        <v>160</v>
      </c>
      <c r="F1009" s="92" t="s">
        <v>1056</v>
      </c>
      <c r="G1009" s="90" t="str">
        <f>LEFT([1]modificado!$O$2, FIND(" ", [1]modificado!$O$2 &amp; " ") - 1)</f>
        <v>3M</v>
      </c>
      <c r="H1009" s="47" t="str">
        <f>RIGHT([1]!Tabla2[[#This Row],[Marca y Modelo]], LEN([1]!Tabla2[[#This Row],[Marca y Modelo]]) - FIND(" ", [1]!Tabla2[[#This Row],[Marca y Modelo]]))</f>
        <v>10911F-LOGO</v>
      </c>
      <c r="I1009" s="76"/>
      <c r="J1009" s="76"/>
      <c r="K1009" s="92" t="s">
        <v>4265</v>
      </c>
      <c r="L1009" s="92" t="s">
        <v>3620</v>
      </c>
      <c r="M1009" s="92" t="s">
        <v>1404</v>
      </c>
      <c r="N1009" s="92" t="s">
        <v>2420</v>
      </c>
      <c r="O1009" s="77"/>
      <c r="P1009" s="92" t="s">
        <v>2536</v>
      </c>
      <c r="Q1009" s="32"/>
      <c r="R1009" s="48" t="s">
        <v>216</v>
      </c>
      <c r="S1009" s="32"/>
    </row>
    <row r="1010" spans="2:19" x14ac:dyDescent="0.3">
      <c r="B1010" t="s">
        <v>4348</v>
      </c>
      <c r="C1010" s="11" t="s">
        <v>172</v>
      </c>
      <c r="D1010">
        <v>1</v>
      </c>
      <c r="E1010" t="s">
        <v>160</v>
      </c>
      <c r="F1010" s="91" t="s">
        <v>1060</v>
      </c>
      <c r="G1010" s="90" t="str">
        <f>LEFT([1]modificado!$O$2, FIND(" ", [1]modificado!$O$2 &amp; " ") - 1)</f>
        <v>3M</v>
      </c>
      <c r="H1010" s="47" t="str">
        <f>RIGHT([1]!Tabla2[[#This Row],[Marca y Modelo]], LEN([1]!Tabla2[[#This Row],[Marca y Modelo]]) - FIND(" ", [1]!Tabla2[[#This Row],[Marca y Modelo]]))</f>
        <v>209550-4-0241</v>
      </c>
      <c r="I1010" s="76"/>
      <c r="J1010" s="76"/>
      <c r="K1010" s="91" t="s">
        <v>4266</v>
      </c>
      <c r="L1010" s="91" t="s">
        <v>3621</v>
      </c>
      <c r="M1010" s="91" t="s">
        <v>1404</v>
      </c>
      <c r="N1010" s="91" t="s">
        <v>2421</v>
      </c>
      <c r="O1010" s="77"/>
      <c r="P1010" s="91" t="s">
        <v>2536</v>
      </c>
      <c r="Q1010" s="32"/>
      <c r="R1010" s="48" t="s">
        <v>216</v>
      </c>
      <c r="S1010" s="32"/>
    </row>
    <row r="1011" spans="2:19" x14ac:dyDescent="0.3">
      <c r="B1011" t="str">
        <f>LEFT(Tabla3890134177220392[[#This Row],[Descripción del equipo]], FIND(" ", Tabla3890134177220392[[#This Row],[Descripción del equipo]] &amp; " ") - 1)</f>
        <v>Autoretractil</v>
      </c>
      <c r="C1011" s="11" t="s">
        <v>172</v>
      </c>
      <c r="D1011">
        <v>1</v>
      </c>
      <c r="E1011" t="s">
        <v>160</v>
      </c>
      <c r="F1011" s="92" t="s">
        <v>1058</v>
      </c>
      <c r="G1011" s="90" t="str">
        <f>LEFT([1]modificado!$O$2, FIND(" ", [1]modificado!$O$2 &amp; " ") - 1)</f>
        <v>3M</v>
      </c>
      <c r="H1011" s="47" t="s">
        <v>1402</v>
      </c>
      <c r="I1011" s="76"/>
      <c r="J1011" s="76"/>
      <c r="K1011" s="92" t="s">
        <v>4267</v>
      </c>
      <c r="L1011" s="92" t="s">
        <v>3622</v>
      </c>
      <c r="M1011" s="92" t="s">
        <v>1404</v>
      </c>
      <c r="N1011" s="92" t="s">
        <v>2422</v>
      </c>
      <c r="O1011" s="77"/>
      <c r="P1011" s="92" t="s">
        <v>2536</v>
      </c>
      <c r="Q1011" s="32"/>
      <c r="R1011" s="48" t="s">
        <v>216</v>
      </c>
      <c r="S1011" s="32"/>
    </row>
    <row r="1012" spans="2:19" x14ac:dyDescent="0.3">
      <c r="B1012" t="str">
        <f>LEFT(Tabla3890134177220392[[#This Row],[Descripción del equipo]], FIND(" ", Tabla3890134177220392[[#This Row],[Descripción del equipo]] &amp; " ") - 1)</f>
        <v>Autoretractil</v>
      </c>
      <c r="C1012" s="11" t="s">
        <v>172</v>
      </c>
      <c r="D1012">
        <v>1</v>
      </c>
      <c r="E1012" t="s">
        <v>160</v>
      </c>
      <c r="F1012" s="91" t="s">
        <v>1058</v>
      </c>
      <c r="G1012" s="90" t="str">
        <f>LEFT([1]modificado!$O$2, FIND(" ", [1]modificado!$O$2 &amp; " ") - 1)</f>
        <v>3M</v>
      </c>
      <c r="H1012" s="47"/>
      <c r="I1012" s="76"/>
      <c r="J1012" s="76"/>
      <c r="K1012" s="91" t="s">
        <v>4267</v>
      </c>
      <c r="L1012" s="91" t="s">
        <v>3623</v>
      </c>
      <c r="M1012" s="91" t="s">
        <v>1404</v>
      </c>
      <c r="N1012" s="91" t="s">
        <v>2423</v>
      </c>
      <c r="O1012" s="77"/>
      <c r="P1012" s="91" t="s">
        <v>2536</v>
      </c>
      <c r="Q1012" s="32"/>
      <c r="R1012" s="48" t="s">
        <v>216</v>
      </c>
      <c r="S1012" s="32"/>
    </row>
    <row r="1013" spans="2:19" x14ac:dyDescent="0.3">
      <c r="B1013" t="str">
        <f>LEFT(Tabla3890134177220392[[#This Row],[Descripción del equipo]], FIND(" ", Tabla3890134177220392[[#This Row],[Descripción del equipo]] &amp; " ") - 1)</f>
        <v>Arnes</v>
      </c>
      <c r="C1013" s="11" t="s">
        <v>172</v>
      </c>
      <c r="D1013">
        <v>1</v>
      </c>
      <c r="E1013" t="s">
        <v>160</v>
      </c>
      <c r="F1013" s="92" t="s">
        <v>1056</v>
      </c>
      <c r="G1013" s="90" t="str">
        <f>LEFT([1]modificado!$O$2, FIND(" ", [1]modificado!$O$2 &amp; " ") - 1)</f>
        <v>3M</v>
      </c>
      <c r="H1013" s="47" t="str">
        <f>RIGHT([1]!Tabla2[[#This Row],[Marca y Modelo]], LEN([1]!Tabla2[[#This Row],[Marca y Modelo]]) - FIND(" ", [1]!Tabla2[[#This Row],[Marca y Modelo]]))</f>
        <v>10911</v>
      </c>
      <c r="I1013" s="76"/>
      <c r="J1013" s="76"/>
      <c r="K1013" s="92" t="s">
        <v>4265</v>
      </c>
      <c r="L1013" s="92" t="s">
        <v>3624</v>
      </c>
      <c r="M1013" s="92" t="s">
        <v>1404</v>
      </c>
      <c r="N1013" s="92" t="s">
        <v>2424</v>
      </c>
      <c r="O1013" s="77"/>
      <c r="P1013" s="92" t="s">
        <v>2536</v>
      </c>
      <c r="Q1013" s="32"/>
      <c r="R1013" s="48" t="s">
        <v>216</v>
      </c>
      <c r="S1013" s="32"/>
    </row>
    <row r="1014" spans="2:19" x14ac:dyDescent="0.3">
      <c r="B1014" t="str">
        <f>LEFT(Tabla3890134177220392[[#This Row],[Descripción del equipo]], FIND(" ", Tabla3890134177220392[[#This Row],[Descripción del equipo]] &amp; " ") - 1)</f>
        <v>Autoretractil</v>
      </c>
      <c r="C1014" s="11" t="s">
        <v>172</v>
      </c>
      <c r="D1014">
        <v>1</v>
      </c>
      <c r="E1014" t="s">
        <v>160</v>
      </c>
      <c r="F1014" s="91" t="s">
        <v>1058</v>
      </c>
      <c r="G1014" s="90" t="str">
        <f>LEFT([1]modificado!$O$2, FIND(" ", [1]modificado!$O$2 &amp; " ") - 1)</f>
        <v>3M</v>
      </c>
      <c r="H1014" s="47"/>
      <c r="I1014" s="76"/>
      <c r="J1014" s="76"/>
      <c r="K1014" s="91" t="s">
        <v>4267</v>
      </c>
      <c r="L1014" s="91" t="s">
        <v>3625</v>
      </c>
      <c r="M1014" s="91" t="s">
        <v>1404</v>
      </c>
      <c r="N1014" s="91" t="s">
        <v>2425</v>
      </c>
      <c r="O1014" s="77"/>
      <c r="P1014" s="91" t="s">
        <v>2536</v>
      </c>
      <c r="Q1014" s="32"/>
      <c r="R1014" s="48" t="s">
        <v>216</v>
      </c>
      <c r="S1014" s="32"/>
    </row>
    <row r="1015" spans="2:19" x14ac:dyDescent="0.3">
      <c r="B1015" t="str">
        <f>LEFT(Tabla3890134177220392[[#This Row],[Descripción del equipo]], FIND(" ", Tabla3890134177220392[[#This Row],[Descripción del equipo]] &amp; " ") - 1)</f>
        <v>Arnes</v>
      </c>
      <c r="C1015" s="11" t="s">
        <v>172</v>
      </c>
      <c r="D1015">
        <v>1</v>
      </c>
      <c r="E1015" t="s">
        <v>160</v>
      </c>
      <c r="F1015" s="92" t="s">
        <v>1056</v>
      </c>
      <c r="G1015" s="90" t="str">
        <f>LEFT([1]modificado!$O$2, FIND(" ", [1]modificado!$O$2 &amp; " ") - 1)</f>
        <v>3M</v>
      </c>
      <c r="H1015" s="47" t="str">
        <f>RIGHT([1]!Tabla2[[#This Row],[Marca y Modelo]], LEN([1]!Tabla2[[#This Row],[Marca y Modelo]]) - FIND(" ", [1]!Tabla2[[#This Row],[Marca y Modelo]]))</f>
        <v>10911F-LOGO</v>
      </c>
      <c r="I1015" s="76"/>
      <c r="J1015" s="76"/>
      <c r="K1015" s="92" t="s">
        <v>4265</v>
      </c>
      <c r="L1015" s="92" t="s">
        <v>3626</v>
      </c>
      <c r="M1015" s="92" t="s">
        <v>1404</v>
      </c>
      <c r="N1015" s="92" t="s">
        <v>2426</v>
      </c>
      <c r="O1015" s="77"/>
      <c r="P1015" s="92" t="s">
        <v>2536</v>
      </c>
      <c r="Q1015" s="32"/>
      <c r="R1015" s="48" t="s">
        <v>216</v>
      </c>
      <c r="S1015" s="32"/>
    </row>
    <row r="1016" spans="2:19" x14ac:dyDescent="0.3">
      <c r="B1016" t="s">
        <v>4348</v>
      </c>
      <c r="C1016" s="11" t="s">
        <v>172</v>
      </c>
      <c r="D1016">
        <v>1</v>
      </c>
      <c r="E1016" t="s">
        <v>160</v>
      </c>
      <c r="F1016" s="91" t="s">
        <v>1060</v>
      </c>
      <c r="G1016" s="90" t="str">
        <f>LEFT([1]modificado!$O$2, FIND(" ", [1]modificado!$O$2 &amp; " ") - 1)</f>
        <v>3M</v>
      </c>
      <c r="H1016" s="47" t="str">
        <f>RIGHT([1]!Tabla2[[#This Row],[Marca y Modelo]], LEN([1]!Tabla2[[#This Row],[Marca y Modelo]]) - FIND(" ", [1]!Tabla2[[#This Row],[Marca y Modelo]]))</f>
        <v>209550-4-0241</v>
      </c>
      <c r="I1016" s="76"/>
      <c r="J1016" s="76"/>
      <c r="K1016" s="91" t="s">
        <v>4266</v>
      </c>
      <c r="L1016" s="91" t="s">
        <v>3627</v>
      </c>
      <c r="M1016" s="91" t="s">
        <v>1404</v>
      </c>
      <c r="N1016" s="91" t="s">
        <v>2427</v>
      </c>
      <c r="O1016" s="77"/>
      <c r="P1016" s="91" t="s">
        <v>2536</v>
      </c>
      <c r="Q1016" s="32"/>
      <c r="R1016" s="48" t="s">
        <v>216</v>
      </c>
      <c r="S1016" s="32"/>
    </row>
    <row r="1017" spans="2:19" x14ac:dyDescent="0.3">
      <c r="B1017" t="s">
        <v>4348</v>
      </c>
      <c r="C1017" s="11" t="s">
        <v>172</v>
      </c>
      <c r="D1017">
        <v>1</v>
      </c>
      <c r="E1017" t="s">
        <v>160</v>
      </c>
      <c r="F1017" s="92" t="s">
        <v>1057</v>
      </c>
      <c r="G1017" s="90" t="str">
        <f>LEFT([1]modificado!$O$2, FIND(" ", [1]modificado!$O$2 &amp; " ") - 1)</f>
        <v>3M</v>
      </c>
      <c r="H1017" s="47" t="str">
        <f>RIGHT([1]!Tabla2[[#This Row],[Marca y Modelo]], LEN([1]!Tabla2[[#This Row],[Marca y Modelo]]) - FIND(" ", [1]!Tabla2[[#This Row],[Marca y Modelo]]))</f>
        <v>1026A</v>
      </c>
      <c r="I1017" s="76"/>
      <c r="J1017" s="76"/>
      <c r="K1017" s="92" t="s">
        <v>4266</v>
      </c>
      <c r="L1017" s="92" t="s">
        <v>3628</v>
      </c>
      <c r="M1017" s="92" t="s">
        <v>1405</v>
      </c>
      <c r="N1017" s="92" t="s">
        <v>2428</v>
      </c>
      <c r="O1017" s="77"/>
      <c r="P1017" s="92" t="s">
        <v>2536</v>
      </c>
      <c r="Q1017" s="32"/>
      <c r="R1017" s="48" t="s">
        <v>216</v>
      </c>
      <c r="S1017" s="32"/>
    </row>
    <row r="1018" spans="2:19" x14ac:dyDescent="0.3">
      <c r="B1018" t="str">
        <f>LEFT(Tabla3890134177220392[[#This Row],[Descripción del equipo]], FIND(" ", Tabla3890134177220392[[#This Row],[Descripción del equipo]] &amp; " ") - 1)</f>
        <v>Autoretractil</v>
      </c>
      <c r="C1018" s="11" t="s">
        <v>172</v>
      </c>
      <c r="D1018">
        <v>1</v>
      </c>
      <c r="E1018" t="s">
        <v>160</v>
      </c>
      <c r="F1018" s="91" t="s">
        <v>1058</v>
      </c>
      <c r="G1018" s="90" t="str">
        <f>LEFT([1]modificado!$O$2, FIND(" ", [1]modificado!$O$2 &amp; " ") - 1)</f>
        <v>3M</v>
      </c>
      <c r="H1018" s="47" t="str">
        <f>RIGHT([1]!Tabla2[[#This Row],[Marca y Modelo]], LEN([1]!Tabla2[[#This Row],[Marca y Modelo]]) - FIND(" ", [1]!Tabla2[[#This Row],[Marca y Modelo]]))</f>
        <v>3100414</v>
      </c>
      <c r="I1018" s="76"/>
      <c r="J1018" s="76"/>
      <c r="K1018" s="91" t="s">
        <v>4267</v>
      </c>
      <c r="L1018" s="91" t="s">
        <v>3629</v>
      </c>
      <c r="M1018" s="91" t="s">
        <v>1404</v>
      </c>
      <c r="N1018" s="91" t="s">
        <v>2429</v>
      </c>
      <c r="O1018" s="77"/>
      <c r="P1018" s="91" t="s">
        <v>2536</v>
      </c>
      <c r="Q1018" s="32"/>
      <c r="R1018" s="48" t="s">
        <v>216</v>
      </c>
      <c r="S1018" s="32"/>
    </row>
    <row r="1019" spans="2:19" x14ac:dyDescent="0.3">
      <c r="B1019" t="str">
        <f>LEFT(Tabla3890134177220392[[#This Row],[Descripción del equipo]], FIND(" ", Tabla3890134177220392[[#This Row],[Descripción del equipo]] &amp; " ") - 1)</f>
        <v>Arnes</v>
      </c>
      <c r="C1019" s="11" t="s">
        <v>172</v>
      </c>
      <c r="D1019">
        <v>1</v>
      </c>
      <c r="E1019" t="s">
        <v>160</v>
      </c>
      <c r="F1019" s="92" t="s">
        <v>1056</v>
      </c>
      <c r="G1019" s="90" t="str">
        <f>LEFT([1]modificado!$O$2, FIND(" ", [1]modificado!$O$2 &amp; " ") - 1)</f>
        <v>3M</v>
      </c>
      <c r="H1019" s="47" t="str">
        <f>RIGHT([1]!Tabla2[[#This Row],[Marca y Modelo]], LEN([1]!Tabla2[[#This Row],[Marca y Modelo]]) - FIND(" ", [1]!Tabla2[[#This Row],[Marca y Modelo]]))</f>
        <v>10911F-LOGO</v>
      </c>
      <c r="I1019" s="76"/>
      <c r="J1019" s="76"/>
      <c r="K1019" s="92" t="s">
        <v>4265</v>
      </c>
      <c r="L1019" s="92" t="s">
        <v>3630</v>
      </c>
      <c r="M1019" s="92" t="s">
        <v>1404</v>
      </c>
      <c r="N1019" s="92" t="s">
        <v>2430</v>
      </c>
      <c r="O1019" s="77"/>
      <c r="P1019" s="92" t="s">
        <v>2536</v>
      </c>
      <c r="Q1019" s="32"/>
      <c r="R1019" s="48" t="s">
        <v>216</v>
      </c>
      <c r="S1019" s="32"/>
    </row>
    <row r="1020" spans="2:19" x14ac:dyDescent="0.3">
      <c r="B1020" t="s">
        <v>4348</v>
      </c>
      <c r="C1020" s="11" t="s">
        <v>172</v>
      </c>
      <c r="D1020">
        <v>1</v>
      </c>
      <c r="E1020" t="s">
        <v>160</v>
      </c>
      <c r="F1020" s="91" t="s">
        <v>1057</v>
      </c>
      <c r="G1020" s="90" t="str">
        <f>LEFT([1]modificado!$O$2, FIND(" ", [1]modificado!$O$2 &amp; " ") - 1)</f>
        <v>3M</v>
      </c>
      <c r="H1020" s="47"/>
      <c r="I1020" s="76"/>
      <c r="J1020" s="76"/>
      <c r="K1020" s="91" t="s">
        <v>4266</v>
      </c>
      <c r="L1020" s="91" t="s">
        <v>3631</v>
      </c>
      <c r="M1020" s="91" t="s">
        <v>1405</v>
      </c>
      <c r="N1020" s="91" t="s">
        <v>2431</v>
      </c>
      <c r="O1020" s="77"/>
      <c r="P1020" s="91" t="s">
        <v>2536</v>
      </c>
      <c r="Q1020" s="32"/>
      <c r="R1020" s="48" t="s">
        <v>216</v>
      </c>
      <c r="S1020" s="32"/>
    </row>
    <row r="1021" spans="2:19" x14ac:dyDescent="0.3">
      <c r="B1021" t="str">
        <f>LEFT(Tabla3890134177220392[[#This Row],[Descripción del equipo]], FIND(" ", Tabla3890134177220392[[#This Row],[Descripción del equipo]] &amp; " ") - 1)</f>
        <v>Autoretractil</v>
      </c>
      <c r="C1021" s="11" t="s">
        <v>172</v>
      </c>
      <c r="D1021">
        <v>1</v>
      </c>
      <c r="E1021" t="s">
        <v>160</v>
      </c>
      <c r="F1021" s="92" t="s">
        <v>1058</v>
      </c>
      <c r="G1021" s="90" t="str">
        <f>LEFT([1]modificado!$O$2, FIND(" ", [1]modificado!$O$2 &amp; " ") - 1)</f>
        <v>3M</v>
      </c>
      <c r="H1021" s="47" t="str">
        <f>RIGHT([1]!Tabla2[[#This Row],[Marca y Modelo]], LEN([1]!Tabla2[[#This Row],[Marca y Modelo]]) - FIND(" ", [1]!Tabla2[[#This Row],[Marca y Modelo]]))</f>
        <v>3100414</v>
      </c>
      <c r="I1021" s="76"/>
      <c r="J1021" s="76"/>
      <c r="K1021" s="92" t="s">
        <v>4267</v>
      </c>
      <c r="L1021" s="92" t="s">
        <v>3632</v>
      </c>
      <c r="M1021" s="92" t="s">
        <v>1404</v>
      </c>
      <c r="N1021" s="92" t="s">
        <v>2432</v>
      </c>
      <c r="O1021" s="77"/>
      <c r="P1021" s="92" t="s">
        <v>2536</v>
      </c>
      <c r="Q1021" s="32"/>
      <c r="R1021" s="48" t="s">
        <v>216</v>
      </c>
      <c r="S1021" s="32"/>
    </row>
    <row r="1022" spans="2:19" x14ac:dyDescent="0.3">
      <c r="B1022" t="s">
        <v>4348</v>
      </c>
      <c r="C1022" s="11" t="s">
        <v>172</v>
      </c>
      <c r="D1022">
        <v>1</v>
      </c>
      <c r="E1022" t="s">
        <v>160</v>
      </c>
      <c r="F1022" s="91" t="s">
        <v>1074</v>
      </c>
      <c r="G1022" s="90" t="str">
        <f>LEFT([1]modificado!$O$2, FIND(" ", [1]modificado!$O$2 &amp; " ") - 1)</f>
        <v>3M</v>
      </c>
      <c r="H1022" s="47" t="str">
        <f>RIGHT([1]!Tabla2[[#This Row],[Marca y Modelo]], LEN([1]!Tabla2[[#This Row],[Marca y Modelo]]) - FIND(" ", [1]!Tabla2[[#This Row],[Marca y Modelo]]))</f>
        <v>20226</v>
      </c>
      <c r="I1022" s="76"/>
      <c r="J1022" s="76"/>
      <c r="K1022" s="91" t="s">
        <v>4266</v>
      </c>
      <c r="L1022" s="91" t="s">
        <v>3633</v>
      </c>
      <c r="M1022" s="91" t="s">
        <v>1406</v>
      </c>
      <c r="N1022" s="91" t="s">
        <v>2433</v>
      </c>
      <c r="O1022" s="77"/>
      <c r="P1022" s="91" t="s">
        <v>2536</v>
      </c>
      <c r="Q1022" s="32"/>
      <c r="R1022" s="48" t="s">
        <v>216</v>
      </c>
      <c r="S1022" s="32"/>
    </row>
    <row r="1023" spans="2:19" x14ac:dyDescent="0.3">
      <c r="B1023" t="s">
        <v>4348</v>
      </c>
      <c r="C1023" s="11" t="s">
        <v>172</v>
      </c>
      <c r="D1023">
        <v>1</v>
      </c>
      <c r="E1023" t="s">
        <v>160</v>
      </c>
      <c r="F1023" s="92" t="s">
        <v>1074</v>
      </c>
      <c r="G1023" s="90" t="str">
        <f>LEFT([1]modificado!$O$2, FIND(" ", [1]modificado!$O$2 &amp; " ") - 1)</f>
        <v>3M</v>
      </c>
      <c r="H1023" s="47" t="str">
        <f>RIGHT([1]!Tabla2[[#This Row],[Marca y Modelo]], LEN([1]!Tabla2[[#This Row],[Marca y Modelo]]) - FIND(" ", [1]!Tabla2[[#This Row],[Marca y Modelo]]))</f>
        <v>20226</v>
      </c>
      <c r="I1023" s="76"/>
      <c r="J1023" s="76"/>
      <c r="K1023" s="92" t="s">
        <v>4266</v>
      </c>
      <c r="L1023" s="92" t="s">
        <v>3634</v>
      </c>
      <c r="M1023" s="92" t="s">
        <v>1406</v>
      </c>
      <c r="N1023" s="92" t="s">
        <v>2434</v>
      </c>
      <c r="O1023" s="77"/>
      <c r="P1023" s="92" t="s">
        <v>2536</v>
      </c>
      <c r="Q1023" s="32"/>
      <c r="R1023" s="48" t="s">
        <v>216</v>
      </c>
      <c r="S1023" s="32"/>
    </row>
    <row r="1024" spans="2:19" x14ac:dyDescent="0.3">
      <c r="B1024" t="str">
        <f>LEFT(Tabla3890134177220392[[#This Row],[Descripción del equipo]], FIND(" ", Tabla3890134177220392[[#This Row],[Descripción del equipo]] &amp; " ") - 1)</f>
        <v>Arnes</v>
      </c>
      <c r="C1024" s="11" t="s">
        <v>172</v>
      </c>
      <c r="D1024">
        <v>1</v>
      </c>
      <c r="E1024" t="s">
        <v>160</v>
      </c>
      <c r="F1024" s="91" t="s">
        <v>1056</v>
      </c>
      <c r="G1024" s="90" t="str">
        <f>LEFT([1]modificado!$O$2, FIND(" ", [1]modificado!$O$2 &amp; " ") - 1)</f>
        <v>3M</v>
      </c>
      <c r="H1024" s="47" t="str">
        <f>RIGHT([1]!Tabla2[[#This Row],[Marca y Modelo]], LEN([1]!Tabla2[[#This Row],[Marca y Modelo]]) - FIND(" ", [1]!Tabla2[[#This Row],[Marca y Modelo]]))</f>
        <v>10911F-LOGO</v>
      </c>
      <c r="I1024" s="76"/>
      <c r="J1024" s="76"/>
      <c r="K1024" s="91" t="s">
        <v>4268</v>
      </c>
      <c r="L1024" s="91" t="s">
        <v>3635</v>
      </c>
      <c r="M1024" s="91" t="s">
        <v>1404</v>
      </c>
      <c r="N1024" s="91" t="s">
        <v>2435</v>
      </c>
      <c r="O1024" s="77"/>
      <c r="P1024" s="91" t="s">
        <v>2536</v>
      </c>
      <c r="Q1024" s="32"/>
      <c r="R1024" s="48" t="s">
        <v>216</v>
      </c>
      <c r="S1024" s="32"/>
    </row>
    <row r="1025" spans="2:19" x14ac:dyDescent="0.3">
      <c r="B1025" t="s">
        <v>4348</v>
      </c>
      <c r="C1025" s="11" t="s">
        <v>172</v>
      </c>
      <c r="D1025">
        <v>1</v>
      </c>
      <c r="E1025" t="s">
        <v>160</v>
      </c>
      <c r="F1025" s="92" t="s">
        <v>1060</v>
      </c>
      <c r="G1025" s="90" t="str">
        <f>LEFT([1]modificado!$O$2, FIND(" ", [1]modificado!$O$2 &amp; " ") - 1)</f>
        <v>3M</v>
      </c>
      <c r="H1025" s="47" t="str">
        <f>RIGHT([1]!Tabla2[[#This Row],[Marca y Modelo]], LEN([1]!Tabla2[[#This Row],[Marca y Modelo]]) - FIND(" ", [1]!Tabla2[[#This Row],[Marca y Modelo]]))</f>
        <v>209550-4-0241</v>
      </c>
      <c r="I1025" s="76"/>
      <c r="J1025" s="76"/>
      <c r="K1025" s="92" t="s">
        <v>4269</v>
      </c>
      <c r="L1025" s="92" t="s">
        <v>3636</v>
      </c>
      <c r="M1025" s="92" t="s">
        <v>1404</v>
      </c>
      <c r="N1025" s="92" t="s">
        <v>2436</v>
      </c>
      <c r="O1025" s="77"/>
      <c r="P1025" s="92" t="s">
        <v>2536</v>
      </c>
      <c r="Q1025" s="32"/>
      <c r="R1025" s="48" t="s">
        <v>216</v>
      </c>
      <c r="S1025" s="32"/>
    </row>
    <row r="1026" spans="2:19" x14ac:dyDescent="0.3">
      <c r="B1026" t="str">
        <f>LEFT(Tabla3890134177220392[[#This Row],[Descripción del equipo]], FIND(" ", Tabla3890134177220392[[#This Row],[Descripción del equipo]] &amp; " ") - 1)</f>
        <v>Autoretractil</v>
      </c>
      <c r="C1026" s="11" t="s">
        <v>172</v>
      </c>
      <c r="D1026">
        <v>1</v>
      </c>
      <c r="E1026" t="s">
        <v>160</v>
      </c>
      <c r="F1026" s="91" t="s">
        <v>1058</v>
      </c>
      <c r="G1026" s="90" t="str">
        <f>LEFT([1]modificado!$O$2, FIND(" ", [1]modificado!$O$2 &amp; " ") - 1)</f>
        <v>3M</v>
      </c>
      <c r="H1026" s="47" t="s">
        <v>1402</v>
      </c>
      <c r="I1026" s="76"/>
      <c r="J1026" s="76"/>
      <c r="K1026" s="91" t="s">
        <v>4270</v>
      </c>
      <c r="L1026" s="91" t="s">
        <v>3637</v>
      </c>
      <c r="M1026" s="91" t="s">
        <v>1404</v>
      </c>
      <c r="N1026" s="91" t="s">
        <v>2437</v>
      </c>
      <c r="O1026" s="77"/>
      <c r="P1026" s="91" t="s">
        <v>2536</v>
      </c>
      <c r="Q1026" s="32"/>
      <c r="R1026" s="48" t="s">
        <v>216</v>
      </c>
      <c r="S1026" s="32"/>
    </row>
    <row r="1027" spans="2:19" x14ac:dyDescent="0.3">
      <c r="B1027" t="str">
        <f>LEFT(Tabla3890134177220392[[#This Row],[Descripción del equipo]], FIND(" ", Tabla3890134177220392[[#This Row],[Descripción del equipo]] &amp; " ") - 1)</f>
        <v>Arnes</v>
      </c>
      <c r="C1027" s="11" t="s">
        <v>172</v>
      </c>
      <c r="D1027">
        <v>1</v>
      </c>
      <c r="E1027" t="s">
        <v>160</v>
      </c>
      <c r="F1027" s="92" t="s">
        <v>1056</v>
      </c>
      <c r="G1027" s="90" t="str">
        <f>LEFT([1]modificado!$O$2, FIND(" ", [1]modificado!$O$2 &amp; " ") - 1)</f>
        <v>3M</v>
      </c>
      <c r="H1027" s="47" t="str">
        <f>RIGHT([1]!Tabla2[[#This Row],[Marca y Modelo]], LEN([1]!Tabla2[[#This Row],[Marca y Modelo]]) - FIND(" ", [1]!Tabla2[[#This Row],[Marca y Modelo]]))</f>
        <v>10911F-LOGO</v>
      </c>
      <c r="I1027" s="76"/>
      <c r="J1027" s="76"/>
      <c r="K1027" s="92" t="s">
        <v>4268</v>
      </c>
      <c r="L1027" s="92" t="s">
        <v>3638</v>
      </c>
      <c r="M1027" s="92" t="s">
        <v>1404</v>
      </c>
      <c r="N1027" s="92" t="s">
        <v>2438</v>
      </c>
      <c r="O1027" s="77"/>
      <c r="P1027" s="92" t="s">
        <v>2536</v>
      </c>
      <c r="Q1027" s="32"/>
      <c r="R1027" s="48" t="s">
        <v>216</v>
      </c>
      <c r="S1027" s="32"/>
    </row>
    <row r="1028" spans="2:19" x14ac:dyDescent="0.3">
      <c r="B1028" t="s">
        <v>4348</v>
      </c>
      <c r="C1028" s="11" t="s">
        <v>172</v>
      </c>
      <c r="D1028">
        <v>1</v>
      </c>
      <c r="E1028" t="s">
        <v>160</v>
      </c>
      <c r="F1028" s="91" t="s">
        <v>1060</v>
      </c>
      <c r="G1028" s="90" t="str">
        <f>LEFT([1]modificado!$O$2, FIND(" ", [1]modificado!$O$2 &amp; " ") - 1)</f>
        <v>3M</v>
      </c>
      <c r="H1028" s="47" t="str">
        <f>RIGHT([1]!Tabla2[[#This Row],[Marca y Modelo]], LEN([1]!Tabla2[[#This Row],[Marca y Modelo]]) - FIND(" ", [1]!Tabla2[[#This Row],[Marca y Modelo]]))</f>
        <v>209550-4-0241</v>
      </c>
      <c r="I1028" s="76"/>
      <c r="J1028" s="76"/>
      <c r="K1028" s="91" t="s">
        <v>4269</v>
      </c>
      <c r="L1028" s="91" t="s">
        <v>3639</v>
      </c>
      <c r="M1028" s="91" t="s">
        <v>1404</v>
      </c>
      <c r="N1028" s="91" t="s">
        <v>2439</v>
      </c>
      <c r="O1028" s="77"/>
      <c r="P1028" s="91" t="s">
        <v>2536</v>
      </c>
      <c r="Q1028" s="32"/>
      <c r="R1028" s="48" t="s">
        <v>216</v>
      </c>
      <c r="S1028" s="32"/>
    </row>
    <row r="1029" spans="2:19" x14ac:dyDescent="0.3">
      <c r="B1029" t="str">
        <f>LEFT(Tabla3890134177220392[[#This Row],[Descripción del equipo]], FIND(" ", Tabla3890134177220392[[#This Row],[Descripción del equipo]] &amp; " ") - 1)</f>
        <v>Autoretractil</v>
      </c>
      <c r="C1029" s="11" t="s">
        <v>172</v>
      </c>
      <c r="D1029">
        <v>1</v>
      </c>
      <c r="E1029" t="s">
        <v>160</v>
      </c>
      <c r="F1029" s="92" t="s">
        <v>1058</v>
      </c>
      <c r="G1029" s="90" t="str">
        <f>LEFT([1]modificado!$O$2, FIND(" ", [1]modificado!$O$2 &amp; " ") - 1)</f>
        <v>3M</v>
      </c>
      <c r="H1029" s="47" t="s">
        <v>1402</v>
      </c>
      <c r="I1029" s="76"/>
      <c r="J1029" s="76"/>
      <c r="K1029" s="92" t="s">
        <v>4270</v>
      </c>
      <c r="L1029" s="92" t="s">
        <v>3640</v>
      </c>
      <c r="M1029" s="92" t="s">
        <v>1404</v>
      </c>
      <c r="N1029" s="92" t="s">
        <v>2440</v>
      </c>
      <c r="O1029" s="77"/>
      <c r="P1029" s="92" t="s">
        <v>2536</v>
      </c>
      <c r="Q1029" s="32"/>
      <c r="R1029" s="48" t="s">
        <v>216</v>
      </c>
      <c r="S1029" s="32"/>
    </row>
    <row r="1030" spans="2:19" x14ac:dyDescent="0.3">
      <c r="B1030" t="str">
        <f>LEFT(Tabla3890134177220392[[#This Row],[Descripción del equipo]], FIND(" ", Tabla3890134177220392[[#This Row],[Descripción del equipo]] &amp; " ") - 1)</f>
        <v>Arnes</v>
      </c>
      <c r="C1030" s="11" t="s">
        <v>172</v>
      </c>
      <c r="D1030">
        <v>1</v>
      </c>
      <c r="E1030" t="s">
        <v>160</v>
      </c>
      <c r="F1030" s="91" t="s">
        <v>1056</v>
      </c>
      <c r="G1030" s="90" t="str">
        <f>LEFT([1]modificado!$O$2, FIND(" ", [1]modificado!$O$2 &amp; " ") - 1)</f>
        <v>3M</v>
      </c>
      <c r="H1030" s="47" t="str">
        <f>RIGHT([1]!Tabla2[[#This Row],[Marca y Modelo]], LEN([1]!Tabla2[[#This Row],[Marca y Modelo]]) - FIND(" ", [1]!Tabla2[[#This Row],[Marca y Modelo]]))</f>
        <v>10911F-LOGO</v>
      </c>
      <c r="I1030" s="76"/>
      <c r="J1030" s="76"/>
      <c r="K1030" s="91" t="s">
        <v>4268</v>
      </c>
      <c r="L1030" s="91" t="s">
        <v>3641</v>
      </c>
      <c r="M1030" s="91" t="s">
        <v>1404</v>
      </c>
      <c r="N1030" s="91" t="s">
        <v>2441</v>
      </c>
      <c r="O1030" s="77"/>
      <c r="P1030" s="91" t="s">
        <v>2536</v>
      </c>
      <c r="Q1030" s="32"/>
      <c r="R1030" s="48" t="s">
        <v>216</v>
      </c>
      <c r="S1030" s="32"/>
    </row>
    <row r="1031" spans="2:19" x14ac:dyDescent="0.3">
      <c r="B1031" t="str">
        <f>LEFT(Tabla3890134177220392[[#This Row],[Descripción del equipo]], FIND(" ", Tabla3890134177220392[[#This Row],[Descripción del equipo]] &amp; " ") - 1)</f>
        <v>Autoretractil</v>
      </c>
      <c r="C1031" s="11" t="s">
        <v>172</v>
      </c>
      <c r="D1031">
        <v>1</v>
      </c>
      <c r="E1031" t="s">
        <v>160</v>
      </c>
      <c r="F1031" s="92" t="s">
        <v>1058</v>
      </c>
      <c r="G1031" s="90" t="str">
        <f>LEFT([1]modificado!$O$2, FIND(" ", [1]modificado!$O$2 &amp; " ") - 1)</f>
        <v>3M</v>
      </c>
      <c r="H1031" s="47" t="s">
        <v>1402</v>
      </c>
      <c r="I1031" s="76"/>
      <c r="J1031" s="76"/>
      <c r="K1031" s="92" t="s">
        <v>4270</v>
      </c>
      <c r="L1031" s="92" t="s">
        <v>3642</v>
      </c>
      <c r="M1031" s="92" t="s">
        <v>1404</v>
      </c>
      <c r="N1031" s="92" t="s">
        <v>2442</v>
      </c>
      <c r="O1031" s="77"/>
      <c r="P1031" s="92" t="s">
        <v>2536</v>
      </c>
      <c r="Q1031" s="32"/>
      <c r="R1031" s="48" t="s">
        <v>216</v>
      </c>
      <c r="S1031" s="32"/>
    </row>
    <row r="1032" spans="2:19" x14ac:dyDescent="0.3">
      <c r="B1032" t="str">
        <f>LEFT(Tabla3890134177220392[[#This Row],[Descripción del equipo]], FIND(" ", Tabla3890134177220392[[#This Row],[Descripción del equipo]] &amp; " ") - 1)</f>
        <v>Arnes</v>
      </c>
      <c r="C1032" s="11" t="s">
        <v>172</v>
      </c>
      <c r="D1032">
        <v>1</v>
      </c>
      <c r="E1032" t="s">
        <v>160</v>
      </c>
      <c r="F1032" s="91" t="s">
        <v>1056</v>
      </c>
      <c r="G1032" s="90" t="str">
        <f>LEFT([1]modificado!$O$2, FIND(" ", [1]modificado!$O$2 &amp; " ") - 1)</f>
        <v>3M</v>
      </c>
      <c r="H1032" s="47" t="str">
        <f>RIGHT([1]!Tabla2[[#This Row],[Marca y Modelo]], LEN([1]!Tabla2[[#This Row],[Marca y Modelo]]) - FIND(" ", [1]!Tabla2[[#This Row],[Marca y Modelo]]))</f>
        <v>10911F-LOGO</v>
      </c>
      <c r="I1032" s="76"/>
      <c r="J1032" s="76"/>
      <c r="K1032" s="91" t="s">
        <v>4268</v>
      </c>
      <c r="L1032" s="91" t="s">
        <v>3643</v>
      </c>
      <c r="M1032" s="91" t="s">
        <v>1404</v>
      </c>
      <c r="N1032" s="91" t="s">
        <v>2443</v>
      </c>
      <c r="O1032" s="77"/>
      <c r="P1032" s="91" t="s">
        <v>2536</v>
      </c>
      <c r="Q1032" s="32"/>
      <c r="R1032" s="48" t="s">
        <v>216</v>
      </c>
      <c r="S1032" s="32"/>
    </row>
    <row r="1033" spans="2:19" x14ac:dyDescent="0.3">
      <c r="B1033" t="s">
        <v>4348</v>
      </c>
      <c r="C1033" s="11" t="s">
        <v>172</v>
      </c>
      <c r="D1033">
        <v>1</v>
      </c>
      <c r="E1033" t="s">
        <v>160</v>
      </c>
      <c r="F1033" s="92" t="s">
        <v>1060</v>
      </c>
      <c r="G1033" s="90" t="str">
        <f>LEFT([1]modificado!$O$2, FIND(" ", [1]modificado!$O$2 &amp; " ") - 1)</f>
        <v>3M</v>
      </c>
      <c r="H1033" s="47" t="str">
        <f>RIGHT([1]!Tabla2[[#This Row],[Marca y Modelo]], LEN([1]!Tabla2[[#This Row],[Marca y Modelo]]) - FIND(" ", [1]!Tabla2[[#This Row],[Marca y Modelo]]))</f>
        <v>209550-4-0241</v>
      </c>
      <c r="I1033" s="76"/>
      <c r="J1033" s="76"/>
      <c r="K1033" s="92" t="s">
        <v>4269</v>
      </c>
      <c r="L1033" s="92" t="s">
        <v>3644</v>
      </c>
      <c r="M1033" s="92" t="s">
        <v>1404</v>
      </c>
      <c r="N1033" s="92" t="s">
        <v>2444</v>
      </c>
      <c r="O1033" s="77"/>
      <c r="P1033" s="92" t="s">
        <v>2536</v>
      </c>
      <c r="Q1033" s="32"/>
      <c r="R1033" s="48" t="s">
        <v>216</v>
      </c>
      <c r="S1033" s="32"/>
    </row>
    <row r="1034" spans="2:19" x14ac:dyDescent="0.3">
      <c r="B1034" t="str">
        <f>LEFT(Tabla3890134177220392[[#This Row],[Descripción del equipo]], FIND(" ", Tabla3890134177220392[[#This Row],[Descripción del equipo]] &amp; " ") - 1)</f>
        <v>Arnes</v>
      </c>
      <c r="C1034" s="11" t="s">
        <v>172</v>
      </c>
      <c r="D1034">
        <v>1</v>
      </c>
      <c r="E1034" t="s">
        <v>160</v>
      </c>
      <c r="F1034" s="91" t="s">
        <v>1062</v>
      </c>
      <c r="G1034" s="90" t="str">
        <f>LEFT([1]modificado!$O$2, FIND(" ", [1]modificado!$O$2 &amp; " ") - 1)</f>
        <v>3M</v>
      </c>
      <c r="H1034" s="47" t="str">
        <f>RIGHT([1]!Tabla2[[#This Row],[Marca y Modelo]], LEN([1]!Tabla2[[#This Row],[Marca y Modelo]]) - FIND(" ", [1]!Tabla2[[#This Row],[Marca y Modelo]]))</f>
        <v>10955-LOGO</v>
      </c>
      <c r="I1034" s="76"/>
      <c r="J1034" s="76"/>
      <c r="K1034" s="91" t="s">
        <v>4268</v>
      </c>
      <c r="L1034" s="91" t="s">
        <v>3645</v>
      </c>
      <c r="M1034" s="91" t="s">
        <v>1404</v>
      </c>
      <c r="N1034" s="91" t="s">
        <v>2445</v>
      </c>
      <c r="O1034" s="77"/>
      <c r="P1034" s="91" t="s">
        <v>2536</v>
      </c>
      <c r="Q1034" s="32"/>
      <c r="R1034" s="48" t="s">
        <v>216</v>
      </c>
      <c r="S1034" s="32"/>
    </row>
    <row r="1035" spans="2:19" x14ac:dyDescent="0.3">
      <c r="B1035" t="s">
        <v>4348</v>
      </c>
      <c r="C1035" s="11" t="s">
        <v>172</v>
      </c>
      <c r="D1035">
        <v>1</v>
      </c>
      <c r="E1035" t="s">
        <v>160</v>
      </c>
      <c r="F1035" s="92" t="s">
        <v>1071</v>
      </c>
      <c r="G1035" s="90" t="str">
        <f>LEFT([1]modificado!$O$2, FIND(" ", [1]modificado!$O$2 &amp; " ") - 1)</f>
        <v>3M</v>
      </c>
      <c r="H1035" s="47"/>
      <c r="I1035" s="76"/>
      <c r="J1035" s="76"/>
      <c r="K1035" s="92" t="s">
        <v>4269</v>
      </c>
      <c r="L1035" s="92" t="s">
        <v>3646</v>
      </c>
      <c r="M1035" s="92" t="s">
        <v>1404</v>
      </c>
      <c r="N1035" s="92" t="s">
        <v>2446</v>
      </c>
      <c r="O1035" s="77"/>
      <c r="P1035" s="92" t="s">
        <v>2536</v>
      </c>
      <c r="Q1035" s="32"/>
      <c r="R1035" s="48" t="s">
        <v>216</v>
      </c>
      <c r="S1035" s="32"/>
    </row>
    <row r="1036" spans="2:19" x14ac:dyDescent="0.3">
      <c r="B1036" t="str">
        <f>LEFT(Tabla3890134177220392[[#This Row],[Descripción del equipo]], FIND(" ", Tabla3890134177220392[[#This Row],[Descripción del equipo]] &amp; " ") - 1)</f>
        <v>Arnes</v>
      </c>
      <c r="C1036" s="11" t="s">
        <v>172</v>
      </c>
      <c r="D1036">
        <v>1</v>
      </c>
      <c r="E1036" t="s">
        <v>160</v>
      </c>
      <c r="F1036" s="91" t="s">
        <v>1068</v>
      </c>
      <c r="G1036" s="90" t="str">
        <f>LEFT([1]modificado!$O$2, FIND(" ", [1]modificado!$O$2 &amp; " ") - 1)</f>
        <v>3M</v>
      </c>
      <c r="H1036" s="47" t="str">
        <f>RIGHT([1]!Tabla2[[#This Row],[Marca y Modelo]], LEN([1]!Tabla2[[#This Row],[Marca y Modelo]]) - FIND(" ", [1]!Tabla2[[#This Row],[Marca y Modelo]]))</f>
        <v>1021-LOGO</v>
      </c>
      <c r="I1036" s="76"/>
      <c r="J1036" s="76"/>
      <c r="K1036" s="91" t="s">
        <v>4268</v>
      </c>
      <c r="L1036" s="91" t="s">
        <v>3647</v>
      </c>
      <c r="M1036" s="91" t="s">
        <v>1404</v>
      </c>
      <c r="N1036" s="91" t="s">
        <v>2447</v>
      </c>
      <c r="O1036" s="77"/>
      <c r="P1036" s="91" t="s">
        <v>2536</v>
      </c>
      <c r="Q1036" s="32"/>
      <c r="R1036" s="48" t="s">
        <v>216</v>
      </c>
      <c r="S1036" s="32"/>
    </row>
    <row r="1037" spans="2:19" x14ac:dyDescent="0.3">
      <c r="B1037" t="s">
        <v>4348</v>
      </c>
      <c r="C1037" s="11" t="s">
        <v>172</v>
      </c>
      <c r="D1037">
        <v>1</v>
      </c>
      <c r="E1037" t="s">
        <v>160</v>
      </c>
      <c r="F1037" s="92" t="s">
        <v>1069</v>
      </c>
      <c r="G1037" s="90" t="str">
        <f>LEFT([1]modificado!$O$2, FIND(" ", [1]modificado!$O$2 &amp; " ") - 1)</f>
        <v>3M</v>
      </c>
      <c r="H1037" s="47"/>
      <c r="I1037" s="76"/>
      <c r="J1037" s="76"/>
      <c r="K1037" s="92" t="s">
        <v>4269</v>
      </c>
      <c r="L1037" s="92" t="s">
        <v>3648</v>
      </c>
      <c r="M1037" s="92" t="s">
        <v>1404</v>
      </c>
      <c r="N1037" s="92" t="s">
        <v>2448</v>
      </c>
      <c r="O1037" s="77"/>
      <c r="P1037" s="92" t="s">
        <v>2536</v>
      </c>
      <c r="Q1037" s="32"/>
      <c r="R1037" s="48" t="s">
        <v>216</v>
      </c>
      <c r="S1037" s="32"/>
    </row>
    <row r="1038" spans="2:19" x14ac:dyDescent="0.3">
      <c r="B1038" t="str">
        <f>LEFT(Tabla3890134177220392[[#This Row],[Descripción del equipo]], FIND(" ", Tabla3890134177220392[[#This Row],[Descripción del equipo]] &amp; " ") - 1)</f>
        <v>Arnes</v>
      </c>
      <c r="C1038" s="11" t="s">
        <v>172</v>
      </c>
      <c r="D1038">
        <v>1</v>
      </c>
      <c r="E1038" t="s">
        <v>160</v>
      </c>
      <c r="F1038" s="91" t="s">
        <v>1068</v>
      </c>
      <c r="G1038" s="90" t="str">
        <f>LEFT([1]modificado!$O$2, FIND(" ", [1]modificado!$O$2 &amp; " ") - 1)</f>
        <v>3M</v>
      </c>
      <c r="H1038" s="47" t="str">
        <f>RIGHT([1]!Tabla2[[#This Row],[Marca y Modelo]], LEN([1]!Tabla2[[#This Row],[Marca y Modelo]]) - FIND(" ", [1]!Tabla2[[#This Row],[Marca y Modelo]]))</f>
        <v>1021-LOGO</v>
      </c>
      <c r="I1038" s="76"/>
      <c r="J1038" s="76"/>
      <c r="K1038" s="91" t="s">
        <v>4268</v>
      </c>
      <c r="L1038" s="91" t="s">
        <v>3649</v>
      </c>
      <c r="M1038" s="91" t="s">
        <v>1404</v>
      </c>
      <c r="N1038" s="91" t="s">
        <v>2449</v>
      </c>
      <c r="O1038" s="77"/>
      <c r="P1038" s="91" t="s">
        <v>2536</v>
      </c>
      <c r="Q1038" s="32"/>
      <c r="R1038" s="48" t="s">
        <v>216</v>
      </c>
      <c r="S1038" s="32"/>
    </row>
    <row r="1039" spans="2:19" x14ac:dyDescent="0.3">
      <c r="B1039" t="s">
        <v>4348</v>
      </c>
      <c r="C1039" s="11" t="s">
        <v>172</v>
      </c>
      <c r="D1039">
        <v>1</v>
      </c>
      <c r="E1039" t="s">
        <v>160</v>
      </c>
      <c r="F1039" s="92" t="s">
        <v>1069</v>
      </c>
      <c r="G1039" s="90" t="str">
        <f>LEFT([1]modificado!$O$2, FIND(" ", [1]modificado!$O$2 &amp; " ") - 1)</f>
        <v>3M</v>
      </c>
      <c r="H1039" s="47"/>
      <c r="I1039" s="76"/>
      <c r="J1039" s="76"/>
      <c r="K1039" s="92" t="s">
        <v>4269</v>
      </c>
      <c r="L1039" s="92" t="s">
        <v>3650</v>
      </c>
      <c r="M1039" s="92" t="s">
        <v>1404</v>
      </c>
      <c r="N1039" s="92" t="s">
        <v>2450</v>
      </c>
      <c r="O1039" s="77"/>
      <c r="P1039" s="92" t="s">
        <v>2536</v>
      </c>
      <c r="Q1039" s="32"/>
      <c r="R1039" s="48" t="s">
        <v>216</v>
      </c>
      <c r="S1039" s="32"/>
    </row>
    <row r="1040" spans="2:19" x14ac:dyDescent="0.3">
      <c r="B1040" t="s">
        <v>4348</v>
      </c>
      <c r="C1040" s="11" t="s">
        <v>172</v>
      </c>
      <c r="D1040">
        <v>1</v>
      </c>
      <c r="E1040" t="s">
        <v>160</v>
      </c>
      <c r="F1040" s="91" t="s">
        <v>1069</v>
      </c>
      <c r="G1040" s="90" t="str">
        <f>LEFT([1]modificado!$O$2, FIND(" ", [1]modificado!$O$2 &amp; " ") - 1)</f>
        <v>3M</v>
      </c>
      <c r="H1040" s="47"/>
      <c r="I1040" s="76"/>
      <c r="J1040" s="76"/>
      <c r="K1040" s="91" t="s">
        <v>4269</v>
      </c>
      <c r="L1040" s="91" t="s">
        <v>3651</v>
      </c>
      <c r="M1040" s="91" t="s">
        <v>1404</v>
      </c>
      <c r="N1040" s="91" t="s">
        <v>2451</v>
      </c>
      <c r="O1040" s="77"/>
      <c r="P1040" s="91" t="s">
        <v>2536</v>
      </c>
      <c r="Q1040" s="32"/>
      <c r="R1040" s="48" t="s">
        <v>216</v>
      </c>
      <c r="S1040" s="32"/>
    </row>
    <row r="1041" spans="2:19" x14ac:dyDescent="0.3">
      <c r="B1041" t="s">
        <v>4348</v>
      </c>
      <c r="C1041" s="11" t="s">
        <v>172</v>
      </c>
      <c r="D1041">
        <v>1</v>
      </c>
      <c r="E1041" t="s">
        <v>160</v>
      </c>
      <c r="F1041" s="92" t="s">
        <v>1069</v>
      </c>
      <c r="G1041" s="90" t="str">
        <f>LEFT([1]modificado!$O$2, FIND(" ", [1]modificado!$O$2 &amp; " ") - 1)</f>
        <v>3M</v>
      </c>
      <c r="H1041" s="47"/>
      <c r="I1041" s="76"/>
      <c r="J1041" s="76"/>
      <c r="K1041" s="92" t="s">
        <v>4269</v>
      </c>
      <c r="L1041" s="92" t="s">
        <v>3652</v>
      </c>
      <c r="M1041" s="92" t="s">
        <v>1404</v>
      </c>
      <c r="N1041" s="92" t="s">
        <v>2452</v>
      </c>
      <c r="O1041" s="77"/>
      <c r="P1041" s="92" t="s">
        <v>2536</v>
      </c>
      <c r="Q1041" s="32"/>
      <c r="R1041" s="48" t="s">
        <v>216</v>
      </c>
      <c r="S1041" s="32"/>
    </row>
    <row r="1042" spans="2:19" x14ac:dyDescent="0.3">
      <c r="B1042" t="s">
        <v>4348</v>
      </c>
      <c r="C1042" s="11" t="s">
        <v>172</v>
      </c>
      <c r="D1042">
        <v>1</v>
      </c>
      <c r="E1042" t="s">
        <v>160</v>
      </c>
      <c r="F1042" s="91" t="s">
        <v>1069</v>
      </c>
      <c r="G1042" s="90" t="str">
        <f>LEFT([1]modificado!$O$2, FIND(" ", [1]modificado!$O$2 &amp; " ") - 1)</f>
        <v>3M</v>
      </c>
      <c r="H1042" s="47"/>
      <c r="I1042" s="76"/>
      <c r="J1042" s="76"/>
      <c r="K1042" s="91" t="s">
        <v>4269</v>
      </c>
      <c r="L1042" s="91" t="s">
        <v>3653</v>
      </c>
      <c r="M1042" s="91" t="s">
        <v>1404</v>
      </c>
      <c r="N1042" s="91" t="s">
        <v>2453</v>
      </c>
      <c r="O1042" s="77"/>
      <c r="P1042" s="91" t="s">
        <v>2536</v>
      </c>
      <c r="Q1042" s="32"/>
      <c r="R1042" s="48" t="s">
        <v>216</v>
      </c>
      <c r="S1042" s="32"/>
    </row>
    <row r="1043" spans="2:19" x14ac:dyDescent="0.3">
      <c r="B1043" t="str">
        <f>LEFT(Tabla3890134177220392[[#This Row],[Descripción del equipo]], FIND(" ", Tabla3890134177220392[[#This Row],[Descripción del equipo]] &amp; " ") - 1)</f>
        <v>Arnes</v>
      </c>
      <c r="C1043" s="11" t="s">
        <v>172</v>
      </c>
      <c r="D1043">
        <v>1</v>
      </c>
      <c r="E1043" t="s">
        <v>160</v>
      </c>
      <c r="F1043" s="92" t="s">
        <v>1068</v>
      </c>
      <c r="G1043" s="90" t="str">
        <f>LEFT([1]modificado!$O$2, FIND(" ", [1]modificado!$O$2 &amp; " ") - 1)</f>
        <v>3M</v>
      </c>
      <c r="H1043" s="47" t="str">
        <f>RIGHT([1]!Tabla2[[#This Row],[Marca y Modelo]], LEN([1]!Tabla2[[#This Row],[Marca y Modelo]]) - FIND(" ", [1]!Tabla2[[#This Row],[Marca y Modelo]]))</f>
        <v>1021-LOGO</v>
      </c>
      <c r="I1043" s="76"/>
      <c r="J1043" s="76"/>
      <c r="K1043" s="92" t="s">
        <v>4268</v>
      </c>
      <c r="L1043" s="92" t="s">
        <v>3654</v>
      </c>
      <c r="M1043" s="92" t="s">
        <v>1404</v>
      </c>
      <c r="N1043" s="92" t="s">
        <v>2454</v>
      </c>
      <c r="O1043" s="77"/>
      <c r="P1043" s="92" t="s">
        <v>2536</v>
      </c>
      <c r="Q1043" s="32"/>
      <c r="R1043" s="48" t="s">
        <v>216</v>
      </c>
      <c r="S1043" s="32"/>
    </row>
    <row r="1044" spans="2:19" x14ac:dyDescent="0.3">
      <c r="B1044" t="str">
        <f>LEFT(Tabla3890134177220392[[#This Row],[Descripción del equipo]], FIND(" ", Tabla3890134177220392[[#This Row],[Descripción del equipo]] &amp; " ") - 1)</f>
        <v>Arnes</v>
      </c>
      <c r="C1044" s="11" t="s">
        <v>172</v>
      </c>
      <c r="D1044">
        <v>1</v>
      </c>
      <c r="E1044" t="s">
        <v>160</v>
      </c>
      <c r="F1044" s="91" t="s">
        <v>1068</v>
      </c>
      <c r="G1044" s="90" t="str">
        <f>LEFT([1]modificado!$O$2, FIND(" ", [1]modificado!$O$2 &amp; " ") - 1)</f>
        <v>3M</v>
      </c>
      <c r="H1044" s="47" t="str">
        <f>RIGHT([1]!Tabla2[[#This Row],[Marca y Modelo]], LEN([1]!Tabla2[[#This Row],[Marca y Modelo]]) - FIND(" ", [1]!Tabla2[[#This Row],[Marca y Modelo]]))</f>
        <v>1021-LOGO</v>
      </c>
      <c r="I1044" s="76"/>
      <c r="J1044" s="76"/>
      <c r="K1044" s="91" t="s">
        <v>4268</v>
      </c>
      <c r="L1044" s="91" t="s">
        <v>3655</v>
      </c>
      <c r="M1044" s="91" t="s">
        <v>1404</v>
      </c>
      <c r="N1044" s="91" t="s">
        <v>2455</v>
      </c>
      <c r="O1044" s="77"/>
      <c r="P1044" s="91" t="s">
        <v>2536</v>
      </c>
      <c r="Q1044" s="32"/>
      <c r="R1044" s="48" t="s">
        <v>216</v>
      </c>
      <c r="S1044" s="32"/>
    </row>
    <row r="1045" spans="2:19" x14ac:dyDescent="0.3">
      <c r="B1045" t="str">
        <f>LEFT(Tabla3890134177220392[[#This Row],[Descripción del equipo]], FIND(" ", Tabla3890134177220392[[#This Row],[Descripción del equipo]] &amp; " ") - 1)</f>
        <v>Arnes</v>
      </c>
      <c r="C1045" s="11" t="s">
        <v>172</v>
      </c>
      <c r="D1045">
        <v>1</v>
      </c>
      <c r="E1045" t="s">
        <v>160</v>
      </c>
      <c r="F1045" s="92" t="s">
        <v>1068</v>
      </c>
      <c r="G1045" s="90" t="str">
        <f>LEFT([1]modificado!$O$2, FIND(" ", [1]modificado!$O$2 &amp; " ") - 1)</f>
        <v>3M</v>
      </c>
      <c r="H1045" s="47" t="str">
        <f>RIGHT([1]!Tabla2[[#This Row],[Marca y Modelo]], LEN([1]!Tabla2[[#This Row],[Marca y Modelo]]) - FIND(" ", [1]!Tabla2[[#This Row],[Marca y Modelo]]))</f>
        <v>1021-LOGO</v>
      </c>
      <c r="I1045" s="76"/>
      <c r="J1045" s="76"/>
      <c r="K1045" s="92" t="s">
        <v>4268</v>
      </c>
      <c r="L1045" s="92" t="s">
        <v>3656</v>
      </c>
      <c r="M1045" s="92" t="s">
        <v>1404</v>
      </c>
      <c r="N1045" s="92" t="s">
        <v>2456</v>
      </c>
      <c r="O1045" s="77"/>
      <c r="P1045" s="92" t="s">
        <v>2536</v>
      </c>
      <c r="Q1045" s="32"/>
      <c r="R1045" s="48" t="s">
        <v>216</v>
      </c>
      <c r="S1045" s="32"/>
    </row>
    <row r="1046" spans="2:19" x14ac:dyDescent="0.3">
      <c r="B1046" t="s">
        <v>4348</v>
      </c>
      <c r="C1046" s="11" t="s">
        <v>172</v>
      </c>
      <c r="D1046">
        <v>1</v>
      </c>
      <c r="E1046" t="s">
        <v>160</v>
      </c>
      <c r="F1046" s="91" t="s">
        <v>1075</v>
      </c>
      <c r="G1046" s="90" t="str">
        <f>LEFT([1]modificado!$O$2, FIND(" ", [1]modificado!$O$2 &amp; " ") - 1)</f>
        <v>3M</v>
      </c>
      <c r="H1046" s="47" t="str">
        <f>RIGHT([1]!Tabla2[[#This Row],[Marca y Modelo]], LEN([1]!Tabla2[[#This Row],[Marca y Modelo]]) - FIND(" ", [1]!Tabla2[[#This Row],[Marca y Modelo]]))</f>
        <v>SP3710-S</v>
      </c>
      <c r="I1046" s="76"/>
      <c r="J1046" s="76"/>
      <c r="K1046" s="91" t="s">
        <v>4271</v>
      </c>
      <c r="L1046" s="91" t="s">
        <v>3657</v>
      </c>
      <c r="M1046" s="91" t="s">
        <v>1407</v>
      </c>
      <c r="N1046" s="91" t="s">
        <v>2457</v>
      </c>
      <c r="O1046" s="77"/>
      <c r="P1046" s="91" t="s">
        <v>2536</v>
      </c>
      <c r="Q1046" s="32"/>
      <c r="R1046" s="48" t="s">
        <v>216</v>
      </c>
      <c r="S1046" s="32"/>
    </row>
    <row r="1047" spans="2:19" x14ac:dyDescent="0.3">
      <c r="B1047" t="s">
        <v>4348</v>
      </c>
      <c r="C1047" s="11" t="s">
        <v>172</v>
      </c>
      <c r="D1047">
        <v>1</v>
      </c>
      <c r="E1047" t="s">
        <v>160</v>
      </c>
      <c r="F1047" s="92" t="s">
        <v>1075</v>
      </c>
      <c r="G1047" s="90" t="str">
        <f>LEFT([1]modificado!$O$2, FIND(" ", [1]modificado!$O$2 &amp; " ") - 1)</f>
        <v>3M</v>
      </c>
      <c r="H1047" s="47" t="str">
        <f>RIGHT([1]!Tabla2[[#This Row],[Marca y Modelo]], LEN([1]!Tabla2[[#This Row],[Marca y Modelo]]) - FIND(" ", [1]!Tabla2[[#This Row],[Marca y Modelo]]))</f>
        <v>SP3710-S</v>
      </c>
      <c r="I1047" s="76"/>
      <c r="J1047" s="76"/>
      <c r="K1047" s="92" t="s">
        <v>4271</v>
      </c>
      <c r="L1047" s="92" t="s">
        <v>3658</v>
      </c>
      <c r="M1047" s="92" t="s">
        <v>1404</v>
      </c>
      <c r="N1047" s="92" t="s">
        <v>2458</v>
      </c>
      <c r="O1047" s="77"/>
      <c r="P1047" s="92" t="s">
        <v>2536</v>
      </c>
      <c r="Q1047" s="32"/>
      <c r="R1047" s="48" t="s">
        <v>216</v>
      </c>
      <c r="S1047" s="32"/>
    </row>
    <row r="1048" spans="2:19" x14ac:dyDescent="0.3">
      <c r="B1048" t="str">
        <f>LEFT(Tabla3890134177220392[[#This Row],[Descripción del equipo]], FIND(" ", Tabla3890134177220392[[#This Row],[Descripción del equipo]] &amp; " ") - 1)</f>
        <v>Autoretractil</v>
      </c>
      <c r="C1048" s="11" t="s">
        <v>172</v>
      </c>
      <c r="D1048">
        <v>1</v>
      </c>
      <c r="E1048" t="s">
        <v>160</v>
      </c>
      <c r="F1048" s="91" t="s">
        <v>1058</v>
      </c>
      <c r="G1048" s="90" t="str">
        <f>LEFT([1]modificado!$O$2, FIND(" ", [1]modificado!$O$2 &amp; " ") - 1)</f>
        <v>3M</v>
      </c>
      <c r="H1048" s="47"/>
      <c r="I1048" s="76"/>
      <c r="J1048" s="76"/>
      <c r="K1048" s="91" t="s">
        <v>4270</v>
      </c>
      <c r="L1048" s="91" t="s">
        <v>3659</v>
      </c>
      <c r="M1048" s="91" t="s">
        <v>1404</v>
      </c>
      <c r="N1048" s="91" t="s">
        <v>2459</v>
      </c>
      <c r="O1048" s="77"/>
      <c r="P1048" s="91" t="s">
        <v>2536</v>
      </c>
      <c r="Q1048" s="32"/>
      <c r="R1048" s="48" t="s">
        <v>216</v>
      </c>
      <c r="S1048" s="32"/>
    </row>
    <row r="1049" spans="2:19" x14ac:dyDescent="0.3">
      <c r="B1049" t="str">
        <f>LEFT(Tabla3890134177220392[[#This Row],[Descripción del equipo]], FIND(" ", Tabla3890134177220392[[#This Row],[Descripción del equipo]] &amp; " ") - 1)</f>
        <v>Autoretractil</v>
      </c>
      <c r="C1049" s="11" t="s">
        <v>172</v>
      </c>
      <c r="D1049">
        <v>1</v>
      </c>
      <c r="E1049" t="s">
        <v>160</v>
      </c>
      <c r="F1049" s="92" t="s">
        <v>1058</v>
      </c>
      <c r="G1049" s="90" t="str">
        <f>LEFT([1]modificado!$O$2, FIND(" ", [1]modificado!$O$2 &amp; " ") - 1)</f>
        <v>3M</v>
      </c>
      <c r="H1049" s="47"/>
      <c r="I1049" s="76"/>
      <c r="J1049" s="76"/>
      <c r="K1049" s="92" t="s">
        <v>4270</v>
      </c>
      <c r="L1049" s="92" t="s">
        <v>3660</v>
      </c>
      <c r="M1049" s="92" t="s">
        <v>1404</v>
      </c>
      <c r="N1049" s="92" t="s">
        <v>2460</v>
      </c>
      <c r="O1049" s="77"/>
      <c r="P1049" s="92" t="s">
        <v>2536</v>
      </c>
      <c r="Q1049" s="32"/>
      <c r="R1049" s="48" t="s">
        <v>216</v>
      </c>
      <c r="S1049" s="32"/>
    </row>
    <row r="1050" spans="2:19" x14ac:dyDescent="0.3">
      <c r="B1050" t="str">
        <f>LEFT(Tabla3890134177220392[[#This Row],[Descripción del equipo]], FIND(" ", Tabla3890134177220392[[#This Row],[Descripción del equipo]] &amp; " ") - 1)</f>
        <v>Autoretractil</v>
      </c>
      <c r="C1050" s="11" t="s">
        <v>172</v>
      </c>
      <c r="D1050">
        <v>1</v>
      </c>
      <c r="E1050" t="s">
        <v>160</v>
      </c>
      <c r="F1050" s="91" t="s">
        <v>1058</v>
      </c>
      <c r="G1050" s="90" t="str">
        <f>LEFT([1]modificado!$O$2, FIND(" ", [1]modificado!$O$2 &amp; " ") - 1)</f>
        <v>3M</v>
      </c>
      <c r="H1050" s="47"/>
      <c r="I1050" s="76"/>
      <c r="J1050" s="76"/>
      <c r="K1050" s="91" t="s">
        <v>4270</v>
      </c>
      <c r="L1050" s="91" t="s">
        <v>3661</v>
      </c>
      <c r="M1050" s="91" t="s">
        <v>1404</v>
      </c>
      <c r="N1050" s="91" t="s">
        <v>2461</v>
      </c>
      <c r="O1050" s="77"/>
      <c r="P1050" s="91" t="s">
        <v>2536</v>
      </c>
      <c r="Q1050" s="32"/>
      <c r="R1050" s="48" t="s">
        <v>216</v>
      </c>
      <c r="S1050" s="32"/>
    </row>
    <row r="1051" spans="2:19" x14ac:dyDescent="0.3">
      <c r="B1051" t="str">
        <f>LEFT(Tabla3890134177220392[[#This Row],[Descripción del equipo]], FIND(" ", Tabla3890134177220392[[#This Row],[Descripción del equipo]] &amp; " ") - 1)</f>
        <v>Autoretractil</v>
      </c>
      <c r="C1051" s="11" t="s">
        <v>172</v>
      </c>
      <c r="D1051">
        <v>1</v>
      </c>
      <c r="E1051" t="s">
        <v>160</v>
      </c>
      <c r="F1051" s="92" t="s">
        <v>1058</v>
      </c>
      <c r="G1051" s="90" t="str">
        <f>LEFT([1]modificado!$O$2, FIND(" ", [1]modificado!$O$2 &amp; " ") - 1)</f>
        <v>3M</v>
      </c>
      <c r="H1051" s="47"/>
      <c r="I1051" s="76"/>
      <c r="J1051" s="76"/>
      <c r="K1051" s="92" t="s">
        <v>4270</v>
      </c>
      <c r="L1051" s="92" t="s">
        <v>3662</v>
      </c>
      <c r="M1051" s="92" t="s">
        <v>1404</v>
      </c>
      <c r="N1051" s="92" t="s">
        <v>2462</v>
      </c>
      <c r="O1051" s="77"/>
      <c r="P1051" s="92" t="s">
        <v>2536</v>
      </c>
      <c r="Q1051" s="32"/>
      <c r="R1051" s="48" t="s">
        <v>216</v>
      </c>
      <c r="S1051" s="32"/>
    </row>
    <row r="1052" spans="2:19" x14ac:dyDescent="0.3">
      <c r="B1052" t="str">
        <f>LEFT(Tabla3890134177220392[[#This Row],[Descripción del equipo]], FIND(" ", Tabla3890134177220392[[#This Row],[Descripción del equipo]] &amp; " ") - 1)</f>
        <v>Autoretractil</v>
      </c>
      <c r="C1052" s="11" t="s">
        <v>172</v>
      </c>
      <c r="D1052">
        <v>1</v>
      </c>
      <c r="E1052" t="s">
        <v>160</v>
      </c>
      <c r="F1052" s="91" t="s">
        <v>1058</v>
      </c>
      <c r="G1052" s="90" t="str">
        <f>LEFT([1]modificado!$O$2, FIND(" ", [1]modificado!$O$2 &amp; " ") - 1)</f>
        <v>3M</v>
      </c>
      <c r="H1052" s="47"/>
      <c r="I1052" s="76"/>
      <c r="J1052" s="76"/>
      <c r="K1052" s="91" t="s">
        <v>4270</v>
      </c>
      <c r="L1052" s="91" t="s">
        <v>3663</v>
      </c>
      <c r="M1052" s="91" t="s">
        <v>1404</v>
      </c>
      <c r="N1052" s="91" t="s">
        <v>2463</v>
      </c>
      <c r="O1052" s="77"/>
      <c r="P1052" s="91" t="s">
        <v>2536</v>
      </c>
      <c r="Q1052" s="32"/>
      <c r="R1052" s="48" t="s">
        <v>216</v>
      </c>
      <c r="S1052" s="32"/>
    </row>
    <row r="1053" spans="2:19" x14ac:dyDescent="0.3">
      <c r="B1053" t="str">
        <f>LEFT(Tabla3890134177220392[[#This Row],[Descripción del equipo]], FIND(" ", Tabla3890134177220392[[#This Row],[Descripción del equipo]] &amp; " ") - 1)</f>
        <v>Autoretractil</v>
      </c>
      <c r="C1053" s="11" t="s">
        <v>172</v>
      </c>
      <c r="D1053">
        <v>1</v>
      </c>
      <c r="E1053" t="s">
        <v>160</v>
      </c>
      <c r="F1053" s="92" t="s">
        <v>1058</v>
      </c>
      <c r="G1053" s="90" t="str">
        <f>LEFT([1]modificado!$O$2, FIND(" ", [1]modificado!$O$2 &amp; " ") - 1)</f>
        <v>3M</v>
      </c>
      <c r="H1053" s="47"/>
      <c r="I1053" s="76"/>
      <c r="J1053" s="76"/>
      <c r="K1053" s="92" t="s">
        <v>4270</v>
      </c>
      <c r="L1053" s="92" t="s">
        <v>3664</v>
      </c>
      <c r="M1053" s="92" t="s">
        <v>1404</v>
      </c>
      <c r="N1053" s="92" t="s">
        <v>2464</v>
      </c>
      <c r="O1053" s="77"/>
      <c r="P1053" s="92" t="s">
        <v>2536</v>
      </c>
      <c r="Q1053" s="32"/>
      <c r="R1053" s="48" t="s">
        <v>216</v>
      </c>
      <c r="S1053" s="32"/>
    </row>
    <row r="1054" spans="2:19" x14ac:dyDescent="0.3">
      <c r="B1054" t="str">
        <f>LEFT(Tabla3890134177220392[[#This Row],[Descripción del equipo]], FIND(" ", Tabla3890134177220392[[#This Row],[Descripción del equipo]] &amp; " ") - 1)</f>
        <v>Autoretractil</v>
      </c>
      <c r="C1054" s="11" t="s">
        <v>172</v>
      </c>
      <c r="D1054">
        <v>1</v>
      </c>
      <c r="E1054" t="s">
        <v>160</v>
      </c>
      <c r="F1054" s="91" t="s">
        <v>1058</v>
      </c>
      <c r="G1054" s="90" t="str">
        <f>LEFT([1]modificado!$O$2, FIND(" ", [1]modificado!$O$2 &amp; " ") - 1)</f>
        <v>3M</v>
      </c>
      <c r="H1054" s="47"/>
      <c r="I1054" s="76"/>
      <c r="J1054" s="76"/>
      <c r="K1054" s="91" t="s">
        <v>4272</v>
      </c>
      <c r="L1054" s="91" t="s">
        <v>3665</v>
      </c>
      <c r="M1054" s="91" t="s">
        <v>1404</v>
      </c>
      <c r="N1054" s="91" t="s">
        <v>2465</v>
      </c>
      <c r="O1054" s="77"/>
      <c r="P1054" s="91" t="s">
        <v>2536</v>
      </c>
      <c r="Q1054" s="32"/>
      <c r="R1054" s="48" t="s">
        <v>216</v>
      </c>
      <c r="S1054" s="32"/>
    </row>
    <row r="1055" spans="2:19" x14ac:dyDescent="0.3">
      <c r="B1055" t="str">
        <f>LEFT(Tabla3890134177220392[[#This Row],[Descripción del equipo]], FIND(" ", Tabla3890134177220392[[#This Row],[Descripción del equipo]] &amp; " ") - 1)</f>
        <v>Autoretractil</v>
      </c>
      <c r="C1055" s="11" t="s">
        <v>172</v>
      </c>
      <c r="D1055">
        <v>1</v>
      </c>
      <c r="E1055" t="s">
        <v>160</v>
      </c>
      <c r="F1055" s="92" t="s">
        <v>1058</v>
      </c>
      <c r="G1055" s="90" t="str">
        <f>LEFT([1]modificado!$O$2, FIND(" ", [1]modificado!$O$2 &amp; " ") - 1)</f>
        <v>3M</v>
      </c>
      <c r="H1055" s="47"/>
      <c r="I1055" s="76"/>
      <c r="J1055" s="76"/>
      <c r="K1055" s="92" t="s">
        <v>4272</v>
      </c>
      <c r="L1055" s="92" t="s">
        <v>3666</v>
      </c>
      <c r="M1055" s="92" t="s">
        <v>1404</v>
      </c>
      <c r="N1055" s="92" t="s">
        <v>2466</v>
      </c>
      <c r="O1055" s="77"/>
      <c r="P1055" s="92" t="s">
        <v>2536</v>
      </c>
      <c r="Q1055" s="32"/>
      <c r="R1055" s="48" t="s">
        <v>216</v>
      </c>
      <c r="S1055" s="32"/>
    </row>
    <row r="1056" spans="2:19" x14ac:dyDescent="0.3">
      <c r="B1056" t="s">
        <v>4348</v>
      </c>
      <c r="C1056" s="11" t="s">
        <v>172</v>
      </c>
      <c r="D1056">
        <v>1</v>
      </c>
      <c r="E1056" t="s">
        <v>160</v>
      </c>
      <c r="F1056" s="91" t="s">
        <v>1061</v>
      </c>
      <c r="G1056" s="90" t="str">
        <f>LEFT([1]modificado!$O$2, FIND(" ", [1]modificado!$O$2 &amp; " ") - 1)</f>
        <v>3M</v>
      </c>
      <c r="H1056" s="47" t="str">
        <f>RIGHT([1]!Tabla2[[#This Row],[Marca y Modelo]], LEN([1]!Tabla2[[#This Row],[Marca y Modelo]]) - FIND(" ", [1]!Tabla2[[#This Row],[Marca y Modelo]]))</f>
        <v>3210</v>
      </c>
      <c r="I1056" s="76"/>
      <c r="J1056" s="76"/>
      <c r="K1056" s="91" t="s">
        <v>4271</v>
      </c>
      <c r="L1056" s="91" t="s">
        <v>3667</v>
      </c>
      <c r="M1056" s="91" t="s">
        <v>1404</v>
      </c>
      <c r="N1056" s="91" t="s">
        <v>2467</v>
      </c>
      <c r="O1056" s="77"/>
      <c r="P1056" s="91" t="s">
        <v>2536</v>
      </c>
      <c r="Q1056" s="32"/>
      <c r="R1056" s="48" t="s">
        <v>216</v>
      </c>
      <c r="S1056" s="32"/>
    </row>
    <row r="1057" spans="2:19" x14ac:dyDescent="0.3">
      <c r="B1057" t="s">
        <v>4348</v>
      </c>
      <c r="C1057" s="11" t="s">
        <v>172</v>
      </c>
      <c r="D1057">
        <v>1</v>
      </c>
      <c r="E1057" t="s">
        <v>160</v>
      </c>
      <c r="F1057" s="92" t="s">
        <v>1061</v>
      </c>
      <c r="G1057" s="90" t="str">
        <f>LEFT([1]modificado!$O$2, FIND(" ", [1]modificado!$O$2 &amp; " ") - 1)</f>
        <v>3M</v>
      </c>
      <c r="H1057" s="47" t="str">
        <f>RIGHT([1]!Tabla2[[#This Row],[Marca y Modelo]], LEN([1]!Tabla2[[#This Row],[Marca y Modelo]]) - FIND(" ", [1]!Tabla2[[#This Row],[Marca y Modelo]]))</f>
        <v>3210</v>
      </c>
      <c r="I1057" s="76"/>
      <c r="J1057" s="76"/>
      <c r="K1057" s="92" t="s">
        <v>4273</v>
      </c>
      <c r="L1057" s="92" t="s">
        <v>3668</v>
      </c>
      <c r="M1057" s="92" t="s">
        <v>1404</v>
      </c>
      <c r="N1057" s="92" t="s">
        <v>2468</v>
      </c>
      <c r="O1057" s="77"/>
      <c r="P1057" s="92" t="s">
        <v>2536</v>
      </c>
      <c r="Q1057" s="32"/>
      <c r="R1057" s="48" t="s">
        <v>216</v>
      </c>
      <c r="S1057" s="32"/>
    </row>
    <row r="1058" spans="2:19" x14ac:dyDescent="0.3">
      <c r="B1058" t="s">
        <v>4348</v>
      </c>
      <c r="C1058" s="11" t="s">
        <v>172</v>
      </c>
      <c r="D1058">
        <v>1</v>
      </c>
      <c r="E1058" t="s">
        <v>160</v>
      </c>
      <c r="F1058" s="91" t="s">
        <v>1072</v>
      </c>
      <c r="G1058" s="90" t="str">
        <f>LEFT([1]modificado!$O$2, FIND(" ", [1]modificado!$O$2 &amp; " ") - 1)</f>
        <v>3M</v>
      </c>
      <c r="H1058" s="47" t="str">
        <f>RIGHT([1]!Tabla2[[#This Row],[Marca y Modelo]], LEN([1]!Tabla2[[#This Row],[Marca y Modelo]]) - FIND(" ", [1]!Tabla2[[#This Row],[Marca y Modelo]]))</f>
        <v>3250</v>
      </c>
      <c r="I1058" s="76"/>
      <c r="J1058" s="76"/>
      <c r="K1058" s="91" t="s">
        <v>4274</v>
      </c>
      <c r="L1058" s="91" t="s">
        <v>3669</v>
      </c>
      <c r="M1058" s="91" t="s">
        <v>1404</v>
      </c>
      <c r="N1058" s="91" t="s">
        <v>2469</v>
      </c>
      <c r="O1058" s="77"/>
      <c r="P1058" s="91" t="s">
        <v>2536</v>
      </c>
      <c r="Q1058" s="32"/>
      <c r="R1058" s="48" t="s">
        <v>216</v>
      </c>
      <c r="S1058" s="32"/>
    </row>
    <row r="1059" spans="2:19" x14ac:dyDescent="0.3">
      <c r="B1059" t="s">
        <v>4348</v>
      </c>
      <c r="C1059" s="11" t="s">
        <v>172</v>
      </c>
      <c r="D1059">
        <v>1</v>
      </c>
      <c r="E1059" t="s">
        <v>160</v>
      </c>
      <c r="F1059" s="92" t="s">
        <v>1072</v>
      </c>
      <c r="G1059" s="90" t="str">
        <f>LEFT([1]modificado!$O$2, FIND(" ", [1]modificado!$O$2 &amp; " ") - 1)</f>
        <v>3M</v>
      </c>
      <c r="H1059" s="47" t="str">
        <f>RIGHT([1]!Tabla2[[#This Row],[Marca y Modelo]], LEN([1]!Tabla2[[#This Row],[Marca y Modelo]]) - FIND(" ", [1]!Tabla2[[#This Row],[Marca y Modelo]]))</f>
        <v>3250</v>
      </c>
      <c r="I1059" s="76"/>
      <c r="J1059" s="76"/>
      <c r="K1059" s="92" t="s">
        <v>4274</v>
      </c>
      <c r="L1059" s="92" t="s">
        <v>3670</v>
      </c>
      <c r="M1059" s="92" t="s">
        <v>1404</v>
      </c>
      <c r="N1059" s="92" t="s">
        <v>2470</v>
      </c>
      <c r="O1059" s="77"/>
      <c r="P1059" s="92" t="s">
        <v>2536</v>
      </c>
      <c r="Q1059" s="32"/>
      <c r="R1059" s="48" t="s">
        <v>216</v>
      </c>
      <c r="S1059" s="32"/>
    </row>
    <row r="1060" spans="2:19" x14ac:dyDescent="0.3">
      <c r="B1060" t="s">
        <v>4348</v>
      </c>
      <c r="C1060" s="11" t="s">
        <v>172</v>
      </c>
      <c r="D1060">
        <v>1</v>
      </c>
      <c r="E1060" t="s">
        <v>160</v>
      </c>
      <c r="F1060" s="91" t="s">
        <v>1072</v>
      </c>
      <c r="G1060" s="90" t="str">
        <f>LEFT([1]modificado!$O$2, FIND(" ", [1]modificado!$O$2 &amp; " ") - 1)</f>
        <v>3M</v>
      </c>
      <c r="H1060" s="47" t="str">
        <f>RIGHT([1]!Tabla2[[#This Row],[Marca y Modelo]], LEN([1]!Tabla2[[#This Row],[Marca y Modelo]]) - FIND(" ", [1]!Tabla2[[#This Row],[Marca y Modelo]]))</f>
        <v>3250</v>
      </c>
      <c r="I1060" s="76"/>
      <c r="J1060" s="76"/>
      <c r="K1060" s="91" t="s">
        <v>4274</v>
      </c>
      <c r="L1060" s="91" t="s">
        <v>3671</v>
      </c>
      <c r="M1060" s="91" t="s">
        <v>1404</v>
      </c>
      <c r="N1060" s="91" t="s">
        <v>2471</v>
      </c>
      <c r="O1060" s="77"/>
      <c r="P1060" s="91" t="s">
        <v>2536</v>
      </c>
      <c r="Q1060" s="32"/>
      <c r="R1060" s="48" t="s">
        <v>216</v>
      </c>
      <c r="S1060" s="32"/>
    </row>
    <row r="1061" spans="2:19" x14ac:dyDescent="0.3">
      <c r="B1061" t="s">
        <v>4348</v>
      </c>
      <c r="C1061" s="11" t="s">
        <v>172</v>
      </c>
      <c r="D1061">
        <v>1</v>
      </c>
      <c r="E1061" t="s">
        <v>160</v>
      </c>
      <c r="F1061" s="92" t="s">
        <v>1061</v>
      </c>
      <c r="G1061" s="90" t="str">
        <f>LEFT([1]modificado!$O$2, FIND(" ", [1]modificado!$O$2 &amp; " ") - 1)</f>
        <v>3M</v>
      </c>
      <c r="H1061" s="47" t="str">
        <f>RIGHT([1]!Tabla2[[#This Row],[Marca y Modelo]], LEN([1]!Tabla2[[#This Row],[Marca y Modelo]]) - FIND(" ", [1]!Tabla2[[#This Row],[Marca y Modelo]]))</f>
        <v>3210</v>
      </c>
      <c r="I1061" s="76"/>
      <c r="J1061" s="76"/>
      <c r="K1061" s="92" t="s">
        <v>4273</v>
      </c>
      <c r="L1061" s="92" t="s">
        <v>3672</v>
      </c>
      <c r="M1061" s="92" t="s">
        <v>1404</v>
      </c>
      <c r="N1061" s="92" t="s">
        <v>2472</v>
      </c>
      <c r="O1061" s="77"/>
      <c r="P1061" s="92" t="s">
        <v>2536</v>
      </c>
      <c r="Q1061" s="32"/>
      <c r="R1061" s="48" t="s">
        <v>216</v>
      </c>
      <c r="S1061" s="32"/>
    </row>
    <row r="1062" spans="2:19" x14ac:dyDescent="0.3">
      <c r="B1062" t="s">
        <v>4348</v>
      </c>
      <c r="C1062" s="11" t="s">
        <v>172</v>
      </c>
      <c r="D1062">
        <v>1</v>
      </c>
      <c r="E1062" t="s">
        <v>160</v>
      </c>
      <c r="F1062" s="91" t="s">
        <v>1072</v>
      </c>
      <c r="G1062" s="90" t="str">
        <f>LEFT([1]modificado!$O$2, FIND(" ", [1]modificado!$O$2 &amp; " ") - 1)</f>
        <v>3M</v>
      </c>
      <c r="H1062" s="47" t="str">
        <f>RIGHT([1]!Tabla2[[#This Row],[Marca y Modelo]], LEN([1]!Tabla2[[#This Row],[Marca y Modelo]]) - FIND(" ", [1]!Tabla2[[#This Row],[Marca y Modelo]]))</f>
        <v>3250</v>
      </c>
      <c r="I1062" s="76"/>
      <c r="J1062" s="76"/>
      <c r="K1062" s="91" t="s">
        <v>4274</v>
      </c>
      <c r="L1062" s="91" t="s">
        <v>3673</v>
      </c>
      <c r="M1062" s="91" t="s">
        <v>1404</v>
      </c>
      <c r="N1062" s="91" t="s">
        <v>2473</v>
      </c>
      <c r="O1062" s="77"/>
      <c r="P1062" s="91" t="s">
        <v>2536</v>
      </c>
      <c r="Q1062" s="32"/>
      <c r="R1062" s="48" t="s">
        <v>216</v>
      </c>
      <c r="S1062" s="32"/>
    </row>
    <row r="1063" spans="2:19" x14ac:dyDescent="0.3">
      <c r="B1063" t="s">
        <v>4348</v>
      </c>
      <c r="C1063" s="11" t="s">
        <v>172</v>
      </c>
      <c r="D1063">
        <v>1</v>
      </c>
      <c r="E1063" t="s">
        <v>160</v>
      </c>
      <c r="F1063" s="92" t="s">
        <v>1072</v>
      </c>
      <c r="G1063" s="90" t="str">
        <f>LEFT([1]modificado!$O$2, FIND(" ", [1]modificado!$O$2 &amp; " ") - 1)</f>
        <v>3M</v>
      </c>
      <c r="H1063" s="47" t="str">
        <f>RIGHT([1]!Tabla2[[#This Row],[Marca y Modelo]], LEN([1]!Tabla2[[#This Row],[Marca y Modelo]]) - FIND(" ", [1]!Tabla2[[#This Row],[Marca y Modelo]]))</f>
        <v>602AC</v>
      </c>
      <c r="I1063" s="76"/>
      <c r="J1063" s="76"/>
      <c r="K1063" s="92" t="s">
        <v>4274</v>
      </c>
      <c r="L1063" s="92" t="s">
        <v>3674</v>
      </c>
      <c r="M1063" s="92" t="s">
        <v>1404</v>
      </c>
      <c r="N1063" s="92" t="s">
        <v>2474</v>
      </c>
      <c r="O1063" s="77"/>
      <c r="P1063" s="92" t="s">
        <v>2536</v>
      </c>
      <c r="Q1063" s="32"/>
      <c r="R1063" s="48" t="s">
        <v>216</v>
      </c>
      <c r="S1063" s="32"/>
    </row>
    <row r="1064" spans="2:19" x14ac:dyDescent="0.3">
      <c r="B1064" t="s">
        <v>4348</v>
      </c>
      <c r="C1064" s="11" t="s">
        <v>172</v>
      </c>
      <c r="D1064">
        <v>1</v>
      </c>
      <c r="E1064" t="s">
        <v>160</v>
      </c>
      <c r="F1064" s="91" t="s">
        <v>1069</v>
      </c>
      <c r="G1064" s="90" t="str">
        <f>LEFT([1]modificado!$O$2, FIND(" ", [1]modificado!$O$2 &amp; " ") - 1)</f>
        <v>3M</v>
      </c>
      <c r="H1064" s="47"/>
      <c r="I1064" s="76"/>
      <c r="J1064" s="76"/>
      <c r="K1064" s="91" t="s">
        <v>4275</v>
      </c>
      <c r="L1064" s="91" t="s">
        <v>3675</v>
      </c>
      <c r="M1064" s="91" t="s">
        <v>1404</v>
      </c>
      <c r="N1064" s="91" t="s">
        <v>2475</v>
      </c>
      <c r="O1064" s="77"/>
      <c r="P1064" s="91" t="s">
        <v>2536</v>
      </c>
      <c r="Q1064" s="32"/>
      <c r="R1064" s="48" t="s">
        <v>216</v>
      </c>
      <c r="S1064" s="32"/>
    </row>
    <row r="1065" spans="2:19" x14ac:dyDescent="0.3">
      <c r="B1065" t="s">
        <v>4348</v>
      </c>
      <c r="C1065" s="11" t="s">
        <v>172</v>
      </c>
      <c r="D1065">
        <v>1</v>
      </c>
      <c r="E1065" t="s">
        <v>160</v>
      </c>
      <c r="F1065" s="92" t="s">
        <v>1083</v>
      </c>
      <c r="G1065" s="90" t="str">
        <f>LEFT([1]modificado!$O$2, FIND(" ", [1]modificado!$O$2 &amp; " ") - 1)</f>
        <v>3M</v>
      </c>
      <c r="H1065" s="47" t="str">
        <f>RIGHT([1]!Tabla2[[#This Row],[Marca y Modelo]], LEN([1]!Tabla2[[#This Row],[Marca y Modelo]]) - FIND(" ", [1]!Tabla2[[#This Row],[Marca y Modelo]]))</f>
        <v>3612-D-0241</v>
      </c>
      <c r="I1065" s="76"/>
      <c r="J1065" s="76"/>
      <c r="K1065" s="92" t="s">
        <v>4275</v>
      </c>
      <c r="L1065" s="92" t="s">
        <v>3676</v>
      </c>
      <c r="M1065" s="92" t="s">
        <v>1404</v>
      </c>
      <c r="N1065" s="92" t="s">
        <v>2476</v>
      </c>
      <c r="O1065" s="77"/>
      <c r="P1065" s="92" t="s">
        <v>2536</v>
      </c>
      <c r="Q1065" s="32"/>
      <c r="R1065" s="48" t="s">
        <v>216</v>
      </c>
      <c r="S1065" s="32"/>
    </row>
    <row r="1066" spans="2:19" x14ac:dyDescent="0.3">
      <c r="B1066" t="s">
        <v>4348</v>
      </c>
      <c r="C1066" s="11" t="s">
        <v>172</v>
      </c>
      <c r="D1066">
        <v>1</v>
      </c>
      <c r="E1066" t="s">
        <v>160</v>
      </c>
      <c r="F1066" s="91" t="s">
        <v>1083</v>
      </c>
      <c r="G1066" s="90" t="str">
        <f>LEFT([1]modificado!$O$2, FIND(" ", [1]modificado!$O$2 &amp; " ") - 1)</f>
        <v>3M</v>
      </c>
      <c r="H1066" s="47" t="str">
        <f>RIGHT([1]!Tabla2[[#This Row],[Marca y Modelo]], LEN([1]!Tabla2[[#This Row],[Marca y Modelo]]) - FIND(" ", [1]!Tabla2[[#This Row],[Marca y Modelo]]))</f>
        <v>3612-D-0241</v>
      </c>
      <c r="I1066" s="76"/>
      <c r="J1066" s="76"/>
      <c r="K1066" s="91" t="s">
        <v>4275</v>
      </c>
      <c r="L1066" s="91" t="s">
        <v>3677</v>
      </c>
      <c r="M1066" s="91" t="s">
        <v>1404</v>
      </c>
      <c r="N1066" s="91" t="s">
        <v>2477</v>
      </c>
      <c r="O1066" s="77"/>
      <c r="P1066" s="91" t="s">
        <v>2536</v>
      </c>
      <c r="Q1066" s="32"/>
      <c r="R1066" s="48" t="s">
        <v>216</v>
      </c>
      <c r="S1066" s="32"/>
    </row>
    <row r="1067" spans="2:19" x14ac:dyDescent="0.3">
      <c r="B1067" t="str">
        <f>LEFT(Tabla3890134177220392[[#This Row],[Descripción del equipo]], FIND(" ", Tabla3890134177220392[[#This Row],[Descripción del equipo]] &amp; " ") - 1)</f>
        <v>Autoretractil</v>
      </c>
      <c r="C1067" s="11" t="s">
        <v>172</v>
      </c>
      <c r="D1067">
        <v>1</v>
      </c>
      <c r="E1067" t="s">
        <v>160</v>
      </c>
      <c r="F1067" s="92" t="s">
        <v>1058</v>
      </c>
      <c r="G1067" s="90" t="str">
        <f>LEFT([1]modificado!$O$2, FIND(" ", [1]modificado!$O$2 &amp; " ") - 1)</f>
        <v>3M</v>
      </c>
      <c r="H1067" s="47"/>
      <c r="I1067" s="76"/>
      <c r="J1067" s="76"/>
      <c r="K1067" s="92" t="s">
        <v>4272</v>
      </c>
      <c r="L1067" s="92" t="s">
        <v>3678</v>
      </c>
      <c r="M1067" s="92" t="s">
        <v>1404</v>
      </c>
      <c r="N1067" s="92" t="s">
        <v>2478</v>
      </c>
      <c r="O1067" s="77"/>
      <c r="P1067" s="92" t="s">
        <v>2536</v>
      </c>
      <c r="Q1067" s="32"/>
      <c r="R1067" s="48" t="s">
        <v>216</v>
      </c>
      <c r="S1067" s="32"/>
    </row>
    <row r="1068" spans="2:19" x14ac:dyDescent="0.3">
      <c r="B1068" t="str">
        <f>LEFT(Tabla3890134177220392[[#This Row],[Descripción del equipo]], FIND(" ", Tabla3890134177220392[[#This Row],[Descripción del equipo]] &amp; " ") - 1)</f>
        <v>Autoretractil</v>
      </c>
      <c r="C1068" s="11" t="s">
        <v>172</v>
      </c>
      <c r="D1068">
        <v>1</v>
      </c>
      <c r="E1068" t="s">
        <v>160</v>
      </c>
      <c r="F1068" s="91" t="s">
        <v>1058</v>
      </c>
      <c r="G1068" s="90" t="str">
        <f>LEFT([1]modificado!$O$2, FIND(" ", [1]modificado!$O$2 &amp; " ") - 1)</f>
        <v>3M</v>
      </c>
      <c r="H1068" s="47"/>
      <c r="I1068" s="76"/>
      <c r="J1068" s="76"/>
      <c r="K1068" s="91" t="s">
        <v>4272</v>
      </c>
      <c r="L1068" s="91" t="s">
        <v>3679</v>
      </c>
      <c r="M1068" s="91" t="s">
        <v>1404</v>
      </c>
      <c r="N1068" s="91" t="s">
        <v>2479</v>
      </c>
      <c r="O1068" s="77"/>
      <c r="P1068" s="91" t="s">
        <v>2536</v>
      </c>
      <c r="Q1068" s="32"/>
      <c r="R1068" s="48" t="s">
        <v>216</v>
      </c>
      <c r="S1068" s="32"/>
    </row>
    <row r="1069" spans="2:19" x14ac:dyDescent="0.3">
      <c r="B1069" t="str">
        <f>LEFT(Tabla3890134177220392[[#This Row],[Descripción del equipo]], FIND(" ", Tabla3890134177220392[[#This Row],[Descripción del equipo]] &amp; " ") - 1)</f>
        <v>Autoretractil</v>
      </c>
      <c r="C1069" s="11" t="s">
        <v>172</v>
      </c>
      <c r="D1069">
        <v>1</v>
      </c>
      <c r="E1069" t="s">
        <v>160</v>
      </c>
      <c r="F1069" s="92" t="s">
        <v>1058</v>
      </c>
      <c r="G1069" s="90" t="str">
        <f>LEFT([1]modificado!$O$2, FIND(" ", [1]modificado!$O$2 &amp; " ") - 1)</f>
        <v>3M</v>
      </c>
      <c r="H1069" s="47" t="str">
        <f>RIGHT([1]!Tabla2[[#This Row],[Marca y Modelo]], LEN([1]!Tabla2[[#This Row],[Marca y Modelo]]) - FIND(" ", [1]!Tabla2[[#This Row],[Marca y Modelo]]))</f>
        <v>3100414</v>
      </c>
      <c r="I1069" s="76"/>
      <c r="J1069" s="76"/>
      <c r="K1069" s="92" t="s">
        <v>4272</v>
      </c>
      <c r="L1069" s="92" t="s">
        <v>3680</v>
      </c>
      <c r="M1069" s="92" t="s">
        <v>1404</v>
      </c>
      <c r="N1069" s="92" t="s">
        <v>2480</v>
      </c>
      <c r="O1069" s="77"/>
      <c r="P1069" s="92" t="s">
        <v>2536</v>
      </c>
      <c r="Q1069" s="32"/>
      <c r="R1069" s="48" t="s">
        <v>216</v>
      </c>
      <c r="S1069" s="32"/>
    </row>
    <row r="1070" spans="2:19" x14ac:dyDescent="0.3">
      <c r="B1070" t="str">
        <f>LEFT(Tabla3890134177220392[[#This Row],[Descripción del equipo]], FIND(" ", Tabla3890134177220392[[#This Row],[Descripción del equipo]] &amp; " ") - 1)</f>
        <v>Autoretractil</v>
      </c>
      <c r="C1070" s="11" t="s">
        <v>172</v>
      </c>
      <c r="D1070">
        <v>1</v>
      </c>
      <c r="E1070" t="s">
        <v>160</v>
      </c>
      <c r="F1070" s="91" t="s">
        <v>1058</v>
      </c>
      <c r="G1070" s="90" t="str">
        <f>LEFT([1]modificado!$O$2, FIND(" ", [1]modificado!$O$2 &amp; " ") - 1)</f>
        <v>3M</v>
      </c>
      <c r="H1070" s="47" t="str">
        <f>RIGHT([1]!Tabla2[[#This Row],[Marca y Modelo]], LEN([1]!Tabla2[[#This Row],[Marca y Modelo]]) - FIND(" ", [1]!Tabla2[[#This Row],[Marca y Modelo]]))</f>
        <v>3100425</v>
      </c>
      <c r="I1070" s="76"/>
      <c r="J1070" s="76"/>
      <c r="K1070" s="91" t="s">
        <v>4272</v>
      </c>
      <c r="L1070" s="91" t="s">
        <v>3681</v>
      </c>
      <c r="M1070" s="91" t="s">
        <v>1404</v>
      </c>
      <c r="N1070" s="91" t="s">
        <v>2481</v>
      </c>
      <c r="O1070" s="77"/>
      <c r="P1070" s="91" t="s">
        <v>2536</v>
      </c>
      <c r="Q1070" s="32"/>
      <c r="R1070" s="48" t="s">
        <v>216</v>
      </c>
      <c r="S1070" s="32"/>
    </row>
    <row r="1071" spans="2:19" x14ac:dyDescent="0.3">
      <c r="B1071" t="str">
        <f>LEFT(Tabla3890134177220392[[#This Row],[Descripción del equipo]], FIND(" ", Tabla3890134177220392[[#This Row],[Descripción del equipo]] &amp; " ") - 1)</f>
        <v>Autoretractil</v>
      </c>
      <c r="C1071" s="11" t="s">
        <v>172</v>
      </c>
      <c r="D1071">
        <v>1</v>
      </c>
      <c r="E1071" t="s">
        <v>160</v>
      </c>
      <c r="F1071" s="92" t="s">
        <v>1058</v>
      </c>
      <c r="G1071" s="90" t="str">
        <f>LEFT([1]modificado!$O$2, FIND(" ", [1]modificado!$O$2 &amp; " ") - 1)</f>
        <v>3M</v>
      </c>
      <c r="H1071" s="47" t="str">
        <f>RIGHT([1]!Tabla2[[#This Row],[Marca y Modelo]], LEN([1]!Tabla2[[#This Row],[Marca y Modelo]]) - FIND(" ", [1]!Tabla2[[#This Row],[Marca y Modelo]]))</f>
        <v>3100425</v>
      </c>
      <c r="I1071" s="76"/>
      <c r="J1071" s="76"/>
      <c r="K1071" s="92" t="s">
        <v>4272</v>
      </c>
      <c r="L1071" s="92" t="s">
        <v>3682</v>
      </c>
      <c r="M1071" s="92" t="s">
        <v>1404</v>
      </c>
      <c r="N1071" s="92" t="s">
        <v>2482</v>
      </c>
      <c r="O1071" s="77"/>
      <c r="P1071" s="92" t="s">
        <v>2536</v>
      </c>
      <c r="Q1071" s="32"/>
      <c r="R1071" s="48" t="s">
        <v>216</v>
      </c>
      <c r="S1071" s="32"/>
    </row>
    <row r="1072" spans="2:19" x14ac:dyDescent="0.3">
      <c r="B1072" t="str">
        <f>LEFT(Tabla3890134177220392[[#This Row],[Descripción del equipo]], FIND(" ", Tabla3890134177220392[[#This Row],[Descripción del equipo]] &amp; " ") - 1)</f>
        <v>Autoretractil</v>
      </c>
      <c r="C1072" s="11" t="s">
        <v>172</v>
      </c>
      <c r="D1072">
        <v>1</v>
      </c>
      <c r="E1072" t="s">
        <v>160</v>
      </c>
      <c r="F1072" s="91" t="s">
        <v>1058</v>
      </c>
      <c r="G1072" s="90" t="str">
        <f>LEFT([1]modificado!$O$2, FIND(" ", [1]modificado!$O$2 &amp; " ") - 1)</f>
        <v>3M</v>
      </c>
      <c r="H1072" s="47" t="str">
        <f>RIGHT([1]!Tabla2[[#This Row],[Marca y Modelo]], LEN([1]!Tabla2[[#This Row],[Marca y Modelo]]) - FIND(" ", [1]!Tabla2[[#This Row],[Marca y Modelo]]))</f>
        <v>3100425</v>
      </c>
      <c r="I1072" s="76"/>
      <c r="J1072" s="76"/>
      <c r="K1072" s="91" t="s">
        <v>4272</v>
      </c>
      <c r="L1072" s="91" t="s">
        <v>3683</v>
      </c>
      <c r="M1072" s="91" t="s">
        <v>1404</v>
      </c>
      <c r="N1072" s="91" t="s">
        <v>2483</v>
      </c>
      <c r="O1072" s="77"/>
      <c r="P1072" s="91" t="s">
        <v>2536</v>
      </c>
      <c r="Q1072" s="32"/>
      <c r="R1072" s="48" t="s">
        <v>216</v>
      </c>
      <c r="S1072" s="32"/>
    </row>
    <row r="1073" spans="2:19" x14ac:dyDescent="0.3">
      <c r="B1073" t="str">
        <f>LEFT(Tabla3890134177220392[[#This Row],[Descripción del equipo]], FIND(" ", Tabla3890134177220392[[#This Row],[Descripción del equipo]] &amp; " ") - 1)</f>
        <v>Retractil</v>
      </c>
      <c r="C1073" s="11" t="s">
        <v>172</v>
      </c>
      <c r="D1073">
        <v>1</v>
      </c>
      <c r="E1073" t="s">
        <v>160</v>
      </c>
      <c r="F1073" s="92" t="s">
        <v>18</v>
      </c>
      <c r="G1073" s="90" t="str">
        <f>LEFT([1]modificado!$O$2, FIND(" ", [1]modificado!$O$2 &amp; " ") - 1)</f>
        <v>3M</v>
      </c>
      <c r="H1073" s="47" t="str">
        <f>RIGHT([1]!Tabla2[[#This Row],[Marca y Modelo]], LEN([1]!Tabla2[[#This Row],[Marca y Modelo]]) - FIND(" ", [1]!Tabla2[[#This Row],[Marca y Modelo]]))</f>
        <v>12937029</v>
      </c>
      <c r="I1073" s="76"/>
      <c r="J1073" s="76"/>
      <c r="K1073" s="92" t="s">
        <v>4276</v>
      </c>
      <c r="L1073" s="92" t="s">
        <v>3684</v>
      </c>
      <c r="M1073" s="92" t="s">
        <v>1404</v>
      </c>
      <c r="N1073" s="92" t="s">
        <v>2484</v>
      </c>
      <c r="O1073" s="77"/>
      <c r="P1073" s="92" t="s">
        <v>2536</v>
      </c>
      <c r="Q1073" s="32"/>
      <c r="R1073" s="48" t="s">
        <v>216</v>
      </c>
      <c r="S1073" s="32"/>
    </row>
    <row r="1074" spans="2:19" x14ac:dyDescent="0.3">
      <c r="B1074" t="str">
        <f>LEFT(Tabla3890134177220392[[#This Row],[Descripción del equipo]], FIND(" ", Tabla3890134177220392[[#This Row],[Descripción del equipo]] &amp; " ") - 1)</f>
        <v>Retractil</v>
      </c>
      <c r="C1074" s="11" t="s">
        <v>172</v>
      </c>
      <c r="D1074">
        <v>1</v>
      </c>
      <c r="E1074" t="s">
        <v>160</v>
      </c>
      <c r="F1074" s="91" t="s">
        <v>18</v>
      </c>
      <c r="G1074" s="90" t="str">
        <f>LEFT([1]modificado!$O$2, FIND(" ", [1]modificado!$O$2 &amp; " ") - 1)</f>
        <v>3M</v>
      </c>
      <c r="H1074" s="47" t="str">
        <f>RIGHT([1]!Tabla2[[#This Row],[Marca y Modelo]], LEN([1]!Tabla2[[#This Row],[Marca y Modelo]]) - FIND(" ", [1]!Tabla2[[#This Row],[Marca y Modelo]]))</f>
        <v>3504450</v>
      </c>
      <c r="I1074" s="76"/>
      <c r="J1074" s="76"/>
      <c r="K1074" s="91" t="s">
        <v>4276</v>
      </c>
      <c r="L1074" s="91" t="s">
        <v>3685</v>
      </c>
      <c r="M1074" s="91" t="s">
        <v>1404</v>
      </c>
      <c r="N1074" s="91" t="s">
        <v>2485</v>
      </c>
      <c r="O1074" s="77"/>
      <c r="P1074" s="91" t="s">
        <v>2536</v>
      </c>
      <c r="Q1074" s="32"/>
      <c r="R1074" s="48" t="s">
        <v>216</v>
      </c>
      <c r="S1074" s="32"/>
    </row>
    <row r="1075" spans="2:19" x14ac:dyDescent="0.3">
      <c r="B1075" t="str">
        <f>LEFT(Tabla3890134177220392[[#This Row],[Descripción del equipo]], FIND(" ", Tabla3890134177220392[[#This Row],[Descripción del equipo]] &amp; " ") - 1)</f>
        <v>Retractil</v>
      </c>
      <c r="C1075" s="11" t="s">
        <v>172</v>
      </c>
      <c r="D1075">
        <v>1</v>
      </c>
      <c r="E1075" t="s">
        <v>160</v>
      </c>
      <c r="F1075" s="92" t="s">
        <v>18</v>
      </c>
      <c r="G1075" s="90" t="str">
        <f>LEFT([1]modificado!$O$2, FIND(" ", [1]modificado!$O$2 &amp; " ") - 1)</f>
        <v>3M</v>
      </c>
      <c r="H1075" s="47" t="str">
        <f>RIGHT([1]!Tabla2[[#This Row],[Marca y Modelo]], LEN([1]!Tabla2[[#This Row],[Marca y Modelo]]) - FIND(" ", [1]!Tabla2[[#This Row],[Marca y Modelo]]))</f>
        <v>3504430</v>
      </c>
      <c r="I1075" s="76"/>
      <c r="J1075" s="76"/>
      <c r="K1075" s="92" t="s">
        <v>4276</v>
      </c>
      <c r="L1075" s="92" t="s">
        <v>3686</v>
      </c>
      <c r="M1075" s="92" t="s">
        <v>1404</v>
      </c>
      <c r="N1075" s="92" t="s">
        <v>2486</v>
      </c>
      <c r="O1075" s="77"/>
      <c r="P1075" s="92" t="s">
        <v>2536</v>
      </c>
      <c r="Q1075" s="32"/>
      <c r="R1075" s="48" t="s">
        <v>216</v>
      </c>
      <c r="S1075" s="32"/>
    </row>
    <row r="1076" spans="2:19" x14ac:dyDescent="0.3">
      <c r="B1076" t="str">
        <f>LEFT(Tabla3890134177220392[[#This Row],[Descripción del equipo]], FIND(" ", Tabla3890134177220392[[#This Row],[Descripción del equipo]] &amp; " ") - 1)</f>
        <v>Retractil</v>
      </c>
      <c r="C1076" s="11" t="s">
        <v>172</v>
      </c>
      <c r="D1076">
        <v>1</v>
      </c>
      <c r="E1076" t="s">
        <v>160</v>
      </c>
      <c r="F1076" s="91" t="s">
        <v>18</v>
      </c>
      <c r="G1076" s="90" t="str">
        <f>LEFT([1]modificado!$O$2, FIND(" ", [1]modificado!$O$2 &amp; " ") - 1)</f>
        <v>3M</v>
      </c>
      <c r="H1076" s="47" t="str">
        <f>RIGHT([1]!Tabla2[[#This Row],[Marca y Modelo]], LEN([1]!Tabla2[[#This Row],[Marca y Modelo]]) - FIND(" ", [1]!Tabla2[[#This Row],[Marca y Modelo]]))</f>
        <v>3504450</v>
      </c>
      <c r="I1076" s="76"/>
      <c r="J1076" s="76"/>
      <c r="K1076" s="91" t="s">
        <v>4276</v>
      </c>
      <c r="L1076" s="91" t="s">
        <v>3687</v>
      </c>
      <c r="M1076" s="91" t="s">
        <v>1404</v>
      </c>
      <c r="N1076" s="91" t="s">
        <v>2487</v>
      </c>
      <c r="O1076" s="77"/>
      <c r="P1076" s="91" t="s">
        <v>2536</v>
      </c>
      <c r="Q1076" s="32"/>
      <c r="R1076" s="48" t="s">
        <v>216</v>
      </c>
      <c r="S1076" s="32"/>
    </row>
    <row r="1077" spans="2:19" x14ac:dyDescent="0.3">
      <c r="B1077" t="str">
        <f>LEFT(Tabla3890134177220392[[#This Row],[Descripción del equipo]], FIND(" ", Tabla3890134177220392[[#This Row],[Descripción del equipo]] &amp; " ") - 1)</f>
        <v>Retractil</v>
      </c>
      <c r="C1077" s="11" t="s">
        <v>172</v>
      </c>
      <c r="D1077">
        <v>1</v>
      </c>
      <c r="E1077" t="s">
        <v>160</v>
      </c>
      <c r="F1077" s="92" t="s">
        <v>18</v>
      </c>
      <c r="G1077" s="90" t="str">
        <f>LEFT([1]modificado!$O$2, FIND(" ", [1]modificado!$O$2 &amp; " ") - 1)</f>
        <v>3M</v>
      </c>
      <c r="H1077" s="47" t="str">
        <f>RIGHT([1]!Tabla2[[#This Row],[Marca y Modelo]], LEN([1]!Tabla2[[#This Row],[Marca y Modelo]]) - FIND(" ", [1]!Tabla2[[#This Row],[Marca y Modelo]]))</f>
        <v>3504436</v>
      </c>
      <c r="I1077" s="76"/>
      <c r="J1077" s="76"/>
      <c r="K1077" s="92" t="s">
        <v>4276</v>
      </c>
      <c r="L1077" s="92" t="s">
        <v>3688</v>
      </c>
      <c r="M1077" s="92" t="s">
        <v>1404</v>
      </c>
      <c r="N1077" s="92" t="s">
        <v>2488</v>
      </c>
      <c r="O1077" s="77"/>
      <c r="P1077" s="92" t="s">
        <v>2536</v>
      </c>
      <c r="Q1077" s="32"/>
      <c r="R1077" s="48" t="s">
        <v>216</v>
      </c>
      <c r="S1077" s="32"/>
    </row>
    <row r="1078" spans="2:19" x14ac:dyDescent="0.3">
      <c r="B1078" t="str">
        <f>LEFT(Tabla3890134177220392[[#This Row],[Descripción del equipo]], FIND(" ", Tabla3890134177220392[[#This Row],[Descripción del equipo]] &amp; " ") - 1)</f>
        <v>Retractil</v>
      </c>
      <c r="C1078" s="11" t="s">
        <v>172</v>
      </c>
      <c r="D1078">
        <v>1</v>
      </c>
      <c r="E1078" t="s">
        <v>160</v>
      </c>
      <c r="F1078" s="91" t="s">
        <v>18</v>
      </c>
      <c r="G1078" s="90" t="str">
        <f>LEFT([1]modificado!$O$2, FIND(" ", [1]modificado!$O$2 &amp; " ") - 1)</f>
        <v>3M</v>
      </c>
      <c r="H1078" s="47" t="str">
        <f>RIGHT([1]!Tabla2[[#This Row],[Marca y Modelo]], LEN([1]!Tabla2[[#This Row],[Marca y Modelo]]) - FIND(" ", [1]!Tabla2[[#This Row],[Marca y Modelo]]))</f>
        <v>3504430</v>
      </c>
      <c r="I1078" s="76"/>
      <c r="J1078" s="76"/>
      <c r="K1078" s="91" t="s">
        <v>4276</v>
      </c>
      <c r="L1078" s="91" t="s">
        <v>3689</v>
      </c>
      <c r="M1078" s="91" t="s">
        <v>1404</v>
      </c>
      <c r="N1078" s="91" t="s">
        <v>2489</v>
      </c>
      <c r="O1078" s="77"/>
      <c r="P1078" s="91" t="s">
        <v>2536</v>
      </c>
      <c r="Q1078" s="32"/>
      <c r="R1078" s="48" t="s">
        <v>216</v>
      </c>
      <c r="S1078" s="32"/>
    </row>
    <row r="1079" spans="2:19" x14ac:dyDescent="0.3">
      <c r="B1079" t="s">
        <v>4349</v>
      </c>
      <c r="C1079" s="11" t="s">
        <v>172</v>
      </c>
      <c r="D1079">
        <v>1</v>
      </c>
      <c r="E1079" t="s">
        <v>160</v>
      </c>
      <c r="F1079" s="92" t="s">
        <v>1059</v>
      </c>
      <c r="G1079" s="90" t="str">
        <f>LEFT([1]modificado!$O$2, FIND(" ", [1]modificado!$O$2 &amp; " ") - 1)</f>
        <v>3M</v>
      </c>
      <c r="H1079" s="47" t="str">
        <f>RIGHT([1]!Tabla2[[#This Row],[Marca y Modelo]], LEN([1]!Tabla2[[#This Row],[Marca y Modelo]]) - FIND(" ", [1]!Tabla2[[#This Row],[Marca y Modelo]]))</f>
        <v>Cross Arm Anchor</v>
      </c>
      <c r="I1079" s="76"/>
      <c r="J1079" s="76"/>
      <c r="K1079" s="92" t="s">
        <v>4277</v>
      </c>
      <c r="L1079" s="92" t="s">
        <v>3690</v>
      </c>
      <c r="M1079" s="92" t="s">
        <v>1405</v>
      </c>
      <c r="N1079" s="92" t="s">
        <v>2490</v>
      </c>
      <c r="O1079" s="77"/>
      <c r="P1079" s="92" t="s">
        <v>2536</v>
      </c>
      <c r="Q1079" s="32"/>
      <c r="R1079" s="48" t="s">
        <v>216</v>
      </c>
      <c r="S1079" s="32"/>
    </row>
    <row r="1080" spans="2:19" x14ac:dyDescent="0.3">
      <c r="B1080" t="s">
        <v>4349</v>
      </c>
      <c r="C1080" s="11" t="s">
        <v>172</v>
      </c>
      <c r="D1080">
        <v>1</v>
      </c>
      <c r="E1080" t="s">
        <v>160</v>
      </c>
      <c r="F1080" s="91" t="s">
        <v>1059</v>
      </c>
      <c r="G1080" s="90" t="str">
        <f>LEFT([1]modificado!$O$2, FIND(" ", [1]modificado!$O$2 &amp; " ") - 1)</f>
        <v>3M</v>
      </c>
      <c r="H1080" s="47" t="str">
        <f>RIGHT([1]!Tabla2[[#This Row],[Marca y Modelo]], LEN([1]!Tabla2[[#This Row],[Marca y Modelo]]) - FIND(" ", [1]!Tabla2[[#This Row],[Marca y Modelo]]))</f>
        <v>Cross Arm Anchor</v>
      </c>
      <c r="I1080" s="76"/>
      <c r="J1080" s="76"/>
      <c r="K1080" s="91" t="s">
        <v>4277</v>
      </c>
      <c r="L1080" s="91" t="s">
        <v>3691</v>
      </c>
      <c r="M1080" s="91" t="s">
        <v>1405</v>
      </c>
      <c r="N1080" s="91" t="s">
        <v>2491</v>
      </c>
      <c r="O1080" s="77"/>
      <c r="P1080" s="91" t="s">
        <v>2536</v>
      </c>
      <c r="Q1080" s="32"/>
      <c r="R1080" s="48" t="s">
        <v>216</v>
      </c>
      <c r="S1080" s="32"/>
    </row>
    <row r="1081" spans="2:19" x14ac:dyDescent="0.3">
      <c r="B1081" t="s">
        <v>4349</v>
      </c>
      <c r="C1081" s="11" t="s">
        <v>172</v>
      </c>
      <c r="D1081">
        <v>1</v>
      </c>
      <c r="E1081" t="s">
        <v>160</v>
      </c>
      <c r="F1081" s="92" t="s">
        <v>1059</v>
      </c>
      <c r="G1081" s="90" t="str">
        <f>LEFT([1]modificado!$O$2, FIND(" ", [1]modificado!$O$2 &amp; " ") - 1)</f>
        <v>3M</v>
      </c>
      <c r="H1081" s="47" t="str">
        <f>RIGHT([1]!Tabla2[[#This Row],[Marca y Modelo]], LEN([1]!Tabla2[[#This Row],[Marca y Modelo]]) - FIND(" ", [1]!Tabla2[[#This Row],[Marca y Modelo]]))</f>
        <v>Cross Arm Anchor</v>
      </c>
      <c r="I1081" s="76"/>
      <c r="J1081" s="76"/>
      <c r="K1081" s="92" t="s">
        <v>4277</v>
      </c>
      <c r="L1081" s="92" t="s">
        <v>3692</v>
      </c>
      <c r="M1081" s="92" t="s">
        <v>1405</v>
      </c>
      <c r="N1081" s="92" t="s">
        <v>2492</v>
      </c>
      <c r="O1081" s="77"/>
      <c r="P1081" s="92" t="s">
        <v>2536</v>
      </c>
      <c r="Q1081" s="32"/>
      <c r="R1081" s="48" t="s">
        <v>216</v>
      </c>
      <c r="S1081" s="32"/>
    </row>
    <row r="1082" spans="2:19" x14ac:dyDescent="0.3">
      <c r="B1082" t="s">
        <v>4349</v>
      </c>
      <c r="C1082" s="11" t="s">
        <v>172</v>
      </c>
      <c r="D1082">
        <v>1</v>
      </c>
      <c r="E1082" t="s">
        <v>160</v>
      </c>
      <c r="F1082" s="91" t="s">
        <v>1059</v>
      </c>
      <c r="G1082" s="90" t="str">
        <f>LEFT([1]modificado!$O$2, FIND(" ", [1]modificado!$O$2 &amp; " ") - 1)</f>
        <v>3M</v>
      </c>
      <c r="H1082" s="47" t="str">
        <f>RIGHT([1]!Tabla2[[#This Row],[Marca y Modelo]], LEN([1]!Tabla2[[#This Row],[Marca y Modelo]]) - FIND(" ", [1]!Tabla2[[#This Row],[Marca y Modelo]]))</f>
        <v>4550</v>
      </c>
      <c r="I1082" s="76"/>
      <c r="J1082" s="76"/>
      <c r="K1082" s="91" t="s">
        <v>4277</v>
      </c>
      <c r="L1082" s="91" t="s">
        <v>3693</v>
      </c>
      <c r="M1082" s="91" t="s">
        <v>1404</v>
      </c>
      <c r="N1082" s="91" t="s">
        <v>2493</v>
      </c>
      <c r="O1082" s="77"/>
      <c r="P1082" s="91" t="s">
        <v>2536</v>
      </c>
      <c r="Q1082" s="32"/>
      <c r="R1082" s="48" t="s">
        <v>216</v>
      </c>
      <c r="S1082" s="32"/>
    </row>
    <row r="1083" spans="2:19" x14ac:dyDescent="0.3">
      <c r="B1083" t="s">
        <v>4349</v>
      </c>
      <c r="C1083" s="11" t="s">
        <v>172</v>
      </c>
      <c r="D1083">
        <v>1</v>
      </c>
      <c r="E1083" t="s">
        <v>160</v>
      </c>
      <c r="F1083" s="92" t="s">
        <v>1059</v>
      </c>
      <c r="G1083" s="90" t="str">
        <f>LEFT([1]modificado!$O$2, FIND(" ", [1]modificado!$O$2 &amp; " ") - 1)</f>
        <v>3M</v>
      </c>
      <c r="H1083" s="47" t="str">
        <f>RIGHT([1]!Tabla2[[#This Row],[Marca y Modelo]], LEN([1]!Tabla2[[#This Row],[Marca y Modelo]]) - FIND(" ", [1]!Tabla2[[#This Row],[Marca y Modelo]]))</f>
        <v>Cross Arm Anchor</v>
      </c>
      <c r="I1083" s="76"/>
      <c r="J1083" s="76"/>
      <c r="K1083" s="92" t="s">
        <v>4277</v>
      </c>
      <c r="L1083" s="92" t="s">
        <v>3694</v>
      </c>
      <c r="M1083" s="92" t="s">
        <v>1405</v>
      </c>
      <c r="N1083" s="92" t="s">
        <v>2494</v>
      </c>
      <c r="O1083" s="77"/>
      <c r="P1083" s="92" t="s">
        <v>2536</v>
      </c>
      <c r="Q1083" s="32"/>
      <c r="R1083" s="48" t="s">
        <v>216</v>
      </c>
      <c r="S1083" s="32"/>
    </row>
    <row r="1084" spans="2:19" x14ac:dyDescent="0.3">
      <c r="B1084" t="s">
        <v>4349</v>
      </c>
      <c r="C1084" s="11" t="s">
        <v>172</v>
      </c>
      <c r="D1084">
        <v>1</v>
      </c>
      <c r="E1084" t="s">
        <v>160</v>
      </c>
      <c r="F1084" s="91" t="s">
        <v>1059</v>
      </c>
      <c r="G1084" s="90" t="str">
        <f>LEFT([1]modificado!$O$2, FIND(" ", [1]modificado!$O$2 &amp; " ") - 1)</f>
        <v>3M</v>
      </c>
      <c r="H1084" s="47" t="str">
        <f>RIGHT([1]!Tabla2[[#This Row],[Marca y Modelo]], LEN([1]!Tabla2[[#This Row],[Marca y Modelo]]) - FIND(" ", [1]!Tabla2[[#This Row],[Marca y Modelo]]))</f>
        <v>Cross Arm Anchor</v>
      </c>
      <c r="I1084" s="76"/>
      <c r="J1084" s="76"/>
      <c r="K1084" s="91" t="s">
        <v>4277</v>
      </c>
      <c r="L1084" s="91" t="s">
        <v>3695</v>
      </c>
      <c r="M1084" s="91" t="s">
        <v>1405</v>
      </c>
      <c r="N1084" s="91" t="s">
        <v>2495</v>
      </c>
      <c r="O1084" s="77"/>
      <c r="P1084" s="91" t="s">
        <v>2536</v>
      </c>
      <c r="Q1084" s="32"/>
      <c r="R1084" s="48" t="s">
        <v>216</v>
      </c>
      <c r="S1084" s="32"/>
    </row>
    <row r="1085" spans="2:19" x14ac:dyDescent="0.3">
      <c r="B1085" t="s">
        <v>4349</v>
      </c>
      <c r="C1085" s="11" t="s">
        <v>172</v>
      </c>
      <c r="D1085">
        <v>1</v>
      </c>
      <c r="E1085" t="s">
        <v>160</v>
      </c>
      <c r="F1085" s="92" t="s">
        <v>1059</v>
      </c>
      <c r="G1085" s="90" t="str">
        <f>LEFT([1]modificado!$O$2, FIND(" ", [1]modificado!$O$2 &amp; " ") - 1)</f>
        <v>3M</v>
      </c>
      <c r="H1085" s="47" t="str">
        <f>RIGHT([1]!Tabla2[[#This Row],[Marca y Modelo]], LEN([1]!Tabla2[[#This Row],[Marca y Modelo]]) - FIND(" ", [1]!Tabla2[[#This Row],[Marca y Modelo]]))</f>
        <v>Cross Arm Anchor</v>
      </c>
      <c r="I1085" s="76"/>
      <c r="J1085" s="76"/>
      <c r="K1085" s="92" t="s">
        <v>4277</v>
      </c>
      <c r="L1085" s="92" t="s">
        <v>3696</v>
      </c>
      <c r="M1085" s="92" t="s">
        <v>1405</v>
      </c>
      <c r="N1085" s="92" t="s">
        <v>2496</v>
      </c>
      <c r="O1085" s="77"/>
      <c r="P1085" s="92" t="s">
        <v>2536</v>
      </c>
      <c r="Q1085" s="32"/>
      <c r="R1085" s="48" t="s">
        <v>216</v>
      </c>
      <c r="S1085" s="32"/>
    </row>
    <row r="1086" spans="2:19" x14ac:dyDescent="0.3">
      <c r="B1086" t="s">
        <v>4349</v>
      </c>
      <c r="C1086" s="11" t="s">
        <v>172</v>
      </c>
      <c r="D1086">
        <v>1</v>
      </c>
      <c r="E1086" t="s">
        <v>160</v>
      </c>
      <c r="F1086" s="91" t="s">
        <v>1059</v>
      </c>
      <c r="G1086" s="90" t="str">
        <f>LEFT([1]modificado!$O$2, FIND(" ", [1]modificado!$O$2 &amp; " ") - 1)</f>
        <v>3M</v>
      </c>
      <c r="H1086" s="47" t="str">
        <f>RIGHT([1]!Tabla2[[#This Row],[Marca y Modelo]], LEN([1]!Tabla2[[#This Row],[Marca y Modelo]]) - FIND(" ", [1]!Tabla2[[#This Row],[Marca y Modelo]]))</f>
        <v>AJ450A6</v>
      </c>
      <c r="I1086" s="76"/>
      <c r="J1086" s="76"/>
      <c r="K1086" s="91" t="s">
        <v>4277</v>
      </c>
      <c r="L1086" s="91" t="s">
        <v>3697</v>
      </c>
      <c r="M1086" s="91" t="s">
        <v>1404</v>
      </c>
      <c r="N1086" s="91" t="s">
        <v>2497</v>
      </c>
      <c r="O1086" s="77"/>
      <c r="P1086" s="91" t="s">
        <v>2536</v>
      </c>
      <c r="Q1086" s="32"/>
      <c r="R1086" s="48" t="s">
        <v>216</v>
      </c>
      <c r="S1086" s="32"/>
    </row>
    <row r="1087" spans="2:19" x14ac:dyDescent="0.3">
      <c r="B1087" t="s">
        <v>4349</v>
      </c>
      <c r="C1087" s="11" t="s">
        <v>172</v>
      </c>
      <c r="D1087">
        <v>1</v>
      </c>
      <c r="E1087" t="s">
        <v>160</v>
      </c>
      <c r="F1087" s="92" t="s">
        <v>1059</v>
      </c>
      <c r="G1087" s="90" t="str">
        <f>LEFT([1]modificado!$O$2, FIND(" ", [1]modificado!$O$2 &amp; " ") - 1)</f>
        <v>3M</v>
      </c>
      <c r="H1087" s="47" t="str">
        <f>RIGHT([1]!Tabla2[[#This Row],[Marca y Modelo]], LEN([1]!Tabla2[[#This Row],[Marca y Modelo]]) - FIND(" ", [1]!Tabla2[[#This Row],[Marca y Modelo]]))</f>
        <v>4550</v>
      </c>
      <c r="I1087" s="76"/>
      <c r="J1087" s="76"/>
      <c r="K1087" s="92" t="s">
        <v>4277</v>
      </c>
      <c r="L1087" s="92" t="s">
        <v>3698</v>
      </c>
      <c r="M1087" s="92" t="s">
        <v>1404</v>
      </c>
      <c r="N1087" s="92" t="s">
        <v>2498</v>
      </c>
      <c r="O1087" s="77"/>
      <c r="P1087" s="92" t="s">
        <v>2536</v>
      </c>
      <c r="Q1087" s="32"/>
      <c r="R1087" s="48" t="s">
        <v>216</v>
      </c>
      <c r="S1087" s="32"/>
    </row>
    <row r="1088" spans="2:19" x14ac:dyDescent="0.3">
      <c r="B1088" t="s">
        <v>4349</v>
      </c>
      <c r="C1088" s="11" t="s">
        <v>172</v>
      </c>
      <c r="D1088">
        <v>1</v>
      </c>
      <c r="E1088" t="s">
        <v>160</v>
      </c>
      <c r="F1088" s="91" t="s">
        <v>1059</v>
      </c>
      <c r="G1088" s="90" t="str">
        <f>LEFT([1]modificado!$O$2, FIND(" ", [1]modificado!$O$2 &amp; " ") - 1)</f>
        <v>3M</v>
      </c>
      <c r="H1088" s="47" t="str">
        <f>RIGHT([1]!Tabla2[[#This Row],[Marca y Modelo]], LEN([1]!Tabla2[[#This Row],[Marca y Modelo]]) - FIND(" ", [1]!Tabla2[[#This Row],[Marca y Modelo]]))</f>
        <v>4550</v>
      </c>
      <c r="I1088" s="76"/>
      <c r="J1088" s="76"/>
      <c r="K1088" s="91" t="s">
        <v>4277</v>
      </c>
      <c r="L1088" s="91" t="s">
        <v>3699</v>
      </c>
      <c r="M1088" s="91" t="s">
        <v>1404</v>
      </c>
      <c r="N1088" s="91" t="s">
        <v>2499</v>
      </c>
      <c r="O1088" s="77"/>
      <c r="P1088" s="91" t="s">
        <v>2536</v>
      </c>
      <c r="Q1088" s="32"/>
      <c r="R1088" s="48" t="s">
        <v>216</v>
      </c>
      <c r="S1088" s="32"/>
    </row>
    <row r="1089" spans="2:19" x14ac:dyDescent="0.3">
      <c r="B1089" t="s">
        <v>4349</v>
      </c>
      <c r="C1089" s="11" t="s">
        <v>172</v>
      </c>
      <c r="D1089">
        <v>1</v>
      </c>
      <c r="E1089" t="s">
        <v>160</v>
      </c>
      <c r="F1089" s="92" t="s">
        <v>1059</v>
      </c>
      <c r="G1089" s="90" t="str">
        <f>LEFT([1]modificado!$O$2, FIND(" ", [1]modificado!$O$2 &amp; " ") - 1)</f>
        <v>3M</v>
      </c>
      <c r="H1089" s="47" t="str">
        <f>RIGHT([1]!Tabla2[[#This Row],[Marca y Modelo]], LEN([1]!Tabla2[[#This Row],[Marca y Modelo]]) - FIND(" ", [1]!Tabla2[[#This Row],[Marca y Modelo]]))</f>
        <v>Cross Arm Anchor</v>
      </c>
      <c r="I1089" s="76"/>
      <c r="J1089" s="76"/>
      <c r="K1089" s="92" t="s">
        <v>4277</v>
      </c>
      <c r="L1089" s="92" t="s">
        <v>3700</v>
      </c>
      <c r="M1089" s="92" t="s">
        <v>1404</v>
      </c>
      <c r="N1089" s="92" t="s">
        <v>2500</v>
      </c>
      <c r="O1089" s="77"/>
      <c r="P1089" s="92" t="s">
        <v>2536</v>
      </c>
      <c r="Q1089" s="32"/>
      <c r="R1089" s="48" t="s">
        <v>216</v>
      </c>
      <c r="S1089" s="32"/>
    </row>
    <row r="1090" spans="2:19" x14ac:dyDescent="0.3">
      <c r="B1090" t="s">
        <v>4349</v>
      </c>
      <c r="C1090" s="11" t="s">
        <v>172</v>
      </c>
      <c r="D1090">
        <v>1</v>
      </c>
      <c r="E1090" t="s">
        <v>160</v>
      </c>
      <c r="F1090" s="91" t="s">
        <v>1059</v>
      </c>
      <c r="G1090" s="90" t="str">
        <f>LEFT([1]modificado!$O$2, FIND(" ", [1]modificado!$O$2 &amp; " ") - 1)</f>
        <v>3M</v>
      </c>
      <c r="H1090" s="47"/>
      <c r="I1090" s="76"/>
      <c r="J1090" s="76"/>
      <c r="K1090" s="91" t="s">
        <v>4277</v>
      </c>
      <c r="L1090" s="91" t="s">
        <v>3701</v>
      </c>
      <c r="M1090" s="91" t="s">
        <v>1405</v>
      </c>
      <c r="N1090" s="91" t="s">
        <v>2501</v>
      </c>
      <c r="O1090" s="77"/>
      <c r="P1090" s="91" t="s">
        <v>2536</v>
      </c>
      <c r="Q1090" s="32"/>
      <c r="R1090" s="48" t="s">
        <v>216</v>
      </c>
      <c r="S1090" s="32"/>
    </row>
    <row r="1091" spans="2:19" x14ac:dyDescent="0.3">
      <c r="B1091" t="s">
        <v>4348</v>
      </c>
      <c r="C1091" s="11" t="s">
        <v>172</v>
      </c>
      <c r="D1091">
        <v>1</v>
      </c>
      <c r="E1091" t="s">
        <v>160</v>
      </c>
      <c r="F1091" s="92" t="s">
        <v>1077</v>
      </c>
      <c r="G1091" s="90" t="str">
        <f>LEFT([1]modificado!$O$2, FIND(" ", [1]modificado!$O$2 &amp; " ") - 1)</f>
        <v>3M</v>
      </c>
      <c r="H1091" s="47" t="str">
        <f>RIGHT([1]!Tabla2[[#This Row],[Marca y Modelo]], LEN([1]!Tabla2[[#This Row],[Marca y Modelo]]) - FIND(" ", [1]!Tabla2[[#This Row],[Marca y Modelo]]))</f>
        <v>3312</v>
      </c>
      <c r="I1091" s="76"/>
      <c r="J1091" s="76"/>
      <c r="K1091" s="92" t="s">
        <v>4278</v>
      </c>
      <c r="L1091" s="92" t="s">
        <v>3702</v>
      </c>
      <c r="M1091" s="92" t="s">
        <v>1404</v>
      </c>
      <c r="N1091" s="92" t="s">
        <v>2502</v>
      </c>
      <c r="O1091" s="77"/>
      <c r="P1091" s="92" t="s">
        <v>2536</v>
      </c>
      <c r="Q1091" s="32"/>
      <c r="R1091" s="48" t="s">
        <v>216</v>
      </c>
      <c r="S1091" s="32"/>
    </row>
    <row r="1092" spans="2:19" x14ac:dyDescent="0.3">
      <c r="B1092" t="s">
        <v>4349</v>
      </c>
      <c r="C1092" s="11" t="s">
        <v>172</v>
      </c>
      <c r="D1092">
        <v>1</v>
      </c>
      <c r="E1092" t="s">
        <v>160</v>
      </c>
      <c r="F1092" s="91" t="s">
        <v>1059</v>
      </c>
      <c r="G1092" s="90" t="str">
        <f>LEFT([1]modificado!$O$2, FIND(" ", [1]modificado!$O$2 &amp; " ") - 1)</f>
        <v>3M</v>
      </c>
      <c r="H1092" s="47" t="str">
        <f>RIGHT([1]!Tabla2[[#This Row],[Marca y Modelo]], LEN([1]!Tabla2[[#This Row],[Marca y Modelo]]) - FIND(" ", [1]!Tabla2[[#This Row],[Marca y Modelo]]))</f>
        <v>911</v>
      </c>
      <c r="I1092" s="76"/>
      <c r="J1092" s="76"/>
      <c r="K1092" s="91" t="s">
        <v>4277</v>
      </c>
      <c r="L1092" s="91" t="s">
        <v>3703</v>
      </c>
      <c r="M1092" s="91" t="s">
        <v>1405</v>
      </c>
      <c r="N1092" s="91" t="s">
        <v>2503</v>
      </c>
      <c r="O1092" s="77"/>
      <c r="P1092" s="91" t="s">
        <v>2536</v>
      </c>
      <c r="Q1092" s="32"/>
      <c r="R1092" s="48" t="s">
        <v>216</v>
      </c>
      <c r="S1092" s="32"/>
    </row>
    <row r="1093" spans="2:19" x14ac:dyDescent="0.3">
      <c r="B1093" t="s">
        <v>4349</v>
      </c>
      <c r="C1093" s="11" t="s">
        <v>172</v>
      </c>
      <c r="D1093">
        <v>1</v>
      </c>
      <c r="E1093" t="s">
        <v>160</v>
      </c>
      <c r="F1093" s="92" t="s">
        <v>1059</v>
      </c>
      <c r="G1093" s="90" t="str">
        <f>LEFT([1]modificado!$O$2, FIND(" ", [1]modificado!$O$2 &amp; " ") - 1)</f>
        <v>3M</v>
      </c>
      <c r="H1093" s="47" t="str">
        <f>RIGHT([1]!Tabla2[[#This Row],[Marca y Modelo]], LEN([1]!Tabla2[[#This Row],[Marca y Modelo]]) - FIND(" ", [1]!Tabla2[[#This Row],[Marca y Modelo]]))</f>
        <v>911</v>
      </c>
      <c r="I1093" s="76"/>
      <c r="J1093" s="76"/>
      <c r="K1093" s="92" t="s">
        <v>4279</v>
      </c>
      <c r="L1093" s="92" t="s">
        <v>3704</v>
      </c>
      <c r="M1093" s="92" t="s">
        <v>1404</v>
      </c>
      <c r="N1093" s="92" t="s">
        <v>2504</v>
      </c>
      <c r="O1093" s="77"/>
      <c r="P1093" s="92" t="s">
        <v>2536</v>
      </c>
      <c r="Q1093" s="32"/>
      <c r="R1093" s="48" t="s">
        <v>216</v>
      </c>
      <c r="S1093" s="32"/>
    </row>
    <row r="1094" spans="2:19" x14ac:dyDescent="0.3">
      <c r="B1094" t="s">
        <v>4349</v>
      </c>
      <c r="C1094" s="11" t="s">
        <v>172</v>
      </c>
      <c r="D1094">
        <v>1</v>
      </c>
      <c r="E1094" t="s">
        <v>160</v>
      </c>
      <c r="F1094" s="91" t="s">
        <v>1059</v>
      </c>
      <c r="G1094" s="90" t="str">
        <f>LEFT([1]modificado!$O$2, FIND(" ", [1]modificado!$O$2 &amp; " ") - 1)</f>
        <v>3M</v>
      </c>
      <c r="H1094" s="47" t="str">
        <f>RIGHT([1]!Tabla2[[#This Row],[Marca y Modelo]], LEN([1]!Tabla2[[#This Row],[Marca y Modelo]]) - FIND(" ", [1]!Tabla2[[#This Row],[Marca y Modelo]]))</f>
        <v>911</v>
      </c>
      <c r="I1094" s="76"/>
      <c r="J1094" s="76"/>
      <c r="K1094" s="91" t="s">
        <v>4279</v>
      </c>
      <c r="L1094" s="91" t="s">
        <v>3705</v>
      </c>
      <c r="M1094" s="91" t="s">
        <v>1404</v>
      </c>
      <c r="N1094" s="91" t="s">
        <v>2505</v>
      </c>
      <c r="O1094" s="77"/>
      <c r="P1094" s="91" t="s">
        <v>2536</v>
      </c>
      <c r="Q1094" s="32"/>
      <c r="R1094" s="48" t="s">
        <v>216</v>
      </c>
      <c r="S1094" s="32"/>
    </row>
    <row r="1095" spans="2:19" x14ac:dyDescent="0.3">
      <c r="B1095" t="s">
        <v>4349</v>
      </c>
      <c r="C1095" s="11" t="s">
        <v>172</v>
      </c>
      <c r="D1095">
        <v>1</v>
      </c>
      <c r="E1095" t="s">
        <v>160</v>
      </c>
      <c r="F1095" s="92" t="s">
        <v>1059</v>
      </c>
      <c r="G1095" s="90" t="str">
        <f>LEFT([1]modificado!$O$2, FIND(" ", [1]modificado!$O$2 &amp; " ") - 1)</f>
        <v>3M</v>
      </c>
      <c r="H1095" s="47" t="str">
        <f>RIGHT([1]!Tabla2[[#This Row],[Marca y Modelo]], LEN([1]!Tabla2[[#This Row],[Marca y Modelo]]) - FIND(" ", [1]!Tabla2[[#This Row],[Marca y Modelo]]))</f>
        <v>911</v>
      </c>
      <c r="I1095" s="76"/>
      <c r="J1095" s="76"/>
      <c r="K1095" s="92" t="s">
        <v>4279</v>
      </c>
      <c r="L1095" s="92" t="s">
        <v>3706</v>
      </c>
      <c r="M1095" s="92" t="s">
        <v>1404</v>
      </c>
      <c r="N1095" s="92" t="s">
        <v>2506</v>
      </c>
      <c r="O1095" s="77"/>
      <c r="P1095" s="92" t="s">
        <v>2536</v>
      </c>
      <c r="Q1095" s="32"/>
      <c r="R1095" s="48" t="s">
        <v>216</v>
      </c>
      <c r="S1095" s="32"/>
    </row>
    <row r="1096" spans="2:19" x14ac:dyDescent="0.3">
      <c r="B1096" t="s">
        <v>4349</v>
      </c>
      <c r="C1096" s="11" t="s">
        <v>172</v>
      </c>
      <c r="D1096">
        <v>1</v>
      </c>
      <c r="E1096" t="s">
        <v>160</v>
      </c>
      <c r="F1096" s="91" t="s">
        <v>1059</v>
      </c>
      <c r="G1096" s="90" t="str">
        <f>LEFT([1]modificado!$O$2, FIND(" ", [1]modificado!$O$2 &amp; " ") - 1)</f>
        <v>3M</v>
      </c>
      <c r="H1096" s="47" t="str">
        <f>RIGHT([1]!Tabla2[[#This Row],[Marca y Modelo]], LEN([1]!Tabla2[[#This Row],[Marca y Modelo]]) - FIND(" ", [1]!Tabla2[[#This Row],[Marca y Modelo]]))</f>
        <v>1403006</v>
      </c>
      <c r="I1096" s="76"/>
      <c r="J1096" s="76"/>
      <c r="K1096" s="91" t="s">
        <v>4279</v>
      </c>
      <c r="L1096" s="91" t="s">
        <v>3707</v>
      </c>
      <c r="M1096" s="91" t="s">
        <v>1404</v>
      </c>
      <c r="N1096" s="91" t="s">
        <v>2507</v>
      </c>
      <c r="O1096" s="77"/>
      <c r="P1096" s="91" t="s">
        <v>2536</v>
      </c>
      <c r="Q1096" s="32"/>
      <c r="R1096" s="48" t="s">
        <v>216</v>
      </c>
      <c r="S1096" s="32"/>
    </row>
    <row r="1097" spans="2:19" x14ac:dyDescent="0.3">
      <c r="B1097" t="s">
        <v>4349</v>
      </c>
      <c r="C1097" s="11" t="s">
        <v>172</v>
      </c>
      <c r="D1097">
        <v>1</v>
      </c>
      <c r="E1097" t="s">
        <v>160</v>
      </c>
      <c r="F1097" s="92" t="s">
        <v>1059</v>
      </c>
      <c r="G1097" s="90" t="str">
        <f>LEFT([1]modificado!$O$2, FIND(" ", [1]modificado!$O$2 &amp; " ") - 1)</f>
        <v>3M</v>
      </c>
      <c r="H1097" s="47" t="str">
        <f>RIGHT([1]!Tabla2[[#This Row],[Marca y Modelo]], LEN([1]!Tabla2[[#This Row],[Marca y Modelo]]) - FIND(" ", [1]!Tabla2[[#This Row],[Marca y Modelo]]))</f>
        <v>4550</v>
      </c>
      <c r="I1097" s="76"/>
      <c r="J1097" s="76"/>
      <c r="K1097" s="92" t="s">
        <v>4279</v>
      </c>
      <c r="L1097" s="92" t="s">
        <v>3708</v>
      </c>
      <c r="M1097" s="92" t="s">
        <v>1404</v>
      </c>
      <c r="N1097" s="92" t="s">
        <v>2508</v>
      </c>
      <c r="O1097" s="77"/>
      <c r="P1097" s="92" t="s">
        <v>2536</v>
      </c>
      <c r="Q1097" s="32"/>
      <c r="R1097" s="48" t="s">
        <v>216</v>
      </c>
      <c r="S1097" s="32"/>
    </row>
    <row r="1098" spans="2:19" x14ac:dyDescent="0.3">
      <c r="B1098" t="s">
        <v>4349</v>
      </c>
      <c r="C1098" s="11" t="s">
        <v>172</v>
      </c>
      <c r="D1098">
        <v>1</v>
      </c>
      <c r="E1098" t="s">
        <v>160</v>
      </c>
      <c r="F1098" s="91" t="s">
        <v>1059</v>
      </c>
      <c r="G1098" s="90" t="str">
        <f>LEFT([1]modificado!$O$2, FIND(" ", [1]modificado!$O$2 &amp; " ") - 1)</f>
        <v>3M</v>
      </c>
      <c r="H1098" s="47" t="str">
        <f>RIGHT([1]!Tabla2[[#This Row],[Marca y Modelo]], LEN([1]!Tabla2[[#This Row],[Marca y Modelo]]) - FIND(" ", [1]!Tabla2[[#This Row],[Marca y Modelo]]))</f>
        <v>4550</v>
      </c>
      <c r="I1098" s="76"/>
      <c r="J1098" s="76"/>
      <c r="K1098" s="91" t="s">
        <v>4279</v>
      </c>
      <c r="L1098" s="91" t="s">
        <v>3709</v>
      </c>
      <c r="M1098" s="91" t="s">
        <v>1404</v>
      </c>
      <c r="N1098" s="91" t="s">
        <v>2509</v>
      </c>
      <c r="O1098" s="77"/>
      <c r="P1098" s="91" t="s">
        <v>2536</v>
      </c>
      <c r="Q1098" s="32"/>
      <c r="R1098" s="48" t="s">
        <v>216</v>
      </c>
      <c r="S1098" s="32"/>
    </row>
    <row r="1099" spans="2:19" x14ac:dyDescent="0.3">
      <c r="B1099" t="s">
        <v>4349</v>
      </c>
      <c r="C1099" s="11" t="s">
        <v>172</v>
      </c>
      <c r="D1099">
        <v>1</v>
      </c>
      <c r="E1099" t="s">
        <v>160</v>
      </c>
      <c r="F1099" s="92" t="s">
        <v>1059</v>
      </c>
      <c r="G1099" s="90" t="str">
        <f>LEFT([1]modificado!$O$2, FIND(" ", [1]modificado!$O$2 &amp; " ") - 1)</f>
        <v>3M</v>
      </c>
      <c r="H1099" s="47" t="str">
        <f>RIGHT([1]!Tabla2[[#This Row],[Marca y Modelo]], LEN([1]!Tabla2[[#This Row],[Marca y Modelo]]) - FIND(" ", [1]!Tabla2[[#This Row],[Marca y Modelo]]))</f>
        <v>Anchorage Conector</v>
      </c>
      <c r="I1099" s="76"/>
      <c r="J1099" s="76"/>
      <c r="K1099" s="92" t="s">
        <v>4279</v>
      </c>
      <c r="L1099" s="92" t="s">
        <v>3710</v>
      </c>
      <c r="M1099" s="92" t="s">
        <v>1404</v>
      </c>
      <c r="N1099" s="92" t="s">
        <v>2510</v>
      </c>
      <c r="O1099" s="77"/>
      <c r="P1099" s="92" t="s">
        <v>2536</v>
      </c>
      <c r="Q1099" s="32"/>
      <c r="R1099" s="48" t="s">
        <v>216</v>
      </c>
      <c r="S1099" s="32"/>
    </row>
    <row r="1100" spans="2:19" x14ac:dyDescent="0.3">
      <c r="B1100" t="s">
        <v>4349</v>
      </c>
      <c r="C1100" s="11" t="s">
        <v>172</v>
      </c>
      <c r="D1100">
        <v>1</v>
      </c>
      <c r="E1100" t="s">
        <v>160</v>
      </c>
      <c r="F1100" s="91" t="s">
        <v>1059</v>
      </c>
      <c r="G1100" s="90" t="str">
        <f>LEFT([1]modificado!$O$2, FIND(" ", [1]modificado!$O$2 &amp; " ") - 1)</f>
        <v>3M</v>
      </c>
      <c r="H1100" s="47" t="str">
        <f>RIGHT([1]!Tabla2[[#This Row],[Marca y Modelo]], LEN([1]!Tabla2[[#This Row],[Marca y Modelo]]) - FIND(" ", [1]!Tabla2[[#This Row],[Marca y Modelo]]))</f>
        <v>Anchorage Conector</v>
      </c>
      <c r="I1100" s="76"/>
      <c r="J1100" s="76"/>
      <c r="K1100" s="91" t="s">
        <v>4279</v>
      </c>
      <c r="L1100" s="91" t="s">
        <v>3711</v>
      </c>
      <c r="M1100" s="91" t="s">
        <v>1404</v>
      </c>
      <c r="N1100" s="91" t="s">
        <v>2511</v>
      </c>
      <c r="O1100" s="77"/>
      <c r="P1100" s="91" t="s">
        <v>2536</v>
      </c>
      <c r="Q1100" s="32"/>
      <c r="R1100" s="48" t="s">
        <v>216</v>
      </c>
      <c r="S1100" s="32"/>
    </row>
    <row r="1101" spans="2:19" x14ac:dyDescent="0.3">
      <c r="B1101" t="str">
        <f>LEFT(Tabla3890134177220392[[#This Row],[Descripción del equipo]], FIND(" ", Tabla3890134177220392[[#This Row],[Descripción del equipo]] &amp; " ") - 1)</f>
        <v>Retractil</v>
      </c>
      <c r="C1101" s="11" t="s">
        <v>172</v>
      </c>
      <c r="D1101">
        <v>1</v>
      </c>
      <c r="E1101" t="s">
        <v>160</v>
      </c>
      <c r="F1101" s="92" t="s">
        <v>18</v>
      </c>
      <c r="G1101" s="90" t="str">
        <f>LEFT([1]modificado!$O$2, FIND(" ", [1]modificado!$O$2 &amp; " ") - 1)</f>
        <v>3M</v>
      </c>
      <c r="H1101" s="47" t="str">
        <f>RIGHT([1]!Tabla2[[#This Row],[Marca y Modelo]], LEN([1]!Tabla2[[#This Row],[Marca y Modelo]]) - FIND(" ", [1]!Tabla2[[#This Row],[Marca y Modelo]]))</f>
        <v>3504430</v>
      </c>
      <c r="I1101" s="76"/>
      <c r="J1101" s="76"/>
      <c r="K1101" s="92" t="s">
        <v>4280</v>
      </c>
      <c r="L1101" s="92" t="s">
        <v>3712</v>
      </c>
      <c r="M1101" s="92" t="s">
        <v>1404</v>
      </c>
      <c r="N1101" s="92" t="s">
        <v>2512</v>
      </c>
      <c r="O1101" s="77"/>
      <c r="P1101" s="92" t="s">
        <v>2536</v>
      </c>
      <c r="Q1101" s="32"/>
      <c r="R1101" s="48" t="s">
        <v>216</v>
      </c>
      <c r="S1101" s="32"/>
    </row>
    <row r="1102" spans="2:19" x14ac:dyDescent="0.3">
      <c r="B1102" t="str">
        <f>LEFT(Tabla3890134177220392[[#This Row],[Descripción del equipo]], FIND(" ", Tabla3890134177220392[[#This Row],[Descripción del equipo]] &amp; " ") - 1)</f>
        <v>Autoretractil</v>
      </c>
      <c r="C1102" s="11" t="s">
        <v>172</v>
      </c>
      <c r="D1102">
        <v>1</v>
      </c>
      <c r="E1102" t="s">
        <v>160</v>
      </c>
      <c r="F1102" s="91" t="s">
        <v>1058</v>
      </c>
      <c r="G1102" s="90" t="str">
        <f>LEFT([1]modificado!$O$2, FIND(" ", [1]modificado!$O$2 &amp; " ") - 1)</f>
        <v>3M</v>
      </c>
      <c r="H1102" s="47" t="str">
        <f>RIGHT([1]!Tabla2[[#This Row],[Marca y Modelo]], LEN([1]!Tabla2[[#This Row],[Marca y Modelo]]) - FIND(" ", [1]!Tabla2[[#This Row],[Marca y Modelo]]))</f>
        <v>3100414</v>
      </c>
      <c r="I1102" s="76"/>
      <c r="J1102" s="76"/>
      <c r="K1102" s="91" t="s">
        <v>4281</v>
      </c>
      <c r="L1102" s="91" t="s">
        <v>3713</v>
      </c>
      <c r="M1102" s="91" t="s">
        <v>1404</v>
      </c>
      <c r="N1102" s="91" t="s">
        <v>2513</v>
      </c>
      <c r="O1102" s="77"/>
      <c r="P1102" s="91" t="s">
        <v>2536</v>
      </c>
      <c r="Q1102" s="32"/>
      <c r="R1102" s="48" t="s">
        <v>216</v>
      </c>
      <c r="S1102" s="32"/>
    </row>
    <row r="1103" spans="2:19" x14ac:dyDescent="0.3">
      <c r="B1103" t="str">
        <f>LEFT(Tabla3890134177220392[[#This Row],[Descripción del equipo]], FIND(" ", Tabla3890134177220392[[#This Row],[Descripción del equipo]] &amp; " ") - 1)</f>
        <v>Autoretractil</v>
      </c>
      <c r="C1103" s="11" t="s">
        <v>172</v>
      </c>
      <c r="D1103">
        <v>1</v>
      </c>
      <c r="E1103" t="s">
        <v>160</v>
      </c>
      <c r="F1103" s="92" t="s">
        <v>1058</v>
      </c>
      <c r="G1103" s="90" t="str">
        <f>LEFT([1]modificado!$O$2, FIND(" ", [1]modificado!$O$2 &amp; " ") - 1)</f>
        <v>3M</v>
      </c>
      <c r="H1103" s="47" t="str">
        <f>RIGHT([1]!Tabla2[[#This Row],[Marca y Modelo]], LEN([1]!Tabla2[[#This Row],[Marca y Modelo]]) - FIND(" ", [1]!Tabla2[[#This Row],[Marca y Modelo]]))</f>
        <v>3100414</v>
      </c>
      <c r="I1103" s="76"/>
      <c r="J1103" s="76"/>
      <c r="K1103" s="92" t="s">
        <v>4281</v>
      </c>
      <c r="L1103" s="92" t="s">
        <v>3714</v>
      </c>
      <c r="M1103" s="92" t="s">
        <v>1404</v>
      </c>
      <c r="N1103" s="92" t="s">
        <v>2514</v>
      </c>
      <c r="O1103" s="77"/>
      <c r="P1103" s="92" t="s">
        <v>2536</v>
      </c>
      <c r="Q1103" s="32"/>
      <c r="R1103" s="48" t="s">
        <v>216</v>
      </c>
      <c r="S1103" s="32"/>
    </row>
    <row r="1104" spans="2:19" x14ac:dyDescent="0.3">
      <c r="B1104" t="s">
        <v>4348</v>
      </c>
      <c r="C1104" s="11" t="s">
        <v>172</v>
      </c>
      <c r="D1104">
        <v>1</v>
      </c>
      <c r="E1104" t="s">
        <v>160</v>
      </c>
      <c r="F1104" s="91" t="s">
        <v>1057</v>
      </c>
      <c r="G1104" s="90" t="str">
        <f>LEFT([1]modificado!$O$2, FIND(" ", [1]modificado!$O$2 &amp; " ") - 1)</f>
        <v>3M</v>
      </c>
      <c r="H1104" s="47"/>
      <c r="I1104" s="76"/>
      <c r="J1104" s="76"/>
      <c r="K1104" s="91" t="s">
        <v>4282</v>
      </c>
      <c r="L1104" s="91" t="s">
        <v>3715</v>
      </c>
      <c r="M1104" s="91" t="s">
        <v>1404</v>
      </c>
      <c r="N1104" s="91" t="s">
        <v>2515</v>
      </c>
      <c r="O1104" s="77"/>
      <c r="P1104" s="91" t="s">
        <v>2536</v>
      </c>
      <c r="Q1104" s="32"/>
      <c r="R1104" s="48" t="s">
        <v>216</v>
      </c>
      <c r="S1104" s="32"/>
    </row>
    <row r="1105" spans="2:19" x14ac:dyDescent="0.3">
      <c r="B1105" t="s">
        <v>4348</v>
      </c>
      <c r="C1105" s="11" t="s">
        <v>172</v>
      </c>
      <c r="D1105">
        <v>1</v>
      </c>
      <c r="E1105" t="s">
        <v>160</v>
      </c>
      <c r="F1105" s="92" t="s">
        <v>1057</v>
      </c>
      <c r="G1105" s="90" t="str">
        <f>LEFT([1]modificado!$O$2, FIND(" ", [1]modificado!$O$2 &amp; " ") - 1)</f>
        <v>3M</v>
      </c>
      <c r="H1105" s="47"/>
      <c r="I1105" s="76"/>
      <c r="J1105" s="76"/>
      <c r="K1105" s="92" t="s">
        <v>4282</v>
      </c>
      <c r="L1105" s="92" t="s">
        <v>3716</v>
      </c>
      <c r="M1105" s="92" t="s">
        <v>1404</v>
      </c>
      <c r="N1105" s="92" t="s">
        <v>2516</v>
      </c>
      <c r="O1105" s="77"/>
      <c r="P1105" s="92" t="s">
        <v>2536</v>
      </c>
      <c r="Q1105" s="32"/>
      <c r="R1105" s="48" t="s">
        <v>216</v>
      </c>
      <c r="S1105" s="32"/>
    </row>
    <row r="1106" spans="2:19" x14ac:dyDescent="0.3">
      <c r="B1106" t="s">
        <v>4349</v>
      </c>
      <c r="C1106" s="11" t="s">
        <v>172</v>
      </c>
      <c r="D1106">
        <v>1</v>
      </c>
      <c r="E1106" t="s">
        <v>160</v>
      </c>
      <c r="F1106" s="91" t="s">
        <v>1084</v>
      </c>
      <c r="G1106" s="90" t="str">
        <f>LEFT([1]modificado!$O$2, FIND(" ", [1]modificado!$O$2 &amp; " ") - 1)</f>
        <v>3M</v>
      </c>
      <c r="H1106" s="47" t="str">
        <f>RIGHT([1]!Tabla2[[#This Row],[Marca y Modelo]], LEN([1]!Tabla2[[#This Row],[Marca y Modelo]]) - FIND(" ", [1]!Tabla2[[#This Row],[Marca y Modelo]]))</f>
        <v>SKN</v>
      </c>
      <c r="I1106" s="76"/>
      <c r="J1106" s="76"/>
      <c r="K1106" s="91" t="s">
        <v>4283</v>
      </c>
      <c r="L1106" s="91" t="s">
        <v>3717</v>
      </c>
      <c r="M1106" s="91" t="s">
        <v>1410</v>
      </c>
      <c r="N1106" s="91" t="s">
        <v>2517</v>
      </c>
      <c r="O1106" s="77"/>
      <c r="P1106" s="91" t="s">
        <v>2536</v>
      </c>
      <c r="Q1106" s="32"/>
      <c r="R1106" s="48" t="s">
        <v>216</v>
      </c>
      <c r="S1106" s="32"/>
    </row>
    <row r="1107" spans="2:19" x14ac:dyDescent="0.3">
      <c r="B1107" t="s">
        <v>4349</v>
      </c>
      <c r="C1107" s="11" t="s">
        <v>172</v>
      </c>
      <c r="D1107">
        <v>1</v>
      </c>
      <c r="E1107" t="s">
        <v>160</v>
      </c>
      <c r="F1107" s="92" t="s">
        <v>1084</v>
      </c>
      <c r="G1107" s="90" t="str">
        <f>LEFT([1]modificado!$O$2, FIND(" ", [1]modificado!$O$2 &amp; " ") - 1)</f>
        <v>3M</v>
      </c>
      <c r="H1107" s="47" t="str">
        <f>RIGHT([1]!Tabla2[[#This Row],[Marca y Modelo]], LEN([1]!Tabla2[[#This Row],[Marca y Modelo]]) - FIND(" ", [1]!Tabla2[[#This Row],[Marca y Modelo]]))</f>
        <v>SKN</v>
      </c>
      <c r="I1107" s="76"/>
      <c r="J1107" s="76"/>
      <c r="K1107" s="92" t="s">
        <v>4283</v>
      </c>
      <c r="L1107" s="92" t="s">
        <v>3718</v>
      </c>
      <c r="M1107" s="92" t="s">
        <v>1410</v>
      </c>
      <c r="N1107" s="92" t="s">
        <v>2518</v>
      </c>
      <c r="O1107" s="77"/>
      <c r="P1107" s="92" t="s">
        <v>2536</v>
      </c>
      <c r="Q1107" s="32"/>
      <c r="R1107" s="48" t="s">
        <v>216</v>
      </c>
      <c r="S1107" s="32"/>
    </row>
    <row r="1108" spans="2:19" x14ac:dyDescent="0.3">
      <c r="B1108" t="str">
        <f>LEFT(Tabla3890134177220392[[#This Row],[Descripción del equipo]], FIND(" ", Tabla3890134177220392[[#This Row],[Descripción del equipo]] &amp; " ") - 1)</f>
        <v>Arnes</v>
      </c>
      <c r="C1108" s="11" t="s">
        <v>172</v>
      </c>
      <c r="D1108">
        <v>1</v>
      </c>
      <c r="E1108" t="s">
        <v>160</v>
      </c>
      <c r="F1108" s="91" t="s">
        <v>1056</v>
      </c>
      <c r="G1108" s="90" t="str">
        <f>LEFT([1]modificado!$O$2, FIND(" ", [1]modificado!$O$2 &amp; " ") - 1)</f>
        <v>3M</v>
      </c>
      <c r="H1108" s="47" t="str">
        <f>RIGHT([1]!Tabla2[[#This Row],[Marca y Modelo]], LEN([1]!Tabla2[[#This Row],[Marca y Modelo]]) - FIND(" ", [1]!Tabla2[[#This Row],[Marca y Modelo]]))</f>
        <v>Space</v>
      </c>
      <c r="I1108" s="76"/>
      <c r="J1108" s="76"/>
      <c r="K1108" s="91" t="s">
        <v>4284</v>
      </c>
      <c r="L1108" s="91" t="s">
        <v>3719</v>
      </c>
      <c r="M1108" s="91" t="s">
        <v>1406</v>
      </c>
      <c r="N1108" s="91" t="s">
        <v>2519</v>
      </c>
      <c r="O1108" s="77"/>
      <c r="P1108" s="91" t="s">
        <v>2536</v>
      </c>
      <c r="Q1108" s="32"/>
      <c r="R1108" s="48" t="s">
        <v>216</v>
      </c>
      <c r="S1108" s="32"/>
    </row>
    <row r="1109" spans="2:19" x14ac:dyDescent="0.3">
      <c r="B1109" t="str">
        <f>LEFT(Tabla3890134177220392[[#This Row],[Descripción del equipo]], FIND(" ", Tabla3890134177220392[[#This Row],[Descripción del equipo]] &amp; " ") - 1)</f>
        <v>Arnes</v>
      </c>
      <c r="C1109" s="11" t="s">
        <v>172</v>
      </c>
      <c r="D1109">
        <v>1</v>
      </c>
      <c r="E1109" t="s">
        <v>160</v>
      </c>
      <c r="F1109" s="92" t="s">
        <v>1056</v>
      </c>
      <c r="G1109" s="90" t="str">
        <f>LEFT([1]modificado!$O$2, FIND(" ", [1]modificado!$O$2 &amp; " ") - 1)</f>
        <v>3M</v>
      </c>
      <c r="H1109" s="47" t="str">
        <f>RIGHT([1]!Tabla2[[#This Row],[Marca y Modelo]], LEN([1]!Tabla2[[#This Row],[Marca y Modelo]]) - FIND(" ", [1]!Tabla2[[#This Row],[Marca y Modelo]]))</f>
        <v>Space</v>
      </c>
      <c r="I1109" s="76"/>
      <c r="J1109" s="76"/>
      <c r="K1109" s="92" t="s">
        <v>4284</v>
      </c>
      <c r="L1109" s="92" t="s">
        <v>3720</v>
      </c>
      <c r="M1109" s="92" t="s">
        <v>1406</v>
      </c>
      <c r="N1109" s="92" t="s">
        <v>2520</v>
      </c>
      <c r="O1109" s="77"/>
      <c r="P1109" s="92" t="s">
        <v>2536</v>
      </c>
      <c r="Q1109" s="32"/>
      <c r="R1109" s="48" t="s">
        <v>216</v>
      </c>
      <c r="S1109" s="32"/>
    </row>
    <row r="1110" spans="2:19" x14ac:dyDescent="0.3">
      <c r="B1110" t="s">
        <v>4349</v>
      </c>
      <c r="C1110" s="11" t="s">
        <v>172</v>
      </c>
      <c r="D1110">
        <v>1</v>
      </c>
      <c r="E1110" t="s">
        <v>160</v>
      </c>
      <c r="F1110" s="91" t="s">
        <v>1084</v>
      </c>
      <c r="G1110" s="90" t="str">
        <f>LEFT([1]modificado!$O$2, FIND(" ", [1]modificado!$O$2 &amp; " ") - 1)</f>
        <v>3M</v>
      </c>
      <c r="H1110" s="47" t="str">
        <f>RIGHT([1]!Tabla2[[#This Row],[Marca y Modelo]], LEN([1]!Tabla2[[#This Row],[Marca y Modelo]]) - FIND(" ", [1]!Tabla2[[#This Row],[Marca y Modelo]]))</f>
        <v>SKN</v>
      </c>
      <c r="I1110" s="76"/>
      <c r="J1110" s="76"/>
      <c r="K1110" s="91" t="s">
        <v>4285</v>
      </c>
      <c r="L1110" s="91" t="s">
        <v>3721</v>
      </c>
      <c r="M1110" s="91" t="s">
        <v>1410</v>
      </c>
      <c r="N1110" s="91" t="s">
        <v>2521</v>
      </c>
      <c r="O1110" s="77"/>
      <c r="P1110" s="91" t="s">
        <v>2536</v>
      </c>
      <c r="Q1110" s="32"/>
      <c r="R1110" s="48" t="s">
        <v>216</v>
      </c>
      <c r="S1110" s="32"/>
    </row>
    <row r="1111" spans="2:19" x14ac:dyDescent="0.3">
      <c r="B1111" t="s">
        <v>4349</v>
      </c>
      <c r="C1111" s="11" t="s">
        <v>172</v>
      </c>
      <c r="D1111">
        <v>1</v>
      </c>
      <c r="E1111" t="s">
        <v>160</v>
      </c>
      <c r="F1111" s="92" t="s">
        <v>1059</v>
      </c>
      <c r="G1111" s="90" t="str">
        <f>LEFT([1]modificado!$O$2, FIND(" ", [1]modificado!$O$2 &amp; " ") - 1)</f>
        <v>3M</v>
      </c>
      <c r="H1111" s="47" t="str">
        <f>RIGHT([1]!Tabla2[[#This Row],[Marca y Modelo]], LEN([1]!Tabla2[[#This Row],[Marca y Modelo]]) - FIND(" ", [1]!Tabla2[[#This Row],[Marca y Modelo]]))</f>
        <v>4550-U</v>
      </c>
      <c r="I1111" s="76"/>
      <c r="J1111" s="76"/>
      <c r="K1111" s="92" t="s">
        <v>4286</v>
      </c>
      <c r="L1111" s="92" t="s">
        <v>3722</v>
      </c>
      <c r="M1111" s="92" t="s">
        <v>1404</v>
      </c>
      <c r="N1111" s="92" t="s">
        <v>2522</v>
      </c>
      <c r="O1111" s="77"/>
      <c r="P1111" s="92" t="s">
        <v>2536</v>
      </c>
      <c r="Q1111" s="32"/>
      <c r="R1111" s="48" t="s">
        <v>216</v>
      </c>
      <c r="S1111" s="32"/>
    </row>
    <row r="1112" spans="2:19" x14ac:dyDescent="0.3">
      <c r="B1112" t="s">
        <v>4349</v>
      </c>
      <c r="C1112" s="11" t="s">
        <v>172</v>
      </c>
      <c r="D1112">
        <v>1</v>
      </c>
      <c r="E1112" t="s">
        <v>160</v>
      </c>
      <c r="F1112" s="91" t="s">
        <v>1059</v>
      </c>
      <c r="G1112" s="90" t="str">
        <f>LEFT([1]modificado!$O$2, FIND(" ", [1]modificado!$O$2 &amp; " ") - 1)</f>
        <v>3M</v>
      </c>
      <c r="H1112" s="47" t="str">
        <f>RIGHT([1]!Tabla2[[#This Row],[Marca y Modelo]], LEN([1]!Tabla2[[#This Row],[Marca y Modelo]]) - FIND(" ", [1]!Tabla2[[#This Row],[Marca y Modelo]]))</f>
        <v>4550-U</v>
      </c>
      <c r="I1112" s="76"/>
      <c r="J1112" s="76"/>
      <c r="K1112" s="91" t="s">
        <v>4286</v>
      </c>
      <c r="L1112" s="91" t="s">
        <v>3723</v>
      </c>
      <c r="M1112" s="91" t="s">
        <v>1404</v>
      </c>
      <c r="N1112" s="91" t="s">
        <v>2523</v>
      </c>
      <c r="O1112" s="77"/>
      <c r="P1112" s="91" t="s">
        <v>2536</v>
      </c>
      <c r="Q1112" s="32"/>
      <c r="R1112" s="48" t="s">
        <v>216</v>
      </c>
      <c r="S1112" s="32"/>
    </row>
    <row r="1113" spans="2:19" x14ac:dyDescent="0.3">
      <c r="B1113" t="s">
        <v>4349</v>
      </c>
      <c r="C1113" s="11" t="s">
        <v>172</v>
      </c>
      <c r="D1113">
        <v>1</v>
      </c>
      <c r="E1113" t="s">
        <v>160</v>
      </c>
      <c r="F1113" s="92" t="s">
        <v>1059</v>
      </c>
      <c r="G1113" s="90" t="str">
        <f>LEFT([1]modificado!$O$2, FIND(" ", [1]modificado!$O$2 &amp; " ") - 1)</f>
        <v>3M</v>
      </c>
      <c r="H1113" s="47" t="str">
        <f>RIGHT([1]!Tabla2[[#This Row],[Marca y Modelo]], LEN([1]!Tabla2[[#This Row],[Marca y Modelo]]) - FIND(" ", [1]!Tabla2[[#This Row],[Marca y Modelo]]))</f>
        <v>CO100</v>
      </c>
      <c r="I1113" s="76"/>
      <c r="J1113" s="76"/>
      <c r="K1113" s="92" t="s">
        <v>4286</v>
      </c>
      <c r="L1113" s="92" t="s">
        <v>3724</v>
      </c>
      <c r="M1113" s="92" t="s">
        <v>1404</v>
      </c>
      <c r="N1113" s="92" t="s">
        <v>2524</v>
      </c>
      <c r="O1113" s="77"/>
      <c r="P1113" s="92" t="s">
        <v>2536</v>
      </c>
      <c r="Q1113" s="32"/>
      <c r="R1113" s="48" t="s">
        <v>216</v>
      </c>
      <c r="S1113" s="32"/>
    </row>
    <row r="1114" spans="2:19" x14ac:dyDescent="0.3">
      <c r="B1114" t="s">
        <v>4349</v>
      </c>
      <c r="C1114" s="11" t="s">
        <v>172</v>
      </c>
      <c r="D1114">
        <v>1</v>
      </c>
      <c r="E1114" t="s">
        <v>160</v>
      </c>
      <c r="F1114" s="91" t="s">
        <v>1059</v>
      </c>
      <c r="G1114" s="90" t="str">
        <f>LEFT([1]modificado!$O$2, FIND(" ", [1]modificado!$O$2 &amp; " ") - 1)</f>
        <v>3M</v>
      </c>
      <c r="H1114" s="47" t="str">
        <f>RIGHT([1]!Tabla2[[#This Row],[Marca y Modelo]], LEN([1]!Tabla2[[#This Row],[Marca y Modelo]]) - FIND(" ", [1]!Tabla2[[#This Row],[Marca y Modelo]]))</f>
        <v>CO100</v>
      </c>
      <c r="I1114" s="76"/>
      <c r="J1114" s="76"/>
      <c r="K1114" s="91" t="s">
        <v>4286</v>
      </c>
      <c r="L1114" s="91" t="s">
        <v>3725</v>
      </c>
      <c r="M1114" s="91" t="s">
        <v>1404</v>
      </c>
      <c r="N1114" s="91" t="s">
        <v>2525</v>
      </c>
      <c r="O1114" s="77"/>
      <c r="P1114" s="91" t="s">
        <v>2536</v>
      </c>
      <c r="Q1114" s="32"/>
      <c r="R1114" s="48" t="s">
        <v>216</v>
      </c>
      <c r="S1114" s="32"/>
    </row>
    <row r="1115" spans="2:19" x14ac:dyDescent="0.3">
      <c r="B1115" t="s">
        <v>4349</v>
      </c>
      <c r="C1115" s="11" t="s">
        <v>172</v>
      </c>
      <c r="D1115">
        <v>1</v>
      </c>
      <c r="E1115" t="s">
        <v>160</v>
      </c>
      <c r="F1115" s="92" t="s">
        <v>1059</v>
      </c>
      <c r="G1115" s="90" t="str">
        <f>LEFT([1]modificado!$O$2, FIND(" ", [1]modificado!$O$2 &amp; " ") - 1)</f>
        <v>3M</v>
      </c>
      <c r="H1115" s="47"/>
      <c r="I1115" s="76"/>
      <c r="J1115" s="76"/>
      <c r="K1115" s="92" t="s">
        <v>4286</v>
      </c>
      <c r="L1115" s="92" t="s">
        <v>3726</v>
      </c>
      <c r="M1115" s="92" t="s">
        <v>1408</v>
      </c>
      <c r="N1115" s="92" t="s">
        <v>2526</v>
      </c>
      <c r="O1115" s="77"/>
      <c r="P1115" s="92" t="s">
        <v>2536</v>
      </c>
      <c r="Q1115" s="32"/>
      <c r="R1115" s="48" t="s">
        <v>216</v>
      </c>
      <c r="S1115" s="32"/>
    </row>
    <row r="1116" spans="2:19" ht="28.8" x14ac:dyDescent="0.3">
      <c r="B1116" t="str">
        <f>LEFT(Tabla3890134177220392[[#This Row],[Descripción del equipo]], FIND(" ", Tabla3890134177220392[[#This Row],[Descripción del equipo]] &amp; " ") - 1)</f>
        <v>Arnes</v>
      </c>
      <c r="C1116" s="11" t="s">
        <v>178</v>
      </c>
      <c r="D1116">
        <v>1</v>
      </c>
      <c r="E1116" t="s">
        <v>160</v>
      </c>
      <c r="F1116" s="91" t="s">
        <v>1056</v>
      </c>
      <c r="G1116" s="90" t="str">
        <f>LEFT([1]modificado!$O$2, FIND(" ", [1]modificado!$O$2 &amp; " ") - 1)</f>
        <v>3M</v>
      </c>
      <c r="H1116" s="47" t="str">
        <f>RIGHT([1]!Tabla2[[#This Row],[Marca y Modelo]], LEN([1]!Tabla2[[#This Row],[Marca y Modelo]]) - FIND(" ", [1]!Tabla2[[#This Row],[Marca y Modelo]]))</f>
        <v>10911F-LOGO</v>
      </c>
      <c r="I1116" s="76"/>
      <c r="J1116" s="76"/>
      <c r="K1116" s="91" t="s">
        <v>4287</v>
      </c>
      <c r="L1116" s="91" t="s">
        <v>3727</v>
      </c>
      <c r="M1116" s="91" t="s">
        <v>1404</v>
      </c>
      <c r="N1116" s="91" t="s">
        <v>1093</v>
      </c>
      <c r="O1116" s="77"/>
      <c r="P1116" s="91" t="s">
        <v>2537</v>
      </c>
      <c r="Q1116" s="32"/>
      <c r="R1116" s="48" t="s">
        <v>216</v>
      </c>
      <c r="S1116" s="32"/>
    </row>
    <row r="1117" spans="2:19" ht="28.8" x14ac:dyDescent="0.3">
      <c r="B1117" t="str">
        <f>LEFT(Tabla3890134177220392[[#This Row],[Descripción del equipo]], FIND(" ", Tabla3890134177220392[[#This Row],[Descripción del equipo]] &amp; " ") - 1)</f>
        <v>Arnes</v>
      </c>
      <c r="C1117" s="11" t="s">
        <v>178</v>
      </c>
      <c r="D1117">
        <v>1</v>
      </c>
      <c r="E1117" t="s">
        <v>160</v>
      </c>
      <c r="F1117" s="92" t="s">
        <v>1056</v>
      </c>
      <c r="G1117" s="90" t="str">
        <f>LEFT([1]modificado!$O$2, FIND(" ", [1]modificado!$O$2 &amp; " ") - 1)</f>
        <v>3M</v>
      </c>
      <c r="H1117" s="47" t="str">
        <f>RIGHT([1]!Tabla2[[#This Row],[Marca y Modelo]], LEN([1]!Tabla2[[#This Row],[Marca y Modelo]]) - FIND(" ", [1]!Tabla2[[#This Row],[Marca y Modelo]]))</f>
        <v>1191205</v>
      </c>
      <c r="I1117" s="76"/>
      <c r="J1117" s="76"/>
      <c r="K1117" s="92" t="s">
        <v>4287</v>
      </c>
      <c r="L1117" s="92" t="s">
        <v>3728</v>
      </c>
      <c r="M1117" s="92" t="s">
        <v>1404</v>
      </c>
      <c r="N1117" s="92" t="s">
        <v>1094</v>
      </c>
      <c r="O1117" s="77"/>
      <c r="P1117" s="92" t="s">
        <v>2537</v>
      </c>
      <c r="Q1117" s="32"/>
      <c r="R1117" s="48" t="s">
        <v>216</v>
      </c>
      <c r="S1117" s="32"/>
    </row>
    <row r="1118" spans="2:19" ht="28.8" x14ac:dyDescent="0.3">
      <c r="B1118" t="s">
        <v>28</v>
      </c>
      <c r="C1118" s="11" t="s">
        <v>178</v>
      </c>
      <c r="D1118">
        <v>1</v>
      </c>
      <c r="E1118" t="s">
        <v>160</v>
      </c>
      <c r="F1118" s="91" t="s">
        <v>1062</v>
      </c>
      <c r="G1118" s="90" t="str">
        <f>LEFT([1]modificado!$O$2, FIND(" ", [1]modificado!$O$2 &amp; " ") - 1)</f>
        <v>3M</v>
      </c>
      <c r="H1118" s="47" t="str">
        <f>RIGHT([1]!Tabla2[[#This Row],[Marca y Modelo]], LEN([1]!Tabla2[[#This Row],[Marca y Modelo]]) - FIND(" ", [1]!Tabla2[[#This Row],[Marca y Modelo]]))</f>
        <v>10955-LOGO</v>
      </c>
      <c r="I1118" s="76"/>
      <c r="J1118" s="76"/>
      <c r="K1118" s="91" t="s">
        <v>4287</v>
      </c>
      <c r="L1118" s="91" t="s">
        <v>3729</v>
      </c>
      <c r="M1118" s="91" t="s">
        <v>1404</v>
      </c>
      <c r="N1118" s="91" t="s">
        <v>1095</v>
      </c>
      <c r="O1118" s="77"/>
      <c r="P1118" s="91" t="s">
        <v>2537</v>
      </c>
      <c r="Q1118" s="32"/>
      <c r="R1118" s="48" t="s">
        <v>216</v>
      </c>
      <c r="S1118" s="32"/>
    </row>
    <row r="1119" spans="2:19" ht="28.8" x14ac:dyDescent="0.3">
      <c r="B1119" t="str">
        <f>LEFT(Tabla3890134177220392[[#This Row],[Descripción del equipo]], FIND(" ", Tabla3890134177220392[[#This Row],[Descripción del equipo]] &amp; " ") - 1)</f>
        <v>Arnes</v>
      </c>
      <c r="C1119" s="11" t="s">
        <v>178</v>
      </c>
      <c r="D1119">
        <v>1</v>
      </c>
      <c r="E1119" t="s">
        <v>160</v>
      </c>
      <c r="F1119" s="92" t="s">
        <v>1062</v>
      </c>
      <c r="G1119" s="90" t="str">
        <f>LEFT([1]modificado!$O$2, FIND(" ", [1]modificado!$O$2 &amp; " ") - 1)</f>
        <v>3M</v>
      </c>
      <c r="H1119" s="47" t="str">
        <f>RIGHT([1]!Tabla2[[#This Row],[Marca y Modelo]], LEN([1]!Tabla2[[#This Row],[Marca y Modelo]]) - FIND(" ", [1]!Tabla2[[#This Row],[Marca y Modelo]]))</f>
        <v>10955-LOGO</v>
      </c>
      <c r="I1119" s="76"/>
      <c r="J1119" s="76"/>
      <c r="K1119" s="92" t="s">
        <v>4287</v>
      </c>
      <c r="L1119" s="92" t="s">
        <v>3730</v>
      </c>
      <c r="M1119" s="92" t="s">
        <v>1404</v>
      </c>
      <c r="N1119" s="92" t="s">
        <v>1096</v>
      </c>
      <c r="O1119" s="77"/>
      <c r="P1119" s="92" t="s">
        <v>2537</v>
      </c>
      <c r="Q1119" s="32"/>
      <c r="R1119" s="48" t="s">
        <v>216</v>
      </c>
      <c r="S1119" s="32"/>
    </row>
    <row r="1120" spans="2:19" ht="28.8" x14ac:dyDescent="0.3">
      <c r="B1120" t="str">
        <f>LEFT(Tabla3890134177220392[[#This Row],[Descripción del equipo]], FIND(" ", Tabla3890134177220392[[#This Row],[Descripción del equipo]] &amp; " ") - 1)</f>
        <v>Arnes</v>
      </c>
      <c r="C1120" s="11" t="s">
        <v>178</v>
      </c>
      <c r="D1120">
        <v>1</v>
      </c>
      <c r="E1120" t="s">
        <v>160</v>
      </c>
      <c r="F1120" s="91" t="s">
        <v>1062</v>
      </c>
      <c r="G1120" s="90" t="str">
        <f>LEFT([1]modificado!$O$2, FIND(" ", [1]modificado!$O$2 &amp; " ") - 1)</f>
        <v>3M</v>
      </c>
      <c r="H1120" s="47" t="str">
        <f>RIGHT([1]!Tabla2[[#This Row],[Marca y Modelo]], LEN([1]!Tabla2[[#This Row],[Marca y Modelo]]) - FIND(" ", [1]!Tabla2[[#This Row],[Marca y Modelo]]))</f>
        <v>10955-LOGO</v>
      </c>
      <c r="I1120" s="76"/>
      <c r="J1120" s="76"/>
      <c r="K1120" s="91" t="s">
        <v>4287</v>
      </c>
      <c r="L1120" s="91" t="s">
        <v>3731</v>
      </c>
      <c r="M1120" s="91" t="s">
        <v>1404</v>
      </c>
      <c r="N1120" s="91" t="s">
        <v>1097</v>
      </c>
      <c r="O1120" s="77"/>
      <c r="P1120" s="91" t="s">
        <v>2537</v>
      </c>
      <c r="Q1120" s="32"/>
      <c r="R1120" s="48" t="s">
        <v>216</v>
      </c>
      <c r="S1120" s="32"/>
    </row>
    <row r="1121" spans="2:19" ht="28.8" x14ac:dyDescent="0.3">
      <c r="B1121" t="str">
        <f>LEFT(Tabla3890134177220392[[#This Row],[Descripción del equipo]], FIND(" ", Tabla3890134177220392[[#This Row],[Descripción del equipo]] &amp; " ") - 1)</f>
        <v>Arnes</v>
      </c>
      <c r="C1121" s="11" t="s">
        <v>178</v>
      </c>
      <c r="D1121">
        <v>1</v>
      </c>
      <c r="E1121" t="s">
        <v>160</v>
      </c>
      <c r="F1121" s="92" t="s">
        <v>1068</v>
      </c>
      <c r="G1121" s="90" t="str">
        <f>LEFT([1]modificado!$O$2, FIND(" ", [1]modificado!$O$2 &amp; " ") - 1)</f>
        <v>3M</v>
      </c>
      <c r="H1121" s="47"/>
      <c r="I1121" s="76"/>
      <c r="J1121" s="76"/>
      <c r="K1121" s="92" t="s">
        <v>4287</v>
      </c>
      <c r="L1121" s="92" t="s">
        <v>3732</v>
      </c>
      <c r="M1121" s="92" t="s">
        <v>1404</v>
      </c>
      <c r="N1121" s="92" t="s">
        <v>1098</v>
      </c>
      <c r="O1121" s="77"/>
      <c r="P1121" s="92" t="s">
        <v>2537</v>
      </c>
      <c r="Q1121" s="32"/>
      <c r="R1121" s="48" t="s">
        <v>216</v>
      </c>
      <c r="S1121" s="32"/>
    </row>
    <row r="1122" spans="2:19" ht="28.8" x14ac:dyDescent="0.3">
      <c r="B1122" t="str">
        <f>LEFT(Tabla3890134177220392[[#This Row],[Descripción del equipo]], FIND(" ", Tabla3890134177220392[[#This Row],[Descripción del equipo]] &amp; " ") - 1)</f>
        <v>Arnes</v>
      </c>
      <c r="C1122" s="11" t="s">
        <v>178</v>
      </c>
      <c r="D1122">
        <v>1</v>
      </c>
      <c r="E1122" t="s">
        <v>160</v>
      </c>
      <c r="F1122" s="91" t="s">
        <v>1056</v>
      </c>
      <c r="G1122" s="90" t="str">
        <f>LEFT([1]modificado!$O$2, FIND(" ", [1]modificado!$O$2 &amp; " ") - 1)</f>
        <v>3M</v>
      </c>
      <c r="H1122" s="47" t="str">
        <f>RIGHT([1]!Tabla2[[#This Row],[Marca y Modelo]], LEN([1]!Tabla2[[#This Row],[Marca y Modelo]]) - FIND(" ", [1]!Tabla2[[#This Row],[Marca y Modelo]]))</f>
        <v>1A1-U</v>
      </c>
      <c r="I1122" s="76"/>
      <c r="J1122" s="76"/>
      <c r="K1122" s="91" t="s">
        <v>4287</v>
      </c>
      <c r="L1122" s="91" t="s">
        <v>3733</v>
      </c>
      <c r="M1122" s="91" t="s">
        <v>1404</v>
      </c>
      <c r="N1122" s="91" t="s">
        <v>1099</v>
      </c>
      <c r="O1122" s="77"/>
      <c r="P1122" s="91" t="s">
        <v>2537</v>
      </c>
      <c r="Q1122" s="32"/>
      <c r="R1122" s="48" t="s">
        <v>216</v>
      </c>
      <c r="S1122" s="32"/>
    </row>
    <row r="1123" spans="2:19" ht="28.8" x14ac:dyDescent="0.3">
      <c r="B1123" t="str">
        <f>LEFT(Tabla3890134177220392[[#This Row],[Descripción del equipo]], FIND(" ", Tabla3890134177220392[[#This Row],[Descripción del equipo]] &amp; " ") - 1)</f>
        <v>Arnes</v>
      </c>
      <c r="C1123" s="11" t="s">
        <v>178</v>
      </c>
      <c r="D1123">
        <v>1</v>
      </c>
      <c r="E1123" t="s">
        <v>160</v>
      </c>
      <c r="F1123" s="92" t="s">
        <v>1056</v>
      </c>
      <c r="G1123" s="90" t="str">
        <f>LEFT([1]modificado!$O$2, FIND(" ", [1]modificado!$O$2 &amp; " ") - 1)</f>
        <v>3M</v>
      </c>
      <c r="H1123" s="47" t="str">
        <f>RIGHT([1]!Tabla2[[#This Row],[Marca y Modelo]], LEN([1]!Tabla2[[#This Row],[Marca y Modelo]]) - FIND(" ", [1]!Tabla2[[#This Row],[Marca y Modelo]]))</f>
        <v>3210</v>
      </c>
      <c r="I1123" s="76"/>
      <c r="J1123" s="76"/>
      <c r="K1123" s="92" t="s">
        <v>4287</v>
      </c>
      <c r="L1123" s="92" t="s">
        <v>3734</v>
      </c>
      <c r="M1123" s="92" t="s">
        <v>1404</v>
      </c>
      <c r="N1123" s="92" t="s">
        <v>1100</v>
      </c>
      <c r="O1123" s="77"/>
      <c r="P1123" s="92" t="s">
        <v>2537</v>
      </c>
      <c r="Q1123" s="32"/>
      <c r="R1123" s="48" t="s">
        <v>216</v>
      </c>
      <c r="S1123" s="32"/>
    </row>
    <row r="1124" spans="2:19" ht="28.8" x14ac:dyDescent="0.3">
      <c r="B1124" t="str">
        <f>LEFT(Tabla3890134177220392[[#This Row],[Descripción del equipo]], FIND(" ", Tabla3890134177220392[[#This Row],[Descripción del equipo]] &amp; " ") - 1)</f>
        <v>Arnes</v>
      </c>
      <c r="C1124" s="11" t="s">
        <v>178</v>
      </c>
      <c r="D1124">
        <v>1</v>
      </c>
      <c r="E1124" t="s">
        <v>160</v>
      </c>
      <c r="F1124" s="91" t="s">
        <v>1056</v>
      </c>
      <c r="G1124" s="90" t="str">
        <f>LEFT([1]modificado!$O$2, FIND(" ", [1]modificado!$O$2 &amp; " ") - 1)</f>
        <v>3M</v>
      </c>
      <c r="H1124" s="47" t="str">
        <f>RIGHT([1]!Tabla2[[#This Row],[Marca y Modelo]], LEN([1]!Tabla2[[#This Row],[Marca y Modelo]]) - FIND(" ", [1]!Tabla2[[#This Row],[Marca y Modelo]]))</f>
        <v>10911F-LOGO</v>
      </c>
      <c r="I1124" s="76"/>
      <c r="J1124" s="76"/>
      <c r="K1124" s="91" t="s">
        <v>4287</v>
      </c>
      <c r="L1124" s="91" t="s">
        <v>3735</v>
      </c>
      <c r="M1124" s="91" t="s">
        <v>1404</v>
      </c>
      <c r="N1124" s="91" t="s">
        <v>1101</v>
      </c>
      <c r="O1124" s="77"/>
      <c r="P1124" s="91" t="s">
        <v>2537</v>
      </c>
      <c r="Q1124" s="32"/>
      <c r="R1124" s="48" t="s">
        <v>216</v>
      </c>
      <c r="S1124" s="32"/>
    </row>
    <row r="1125" spans="2:19" ht="28.8" x14ac:dyDescent="0.3">
      <c r="B1125" t="str">
        <f>LEFT(Tabla3890134177220392[[#This Row],[Descripción del equipo]], FIND(" ", Tabla3890134177220392[[#This Row],[Descripción del equipo]] &amp; " ") - 1)</f>
        <v>Arnes</v>
      </c>
      <c r="C1125" s="11" t="s">
        <v>178</v>
      </c>
      <c r="D1125">
        <v>1</v>
      </c>
      <c r="E1125" t="s">
        <v>160</v>
      </c>
      <c r="F1125" s="92" t="s">
        <v>1056</v>
      </c>
      <c r="G1125" s="90" t="str">
        <f>LEFT([1]modificado!$O$2, FIND(" ", [1]modificado!$O$2 &amp; " ") - 1)</f>
        <v>3M</v>
      </c>
      <c r="H1125" s="47" t="str">
        <f>RIGHT([1]!Tabla2[[#This Row],[Marca y Modelo]], LEN([1]!Tabla2[[#This Row],[Marca y Modelo]]) - FIND(" ", [1]!Tabla2[[#This Row],[Marca y Modelo]]))</f>
        <v>Basic Tiger</v>
      </c>
      <c r="I1125" s="76"/>
      <c r="J1125" s="76"/>
      <c r="K1125" s="92" t="s">
        <v>4287</v>
      </c>
      <c r="L1125" s="92" t="s">
        <v>3736</v>
      </c>
      <c r="M1125" s="92" t="s">
        <v>1405</v>
      </c>
      <c r="N1125" s="92" t="s">
        <v>1102</v>
      </c>
      <c r="O1125" s="77"/>
      <c r="P1125" s="92" t="s">
        <v>2537</v>
      </c>
      <c r="Q1125" s="32"/>
      <c r="R1125" s="48" t="s">
        <v>216</v>
      </c>
      <c r="S1125" s="32"/>
    </row>
    <row r="1126" spans="2:19" ht="28.8" x14ac:dyDescent="0.3">
      <c r="B1126" t="str">
        <f>LEFT(Tabla3890134177220392[[#This Row],[Descripción del equipo]], FIND(" ", Tabla3890134177220392[[#This Row],[Descripción del equipo]] &amp; " ") - 1)</f>
        <v>Arnes</v>
      </c>
      <c r="C1126" s="11" t="s">
        <v>178</v>
      </c>
      <c r="D1126">
        <v>1</v>
      </c>
      <c r="E1126" t="s">
        <v>160</v>
      </c>
      <c r="F1126" s="91" t="s">
        <v>1056</v>
      </c>
      <c r="G1126" s="90" t="str">
        <f>LEFT([1]modificado!$O$2, FIND(" ", [1]modificado!$O$2 &amp; " ") - 1)</f>
        <v>3M</v>
      </c>
      <c r="H1126" s="47" t="str">
        <f>RIGHT([1]!Tabla2[[#This Row],[Marca y Modelo]], LEN([1]!Tabla2[[#This Row],[Marca y Modelo]]) - FIND(" ", [1]!Tabla2[[#This Row],[Marca y Modelo]]))</f>
        <v>Musitani Space</v>
      </c>
      <c r="I1126" s="76"/>
      <c r="J1126" s="76"/>
      <c r="K1126" s="91" t="s">
        <v>4287</v>
      </c>
      <c r="L1126" s="91" t="s">
        <v>3737</v>
      </c>
      <c r="M1126" s="91" t="s">
        <v>1404</v>
      </c>
      <c r="N1126" s="91" t="s">
        <v>1103</v>
      </c>
      <c r="O1126" s="77"/>
      <c r="P1126" s="91" t="s">
        <v>2537</v>
      </c>
      <c r="Q1126" s="32"/>
      <c r="R1126" s="48" t="s">
        <v>216</v>
      </c>
      <c r="S1126" s="32"/>
    </row>
    <row r="1127" spans="2:19" ht="28.8" x14ac:dyDescent="0.3">
      <c r="B1127" t="str">
        <f>LEFT(Tabla3890134177220392[[#This Row],[Descripción del equipo]], FIND(" ", Tabla3890134177220392[[#This Row],[Descripción del equipo]] &amp; " ") - 1)</f>
        <v>Arnes</v>
      </c>
      <c r="C1127" s="11" t="s">
        <v>178</v>
      </c>
      <c r="D1127">
        <v>1</v>
      </c>
      <c r="E1127" t="s">
        <v>160</v>
      </c>
      <c r="F1127" s="92" t="s">
        <v>1056</v>
      </c>
      <c r="G1127" s="90" t="str">
        <f>LEFT([1]modificado!$O$2, FIND(" ", [1]modificado!$O$2 &amp; " ") - 1)</f>
        <v>3M</v>
      </c>
      <c r="H1127" s="47" t="str">
        <f>RIGHT([1]!Tabla2[[#This Row],[Marca y Modelo]], LEN([1]!Tabla2[[#This Row],[Marca y Modelo]]) - FIND(" ", [1]!Tabla2[[#This Row],[Marca y Modelo]]))</f>
        <v>Basic Lion</v>
      </c>
      <c r="I1127" s="76"/>
      <c r="J1127" s="76"/>
      <c r="K1127" s="92" t="s">
        <v>4287</v>
      </c>
      <c r="L1127" s="92" t="s">
        <v>3738</v>
      </c>
      <c r="M1127" s="92" t="s">
        <v>1404</v>
      </c>
      <c r="N1127" s="92" t="s">
        <v>1104</v>
      </c>
      <c r="O1127" s="77"/>
      <c r="P1127" s="92" t="s">
        <v>2537</v>
      </c>
      <c r="Q1127" s="32"/>
      <c r="R1127" s="48" t="s">
        <v>216</v>
      </c>
      <c r="S1127" s="32"/>
    </row>
    <row r="1128" spans="2:19" ht="28.8" x14ac:dyDescent="0.3">
      <c r="B1128" t="str">
        <f>LEFT(Tabla3890134177220392[[#This Row],[Descripción del equipo]], FIND(" ", Tabla3890134177220392[[#This Row],[Descripción del equipo]] &amp; " ") - 1)</f>
        <v>Arnes</v>
      </c>
      <c r="C1128" s="11" t="s">
        <v>178</v>
      </c>
      <c r="D1128">
        <v>1</v>
      </c>
      <c r="E1128" t="s">
        <v>160</v>
      </c>
      <c r="F1128" s="91" t="s">
        <v>1056</v>
      </c>
      <c r="G1128" s="90" t="str">
        <f>LEFT([1]modificado!$O$2, FIND(" ", [1]modificado!$O$2 &amp; " ") - 1)</f>
        <v>3M</v>
      </c>
      <c r="H1128" s="47" t="str">
        <f>RIGHT([1]!Tabla2[[#This Row],[Marca y Modelo]], LEN([1]!Tabla2[[#This Row],[Marca y Modelo]]) - FIND(" ", [1]!Tabla2[[#This Row],[Marca y Modelo]]))</f>
        <v>Basic Lion</v>
      </c>
      <c r="I1128" s="76"/>
      <c r="J1128" s="76"/>
      <c r="K1128" s="91" t="s">
        <v>4287</v>
      </c>
      <c r="L1128" s="91" t="s">
        <v>3739</v>
      </c>
      <c r="M1128" s="91" t="s">
        <v>1404</v>
      </c>
      <c r="N1128" s="91" t="s">
        <v>1105</v>
      </c>
      <c r="O1128" s="77"/>
      <c r="P1128" s="91" t="s">
        <v>2537</v>
      </c>
      <c r="Q1128" s="32"/>
      <c r="R1128" s="48" t="s">
        <v>216</v>
      </c>
      <c r="S1128" s="32"/>
    </row>
    <row r="1129" spans="2:19" ht="28.8" x14ac:dyDescent="0.3">
      <c r="B1129" t="str">
        <f>LEFT(Tabla3890134177220392[[#This Row],[Descripción del equipo]], FIND(" ", Tabla3890134177220392[[#This Row],[Descripción del equipo]] &amp; " ") - 1)</f>
        <v>Arnes</v>
      </c>
      <c r="C1129" s="11" t="s">
        <v>178</v>
      </c>
      <c r="D1129">
        <v>1</v>
      </c>
      <c r="E1129" t="s">
        <v>160</v>
      </c>
      <c r="F1129" s="92" t="s">
        <v>1056</v>
      </c>
      <c r="G1129" s="90" t="str">
        <f>LEFT([1]modificado!$O$2, FIND(" ", [1]modificado!$O$2 &amp; " ") - 1)</f>
        <v>3M</v>
      </c>
      <c r="H1129" s="47" t="str">
        <f>RIGHT([1]!Tabla2[[#This Row],[Marca y Modelo]], LEN([1]!Tabla2[[#This Row],[Marca y Modelo]]) - FIND(" ", [1]!Tabla2[[#This Row],[Marca y Modelo]]))</f>
        <v>Basic Lion</v>
      </c>
      <c r="I1129" s="76"/>
      <c r="J1129" s="76"/>
      <c r="K1129" s="92" t="s">
        <v>4287</v>
      </c>
      <c r="L1129" s="92" t="s">
        <v>3740</v>
      </c>
      <c r="M1129" s="92" t="s">
        <v>1404</v>
      </c>
      <c r="N1129" s="92" t="s">
        <v>1106</v>
      </c>
      <c r="O1129" s="77"/>
      <c r="P1129" s="92" t="s">
        <v>2537</v>
      </c>
      <c r="Q1129" s="32"/>
      <c r="R1129" s="48" t="s">
        <v>216</v>
      </c>
      <c r="S1129" s="32"/>
    </row>
    <row r="1130" spans="2:19" ht="28.8" x14ac:dyDescent="0.3">
      <c r="B1130" t="str">
        <f>LEFT(Tabla3890134177220392[[#This Row],[Descripción del equipo]], FIND(" ", Tabla3890134177220392[[#This Row],[Descripción del equipo]] &amp; " ") - 1)</f>
        <v>Arnes</v>
      </c>
      <c r="C1130" s="11" t="s">
        <v>178</v>
      </c>
      <c r="D1130">
        <v>1</v>
      </c>
      <c r="E1130" t="s">
        <v>160</v>
      </c>
      <c r="F1130" s="91" t="s">
        <v>1056</v>
      </c>
      <c r="G1130" s="90" t="str">
        <f>LEFT([1]modificado!$O$2, FIND(" ", [1]modificado!$O$2 &amp; " ") - 1)</f>
        <v>3M</v>
      </c>
      <c r="H1130" s="47" t="str">
        <f>RIGHT([1]!Tabla2[[#This Row],[Marca y Modelo]], LEN([1]!Tabla2[[#This Row],[Marca y Modelo]]) - FIND(" ", [1]!Tabla2[[#This Row],[Marca y Modelo]]))</f>
        <v>Basic Lion</v>
      </c>
      <c r="I1130" s="76"/>
      <c r="J1130" s="76"/>
      <c r="K1130" s="91" t="s">
        <v>4287</v>
      </c>
      <c r="L1130" s="91" t="s">
        <v>3741</v>
      </c>
      <c r="M1130" s="91" t="s">
        <v>1405</v>
      </c>
      <c r="N1130" s="91" t="s">
        <v>1107</v>
      </c>
      <c r="O1130" s="77"/>
      <c r="P1130" s="91" t="s">
        <v>2537</v>
      </c>
      <c r="Q1130" s="32"/>
      <c r="R1130" s="48" t="s">
        <v>216</v>
      </c>
      <c r="S1130" s="32"/>
    </row>
    <row r="1131" spans="2:19" ht="28.8" x14ac:dyDescent="0.3">
      <c r="B1131" t="str">
        <f>LEFT(Tabla3890134177220392[[#This Row],[Descripción del equipo]], FIND(" ", Tabla3890134177220392[[#This Row],[Descripción del equipo]] &amp; " ") - 1)</f>
        <v>Arnes</v>
      </c>
      <c r="C1131" s="11" t="s">
        <v>178</v>
      </c>
      <c r="D1131">
        <v>1</v>
      </c>
      <c r="E1131" t="s">
        <v>160</v>
      </c>
      <c r="F1131" s="92" t="s">
        <v>1056</v>
      </c>
      <c r="G1131" s="90" t="str">
        <f>LEFT([1]modificado!$O$2, FIND(" ", [1]modificado!$O$2 &amp; " ") - 1)</f>
        <v>3M</v>
      </c>
      <c r="H1131" s="47" t="str">
        <f>RIGHT([1]!Tabla2[[#This Row],[Marca y Modelo]], LEN([1]!Tabla2[[#This Row],[Marca y Modelo]]) - FIND(" ", [1]!Tabla2[[#This Row],[Marca y Modelo]]))</f>
        <v>3210</v>
      </c>
      <c r="I1131" s="76"/>
      <c r="J1131" s="76"/>
      <c r="K1131" s="92" t="s">
        <v>4288</v>
      </c>
      <c r="L1131" s="92" t="s">
        <v>3742</v>
      </c>
      <c r="M1131" s="92" t="s">
        <v>1404</v>
      </c>
      <c r="N1131" s="92" t="s">
        <v>1108</v>
      </c>
      <c r="O1131" s="77"/>
      <c r="P1131" s="92" t="s">
        <v>2537</v>
      </c>
      <c r="Q1131" s="32"/>
      <c r="R1131" s="48" t="s">
        <v>216</v>
      </c>
      <c r="S1131" s="32"/>
    </row>
    <row r="1132" spans="2:19" ht="28.8" x14ac:dyDescent="0.3">
      <c r="B1132" t="str">
        <f>LEFT(Tabla3890134177220392[[#This Row],[Descripción del equipo]], FIND(" ", Tabla3890134177220392[[#This Row],[Descripción del equipo]] &amp; " ") - 1)</f>
        <v>Arnes</v>
      </c>
      <c r="C1132" s="11" t="s">
        <v>178</v>
      </c>
      <c r="D1132">
        <v>1</v>
      </c>
      <c r="E1132" t="s">
        <v>160</v>
      </c>
      <c r="F1132" s="91" t="s">
        <v>1056</v>
      </c>
      <c r="G1132" s="90" t="str">
        <f>LEFT([1]modificado!$O$2, FIND(" ", [1]modificado!$O$2 &amp; " ") - 1)</f>
        <v>3M</v>
      </c>
      <c r="H1132" s="47" t="str">
        <f>RIGHT([1]!Tabla2[[#This Row],[Marca y Modelo]], LEN([1]!Tabla2[[#This Row],[Marca y Modelo]]) - FIND(" ", [1]!Tabla2[[#This Row],[Marca y Modelo]]))</f>
        <v>Basic Lion</v>
      </c>
      <c r="I1132" s="76"/>
      <c r="J1132" s="76"/>
      <c r="K1132" s="91" t="s">
        <v>4288</v>
      </c>
      <c r="L1132" s="91" t="s">
        <v>3743</v>
      </c>
      <c r="M1132" s="91" t="s">
        <v>1404</v>
      </c>
      <c r="N1132" s="91" t="s">
        <v>1109</v>
      </c>
      <c r="O1132" s="77"/>
      <c r="P1132" s="91" t="s">
        <v>2537</v>
      </c>
      <c r="Q1132" s="32"/>
      <c r="R1132" s="48" t="s">
        <v>216</v>
      </c>
      <c r="S1132" s="32"/>
    </row>
    <row r="1133" spans="2:19" ht="28.8" x14ac:dyDescent="0.3">
      <c r="B1133" t="str">
        <f>LEFT(Tabla3890134177220392[[#This Row],[Descripción del equipo]], FIND(" ", Tabla3890134177220392[[#This Row],[Descripción del equipo]] &amp; " ") - 1)</f>
        <v>Arnes</v>
      </c>
      <c r="C1133" s="11" t="s">
        <v>178</v>
      </c>
      <c r="D1133">
        <v>1</v>
      </c>
      <c r="E1133" t="s">
        <v>160</v>
      </c>
      <c r="F1133" s="92" t="s">
        <v>1056</v>
      </c>
      <c r="G1133" s="90" t="str">
        <f>LEFT([1]modificado!$O$2, FIND(" ", [1]modificado!$O$2 &amp; " ") - 1)</f>
        <v>3M</v>
      </c>
      <c r="H1133" s="47" t="str">
        <f>RIGHT([1]!Tabla2[[#This Row],[Marca y Modelo]], LEN([1]!Tabla2[[#This Row],[Marca y Modelo]]) - FIND(" ", [1]!Tabla2[[#This Row],[Marca y Modelo]]))</f>
        <v>Basic Lion</v>
      </c>
      <c r="I1133" s="76"/>
      <c r="J1133" s="76"/>
      <c r="K1133" s="92" t="s">
        <v>4288</v>
      </c>
      <c r="L1133" s="92" t="s">
        <v>3744</v>
      </c>
      <c r="M1133" s="92" t="s">
        <v>1404</v>
      </c>
      <c r="N1133" s="92" t="s">
        <v>1110</v>
      </c>
      <c r="O1133" s="77"/>
      <c r="P1133" s="92" t="s">
        <v>2537</v>
      </c>
      <c r="Q1133" s="32"/>
      <c r="R1133" s="48" t="s">
        <v>216</v>
      </c>
      <c r="S1133" s="32"/>
    </row>
    <row r="1134" spans="2:19" ht="28.8" x14ac:dyDescent="0.3">
      <c r="B1134" t="str">
        <f>LEFT(Tabla3890134177220392[[#This Row],[Descripción del equipo]], FIND(" ", Tabla3890134177220392[[#This Row],[Descripción del equipo]] &amp; " ") - 1)</f>
        <v>Arnes</v>
      </c>
      <c r="C1134" s="11" t="s">
        <v>178</v>
      </c>
      <c r="D1134">
        <v>1</v>
      </c>
      <c r="E1134" t="s">
        <v>160</v>
      </c>
      <c r="F1134" s="91" t="s">
        <v>1056</v>
      </c>
      <c r="G1134" s="90" t="str">
        <f>LEFT([1]modificado!$O$2, FIND(" ", [1]modificado!$O$2 &amp; " ") - 1)</f>
        <v>3M</v>
      </c>
      <c r="H1134" s="47" t="str">
        <f>RIGHT([1]!Tabla2[[#This Row],[Marca y Modelo]], LEN([1]!Tabla2[[#This Row],[Marca y Modelo]]) - FIND(" ", [1]!Tabla2[[#This Row],[Marca y Modelo]]))</f>
        <v>Basic Tiger</v>
      </c>
      <c r="I1134" s="76"/>
      <c r="J1134" s="76"/>
      <c r="K1134" s="91" t="s">
        <v>4288</v>
      </c>
      <c r="L1134" s="91" t="s">
        <v>3745</v>
      </c>
      <c r="M1134" s="91" t="s">
        <v>1404</v>
      </c>
      <c r="N1134" s="91" t="s">
        <v>1111</v>
      </c>
      <c r="O1134" s="77"/>
      <c r="P1134" s="91" t="s">
        <v>2537</v>
      </c>
      <c r="Q1134" s="32"/>
      <c r="R1134" s="48" t="s">
        <v>216</v>
      </c>
      <c r="S1134" s="32"/>
    </row>
    <row r="1135" spans="2:19" ht="28.8" x14ac:dyDescent="0.3">
      <c r="B1135" t="str">
        <f>LEFT(Tabla3890134177220392[[#This Row],[Descripción del equipo]], FIND(" ", Tabla3890134177220392[[#This Row],[Descripción del equipo]] &amp; " ") - 1)</f>
        <v>Arnes</v>
      </c>
      <c r="C1135" s="11" t="s">
        <v>178</v>
      </c>
      <c r="D1135">
        <v>1</v>
      </c>
      <c r="E1135" t="s">
        <v>160</v>
      </c>
      <c r="F1135" s="92" t="s">
        <v>1056</v>
      </c>
      <c r="G1135" s="90" t="str">
        <f>LEFT([1]modificado!$O$2, FIND(" ", [1]modificado!$O$2 &amp; " ") - 1)</f>
        <v>3M</v>
      </c>
      <c r="H1135" s="47" t="str">
        <f>RIGHT([1]!Tabla2[[#This Row],[Marca y Modelo]], LEN([1]!Tabla2[[#This Row],[Marca y Modelo]]) - FIND(" ", [1]!Tabla2[[#This Row],[Marca y Modelo]]))</f>
        <v>3210</v>
      </c>
      <c r="I1135" s="76"/>
      <c r="J1135" s="76"/>
      <c r="K1135" s="92" t="s">
        <v>4288</v>
      </c>
      <c r="L1135" s="92" t="s">
        <v>3746</v>
      </c>
      <c r="M1135" s="92" t="s">
        <v>1404</v>
      </c>
      <c r="N1135" s="92" t="s">
        <v>1112</v>
      </c>
      <c r="O1135" s="77"/>
      <c r="P1135" s="92" t="s">
        <v>2537</v>
      </c>
      <c r="Q1135" s="32"/>
      <c r="R1135" s="48" t="s">
        <v>216</v>
      </c>
      <c r="S1135" s="32"/>
    </row>
    <row r="1136" spans="2:19" ht="28.8" x14ac:dyDescent="0.3">
      <c r="B1136" t="str">
        <f>LEFT(Tabla3890134177220392[[#This Row],[Descripción del equipo]], FIND(" ", Tabla3890134177220392[[#This Row],[Descripción del equipo]] &amp; " ") - 1)</f>
        <v>Arnes</v>
      </c>
      <c r="C1136" s="11" t="s">
        <v>178</v>
      </c>
      <c r="D1136">
        <v>1</v>
      </c>
      <c r="E1136" t="s">
        <v>160</v>
      </c>
      <c r="F1136" s="91" t="s">
        <v>1056</v>
      </c>
      <c r="G1136" s="90" t="str">
        <f>LEFT([1]modificado!$O$2, FIND(" ", [1]modificado!$O$2 &amp; " ") - 1)</f>
        <v>3M</v>
      </c>
      <c r="H1136" s="47" t="str">
        <f>RIGHT([1]!Tabla2[[#This Row],[Marca y Modelo]], LEN([1]!Tabla2[[#This Row],[Marca y Modelo]]) - FIND(" ", [1]!Tabla2[[#This Row],[Marca y Modelo]]))</f>
        <v>1A1-U</v>
      </c>
      <c r="I1136" s="76"/>
      <c r="J1136" s="76"/>
      <c r="K1136" s="91" t="s">
        <v>4288</v>
      </c>
      <c r="L1136" s="91" t="s">
        <v>3747</v>
      </c>
      <c r="M1136" s="91" t="s">
        <v>1404</v>
      </c>
      <c r="N1136" s="91" t="s">
        <v>1113</v>
      </c>
      <c r="O1136" s="77"/>
      <c r="P1136" s="91" t="s">
        <v>2537</v>
      </c>
      <c r="Q1136" s="32"/>
      <c r="R1136" s="48" t="s">
        <v>216</v>
      </c>
      <c r="S1136" s="32"/>
    </row>
    <row r="1137" spans="2:19" ht="28.8" x14ac:dyDescent="0.3">
      <c r="B1137" t="str">
        <f>LEFT(Tabla3890134177220392[[#This Row],[Descripción del equipo]], FIND(" ", Tabla3890134177220392[[#This Row],[Descripción del equipo]] &amp; " ") - 1)</f>
        <v>Arnes</v>
      </c>
      <c r="C1137" s="11" t="s">
        <v>178</v>
      </c>
      <c r="D1137">
        <v>1</v>
      </c>
      <c r="E1137" t="s">
        <v>160</v>
      </c>
      <c r="F1137" s="92" t="s">
        <v>1056</v>
      </c>
      <c r="G1137" s="90" t="str">
        <f>LEFT([1]modificado!$O$2, FIND(" ", [1]modificado!$O$2 &amp; " ") - 1)</f>
        <v>3M</v>
      </c>
      <c r="H1137" s="47" t="str">
        <f>RIGHT([1]!Tabla2[[#This Row],[Marca y Modelo]], LEN([1]!Tabla2[[#This Row],[Marca y Modelo]]) - FIND(" ", [1]!Tabla2[[#This Row],[Marca y Modelo]]))</f>
        <v>Basic Tiger</v>
      </c>
      <c r="I1137" s="76"/>
      <c r="J1137" s="76"/>
      <c r="K1137" s="92" t="s">
        <v>4288</v>
      </c>
      <c r="L1137" s="92" t="s">
        <v>3748</v>
      </c>
      <c r="M1137" s="92" t="s">
        <v>1404</v>
      </c>
      <c r="N1137" s="92" t="s">
        <v>1114</v>
      </c>
      <c r="O1137" s="77"/>
      <c r="P1137" s="92" t="s">
        <v>2537</v>
      </c>
      <c r="Q1137" s="32"/>
      <c r="R1137" s="48" t="s">
        <v>216</v>
      </c>
      <c r="S1137" s="32"/>
    </row>
    <row r="1138" spans="2:19" ht="28.8" x14ac:dyDescent="0.3">
      <c r="B1138" t="str">
        <f>LEFT(Tabla3890134177220392[[#This Row],[Descripción del equipo]], FIND(" ", Tabla3890134177220392[[#This Row],[Descripción del equipo]] &amp; " ") - 1)</f>
        <v>Arnes</v>
      </c>
      <c r="C1138" s="11" t="s">
        <v>178</v>
      </c>
      <c r="D1138">
        <v>1</v>
      </c>
      <c r="E1138" t="s">
        <v>160</v>
      </c>
      <c r="F1138" s="91" t="s">
        <v>1056</v>
      </c>
      <c r="G1138" s="90" t="str">
        <f>LEFT([1]modificado!$O$2, FIND(" ", [1]modificado!$O$2 &amp; " ") - 1)</f>
        <v>3M</v>
      </c>
      <c r="H1138" s="47" t="str">
        <f>RIGHT([1]!Tabla2[[#This Row],[Marca y Modelo]], LEN([1]!Tabla2[[#This Row],[Marca y Modelo]]) - FIND(" ", [1]!Tabla2[[#This Row],[Marca y Modelo]]))</f>
        <v>Basic Lion</v>
      </c>
      <c r="I1138" s="76"/>
      <c r="J1138" s="76"/>
      <c r="K1138" s="91" t="s">
        <v>4288</v>
      </c>
      <c r="L1138" s="91" t="s">
        <v>3749</v>
      </c>
      <c r="M1138" s="91" t="s">
        <v>1404</v>
      </c>
      <c r="N1138" s="91" t="s">
        <v>1115</v>
      </c>
      <c r="O1138" s="77"/>
      <c r="P1138" s="91" t="s">
        <v>2537</v>
      </c>
      <c r="Q1138" s="32"/>
      <c r="R1138" s="48" t="s">
        <v>216</v>
      </c>
      <c r="S1138" s="32"/>
    </row>
    <row r="1139" spans="2:19" ht="28.8" x14ac:dyDescent="0.3">
      <c r="B1139" t="str">
        <f>LEFT(Tabla3890134177220392[[#This Row],[Descripción del equipo]], FIND(" ", Tabla3890134177220392[[#This Row],[Descripción del equipo]] &amp; " ") - 1)</f>
        <v>Arnes</v>
      </c>
      <c r="C1139" s="11" t="s">
        <v>178</v>
      </c>
      <c r="D1139">
        <v>1</v>
      </c>
      <c r="E1139" t="s">
        <v>160</v>
      </c>
      <c r="F1139" s="92" t="s">
        <v>1056</v>
      </c>
      <c r="G1139" s="90" t="str">
        <f>LEFT([1]modificado!$O$2, FIND(" ", [1]modificado!$O$2 &amp; " ") - 1)</f>
        <v>3M</v>
      </c>
      <c r="H1139" s="47" t="str">
        <f>RIGHT([1]!Tabla2[[#This Row],[Marca y Modelo]], LEN([1]!Tabla2[[#This Row],[Marca y Modelo]]) - FIND(" ", [1]!Tabla2[[#This Row],[Marca y Modelo]]))</f>
        <v>Basic Tiger</v>
      </c>
      <c r="I1139" s="76"/>
      <c r="J1139" s="76"/>
      <c r="K1139" s="92" t="s">
        <v>4288</v>
      </c>
      <c r="L1139" s="92" t="s">
        <v>3750</v>
      </c>
      <c r="M1139" s="92" t="s">
        <v>1404</v>
      </c>
      <c r="N1139" s="92" t="s">
        <v>1116</v>
      </c>
      <c r="O1139" s="77"/>
      <c r="P1139" s="92" t="s">
        <v>2537</v>
      </c>
      <c r="Q1139" s="32"/>
      <c r="R1139" s="48" t="s">
        <v>216</v>
      </c>
      <c r="S1139" s="32"/>
    </row>
    <row r="1140" spans="2:19" ht="28.8" x14ac:dyDescent="0.3">
      <c r="B1140" t="str">
        <f>LEFT(Tabla3890134177220392[[#This Row],[Descripción del equipo]], FIND(" ", Tabla3890134177220392[[#This Row],[Descripción del equipo]] &amp; " ") - 1)</f>
        <v>Arnes</v>
      </c>
      <c r="C1140" s="11" t="s">
        <v>178</v>
      </c>
      <c r="D1140">
        <v>1</v>
      </c>
      <c r="E1140" t="s">
        <v>160</v>
      </c>
      <c r="F1140" s="91" t="s">
        <v>1056</v>
      </c>
      <c r="G1140" s="90" t="str">
        <f>LEFT([1]modificado!$O$2, FIND(" ", [1]modificado!$O$2 &amp; " ") - 1)</f>
        <v>3M</v>
      </c>
      <c r="H1140" s="47" t="str">
        <f>RIGHT([1]!Tabla2[[#This Row],[Marca y Modelo]], LEN([1]!Tabla2[[#This Row],[Marca y Modelo]]) - FIND(" ", [1]!Tabla2[[#This Row],[Marca y Modelo]]))</f>
        <v>Basic Tiger</v>
      </c>
      <c r="I1140" s="76"/>
      <c r="J1140" s="76"/>
      <c r="K1140" s="91" t="s">
        <v>4288</v>
      </c>
      <c r="L1140" s="91" t="s">
        <v>3751</v>
      </c>
      <c r="M1140" s="91" t="s">
        <v>1404</v>
      </c>
      <c r="N1140" s="91" t="s">
        <v>1117</v>
      </c>
      <c r="O1140" s="77"/>
      <c r="P1140" s="91" t="s">
        <v>2537</v>
      </c>
      <c r="Q1140" s="32"/>
      <c r="R1140" s="48" t="s">
        <v>216</v>
      </c>
      <c r="S1140" s="32"/>
    </row>
    <row r="1141" spans="2:19" ht="28.8" x14ac:dyDescent="0.3">
      <c r="B1141" t="str">
        <f>LEFT(Tabla3890134177220392[[#This Row],[Descripción del equipo]], FIND(" ", Tabla3890134177220392[[#This Row],[Descripción del equipo]] &amp; " ") - 1)</f>
        <v>Arnes</v>
      </c>
      <c r="C1141" s="11" t="s">
        <v>178</v>
      </c>
      <c r="D1141">
        <v>1</v>
      </c>
      <c r="E1141" t="s">
        <v>160</v>
      </c>
      <c r="F1141" s="92" t="s">
        <v>1056</v>
      </c>
      <c r="G1141" s="90" t="str">
        <f>LEFT([1]modificado!$O$2, FIND(" ", [1]modificado!$O$2 &amp; " ") - 1)</f>
        <v>3M</v>
      </c>
      <c r="H1141" s="47" t="str">
        <f>RIGHT([1]!Tabla2[[#This Row],[Marca y Modelo]], LEN([1]!Tabla2[[#This Row],[Marca y Modelo]]) - FIND(" ", [1]!Tabla2[[#This Row],[Marca y Modelo]]))</f>
        <v>Basic Tiger</v>
      </c>
      <c r="I1141" s="76"/>
      <c r="J1141" s="76"/>
      <c r="K1141" s="92" t="s">
        <v>4288</v>
      </c>
      <c r="L1141" s="92" t="s">
        <v>3752</v>
      </c>
      <c r="M1141" s="92" t="s">
        <v>1404</v>
      </c>
      <c r="N1141" s="92" t="s">
        <v>1118</v>
      </c>
      <c r="O1141" s="77"/>
      <c r="P1141" s="92" t="s">
        <v>2537</v>
      </c>
      <c r="Q1141" s="32"/>
      <c r="R1141" s="48" t="s">
        <v>216</v>
      </c>
      <c r="S1141" s="32"/>
    </row>
    <row r="1142" spans="2:19" ht="28.8" x14ac:dyDescent="0.3">
      <c r="B1142" t="str">
        <f>LEFT(Tabla3890134177220392[[#This Row],[Descripción del equipo]], FIND(" ", Tabla3890134177220392[[#This Row],[Descripción del equipo]] &amp; " ") - 1)</f>
        <v>Arnes</v>
      </c>
      <c r="C1142" s="11" t="s">
        <v>178</v>
      </c>
      <c r="D1142">
        <v>1</v>
      </c>
      <c r="E1142" t="s">
        <v>160</v>
      </c>
      <c r="F1142" s="91" t="s">
        <v>1056</v>
      </c>
      <c r="G1142" s="90" t="str">
        <f>LEFT([1]modificado!$O$2, FIND(" ", [1]modificado!$O$2 &amp; " ") - 1)</f>
        <v>3M</v>
      </c>
      <c r="H1142" s="47" t="str">
        <f>RIGHT([1]!Tabla2[[#This Row],[Marca y Modelo]], LEN([1]!Tabla2[[#This Row],[Marca y Modelo]]) - FIND(" ", [1]!Tabla2[[#This Row],[Marca y Modelo]]))</f>
        <v>Basic Lion</v>
      </c>
      <c r="I1142" s="76"/>
      <c r="J1142" s="76"/>
      <c r="K1142" s="91" t="s">
        <v>4289</v>
      </c>
      <c r="L1142" s="91" t="s">
        <v>3753</v>
      </c>
      <c r="M1142" s="91" t="s">
        <v>1404</v>
      </c>
      <c r="N1142" s="91" t="s">
        <v>1119</v>
      </c>
      <c r="O1142" s="77"/>
      <c r="P1142" s="91" t="s">
        <v>2537</v>
      </c>
      <c r="Q1142" s="32"/>
      <c r="R1142" s="48" t="s">
        <v>216</v>
      </c>
      <c r="S1142" s="32"/>
    </row>
    <row r="1143" spans="2:19" ht="28.8" x14ac:dyDescent="0.3">
      <c r="B1143" t="str">
        <f>LEFT(Tabla3890134177220392[[#This Row],[Descripción del equipo]], FIND(" ", Tabla3890134177220392[[#This Row],[Descripción del equipo]] &amp; " ") - 1)</f>
        <v>Arnes</v>
      </c>
      <c r="C1143" s="11" t="s">
        <v>178</v>
      </c>
      <c r="D1143">
        <v>1</v>
      </c>
      <c r="E1143" t="s">
        <v>160</v>
      </c>
      <c r="F1143" s="92" t="s">
        <v>1056</v>
      </c>
      <c r="G1143" s="90" t="str">
        <f>LEFT([1]modificado!$O$2, FIND(" ", [1]modificado!$O$2 &amp; " ") - 1)</f>
        <v>3M</v>
      </c>
      <c r="H1143" s="47" t="str">
        <f>RIGHT([1]!Tabla2[[#This Row],[Marca y Modelo]], LEN([1]!Tabla2[[#This Row],[Marca y Modelo]]) - FIND(" ", [1]!Tabla2[[#This Row],[Marca y Modelo]]))</f>
        <v>Basic Lion</v>
      </c>
      <c r="I1143" s="76"/>
      <c r="J1143" s="76"/>
      <c r="K1143" s="92" t="s">
        <v>4289</v>
      </c>
      <c r="L1143" s="92" t="s">
        <v>3754</v>
      </c>
      <c r="M1143" s="92" t="s">
        <v>1404</v>
      </c>
      <c r="N1143" s="92" t="s">
        <v>1120</v>
      </c>
      <c r="O1143" s="77"/>
      <c r="P1143" s="92" t="s">
        <v>2537</v>
      </c>
      <c r="Q1143" s="32"/>
      <c r="R1143" s="48" t="s">
        <v>216</v>
      </c>
      <c r="S1143" s="32"/>
    </row>
    <row r="1144" spans="2:19" ht="28.8" x14ac:dyDescent="0.3">
      <c r="B1144" t="str">
        <f>LEFT(Tabla3890134177220392[[#This Row],[Descripción del equipo]], FIND(" ", Tabla3890134177220392[[#This Row],[Descripción del equipo]] &amp; " ") - 1)</f>
        <v>Arnes</v>
      </c>
      <c r="C1144" s="11" t="s">
        <v>178</v>
      </c>
      <c r="D1144">
        <v>1</v>
      </c>
      <c r="E1144" t="s">
        <v>160</v>
      </c>
      <c r="F1144" s="91" t="s">
        <v>1056</v>
      </c>
      <c r="G1144" s="90" t="str">
        <f>LEFT([1]modificado!$O$2, FIND(" ", [1]modificado!$O$2 &amp; " ") - 1)</f>
        <v>3M</v>
      </c>
      <c r="H1144" s="47" t="str">
        <f>RIGHT([1]!Tabla2[[#This Row],[Marca y Modelo]], LEN([1]!Tabla2[[#This Row],[Marca y Modelo]]) - FIND(" ", [1]!Tabla2[[#This Row],[Marca y Modelo]]))</f>
        <v>Basic Lion</v>
      </c>
      <c r="I1144" s="76"/>
      <c r="J1144" s="76"/>
      <c r="K1144" s="91" t="s">
        <v>4289</v>
      </c>
      <c r="L1144" s="91" t="s">
        <v>3755</v>
      </c>
      <c r="M1144" s="91" t="s">
        <v>1404</v>
      </c>
      <c r="N1144" s="91" t="s">
        <v>1121</v>
      </c>
      <c r="O1144" s="77"/>
      <c r="P1144" s="91" t="s">
        <v>2537</v>
      </c>
      <c r="Q1144" s="32"/>
      <c r="R1144" s="48" t="s">
        <v>216</v>
      </c>
      <c r="S1144" s="32"/>
    </row>
    <row r="1145" spans="2:19" ht="28.8" x14ac:dyDescent="0.3">
      <c r="B1145" t="str">
        <f>LEFT(Tabla3890134177220392[[#This Row],[Descripción del equipo]], FIND(" ", Tabla3890134177220392[[#This Row],[Descripción del equipo]] &amp; " ") - 1)</f>
        <v>Arnes</v>
      </c>
      <c r="C1145" s="11" t="s">
        <v>178</v>
      </c>
      <c r="D1145">
        <v>1</v>
      </c>
      <c r="E1145" t="s">
        <v>160</v>
      </c>
      <c r="F1145" s="92" t="s">
        <v>1056</v>
      </c>
      <c r="G1145" s="90" t="str">
        <f>LEFT([1]modificado!$O$2, FIND(" ", [1]modificado!$O$2 &amp; " ") - 1)</f>
        <v>3M</v>
      </c>
      <c r="H1145" s="47" t="str">
        <f>RIGHT([1]!Tabla2[[#This Row],[Marca y Modelo]], LEN([1]!Tabla2[[#This Row],[Marca y Modelo]]) - FIND(" ", [1]!Tabla2[[#This Row],[Marca y Modelo]]))</f>
        <v>Basic Tiger</v>
      </c>
      <c r="I1145" s="76"/>
      <c r="J1145" s="76"/>
      <c r="K1145" s="92" t="s">
        <v>4290</v>
      </c>
      <c r="L1145" s="92" t="s">
        <v>3756</v>
      </c>
      <c r="M1145" s="92" t="s">
        <v>1404</v>
      </c>
      <c r="N1145" s="92" t="s">
        <v>1122</v>
      </c>
      <c r="O1145" s="77"/>
      <c r="P1145" s="92" t="s">
        <v>2537</v>
      </c>
      <c r="Q1145" s="32"/>
      <c r="R1145" s="48" t="s">
        <v>216</v>
      </c>
      <c r="S1145" s="32"/>
    </row>
    <row r="1146" spans="2:19" ht="28.8" x14ac:dyDescent="0.3">
      <c r="B1146" t="str">
        <f>LEFT(Tabla3890134177220392[[#This Row],[Descripción del equipo]], FIND(" ", Tabla3890134177220392[[#This Row],[Descripción del equipo]] &amp; " ") - 1)</f>
        <v>Arnes</v>
      </c>
      <c r="C1146" s="11" t="s">
        <v>178</v>
      </c>
      <c r="D1146">
        <v>1</v>
      </c>
      <c r="E1146" t="s">
        <v>160</v>
      </c>
      <c r="F1146" s="91" t="s">
        <v>1056</v>
      </c>
      <c r="G1146" s="90" t="str">
        <f>LEFT([1]modificado!$O$2, FIND(" ", [1]modificado!$O$2 &amp; " ") - 1)</f>
        <v>3M</v>
      </c>
      <c r="H1146" s="47" t="str">
        <f>RIGHT([1]!Tabla2[[#This Row],[Marca y Modelo]], LEN([1]!Tabla2[[#This Row],[Marca y Modelo]]) - FIND(" ", [1]!Tabla2[[#This Row],[Marca y Modelo]]))</f>
        <v>Basic Lion</v>
      </c>
      <c r="I1146" s="76"/>
      <c r="J1146" s="76"/>
      <c r="K1146" s="91" t="s">
        <v>4289</v>
      </c>
      <c r="L1146" s="91" t="s">
        <v>3757</v>
      </c>
      <c r="M1146" s="91" t="s">
        <v>1404</v>
      </c>
      <c r="N1146" s="91" t="s">
        <v>1123</v>
      </c>
      <c r="O1146" s="77"/>
      <c r="P1146" s="91" t="s">
        <v>2537</v>
      </c>
      <c r="Q1146" s="32"/>
      <c r="R1146" s="48" t="s">
        <v>216</v>
      </c>
      <c r="S1146" s="32"/>
    </row>
    <row r="1147" spans="2:19" ht="28.8" x14ac:dyDescent="0.3">
      <c r="B1147" t="str">
        <f>LEFT(Tabla3890134177220392[[#This Row],[Descripción del equipo]], FIND(" ", Tabla3890134177220392[[#This Row],[Descripción del equipo]] &amp; " ") - 1)</f>
        <v>Arnes</v>
      </c>
      <c r="C1147" s="11" t="s">
        <v>178</v>
      </c>
      <c r="D1147">
        <v>1</v>
      </c>
      <c r="E1147" t="s">
        <v>160</v>
      </c>
      <c r="F1147" s="92" t="s">
        <v>1056</v>
      </c>
      <c r="G1147" s="90" t="str">
        <f>LEFT([1]modificado!$O$2, FIND(" ", [1]modificado!$O$2 &amp; " ") - 1)</f>
        <v>3M</v>
      </c>
      <c r="H1147" s="47" t="str">
        <f>RIGHT([1]!Tabla2[[#This Row],[Marca y Modelo]], LEN([1]!Tabla2[[#This Row],[Marca y Modelo]]) - FIND(" ", [1]!Tabla2[[#This Row],[Marca y Modelo]]))</f>
        <v>Basic Lion</v>
      </c>
      <c r="I1147" s="76"/>
      <c r="J1147" s="76"/>
      <c r="K1147" s="92" t="s">
        <v>4289</v>
      </c>
      <c r="L1147" s="92" t="s">
        <v>3758</v>
      </c>
      <c r="M1147" s="92" t="s">
        <v>1404</v>
      </c>
      <c r="N1147" s="92" t="s">
        <v>1124</v>
      </c>
      <c r="O1147" s="77"/>
      <c r="P1147" s="92" t="s">
        <v>2537</v>
      </c>
      <c r="Q1147" s="32"/>
      <c r="R1147" s="48" t="s">
        <v>216</v>
      </c>
      <c r="S1147" s="32"/>
    </row>
    <row r="1148" spans="2:19" ht="28.8" x14ac:dyDescent="0.3">
      <c r="B1148" t="str">
        <f>LEFT(Tabla3890134177220392[[#This Row],[Descripción del equipo]], FIND(" ", Tabla3890134177220392[[#This Row],[Descripción del equipo]] &amp; " ") - 1)</f>
        <v>Arnes</v>
      </c>
      <c r="C1148" s="11" t="s">
        <v>178</v>
      </c>
      <c r="D1148">
        <v>1</v>
      </c>
      <c r="E1148" t="s">
        <v>160</v>
      </c>
      <c r="F1148" s="91" t="s">
        <v>1056</v>
      </c>
      <c r="G1148" s="90" t="str">
        <f>LEFT([1]modificado!$O$2, FIND(" ", [1]modificado!$O$2 &amp; " ") - 1)</f>
        <v>3M</v>
      </c>
      <c r="H1148" s="47" t="str">
        <f>RIGHT([1]!Tabla2[[#This Row],[Marca y Modelo]], LEN([1]!Tabla2[[#This Row],[Marca y Modelo]]) - FIND(" ", [1]!Tabla2[[#This Row],[Marca y Modelo]]))</f>
        <v>Basic Lion</v>
      </c>
      <c r="I1148" s="76"/>
      <c r="J1148" s="76"/>
      <c r="K1148" s="91" t="s">
        <v>4289</v>
      </c>
      <c r="L1148" s="91" t="s">
        <v>3759</v>
      </c>
      <c r="M1148" s="91" t="s">
        <v>1404</v>
      </c>
      <c r="N1148" s="91" t="s">
        <v>1125</v>
      </c>
      <c r="O1148" s="77"/>
      <c r="P1148" s="91" t="s">
        <v>2537</v>
      </c>
      <c r="Q1148" s="32"/>
      <c r="R1148" s="48" t="s">
        <v>216</v>
      </c>
      <c r="S1148" s="32"/>
    </row>
    <row r="1149" spans="2:19" ht="28.8" x14ac:dyDescent="0.3">
      <c r="B1149" t="str">
        <f>LEFT(Tabla3890134177220392[[#This Row],[Descripción del equipo]], FIND(" ", Tabla3890134177220392[[#This Row],[Descripción del equipo]] &amp; " ") - 1)</f>
        <v>Arnes</v>
      </c>
      <c r="C1149" s="11" t="s">
        <v>178</v>
      </c>
      <c r="D1149">
        <v>1</v>
      </c>
      <c r="E1149" t="s">
        <v>160</v>
      </c>
      <c r="F1149" s="92" t="s">
        <v>1056</v>
      </c>
      <c r="G1149" s="90" t="str">
        <f>LEFT([1]modificado!$O$2, FIND(" ", [1]modificado!$O$2 &amp; " ") - 1)</f>
        <v>3M</v>
      </c>
      <c r="H1149" s="47" t="str">
        <f>RIGHT([1]!Tabla2[[#This Row],[Marca y Modelo]], LEN([1]!Tabla2[[#This Row],[Marca y Modelo]]) - FIND(" ", [1]!Tabla2[[#This Row],[Marca y Modelo]]))</f>
        <v>Basic Lion</v>
      </c>
      <c r="I1149" s="76"/>
      <c r="J1149" s="76"/>
      <c r="K1149" s="92" t="s">
        <v>4289</v>
      </c>
      <c r="L1149" s="92" t="s">
        <v>3760</v>
      </c>
      <c r="M1149" s="92" t="s">
        <v>1404</v>
      </c>
      <c r="N1149" s="92" t="s">
        <v>1126</v>
      </c>
      <c r="O1149" s="77"/>
      <c r="P1149" s="92" t="s">
        <v>2537</v>
      </c>
      <c r="Q1149" s="32"/>
      <c r="R1149" s="48" t="s">
        <v>216</v>
      </c>
      <c r="S1149" s="32"/>
    </row>
    <row r="1150" spans="2:19" ht="28.8" x14ac:dyDescent="0.3">
      <c r="B1150" t="str">
        <f>LEFT(Tabla3890134177220392[[#This Row],[Descripción del equipo]], FIND(" ", Tabla3890134177220392[[#This Row],[Descripción del equipo]] &amp; " ") - 1)</f>
        <v>Arnes</v>
      </c>
      <c r="C1150" s="11" t="s">
        <v>178</v>
      </c>
      <c r="D1150">
        <v>1</v>
      </c>
      <c r="E1150" t="s">
        <v>160</v>
      </c>
      <c r="F1150" s="91" t="s">
        <v>1056</v>
      </c>
      <c r="G1150" s="90" t="str">
        <f>LEFT([1]modificado!$O$2, FIND(" ", [1]modificado!$O$2 &amp; " ") - 1)</f>
        <v>3M</v>
      </c>
      <c r="H1150" s="47" t="str">
        <f>RIGHT([1]!Tabla2[[#This Row],[Marca y Modelo]], LEN([1]!Tabla2[[#This Row],[Marca y Modelo]]) - FIND(" ", [1]!Tabla2[[#This Row],[Marca y Modelo]]))</f>
        <v>412P</v>
      </c>
      <c r="I1150" s="76"/>
      <c r="J1150" s="76"/>
      <c r="K1150" s="91" t="s">
        <v>4289</v>
      </c>
      <c r="L1150" s="91" t="s">
        <v>3761</v>
      </c>
      <c r="M1150" s="91" t="s">
        <v>1404</v>
      </c>
      <c r="N1150" s="91" t="s">
        <v>1127</v>
      </c>
      <c r="O1150" s="77"/>
      <c r="P1150" s="91" t="s">
        <v>2537</v>
      </c>
      <c r="Q1150" s="32"/>
      <c r="R1150" s="48" t="s">
        <v>216</v>
      </c>
      <c r="S1150" s="32"/>
    </row>
    <row r="1151" spans="2:19" ht="28.8" x14ac:dyDescent="0.3">
      <c r="B1151" t="str">
        <f>LEFT(Tabla3890134177220392[[#This Row],[Descripción del equipo]], FIND(" ", Tabla3890134177220392[[#This Row],[Descripción del equipo]] &amp; " ") - 1)</f>
        <v>Arnes</v>
      </c>
      <c r="C1151" s="11" t="s">
        <v>178</v>
      </c>
      <c r="D1151">
        <v>1</v>
      </c>
      <c r="E1151" t="s">
        <v>160</v>
      </c>
      <c r="F1151" s="92" t="s">
        <v>1068</v>
      </c>
      <c r="G1151" s="90" t="str">
        <f>LEFT([1]modificado!$O$2, FIND(" ", [1]modificado!$O$2 &amp; " ") - 1)</f>
        <v>3M</v>
      </c>
      <c r="H1151" s="47" t="str">
        <f>RIGHT([1]!Tabla2[[#This Row],[Marca y Modelo]], LEN([1]!Tabla2[[#This Row],[Marca y Modelo]]) - FIND(" ", [1]!Tabla2[[#This Row],[Marca y Modelo]]))</f>
        <v>1191381</v>
      </c>
      <c r="I1151" s="76"/>
      <c r="J1151" s="76"/>
      <c r="K1151" s="92" t="s">
        <v>4289</v>
      </c>
      <c r="L1151" s="92" t="s">
        <v>3762</v>
      </c>
      <c r="M1151" s="92" t="s">
        <v>1404</v>
      </c>
      <c r="N1151" s="92" t="s">
        <v>1128</v>
      </c>
      <c r="O1151" s="77"/>
      <c r="P1151" s="92" t="s">
        <v>2537</v>
      </c>
      <c r="Q1151" s="32"/>
      <c r="R1151" s="48" t="s">
        <v>216</v>
      </c>
      <c r="S1151" s="32"/>
    </row>
    <row r="1152" spans="2:19" ht="28.8" x14ac:dyDescent="0.3">
      <c r="B1152" t="str">
        <f>LEFT(Tabla3890134177220392[[#This Row],[Descripción del equipo]], FIND(" ", Tabla3890134177220392[[#This Row],[Descripción del equipo]] &amp; " ") - 1)</f>
        <v>Arnes</v>
      </c>
      <c r="C1152" s="11" t="s">
        <v>178</v>
      </c>
      <c r="D1152">
        <v>1</v>
      </c>
      <c r="E1152" t="s">
        <v>160</v>
      </c>
      <c r="F1152" s="91" t="s">
        <v>1068</v>
      </c>
      <c r="G1152" s="90" t="str">
        <f>LEFT([1]modificado!$O$2, FIND(" ", [1]modificado!$O$2 &amp; " ") - 1)</f>
        <v>3M</v>
      </c>
      <c r="H1152" s="47" t="str">
        <f>RIGHT([1]!Tabla2[[#This Row],[Marca y Modelo]], LEN([1]!Tabla2[[#This Row],[Marca y Modelo]]) - FIND(" ", [1]!Tabla2[[#This Row],[Marca y Modelo]]))</f>
        <v>1191381</v>
      </c>
      <c r="I1152" s="76"/>
      <c r="J1152" s="76"/>
      <c r="K1152" s="91" t="s">
        <v>4289</v>
      </c>
      <c r="L1152" s="91" t="s">
        <v>3763</v>
      </c>
      <c r="M1152" s="91" t="s">
        <v>1404</v>
      </c>
      <c r="N1152" s="91" t="s">
        <v>1129</v>
      </c>
      <c r="O1152" s="77"/>
      <c r="P1152" s="91" t="s">
        <v>2537</v>
      </c>
      <c r="Q1152" s="32"/>
      <c r="R1152" s="48" t="s">
        <v>216</v>
      </c>
      <c r="S1152" s="32"/>
    </row>
    <row r="1153" spans="2:19" ht="28.8" x14ac:dyDescent="0.3">
      <c r="B1153" t="str">
        <f>LEFT(Tabla3890134177220392[[#This Row],[Descripción del equipo]], FIND(" ", Tabla3890134177220392[[#This Row],[Descripción del equipo]] &amp; " ") - 1)</f>
        <v>Arnes</v>
      </c>
      <c r="C1153" s="11" t="s">
        <v>178</v>
      </c>
      <c r="D1153">
        <v>1</v>
      </c>
      <c r="E1153" t="s">
        <v>160</v>
      </c>
      <c r="F1153" s="92" t="s">
        <v>1056</v>
      </c>
      <c r="G1153" s="90" t="str">
        <f>LEFT([1]modificado!$O$2, FIND(" ", [1]modificado!$O$2 &amp; " ") - 1)</f>
        <v>3M</v>
      </c>
      <c r="H1153" s="47" t="str">
        <f>RIGHT([1]!Tabla2[[#This Row],[Marca y Modelo]], LEN([1]!Tabla2[[#This Row],[Marca y Modelo]]) - FIND(" ", [1]!Tabla2[[#This Row],[Marca y Modelo]]))</f>
        <v>412P</v>
      </c>
      <c r="I1153" s="76"/>
      <c r="J1153" s="76"/>
      <c r="K1153" s="92" t="s">
        <v>4289</v>
      </c>
      <c r="L1153" s="92" t="s">
        <v>3764</v>
      </c>
      <c r="M1153" s="92" t="s">
        <v>1404</v>
      </c>
      <c r="N1153" s="92" t="s">
        <v>1130</v>
      </c>
      <c r="O1153" s="77"/>
      <c r="P1153" s="92" t="s">
        <v>2537</v>
      </c>
      <c r="Q1153" s="32"/>
      <c r="R1153" s="48" t="s">
        <v>216</v>
      </c>
      <c r="S1153" s="32"/>
    </row>
    <row r="1154" spans="2:19" ht="28.8" x14ac:dyDescent="0.3">
      <c r="B1154" t="str">
        <f>LEFT(Tabla3890134177220392[[#This Row],[Descripción del equipo]], FIND(" ", Tabla3890134177220392[[#This Row],[Descripción del equipo]] &amp; " ") - 1)</f>
        <v>Arnes</v>
      </c>
      <c r="C1154" s="11" t="s">
        <v>178</v>
      </c>
      <c r="D1154">
        <v>1</v>
      </c>
      <c r="E1154" t="s">
        <v>160</v>
      </c>
      <c r="F1154" s="91" t="s">
        <v>1056</v>
      </c>
      <c r="G1154" s="90" t="str">
        <f>LEFT([1]modificado!$O$2, FIND(" ", [1]modificado!$O$2 &amp; " ") - 1)</f>
        <v>3M</v>
      </c>
      <c r="H1154" s="47" t="str">
        <f>RIGHT([1]!Tabla2[[#This Row],[Marca y Modelo]], LEN([1]!Tabla2[[#This Row],[Marca y Modelo]]) - FIND(" ", [1]!Tabla2[[#This Row],[Marca y Modelo]]))</f>
        <v>412P</v>
      </c>
      <c r="I1154" s="76"/>
      <c r="J1154" s="76"/>
      <c r="K1154" s="91" t="s">
        <v>4289</v>
      </c>
      <c r="L1154" s="91" t="s">
        <v>3765</v>
      </c>
      <c r="M1154" s="91" t="s">
        <v>1404</v>
      </c>
      <c r="N1154" s="91" t="s">
        <v>1131</v>
      </c>
      <c r="O1154" s="77"/>
      <c r="P1154" s="91" t="s">
        <v>2537</v>
      </c>
      <c r="Q1154" s="32"/>
      <c r="R1154" s="48" t="s">
        <v>216</v>
      </c>
      <c r="S1154" s="32"/>
    </row>
    <row r="1155" spans="2:19" ht="28.8" x14ac:dyDescent="0.3">
      <c r="B1155" t="str">
        <f>LEFT(Tabla3890134177220392[[#This Row],[Descripción del equipo]], FIND(" ", Tabla3890134177220392[[#This Row],[Descripción del equipo]] &amp; " ") - 1)</f>
        <v>Arnes</v>
      </c>
      <c r="C1155" s="11" t="s">
        <v>178</v>
      </c>
      <c r="D1155">
        <v>1</v>
      </c>
      <c r="E1155" t="s">
        <v>160</v>
      </c>
      <c r="F1155" s="92" t="s">
        <v>1068</v>
      </c>
      <c r="G1155" s="90" t="str">
        <f>LEFT([1]modificado!$O$2, FIND(" ", [1]modificado!$O$2 &amp; " ") - 1)</f>
        <v>3M</v>
      </c>
      <c r="H1155" s="47" t="str">
        <f>RIGHT([1]!Tabla2[[#This Row],[Marca y Modelo]], LEN([1]!Tabla2[[#This Row],[Marca y Modelo]]) - FIND(" ", [1]!Tabla2[[#This Row],[Marca y Modelo]]))</f>
        <v>1191381</v>
      </c>
      <c r="I1155" s="76"/>
      <c r="J1155" s="76"/>
      <c r="K1155" s="92" t="s">
        <v>4289</v>
      </c>
      <c r="L1155" s="92" t="s">
        <v>3766</v>
      </c>
      <c r="M1155" s="92" t="s">
        <v>1404</v>
      </c>
      <c r="N1155" s="92" t="s">
        <v>1132</v>
      </c>
      <c r="O1155" s="77"/>
      <c r="P1155" s="92" t="s">
        <v>2537</v>
      </c>
      <c r="Q1155" s="32"/>
      <c r="R1155" s="48" t="s">
        <v>216</v>
      </c>
      <c r="S1155" s="32"/>
    </row>
    <row r="1156" spans="2:19" ht="28.8" x14ac:dyDescent="0.3">
      <c r="B1156" t="str">
        <f>LEFT(Tabla3890134177220392[[#This Row],[Descripción del equipo]], FIND(" ", Tabla3890134177220392[[#This Row],[Descripción del equipo]] &amp; " ") - 1)</f>
        <v>Arnes</v>
      </c>
      <c r="C1156" s="11" t="s">
        <v>178</v>
      </c>
      <c r="D1156">
        <v>1</v>
      </c>
      <c r="E1156" t="s">
        <v>160</v>
      </c>
      <c r="F1156" s="91" t="s">
        <v>1068</v>
      </c>
      <c r="G1156" s="90" t="str">
        <f>LEFT([1]modificado!$O$2, FIND(" ", [1]modificado!$O$2 &amp; " ") - 1)</f>
        <v>3M</v>
      </c>
      <c r="H1156" s="47" t="str">
        <f>RIGHT([1]!Tabla2[[#This Row],[Marca y Modelo]], LEN([1]!Tabla2[[#This Row],[Marca y Modelo]]) - FIND(" ", [1]!Tabla2[[#This Row],[Marca y Modelo]]))</f>
        <v>1191381</v>
      </c>
      <c r="I1156" s="76"/>
      <c r="J1156" s="76"/>
      <c r="K1156" s="91" t="s">
        <v>4289</v>
      </c>
      <c r="L1156" s="91" t="s">
        <v>3767</v>
      </c>
      <c r="M1156" s="91" t="s">
        <v>1404</v>
      </c>
      <c r="N1156" s="91" t="s">
        <v>1133</v>
      </c>
      <c r="O1156" s="77"/>
      <c r="P1156" s="91" t="s">
        <v>2537</v>
      </c>
      <c r="Q1156" s="32"/>
      <c r="R1156" s="48" t="s">
        <v>216</v>
      </c>
      <c r="S1156" s="32"/>
    </row>
    <row r="1157" spans="2:19" ht="28.8" x14ac:dyDescent="0.3">
      <c r="B1157" t="s">
        <v>4348</v>
      </c>
      <c r="C1157" s="11" t="s">
        <v>178</v>
      </c>
      <c r="D1157">
        <v>1</v>
      </c>
      <c r="E1157" t="s">
        <v>160</v>
      </c>
      <c r="F1157" s="92" t="s">
        <v>1069</v>
      </c>
      <c r="G1157" s="90" t="str">
        <f>LEFT([1]modificado!$O$2, FIND(" ", [1]modificado!$O$2 &amp; " ") - 1)</f>
        <v>3M</v>
      </c>
      <c r="H1157" s="47"/>
      <c r="I1157" s="76"/>
      <c r="J1157" s="76"/>
      <c r="K1157" s="92" t="s">
        <v>4291</v>
      </c>
      <c r="L1157" s="92" t="s">
        <v>3768</v>
      </c>
      <c r="M1157" s="92" t="s">
        <v>1404</v>
      </c>
      <c r="N1157" s="92" t="s">
        <v>1134</v>
      </c>
      <c r="O1157" s="77"/>
      <c r="P1157" s="92" t="s">
        <v>2537</v>
      </c>
      <c r="Q1157" s="32"/>
      <c r="R1157" s="48" t="s">
        <v>216</v>
      </c>
      <c r="S1157" s="32"/>
    </row>
    <row r="1158" spans="2:19" ht="28.8" x14ac:dyDescent="0.3">
      <c r="B1158" t="s">
        <v>4348</v>
      </c>
      <c r="C1158" s="11" t="s">
        <v>178</v>
      </c>
      <c r="D1158">
        <v>1</v>
      </c>
      <c r="E1158" t="s">
        <v>160</v>
      </c>
      <c r="F1158" s="91" t="s">
        <v>1070</v>
      </c>
      <c r="G1158" s="90" t="str">
        <f>LEFT([1]modificado!$O$2, FIND(" ", [1]modificado!$O$2 &amp; " ") - 1)</f>
        <v>3M</v>
      </c>
      <c r="H1158" s="47" t="str">
        <f>RIGHT([1]!Tabla2[[#This Row],[Marca y Modelo]], LEN([1]!Tabla2[[#This Row],[Marca y Modelo]]) - FIND(" ", [1]!Tabla2[[#This Row],[Marca y Modelo]]))</f>
        <v>Wave 1224412</v>
      </c>
      <c r="I1158" s="76"/>
      <c r="J1158" s="76"/>
      <c r="K1158" s="91" t="s">
        <v>4292</v>
      </c>
      <c r="L1158" s="91" t="s">
        <v>3769</v>
      </c>
      <c r="M1158" s="91" t="s">
        <v>1404</v>
      </c>
      <c r="N1158" s="91" t="s">
        <v>1135</v>
      </c>
      <c r="O1158" s="77"/>
      <c r="P1158" s="91" t="s">
        <v>2537</v>
      </c>
      <c r="Q1158" s="32"/>
      <c r="R1158" s="48" t="s">
        <v>216</v>
      </c>
      <c r="S1158" s="32"/>
    </row>
    <row r="1159" spans="2:19" ht="28.8" x14ac:dyDescent="0.3">
      <c r="B1159" t="s">
        <v>4348</v>
      </c>
      <c r="C1159" s="11" t="s">
        <v>178</v>
      </c>
      <c r="D1159">
        <v>1</v>
      </c>
      <c r="E1159" t="s">
        <v>160</v>
      </c>
      <c r="F1159" s="92" t="s">
        <v>1070</v>
      </c>
      <c r="G1159" s="90" t="str">
        <f>LEFT([1]modificado!$O$2, FIND(" ", [1]modificado!$O$2 &amp; " ") - 1)</f>
        <v>3M</v>
      </c>
      <c r="H1159" s="47" t="str">
        <f>RIGHT([1]!Tabla2[[#This Row],[Marca y Modelo]], LEN([1]!Tabla2[[#This Row],[Marca y Modelo]]) - FIND(" ", [1]!Tabla2[[#This Row],[Marca y Modelo]]))</f>
        <v>1340161MX</v>
      </c>
      <c r="I1159" s="76"/>
      <c r="J1159" s="76"/>
      <c r="K1159" s="92" t="s">
        <v>4291</v>
      </c>
      <c r="L1159" s="92" t="s">
        <v>3770</v>
      </c>
      <c r="M1159" s="92" t="s">
        <v>1404</v>
      </c>
      <c r="N1159" s="92" t="s">
        <v>1136</v>
      </c>
      <c r="O1159" s="77"/>
      <c r="P1159" s="92" t="s">
        <v>2537</v>
      </c>
      <c r="Q1159" s="32"/>
      <c r="R1159" s="48" t="s">
        <v>216</v>
      </c>
      <c r="S1159" s="32"/>
    </row>
    <row r="1160" spans="2:19" ht="28.8" x14ac:dyDescent="0.3">
      <c r="B1160" t="s">
        <v>4348</v>
      </c>
      <c r="C1160" s="11" t="s">
        <v>178</v>
      </c>
      <c r="D1160">
        <v>1</v>
      </c>
      <c r="E1160" t="s">
        <v>160</v>
      </c>
      <c r="F1160" s="91" t="s">
        <v>1057</v>
      </c>
      <c r="G1160" s="90" t="str">
        <f>LEFT([1]modificado!$O$2, FIND(" ", [1]modificado!$O$2 &amp; " ") - 1)</f>
        <v>3M</v>
      </c>
      <c r="H1160" s="47" t="str">
        <f>RIGHT([1]!Tabla2[[#This Row],[Marca y Modelo]], LEN([1]!Tabla2[[#This Row],[Marca y Modelo]]) - FIND(" ", [1]!Tabla2[[#This Row],[Marca y Modelo]]))</f>
        <v>Basic Shock Absorbing</v>
      </c>
      <c r="I1160" s="76"/>
      <c r="J1160" s="76"/>
      <c r="K1160" s="91" t="s">
        <v>4291</v>
      </c>
      <c r="L1160" s="91" t="s">
        <v>3771</v>
      </c>
      <c r="M1160" s="91" t="s">
        <v>1404</v>
      </c>
      <c r="N1160" s="91" t="s">
        <v>1137</v>
      </c>
      <c r="O1160" s="77"/>
      <c r="P1160" s="91" t="s">
        <v>2537</v>
      </c>
      <c r="Q1160" s="32"/>
      <c r="R1160" s="48" t="s">
        <v>216</v>
      </c>
      <c r="S1160" s="32"/>
    </row>
    <row r="1161" spans="2:19" ht="28.8" x14ac:dyDescent="0.3">
      <c r="B1161" t="s">
        <v>4348</v>
      </c>
      <c r="C1161" s="11" t="s">
        <v>178</v>
      </c>
      <c r="D1161">
        <v>1</v>
      </c>
      <c r="E1161" t="s">
        <v>160</v>
      </c>
      <c r="F1161" s="92" t="s">
        <v>1057</v>
      </c>
      <c r="G1161" s="90" t="str">
        <f>LEFT([1]modificado!$O$2, FIND(" ", [1]modificado!$O$2 &amp; " ") - 1)</f>
        <v>3M</v>
      </c>
      <c r="H1161" s="47" t="str">
        <f>RIGHT([1]!Tabla2[[#This Row],[Marca y Modelo]], LEN([1]!Tabla2[[#This Row],[Marca y Modelo]]) - FIND(" ", [1]!Tabla2[[#This Row],[Marca y Modelo]]))</f>
        <v>Basic Shock Absorbing</v>
      </c>
      <c r="I1161" s="76"/>
      <c r="J1161" s="76"/>
      <c r="K1161" s="92" t="s">
        <v>4291</v>
      </c>
      <c r="L1161" s="92" t="s">
        <v>3772</v>
      </c>
      <c r="M1161" s="92" t="s">
        <v>1404</v>
      </c>
      <c r="N1161" s="92" t="s">
        <v>1138</v>
      </c>
      <c r="O1161" s="77"/>
      <c r="P1161" s="92" t="s">
        <v>2537</v>
      </c>
      <c r="Q1161" s="32"/>
      <c r="R1161" s="48" t="s">
        <v>216</v>
      </c>
      <c r="S1161" s="32"/>
    </row>
    <row r="1162" spans="2:19" ht="28.8" x14ac:dyDescent="0.3">
      <c r="B1162" t="s">
        <v>4348</v>
      </c>
      <c r="C1162" s="11" t="s">
        <v>178</v>
      </c>
      <c r="D1162">
        <v>1</v>
      </c>
      <c r="E1162" t="s">
        <v>160</v>
      </c>
      <c r="F1162" s="91" t="s">
        <v>1057</v>
      </c>
      <c r="G1162" s="90" t="str">
        <f>LEFT([1]modificado!$O$2, FIND(" ", [1]modificado!$O$2 &amp; " ") - 1)</f>
        <v>3M</v>
      </c>
      <c r="H1162" s="47" t="str">
        <f>RIGHT([1]!Tabla2[[#This Row],[Marca y Modelo]], LEN([1]!Tabla2[[#This Row],[Marca y Modelo]]) - FIND(" ", [1]!Tabla2[[#This Row],[Marca y Modelo]]))</f>
        <v>Basic Shock Absorbing</v>
      </c>
      <c r="I1162" s="76"/>
      <c r="J1162" s="76"/>
      <c r="K1162" s="91" t="s">
        <v>4291</v>
      </c>
      <c r="L1162" s="91" t="s">
        <v>3773</v>
      </c>
      <c r="M1162" s="91" t="s">
        <v>1404</v>
      </c>
      <c r="N1162" s="91" t="s">
        <v>1139</v>
      </c>
      <c r="O1162" s="77"/>
      <c r="P1162" s="91" t="s">
        <v>2537</v>
      </c>
      <c r="Q1162" s="32"/>
      <c r="R1162" s="48" t="s">
        <v>216</v>
      </c>
      <c r="S1162" s="32"/>
    </row>
    <row r="1163" spans="2:19" ht="28.8" x14ac:dyDescent="0.3">
      <c r="B1163" t="s">
        <v>4348</v>
      </c>
      <c r="C1163" s="11" t="s">
        <v>178</v>
      </c>
      <c r="D1163">
        <v>1</v>
      </c>
      <c r="E1163" t="s">
        <v>160</v>
      </c>
      <c r="F1163" s="92" t="s">
        <v>1057</v>
      </c>
      <c r="G1163" s="90" t="str">
        <f>LEFT([1]modificado!$O$2, FIND(" ", [1]modificado!$O$2 &amp; " ") - 1)</f>
        <v>3M</v>
      </c>
      <c r="H1163" s="47" t="str">
        <f>RIGHT([1]!Tabla2[[#This Row],[Marca y Modelo]], LEN([1]!Tabla2[[#This Row],[Marca y Modelo]]) - FIND(" ", [1]!Tabla2[[#This Row],[Marca y Modelo]]))</f>
        <v>Basic Shock Absorbing</v>
      </c>
      <c r="I1163" s="76"/>
      <c r="J1163" s="76"/>
      <c r="K1163" s="92" t="s">
        <v>4291</v>
      </c>
      <c r="L1163" s="92" t="s">
        <v>3774</v>
      </c>
      <c r="M1163" s="92" t="s">
        <v>1404</v>
      </c>
      <c r="N1163" s="92" t="s">
        <v>1140</v>
      </c>
      <c r="O1163" s="77"/>
      <c r="P1163" s="92" t="s">
        <v>2537</v>
      </c>
      <c r="Q1163" s="32"/>
      <c r="R1163" s="48" t="s">
        <v>216</v>
      </c>
      <c r="S1163" s="32"/>
    </row>
    <row r="1164" spans="2:19" ht="28.8" x14ac:dyDescent="0.3">
      <c r="B1164" t="s">
        <v>4348</v>
      </c>
      <c r="C1164" s="11" t="s">
        <v>178</v>
      </c>
      <c r="D1164">
        <v>1</v>
      </c>
      <c r="E1164" t="s">
        <v>160</v>
      </c>
      <c r="F1164" s="91" t="s">
        <v>1070</v>
      </c>
      <c r="G1164" s="90" t="str">
        <f>LEFT([1]modificado!$O$2, FIND(" ", [1]modificado!$O$2 &amp; " ") - 1)</f>
        <v>3M</v>
      </c>
      <c r="H1164" s="47" t="str">
        <f>RIGHT([1]!Tabla2[[#This Row],[Marca y Modelo]], LEN([1]!Tabla2[[#This Row],[Marca y Modelo]]) - FIND(" ", [1]!Tabla2[[#This Row],[Marca y Modelo]]))</f>
        <v>1340161</v>
      </c>
      <c r="I1164" s="76"/>
      <c r="J1164" s="76"/>
      <c r="K1164" s="91" t="s">
        <v>4291</v>
      </c>
      <c r="L1164" s="91" t="s">
        <v>3775</v>
      </c>
      <c r="M1164" s="91" t="s">
        <v>1404</v>
      </c>
      <c r="N1164" s="91" t="s">
        <v>1141</v>
      </c>
      <c r="O1164" s="77"/>
      <c r="P1164" s="91" t="s">
        <v>2537</v>
      </c>
      <c r="Q1164" s="32"/>
      <c r="R1164" s="48" t="s">
        <v>216</v>
      </c>
      <c r="S1164" s="32"/>
    </row>
    <row r="1165" spans="2:19" ht="28.8" x14ac:dyDescent="0.3">
      <c r="B1165" t="s">
        <v>4348</v>
      </c>
      <c r="C1165" s="11" t="s">
        <v>178</v>
      </c>
      <c r="D1165">
        <v>1</v>
      </c>
      <c r="E1165" t="s">
        <v>160</v>
      </c>
      <c r="F1165" s="92" t="s">
        <v>1070</v>
      </c>
      <c r="G1165" s="90" t="str">
        <f>LEFT([1]modificado!$O$2, FIND(" ", [1]modificado!$O$2 &amp; " ") - 1)</f>
        <v>3M</v>
      </c>
      <c r="H1165" s="47" t="str">
        <f>RIGHT([1]!Tabla2[[#This Row],[Marca y Modelo]], LEN([1]!Tabla2[[#This Row],[Marca y Modelo]]) - FIND(" ", [1]!Tabla2[[#This Row],[Marca y Modelo]]))</f>
        <v>1640161</v>
      </c>
      <c r="I1165" s="76"/>
      <c r="J1165" s="76"/>
      <c r="K1165" s="92" t="s">
        <v>4292</v>
      </c>
      <c r="L1165" s="92" t="s">
        <v>3776</v>
      </c>
      <c r="M1165" s="92" t="s">
        <v>1404</v>
      </c>
      <c r="N1165" s="92" t="s">
        <v>1142</v>
      </c>
      <c r="O1165" s="77"/>
      <c r="P1165" s="92" t="s">
        <v>2537</v>
      </c>
      <c r="Q1165" s="32"/>
      <c r="R1165" s="48" t="s">
        <v>216</v>
      </c>
      <c r="S1165" s="32"/>
    </row>
    <row r="1166" spans="2:19" ht="28.8" x14ac:dyDescent="0.3">
      <c r="B1166" t="s">
        <v>4348</v>
      </c>
      <c r="C1166" s="11" t="s">
        <v>178</v>
      </c>
      <c r="D1166">
        <v>1</v>
      </c>
      <c r="E1166" t="s">
        <v>160</v>
      </c>
      <c r="F1166" s="91" t="s">
        <v>1057</v>
      </c>
      <c r="G1166" s="90" t="str">
        <f>LEFT([1]modificado!$O$2, FIND(" ", [1]modificado!$O$2 &amp; " ") - 1)</f>
        <v>3M</v>
      </c>
      <c r="H1166" s="47" t="str">
        <f>RIGHT([1]!Tabla2[[#This Row],[Marca y Modelo]], LEN([1]!Tabla2[[#This Row],[Marca y Modelo]]) - FIND(" ", [1]!Tabla2[[#This Row],[Marca y Modelo]]))</f>
        <v>Basic Shock Absorbing</v>
      </c>
      <c r="I1166" s="76"/>
      <c r="J1166" s="76"/>
      <c r="K1166" s="91" t="s">
        <v>4291</v>
      </c>
      <c r="L1166" s="91" t="s">
        <v>3777</v>
      </c>
      <c r="M1166" s="91" t="s">
        <v>1404</v>
      </c>
      <c r="N1166" s="91" t="s">
        <v>1143</v>
      </c>
      <c r="O1166" s="77"/>
      <c r="P1166" s="91" t="s">
        <v>2537</v>
      </c>
      <c r="Q1166" s="32"/>
      <c r="R1166" s="48" t="s">
        <v>216</v>
      </c>
      <c r="S1166" s="32"/>
    </row>
    <row r="1167" spans="2:19" ht="28.8" x14ac:dyDescent="0.3">
      <c r="B1167" t="s">
        <v>4348</v>
      </c>
      <c r="C1167" s="11" t="s">
        <v>178</v>
      </c>
      <c r="D1167">
        <v>1</v>
      </c>
      <c r="E1167" t="s">
        <v>160</v>
      </c>
      <c r="F1167" s="92" t="s">
        <v>1060</v>
      </c>
      <c r="G1167" s="90" t="str">
        <f>LEFT([1]modificado!$O$2, FIND(" ", [1]modificado!$O$2 &amp; " ") - 1)</f>
        <v>3M</v>
      </c>
      <c r="H1167" s="47" t="str">
        <f>RIGHT([1]!Tabla2[[#This Row],[Marca y Modelo]], LEN([1]!Tabla2[[#This Row],[Marca y Modelo]]) - FIND(" ", [1]!Tabla2[[#This Row],[Marca y Modelo]]))</f>
        <v>209550-4-0241</v>
      </c>
      <c r="I1167" s="76"/>
      <c r="J1167" s="76"/>
      <c r="K1167" s="92" t="s">
        <v>4291</v>
      </c>
      <c r="L1167" s="92" t="s">
        <v>3778</v>
      </c>
      <c r="M1167" s="92" t="s">
        <v>1404</v>
      </c>
      <c r="N1167" s="92" t="s">
        <v>1144</v>
      </c>
      <c r="O1167" s="77"/>
      <c r="P1167" s="92" t="s">
        <v>2537</v>
      </c>
      <c r="Q1167" s="32"/>
      <c r="R1167" s="48" t="s">
        <v>216</v>
      </c>
      <c r="S1167" s="32"/>
    </row>
    <row r="1168" spans="2:19" ht="28.8" x14ac:dyDescent="0.3">
      <c r="B1168" t="str">
        <f>LEFT(Tabla3890134177220392[[#This Row],[Descripción del equipo]], FIND(" ", Tabla3890134177220392[[#This Row],[Descripción del equipo]] &amp; " ") - 1)</f>
        <v>Arnes</v>
      </c>
      <c r="C1168" s="11" t="s">
        <v>178</v>
      </c>
      <c r="D1168">
        <v>1</v>
      </c>
      <c r="E1168" t="s">
        <v>160</v>
      </c>
      <c r="F1168" s="91" t="s">
        <v>1056</v>
      </c>
      <c r="G1168" s="90" t="str">
        <f>LEFT([1]modificado!$O$2, FIND(" ", [1]modificado!$O$2 &amp; " ") - 1)</f>
        <v>3M</v>
      </c>
      <c r="H1168" s="47" t="str">
        <f>RIGHT([1]!Tabla2[[#This Row],[Marca y Modelo]], LEN([1]!Tabla2[[#This Row],[Marca y Modelo]]) - FIND(" ", [1]!Tabla2[[#This Row],[Marca y Modelo]]))</f>
        <v>Basic Lion</v>
      </c>
      <c r="I1168" s="76"/>
      <c r="J1168" s="76"/>
      <c r="K1168" s="91" t="s">
        <v>4292</v>
      </c>
      <c r="L1168" s="91" t="s">
        <v>3779</v>
      </c>
      <c r="M1168" s="91" t="s">
        <v>1404</v>
      </c>
      <c r="N1168" s="91" t="s">
        <v>1145</v>
      </c>
      <c r="O1168" s="77"/>
      <c r="P1168" s="91" t="s">
        <v>2537</v>
      </c>
      <c r="Q1168" s="32"/>
      <c r="R1168" s="48" t="s">
        <v>216</v>
      </c>
      <c r="S1168" s="32"/>
    </row>
    <row r="1169" spans="2:19" ht="28.8" x14ac:dyDescent="0.3">
      <c r="B1169" t="s">
        <v>4348</v>
      </c>
      <c r="C1169" s="11" t="s">
        <v>178</v>
      </c>
      <c r="D1169">
        <v>1</v>
      </c>
      <c r="E1169" t="s">
        <v>160</v>
      </c>
      <c r="F1169" s="92" t="s">
        <v>1071</v>
      </c>
      <c r="G1169" s="90" t="str">
        <f>LEFT([1]modificado!$O$2, FIND(" ", [1]modificado!$O$2 &amp; " ") - 1)</f>
        <v>3M</v>
      </c>
      <c r="H1169" s="47" t="str">
        <f>RIGHT([1]!Tabla2[[#This Row],[Marca y Modelo]], LEN([1]!Tabla2[[#This Row],[Marca y Modelo]]) - FIND(" ", [1]!Tabla2[[#This Row],[Marca y Modelo]]))</f>
        <v>209550-0241</v>
      </c>
      <c r="I1169" s="76"/>
      <c r="J1169" s="76"/>
      <c r="K1169" s="92" t="s">
        <v>4293</v>
      </c>
      <c r="L1169" s="92" t="s">
        <v>3780</v>
      </c>
      <c r="M1169" s="92" t="s">
        <v>1404</v>
      </c>
      <c r="N1169" s="92" t="s">
        <v>1146</v>
      </c>
      <c r="O1169" s="77"/>
      <c r="P1169" s="92" t="s">
        <v>2537</v>
      </c>
      <c r="Q1169" s="32"/>
      <c r="R1169" s="48" t="s">
        <v>216</v>
      </c>
      <c r="S1169" s="32"/>
    </row>
    <row r="1170" spans="2:19" ht="28.8" x14ac:dyDescent="0.3">
      <c r="B1170" t="s">
        <v>4348</v>
      </c>
      <c r="C1170" s="11" t="s">
        <v>178</v>
      </c>
      <c r="D1170">
        <v>1</v>
      </c>
      <c r="E1170" t="s">
        <v>160</v>
      </c>
      <c r="F1170" s="91" t="s">
        <v>1071</v>
      </c>
      <c r="G1170" s="90" t="str">
        <f>LEFT([1]modificado!$O$2, FIND(" ", [1]modificado!$O$2 &amp; " ") - 1)</f>
        <v>3M</v>
      </c>
      <c r="H1170" s="47" t="str">
        <f>RIGHT([1]!Tabla2[[#This Row],[Marca y Modelo]], LEN([1]!Tabla2[[#This Row],[Marca y Modelo]]) - FIND(" ", [1]!Tabla2[[#This Row],[Marca y Modelo]]))</f>
        <v>209550-0241</v>
      </c>
      <c r="I1170" s="76"/>
      <c r="J1170" s="76"/>
      <c r="K1170" s="91" t="s">
        <v>4293</v>
      </c>
      <c r="L1170" s="91" t="s">
        <v>3781</v>
      </c>
      <c r="M1170" s="91" t="s">
        <v>1404</v>
      </c>
      <c r="N1170" s="91" t="s">
        <v>1147</v>
      </c>
      <c r="O1170" s="77"/>
      <c r="P1170" s="91" t="s">
        <v>2537</v>
      </c>
      <c r="Q1170" s="32"/>
      <c r="R1170" s="48" t="s">
        <v>216</v>
      </c>
      <c r="S1170" s="32"/>
    </row>
    <row r="1171" spans="2:19" ht="28.8" x14ac:dyDescent="0.3">
      <c r="B1171" t="s">
        <v>4348</v>
      </c>
      <c r="C1171" s="11" t="s">
        <v>178</v>
      </c>
      <c r="D1171">
        <v>1</v>
      </c>
      <c r="E1171" t="s">
        <v>160</v>
      </c>
      <c r="F1171" s="92" t="s">
        <v>1071</v>
      </c>
      <c r="G1171" s="90" t="str">
        <f>LEFT([1]modificado!$O$2, FIND(" ", [1]modificado!$O$2 &amp; " ") - 1)</f>
        <v>3M</v>
      </c>
      <c r="H1171" s="47" t="str">
        <f>RIGHT([1]!Tabla2[[#This Row],[Marca y Modelo]], LEN([1]!Tabla2[[#This Row],[Marca y Modelo]]) - FIND(" ", [1]!Tabla2[[#This Row],[Marca y Modelo]]))</f>
        <v>209550-0241</v>
      </c>
      <c r="I1171" s="76"/>
      <c r="J1171" s="76"/>
      <c r="K1171" s="92" t="s">
        <v>4293</v>
      </c>
      <c r="L1171" s="92" t="s">
        <v>3782</v>
      </c>
      <c r="M1171" s="92" t="s">
        <v>1404</v>
      </c>
      <c r="N1171" s="92" t="s">
        <v>1148</v>
      </c>
      <c r="O1171" s="77"/>
      <c r="P1171" s="92" t="s">
        <v>2537</v>
      </c>
      <c r="Q1171" s="32"/>
      <c r="R1171" s="48" t="s">
        <v>216</v>
      </c>
      <c r="S1171" s="32"/>
    </row>
    <row r="1172" spans="2:19" ht="28.8" x14ac:dyDescent="0.3">
      <c r="B1172" t="s">
        <v>4348</v>
      </c>
      <c r="C1172" s="11" t="s">
        <v>178</v>
      </c>
      <c r="D1172">
        <v>1</v>
      </c>
      <c r="E1172" t="s">
        <v>160</v>
      </c>
      <c r="F1172" s="91" t="s">
        <v>1072</v>
      </c>
      <c r="G1172" s="90" t="str">
        <f>LEFT([1]modificado!$O$2, FIND(" ", [1]modificado!$O$2 &amp; " ") - 1)</f>
        <v>3M</v>
      </c>
      <c r="H1172" s="47" t="str">
        <f>RIGHT([1]!Tabla2[[#This Row],[Marca y Modelo]], LEN([1]!Tabla2[[#This Row],[Marca y Modelo]]) - FIND(" ", [1]!Tabla2[[#This Row],[Marca y Modelo]]))</f>
        <v>3210</v>
      </c>
      <c r="I1172" s="76"/>
      <c r="J1172" s="76"/>
      <c r="K1172" s="91" t="s">
        <v>4294</v>
      </c>
      <c r="L1172" s="91" t="s">
        <v>3783</v>
      </c>
      <c r="M1172" s="91" t="s">
        <v>1404</v>
      </c>
      <c r="N1172" s="91" t="s">
        <v>1149</v>
      </c>
      <c r="O1172" s="77"/>
      <c r="P1172" s="91" t="s">
        <v>2537</v>
      </c>
      <c r="Q1172" s="32"/>
      <c r="R1172" s="48" t="s">
        <v>216</v>
      </c>
      <c r="S1172" s="32"/>
    </row>
    <row r="1173" spans="2:19" ht="28.8" x14ac:dyDescent="0.3">
      <c r="B1173" t="s">
        <v>4348</v>
      </c>
      <c r="C1173" s="11" t="s">
        <v>178</v>
      </c>
      <c r="D1173">
        <v>1</v>
      </c>
      <c r="E1173" t="s">
        <v>160</v>
      </c>
      <c r="F1173" s="92" t="s">
        <v>1072</v>
      </c>
      <c r="G1173" s="90" t="str">
        <f>LEFT([1]modificado!$O$2, FIND(" ", [1]modificado!$O$2 &amp; " ") - 1)</f>
        <v>3M</v>
      </c>
      <c r="H1173" s="47" t="str">
        <f>RIGHT([1]!Tabla2[[#This Row],[Marca y Modelo]], LEN([1]!Tabla2[[#This Row],[Marca y Modelo]]) - FIND(" ", [1]!Tabla2[[#This Row],[Marca y Modelo]]))</f>
        <v>3210</v>
      </c>
      <c r="I1173" s="76"/>
      <c r="J1173" s="76"/>
      <c r="K1173" s="92" t="s">
        <v>4294</v>
      </c>
      <c r="L1173" s="92" t="s">
        <v>3784</v>
      </c>
      <c r="M1173" s="92" t="s">
        <v>1404</v>
      </c>
      <c r="N1173" s="92" t="s">
        <v>1150</v>
      </c>
      <c r="O1173" s="77"/>
      <c r="P1173" s="92" t="s">
        <v>2537</v>
      </c>
      <c r="Q1173" s="32"/>
      <c r="R1173" s="48" t="s">
        <v>216</v>
      </c>
      <c r="S1173" s="32"/>
    </row>
    <row r="1174" spans="2:19" ht="28.8" x14ac:dyDescent="0.3">
      <c r="B1174" t="s">
        <v>4348</v>
      </c>
      <c r="C1174" s="11" t="s">
        <v>178</v>
      </c>
      <c r="D1174">
        <v>1</v>
      </c>
      <c r="E1174" t="s">
        <v>160</v>
      </c>
      <c r="F1174" s="91" t="s">
        <v>1072</v>
      </c>
      <c r="G1174" s="90" t="str">
        <f>LEFT([1]modificado!$O$2, FIND(" ", [1]modificado!$O$2 &amp; " ") - 1)</f>
        <v>3M</v>
      </c>
      <c r="H1174" s="47" t="str">
        <f>RIGHT([1]!Tabla2[[#This Row],[Marca y Modelo]], LEN([1]!Tabla2[[#This Row],[Marca y Modelo]]) - FIND(" ", [1]!Tabla2[[#This Row],[Marca y Modelo]]))</f>
        <v>3210</v>
      </c>
      <c r="I1174" s="76"/>
      <c r="J1174" s="76"/>
      <c r="K1174" s="91" t="s">
        <v>4294</v>
      </c>
      <c r="L1174" s="91" t="s">
        <v>3785</v>
      </c>
      <c r="M1174" s="91" t="s">
        <v>1404</v>
      </c>
      <c r="N1174" s="91" t="s">
        <v>1151</v>
      </c>
      <c r="O1174" s="77"/>
      <c r="P1174" s="91" t="s">
        <v>2537</v>
      </c>
      <c r="Q1174" s="32"/>
      <c r="R1174" s="48" t="s">
        <v>216</v>
      </c>
      <c r="S1174" s="32"/>
    </row>
    <row r="1175" spans="2:19" ht="28.8" x14ac:dyDescent="0.3">
      <c r="B1175" t="s">
        <v>4348</v>
      </c>
      <c r="C1175" s="11" t="s">
        <v>178</v>
      </c>
      <c r="D1175">
        <v>1</v>
      </c>
      <c r="E1175" t="s">
        <v>160</v>
      </c>
      <c r="F1175" s="92" t="s">
        <v>1072</v>
      </c>
      <c r="G1175" s="90" t="str">
        <f>LEFT([1]modificado!$O$2, FIND(" ", [1]modificado!$O$2 &amp; " ") - 1)</f>
        <v>3M</v>
      </c>
      <c r="H1175" s="47" t="str">
        <f>RIGHT([1]!Tabla2[[#This Row],[Marca y Modelo]], LEN([1]!Tabla2[[#This Row],[Marca y Modelo]]) - FIND(" ", [1]!Tabla2[[#This Row],[Marca y Modelo]]))</f>
        <v>3210</v>
      </c>
      <c r="I1175" s="76"/>
      <c r="J1175" s="76"/>
      <c r="K1175" s="92" t="s">
        <v>4294</v>
      </c>
      <c r="L1175" s="92" t="s">
        <v>3786</v>
      </c>
      <c r="M1175" s="92" t="s">
        <v>1404</v>
      </c>
      <c r="N1175" s="92" t="s">
        <v>1152</v>
      </c>
      <c r="O1175" s="77"/>
      <c r="P1175" s="92" t="s">
        <v>2537</v>
      </c>
      <c r="Q1175" s="32"/>
      <c r="R1175" s="48" t="s">
        <v>216</v>
      </c>
      <c r="S1175" s="32"/>
    </row>
    <row r="1176" spans="2:19" ht="28.8" x14ac:dyDescent="0.3">
      <c r="B1176" t="str">
        <f>LEFT(Tabla3890134177220392[[#This Row],[Descripción del equipo]], FIND(" ", Tabla3890134177220392[[#This Row],[Descripción del equipo]] &amp; " ") - 1)</f>
        <v>Autoretractil</v>
      </c>
      <c r="C1176" s="11" t="s">
        <v>178</v>
      </c>
      <c r="D1176">
        <v>1</v>
      </c>
      <c r="E1176" t="s">
        <v>160</v>
      </c>
      <c r="F1176" s="91" t="s">
        <v>1058</v>
      </c>
      <c r="G1176" s="90" t="str">
        <f>LEFT([1]modificado!$O$2, FIND(" ", [1]modificado!$O$2 &amp; " ") - 1)</f>
        <v>3M</v>
      </c>
      <c r="H1176" s="47" t="str">
        <f>RIGHT([1]!Tabla2[[#This Row],[Marca y Modelo]], LEN([1]!Tabla2[[#This Row],[Marca y Modelo]]) - FIND(" ", [1]!Tabla2[[#This Row],[Marca y Modelo]]))</f>
        <v>3100414</v>
      </c>
      <c r="I1176" s="76"/>
      <c r="J1176" s="76"/>
      <c r="K1176" s="91" t="s">
        <v>4295</v>
      </c>
      <c r="L1176" s="91" t="s">
        <v>3787</v>
      </c>
      <c r="M1176" s="91" t="s">
        <v>1404</v>
      </c>
      <c r="N1176" s="91" t="s">
        <v>1153</v>
      </c>
      <c r="O1176" s="77"/>
      <c r="P1176" s="91" t="s">
        <v>2537</v>
      </c>
      <c r="Q1176" s="32"/>
      <c r="R1176" s="48" t="s">
        <v>216</v>
      </c>
      <c r="S1176" s="32"/>
    </row>
    <row r="1177" spans="2:19" ht="28.8" x14ac:dyDescent="0.3">
      <c r="B1177" t="str">
        <f>LEFT(Tabla3890134177220392[[#This Row],[Descripción del equipo]], FIND(" ", Tabla3890134177220392[[#This Row],[Descripción del equipo]] &amp; " ") - 1)</f>
        <v>Autoretractil</v>
      </c>
      <c r="C1177" s="11" t="s">
        <v>178</v>
      </c>
      <c r="D1177">
        <v>1</v>
      </c>
      <c r="E1177" t="s">
        <v>160</v>
      </c>
      <c r="F1177" s="92" t="s">
        <v>1058</v>
      </c>
      <c r="G1177" s="90" t="str">
        <f>LEFT([1]modificado!$O$2, FIND(" ", [1]modificado!$O$2 &amp; " ") - 1)</f>
        <v>3M</v>
      </c>
      <c r="H1177" s="47" t="str">
        <f>RIGHT([1]!Tabla2[[#This Row],[Marca y Modelo]], LEN([1]!Tabla2[[#This Row],[Marca y Modelo]]) - FIND(" ", [1]!Tabla2[[#This Row],[Marca y Modelo]]))</f>
        <v>3100414</v>
      </c>
      <c r="I1177" s="76"/>
      <c r="J1177" s="76"/>
      <c r="K1177" s="92" t="s">
        <v>4295</v>
      </c>
      <c r="L1177" s="92" t="s">
        <v>3788</v>
      </c>
      <c r="M1177" s="92" t="s">
        <v>1404</v>
      </c>
      <c r="N1177" s="92" t="s">
        <v>1154</v>
      </c>
      <c r="O1177" s="77"/>
      <c r="P1177" s="92" t="s">
        <v>2537</v>
      </c>
      <c r="Q1177" s="32"/>
      <c r="R1177" s="48" t="s">
        <v>216</v>
      </c>
      <c r="S1177" s="32"/>
    </row>
    <row r="1178" spans="2:19" ht="28.8" x14ac:dyDescent="0.3">
      <c r="B1178" t="str">
        <f>LEFT(Tabla3890134177220392[[#This Row],[Descripción del equipo]], FIND(" ", Tabla3890134177220392[[#This Row],[Descripción del equipo]] &amp; " ") - 1)</f>
        <v>Autoretractil</v>
      </c>
      <c r="C1178" s="11" t="s">
        <v>178</v>
      </c>
      <c r="D1178">
        <v>1</v>
      </c>
      <c r="E1178" t="s">
        <v>160</v>
      </c>
      <c r="F1178" s="91" t="s">
        <v>1058</v>
      </c>
      <c r="G1178" s="90" t="str">
        <f>LEFT([1]modificado!$O$2, FIND(" ", [1]modificado!$O$2 &amp; " ") - 1)</f>
        <v>3M</v>
      </c>
      <c r="H1178" s="47" t="str">
        <f>RIGHT([1]!Tabla2[[#This Row],[Marca y Modelo]], LEN([1]!Tabla2[[#This Row],[Marca y Modelo]]) - FIND(" ", [1]!Tabla2[[#This Row],[Marca y Modelo]]))</f>
        <v>3100414</v>
      </c>
      <c r="I1178" s="76"/>
      <c r="J1178" s="76"/>
      <c r="K1178" s="91" t="s">
        <v>4295</v>
      </c>
      <c r="L1178" s="91" t="s">
        <v>3789</v>
      </c>
      <c r="M1178" s="91" t="s">
        <v>1404</v>
      </c>
      <c r="N1178" s="91" t="s">
        <v>1155</v>
      </c>
      <c r="O1178" s="77"/>
      <c r="P1178" s="91" t="s">
        <v>2537</v>
      </c>
      <c r="Q1178" s="32"/>
      <c r="R1178" s="48" t="s">
        <v>216</v>
      </c>
      <c r="S1178" s="32"/>
    </row>
    <row r="1179" spans="2:19" ht="28.8" x14ac:dyDescent="0.3">
      <c r="B1179" t="str">
        <f>LEFT(Tabla3890134177220392[[#This Row],[Descripción del equipo]], FIND(" ", Tabla3890134177220392[[#This Row],[Descripción del equipo]] &amp; " ") - 1)</f>
        <v>Autoretractil</v>
      </c>
      <c r="C1179" s="11" t="s">
        <v>178</v>
      </c>
      <c r="D1179">
        <v>1</v>
      </c>
      <c r="E1179" t="s">
        <v>160</v>
      </c>
      <c r="F1179" s="92" t="s">
        <v>1058</v>
      </c>
      <c r="G1179" s="90" t="str">
        <f>LEFT([1]modificado!$O$2, FIND(" ", [1]modificado!$O$2 &amp; " ") - 1)</f>
        <v>3M</v>
      </c>
      <c r="H1179" s="47"/>
      <c r="I1179" s="76"/>
      <c r="J1179" s="76"/>
      <c r="K1179" s="92" t="s">
        <v>4295</v>
      </c>
      <c r="L1179" s="92" t="s">
        <v>3790</v>
      </c>
      <c r="M1179" s="92" t="s">
        <v>1404</v>
      </c>
      <c r="N1179" s="92" t="s">
        <v>1156</v>
      </c>
      <c r="O1179" s="77"/>
      <c r="P1179" s="92" t="s">
        <v>2537</v>
      </c>
      <c r="Q1179" s="32"/>
      <c r="R1179" s="48" t="s">
        <v>216</v>
      </c>
      <c r="S1179" s="32"/>
    </row>
    <row r="1180" spans="2:19" ht="28.8" x14ac:dyDescent="0.3">
      <c r="B1180" t="s">
        <v>4348</v>
      </c>
      <c r="C1180" s="11" t="s">
        <v>178</v>
      </c>
      <c r="D1180">
        <v>1</v>
      </c>
      <c r="E1180" t="s">
        <v>160</v>
      </c>
      <c r="F1180" s="91" t="s">
        <v>1057</v>
      </c>
      <c r="G1180" s="90" t="str">
        <f>LEFT([1]modificado!$O$2, FIND(" ", [1]modificado!$O$2 &amp; " ") - 1)</f>
        <v>3M</v>
      </c>
      <c r="H1180" s="47" t="str">
        <f>RIGHT([1]!Tabla2[[#This Row],[Marca y Modelo]], LEN([1]!Tabla2[[#This Row],[Marca y Modelo]]) - FIND(" ", [1]!Tabla2[[#This Row],[Marca y Modelo]]))</f>
        <v>671E</v>
      </c>
      <c r="I1180" s="76"/>
      <c r="J1180" s="76"/>
      <c r="K1180" s="91" t="s">
        <v>4293</v>
      </c>
      <c r="L1180" s="91" t="s">
        <v>3791</v>
      </c>
      <c r="M1180" s="91" t="s">
        <v>1404</v>
      </c>
      <c r="N1180" s="91" t="s">
        <v>1157</v>
      </c>
      <c r="O1180" s="77"/>
      <c r="P1180" s="91" t="s">
        <v>2537</v>
      </c>
      <c r="Q1180" s="32"/>
      <c r="R1180" s="48" t="s">
        <v>216</v>
      </c>
      <c r="S1180" s="32"/>
    </row>
    <row r="1181" spans="2:19" ht="28.8" x14ac:dyDescent="0.3">
      <c r="B1181" t="s">
        <v>4348</v>
      </c>
      <c r="C1181" s="11" t="s">
        <v>178</v>
      </c>
      <c r="D1181">
        <v>1</v>
      </c>
      <c r="E1181" t="s">
        <v>160</v>
      </c>
      <c r="F1181" s="92" t="s">
        <v>1057</v>
      </c>
      <c r="G1181" s="90" t="str">
        <f>LEFT([1]modificado!$O$2, FIND(" ", [1]modificado!$O$2 &amp; " ") - 1)</f>
        <v>3M</v>
      </c>
      <c r="H1181" s="47" t="str">
        <f>RIGHT([1]!Tabla2[[#This Row],[Marca y Modelo]], LEN([1]!Tabla2[[#This Row],[Marca y Modelo]]) - FIND(" ", [1]!Tabla2[[#This Row],[Marca y Modelo]]))</f>
        <v>671EC</v>
      </c>
      <c r="I1181" s="76"/>
      <c r="J1181" s="76"/>
      <c r="K1181" s="92" t="s">
        <v>4293</v>
      </c>
      <c r="L1181" s="92" t="s">
        <v>3792</v>
      </c>
      <c r="M1181" s="92" t="s">
        <v>1404</v>
      </c>
      <c r="N1181" s="92" t="s">
        <v>1158</v>
      </c>
      <c r="O1181" s="77"/>
      <c r="P1181" s="92" t="s">
        <v>2537</v>
      </c>
      <c r="Q1181" s="32"/>
      <c r="R1181" s="48" t="s">
        <v>216</v>
      </c>
      <c r="S1181" s="32"/>
    </row>
    <row r="1182" spans="2:19" ht="28.8" x14ac:dyDescent="0.3">
      <c r="B1182" t="s">
        <v>4348</v>
      </c>
      <c r="C1182" s="11" t="s">
        <v>178</v>
      </c>
      <c r="D1182">
        <v>1</v>
      </c>
      <c r="E1182" t="s">
        <v>160</v>
      </c>
      <c r="F1182" s="91" t="s">
        <v>1057</v>
      </c>
      <c r="G1182" s="90" t="str">
        <f>LEFT([1]modificado!$O$2, FIND(" ", [1]modificado!$O$2 &amp; " ") - 1)</f>
        <v>3M</v>
      </c>
      <c r="H1182" s="47" t="str">
        <f>RIGHT([1]!Tabla2[[#This Row],[Marca y Modelo]], LEN([1]!Tabla2[[#This Row],[Marca y Modelo]]) - FIND(" ", [1]!Tabla2[[#This Row],[Marca y Modelo]]))</f>
        <v>671E</v>
      </c>
      <c r="I1182" s="76"/>
      <c r="J1182" s="76"/>
      <c r="K1182" s="91" t="s">
        <v>4293</v>
      </c>
      <c r="L1182" s="91" t="s">
        <v>3793</v>
      </c>
      <c r="M1182" s="91" t="s">
        <v>1404</v>
      </c>
      <c r="N1182" s="91" t="s">
        <v>1159</v>
      </c>
      <c r="O1182" s="77"/>
      <c r="P1182" s="91" t="s">
        <v>2537</v>
      </c>
      <c r="Q1182" s="32"/>
      <c r="R1182" s="48" t="s">
        <v>216</v>
      </c>
      <c r="S1182" s="32"/>
    </row>
    <row r="1183" spans="2:19" ht="28.8" x14ac:dyDescent="0.3">
      <c r="B1183" t="s">
        <v>4348</v>
      </c>
      <c r="C1183" s="11" t="s">
        <v>178</v>
      </c>
      <c r="D1183">
        <v>1</v>
      </c>
      <c r="E1183" t="s">
        <v>160</v>
      </c>
      <c r="F1183" s="92" t="s">
        <v>1057</v>
      </c>
      <c r="G1183" s="90" t="str">
        <f>LEFT([1]modificado!$O$2, FIND(" ", [1]modificado!$O$2 &amp; " ") - 1)</f>
        <v>3M</v>
      </c>
      <c r="H1183" s="47" t="str">
        <f>RIGHT([1]!Tabla2[[#This Row],[Marca y Modelo]], LEN([1]!Tabla2[[#This Row],[Marca y Modelo]]) - FIND(" ", [1]!Tabla2[[#This Row],[Marca y Modelo]]))</f>
        <v>671EC</v>
      </c>
      <c r="I1183" s="76"/>
      <c r="J1183" s="76"/>
      <c r="K1183" s="92" t="s">
        <v>4293</v>
      </c>
      <c r="L1183" s="92" t="s">
        <v>3794</v>
      </c>
      <c r="M1183" s="92" t="s">
        <v>1404</v>
      </c>
      <c r="N1183" s="92" t="s">
        <v>1160</v>
      </c>
      <c r="O1183" s="77"/>
      <c r="P1183" s="92" t="s">
        <v>2537</v>
      </c>
      <c r="Q1183" s="32"/>
      <c r="R1183" s="48" t="s">
        <v>216</v>
      </c>
      <c r="S1183" s="32"/>
    </row>
    <row r="1184" spans="2:19" ht="28.8" x14ac:dyDescent="0.3">
      <c r="B1184" t="s">
        <v>4348</v>
      </c>
      <c r="C1184" s="11" t="s">
        <v>178</v>
      </c>
      <c r="D1184">
        <v>1</v>
      </c>
      <c r="E1184" t="s">
        <v>160</v>
      </c>
      <c r="F1184" s="91" t="s">
        <v>1057</v>
      </c>
      <c r="G1184" s="90" t="str">
        <f>LEFT([1]modificado!$O$2, FIND(" ", [1]modificado!$O$2 &amp; " ") - 1)</f>
        <v>3M</v>
      </c>
      <c r="H1184" s="47" t="str">
        <f>RIGHT([1]!Tabla2[[#This Row],[Marca y Modelo]], LEN([1]!Tabla2[[#This Row],[Marca y Modelo]]) - FIND(" ", [1]!Tabla2[[#This Row],[Marca y Modelo]]))</f>
        <v>671EC</v>
      </c>
      <c r="I1184" s="76"/>
      <c r="J1184" s="76"/>
      <c r="K1184" s="91" t="s">
        <v>4293</v>
      </c>
      <c r="L1184" s="91" t="s">
        <v>3795</v>
      </c>
      <c r="M1184" s="91" t="s">
        <v>1404</v>
      </c>
      <c r="N1184" s="91" t="s">
        <v>1161</v>
      </c>
      <c r="O1184" s="77"/>
      <c r="P1184" s="91" t="s">
        <v>2537</v>
      </c>
      <c r="Q1184" s="32"/>
      <c r="R1184" s="48" t="s">
        <v>216</v>
      </c>
      <c r="S1184" s="32"/>
    </row>
    <row r="1185" spans="2:19" ht="28.8" x14ac:dyDescent="0.3">
      <c r="B1185" t="s">
        <v>4348</v>
      </c>
      <c r="C1185" s="11" t="s">
        <v>178</v>
      </c>
      <c r="D1185">
        <v>1</v>
      </c>
      <c r="E1185" t="s">
        <v>160</v>
      </c>
      <c r="F1185" s="92" t="s">
        <v>1057</v>
      </c>
      <c r="G1185" s="90" t="str">
        <f>LEFT([1]modificado!$O$2, FIND(" ", [1]modificado!$O$2 &amp; " ") - 1)</f>
        <v>3M</v>
      </c>
      <c r="H1185" s="47" t="str">
        <f>RIGHT([1]!Tabla2[[#This Row],[Marca y Modelo]], LEN([1]!Tabla2[[#This Row],[Marca y Modelo]]) - FIND(" ", [1]!Tabla2[[#This Row],[Marca y Modelo]]))</f>
        <v>671E</v>
      </c>
      <c r="I1185" s="76"/>
      <c r="J1185" s="76"/>
      <c r="K1185" s="92" t="s">
        <v>4293</v>
      </c>
      <c r="L1185" s="92" t="s">
        <v>3796</v>
      </c>
      <c r="M1185" s="92" t="s">
        <v>1404</v>
      </c>
      <c r="N1185" s="92" t="s">
        <v>1162</v>
      </c>
      <c r="O1185" s="77"/>
      <c r="P1185" s="92" t="s">
        <v>2537</v>
      </c>
      <c r="Q1185" s="32"/>
      <c r="R1185" s="48" t="s">
        <v>216</v>
      </c>
      <c r="S1185" s="32"/>
    </row>
    <row r="1186" spans="2:19" ht="28.8" x14ac:dyDescent="0.3">
      <c r="B1186" t="s">
        <v>4348</v>
      </c>
      <c r="C1186" s="11" t="s">
        <v>178</v>
      </c>
      <c r="D1186">
        <v>1</v>
      </c>
      <c r="E1186" t="s">
        <v>160</v>
      </c>
      <c r="F1186" s="91" t="s">
        <v>1057</v>
      </c>
      <c r="G1186" s="90" t="str">
        <f>LEFT([1]modificado!$O$2, FIND(" ", [1]modificado!$O$2 &amp; " ") - 1)</f>
        <v>3M</v>
      </c>
      <c r="H1186" s="47" t="str">
        <f>RIGHT([1]!Tabla2[[#This Row],[Marca y Modelo]], LEN([1]!Tabla2[[#This Row],[Marca y Modelo]]) - FIND(" ", [1]!Tabla2[[#This Row],[Marca y Modelo]]))</f>
        <v>671EC</v>
      </c>
      <c r="I1186" s="76"/>
      <c r="J1186" s="76"/>
      <c r="K1186" s="91" t="s">
        <v>4293</v>
      </c>
      <c r="L1186" s="91" t="s">
        <v>3797</v>
      </c>
      <c r="M1186" s="91" t="s">
        <v>1404</v>
      </c>
      <c r="N1186" s="91" t="s">
        <v>1163</v>
      </c>
      <c r="O1186" s="77"/>
      <c r="P1186" s="91" t="s">
        <v>2537</v>
      </c>
      <c r="Q1186" s="32"/>
      <c r="R1186" s="48" t="s">
        <v>216</v>
      </c>
      <c r="S1186" s="32"/>
    </row>
    <row r="1187" spans="2:19" ht="28.8" x14ac:dyDescent="0.3">
      <c r="B1187" t="s">
        <v>4348</v>
      </c>
      <c r="C1187" s="11" t="s">
        <v>178</v>
      </c>
      <c r="D1187">
        <v>1</v>
      </c>
      <c r="E1187" t="s">
        <v>160</v>
      </c>
      <c r="F1187" s="92" t="s">
        <v>1057</v>
      </c>
      <c r="G1187" s="90" t="str">
        <f>LEFT([1]modificado!$O$2, FIND(" ", [1]modificado!$O$2 &amp; " ") - 1)</f>
        <v>3M</v>
      </c>
      <c r="H1187" s="47" t="str">
        <f>RIGHT([1]!Tabla2[[#This Row],[Marca y Modelo]], LEN([1]!Tabla2[[#This Row],[Marca y Modelo]]) - FIND(" ", [1]!Tabla2[[#This Row],[Marca y Modelo]]))</f>
        <v>671EC</v>
      </c>
      <c r="I1187" s="76"/>
      <c r="J1187" s="76"/>
      <c r="K1187" s="92" t="s">
        <v>4293</v>
      </c>
      <c r="L1187" s="92" t="s">
        <v>3798</v>
      </c>
      <c r="M1187" s="92" t="s">
        <v>1404</v>
      </c>
      <c r="N1187" s="92" t="s">
        <v>1164</v>
      </c>
      <c r="O1187" s="77"/>
      <c r="P1187" s="92" t="s">
        <v>2537</v>
      </c>
      <c r="Q1187" s="32"/>
      <c r="R1187" s="48" t="s">
        <v>216</v>
      </c>
      <c r="S1187" s="32"/>
    </row>
    <row r="1188" spans="2:19" ht="28.8" x14ac:dyDescent="0.3">
      <c r="B1188" t="s">
        <v>4348</v>
      </c>
      <c r="C1188" s="11" t="s">
        <v>178</v>
      </c>
      <c r="D1188">
        <v>1</v>
      </c>
      <c r="E1188" t="s">
        <v>160</v>
      </c>
      <c r="F1188" s="91" t="s">
        <v>1073</v>
      </c>
      <c r="G1188" s="90" t="str">
        <f>LEFT([1]modificado!$O$2, FIND(" ", [1]modificado!$O$2 &amp; " ") - 1)</f>
        <v>3M</v>
      </c>
      <c r="H1188" s="47" t="str">
        <f>RIGHT([1]!Tabla2[[#This Row],[Marca y Modelo]], LEN([1]!Tabla2[[#This Row],[Marca y Modelo]]) - FIND(" ", [1]!Tabla2[[#This Row],[Marca y Modelo]]))</f>
        <v>Musitani</v>
      </c>
      <c r="I1188" s="76"/>
      <c r="J1188" s="76"/>
      <c r="K1188" s="91" t="s">
        <v>4293</v>
      </c>
      <c r="L1188" s="91" t="s">
        <v>3799</v>
      </c>
      <c r="M1188" s="91" t="s">
        <v>1406</v>
      </c>
      <c r="N1188" s="91" t="s">
        <v>1165</v>
      </c>
      <c r="O1188" s="77"/>
      <c r="P1188" s="91" t="s">
        <v>2537</v>
      </c>
      <c r="Q1188" s="32"/>
      <c r="R1188" s="48" t="s">
        <v>216</v>
      </c>
      <c r="S1188" s="32"/>
    </row>
    <row r="1189" spans="2:19" ht="28.8" x14ac:dyDescent="0.3">
      <c r="B1189" t="s">
        <v>4348</v>
      </c>
      <c r="C1189" s="11" t="s">
        <v>178</v>
      </c>
      <c r="D1189">
        <v>1</v>
      </c>
      <c r="E1189" t="s">
        <v>160</v>
      </c>
      <c r="F1189" s="92" t="s">
        <v>1074</v>
      </c>
      <c r="G1189" s="90" t="str">
        <f>LEFT([1]modificado!$O$2, FIND(" ", [1]modificado!$O$2 &amp; " ") - 1)</f>
        <v>3M</v>
      </c>
      <c r="H1189" s="47"/>
      <c r="I1189" s="76"/>
      <c r="J1189" s="76"/>
      <c r="K1189" s="92" t="s">
        <v>4293</v>
      </c>
      <c r="L1189" s="92" t="s">
        <v>3800</v>
      </c>
      <c r="M1189" s="92" t="s">
        <v>1404</v>
      </c>
      <c r="N1189" s="92" t="s">
        <v>1166</v>
      </c>
      <c r="O1189" s="77"/>
      <c r="P1189" s="92" t="s">
        <v>2537</v>
      </c>
      <c r="Q1189" s="32"/>
      <c r="R1189" s="48" t="s">
        <v>216</v>
      </c>
      <c r="S1189" s="32"/>
    </row>
    <row r="1190" spans="2:19" ht="28.8" x14ac:dyDescent="0.3">
      <c r="B1190" t="s">
        <v>4349</v>
      </c>
      <c r="C1190" s="11" t="s">
        <v>178</v>
      </c>
      <c r="D1190">
        <v>1</v>
      </c>
      <c r="E1190" t="s">
        <v>160</v>
      </c>
      <c r="F1190" s="91" t="s">
        <v>1059</v>
      </c>
      <c r="G1190" s="90" t="str">
        <f>LEFT([1]modificado!$O$2, FIND(" ", [1]modificado!$O$2 &amp; " ") - 1)</f>
        <v>3M</v>
      </c>
      <c r="H1190" s="47" t="str">
        <f>RIGHT([1]!Tabla2[[#This Row],[Marca y Modelo]], LEN([1]!Tabla2[[#This Row],[Marca y Modelo]]) - FIND(" ", [1]!Tabla2[[#This Row],[Marca y Modelo]]))</f>
        <v>Creek 1172K</v>
      </c>
      <c r="I1190" s="76"/>
      <c r="J1190" s="76"/>
      <c r="K1190" s="91" t="s">
        <v>4296</v>
      </c>
      <c r="L1190" s="91" t="s">
        <v>3801</v>
      </c>
      <c r="M1190" s="91" t="s">
        <v>1404</v>
      </c>
      <c r="N1190" s="91" t="s">
        <v>1167</v>
      </c>
      <c r="O1190" s="77"/>
      <c r="P1190" s="91" t="s">
        <v>2537</v>
      </c>
      <c r="Q1190" s="32"/>
      <c r="R1190" s="48" t="s">
        <v>216</v>
      </c>
      <c r="S1190" s="32"/>
    </row>
    <row r="1191" spans="2:19" ht="28.8" x14ac:dyDescent="0.3">
      <c r="B1191" t="s">
        <v>4349</v>
      </c>
      <c r="C1191" s="11" t="s">
        <v>178</v>
      </c>
      <c r="D1191">
        <v>1</v>
      </c>
      <c r="E1191" t="s">
        <v>160</v>
      </c>
      <c r="F1191" s="92" t="s">
        <v>1059</v>
      </c>
      <c r="G1191" s="90" t="str">
        <f>LEFT([1]modificado!$O$2, FIND(" ", [1]modificado!$O$2 &amp; " ") - 1)</f>
        <v>3M</v>
      </c>
      <c r="H1191" s="47" t="str">
        <f>RIGHT([1]!Tabla2[[#This Row],[Marca y Modelo]], LEN([1]!Tabla2[[#This Row],[Marca y Modelo]]) - FIND(" ", [1]!Tabla2[[#This Row],[Marca y Modelo]]))</f>
        <v>1003006</v>
      </c>
      <c r="I1191" s="76"/>
      <c r="J1191" s="76"/>
      <c r="K1191" s="92" t="s">
        <v>4296</v>
      </c>
      <c r="L1191" s="92" t="s">
        <v>3802</v>
      </c>
      <c r="M1191" s="92" t="s">
        <v>1404</v>
      </c>
      <c r="N1191" s="92" t="s">
        <v>1168</v>
      </c>
      <c r="O1191" s="77"/>
      <c r="P1191" s="92" t="s">
        <v>2537</v>
      </c>
      <c r="Q1191" s="32"/>
      <c r="R1191" s="48" t="s">
        <v>216</v>
      </c>
      <c r="S1191" s="32"/>
    </row>
    <row r="1192" spans="2:19" ht="28.8" x14ac:dyDescent="0.3">
      <c r="B1192" t="s">
        <v>4349</v>
      </c>
      <c r="C1192" s="11" t="s">
        <v>178</v>
      </c>
      <c r="D1192">
        <v>1</v>
      </c>
      <c r="E1192" t="s">
        <v>160</v>
      </c>
      <c r="F1192" s="91" t="s">
        <v>1059</v>
      </c>
      <c r="G1192" s="90" t="str">
        <f>LEFT([1]modificado!$O$2, FIND(" ", [1]modificado!$O$2 &amp; " ") - 1)</f>
        <v>3M</v>
      </c>
      <c r="H1192" s="47"/>
      <c r="I1192" s="76"/>
      <c r="J1192" s="76"/>
      <c r="K1192" s="91" t="s">
        <v>4296</v>
      </c>
      <c r="L1192" s="91" t="s">
        <v>3803</v>
      </c>
      <c r="M1192" s="91" t="s">
        <v>1404</v>
      </c>
      <c r="N1192" s="91" t="s">
        <v>1169</v>
      </c>
      <c r="O1192" s="77"/>
      <c r="P1192" s="91" t="s">
        <v>2537</v>
      </c>
      <c r="Q1192" s="32"/>
      <c r="R1192" s="48" t="s">
        <v>216</v>
      </c>
      <c r="S1192" s="32"/>
    </row>
    <row r="1193" spans="2:19" ht="28.8" x14ac:dyDescent="0.3">
      <c r="B1193" t="s">
        <v>4348</v>
      </c>
      <c r="C1193" s="11" t="s">
        <v>178</v>
      </c>
      <c r="D1193">
        <v>1</v>
      </c>
      <c r="E1193" t="s">
        <v>160</v>
      </c>
      <c r="F1193" s="92" t="s">
        <v>1071</v>
      </c>
      <c r="G1193" s="90" t="str">
        <f>LEFT([1]modificado!$O$2, FIND(" ", [1]modificado!$O$2 &amp; " ") - 1)</f>
        <v>3M</v>
      </c>
      <c r="H1193" s="47" t="str">
        <f>RIGHT([1]!Tabla2[[#This Row],[Marca y Modelo]], LEN([1]!Tabla2[[#This Row],[Marca y Modelo]]) - FIND(" ", [1]!Tabla2[[#This Row],[Marca y Modelo]]))</f>
        <v>209550-0241</v>
      </c>
      <c r="I1193" s="76"/>
      <c r="J1193" s="76"/>
      <c r="K1193" s="92" t="s">
        <v>4297</v>
      </c>
      <c r="L1193" s="92" t="s">
        <v>3804</v>
      </c>
      <c r="M1193" s="92" t="s">
        <v>1404</v>
      </c>
      <c r="N1193" s="92" t="s">
        <v>1170</v>
      </c>
      <c r="O1193" s="77"/>
      <c r="P1193" s="92" t="s">
        <v>2537</v>
      </c>
      <c r="Q1193" s="32"/>
      <c r="R1193" s="48" t="s">
        <v>216</v>
      </c>
      <c r="S1193" s="32"/>
    </row>
    <row r="1194" spans="2:19" ht="28.8" x14ac:dyDescent="0.3">
      <c r="B1194" t="s">
        <v>4348</v>
      </c>
      <c r="C1194" s="11" t="s">
        <v>178</v>
      </c>
      <c r="D1194">
        <v>1</v>
      </c>
      <c r="E1194" t="s">
        <v>160</v>
      </c>
      <c r="F1194" s="91" t="s">
        <v>1075</v>
      </c>
      <c r="G1194" s="90" t="str">
        <f>LEFT([1]modificado!$O$2, FIND(" ", [1]modificado!$O$2 &amp; " ") - 1)</f>
        <v>3M</v>
      </c>
      <c r="H1194" s="47" t="str">
        <f>RIGHT([1]!Tabla2[[#This Row],[Marca y Modelo]], LEN([1]!Tabla2[[#This Row],[Marca y Modelo]]) - FIND(" ", [1]!Tabla2[[#This Row],[Marca y Modelo]]))</f>
        <v>1385301MX</v>
      </c>
      <c r="I1194" s="76"/>
      <c r="J1194" s="76"/>
      <c r="K1194" s="91" t="s">
        <v>4298</v>
      </c>
      <c r="L1194" s="91" t="s">
        <v>3805</v>
      </c>
      <c r="M1194" s="91" t="s">
        <v>1404</v>
      </c>
      <c r="N1194" s="91" t="s">
        <v>1171</v>
      </c>
      <c r="O1194" s="77"/>
      <c r="P1194" s="91" t="s">
        <v>2537</v>
      </c>
      <c r="Q1194" s="32"/>
      <c r="R1194" s="48" t="s">
        <v>216</v>
      </c>
      <c r="S1194" s="32"/>
    </row>
    <row r="1195" spans="2:19" ht="28.8" x14ac:dyDescent="0.3">
      <c r="B1195" t="s">
        <v>4348</v>
      </c>
      <c r="C1195" s="11" t="s">
        <v>178</v>
      </c>
      <c r="D1195">
        <v>1</v>
      </c>
      <c r="E1195" t="s">
        <v>160</v>
      </c>
      <c r="F1195" s="92" t="s">
        <v>1075</v>
      </c>
      <c r="G1195" s="90" t="str">
        <f>LEFT([1]modificado!$O$2, FIND(" ", [1]modificado!$O$2 &amp; " ") - 1)</f>
        <v>3M</v>
      </c>
      <c r="H1195" s="47" t="str">
        <f>RIGHT([1]!Tabla2[[#This Row],[Marca y Modelo]], LEN([1]!Tabla2[[#This Row],[Marca y Modelo]]) - FIND(" ", [1]!Tabla2[[#This Row],[Marca y Modelo]]))</f>
        <v>SP3710-S</v>
      </c>
      <c r="I1195" s="76"/>
      <c r="J1195" s="76"/>
      <c r="K1195" s="92" t="s">
        <v>4298</v>
      </c>
      <c r="L1195" s="92" t="s">
        <v>3806</v>
      </c>
      <c r="M1195" s="92" t="s">
        <v>1404</v>
      </c>
      <c r="N1195" s="92" t="s">
        <v>1172</v>
      </c>
      <c r="O1195" s="77"/>
      <c r="P1195" s="92" t="s">
        <v>2537</v>
      </c>
      <c r="Q1195" s="32"/>
      <c r="R1195" s="48" t="s">
        <v>216</v>
      </c>
      <c r="S1195" s="32"/>
    </row>
    <row r="1196" spans="2:19" ht="28.8" x14ac:dyDescent="0.3">
      <c r="B1196" t="str">
        <f>LEFT(Tabla3890134177220392[[#This Row],[Descripción del equipo]], FIND(" ", Tabla3890134177220392[[#This Row],[Descripción del equipo]] &amp; " ") - 1)</f>
        <v>Arnes</v>
      </c>
      <c r="C1196" s="11" t="s">
        <v>178</v>
      </c>
      <c r="D1196">
        <v>1</v>
      </c>
      <c r="E1196" t="s">
        <v>160</v>
      </c>
      <c r="F1196" s="91" t="s">
        <v>1068</v>
      </c>
      <c r="G1196" s="90" t="str">
        <f>LEFT([1]modificado!$O$2, FIND(" ", [1]modificado!$O$2 &amp; " ") - 1)</f>
        <v>3M</v>
      </c>
      <c r="H1196" s="47" t="str">
        <f>RIGHT([1]!Tabla2[[#This Row],[Marca y Modelo]], LEN([1]!Tabla2[[#This Row],[Marca y Modelo]]) - FIND(" ", [1]!Tabla2[[#This Row],[Marca y Modelo]]))</f>
        <v>1110830</v>
      </c>
      <c r="I1196" s="76"/>
      <c r="J1196" s="76"/>
      <c r="K1196" s="91" t="s">
        <v>4290</v>
      </c>
      <c r="L1196" s="91" t="s">
        <v>3807</v>
      </c>
      <c r="M1196" s="91" t="s">
        <v>1404</v>
      </c>
      <c r="N1196" s="91" t="s">
        <v>1173</v>
      </c>
      <c r="O1196" s="77"/>
      <c r="P1196" s="91" t="s">
        <v>2537</v>
      </c>
      <c r="Q1196" s="32"/>
      <c r="R1196" s="48" t="s">
        <v>216</v>
      </c>
      <c r="S1196" s="32"/>
    </row>
    <row r="1197" spans="2:19" ht="28.8" x14ac:dyDescent="0.3">
      <c r="B1197" t="s">
        <v>4348</v>
      </c>
      <c r="C1197" s="11" t="s">
        <v>178</v>
      </c>
      <c r="D1197">
        <v>1</v>
      </c>
      <c r="E1197" t="s">
        <v>160</v>
      </c>
      <c r="F1197" s="92" t="s">
        <v>1072</v>
      </c>
      <c r="G1197" s="90" t="str">
        <f>LEFT([1]modificado!$O$2, FIND(" ", [1]modificado!$O$2 &amp; " ") - 1)</f>
        <v>3M</v>
      </c>
      <c r="H1197" s="47" t="str">
        <f>RIGHT([1]!Tabla2[[#This Row],[Marca y Modelo]], LEN([1]!Tabla2[[#This Row],[Marca y Modelo]]) - FIND(" ", [1]!Tabla2[[#This Row],[Marca y Modelo]]))</f>
        <v>3210</v>
      </c>
      <c r="I1197" s="76"/>
      <c r="J1197" s="76"/>
      <c r="K1197" s="92" t="s">
        <v>4299</v>
      </c>
      <c r="L1197" s="92" t="s">
        <v>3808</v>
      </c>
      <c r="M1197" s="92" t="s">
        <v>1404</v>
      </c>
      <c r="N1197" s="92" t="s">
        <v>1174</v>
      </c>
      <c r="O1197" s="77"/>
      <c r="P1197" s="92" t="s">
        <v>2537</v>
      </c>
      <c r="Q1197" s="32"/>
      <c r="R1197" s="48" t="s">
        <v>216</v>
      </c>
      <c r="S1197" s="32"/>
    </row>
    <row r="1198" spans="2:19" ht="28.8" x14ac:dyDescent="0.3">
      <c r="B1198" t="s">
        <v>4348</v>
      </c>
      <c r="C1198" s="11" t="s">
        <v>178</v>
      </c>
      <c r="D1198">
        <v>1</v>
      </c>
      <c r="E1198" t="s">
        <v>160</v>
      </c>
      <c r="F1198" s="91" t="s">
        <v>1057</v>
      </c>
      <c r="G1198" s="90" t="str">
        <f>LEFT([1]modificado!$O$2, FIND(" ", [1]modificado!$O$2 &amp; " ") - 1)</f>
        <v>3M</v>
      </c>
      <c r="H1198" s="47" t="str">
        <f>RIGHT([1]!Tabla2[[#This Row],[Marca y Modelo]], LEN([1]!Tabla2[[#This Row],[Marca y Modelo]]) - FIND(" ", [1]!Tabla2[[#This Row],[Marca y Modelo]]))</f>
        <v>Basic Shock Absorbing</v>
      </c>
      <c r="I1198" s="76"/>
      <c r="J1198" s="76"/>
      <c r="K1198" s="91" t="s">
        <v>4297</v>
      </c>
      <c r="L1198" s="91" t="s">
        <v>3809</v>
      </c>
      <c r="M1198" s="91" t="s">
        <v>1404</v>
      </c>
      <c r="N1198" s="91" t="s">
        <v>1175</v>
      </c>
      <c r="O1198" s="77"/>
      <c r="P1198" s="91" t="s">
        <v>2537</v>
      </c>
      <c r="Q1198" s="32"/>
      <c r="R1198" s="48" t="s">
        <v>216</v>
      </c>
      <c r="S1198" s="32"/>
    </row>
    <row r="1199" spans="2:19" ht="28.8" x14ac:dyDescent="0.3">
      <c r="B1199" t="s">
        <v>4349</v>
      </c>
      <c r="C1199" s="11" t="s">
        <v>178</v>
      </c>
      <c r="D1199">
        <v>1</v>
      </c>
      <c r="E1199" t="s">
        <v>160</v>
      </c>
      <c r="F1199" s="92" t="s">
        <v>1059</v>
      </c>
      <c r="G1199" s="90" t="str">
        <f>LEFT([1]modificado!$O$2, FIND(" ", [1]modificado!$O$2 &amp; " ") - 1)</f>
        <v>3M</v>
      </c>
      <c r="H1199" s="47" t="str">
        <f>RIGHT([1]!Tabla2[[#This Row],[Marca y Modelo]], LEN([1]!Tabla2[[#This Row],[Marca y Modelo]]) - FIND(" ", [1]!Tabla2[[#This Row],[Marca y Modelo]]))</f>
        <v>1003006</v>
      </c>
      <c r="I1199" s="76"/>
      <c r="J1199" s="76"/>
      <c r="K1199" s="92" t="s">
        <v>4300</v>
      </c>
      <c r="L1199" s="92" t="s">
        <v>3810</v>
      </c>
      <c r="M1199" s="92" t="s">
        <v>1404</v>
      </c>
      <c r="N1199" s="92" t="s">
        <v>1176</v>
      </c>
      <c r="O1199" s="77"/>
      <c r="P1199" s="92" t="s">
        <v>2537</v>
      </c>
      <c r="Q1199" s="32"/>
      <c r="R1199" s="48" t="s">
        <v>216</v>
      </c>
      <c r="S1199" s="32"/>
    </row>
    <row r="1200" spans="2:19" ht="28.8" x14ac:dyDescent="0.3">
      <c r="B1200" t="str">
        <f>LEFT(Tabla3890134177220392[[#This Row],[Descripción del equipo]], FIND(" ", Tabla3890134177220392[[#This Row],[Descripción del equipo]] &amp; " ") - 1)</f>
        <v>Autoretractil</v>
      </c>
      <c r="C1200" s="11" t="s">
        <v>178</v>
      </c>
      <c r="D1200">
        <v>1</v>
      </c>
      <c r="E1200" t="s">
        <v>160</v>
      </c>
      <c r="F1200" s="91" t="s">
        <v>1058</v>
      </c>
      <c r="G1200" s="90" t="str">
        <f>LEFT([1]modificado!$O$2, FIND(" ", [1]modificado!$O$2 &amp; " ") - 1)</f>
        <v>3M</v>
      </c>
      <c r="H1200" s="47" t="str">
        <f>RIGHT([1]!Tabla2[[#This Row],[Marca y Modelo]], LEN([1]!Tabla2[[#This Row],[Marca y Modelo]]) - FIND(" ", [1]!Tabla2[[#This Row],[Marca y Modelo]]))</f>
        <v>3100414</v>
      </c>
      <c r="I1200" s="76"/>
      <c r="J1200" s="76"/>
      <c r="K1200" s="91" t="s">
        <v>4301</v>
      </c>
      <c r="L1200" s="91" t="s">
        <v>3811</v>
      </c>
      <c r="M1200" s="91" t="s">
        <v>1404</v>
      </c>
      <c r="N1200" s="91" t="s">
        <v>1177</v>
      </c>
      <c r="O1200" s="77"/>
      <c r="P1200" s="91" t="s">
        <v>2537</v>
      </c>
      <c r="Q1200" s="32"/>
      <c r="R1200" s="48" t="s">
        <v>216</v>
      </c>
      <c r="S1200" s="32"/>
    </row>
    <row r="1201" spans="2:19" ht="28.8" x14ac:dyDescent="0.3">
      <c r="B1201" t="str">
        <f>LEFT(Tabla3890134177220392[[#This Row],[Descripción del equipo]], FIND(" ", Tabla3890134177220392[[#This Row],[Descripción del equipo]] &amp; " ") - 1)</f>
        <v>Autoretractil</v>
      </c>
      <c r="C1201" s="11" t="s">
        <v>178</v>
      </c>
      <c r="D1201">
        <v>1</v>
      </c>
      <c r="E1201" t="s">
        <v>160</v>
      </c>
      <c r="F1201" s="92" t="s">
        <v>1058</v>
      </c>
      <c r="G1201" s="90" t="str">
        <f>LEFT([1]modificado!$O$2, FIND(" ", [1]modificado!$O$2 &amp; " ") - 1)</f>
        <v>3M</v>
      </c>
      <c r="H1201" s="47" t="str">
        <f>RIGHT([1]!Tabla2[[#This Row],[Marca y Modelo]], LEN([1]!Tabla2[[#This Row],[Marca y Modelo]]) - FIND(" ", [1]!Tabla2[[#This Row],[Marca y Modelo]]))</f>
        <v>3100414</v>
      </c>
      <c r="I1201" s="76"/>
      <c r="J1201" s="76"/>
      <c r="K1201" s="92" t="s">
        <v>4301</v>
      </c>
      <c r="L1201" s="92" t="s">
        <v>3812</v>
      </c>
      <c r="M1201" s="92" t="s">
        <v>1404</v>
      </c>
      <c r="N1201" s="92" t="s">
        <v>1178</v>
      </c>
      <c r="O1201" s="77"/>
      <c r="P1201" s="92" t="s">
        <v>2537</v>
      </c>
      <c r="Q1201" s="32"/>
      <c r="R1201" s="48" t="s">
        <v>216</v>
      </c>
      <c r="S1201" s="32"/>
    </row>
    <row r="1202" spans="2:19" ht="28.8" x14ac:dyDescent="0.3">
      <c r="B1202" t="str">
        <f>LEFT(Tabla3890134177220392[[#This Row],[Descripción del equipo]], FIND(" ", Tabla3890134177220392[[#This Row],[Descripción del equipo]] &amp; " ") - 1)</f>
        <v>Arnes</v>
      </c>
      <c r="C1202" s="11" t="s">
        <v>178</v>
      </c>
      <c r="D1202">
        <v>1</v>
      </c>
      <c r="E1202" t="s">
        <v>160</v>
      </c>
      <c r="F1202" s="91" t="s">
        <v>1068</v>
      </c>
      <c r="G1202" s="90" t="str">
        <f>LEFT([1]modificado!$O$2, FIND(" ", [1]modificado!$O$2 &amp; " ") - 1)</f>
        <v>3M</v>
      </c>
      <c r="H1202" s="47" t="str">
        <f>RIGHT([1]!Tabla2[[#This Row],[Marca y Modelo]], LEN([1]!Tabla2[[#This Row],[Marca y Modelo]]) - FIND(" ", [1]!Tabla2[[#This Row],[Marca y Modelo]]))</f>
        <v>1110830</v>
      </c>
      <c r="I1202" s="76"/>
      <c r="J1202" s="76"/>
      <c r="K1202" s="91" t="s">
        <v>4290</v>
      </c>
      <c r="L1202" s="91" t="s">
        <v>3813</v>
      </c>
      <c r="M1202" s="91" t="s">
        <v>1404</v>
      </c>
      <c r="N1202" s="91" t="s">
        <v>1179</v>
      </c>
      <c r="O1202" s="77"/>
      <c r="P1202" s="91" t="s">
        <v>2537</v>
      </c>
      <c r="Q1202" s="32"/>
      <c r="R1202" s="48" t="s">
        <v>216</v>
      </c>
      <c r="S1202" s="32"/>
    </row>
    <row r="1203" spans="2:19" ht="28.8" x14ac:dyDescent="0.3">
      <c r="B1203" t="s">
        <v>4348</v>
      </c>
      <c r="C1203" s="11" t="s">
        <v>178</v>
      </c>
      <c r="D1203">
        <v>1</v>
      </c>
      <c r="E1203" t="s">
        <v>160</v>
      </c>
      <c r="F1203" s="92" t="s">
        <v>1072</v>
      </c>
      <c r="G1203" s="90" t="str">
        <f>LEFT([1]modificado!$O$2, FIND(" ", [1]modificado!$O$2 &amp; " ") - 1)</f>
        <v>3M</v>
      </c>
      <c r="H1203" s="47" t="str">
        <f>RIGHT([1]!Tabla2[[#This Row],[Marca y Modelo]], LEN([1]!Tabla2[[#This Row],[Marca y Modelo]]) - FIND(" ", [1]!Tabla2[[#This Row],[Marca y Modelo]]))</f>
        <v>3210</v>
      </c>
      <c r="I1203" s="76"/>
      <c r="J1203" s="76"/>
      <c r="K1203" s="92" t="s">
        <v>4299</v>
      </c>
      <c r="L1203" s="92" t="s">
        <v>3814</v>
      </c>
      <c r="M1203" s="92" t="s">
        <v>1404</v>
      </c>
      <c r="N1203" s="92" t="s">
        <v>1180</v>
      </c>
      <c r="O1203" s="77"/>
      <c r="P1203" s="92" t="s">
        <v>2537</v>
      </c>
      <c r="Q1203" s="32"/>
      <c r="R1203" s="48" t="s">
        <v>216</v>
      </c>
      <c r="S1203" s="32"/>
    </row>
    <row r="1204" spans="2:19" ht="28.8" x14ac:dyDescent="0.3">
      <c r="B1204" t="s">
        <v>4348</v>
      </c>
      <c r="C1204" s="11" t="s">
        <v>178</v>
      </c>
      <c r="D1204">
        <v>1</v>
      </c>
      <c r="E1204" t="s">
        <v>160</v>
      </c>
      <c r="F1204" s="91" t="s">
        <v>1070</v>
      </c>
      <c r="G1204" s="90" t="str">
        <f>LEFT([1]modificado!$O$2, FIND(" ", [1]modificado!$O$2 &amp; " ") - 1)</f>
        <v>3M</v>
      </c>
      <c r="H1204" s="47" t="str">
        <f>RIGHT([1]!Tabla2[[#This Row],[Marca y Modelo]], LEN([1]!Tabla2[[#This Row],[Marca y Modelo]]) - FIND(" ", [1]!Tabla2[[#This Row],[Marca y Modelo]]))</f>
        <v>1340161MX</v>
      </c>
      <c r="I1204" s="76"/>
      <c r="J1204" s="76"/>
      <c r="K1204" s="91" t="s">
        <v>4297</v>
      </c>
      <c r="L1204" s="91" t="s">
        <v>3815</v>
      </c>
      <c r="M1204" s="91" t="s">
        <v>1404</v>
      </c>
      <c r="N1204" s="91" t="s">
        <v>1181</v>
      </c>
      <c r="O1204" s="77"/>
      <c r="P1204" s="91" t="s">
        <v>2537</v>
      </c>
      <c r="Q1204" s="32"/>
      <c r="R1204" s="48" t="s">
        <v>216</v>
      </c>
      <c r="S1204" s="32"/>
    </row>
    <row r="1205" spans="2:19" ht="28.8" x14ac:dyDescent="0.3">
      <c r="B1205" t="s">
        <v>4349</v>
      </c>
      <c r="C1205" s="11" t="s">
        <v>178</v>
      </c>
      <c r="D1205">
        <v>1</v>
      </c>
      <c r="E1205" t="s">
        <v>160</v>
      </c>
      <c r="F1205" s="92" t="s">
        <v>1059</v>
      </c>
      <c r="G1205" s="90" t="str">
        <f>LEFT([1]modificado!$O$2, FIND(" ", [1]modificado!$O$2 &amp; " ") - 1)</f>
        <v>3M</v>
      </c>
      <c r="H1205" s="47" t="str">
        <f>RIGHT([1]!Tabla2[[#This Row],[Marca y Modelo]], LEN([1]!Tabla2[[#This Row],[Marca y Modelo]]) - FIND(" ", [1]!Tabla2[[#This Row],[Marca y Modelo]]))</f>
        <v>4550-U</v>
      </c>
      <c r="I1205" s="76"/>
      <c r="J1205" s="76"/>
      <c r="K1205" s="92" t="s">
        <v>4300</v>
      </c>
      <c r="L1205" s="92" t="s">
        <v>3816</v>
      </c>
      <c r="M1205" s="92" t="s">
        <v>1404</v>
      </c>
      <c r="N1205" s="92" t="s">
        <v>1182</v>
      </c>
      <c r="O1205" s="77"/>
      <c r="P1205" s="92" t="s">
        <v>2537</v>
      </c>
      <c r="Q1205" s="32"/>
      <c r="R1205" s="48" t="s">
        <v>216</v>
      </c>
      <c r="S1205" s="32"/>
    </row>
    <row r="1206" spans="2:19" ht="28.8" x14ac:dyDescent="0.3">
      <c r="B1206" t="str">
        <f>LEFT(Tabla3890134177220392[[#This Row],[Descripción del equipo]], FIND(" ", Tabla3890134177220392[[#This Row],[Descripción del equipo]] &amp; " ") - 1)</f>
        <v>Autoretractil</v>
      </c>
      <c r="C1206" s="11" t="s">
        <v>178</v>
      </c>
      <c r="D1206">
        <v>1</v>
      </c>
      <c r="E1206" t="s">
        <v>160</v>
      </c>
      <c r="F1206" s="91" t="s">
        <v>1058</v>
      </c>
      <c r="G1206" s="90" t="str">
        <f>LEFT([1]modificado!$O$2, FIND(" ", [1]modificado!$O$2 &amp; " ") - 1)</f>
        <v>3M</v>
      </c>
      <c r="H1206" s="47" t="str">
        <f>RIGHT([1]!Tabla2[[#This Row],[Marca y Modelo]], LEN([1]!Tabla2[[#This Row],[Marca y Modelo]]) - FIND(" ", [1]!Tabla2[[#This Row],[Marca y Modelo]]))</f>
        <v>3100425</v>
      </c>
      <c r="I1206" s="76"/>
      <c r="J1206" s="76"/>
      <c r="K1206" s="91" t="s">
        <v>4301</v>
      </c>
      <c r="L1206" s="91" t="s">
        <v>3817</v>
      </c>
      <c r="M1206" s="91" t="s">
        <v>1404</v>
      </c>
      <c r="N1206" s="91" t="s">
        <v>1183</v>
      </c>
      <c r="O1206" s="77"/>
      <c r="P1206" s="91" t="s">
        <v>2537</v>
      </c>
      <c r="Q1206" s="32"/>
      <c r="R1206" s="48" t="s">
        <v>216</v>
      </c>
      <c r="S1206" s="32"/>
    </row>
    <row r="1207" spans="2:19" ht="28.8" x14ac:dyDescent="0.3">
      <c r="B1207" t="str">
        <f>LEFT(Tabla3890134177220392[[#This Row],[Descripción del equipo]], FIND(" ", Tabla3890134177220392[[#This Row],[Descripción del equipo]] &amp; " ") - 1)</f>
        <v>Arnes</v>
      </c>
      <c r="C1207" s="11" t="s">
        <v>178</v>
      </c>
      <c r="D1207">
        <v>1</v>
      </c>
      <c r="E1207" t="s">
        <v>160</v>
      </c>
      <c r="F1207" s="92" t="s">
        <v>1068</v>
      </c>
      <c r="G1207" s="90" t="str">
        <f>LEFT([1]modificado!$O$2, FIND(" ", [1]modificado!$O$2 &amp; " ") - 1)</f>
        <v>3M</v>
      </c>
      <c r="H1207" s="47" t="str">
        <f>RIGHT([1]!Tabla2[[#This Row],[Marca y Modelo]], LEN([1]!Tabla2[[#This Row],[Marca y Modelo]]) - FIND(" ", [1]!Tabla2[[#This Row],[Marca y Modelo]]))</f>
        <v>1021-LOGO</v>
      </c>
      <c r="I1207" s="76"/>
      <c r="J1207" s="76"/>
      <c r="K1207" s="92" t="s">
        <v>4290</v>
      </c>
      <c r="L1207" s="92" t="s">
        <v>3818</v>
      </c>
      <c r="M1207" s="92" t="s">
        <v>1404</v>
      </c>
      <c r="N1207" s="92" t="s">
        <v>1184</v>
      </c>
      <c r="O1207" s="77"/>
      <c r="P1207" s="92" t="s">
        <v>2537</v>
      </c>
      <c r="Q1207" s="32"/>
      <c r="R1207" s="48" t="s">
        <v>216</v>
      </c>
      <c r="S1207" s="32"/>
    </row>
    <row r="1208" spans="2:19" ht="28.8" x14ac:dyDescent="0.3">
      <c r="B1208" t="str">
        <f>LEFT(Tabla3890134177220392[[#This Row],[Descripción del equipo]], FIND(" ", Tabla3890134177220392[[#This Row],[Descripción del equipo]] &amp; " ") - 1)</f>
        <v>Arnes</v>
      </c>
      <c r="C1208" s="11" t="s">
        <v>178</v>
      </c>
      <c r="D1208">
        <v>1</v>
      </c>
      <c r="E1208" t="s">
        <v>160</v>
      </c>
      <c r="F1208" s="91" t="s">
        <v>1056</v>
      </c>
      <c r="G1208" s="90" t="str">
        <f>LEFT([1]modificado!$O$2, FIND(" ", [1]modificado!$O$2 &amp; " ") - 1)</f>
        <v>3M</v>
      </c>
      <c r="H1208" s="47"/>
      <c r="I1208" s="76"/>
      <c r="J1208" s="76"/>
      <c r="K1208" s="91" t="s">
        <v>4290</v>
      </c>
      <c r="L1208" s="91" t="s">
        <v>3819</v>
      </c>
      <c r="M1208" s="91" t="s">
        <v>1406</v>
      </c>
      <c r="N1208" s="91" t="s">
        <v>1185</v>
      </c>
      <c r="O1208" s="77"/>
      <c r="P1208" s="91" t="s">
        <v>2537</v>
      </c>
      <c r="Q1208" s="32"/>
      <c r="R1208" s="48" t="s">
        <v>216</v>
      </c>
      <c r="S1208" s="32"/>
    </row>
    <row r="1209" spans="2:19" ht="28.8" x14ac:dyDescent="0.3">
      <c r="B1209" t="s">
        <v>4348</v>
      </c>
      <c r="C1209" s="11" t="s">
        <v>178</v>
      </c>
      <c r="D1209">
        <v>1</v>
      </c>
      <c r="E1209" t="s">
        <v>160</v>
      </c>
      <c r="F1209" s="92" t="s">
        <v>1061</v>
      </c>
      <c r="G1209" s="90" t="str">
        <f>LEFT([1]modificado!$O$2, FIND(" ", [1]modificado!$O$2 &amp; " ") - 1)</f>
        <v>3M</v>
      </c>
      <c r="H1209" s="47" t="str">
        <f>RIGHT([1]!Tabla2[[#This Row],[Marca y Modelo]], LEN([1]!Tabla2[[#This Row],[Marca y Modelo]]) - FIND(" ", [1]!Tabla2[[#This Row],[Marca y Modelo]]))</f>
        <v>3260</v>
      </c>
      <c r="I1209" s="76"/>
      <c r="J1209" s="76"/>
      <c r="K1209" s="92" t="s">
        <v>4298</v>
      </c>
      <c r="L1209" s="92" t="s">
        <v>3820</v>
      </c>
      <c r="M1209" s="92" t="s">
        <v>1404</v>
      </c>
      <c r="N1209" s="92" t="s">
        <v>1186</v>
      </c>
      <c r="O1209" s="77"/>
      <c r="P1209" s="92" t="s">
        <v>2537</v>
      </c>
      <c r="Q1209" s="32"/>
      <c r="R1209" s="48" t="s">
        <v>216</v>
      </c>
      <c r="S1209" s="32"/>
    </row>
    <row r="1210" spans="2:19" ht="28.8" x14ac:dyDescent="0.3">
      <c r="B1210" t="s">
        <v>4348</v>
      </c>
      <c r="C1210" s="11" t="s">
        <v>178</v>
      </c>
      <c r="D1210">
        <v>1</v>
      </c>
      <c r="E1210" t="s">
        <v>160</v>
      </c>
      <c r="F1210" s="91" t="s">
        <v>1061</v>
      </c>
      <c r="G1210" s="90" t="str">
        <f>LEFT([1]modificado!$O$2, FIND(" ", [1]modificado!$O$2 &amp; " ") - 1)</f>
        <v>3M</v>
      </c>
      <c r="H1210" s="47" t="str">
        <f>RIGHT([1]!Tabla2[[#This Row],[Marca y Modelo]], LEN([1]!Tabla2[[#This Row],[Marca y Modelo]]) - FIND(" ", [1]!Tabla2[[#This Row],[Marca y Modelo]]))</f>
        <v>602AC</v>
      </c>
      <c r="I1210" s="76"/>
      <c r="J1210" s="76"/>
      <c r="K1210" s="91" t="s">
        <v>4298</v>
      </c>
      <c r="L1210" s="91" t="s">
        <v>3821</v>
      </c>
      <c r="M1210" s="91" t="s">
        <v>1404</v>
      </c>
      <c r="N1210" s="91" t="s">
        <v>1187</v>
      </c>
      <c r="O1210" s="77"/>
      <c r="P1210" s="91" t="s">
        <v>2537</v>
      </c>
      <c r="Q1210" s="32"/>
      <c r="R1210" s="48" t="s">
        <v>216</v>
      </c>
      <c r="S1210" s="32"/>
    </row>
    <row r="1211" spans="2:19" ht="28.8" x14ac:dyDescent="0.3">
      <c r="B1211" t="s">
        <v>4348</v>
      </c>
      <c r="C1211" s="11" t="s">
        <v>178</v>
      </c>
      <c r="D1211">
        <v>1</v>
      </c>
      <c r="E1211" t="s">
        <v>160</v>
      </c>
      <c r="F1211" s="92" t="s">
        <v>1057</v>
      </c>
      <c r="G1211" s="90" t="str">
        <f>LEFT([1]modificado!$O$2, FIND(" ", [1]modificado!$O$2 &amp; " ") - 1)</f>
        <v>3M</v>
      </c>
      <c r="H1211" s="47"/>
      <c r="I1211" s="76"/>
      <c r="J1211" s="76"/>
      <c r="K1211" s="92" t="s">
        <v>4297</v>
      </c>
      <c r="L1211" s="92" t="s">
        <v>3822</v>
      </c>
      <c r="M1211" s="92" t="s">
        <v>1406</v>
      </c>
      <c r="N1211" s="92" t="s">
        <v>1188</v>
      </c>
      <c r="O1211" s="77"/>
      <c r="P1211" s="92" t="s">
        <v>2537</v>
      </c>
      <c r="Q1211" s="32"/>
      <c r="R1211" s="48" t="s">
        <v>216</v>
      </c>
      <c r="S1211" s="32"/>
    </row>
    <row r="1212" spans="2:19" ht="28.8" x14ac:dyDescent="0.3">
      <c r="B1212" t="s">
        <v>4348</v>
      </c>
      <c r="C1212" s="11" t="s">
        <v>178</v>
      </c>
      <c r="D1212">
        <v>1</v>
      </c>
      <c r="E1212" t="s">
        <v>160</v>
      </c>
      <c r="F1212" s="91" t="s">
        <v>1069</v>
      </c>
      <c r="G1212" s="90" t="str">
        <f>LEFT([1]modificado!$O$2, FIND(" ", [1]modificado!$O$2 &amp; " ") - 1)</f>
        <v>3M</v>
      </c>
      <c r="H1212" s="47"/>
      <c r="I1212" s="76"/>
      <c r="J1212" s="76"/>
      <c r="K1212" s="91" t="s">
        <v>4297</v>
      </c>
      <c r="L1212" s="91" t="s">
        <v>3823</v>
      </c>
      <c r="M1212" s="91" t="s">
        <v>1404</v>
      </c>
      <c r="N1212" s="91" t="s">
        <v>1189</v>
      </c>
      <c r="O1212" s="77"/>
      <c r="P1212" s="91" t="s">
        <v>2537</v>
      </c>
      <c r="Q1212" s="32"/>
      <c r="R1212" s="48" t="s">
        <v>216</v>
      </c>
      <c r="S1212" s="32"/>
    </row>
    <row r="1213" spans="2:19" ht="28.8" x14ac:dyDescent="0.3">
      <c r="B1213" t="s">
        <v>4349</v>
      </c>
      <c r="C1213" s="11" t="s">
        <v>178</v>
      </c>
      <c r="D1213">
        <v>1</v>
      </c>
      <c r="E1213" t="s">
        <v>160</v>
      </c>
      <c r="F1213" s="92" t="s">
        <v>1059</v>
      </c>
      <c r="G1213" s="90" t="str">
        <f>LEFT([1]modificado!$O$2, FIND(" ", [1]modificado!$O$2 &amp; " ") - 1)</f>
        <v>3M</v>
      </c>
      <c r="H1213" s="47" t="str">
        <f>RIGHT([1]!Tabla2[[#This Row],[Marca y Modelo]], LEN([1]!Tabla2[[#This Row],[Marca y Modelo]]) - FIND(" ", [1]!Tabla2[[#This Row],[Marca y Modelo]]))</f>
        <v>4550-U</v>
      </c>
      <c r="I1213" s="76"/>
      <c r="J1213" s="76"/>
      <c r="K1213" s="92" t="s">
        <v>4300</v>
      </c>
      <c r="L1213" s="92" t="s">
        <v>3824</v>
      </c>
      <c r="M1213" s="92" t="s">
        <v>1404</v>
      </c>
      <c r="N1213" s="92" t="s">
        <v>1190</v>
      </c>
      <c r="O1213" s="77"/>
      <c r="P1213" s="92" t="s">
        <v>2537</v>
      </c>
      <c r="Q1213" s="32"/>
      <c r="R1213" s="48" t="s">
        <v>216</v>
      </c>
      <c r="S1213" s="32"/>
    </row>
    <row r="1214" spans="2:19" ht="28.8" x14ac:dyDescent="0.3">
      <c r="B1214" t="s">
        <v>4349</v>
      </c>
      <c r="C1214" s="11" t="s">
        <v>178</v>
      </c>
      <c r="D1214">
        <v>1</v>
      </c>
      <c r="E1214" t="s">
        <v>160</v>
      </c>
      <c r="F1214" s="91" t="s">
        <v>1059</v>
      </c>
      <c r="G1214" s="90" t="str">
        <f>LEFT([1]modificado!$O$2, FIND(" ", [1]modificado!$O$2 &amp; " ") - 1)</f>
        <v>3M</v>
      </c>
      <c r="H1214" s="47" t="str">
        <f>RIGHT([1]!Tabla2[[#This Row],[Marca y Modelo]], LEN([1]!Tabla2[[#This Row],[Marca y Modelo]]) - FIND(" ", [1]!Tabla2[[#This Row],[Marca y Modelo]]))</f>
        <v>1003006</v>
      </c>
      <c r="I1214" s="76"/>
      <c r="J1214" s="76"/>
      <c r="K1214" s="91" t="s">
        <v>4300</v>
      </c>
      <c r="L1214" s="91" t="s">
        <v>3825</v>
      </c>
      <c r="M1214" s="91" t="s">
        <v>1404</v>
      </c>
      <c r="N1214" s="91" t="s">
        <v>1191</v>
      </c>
      <c r="O1214" s="77"/>
      <c r="P1214" s="91" t="s">
        <v>2537</v>
      </c>
      <c r="Q1214" s="32"/>
      <c r="R1214" s="48" t="s">
        <v>216</v>
      </c>
      <c r="S1214" s="32"/>
    </row>
    <row r="1215" spans="2:19" ht="28.8" x14ac:dyDescent="0.3">
      <c r="B1215" t="s">
        <v>4348</v>
      </c>
      <c r="C1215" s="11" t="s">
        <v>178</v>
      </c>
      <c r="D1215">
        <v>1</v>
      </c>
      <c r="E1215" t="s">
        <v>160</v>
      </c>
      <c r="F1215" s="92" t="s">
        <v>1076</v>
      </c>
      <c r="G1215" s="90" t="str">
        <f>LEFT([1]modificado!$O$2, FIND(" ", [1]modificado!$O$2 &amp; " ") - 1)</f>
        <v>3M</v>
      </c>
      <c r="H1215" s="47" t="str">
        <f>RIGHT([1]!Tabla2[[#This Row],[Marca y Modelo]], LEN([1]!Tabla2[[#This Row],[Marca y Modelo]]) - FIND(" ", [1]!Tabla2[[#This Row],[Marca y Modelo]]))</f>
        <v>4712-6</v>
      </c>
      <c r="I1215" s="76"/>
      <c r="J1215" s="76"/>
      <c r="K1215" s="92" t="s">
        <v>4302</v>
      </c>
      <c r="L1215" s="92" t="s">
        <v>3826</v>
      </c>
      <c r="M1215" s="92" t="s">
        <v>1404</v>
      </c>
      <c r="N1215" s="92" t="s">
        <v>1192</v>
      </c>
      <c r="O1215" s="77"/>
      <c r="P1215" s="92" t="s">
        <v>2537</v>
      </c>
      <c r="Q1215" s="32"/>
      <c r="R1215" s="48" t="s">
        <v>216</v>
      </c>
      <c r="S1215" s="32"/>
    </row>
    <row r="1216" spans="2:19" ht="28.8" x14ac:dyDescent="0.3">
      <c r="B1216" t="s">
        <v>4348</v>
      </c>
      <c r="C1216" s="11" t="s">
        <v>178</v>
      </c>
      <c r="D1216">
        <v>1</v>
      </c>
      <c r="E1216" t="s">
        <v>160</v>
      </c>
      <c r="F1216" s="91" t="s">
        <v>1076</v>
      </c>
      <c r="G1216" s="90" t="str">
        <f>LEFT([1]modificado!$O$2, FIND(" ", [1]modificado!$O$2 &amp; " ") - 1)</f>
        <v>3M</v>
      </c>
      <c r="H1216" s="47" t="str">
        <f>RIGHT([1]!Tabla2[[#This Row],[Marca y Modelo]], LEN([1]!Tabla2[[#This Row],[Marca y Modelo]]) - FIND(" ", [1]!Tabla2[[#This Row],[Marca y Modelo]]))</f>
        <v>4712-6</v>
      </c>
      <c r="I1216" s="76"/>
      <c r="J1216" s="76"/>
      <c r="K1216" s="91" t="s">
        <v>4302</v>
      </c>
      <c r="L1216" s="91" t="s">
        <v>3827</v>
      </c>
      <c r="M1216" s="91" t="s">
        <v>1404</v>
      </c>
      <c r="N1216" s="91" t="s">
        <v>1193</v>
      </c>
      <c r="O1216" s="77"/>
      <c r="P1216" s="91" t="s">
        <v>2537</v>
      </c>
      <c r="Q1216" s="32"/>
      <c r="R1216" s="48" t="s">
        <v>216</v>
      </c>
      <c r="S1216" s="32"/>
    </row>
    <row r="1217" spans="2:19" ht="28.8" x14ac:dyDescent="0.3">
      <c r="B1217" t="str">
        <f>LEFT(Tabla3890134177220392[[#This Row],[Descripción del equipo]], FIND(" ", Tabla3890134177220392[[#This Row],[Descripción del equipo]] &amp; " ") - 1)</f>
        <v>Arnes</v>
      </c>
      <c r="C1217" s="11" t="s">
        <v>178</v>
      </c>
      <c r="D1217">
        <v>1</v>
      </c>
      <c r="E1217" t="s">
        <v>160</v>
      </c>
      <c r="F1217" s="92" t="s">
        <v>1068</v>
      </c>
      <c r="G1217" s="90" t="str">
        <f>LEFT([1]modificado!$O$2, FIND(" ", [1]modificado!$O$2 &amp; " ") - 1)</f>
        <v>3M</v>
      </c>
      <c r="H1217" s="47" t="str">
        <f>RIGHT([1]!Tabla2[[#This Row],[Marca y Modelo]], LEN([1]!Tabla2[[#This Row],[Marca y Modelo]]) - FIND(" ", [1]!Tabla2[[#This Row],[Marca y Modelo]]))</f>
        <v>1191381</v>
      </c>
      <c r="I1217" s="76"/>
      <c r="J1217" s="76"/>
      <c r="K1217" s="92" t="s">
        <v>4303</v>
      </c>
      <c r="L1217" s="92" t="s">
        <v>3828</v>
      </c>
      <c r="M1217" s="92" t="s">
        <v>1404</v>
      </c>
      <c r="N1217" s="92" t="s">
        <v>1194</v>
      </c>
      <c r="O1217" s="77"/>
      <c r="P1217" s="92" t="s">
        <v>2537</v>
      </c>
      <c r="Q1217" s="32"/>
      <c r="R1217" s="48" t="s">
        <v>216</v>
      </c>
      <c r="S1217" s="32"/>
    </row>
    <row r="1218" spans="2:19" ht="28.8" x14ac:dyDescent="0.3">
      <c r="B1218" t="s">
        <v>4348</v>
      </c>
      <c r="C1218" s="11" t="s">
        <v>178</v>
      </c>
      <c r="D1218">
        <v>1</v>
      </c>
      <c r="E1218" t="s">
        <v>160</v>
      </c>
      <c r="F1218" s="91" t="s">
        <v>1077</v>
      </c>
      <c r="G1218" s="90" t="str">
        <f>LEFT([1]modificado!$O$2, FIND(" ", [1]modificado!$O$2 &amp; " ") - 1)</f>
        <v>3M</v>
      </c>
      <c r="H1218" s="47" t="str">
        <f>RIGHT([1]!Tabla2[[#This Row],[Marca y Modelo]], LEN([1]!Tabla2[[#This Row],[Marca y Modelo]]) - FIND(" ", [1]!Tabla2[[#This Row],[Marca y Modelo]]))</f>
        <v>10X14</v>
      </c>
      <c r="I1218" s="76"/>
      <c r="J1218" s="76"/>
      <c r="K1218" s="91" t="s">
        <v>4304</v>
      </c>
      <c r="L1218" s="91" t="s">
        <v>3829</v>
      </c>
      <c r="M1218" s="91" t="s">
        <v>1404</v>
      </c>
      <c r="N1218" s="91" t="s">
        <v>1195</v>
      </c>
      <c r="O1218" s="77"/>
      <c r="P1218" s="91" t="s">
        <v>2537</v>
      </c>
      <c r="Q1218" s="32"/>
      <c r="R1218" s="48" t="s">
        <v>216</v>
      </c>
      <c r="S1218" s="32"/>
    </row>
    <row r="1219" spans="2:19" ht="28.8" x14ac:dyDescent="0.3">
      <c r="B1219" t="s">
        <v>4348</v>
      </c>
      <c r="C1219" s="11" t="s">
        <v>178</v>
      </c>
      <c r="D1219">
        <v>1</v>
      </c>
      <c r="E1219" t="s">
        <v>160</v>
      </c>
      <c r="F1219" s="92" t="s">
        <v>1070</v>
      </c>
      <c r="G1219" s="90" t="str">
        <f>LEFT([1]modificado!$O$2, FIND(" ", [1]modificado!$O$2 &amp; " ") - 1)</f>
        <v>3M</v>
      </c>
      <c r="H1219" s="47" t="str">
        <f>RIGHT([1]!Tabla2[[#This Row],[Marca y Modelo]], LEN([1]!Tabla2[[#This Row],[Marca y Modelo]]) - FIND(" ", [1]!Tabla2[[#This Row],[Marca y Modelo]]))</f>
        <v>1340161MX</v>
      </c>
      <c r="I1219" s="76"/>
      <c r="J1219" s="76"/>
      <c r="K1219" s="92" t="s">
        <v>4302</v>
      </c>
      <c r="L1219" s="92" t="s">
        <v>3830</v>
      </c>
      <c r="M1219" s="92" t="s">
        <v>1404</v>
      </c>
      <c r="N1219" s="92" t="s">
        <v>1196</v>
      </c>
      <c r="O1219" s="77"/>
      <c r="P1219" s="92" t="s">
        <v>2537</v>
      </c>
      <c r="Q1219" s="32"/>
      <c r="R1219" s="48" t="s">
        <v>216</v>
      </c>
      <c r="S1219" s="32"/>
    </row>
    <row r="1220" spans="2:19" ht="28.8" x14ac:dyDescent="0.3">
      <c r="B1220" t="s">
        <v>4349</v>
      </c>
      <c r="C1220" s="11" t="s">
        <v>178</v>
      </c>
      <c r="D1220">
        <v>1</v>
      </c>
      <c r="E1220" t="s">
        <v>160</v>
      </c>
      <c r="F1220" s="91" t="s">
        <v>1059</v>
      </c>
      <c r="G1220" s="90" t="str">
        <f>LEFT([1]modificado!$O$2, FIND(" ", [1]modificado!$O$2 &amp; " ") - 1)</f>
        <v>3M</v>
      </c>
      <c r="H1220" s="47" t="str">
        <f>RIGHT([1]!Tabla2[[#This Row],[Marca y Modelo]], LEN([1]!Tabla2[[#This Row],[Marca y Modelo]]) - FIND(" ", [1]!Tabla2[[#This Row],[Marca y Modelo]]))</f>
        <v>10030007</v>
      </c>
      <c r="I1220" s="76"/>
      <c r="J1220" s="76"/>
      <c r="K1220" s="91" t="s">
        <v>4305</v>
      </c>
      <c r="L1220" s="91" t="s">
        <v>3831</v>
      </c>
      <c r="M1220" s="91" t="s">
        <v>1404</v>
      </c>
      <c r="N1220" s="91" t="s">
        <v>1197</v>
      </c>
      <c r="O1220" s="77"/>
      <c r="P1220" s="91" t="s">
        <v>2537</v>
      </c>
      <c r="Q1220" s="32"/>
      <c r="R1220" s="48" t="s">
        <v>216</v>
      </c>
      <c r="S1220" s="32"/>
    </row>
    <row r="1221" spans="2:19" ht="28.8" x14ac:dyDescent="0.3">
      <c r="B1221" t="s">
        <v>4349</v>
      </c>
      <c r="C1221" s="11" t="s">
        <v>178</v>
      </c>
      <c r="D1221">
        <v>1</v>
      </c>
      <c r="E1221" t="s">
        <v>160</v>
      </c>
      <c r="F1221" s="92" t="s">
        <v>1059</v>
      </c>
      <c r="G1221" s="90" t="str">
        <f>LEFT([1]modificado!$O$2, FIND(" ", [1]modificado!$O$2 &amp; " ") - 1)</f>
        <v>3M</v>
      </c>
      <c r="H1221" s="47" t="str">
        <f>RIGHT([1]!Tabla2[[#This Row],[Marca y Modelo]], LEN([1]!Tabla2[[#This Row],[Marca y Modelo]]) - FIND(" ", [1]!Tabla2[[#This Row],[Marca y Modelo]]))</f>
        <v>10020073</v>
      </c>
      <c r="I1221" s="76"/>
      <c r="J1221" s="76"/>
      <c r="K1221" s="92" t="s">
        <v>4305</v>
      </c>
      <c r="L1221" s="92" t="s">
        <v>3832</v>
      </c>
      <c r="M1221" s="92" t="s">
        <v>1404</v>
      </c>
      <c r="N1221" s="92" t="s">
        <v>1198</v>
      </c>
      <c r="O1221" s="77"/>
      <c r="P1221" s="92" t="s">
        <v>2537</v>
      </c>
      <c r="Q1221" s="32"/>
      <c r="R1221" s="48" t="s">
        <v>216</v>
      </c>
      <c r="S1221" s="32"/>
    </row>
    <row r="1222" spans="2:19" ht="28.8" x14ac:dyDescent="0.3">
      <c r="B1222" t="s">
        <v>4349</v>
      </c>
      <c r="C1222" s="11" t="s">
        <v>178</v>
      </c>
      <c r="D1222">
        <v>1</v>
      </c>
      <c r="E1222" t="s">
        <v>160</v>
      </c>
      <c r="F1222" s="91" t="s">
        <v>1059</v>
      </c>
      <c r="G1222" s="90" t="str">
        <f>LEFT([1]modificado!$O$2, FIND(" ", [1]modificado!$O$2 &amp; " ") - 1)</f>
        <v>3M</v>
      </c>
      <c r="H1222" s="47" t="str">
        <f>RIGHT([1]!Tabla2[[#This Row],[Marca y Modelo]], LEN([1]!Tabla2[[#This Row],[Marca y Modelo]]) - FIND(" ", [1]!Tabla2[[#This Row],[Marca y Modelo]]))</f>
        <v>1003800</v>
      </c>
      <c r="I1222" s="76"/>
      <c r="J1222" s="76"/>
      <c r="K1222" s="91" t="s">
        <v>4305</v>
      </c>
      <c r="L1222" s="91" t="s">
        <v>3833</v>
      </c>
      <c r="M1222" s="91" t="s">
        <v>1404</v>
      </c>
      <c r="N1222" s="91" t="s">
        <v>1199</v>
      </c>
      <c r="O1222" s="77"/>
      <c r="P1222" s="91" t="s">
        <v>2537</v>
      </c>
      <c r="Q1222" s="32"/>
      <c r="R1222" s="48" t="s">
        <v>216</v>
      </c>
      <c r="S1222" s="32"/>
    </row>
    <row r="1223" spans="2:19" ht="28.8" x14ac:dyDescent="0.3">
      <c r="B1223" t="s">
        <v>4349</v>
      </c>
      <c r="C1223" s="11" t="s">
        <v>178</v>
      </c>
      <c r="D1223">
        <v>1</v>
      </c>
      <c r="E1223" t="s">
        <v>160</v>
      </c>
      <c r="F1223" s="92" t="s">
        <v>1059</v>
      </c>
      <c r="G1223" s="90" t="str">
        <f>LEFT([1]modificado!$O$2, FIND(" ", [1]modificado!$O$2 &amp; " ") - 1)</f>
        <v>3M</v>
      </c>
      <c r="H1223" s="47" t="str">
        <f>RIGHT([1]!Tabla2[[#This Row],[Marca y Modelo]], LEN([1]!Tabla2[[#This Row],[Marca y Modelo]]) - FIND(" ", [1]!Tabla2[[#This Row],[Marca y Modelo]]))</f>
        <v>AJ450A6</v>
      </c>
      <c r="I1223" s="76"/>
      <c r="J1223" s="76"/>
      <c r="K1223" s="92" t="s">
        <v>4305</v>
      </c>
      <c r="L1223" s="92" t="s">
        <v>3834</v>
      </c>
      <c r="M1223" s="92" t="s">
        <v>1404</v>
      </c>
      <c r="N1223" s="92" t="s">
        <v>1200</v>
      </c>
      <c r="O1223" s="77"/>
      <c r="P1223" s="92" t="s">
        <v>2537</v>
      </c>
      <c r="Q1223" s="32"/>
      <c r="R1223" s="48" t="s">
        <v>216</v>
      </c>
      <c r="S1223" s="32"/>
    </row>
    <row r="1224" spans="2:19" ht="28.8" x14ac:dyDescent="0.3">
      <c r="B1224" t="str">
        <f>LEFT(Tabla3890134177220392[[#This Row],[Descripción del equipo]], FIND(" ", Tabla3890134177220392[[#This Row],[Descripción del equipo]] &amp; " ") - 1)</f>
        <v>Arnes</v>
      </c>
      <c r="C1224" s="11" t="s">
        <v>178</v>
      </c>
      <c r="D1224">
        <v>1</v>
      </c>
      <c r="E1224" t="s">
        <v>160</v>
      </c>
      <c r="F1224" s="91" t="s">
        <v>1056</v>
      </c>
      <c r="G1224" s="90" t="str">
        <f>LEFT([1]modificado!$O$2, FIND(" ", [1]modificado!$O$2 &amp; " ") - 1)</f>
        <v>3M</v>
      </c>
      <c r="H1224" s="47" t="str">
        <f>RIGHT([1]!Tabla2[[#This Row],[Marca y Modelo]], LEN([1]!Tabla2[[#This Row],[Marca y Modelo]]) - FIND(" ", [1]!Tabla2[[#This Row],[Marca y Modelo]]))</f>
        <v>10911F-LOGO</v>
      </c>
      <c r="I1224" s="76"/>
      <c r="J1224" s="76"/>
      <c r="K1224" s="91" t="s">
        <v>4303</v>
      </c>
      <c r="L1224" s="91" t="s">
        <v>3835</v>
      </c>
      <c r="M1224" s="91" t="s">
        <v>1404</v>
      </c>
      <c r="N1224" s="91" t="s">
        <v>1201</v>
      </c>
      <c r="O1224" s="77"/>
      <c r="P1224" s="91" t="s">
        <v>2537</v>
      </c>
      <c r="Q1224" s="32"/>
      <c r="R1224" s="48" t="s">
        <v>216</v>
      </c>
      <c r="S1224" s="32"/>
    </row>
    <row r="1225" spans="2:19" ht="28.8" x14ac:dyDescent="0.3">
      <c r="B1225" t="s">
        <v>4348</v>
      </c>
      <c r="C1225" s="11" t="s">
        <v>178</v>
      </c>
      <c r="D1225">
        <v>1</v>
      </c>
      <c r="E1225" t="s">
        <v>160</v>
      </c>
      <c r="F1225" s="92" t="s">
        <v>1057</v>
      </c>
      <c r="G1225" s="90" t="str">
        <f>LEFT([1]modificado!$O$2, FIND(" ", [1]modificado!$O$2 &amp; " ") - 1)</f>
        <v>3M</v>
      </c>
      <c r="H1225" s="47" t="str">
        <f>RIGHT([1]!Tabla2[[#This Row],[Marca y Modelo]], LEN([1]!Tabla2[[#This Row],[Marca y Modelo]]) - FIND(" ", [1]!Tabla2[[#This Row],[Marca y Modelo]]))</f>
        <v>671EC</v>
      </c>
      <c r="I1225" s="76"/>
      <c r="J1225" s="76"/>
      <c r="K1225" s="92" t="s">
        <v>4302</v>
      </c>
      <c r="L1225" s="92" t="s">
        <v>3836</v>
      </c>
      <c r="M1225" s="92" t="s">
        <v>1404</v>
      </c>
      <c r="N1225" s="92" t="s">
        <v>1202</v>
      </c>
      <c r="O1225" s="77"/>
      <c r="P1225" s="92" t="s">
        <v>2537</v>
      </c>
      <c r="Q1225" s="32"/>
      <c r="R1225" s="48" t="s">
        <v>216</v>
      </c>
      <c r="S1225" s="32"/>
    </row>
    <row r="1226" spans="2:19" ht="28.8" x14ac:dyDescent="0.3">
      <c r="B1226" t="s">
        <v>4348</v>
      </c>
      <c r="C1226" s="11" t="s">
        <v>178</v>
      </c>
      <c r="D1226">
        <v>1</v>
      </c>
      <c r="E1226" t="s">
        <v>160</v>
      </c>
      <c r="F1226" s="91" t="s">
        <v>1060</v>
      </c>
      <c r="G1226" s="90" t="str">
        <f>LEFT([1]modificado!$O$2, FIND(" ", [1]modificado!$O$2 &amp; " ") - 1)</f>
        <v>3M</v>
      </c>
      <c r="H1226" s="47" t="str">
        <f>RIGHT([1]!Tabla2[[#This Row],[Marca y Modelo]], LEN([1]!Tabla2[[#This Row],[Marca y Modelo]]) - FIND(" ", [1]!Tabla2[[#This Row],[Marca y Modelo]]))</f>
        <v>209550-4-0241</v>
      </c>
      <c r="I1226" s="76"/>
      <c r="J1226" s="76"/>
      <c r="K1226" s="91" t="s">
        <v>4302</v>
      </c>
      <c r="L1226" s="91" t="s">
        <v>3837</v>
      </c>
      <c r="M1226" s="91" t="s">
        <v>1404</v>
      </c>
      <c r="N1226" s="91" t="s">
        <v>1203</v>
      </c>
      <c r="O1226" s="77"/>
      <c r="P1226" s="91" t="s">
        <v>2537</v>
      </c>
      <c r="Q1226" s="32"/>
      <c r="R1226" s="48" t="s">
        <v>216</v>
      </c>
      <c r="S1226" s="32"/>
    </row>
    <row r="1227" spans="2:19" ht="28.8" x14ac:dyDescent="0.3">
      <c r="B1227" t="s">
        <v>4349</v>
      </c>
      <c r="C1227" s="11" t="s">
        <v>178</v>
      </c>
      <c r="D1227">
        <v>1</v>
      </c>
      <c r="E1227" t="s">
        <v>160</v>
      </c>
      <c r="F1227" s="92" t="s">
        <v>1059</v>
      </c>
      <c r="G1227" s="90" t="str">
        <f>LEFT([1]modificado!$O$2, FIND(" ", [1]modificado!$O$2 &amp; " ") - 1)</f>
        <v>3M</v>
      </c>
      <c r="H1227" s="47" t="str">
        <f>RIGHT([1]!Tabla2[[#This Row],[Marca y Modelo]], LEN([1]!Tabla2[[#This Row],[Marca y Modelo]]) - FIND(" ", [1]!Tabla2[[#This Row],[Marca y Modelo]]))</f>
        <v>93006</v>
      </c>
      <c r="I1227" s="76"/>
      <c r="J1227" s="76"/>
      <c r="K1227" s="92" t="s">
        <v>4305</v>
      </c>
      <c r="L1227" s="92" t="s">
        <v>3838</v>
      </c>
      <c r="M1227" s="92" t="s">
        <v>1404</v>
      </c>
      <c r="N1227" s="92" t="s">
        <v>1204</v>
      </c>
      <c r="O1227" s="77"/>
      <c r="P1227" s="92" t="s">
        <v>2537</v>
      </c>
      <c r="Q1227" s="32"/>
      <c r="R1227" s="48" t="s">
        <v>216</v>
      </c>
      <c r="S1227" s="32"/>
    </row>
    <row r="1228" spans="2:19" ht="28.8" x14ac:dyDescent="0.3">
      <c r="B1228" t="s">
        <v>4349</v>
      </c>
      <c r="C1228" s="11" t="s">
        <v>178</v>
      </c>
      <c r="D1228">
        <v>1</v>
      </c>
      <c r="E1228" t="s">
        <v>160</v>
      </c>
      <c r="F1228" s="91" t="s">
        <v>1059</v>
      </c>
      <c r="G1228" s="90" t="str">
        <f>LEFT([1]modificado!$O$2, FIND(" ", [1]modificado!$O$2 &amp; " ") - 1)</f>
        <v>3M</v>
      </c>
      <c r="H1228" s="47" t="str">
        <f>RIGHT([1]!Tabla2[[#This Row],[Marca y Modelo]], LEN([1]!Tabla2[[#This Row],[Marca y Modelo]]) - FIND(" ", [1]!Tabla2[[#This Row],[Marca y Modelo]]))</f>
        <v>1003006</v>
      </c>
      <c r="I1228" s="76"/>
      <c r="J1228" s="76"/>
      <c r="K1228" s="91" t="s">
        <v>4305</v>
      </c>
      <c r="L1228" s="91" t="s">
        <v>3839</v>
      </c>
      <c r="M1228" s="91" t="s">
        <v>1404</v>
      </c>
      <c r="N1228" s="91" t="s">
        <v>1205</v>
      </c>
      <c r="O1228" s="77"/>
      <c r="P1228" s="91" t="s">
        <v>2537</v>
      </c>
      <c r="Q1228" s="32"/>
      <c r="R1228" s="48" t="s">
        <v>216</v>
      </c>
      <c r="S1228" s="32"/>
    </row>
    <row r="1229" spans="2:19" ht="28.8" x14ac:dyDescent="0.3">
      <c r="B1229" t="str">
        <f>LEFT(Tabla3890134177220392[[#This Row],[Descripción del equipo]], FIND(" ", Tabla3890134177220392[[#This Row],[Descripción del equipo]] &amp; " ") - 1)</f>
        <v>Autoretractil</v>
      </c>
      <c r="C1229" s="11" t="s">
        <v>178</v>
      </c>
      <c r="D1229">
        <v>1</v>
      </c>
      <c r="E1229" t="s">
        <v>160</v>
      </c>
      <c r="F1229" s="92" t="s">
        <v>1058</v>
      </c>
      <c r="G1229" s="90" t="str">
        <f>LEFT([1]modificado!$O$2, FIND(" ", [1]modificado!$O$2 &amp; " ") - 1)</f>
        <v>3M</v>
      </c>
      <c r="H1229" s="47" t="str">
        <f>RIGHT([1]!Tabla2[[#This Row],[Marca y Modelo]], LEN([1]!Tabla2[[#This Row],[Marca y Modelo]]) - FIND(" ", [1]!Tabla2[[#This Row],[Marca y Modelo]]))</f>
        <v>3100414</v>
      </c>
      <c r="I1229" s="76"/>
      <c r="J1229" s="76"/>
      <c r="K1229" s="92" t="s">
        <v>4306</v>
      </c>
      <c r="L1229" s="92" t="s">
        <v>3840</v>
      </c>
      <c r="M1229" s="92" t="s">
        <v>1404</v>
      </c>
      <c r="N1229" s="92" t="s">
        <v>1206</v>
      </c>
      <c r="O1229" s="77"/>
      <c r="P1229" s="92" t="s">
        <v>2537</v>
      </c>
      <c r="Q1229" s="32"/>
      <c r="R1229" s="48" t="s">
        <v>216</v>
      </c>
      <c r="S1229" s="32"/>
    </row>
    <row r="1230" spans="2:19" ht="28.8" x14ac:dyDescent="0.3">
      <c r="B1230" t="str">
        <f>LEFT(Tabla3890134177220392[[#This Row],[Descripción del equipo]], FIND(" ", Tabla3890134177220392[[#This Row],[Descripción del equipo]] &amp; " ") - 1)</f>
        <v>Arnes</v>
      </c>
      <c r="C1230" s="11" t="s">
        <v>178</v>
      </c>
      <c r="D1230">
        <v>1</v>
      </c>
      <c r="E1230" t="s">
        <v>160</v>
      </c>
      <c r="F1230" s="91" t="s">
        <v>1068</v>
      </c>
      <c r="G1230" s="90" t="str">
        <f>LEFT([1]modificado!$O$2, FIND(" ", [1]modificado!$O$2 &amp; " ") - 1)</f>
        <v>3M</v>
      </c>
      <c r="H1230" s="47" t="str">
        <f>RIGHT([1]!Tabla2[[#This Row],[Marca y Modelo]], LEN([1]!Tabla2[[#This Row],[Marca y Modelo]]) - FIND(" ", [1]!Tabla2[[#This Row],[Marca y Modelo]]))</f>
        <v>1110830</v>
      </c>
      <c r="I1230" s="76"/>
      <c r="J1230" s="76"/>
      <c r="K1230" s="91" t="s">
        <v>4303</v>
      </c>
      <c r="L1230" s="91" t="s">
        <v>3841</v>
      </c>
      <c r="M1230" s="91" t="s">
        <v>1404</v>
      </c>
      <c r="N1230" s="91" t="s">
        <v>1207</v>
      </c>
      <c r="O1230" s="77"/>
      <c r="P1230" s="91" t="s">
        <v>2537</v>
      </c>
      <c r="Q1230" s="32"/>
      <c r="R1230" s="48" t="s">
        <v>216</v>
      </c>
      <c r="S1230" s="32"/>
    </row>
    <row r="1231" spans="2:19" ht="28.8" x14ac:dyDescent="0.3">
      <c r="B1231" t="s">
        <v>4348</v>
      </c>
      <c r="C1231" s="11" t="s">
        <v>178</v>
      </c>
      <c r="D1231">
        <v>1</v>
      </c>
      <c r="E1231" t="s">
        <v>160</v>
      </c>
      <c r="F1231" s="92" t="s">
        <v>1057</v>
      </c>
      <c r="G1231" s="90" t="str">
        <f>LEFT([1]modificado!$O$2, FIND(" ", [1]modificado!$O$2 &amp; " ") - 1)</f>
        <v>3M</v>
      </c>
      <c r="H1231" s="47" t="str">
        <f>RIGHT([1]!Tabla2[[#This Row],[Marca y Modelo]], LEN([1]!Tabla2[[#This Row],[Marca y Modelo]]) - FIND(" ", [1]!Tabla2[[#This Row],[Marca y Modelo]]))</f>
        <v>191026</v>
      </c>
      <c r="I1231" s="76"/>
      <c r="J1231" s="76"/>
      <c r="K1231" s="92" t="s">
        <v>4302</v>
      </c>
      <c r="L1231" s="92" t="s">
        <v>3842</v>
      </c>
      <c r="M1231" s="92" t="s">
        <v>1406</v>
      </c>
      <c r="N1231" s="92" t="s">
        <v>1208</v>
      </c>
      <c r="O1231" s="77"/>
      <c r="P1231" s="92" t="s">
        <v>2537</v>
      </c>
      <c r="Q1231" s="32"/>
      <c r="R1231" s="48" t="s">
        <v>216</v>
      </c>
      <c r="S1231" s="32"/>
    </row>
    <row r="1232" spans="2:19" ht="28.8" x14ac:dyDescent="0.3">
      <c r="B1232" t="s">
        <v>4349</v>
      </c>
      <c r="C1232" s="11" t="s">
        <v>178</v>
      </c>
      <c r="D1232">
        <v>1</v>
      </c>
      <c r="E1232" t="s">
        <v>160</v>
      </c>
      <c r="F1232" s="91" t="s">
        <v>1059</v>
      </c>
      <c r="G1232" s="90" t="str">
        <f>LEFT([1]modificado!$O$2, FIND(" ", [1]modificado!$O$2 &amp; " ") - 1)</f>
        <v>3M</v>
      </c>
      <c r="H1232" s="47" t="str">
        <f>RIGHT([1]!Tabla2[[#This Row],[Marca y Modelo]], LEN([1]!Tabla2[[#This Row],[Marca y Modelo]]) - FIND(" ", [1]!Tabla2[[#This Row],[Marca y Modelo]]))</f>
        <v>100300043</v>
      </c>
      <c r="I1232" s="76"/>
      <c r="J1232" s="76"/>
      <c r="K1232" s="91" t="s">
        <v>4305</v>
      </c>
      <c r="L1232" s="91" t="s">
        <v>3843</v>
      </c>
      <c r="M1232" s="91" t="s">
        <v>1404</v>
      </c>
      <c r="N1232" s="91" t="s">
        <v>1209</v>
      </c>
      <c r="O1232" s="77"/>
      <c r="P1232" s="91" t="s">
        <v>2537</v>
      </c>
      <c r="Q1232" s="32"/>
      <c r="R1232" s="48" t="s">
        <v>216</v>
      </c>
      <c r="S1232" s="32"/>
    </row>
    <row r="1233" spans="2:19" ht="28.8" x14ac:dyDescent="0.3">
      <c r="B1233" t="s">
        <v>4349</v>
      </c>
      <c r="C1233" s="11" t="s">
        <v>178</v>
      </c>
      <c r="D1233">
        <v>1</v>
      </c>
      <c r="E1233" t="s">
        <v>160</v>
      </c>
      <c r="F1233" s="92" t="s">
        <v>1059</v>
      </c>
      <c r="G1233" s="90" t="str">
        <f>LEFT([1]modificado!$O$2, FIND(" ", [1]modificado!$O$2 &amp; " ") - 1)</f>
        <v>3M</v>
      </c>
      <c r="H1233" s="47" t="str">
        <f>RIGHT([1]!Tabla2[[#This Row],[Marca y Modelo]], LEN([1]!Tabla2[[#This Row],[Marca y Modelo]]) - FIND(" ", [1]!Tabla2[[#This Row],[Marca y Modelo]]))</f>
        <v>1003006</v>
      </c>
      <c r="I1233" s="76"/>
      <c r="J1233" s="76"/>
      <c r="K1233" s="92" t="s">
        <v>4305</v>
      </c>
      <c r="L1233" s="92" t="s">
        <v>3844</v>
      </c>
      <c r="M1233" s="92" t="s">
        <v>1404</v>
      </c>
      <c r="N1233" s="92" t="s">
        <v>1210</v>
      </c>
      <c r="O1233" s="77"/>
      <c r="P1233" s="92" t="s">
        <v>2537</v>
      </c>
      <c r="Q1233" s="32"/>
      <c r="R1233" s="48" t="s">
        <v>216</v>
      </c>
      <c r="S1233" s="32"/>
    </row>
    <row r="1234" spans="2:19" ht="28.8" x14ac:dyDescent="0.3">
      <c r="B1234" t="s">
        <v>4349</v>
      </c>
      <c r="C1234" s="11" t="s">
        <v>178</v>
      </c>
      <c r="D1234">
        <v>1</v>
      </c>
      <c r="E1234" t="s">
        <v>160</v>
      </c>
      <c r="F1234" s="91" t="s">
        <v>1059</v>
      </c>
      <c r="G1234" s="90" t="str">
        <f>LEFT([1]modificado!$O$2, FIND(" ", [1]modificado!$O$2 &amp; " ") - 1)</f>
        <v>3M</v>
      </c>
      <c r="H1234" s="47" t="str">
        <f>RIGHT([1]!Tabla2[[#This Row],[Marca y Modelo]], LEN([1]!Tabla2[[#This Row],[Marca y Modelo]]) - FIND(" ", [1]!Tabla2[[#This Row],[Marca y Modelo]]))</f>
        <v>4550-U</v>
      </c>
      <c r="I1234" s="76"/>
      <c r="J1234" s="76"/>
      <c r="K1234" s="91" t="s">
        <v>4305</v>
      </c>
      <c r="L1234" s="91" t="s">
        <v>3845</v>
      </c>
      <c r="M1234" s="91" t="s">
        <v>1404</v>
      </c>
      <c r="N1234" s="91" t="s">
        <v>1211</v>
      </c>
      <c r="O1234" s="77"/>
      <c r="P1234" s="91" t="s">
        <v>2537</v>
      </c>
      <c r="Q1234" s="32"/>
      <c r="R1234" s="48" t="s">
        <v>216</v>
      </c>
      <c r="S1234" s="32"/>
    </row>
    <row r="1235" spans="2:19" ht="28.8" x14ac:dyDescent="0.3">
      <c r="B1235" t="s">
        <v>4349</v>
      </c>
      <c r="C1235" s="11" t="s">
        <v>178</v>
      </c>
      <c r="D1235">
        <v>1</v>
      </c>
      <c r="E1235" t="s">
        <v>160</v>
      </c>
      <c r="F1235" s="92" t="s">
        <v>1059</v>
      </c>
      <c r="G1235" s="90" t="str">
        <f>LEFT([1]modificado!$O$2, FIND(" ", [1]modificado!$O$2 &amp; " ") - 1)</f>
        <v>3M</v>
      </c>
      <c r="H1235" s="47" t="str">
        <f>RIGHT([1]!Tabla2[[#This Row],[Marca y Modelo]], LEN([1]!Tabla2[[#This Row],[Marca y Modelo]]) - FIND(" ", [1]!Tabla2[[#This Row],[Marca y Modelo]]))</f>
        <v>1003000</v>
      </c>
      <c r="I1235" s="76"/>
      <c r="J1235" s="76"/>
      <c r="K1235" s="92" t="s">
        <v>4305</v>
      </c>
      <c r="L1235" s="92" t="s">
        <v>3846</v>
      </c>
      <c r="M1235" s="92" t="s">
        <v>1404</v>
      </c>
      <c r="N1235" s="92" t="s">
        <v>1212</v>
      </c>
      <c r="O1235" s="77"/>
      <c r="P1235" s="92" t="s">
        <v>2537</v>
      </c>
      <c r="Q1235" s="32"/>
      <c r="R1235" s="48" t="s">
        <v>216</v>
      </c>
      <c r="S1235" s="32"/>
    </row>
    <row r="1236" spans="2:19" ht="28.8" x14ac:dyDescent="0.3">
      <c r="B1236" t="str">
        <f>LEFT(Tabla3890134177220392[[#This Row],[Descripción del equipo]], FIND(" ", Tabla3890134177220392[[#This Row],[Descripción del equipo]] &amp; " ") - 1)</f>
        <v>Autoretractil</v>
      </c>
      <c r="C1236" s="11" t="s">
        <v>178</v>
      </c>
      <c r="D1236">
        <v>1</v>
      </c>
      <c r="E1236" t="s">
        <v>160</v>
      </c>
      <c r="F1236" s="91" t="s">
        <v>1058</v>
      </c>
      <c r="G1236" s="90" t="str">
        <f>LEFT([1]modificado!$O$2, FIND(" ", [1]modificado!$O$2 &amp; " ") - 1)</f>
        <v>3M</v>
      </c>
      <c r="H1236" s="47" t="str">
        <f>RIGHT([1]!Tabla2[[#This Row],[Marca y Modelo]], LEN([1]!Tabla2[[#This Row],[Marca y Modelo]]) - FIND(" ", [1]!Tabla2[[#This Row],[Marca y Modelo]]))</f>
        <v>3100425</v>
      </c>
      <c r="I1236" s="76"/>
      <c r="J1236" s="76"/>
      <c r="K1236" s="91" t="s">
        <v>4306</v>
      </c>
      <c r="L1236" s="91" t="s">
        <v>3847</v>
      </c>
      <c r="M1236" s="91" t="s">
        <v>1404</v>
      </c>
      <c r="N1236" s="91" t="s">
        <v>1213</v>
      </c>
      <c r="O1236" s="77"/>
      <c r="P1236" s="91" t="s">
        <v>2537</v>
      </c>
      <c r="Q1236" s="32"/>
      <c r="R1236" s="48" t="s">
        <v>216</v>
      </c>
      <c r="S1236" s="32"/>
    </row>
    <row r="1237" spans="2:19" ht="28.8" x14ac:dyDescent="0.3">
      <c r="B1237" t="str">
        <f>LEFT(Tabla3890134177220392[[#This Row],[Descripción del equipo]], FIND(" ", Tabla3890134177220392[[#This Row],[Descripción del equipo]] &amp; " ") - 1)</f>
        <v>Arnes</v>
      </c>
      <c r="C1237" s="11" t="s">
        <v>178</v>
      </c>
      <c r="D1237">
        <v>1</v>
      </c>
      <c r="E1237" t="s">
        <v>160</v>
      </c>
      <c r="F1237" s="92" t="s">
        <v>1068</v>
      </c>
      <c r="G1237" s="90" t="str">
        <f>LEFT([1]modificado!$O$2, FIND(" ", [1]modificado!$O$2 &amp; " ") - 1)</f>
        <v>3M</v>
      </c>
      <c r="H1237" s="47" t="str">
        <f>RIGHT([1]!Tabla2[[#This Row],[Marca y Modelo]], LEN([1]!Tabla2[[#This Row],[Marca y Modelo]]) - FIND(" ", [1]!Tabla2[[#This Row],[Marca y Modelo]]))</f>
        <v>1110830</v>
      </c>
      <c r="I1237" s="76"/>
      <c r="J1237" s="76"/>
      <c r="K1237" s="92" t="s">
        <v>4303</v>
      </c>
      <c r="L1237" s="92" t="s">
        <v>3848</v>
      </c>
      <c r="M1237" s="92" t="s">
        <v>1404</v>
      </c>
      <c r="N1237" s="92" t="s">
        <v>1214</v>
      </c>
      <c r="O1237" s="77"/>
      <c r="P1237" s="92" t="s">
        <v>2537</v>
      </c>
      <c r="Q1237" s="32"/>
      <c r="R1237" s="48" t="s">
        <v>216</v>
      </c>
      <c r="S1237" s="32"/>
    </row>
    <row r="1238" spans="2:19" ht="28.8" x14ac:dyDescent="0.3">
      <c r="B1238" t="s">
        <v>4348</v>
      </c>
      <c r="C1238" s="11" t="s">
        <v>178</v>
      </c>
      <c r="D1238">
        <v>1</v>
      </c>
      <c r="E1238" t="s">
        <v>160</v>
      </c>
      <c r="F1238" s="91" t="s">
        <v>1061</v>
      </c>
      <c r="G1238" s="90" t="str">
        <f>LEFT([1]modificado!$O$2, FIND(" ", [1]modificado!$O$2 &amp; " ") - 1)</f>
        <v>3M</v>
      </c>
      <c r="H1238" s="47" t="str">
        <f>RIGHT([1]!Tabla2[[#This Row],[Marca y Modelo]], LEN([1]!Tabla2[[#This Row],[Marca y Modelo]]) - FIND(" ", [1]!Tabla2[[#This Row],[Marca y Modelo]]))</f>
        <v>3210</v>
      </c>
      <c r="I1238" s="76"/>
      <c r="J1238" s="76"/>
      <c r="K1238" s="91" t="s">
        <v>4304</v>
      </c>
      <c r="L1238" s="91" t="s">
        <v>3849</v>
      </c>
      <c r="M1238" s="91" t="s">
        <v>1404</v>
      </c>
      <c r="N1238" s="91" t="s">
        <v>1215</v>
      </c>
      <c r="O1238" s="77"/>
      <c r="P1238" s="91" t="s">
        <v>2537</v>
      </c>
      <c r="Q1238" s="32"/>
      <c r="R1238" s="48" t="s">
        <v>216</v>
      </c>
      <c r="S1238" s="32"/>
    </row>
    <row r="1239" spans="2:19" ht="28.8" x14ac:dyDescent="0.3">
      <c r="B1239" t="s">
        <v>4348</v>
      </c>
      <c r="C1239" s="11" t="s">
        <v>178</v>
      </c>
      <c r="D1239">
        <v>1</v>
      </c>
      <c r="E1239" t="s">
        <v>160</v>
      </c>
      <c r="F1239" s="92" t="s">
        <v>1061</v>
      </c>
      <c r="G1239" s="90" t="str">
        <f>LEFT([1]modificado!$O$2, FIND(" ", [1]modificado!$O$2 &amp; " ") - 1)</f>
        <v>3M</v>
      </c>
      <c r="H1239" s="47" t="str">
        <f>RIGHT([1]!Tabla2[[#This Row],[Marca y Modelo]], LEN([1]!Tabla2[[#This Row],[Marca y Modelo]]) - FIND(" ", [1]!Tabla2[[#This Row],[Marca y Modelo]]))</f>
        <v>3210</v>
      </c>
      <c r="I1239" s="76"/>
      <c r="J1239" s="76"/>
      <c r="K1239" s="92" t="s">
        <v>4304</v>
      </c>
      <c r="L1239" s="92" t="s">
        <v>3850</v>
      </c>
      <c r="M1239" s="92" t="s">
        <v>1404</v>
      </c>
      <c r="N1239" s="92" t="s">
        <v>1216</v>
      </c>
      <c r="O1239" s="77"/>
      <c r="P1239" s="92" t="s">
        <v>2537</v>
      </c>
      <c r="Q1239" s="32"/>
      <c r="R1239" s="48" t="s">
        <v>216</v>
      </c>
      <c r="S1239" s="32"/>
    </row>
    <row r="1240" spans="2:19" ht="28.8" x14ac:dyDescent="0.3">
      <c r="B1240" t="s">
        <v>4348</v>
      </c>
      <c r="C1240" s="11" t="s">
        <v>178</v>
      </c>
      <c r="D1240">
        <v>1</v>
      </c>
      <c r="E1240" t="s">
        <v>160</v>
      </c>
      <c r="F1240" s="91" t="s">
        <v>1072</v>
      </c>
      <c r="G1240" s="90" t="str">
        <f>LEFT([1]modificado!$O$2, FIND(" ", [1]modificado!$O$2 &amp; " ") - 1)</f>
        <v>3M</v>
      </c>
      <c r="H1240" s="47" t="str">
        <f>RIGHT([1]!Tabla2[[#This Row],[Marca y Modelo]], LEN([1]!Tabla2[[#This Row],[Marca y Modelo]]) - FIND(" ", [1]!Tabla2[[#This Row],[Marca y Modelo]]))</f>
        <v>1385301MX</v>
      </c>
      <c r="I1240" s="76"/>
      <c r="J1240" s="76"/>
      <c r="K1240" s="91" t="s">
        <v>4307</v>
      </c>
      <c r="L1240" s="91" t="s">
        <v>3851</v>
      </c>
      <c r="M1240" s="91" t="s">
        <v>1404</v>
      </c>
      <c r="N1240" s="91" t="s">
        <v>1217</v>
      </c>
      <c r="O1240" s="77"/>
      <c r="P1240" s="91" t="s">
        <v>2537</v>
      </c>
      <c r="Q1240" s="32"/>
      <c r="R1240" s="48" t="s">
        <v>216</v>
      </c>
      <c r="S1240" s="32"/>
    </row>
    <row r="1241" spans="2:19" ht="28.8" x14ac:dyDescent="0.3">
      <c r="B1241" t="s">
        <v>4348</v>
      </c>
      <c r="C1241" s="11" t="s">
        <v>178</v>
      </c>
      <c r="D1241">
        <v>1</v>
      </c>
      <c r="E1241" t="s">
        <v>160</v>
      </c>
      <c r="F1241" s="92" t="s">
        <v>1070</v>
      </c>
      <c r="G1241" s="90" t="str">
        <f>LEFT([1]modificado!$O$2, FIND(" ", [1]modificado!$O$2 &amp; " ") - 1)</f>
        <v>3M</v>
      </c>
      <c r="H1241" s="47" t="str">
        <f>RIGHT([1]!Tabla2[[#This Row],[Marca y Modelo]], LEN([1]!Tabla2[[#This Row],[Marca y Modelo]]) - FIND(" ", [1]!Tabla2[[#This Row],[Marca y Modelo]]))</f>
        <v>1340161MX</v>
      </c>
      <c r="I1241" s="76"/>
      <c r="J1241" s="76"/>
      <c r="K1241" s="92" t="s">
        <v>4302</v>
      </c>
      <c r="L1241" s="92" t="s">
        <v>3852</v>
      </c>
      <c r="M1241" s="92" t="s">
        <v>1404</v>
      </c>
      <c r="N1241" s="92" t="s">
        <v>1218</v>
      </c>
      <c r="O1241" s="77"/>
      <c r="P1241" s="92" t="s">
        <v>2537</v>
      </c>
      <c r="Q1241" s="32"/>
      <c r="R1241" s="48" t="s">
        <v>216</v>
      </c>
      <c r="S1241" s="32"/>
    </row>
    <row r="1242" spans="2:19" ht="28.8" x14ac:dyDescent="0.3">
      <c r="B1242" t="s">
        <v>4349</v>
      </c>
      <c r="C1242" s="11" t="s">
        <v>178</v>
      </c>
      <c r="D1242">
        <v>1</v>
      </c>
      <c r="E1242" t="s">
        <v>160</v>
      </c>
      <c r="F1242" s="91" t="s">
        <v>1059</v>
      </c>
      <c r="G1242" s="90" t="str">
        <f>LEFT([1]modificado!$O$2, FIND(" ", [1]modificado!$O$2 &amp; " ") - 1)</f>
        <v>3M</v>
      </c>
      <c r="H1242" s="47" t="str">
        <f>RIGHT([1]!Tabla2[[#This Row],[Marca y Modelo]], LEN([1]!Tabla2[[#This Row],[Marca y Modelo]]) - FIND(" ", [1]!Tabla2[[#This Row],[Marca y Modelo]]))</f>
        <v>AJ450A6</v>
      </c>
      <c r="I1242" s="76"/>
      <c r="J1242" s="76"/>
      <c r="K1242" s="91" t="s">
        <v>4305</v>
      </c>
      <c r="L1242" s="91" t="s">
        <v>3853</v>
      </c>
      <c r="M1242" s="91" t="s">
        <v>1404</v>
      </c>
      <c r="N1242" s="91" t="s">
        <v>1219</v>
      </c>
      <c r="O1242" s="77"/>
      <c r="P1242" s="91" t="s">
        <v>2537</v>
      </c>
      <c r="Q1242" s="32"/>
      <c r="R1242" s="48" t="s">
        <v>216</v>
      </c>
      <c r="S1242" s="32"/>
    </row>
    <row r="1243" spans="2:19" ht="28.8" x14ac:dyDescent="0.3">
      <c r="B1243" t="str">
        <f>LEFT(Tabla3890134177220392[[#This Row],[Descripción del equipo]], FIND(" ", Tabla3890134177220392[[#This Row],[Descripción del equipo]] &amp; " ") - 1)</f>
        <v>Arnes</v>
      </c>
      <c r="C1243" s="11" t="s">
        <v>178</v>
      </c>
      <c r="D1243">
        <v>1</v>
      </c>
      <c r="E1243" t="s">
        <v>160</v>
      </c>
      <c r="F1243" s="92" t="s">
        <v>1068</v>
      </c>
      <c r="G1243" s="90" t="str">
        <f>LEFT([1]modificado!$O$2, FIND(" ", [1]modificado!$O$2 &amp; " ") - 1)</f>
        <v>3M</v>
      </c>
      <c r="H1243" s="47" t="str">
        <f>RIGHT([1]!Tabla2[[#This Row],[Marca y Modelo]], LEN([1]!Tabla2[[#This Row],[Marca y Modelo]]) - FIND(" ", [1]!Tabla2[[#This Row],[Marca y Modelo]]))</f>
        <v>1021-LOGO</v>
      </c>
      <c r="I1243" s="76"/>
      <c r="J1243" s="76"/>
      <c r="K1243" s="92" t="s">
        <v>4303</v>
      </c>
      <c r="L1243" s="92" t="s">
        <v>3854</v>
      </c>
      <c r="M1243" s="92" t="s">
        <v>1404</v>
      </c>
      <c r="N1243" s="92" t="s">
        <v>1220</v>
      </c>
      <c r="O1243" s="77"/>
      <c r="P1243" s="92" t="s">
        <v>2537</v>
      </c>
      <c r="Q1243" s="32"/>
      <c r="R1243" s="48" t="s">
        <v>216</v>
      </c>
      <c r="S1243" s="32"/>
    </row>
    <row r="1244" spans="2:19" ht="28.8" x14ac:dyDescent="0.3">
      <c r="B1244" t="str">
        <f>LEFT(Tabla3890134177220392[[#This Row],[Descripción del equipo]], FIND(" ", Tabla3890134177220392[[#This Row],[Descripción del equipo]] &amp; " ") - 1)</f>
        <v>Arnes</v>
      </c>
      <c r="C1244" s="11" t="s">
        <v>178</v>
      </c>
      <c r="D1244">
        <v>1</v>
      </c>
      <c r="E1244" t="s">
        <v>160</v>
      </c>
      <c r="F1244" s="91" t="s">
        <v>1068</v>
      </c>
      <c r="G1244" s="90" t="str">
        <f>LEFT([1]modificado!$O$2, FIND(" ", [1]modificado!$O$2 &amp; " ") - 1)</f>
        <v>3M</v>
      </c>
      <c r="H1244" s="47" t="str">
        <f>RIGHT([1]!Tabla2[[#This Row],[Marca y Modelo]], LEN([1]!Tabla2[[#This Row],[Marca y Modelo]]) - FIND(" ", [1]!Tabla2[[#This Row],[Marca y Modelo]]))</f>
        <v>1191381</v>
      </c>
      <c r="I1244" s="76"/>
      <c r="J1244" s="76"/>
      <c r="K1244" s="91" t="s">
        <v>4303</v>
      </c>
      <c r="L1244" s="91" t="s">
        <v>3855</v>
      </c>
      <c r="M1244" s="91" t="s">
        <v>1404</v>
      </c>
      <c r="N1244" s="91" t="s">
        <v>1221</v>
      </c>
      <c r="O1244" s="77"/>
      <c r="P1244" s="91" t="s">
        <v>2537</v>
      </c>
      <c r="Q1244" s="32"/>
      <c r="R1244" s="48" t="s">
        <v>216</v>
      </c>
      <c r="S1244" s="32"/>
    </row>
    <row r="1245" spans="2:19" ht="28.8" x14ac:dyDescent="0.3">
      <c r="B1245" t="s">
        <v>4348</v>
      </c>
      <c r="C1245" s="11" t="s">
        <v>178</v>
      </c>
      <c r="D1245">
        <v>1</v>
      </c>
      <c r="E1245" t="s">
        <v>160</v>
      </c>
      <c r="F1245" s="92" t="s">
        <v>1057</v>
      </c>
      <c r="G1245" s="90" t="str">
        <f>LEFT([1]modificado!$O$2, FIND(" ", [1]modificado!$O$2 &amp; " ") - 1)</f>
        <v>3M</v>
      </c>
      <c r="H1245" s="47" t="str">
        <f>RIGHT([1]!Tabla2[[#This Row],[Marca y Modelo]], LEN([1]!Tabla2[[#This Row],[Marca y Modelo]]) - FIND(" ", [1]!Tabla2[[#This Row],[Marca y Modelo]]))</f>
        <v>3531-D</v>
      </c>
      <c r="I1245" s="76"/>
      <c r="J1245" s="76"/>
      <c r="K1245" s="92" t="s">
        <v>4302</v>
      </c>
      <c r="L1245" s="92" t="s">
        <v>3856</v>
      </c>
      <c r="M1245" s="92" t="s">
        <v>1413</v>
      </c>
      <c r="N1245" s="92" t="s">
        <v>1222</v>
      </c>
      <c r="O1245" s="77"/>
      <c r="P1245" s="92" t="s">
        <v>2537</v>
      </c>
      <c r="Q1245" s="32"/>
      <c r="R1245" s="48" t="s">
        <v>216</v>
      </c>
      <c r="S1245" s="32"/>
    </row>
    <row r="1246" spans="2:19" ht="28.8" x14ac:dyDescent="0.3">
      <c r="B1246" t="s">
        <v>4348</v>
      </c>
      <c r="C1246" s="11" t="s">
        <v>178</v>
      </c>
      <c r="D1246">
        <v>1</v>
      </c>
      <c r="E1246" t="s">
        <v>160</v>
      </c>
      <c r="F1246" s="91" t="s">
        <v>1070</v>
      </c>
      <c r="G1246" s="90" t="str">
        <f>LEFT([1]modificado!$O$2, FIND(" ", [1]modificado!$O$2 &amp; " ") - 1)</f>
        <v>3M</v>
      </c>
      <c r="H1246" s="47" t="str">
        <f>RIGHT([1]!Tabla2[[#This Row],[Marca y Modelo]], LEN([1]!Tabla2[[#This Row],[Marca y Modelo]]) - FIND(" ", [1]!Tabla2[[#This Row],[Marca y Modelo]]))</f>
        <v>1340161</v>
      </c>
      <c r="I1246" s="76"/>
      <c r="J1246" s="76"/>
      <c r="K1246" s="91" t="s">
        <v>4302</v>
      </c>
      <c r="L1246" s="91" t="s">
        <v>3857</v>
      </c>
      <c r="M1246" s="91" t="s">
        <v>1404</v>
      </c>
      <c r="N1246" s="91" t="s">
        <v>1223</v>
      </c>
      <c r="O1246" s="77"/>
      <c r="P1246" s="91" t="s">
        <v>2537</v>
      </c>
      <c r="Q1246" s="32"/>
      <c r="R1246" s="48" t="s">
        <v>216</v>
      </c>
      <c r="S1246" s="32"/>
    </row>
    <row r="1247" spans="2:19" ht="28.8" x14ac:dyDescent="0.3">
      <c r="B1247" t="s">
        <v>4349</v>
      </c>
      <c r="C1247" s="11" t="s">
        <v>178</v>
      </c>
      <c r="D1247">
        <v>1</v>
      </c>
      <c r="E1247" t="s">
        <v>160</v>
      </c>
      <c r="F1247" s="92" t="s">
        <v>1059</v>
      </c>
      <c r="G1247" s="90" t="str">
        <f>LEFT([1]modificado!$O$2, FIND(" ", [1]modificado!$O$2 &amp; " ") - 1)</f>
        <v>3M</v>
      </c>
      <c r="H1247" s="47" t="str">
        <f>RIGHT([1]!Tabla2[[#This Row],[Marca y Modelo]], LEN([1]!Tabla2[[#This Row],[Marca y Modelo]]) - FIND(" ", [1]!Tabla2[[#This Row],[Marca y Modelo]]))</f>
        <v>4550-U</v>
      </c>
      <c r="I1247" s="76"/>
      <c r="J1247" s="76"/>
      <c r="K1247" s="92" t="s">
        <v>4305</v>
      </c>
      <c r="L1247" s="92" t="s">
        <v>3858</v>
      </c>
      <c r="M1247" s="92" t="s">
        <v>1404</v>
      </c>
      <c r="N1247" s="92" t="s">
        <v>1224</v>
      </c>
      <c r="O1247" s="77"/>
      <c r="P1247" s="92" t="s">
        <v>2537</v>
      </c>
      <c r="Q1247" s="32"/>
      <c r="R1247" s="48" t="s">
        <v>216</v>
      </c>
      <c r="S1247" s="32"/>
    </row>
    <row r="1248" spans="2:19" ht="28.8" x14ac:dyDescent="0.3">
      <c r="B1248" t="str">
        <f>LEFT(Tabla3890134177220392[[#This Row],[Descripción del equipo]], FIND(" ", Tabla3890134177220392[[#This Row],[Descripción del equipo]] &amp; " ") - 1)</f>
        <v>Arnes</v>
      </c>
      <c r="C1248" s="11" t="s">
        <v>178</v>
      </c>
      <c r="D1248">
        <v>1</v>
      </c>
      <c r="E1248" t="s">
        <v>160</v>
      </c>
      <c r="F1248" s="91" t="s">
        <v>1056</v>
      </c>
      <c r="G1248" s="90" t="str">
        <f>LEFT([1]modificado!$O$2, FIND(" ", [1]modificado!$O$2 &amp; " ") - 1)</f>
        <v>3M</v>
      </c>
      <c r="H1248" s="47" t="str">
        <f>RIGHT([1]!Tabla2[[#This Row],[Marca y Modelo]], LEN([1]!Tabla2[[#This Row],[Marca y Modelo]]) - FIND(" ", [1]!Tabla2[[#This Row],[Marca y Modelo]]))</f>
        <v>Basic Tiger</v>
      </c>
      <c r="I1248" s="76"/>
      <c r="J1248" s="76"/>
      <c r="K1248" s="91" t="s">
        <v>4303</v>
      </c>
      <c r="L1248" s="91" t="s">
        <v>3859</v>
      </c>
      <c r="M1248" s="91" t="s">
        <v>1404</v>
      </c>
      <c r="N1248" s="91" t="s">
        <v>1225</v>
      </c>
      <c r="O1248" s="77"/>
      <c r="P1248" s="91" t="s">
        <v>2537</v>
      </c>
      <c r="Q1248" s="32"/>
      <c r="R1248" s="48" t="s">
        <v>216</v>
      </c>
      <c r="S1248" s="32"/>
    </row>
    <row r="1249" spans="2:19" ht="28.8" x14ac:dyDescent="0.3">
      <c r="B1249" t="s">
        <v>4348</v>
      </c>
      <c r="C1249" s="11" t="s">
        <v>178</v>
      </c>
      <c r="D1249">
        <v>1</v>
      </c>
      <c r="E1249" t="s">
        <v>160</v>
      </c>
      <c r="F1249" s="92" t="s">
        <v>1070</v>
      </c>
      <c r="G1249" s="90" t="str">
        <f>LEFT([1]modificado!$O$2, FIND(" ", [1]modificado!$O$2 &amp; " ") - 1)</f>
        <v>3M</v>
      </c>
      <c r="H1249" s="47" t="str">
        <f>RIGHT([1]!Tabla2[[#This Row],[Marca y Modelo]], LEN([1]!Tabla2[[#This Row],[Marca y Modelo]]) - FIND(" ", [1]!Tabla2[[#This Row],[Marca y Modelo]]))</f>
        <v>1340161</v>
      </c>
      <c r="I1249" s="76"/>
      <c r="J1249" s="76"/>
      <c r="K1249" s="92" t="s">
        <v>4302</v>
      </c>
      <c r="L1249" s="92" t="s">
        <v>3860</v>
      </c>
      <c r="M1249" s="92" t="s">
        <v>1404</v>
      </c>
      <c r="N1249" s="92" t="s">
        <v>1226</v>
      </c>
      <c r="O1249" s="77"/>
      <c r="P1249" s="92" t="s">
        <v>2537</v>
      </c>
      <c r="Q1249" s="32"/>
      <c r="R1249" s="48" t="s">
        <v>216</v>
      </c>
      <c r="S1249" s="32"/>
    </row>
    <row r="1250" spans="2:19" ht="28.8" x14ac:dyDescent="0.3">
      <c r="B1250" t="s">
        <v>4349</v>
      </c>
      <c r="C1250" s="11" t="s">
        <v>178</v>
      </c>
      <c r="D1250">
        <v>1</v>
      </c>
      <c r="E1250" t="s">
        <v>160</v>
      </c>
      <c r="F1250" s="91" t="s">
        <v>1059</v>
      </c>
      <c r="G1250" s="90" t="str">
        <f>LEFT([1]modificado!$O$2, FIND(" ", [1]modificado!$O$2 &amp; " ") - 1)</f>
        <v>3M</v>
      </c>
      <c r="H1250" s="47" t="str">
        <f>RIGHT([1]!Tabla2[[#This Row],[Marca y Modelo]], LEN([1]!Tabla2[[#This Row],[Marca y Modelo]]) - FIND(" ", [1]!Tabla2[[#This Row],[Marca y Modelo]]))</f>
        <v>4550-U</v>
      </c>
      <c r="I1250" s="76"/>
      <c r="J1250" s="76"/>
      <c r="K1250" s="91" t="s">
        <v>4305</v>
      </c>
      <c r="L1250" s="91" t="s">
        <v>3861</v>
      </c>
      <c r="M1250" s="91" t="s">
        <v>1404</v>
      </c>
      <c r="N1250" s="91" t="s">
        <v>1227</v>
      </c>
      <c r="O1250" s="77"/>
      <c r="P1250" s="91" t="s">
        <v>2537</v>
      </c>
      <c r="Q1250" s="32"/>
      <c r="R1250" s="48" t="s">
        <v>216</v>
      </c>
      <c r="S1250" s="32"/>
    </row>
    <row r="1251" spans="2:19" ht="28.8" x14ac:dyDescent="0.3">
      <c r="B1251" t="s">
        <v>4349</v>
      </c>
      <c r="C1251" s="11" t="s">
        <v>178</v>
      </c>
      <c r="D1251">
        <v>1</v>
      </c>
      <c r="E1251" t="s">
        <v>160</v>
      </c>
      <c r="F1251" s="92" t="s">
        <v>1059</v>
      </c>
      <c r="G1251" s="90" t="str">
        <f>LEFT([1]modificado!$O$2, FIND(" ", [1]modificado!$O$2 &amp; " ") - 1)</f>
        <v>3M</v>
      </c>
      <c r="H1251" s="47" t="str">
        <f>RIGHT([1]!Tabla2[[#This Row],[Marca y Modelo]], LEN([1]!Tabla2[[#This Row],[Marca y Modelo]]) - FIND(" ", [1]!Tabla2[[#This Row],[Marca y Modelo]]))</f>
        <v>1003006</v>
      </c>
      <c r="I1251" s="76"/>
      <c r="J1251" s="76"/>
      <c r="K1251" s="92" t="s">
        <v>4305</v>
      </c>
      <c r="L1251" s="92" t="s">
        <v>3862</v>
      </c>
      <c r="M1251" s="92" t="s">
        <v>1404</v>
      </c>
      <c r="N1251" s="92" t="s">
        <v>1228</v>
      </c>
      <c r="O1251" s="77"/>
      <c r="P1251" s="92" t="s">
        <v>2537</v>
      </c>
      <c r="Q1251" s="32"/>
      <c r="R1251" s="48" t="s">
        <v>216</v>
      </c>
      <c r="S1251" s="32"/>
    </row>
    <row r="1252" spans="2:19" ht="28.8" x14ac:dyDescent="0.3">
      <c r="B1252" t="str">
        <f>LEFT(Tabla3890134177220392[[#This Row],[Descripción del equipo]], FIND(" ", Tabla3890134177220392[[#This Row],[Descripción del equipo]] &amp; " ") - 1)</f>
        <v>Autoretractil</v>
      </c>
      <c r="C1252" s="11" t="s">
        <v>178</v>
      </c>
      <c r="D1252">
        <v>1</v>
      </c>
      <c r="E1252" t="s">
        <v>160</v>
      </c>
      <c r="F1252" s="91" t="s">
        <v>1058</v>
      </c>
      <c r="G1252" s="90" t="str">
        <f>LEFT([1]modificado!$O$2, FIND(" ", [1]modificado!$O$2 &amp; " ") - 1)</f>
        <v>3M</v>
      </c>
      <c r="H1252" s="47" t="str">
        <f>RIGHT([1]!Tabla2[[#This Row],[Marca y Modelo]], LEN([1]!Tabla2[[#This Row],[Marca y Modelo]]) - FIND(" ", [1]!Tabla2[[#This Row],[Marca y Modelo]]))</f>
        <v>3100414</v>
      </c>
      <c r="I1252" s="76"/>
      <c r="J1252" s="76"/>
      <c r="K1252" s="91" t="s">
        <v>4306</v>
      </c>
      <c r="L1252" s="91" t="s">
        <v>3863</v>
      </c>
      <c r="M1252" s="91" t="s">
        <v>1404</v>
      </c>
      <c r="N1252" s="91" t="s">
        <v>1229</v>
      </c>
      <c r="O1252" s="77"/>
      <c r="P1252" s="91" t="s">
        <v>2537</v>
      </c>
      <c r="Q1252" s="32"/>
      <c r="R1252" s="48" t="s">
        <v>216</v>
      </c>
      <c r="S1252" s="32"/>
    </row>
    <row r="1253" spans="2:19" ht="28.8" x14ac:dyDescent="0.3">
      <c r="B1253" t="str">
        <f>LEFT(Tabla3890134177220392[[#This Row],[Descripción del equipo]], FIND(" ", Tabla3890134177220392[[#This Row],[Descripción del equipo]] &amp; " ") - 1)</f>
        <v>Arnes</v>
      </c>
      <c r="C1253" s="11" t="s">
        <v>178</v>
      </c>
      <c r="D1253">
        <v>1</v>
      </c>
      <c r="E1253" t="s">
        <v>160</v>
      </c>
      <c r="F1253" s="92" t="s">
        <v>1068</v>
      </c>
      <c r="G1253" s="90" t="str">
        <f>LEFT([1]modificado!$O$2, FIND(" ", [1]modificado!$O$2 &amp; " ") - 1)</f>
        <v>3M</v>
      </c>
      <c r="H1253" s="47" t="str">
        <f>RIGHT([1]!Tabla2[[#This Row],[Marca y Modelo]], LEN([1]!Tabla2[[#This Row],[Marca y Modelo]]) - FIND(" ", [1]!Tabla2[[#This Row],[Marca y Modelo]]))</f>
        <v>1021-LOGO</v>
      </c>
      <c r="I1253" s="76"/>
      <c r="J1253" s="76"/>
      <c r="K1253" s="92" t="s">
        <v>4303</v>
      </c>
      <c r="L1253" s="92" t="s">
        <v>3864</v>
      </c>
      <c r="M1253" s="92" t="s">
        <v>1404</v>
      </c>
      <c r="N1253" s="92" t="s">
        <v>1230</v>
      </c>
      <c r="O1253" s="77"/>
      <c r="P1253" s="92" t="s">
        <v>2537</v>
      </c>
      <c r="Q1253" s="32"/>
      <c r="R1253" s="48" t="s">
        <v>216</v>
      </c>
      <c r="S1253" s="32"/>
    </row>
    <row r="1254" spans="2:19" ht="28.8" x14ac:dyDescent="0.3">
      <c r="B1254" t="s">
        <v>4348</v>
      </c>
      <c r="C1254" s="11" t="s">
        <v>178</v>
      </c>
      <c r="D1254">
        <v>1</v>
      </c>
      <c r="E1254" t="s">
        <v>160</v>
      </c>
      <c r="F1254" s="91" t="s">
        <v>1057</v>
      </c>
      <c r="G1254" s="90" t="str">
        <f>LEFT([1]modificado!$O$2, FIND(" ", [1]modificado!$O$2 &amp; " ") - 1)</f>
        <v>3M</v>
      </c>
      <c r="H1254" s="47"/>
      <c r="I1254" s="76"/>
      <c r="J1254" s="76"/>
      <c r="K1254" s="91" t="s">
        <v>4303</v>
      </c>
      <c r="L1254" s="91" t="s">
        <v>3865</v>
      </c>
      <c r="M1254" s="91" t="s">
        <v>1404</v>
      </c>
      <c r="N1254" s="91" t="s">
        <v>1231</v>
      </c>
      <c r="O1254" s="77"/>
      <c r="P1254" s="91" t="s">
        <v>2537</v>
      </c>
      <c r="Q1254" s="32"/>
      <c r="R1254" s="48" t="s">
        <v>216</v>
      </c>
      <c r="S1254" s="32"/>
    </row>
    <row r="1255" spans="2:19" ht="28.8" x14ac:dyDescent="0.3">
      <c r="B1255" t="s">
        <v>4349</v>
      </c>
      <c r="C1255" s="11" t="s">
        <v>178</v>
      </c>
      <c r="D1255">
        <v>1</v>
      </c>
      <c r="E1255" t="s">
        <v>160</v>
      </c>
      <c r="F1255" s="92" t="s">
        <v>1059</v>
      </c>
      <c r="G1255" s="90" t="str">
        <f>LEFT([1]modificado!$O$2, FIND(" ", [1]modificado!$O$2 &amp; " ") - 1)</f>
        <v>3M</v>
      </c>
      <c r="H1255" s="47" t="str">
        <f>RIGHT([1]!Tabla2[[#This Row],[Marca y Modelo]], LEN([1]!Tabla2[[#This Row],[Marca y Modelo]]) - FIND(" ", [1]!Tabla2[[#This Row],[Marca y Modelo]]))</f>
        <v>AJ450A6</v>
      </c>
      <c r="I1255" s="76"/>
      <c r="J1255" s="76"/>
      <c r="K1255" s="92" t="s">
        <v>4305</v>
      </c>
      <c r="L1255" s="92" t="s">
        <v>3866</v>
      </c>
      <c r="M1255" s="92" t="s">
        <v>1404</v>
      </c>
      <c r="N1255" s="92" t="s">
        <v>1232</v>
      </c>
      <c r="O1255" s="77"/>
      <c r="P1255" s="92" t="s">
        <v>2537</v>
      </c>
      <c r="Q1255" s="32"/>
      <c r="R1255" s="48" t="s">
        <v>216</v>
      </c>
      <c r="S1255" s="32"/>
    </row>
    <row r="1256" spans="2:19" ht="28.8" x14ac:dyDescent="0.3">
      <c r="B1256" t="str">
        <f>LEFT(Tabla3890134177220392[[#This Row],[Descripción del equipo]], FIND(" ", Tabla3890134177220392[[#This Row],[Descripción del equipo]] &amp; " ") - 1)</f>
        <v>Autoretractil</v>
      </c>
      <c r="C1256" s="11" t="s">
        <v>178</v>
      </c>
      <c r="D1256">
        <v>1</v>
      </c>
      <c r="E1256" t="s">
        <v>160</v>
      </c>
      <c r="F1256" s="91" t="s">
        <v>1058</v>
      </c>
      <c r="G1256" s="90" t="str">
        <f>LEFT([1]modificado!$O$2, FIND(" ", [1]modificado!$O$2 &amp; " ") - 1)</f>
        <v>3M</v>
      </c>
      <c r="H1256" s="47" t="str">
        <f>RIGHT([1]!Tabla2[[#This Row],[Marca y Modelo]], LEN([1]!Tabla2[[#This Row],[Marca y Modelo]]) - FIND(" ", [1]!Tabla2[[#This Row],[Marca y Modelo]]))</f>
        <v>757190</v>
      </c>
      <c r="I1256" s="76"/>
      <c r="J1256" s="76"/>
      <c r="K1256" s="91" t="s">
        <v>4306</v>
      </c>
      <c r="L1256" s="91" t="s">
        <v>3867</v>
      </c>
      <c r="M1256" s="91" t="s">
        <v>1404</v>
      </c>
      <c r="N1256" s="91" t="s">
        <v>1233</v>
      </c>
      <c r="O1256" s="77"/>
      <c r="P1256" s="91" t="s">
        <v>2537</v>
      </c>
      <c r="Q1256" s="32"/>
      <c r="R1256" s="48" t="s">
        <v>216</v>
      </c>
      <c r="S1256" s="32"/>
    </row>
    <row r="1257" spans="2:19" ht="28.8" x14ac:dyDescent="0.3">
      <c r="B1257" t="str">
        <f>LEFT(Tabla3890134177220392[[#This Row],[Descripción del equipo]], FIND(" ", Tabla3890134177220392[[#This Row],[Descripción del equipo]] &amp; " ") - 1)</f>
        <v>Arnes</v>
      </c>
      <c r="C1257" s="11" t="s">
        <v>178</v>
      </c>
      <c r="D1257">
        <v>1</v>
      </c>
      <c r="E1257" t="s">
        <v>160</v>
      </c>
      <c r="F1257" s="92" t="s">
        <v>1068</v>
      </c>
      <c r="G1257" s="90" t="str">
        <f>LEFT([1]modificado!$O$2, FIND(" ", [1]modificado!$O$2 &amp; " ") - 1)</f>
        <v>3M</v>
      </c>
      <c r="H1257" s="47" t="str">
        <f>RIGHT([1]!Tabla2[[#This Row],[Marca y Modelo]], LEN([1]!Tabla2[[#This Row],[Marca y Modelo]]) - FIND(" ", [1]!Tabla2[[#This Row],[Marca y Modelo]]))</f>
        <v>1191381</v>
      </c>
      <c r="I1257" s="76"/>
      <c r="J1257" s="76"/>
      <c r="K1257" s="92" t="s">
        <v>4303</v>
      </c>
      <c r="L1257" s="92" t="s">
        <v>3868</v>
      </c>
      <c r="M1257" s="92" t="s">
        <v>1404</v>
      </c>
      <c r="N1257" s="92" t="s">
        <v>1234</v>
      </c>
      <c r="O1257" s="77"/>
      <c r="P1257" s="92" t="s">
        <v>2537</v>
      </c>
      <c r="Q1257" s="32"/>
      <c r="R1257" s="48" t="s">
        <v>216</v>
      </c>
      <c r="S1257" s="32"/>
    </row>
    <row r="1258" spans="2:19" ht="28.8" x14ac:dyDescent="0.3">
      <c r="B1258" t="s">
        <v>4348</v>
      </c>
      <c r="C1258" s="11" t="s">
        <v>178</v>
      </c>
      <c r="D1258">
        <v>1</v>
      </c>
      <c r="E1258" t="s">
        <v>160</v>
      </c>
      <c r="F1258" s="91" t="s">
        <v>1070</v>
      </c>
      <c r="G1258" s="90" t="str">
        <f>LEFT([1]modificado!$O$2, FIND(" ", [1]modificado!$O$2 &amp; " ") - 1)</f>
        <v>3M</v>
      </c>
      <c r="H1258" s="47" t="str">
        <f>RIGHT([1]!Tabla2[[#This Row],[Marca y Modelo]], LEN([1]!Tabla2[[#This Row],[Marca y Modelo]]) - FIND(" ", [1]!Tabla2[[#This Row],[Marca y Modelo]]))</f>
        <v>1340161MX</v>
      </c>
      <c r="I1258" s="76"/>
      <c r="J1258" s="76"/>
      <c r="K1258" s="91" t="s">
        <v>4302</v>
      </c>
      <c r="L1258" s="91" t="s">
        <v>3869</v>
      </c>
      <c r="M1258" s="91" t="s">
        <v>1404</v>
      </c>
      <c r="N1258" s="91" t="s">
        <v>1235</v>
      </c>
      <c r="O1258" s="77"/>
      <c r="P1258" s="91" t="s">
        <v>2537</v>
      </c>
      <c r="Q1258" s="32"/>
      <c r="R1258" s="48" t="s">
        <v>216</v>
      </c>
      <c r="S1258" s="32"/>
    </row>
    <row r="1259" spans="2:19" ht="28.8" x14ac:dyDescent="0.3">
      <c r="B1259" t="s">
        <v>4349</v>
      </c>
      <c r="C1259" s="11" t="s">
        <v>178</v>
      </c>
      <c r="D1259">
        <v>1</v>
      </c>
      <c r="E1259" t="s">
        <v>160</v>
      </c>
      <c r="F1259" s="92" t="s">
        <v>1059</v>
      </c>
      <c r="G1259" s="90" t="str">
        <f>LEFT([1]modificado!$O$2, FIND(" ", [1]modificado!$O$2 &amp; " ") - 1)</f>
        <v>3M</v>
      </c>
      <c r="H1259" s="47" t="str">
        <f>RIGHT([1]!Tabla2[[#This Row],[Marca y Modelo]], LEN([1]!Tabla2[[#This Row],[Marca y Modelo]]) - FIND(" ", [1]!Tabla2[[#This Row],[Marca y Modelo]]))</f>
        <v>4550-U</v>
      </c>
      <c r="I1259" s="76"/>
      <c r="J1259" s="76"/>
      <c r="K1259" s="92" t="s">
        <v>4305</v>
      </c>
      <c r="L1259" s="92" t="s">
        <v>3870</v>
      </c>
      <c r="M1259" s="92" t="s">
        <v>1404</v>
      </c>
      <c r="N1259" s="92" t="s">
        <v>1236</v>
      </c>
      <c r="O1259" s="77"/>
      <c r="P1259" s="92" t="s">
        <v>2537</v>
      </c>
      <c r="Q1259" s="32"/>
      <c r="R1259" s="48" t="s">
        <v>216</v>
      </c>
      <c r="S1259" s="32"/>
    </row>
    <row r="1260" spans="2:19" ht="28.8" x14ac:dyDescent="0.3">
      <c r="B1260" t="str">
        <f>LEFT(Tabla3890134177220392[[#This Row],[Descripción del equipo]], FIND(" ", Tabla3890134177220392[[#This Row],[Descripción del equipo]] &amp; " ") - 1)</f>
        <v>Arnes</v>
      </c>
      <c r="C1260" s="11" t="s">
        <v>178</v>
      </c>
      <c r="D1260">
        <v>1</v>
      </c>
      <c r="E1260" t="s">
        <v>160</v>
      </c>
      <c r="F1260" s="91" t="s">
        <v>1068</v>
      </c>
      <c r="G1260" s="90" t="str">
        <f>LEFT([1]modificado!$O$2, FIND(" ", [1]modificado!$O$2 &amp; " ") - 1)</f>
        <v>3M</v>
      </c>
      <c r="H1260" s="47" t="str">
        <f>RIGHT([1]!Tabla2[[#This Row],[Marca y Modelo]], LEN([1]!Tabla2[[#This Row],[Marca y Modelo]]) - FIND(" ", [1]!Tabla2[[#This Row],[Marca y Modelo]]))</f>
        <v>1110830</v>
      </c>
      <c r="I1260" s="76"/>
      <c r="J1260" s="76"/>
      <c r="K1260" s="91" t="s">
        <v>4308</v>
      </c>
      <c r="L1260" s="91" t="s">
        <v>3871</v>
      </c>
      <c r="M1260" s="91" t="s">
        <v>1404</v>
      </c>
      <c r="N1260" s="91" t="s">
        <v>1237</v>
      </c>
      <c r="O1260" s="77"/>
      <c r="P1260" s="91" t="s">
        <v>2537</v>
      </c>
      <c r="Q1260" s="32"/>
      <c r="R1260" s="48" t="s">
        <v>216</v>
      </c>
      <c r="S1260" s="32"/>
    </row>
    <row r="1261" spans="2:19" ht="28.8" x14ac:dyDescent="0.3">
      <c r="B1261" t="str">
        <f>LEFT(Tabla3890134177220392[[#This Row],[Descripción del equipo]], FIND(" ", Tabla3890134177220392[[#This Row],[Descripción del equipo]] &amp; " ") - 1)</f>
        <v>Arnes</v>
      </c>
      <c r="C1261" s="11" t="s">
        <v>178</v>
      </c>
      <c r="D1261">
        <v>1</v>
      </c>
      <c r="E1261" t="s">
        <v>160</v>
      </c>
      <c r="F1261" s="92" t="s">
        <v>1068</v>
      </c>
      <c r="G1261" s="90" t="str">
        <f>LEFT([1]modificado!$O$2, FIND(" ", [1]modificado!$O$2 &amp; " ") - 1)</f>
        <v>3M</v>
      </c>
      <c r="H1261" s="47" t="str">
        <f>RIGHT([1]!Tabla2[[#This Row],[Marca y Modelo]], LEN([1]!Tabla2[[#This Row],[Marca y Modelo]]) - FIND(" ", [1]!Tabla2[[#This Row],[Marca y Modelo]]))</f>
        <v>1110830</v>
      </c>
      <c r="I1261" s="76"/>
      <c r="J1261" s="76"/>
      <c r="K1261" s="92" t="s">
        <v>4308</v>
      </c>
      <c r="L1261" s="92" t="s">
        <v>3872</v>
      </c>
      <c r="M1261" s="92" t="s">
        <v>1404</v>
      </c>
      <c r="N1261" s="92" t="s">
        <v>1238</v>
      </c>
      <c r="O1261" s="77"/>
      <c r="P1261" s="92" t="s">
        <v>2537</v>
      </c>
      <c r="Q1261" s="32"/>
      <c r="R1261" s="48" t="s">
        <v>216</v>
      </c>
      <c r="S1261" s="32"/>
    </row>
    <row r="1262" spans="2:19" ht="28.8" x14ac:dyDescent="0.3">
      <c r="B1262" t="s">
        <v>4348</v>
      </c>
      <c r="C1262" s="11" t="s">
        <v>178</v>
      </c>
      <c r="D1262">
        <v>1</v>
      </c>
      <c r="E1262" t="s">
        <v>160</v>
      </c>
      <c r="F1262" s="91" t="s">
        <v>1061</v>
      </c>
      <c r="G1262" s="90" t="str">
        <f>LEFT([1]modificado!$O$2, FIND(" ", [1]modificado!$O$2 &amp; " ") - 1)</f>
        <v>3M</v>
      </c>
      <c r="H1262" s="47" t="str">
        <f>RIGHT([1]!Tabla2[[#This Row],[Marca y Modelo]], LEN([1]!Tabla2[[#This Row],[Marca y Modelo]]) - FIND(" ", [1]!Tabla2[[#This Row],[Marca y Modelo]]))</f>
        <v>3210</v>
      </c>
      <c r="I1262" s="76"/>
      <c r="J1262" s="76"/>
      <c r="K1262" s="91" t="s">
        <v>4309</v>
      </c>
      <c r="L1262" s="91" t="s">
        <v>3873</v>
      </c>
      <c r="M1262" s="91" t="s">
        <v>1404</v>
      </c>
      <c r="N1262" s="91" t="s">
        <v>1239</v>
      </c>
      <c r="O1262" s="77"/>
      <c r="P1262" s="91" t="s">
        <v>2537</v>
      </c>
      <c r="Q1262" s="32"/>
      <c r="R1262" s="48" t="s">
        <v>216</v>
      </c>
      <c r="S1262" s="32"/>
    </row>
    <row r="1263" spans="2:19" ht="28.8" x14ac:dyDescent="0.3">
      <c r="B1263" t="s">
        <v>4348</v>
      </c>
      <c r="C1263" s="11" t="s">
        <v>178</v>
      </c>
      <c r="D1263">
        <v>1</v>
      </c>
      <c r="E1263" t="s">
        <v>160</v>
      </c>
      <c r="F1263" s="92" t="s">
        <v>1072</v>
      </c>
      <c r="G1263" s="90" t="str">
        <f>LEFT([1]modificado!$O$2, FIND(" ", [1]modificado!$O$2 &amp; " ") - 1)</f>
        <v>3M</v>
      </c>
      <c r="H1263" s="47" t="str">
        <f>RIGHT([1]!Tabla2[[#This Row],[Marca y Modelo]], LEN([1]!Tabla2[[#This Row],[Marca y Modelo]]) - FIND(" ", [1]!Tabla2[[#This Row],[Marca y Modelo]]))</f>
        <v>1385301MX</v>
      </c>
      <c r="I1263" s="76"/>
      <c r="J1263" s="76"/>
      <c r="K1263" s="92" t="s">
        <v>4310</v>
      </c>
      <c r="L1263" s="92" t="s">
        <v>3874</v>
      </c>
      <c r="M1263" s="92" t="s">
        <v>1404</v>
      </c>
      <c r="N1263" s="92" t="s">
        <v>1240</v>
      </c>
      <c r="O1263" s="77"/>
      <c r="P1263" s="92" t="s">
        <v>2537</v>
      </c>
      <c r="Q1263" s="32"/>
      <c r="R1263" s="48" t="s">
        <v>216</v>
      </c>
      <c r="S1263" s="32"/>
    </row>
    <row r="1264" spans="2:19" ht="28.8" x14ac:dyDescent="0.3">
      <c r="B1264" t="s">
        <v>4348</v>
      </c>
      <c r="C1264" s="11" t="s">
        <v>178</v>
      </c>
      <c r="D1264">
        <v>1</v>
      </c>
      <c r="E1264" t="s">
        <v>160</v>
      </c>
      <c r="F1264" s="91" t="s">
        <v>1057</v>
      </c>
      <c r="G1264" s="90" t="str">
        <f>LEFT([1]modificado!$O$2, FIND(" ", [1]modificado!$O$2 &amp; " ") - 1)</f>
        <v>3M</v>
      </c>
      <c r="H1264" s="47" t="str">
        <f>RIGHT([1]!Tabla2[[#This Row],[Marca y Modelo]], LEN([1]!Tabla2[[#This Row],[Marca y Modelo]]) - FIND(" ", [1]!Tabla2[[#This Row],[Marca y Modelo]]))</f>
        <v>671EC</v>
      </c>
      <c r="I1264" s="76"/>
      <c r="J1264" s="76"/>
      <c r="K1264" s="91" t="s">
        <v>4311</v>
      </c>
      <c r="L1264" s="91" t="s">
        <v>3875</v>
      </c>
      <c r="M1264" s="91" t="s">
        <v>1404</v>
      </c>
      <c r="N1264" s="91" t="s">
        <v>1241</v>
      </c>
      <c r="O1264" s="77"/>
      <c r="P1264" s="91" t="s">
        <v>2537</v>
      </c>
      <c r="Q1264" s="32"/>
      <c r="R1264" s="48" t="s">
        <v>216</v>
      </c>
      <c r="S1264" s="32"/>
    </row>
    <row r="1265" spans="2:19" ht="28.8" x14ac:dyDescent="0.3">
      <c r="B1265" t="s">
        <v>4348</v>
      </c>
      <c r="C1265" s="11" t="s">
        <v>178</v>
      </c>
      <c r="D1265">
        <v>1</v>
      </c>
      <c r="E1265" t="s">
        <v>160</v>
      </c>
      <c r="F1265" s="92" t="s">
        <v>1070</v>
      </c>
      <c r="G1265" s="90" t="str">
        <f>LEFT([1]modificado!$O$2, FIND(" ", [1]modificado!$O$2 &amp; " ") - 1)</f>
        <v>3M</v>
      </c>
      <c r="H1265" s="47" t="str">
        <f>RIGHT([1]!Tabla2[[#This Row],[Marca y Modelo]], LEN([1]!Tabla2[[#This Row],[Marca y Modelo]]) - FIND(" ", [1]!Tabla2[[#This Row],[Marca y Modelo]]))</f>
        <v>1340161MX</v>
      </c>
      <c r="I1265" s="76"/>
      <c r="J1265" s="76"/>
      <c r="K1265" s="92" t="s">
        <v>4311</v>
      </c>
      <c r="L1265" s="92" t="s">
        <v>3876</v>
      </c>
      <c r="M1265" s="92" t="s">
        <v>1404</v>
      </c>
      <c r="N1265" s="92" t="s">
        <v>1242</v>
      </c>
      <c r="O1265" s="77"/>
      <c r="P1265" s="92" t="s">
        <v>2537</v>
      </c>
      <c r="Q1265" s="32"/>
      <c r="R1265" s="48" t="s">
        <v>216</v>
      </c>
      <c r="S1265" s="32"/>
    </row>
    <row r="1266" spans="2:19" ht="28.8" x14ac:dyDescent="0.3">
      <c r="B1266" t="str">
        <f>LEFT(Tabla3890134177220392[[#This Row],[Descripción del equipo]], FIND(" ", Tabla3890134177220392[[#This Row],[Descripción del equipo]] &amp; " ") - 1)</f>
        <v>Autoretractil</v>
      </c>
      <c r="C1266" s="11" t="s">
        <v>178</v>
      </c>
      <c r="D1266">
        <v>1</v>
      </c>
      <c r="E1266" t="s">
        <v>160</v>
      </c>
      <c r="F1266" s="91" t="s">
        <v>1058</v>
      </c>
      <c r="G1266" s="90" t="str">
        <f>LEFT([1]modificado!$O$2, FIND(" ", [1]modificado!$O$2 &amp; " ") - 1)</f>
        <v>3M</v>
      </c>
      <c r="H1266" s="47" t="str">
        <f>RIGHT([1]!Tabla2[[#This Row],[Marca y Modelo]], LEN([1]!Tabla2[[#This Row],[Marca y Modelo]]) - FIND(" ", [1]!Tabla2[[#This Row],[Marca y Modelo]]))</f>
        <v>3100414</v>
      </c>
      <c r="I1266" s="76"/>
      <c r="J1266" s="76"/>
      <c r="K1266" s="91" t="s">
        <v>4312</v>
      </c>
      <c r="L1266" s="91" t="s">
        <v>3877</v>
      </c>
      <c r="M1266" s="91" t="s">
        <v>1404</v>
      </c>
      <c r="N1266" s="91" t="s">
        <v>1243</v>
      </c>
      <c r="O1266" s="77"/>
      <c r="P1266" s="91" t="s">
        <v>2537</v>
      </c>
      <c r="Q1266" s="32"/>
      <c r="R1266" s="48" t="s">
        <v>216</v>
      </c>
      <c r="S1266" s="32"/>
    </row>
    <row r="1267" spans="2:19" ht="28.8" x14ac:dyDescent="0.3">
      <c r="B1267" t="str">
        <f>LEFT(Tabla3890134177220392[[#This Row],[Descripción del equipo]], FIND(" ", Tabla3890134177220392[[#This Row],[Descripción del equipo]] &amp; " ") - 1)</f>
        <v>Arnes</v>
      </c>
      <c r="C1267" s="11" t="s">
        <v>178</v>
      </c>
      <c r="D1267">
        <v>1</v>
      </c>
      <c r="E1267" t="s">
        <v>160</v>
      </c>
      <c r="F1267" s="92" t="s">
        <v>1056</v>
      </c>
      <c r="G1267" s="90" t="str">
        <f>LEFT([1]modificado!$O$2, FIND(" ", [1]modificado!$O$2 &amp; " ") - 1)</f>
        <v>3M</v>
      </c>
      <c r="H1267" s="47" t="str">
        <f>RIGHT([1]!Tabla2[[#This Row],[Marca y Modelo]], LEN([1]!Tabla2[[#This Row],[Marca y Modelo]]) - FIND(" ", [1]!Tabla2[[#This Row],[Marca y Modelo]]))</f>
        <v>1191205</v>
      </c>
      <c r="I1267" s="76"/>
      <c r="J1267" s="76"/>
      <c r="K1267" s="92" t="s">
        <v>4308</v>
      </c>
      <c r="L1267" s="92" t="s">
        <v>3878</v>
      </c>
      <c r="M1267" s="92" t="s">
        <v>1404</v>
      </c>
      <c r="N1267" s="92" t="s">
        <v>1244</v>
      </c>
      <c r="O1267" s="77"/>
      <c r="P1267" s="92" t="s">
        <v>2537</v>
      </c>
      <c r="Q1267" s="32"/>
      <c r="R1267" s="48" t="s">
        <v>216</v>
      </c>
      <c r="S1267" s="32"/>
    </row>
    <row r="1268" spans="2:19" ht="28.8" x14ac:dyDescent="0.3">
      <c r="B1268" t="s">
        <v>4348</v>
      </c>
      <c r="C1268" s="11" t="s">
        <v>178</v>
      </c>
      <c r="D1268">
        <v>1</v>
      </c>
      <c r="E1268" t="s">
        <v>160</v>
      </c>
      <c r="F1268" s="91" t="s">
        <v>1069</v>
      </c>
      <c r="G1268" s="90" t="str">
        <f>LEFT([1]modificado!$O$2, FIND(" ", [1]modificado!$O$2 &amp; " ") - 1)</f>
        <v>3M</v>
      </c>
      <c r="H1268" s="47"/>
      <c r="I1268" s="76"/>
      <c r="J1268" s="76"/>
      <c r="K1268" s="91" t="s">
        <v>4311</v>
      </c>
      <c r="L1268" s="91" t="s">
        <v>3879</v>
      </c>
      <c r="M1268" s="91" t="s">
        <v>1404</v>
      </c>
      <c r="N1268" s="91" t="s">
        <v>1245</v>
      </c>
      <c r="O1268" s="77"/>
      <c r="P1268" s="91" t="s">
        <v>2537</v>
      </c>
      <c r="Q1268" s="32"/>
      <c r="R1268" s="48" t="s">
        <v>216</v>
      </c>
      <c r="S1268" s="32"/>
    </row>
    <row r="1269" spans="2:19" ht="28.8" x14ac:dyDescent="0.3">
      <c r="B1269" t="s">
        <v>4349</v>
      </c>
      <c r="C1269" s="11" t="s">
        <v>178</v>
      </c>
      <c r="D1269">
        <v>1</v>
      </c>
      <c r="E1269" t="s">
        <v>160</v>
      </c>
      <c r="F1269" s="92" t="s">
        <v>1059</v>
      </c>
      <c r="G1269" s="90" t="str">
        <f>LEFT([1]modificado!$O$2, FIND(" ", [1]modificado!$O$2 &amp; " ") - 1)</f>
        <v>3M</v>
      </c>
      <c r="H1269" s="47" t="str">
        <f>RIGHT([1]!Tabla2[[#This Row],[Marca y Modelo]], LEN([1]!Tabla2[[#This Row],[Marca y Modelo]]) - FIND(" ", [1]!Tabla2[[#This Row],[Marca y Modelo]]))</f>
        <v>AJ450A6</v>
      </c>
      <c r="I1269" s="76"/>
      <c r="J1269" s="76"/>
      <c r="K1269" s="92" t="s">
        <v>4313</v>
      </c>
      <c r="L1269" s="92" t="s">
        <v>3880</v>
      </c>
      <c r="M1269" s="92" t="s">
        <v>1404</v>
      </c>
      <c r="N1269" s="92" t="s">
        <v>1246</v>
      </c>
      <c r="O1269" s="77"/>
      <c r="P1269" s="92" t="s">
        <v>2537</v>
      </c>
      <c r="Q1269" s="32"/>
      <c r="R1269" s="48" t="s">
        <v>216</v>
      </c>
      <c r="S1269" s="32"/>
    </row>
    <row r="1270" spans="2:19" ht="28.8" x14ac:dyDescent="0.3">
      <c r="B1270" t="s">
        <v>4349</v>
      </c>
      <c r="C1270" s="11" t="s">
        <v>178</v>
      </c>
      <c r="D1270">
        <v>1</v>
      </c>
      <c r="E1270" t="s">
        <v>160</v>
      </c>
      <c r="F1270" s="91" t="s">
        <v>1059</v>
      </c>
      <c r="G1270" s="90" t="str">
        <f>LEFT([1]modificado!$O$2, FIND(" ", [1]modificado!$O$2 &amp; " ") - 1)</f>
        <v>3M</v>
      </c>
      <c r="H1270" s="47" t="str">
        <f>RIGHT([1]!Tabla2[[#This Row],[Marca y Modelo]], LEN([1]!Tabla2[[#This Row],[Marca y Modelo]]) - FIND(" ", [1]!Tabla2[[#This Row],[Marca y Modelo]]))</f>
        <v>1003006</v>
      </c>
      <c r="I1270" s="76"/>
      <c r="J1270" s="76"/>
      <c r="K1270" s="91" t="s">
        <v>4313</v>
      </c>
      <c r="L1270" s="91" t="s">
        <v>3881</v>
      </c>
      <c r="M1270" s="91" t="s">
        <v>1404</v>
      </c>
      <c r="N1270" s="91" t="s">
        <v>1247</v>
      </c>
      <c r="O1270" s="77"/>
      <c r="P1270" s="91" t="s">
        <v>2537</v>
      </c>
      <c r="Q1270" s="32"/>
      <c r="R1270" s="48" t="s">
        <v>216</v>
      </c>
      <c r="S1270" s="32"/>
    </row>
    <row r="1271" spans="2:19" ht="28.8" x14ac:dyDescent="0.3">
      <c r="B1271" t="str">
        <f>LEFT(Tabla3890134177220392[[#This Row],[Descripción del equipo]], FIND(" ", Tabla3890134177220392[[#This Row],[Descripción del equipo]] &amp; " ") - 1)</f>
        <v>Autoretractil</v>
      </c>
      <c r="C1271" s="11" t="s">
        <v>178</v>
      </c>
      <c r="D1271">
        <v>1</v>
      </c>
      <c r="E1271" t="s">
        <v>160</v>
      </c>
      <c r="F1271" s="92" t="s">
        <v>1058</v>
      </c>
      <c r="G1271" s="90" t="str">
        <f>LEFT([1]modificado!$O$2, FIND(" ", [1]modificado!$O$2 &amp; " ") - 1)</f>
        <v>3M</v>
      </c>
      <c r="H1271" s="47" t="str">
        <f>RIGHT([1]!Tabla2[[#This Row],[Marca y Modelo]], LEN([1]!Tabla2[[#This Row],[Marca y Modelo]]) - FIND(" ", [1]!Tabla2[[#This Row],[Marca y Modelo]]))</f>
        <v>3100414</v>
      </c>
      <c r="I1271" s="76"/>
      <c r="J1271" s="76"/>
      <c r="K1271" s="92" t="s">
        <v>4312</v>
      </c>
      <c r="L1271" s="92" t="s">
        <v>3882</v>
      </c>
      <c r="M1271" s="92" t="s">
        <v>1404</v>
      </c>
      <c r="N1271" s="92" t="s">
        <v>1248</v>
      </c>
      <c r="O1271" s="77"/>
      <c r="P1271" s="92" t="s">
        <v>2537</v>
      </c>
      <c r="Q1271" s="32"/>
      <c r="R1271" s="48" t="s">
        <v>216</v>
      </c>
      <c r="S1271" s="32"/>
    </row>
    <row r="1272" spans="2:19" ht="28.8" x14ac:dyDescent="0.3">
      <c r="B1272" t="str">
        <f>LEFT(Tabla3890134177220392[[#This Row],[Descripción del equipo]], FIND(" ", Tabla3890134177220392[[#This Row],[Descripción del equipo]] &amp; " ") - 1)</f>
        <v>Arnes</v>
      </c>
      <c r="C1272" s="11" t="s">
        <v>178</v>
      </c>
      <c r="D1272">
        <v>1</v>
      </c>
      <c r="E1272" t="s">
        <v>160</v>
      </c>
      <c r="F1272" s="91" t="s">
        <v>1068</v>
      </c>
      <c r="G1272" s="90" t="str">
        <f>LEFT([1]modificado!$O$2, FIND(" ", [1]modificado!$O$2 &amp; " ") - 1)</f>
        <v>3M</v>
      </c>
      <c r="H1272" s="47" t="str">
        <f>RIGHT([1]!Tabla2[[#This Row],[Marca y Modelo]], LEN([1]!Tabla2[[#This Row],[Marca y Modelo]]) - FIND(" ", [1]!Tabla2[[#This Row],[Marca y Modelo]]))</f>
        <v>1110830</v>
      </c>
      <c r="I1272" s="76"/>
      <c r="J1272" s="76"/>
      <c r="K1272" s="91" t="s">
        <v>4308</v>
      </c>
      <c r="L1272" s="91" t="s">
        <v>3883</v>
      </c>
      <c r="M1272" s="91" t="s">
        <v>1404</v>
      </c>
      <c r="N1272" s="91" t="s">
        <v>1249</v>
      </c>
      <c r="O1272" s="77"/>
      <c r="P1272" s="91" t="s">
        <v>2537</v>
      </c>
      <c r="Q1272" s="32"/>
      <c r="R1272" s="48" t="s">
        <v>216</v>
      </c>
      <c r="S1272" s="32"/>
    </row>
    <row r="1273" spans="2:19" ht="28.8" x14ac:dyDescent="0.3">
      <c r="B1273" t="str">
        <f>LEFT(Tabla3890134177220392[[#This Row],[Descripción del equipo]], FIND(" ", Tabla3890134177220392[[#This Row],[Descripción del equipo]] &amp; " ") - 1)</f>
        <v>Autoretractil</v>
      </c>
      <c r="C1273" s="11" t="s">
        <v>178</v>
      </c>
      <c r="D1273">
        <v>1</v>
      </c>
      <c r="E1273" t="s">
        <v>160</v>
      </c>
      <c r="F1273" s="92" t="s">
        <v>1058</v>
      </c>
      <c r="G1273" s="90" t="str">
        <f>LEFT([1]modificado!$O$2, FIND(" ", [1]modificado!$O$2 &amp; " ") - 1)</f>
        <v>3M</v>
      </c>
      <c r="H1273" s="47" t="str">
        <f>RIGHT([1]!Tabla2[[#This Row],[Marca y Modelo]], LEN([1]!Tabla2[[#This Row],[Marca y Modelo]]) - FIND(" ", [1]!Tabla2[[#This Row],[Marca y Modelo]]))</f>
        <v>3100425</v>
      </c>
      <c r="I1273" s="76"/>
      <c r="J1273" s="76"/>
      <c r="K1273" s="92" t="s">
        <v>4312</v>
      </c>
      <c r="L1273" s="92" t="s">
        <v>3884</v>
      </c>
      <c r="M1273" s="92" t="s">
        <v>1404</v>
      </c>
      <c r="N1273" s="92" t="s">
        <v>1250</v>
      </c>
      <c r="O1273" s="77"/>
      <c r="P1273" s="92" t="s">
        <v>2537</v>
      </c>
      <c r="Q1273" s="32"/>
      <c r="R1273" s="48" t="s">
        <v>216</v>
      </c>
      <c r="S1273" s="32"/>
    </row>
    <row r="1274" spans="2:19" ht="28.8" x14ac:dyDescent="0.3">
      <c r="B1274" t="str">
        <f>LEFT(Tabla3890134177220392[[#This Row],[Descripción del equipo]], FIND(" ", Tabla3890134177220392[[#This Row],[Descripción del equipo]] &amp; " ") - 1)</f>
        <v>Arnes</v>
      </c>
      <c r="C1274" s="11" t="s">
        <v>178</v>
      </c>
      <c r="D1274">
        <v>1</v>
      </c>
      <c r="E1274" t="s">
        <v>160</v>
      </c>
      <c r="F1274" s="91" t="s">
        <v>1056</v>
      </c>
      <c r="G1274" s="90" t="str">
        <f>LEFT([1]modificado!$O$2, FIND(" ", [1]modificado!$O$2 &amp; " ") - 1)</f>
        <v>3M</v>
      </c>
      <c r="H1274" s="47" t="str">
        <f>RIGHT([1]!Tabla2[[#This Row],[Marca y Modelo]], LEN([1]!Tabla2[[#This Row],[Marca y Modelo]]) - FIND(" ", [1]!Tabla2[[#This Row],[Marca y Modelo]]))</f>
        <v>Basic Tiger</v>
      </c>
      <c r="I1274" s="76"/>
      <c r="J1274" s="76"/>
      <c r="K1274" s="91" t="s">
        <v>4308</v>
      </c>
      <c r="L1274" s="91" t="s">
        <v>3885</v>
      </c>
      <c r="M1274" s="91" t="s">
        <v>1404</v>
      </c>
      <c r="N1274" s="91" t="s">
        <v>1251</v>
      </c>
      <c r="O1274" s="77"/>
      <c r="P1274" s="91" t="s">
        <v>2537</v>
      </c>
      <c r="Q1274" s="32"/>
      <c r="R1274" s="48" t="s">
        <v>216</v>
      </c>
      <c r="S1274" s="32"/>
    </row>
    <row r="1275" spans="2:19" ht="28.8" x14ac:dyDescent="0.3">
      <c r="B1275" t="str">
        <f>LEFT(Tabla3890134177220392[[#This Row],[Descripción del equipo]], FIND(" ", Tabla3890134177220392[[#This Row],[Descripción del equipo]] &amp; " ") - 1)</f>
        <v>Arnes</v>
      </c>
      <c r="C1275" s="11" t="s">
        <v>178</v>
      </c>
      <c r="D1275">
        <v>1</v>
      </c>
      <c r="E1275" t="s">
        <v>160</v>
      </c>
      <c r="F1275" s="92" t="s">
        <v>1056</v>
      </c>
      <c r="G1275" s="90" t="str">
        <f>LEFT([1]modificado!$O$2, FIND(" ", [1]modificado!$O$2 &amp; " ") - 1)</f>
        <v>3M</v>
      </c>
      <c r="H1275" s="47" t="str">
        <f>RIGHT([1]!Tabla2[[#This Row],[Marca y Modelo]], LEN([1]!Tabla2[[#This Row],[Marca y Modelo]]) - FIND(" ", [1]!Tabla2[[#This Row],[Marca y Modelo]]))</f>
        <v>Basic Lion</v>
      </c>
      <c r="I1275" s="76"/>
      <c r="J1275" s="76"/>
      <c r="K1275" s="92" t="s">
        <v>4308</v>
      </c>
      <c r="L1275" s="92" t="s">
        <v>3886</v>
      </c>
      <c r="M1275" s="92" t="s">
        <v>1404</v>
      </c>
      <c r="N1275" s="92" t="s">
        <v>1252</v>
      </c>
      <c r="O1275" s="77"/>
      <c r="P1275" s="92" t="s">
        <v>2537</v>
      </c>
      <c r="Q1275" s="32"/>
      <c r="R1275" s="48" t="s">
        <v>216</v>
      </c>
      <c r="S1275" s="32"/>
    </row>
    <row r="1276" spans="2:19" ht="28.8" x14ac:dyDescent="0.3">
      <c r="B1276" t="str">
        <f>LEFT(Tabla3890134177220392[[#This Row],[Descripción del equipo]], FIND(" ", Tabla3890134177220392[[#This Row],[Descripción del equipo]] &amp; " ") - 1)</f>
        <v>Arnes</v>
      </c>
      <c r="C1276" s="11" t="s">
        <v>178</v>
      </c>
      <c r="D1276">
        <v>1</v>
      </c>
      <c r="E1276" t="s">
        <v>160</v>
      </c>
      <c r="F1276" s="91" t="s">
        <v>1056</v>
      </c>
      <c r="G1276" s="90" t="str">
        <f>LEFT([1]modificado!$O$2, FIND(" ", [1]modificado!$O$2 &amp; " ") - 1)</f>
        <v>3M</v>
      </c>
      <c r="H1276" s="47" t="str">
        <f>RIGHT([1]!Tabla2[[#This Row],[Marca y Modelo]], LEN([1]!Tabla2[[#This Row],[Marca y Modelo]]) - FIND(" ", [1]!Tabla2[[#This Row],[Marca y Modelo]]))</f>
        <v>10911</v>
      </c>
      <c r="I1276" s="76"/>
      <c r="J1276" s="76"/>
      <c r="K1276" s="91" t="s">
        <v>4308</v>
      </c>
      <c r="L1276" s="91" t="s">
        <v>3887</v>
      </c>
      <c r="M1276" s="91" t="s">
        <v>1404</v>
      </c>
      <c r="N1276" s="91" t="s">
        <v>1253</v>
      </c>
      <c r="O1276" s="77"/>
      <c r="P1276" s="91" t="s">
        <v>2537</v>
      </c>
      <c r="Q1276" s="32"/>
      <c r="R1276" s="48" t="s">
        <v>216</v>
      </c>
      <c r="S1276" s="32"/>
    </row>
    <row r="1277" spans="2:19" ht="28.8" x14ac:dyDescent="0.3">
      <c r="B1277" t="str">
        <f>LEFT(Tabla3890134177220392[[#This Row],[Descripción del equipo]], FIND(" ", Tabla3890134177220392[[#This Row],[Descripción del equipo]] &amp; " ") - 1)</f>
        <v>Arnes</v>
      </c>
      <c r="C1277" s="11" t="s">
        <v>178</v>
      </c>
      <c r="D1277">
        <v>1</v>
      </c>
      <c r="E1277" t="s">
        <v>160</v>
      </c>
      <c r="F1277" s="92" t="s">
        <v>1068</v>
      </c>
      <c r="G1277" s="90" t="str">
        <f>LEFT([1]modificado!$O$2, FIND(" ", [1]modificado!$O$2 &amp; " ") - 1)</f>
        <v>3M</v>
      </c>
      <c r="H1277" s="47" t="str">
        <f>RIGHT([1]!Tabla2[[#This Row],[Marca y Modelo]], LEN([1]!Tabla2[[#This Row],[Marca y Modelo]]) - FIND(" ", [1]!Tabla2[[#This Row],[Marca y Modelo]]))</f>
        <v>1191381</v>
      </c>
      <c r="I1277" s="76"/>
      <c r="J1277" s="76"/>
      <c r="K1277" s="92" t="s">
        <v>4308</v>
      </c>
      <c r="L1277" s="92" t="s">
        <v>3888</v>
      </c>
      <c r="M1277" s="92" t="s">
        <v>1404</v>
      </c>
      <c r="N1277" s="92" t="s">
        <v>1254</v>
      </c>
      <c r="O1277" s="77"/>
      <c r="P1277" s="92" t="s">
        <v>2537</v>
      </c>
      <c r="Q1277" s="32"/>
      <c r="R1277" s="48" t="s">
        <v>216</v>
      </c>
      <c r="S1277" s="32"/>
    </row>
    <row r="1278" spans="2:19" ht="28.8" x14ac:dyDescent="0.3">
      <c r="B1278" t="str">
        <f>LEFT(Tabla3890134177220392[[#This Row],[Descripción del equipo]], FIND(" ", Tabla3890134177220392[[#This Row],[Descripción del equipo]] &amp; " ") - 1)</f>
        <v>Arnes</v>
      </c>
      <c r="C1278" s="11" t="s">
        <v>178</v>
      </c>
      <c r="D1278">
        <v>1</v>
      </c>
      <c r="E1278" t="s">
        <v>160</v>
      </c>
      <c r="F1278" s="91" t="s">
        <v>1056</v>
      </c>
      <c r="G1278" s="90" t="str">
        <f>LEFT([1]modificado!$O$2, FIND(" ", [1]modificado!$O$2 &amp; " ") - 1)</f>
        <v>3M</v>
      </c>
      <c r="H1278" s="47" t="str">
        <f>RIGHT([1]!Tabla2[[#This Row],[Marca y Modelo]], LEN([1]!Tabla2[[#This Row],[Marca y Modelo]]) - FIND(" ", [1]!Tabla2[[#This Row],[Marca y Modelo]]))</f>
        <v>10911</v>
      </c>
      <c r="I1278" s="76"/>
      <c r="J1278" s="76"/>
      <c r="K1278" s="91" t="s">
        <v>4308</v>
      </c>
      <c r="L1278" s="91" t="s">
        <v>3889</v>
      </c>
      <c r="M1278" s="91" t="s">
        <v>1404</v>
      </c>
      <c r="N1278" s="91" t="s">
        <v>1255</v>
      </c>
      <c r="O1278" s="77"/>
      <c r="P1278" s="91" t="s">
        <v>2537</v>
      </c>
      <c r="Q1278" s="32"/>
      <c r="R1278" s="48" t="s">
        <v>216</v>
      </c>
      <c r="S1278" s="32"/>
    </row>
    <row r="1279" spans="2:19" ht="28.8" x14ac:dyDescent="0.3">
      <c r="B1279" t="s">
        <v>4348</v>
      </c>
      <c r="C1279" s="11" t="s">
        <v>178</v>
      </c>
      <c r="D1279">
        <v>1</v>
      </c>
      <c r="E1279" t="s">
        <v>160</v>
      </c>
      <c r="F1279" s="92" t="s">
        <v>1061</v>
      </c>
      <c r="G1279" s="90" t="str">
        <f>LEFT([1]modificado!$O$2, FIND(" ", [1]modificado!$O$2 &amp; " ") - 1)</f>
        <v>3M</v>
      </c>
      <c r="H1279" s="47" t="str">
        <f>RIGHT([1]!Tabla2[[#This Row],[Marca y Modelo]], LEN([1]!Tabla2[[#This Row],[Marca y Modelo]]) - FIND(" ", [1]!Tabla2[[#This Row],[Marca y Modelo]]))</f>
        <v>3210</v>
      </c>
      <c r="I1279" s="76"/>
      <c r="J1279" s="76"/>
      <c r="K1279" s="92" t="s">
        <v>4309</v>
      </c>
      <c r="L1279" s="92" t="s">
        <v>3890</v>
      </c>
      <c r="M1279" s="92" t="s">
        <v>1404</v>
      </c>
      <c r="N1279" s="92" t="s">
        <v>1256</v>
      </c>
      <c r="O1279" s="77"/>
      <c r="P1279" s="92" t="s">
        <v>2537</v>
      </c>
      <c r="Q1279" s="32"/>
      <c r="R1279" s="48" t="s">
        <v>216</v>
      </c>
      <c r="S1279" s="32"/>
    </row>
    <row r="1280" spans="2:19" ht="28.8" x14ac:dyDescent="0.3">
      <c r="B1280" t="s">
        <v>4348</v>
      </c>
      <c r="C1280" s="11" t="s">
        <v>178</v>
      </c>
      <c r="D1280">
        <v>1</v>
      </c>
      <c r="E1280" t="s">
        <v>160</v>
      </c>
      <c r="F1280" s="91" t="s">
        <v>1072</v>
      </c>
      <c r="G1280" s="90" t="str">
        <f>LEFT([1]modificado!$O$2, FIND(" ", [1]modificado!$O$2 &amp; " ") - 1)</f>
        <v>3M</v>
      </c>
      <c r="H1280" s="47" t="str">
        <f>RIGHT([1]!Tabla2[[#This Row],[Marca y Modelo]], LEN([1]!Tabla2[[#This Row],[Marca y Modelo]]) - FIND(" ", [1]!Tabla2[[#This Row],[Marca y Modelo]]))</f>
        <v>602AC</v>
      </c>
      <c r="I1280" s="76"/>
      <c r="J1280" s="76"/>
      <c r="K1280" s="91" t="s">
        <v>4310</v>
      </c>
      <c r="L1280" s="91" t="s">
        <v>3891</v>
      </c>
      <c r="M1280" s="91" t="s">
        <v>1404</v>
      </c>
      <c r="N1280" s="91" t="s">
        <v>1257</v>
      </c>
      <c r="O1280" s="77"/>
      <c r="P1280" s="91" t="s">
        <v>2537</v>
      </c>
      <c r="Q1280" s="32"/>
      <c r="R1280" s="48" t="s">
        <v>216</v>
      </c>
      <c r="S1280" s="32"/>
    </row>
    <row r="1281" spans="2:19" ht="28.8" x14ac:dyDescent="0.3">
      <c r="B1281" t="s">
        <v>4348</v>
      </c>
      <c r="C1281" s="11" t="s">
        <v>178</v>
      </c>
      <c r="D1281">
        <v>1</v>
      </c>
      <c r="E1281" t="s">
        <v>160</v>
      </c>
      <c r="F1281" s="92" t="s">
        <v>1072</v>
      </c>
      <c r="G1281" s="90" t="str">
        <f>LEFT([1]modificado!$O$2, FIND(" ", [1]modificado!$O$2 &amp; " ") - 1)</f>
        <v>3M</v>
      </c>
      <c r="H1281" s="47" t="str">
        <f>RIGHT([1]!Tabla2[[#This Row],[Marca y Modelo]], LEN([1]!Tabla2[[#This Row],[Marca y Modelo]]) - FIND(" ", [1]!Tabla2[[#This Row],[Marca y Modelo]]))</f>
        <v>1385301MX</v>
      </c>
      <c r="I1281" s="76"/>
      <c r="J1281" s="76"/>
      <c r="K1281" s="92" t="s">
        <v>4310</v>
      </c>
      <c r="L1281" s="92" t="s">
        <v>3892</v>
      </c>
      <c r="M1281" s="92" t="s">
        <v>1404</v>
      </c>
      <c r="N1281" s="92" t="s">
        <v>1258</v>
      </c>
      <c r="O1281" s="77"/>
      <c r="P1281" s="92" t="s">
        <v>2537</v>
      </c>
      <c r="Q1281" s="32"/>
      <c r="R1281" s="48" t="s">
        <v>216</v>
      </c>
      <c r="S1281" s="32"/>
    </row>
    <row r="1282" spans="2:19" ht="28.8" x14ac:dyDescent="0.3">
      <c r="B1282" t="s">
        <v>4348</v>
      </c>
      <c r="C1282" s="11" t="s">
        <v>178</v>
      </c>
      <c r="D1282">
        <v>1</v>
      </c>
      <c r="E1282" t="s">
        <v>160</v>
      </c>
      <c r="F1282" s="91" t="s">
        <v>1072</v>
      </c>
      <c r="G1282" s="90" t="str">
        <f>LEFT([1]modificado!$O$2, FIND(" ", [1]modificado!$O$2 &amp; " ") - 1)</f>
        <v>3M</v>
      </c>
      <c r="H1282" s="47" t="str">
        <f>RIGHT([1]!Tabla2[[#This Row],[Marca y Modelo]], LEN([1]!Tabla2[[#This Row],[Marca y Modelo]]) - FIND(" ", [1]!Tabla2[[#This Row],[Marca y Modelo]]))</f>
        <v>602AC</v>
      </c>
      <c r="I1282" s="76"/>
      <c r="J1282" s="76"/>
      <c r="K1282" s="91" t="s">
        <v>4310</v>
      </c>
      <c r="L1282" s="91" t="s">
        <v>3893</v>
      </c>
      <c r="M1282" s="91" t="s">
        <v>1404</v>
      </c>
      <c r="N1282" s="91" t="s">
        <v>1259</v>
      </c>
      <c r="O1282" s="77"/>
      <c r="P1282" s="91" t="s">
        <v>2537</v>
      </c>
      <c r="Q1282" s="32"/>
      <c r="R1282" s="48" t="s">
        <v>216</v>
      </c>
      <c r="S1282" s="32"/>
    </row>
    <row r="1283" spans="2:19" ht="28.8" x14ac:dyDescent="0.3">
      <c r="B1283" t="s">
        <v>4348</v>
      </c>
      <c r="C1283" s="11" t="s">
        <v>178</v>
      </c>
      <c r="D1283">
        <v>1</v>
      </c>
      <c r="E1283" t="s">
        <v>160</v>
      </c>
      <c r="F1283" s="92" t="s">
        <v>1070</v>
      </c>
      <c r="G1283" s="90" t="str">
        <f>LEFT([1]modificado!$O$2, FIND(" ", [1]modificado!$O$2 &amp; " ") - 1)</f>
        <v>3M</v>
      </c>
      <c r="H1283" s="47" t="str">
        <f>RIGHT([1]!Tabla2[[#This Row],[Marca y Modelo]], LEN([1]!Tabla2[[#This Row],[Marca y Modelo]]) - FIND(" ", [1]!Tabla2[[#This Row],[Marca y Modelo]]))</f>
        <v>1340161MX</v>
      </c>
      <c r="I1283" s="76"/>
      <c r="J1283" s="76"/>
      <c r="K1283" s="92" t="s">
        <v>4311</v>
      </c>
      <c r="L1283" s="92" t="s">
        <v>3894</v>
      </c>
      <c r="M1283" s="92" t="s">
        <v>1404</v>
      </c>
      <c r="N1283" s="92" t="s">
        <v>1260</v>
      </c>
      <c r="O1283" s="77"/>
      <c r="P1283" s="92" t="s">
        <v>2537</v>
      </c>
      <c r="Q1283" s="32"/>
      <c r="R1283" s="48" t="s">
        <v>216</v>
      </c>
      <c r="S1283" s="32"/>
    </row>
    <row r="1284" spans="2:19" ht="28.8" x14ac:dyDescent="0.3">
      <c r="B1284" t="str">
        <f>LEFT(Tabla3890134177220392[[#This Row],[Descripción del equipo]], FIND(" ", Tabla3890134177220392[[#This Row],[Descripción del equipo]] &amp; " ") - 1)</f>
        <v>Autoretractil</v>
      </c>
      <c r="C1284" s="11" t="s">
        <v>178</v>
      </c>
      <c r="D1284">
        <v>1</v>
      </c>
      <c r="E1284" t="s">
        <v>160</v>
      </c>
      <c r="F1284" s="91" t="s">
        <v>1058</v>
      </c>
      <c r="G1284" s="90" t="str">
        <f>LEFT([1]modificado!$O$2, FIND(" ", [1]modificado!$O$2 &amp; " ") - 1)</f>
        <v>3M</v>
      </c>
      <c r="H1284" s="47" t="str">
        <f>RIGHT([1]!Tabla2[[#This Row],[Marca y Modelo]], LEN([1]!Tabla2[[#This Row],[Marca y Modelo]]) - FIND(" ", [1]!Tabla2[[#This Row],[Marca y Modelo]]))</f>
        <v>310041</v>
      </c>
      <c r="I1284" s="76"/>
      <c r="J1284" s="76"/>
      <c r="K1284" s="91" t="s">
        <v>4312</v>
      </c>
      <c r="L1284" s="91" t="s">
        <v>3895</v>
      </c>
      <c r="M1284" s="91" t="s">
        <v>1404</v>
      </c>
      <c r="N1284" s="91" t="s">
        <v>1261</v>
      </c>
      <c r="O1284" s="77"/>
      <c r="P1284" s="91" t="s">
        <v>2537</v>
      </c>
      <c r="Q1284" s="32"/>
      <c r="R1284" s="48" t="s">
        <v>216</v>
      </c>
      <c r="S1284" s="32"/>
    </row>
    <row r="1285" spans="2:19" ht="28.8" x14ac:dyDescent="0.3">
      <c r="B1285" t="str">
        <f>LEFT(Tabla3890134177220392[[#This Row],[Descripción del equipo]], FIND(" ", Tabla3890134177220392[[#This Row],[Descripción del equipo]] &amp; " ") - 1)</f>
        <v>Autoretractil</v>
      </c>
      <c r="C1285" s="11" t="s">
        <v>178</v>
      </c>
      <c r="D1285">
        <v>1</v>
      </c>
      <c r="E1285" t="s">
        <v>160</v>
      </c>
      <c r="F1285" s="92" t="s">
        <v>1058</v>
      </c>
      <c r="G1285" s="90" t="str">
        <f>LEFT([1]modificado!$O$2, FIND(" ", [1]modificado!$O$2 &amp; " ") - 1)</f>
        <v>3M</v>
      </c>
      <c r="H1285" s="47" t="str">
        <f>RIGHT([1]!Tabla2[[#This Row],[Marca y Modelo]], LEN([1]!Tabla2[[#This Row],[Marca y Modelo]]) - FIND(" ", [1]!Tabla2[[#This Row],[Marca y Modelo]]))</f>
        <v>3100414</v>
      </c>
      <c r="I1285" s="76"/>
      <c r="J1285" s="76"/>
      <c r="K1285" s="92" t="s">
        <v>4312</v>
      </c>
      <c r="L1285" s="92" t="s">
        <v>3896</v>
      </c>
      <c r="M1285" s="92" t="s">
        <v>1404</v>
      </c>
      <c r="N1285" s="92" t="s">
        <v>1262</v>
      </c>
      <c r="O1285" s="77"/>
      <c r="P1285" s="92" t="s">
        <v>2537</v>
      </c>
      <c r="Q1285" s="32"/>
      <c r="R1285" s="48" t="s">
        <v>216</v>
      </c>
      <c r="S1285" s="32"/>
    </row>
    <row r="1286" spans="2:19" ht="28.8" x14ac:dyDescent="0.3">
      <c r="B1286" t="str">
        <f>LEFT(Tabla3890134177220392[[#This Row],[Descripción del equipo]], FIND(" ", Tabla3890134177220392[[#This Row],[Descripción del equipo]] &amp; " ") - 1)</f>
        <v>Autoretractil</v>
      </c>
      <c r="C1286" s="11" t="s">
        <v>178</v>
      </c>
      <c r="D1286">
        <v>1</v>
      </c>
      <c r="E1286" t="s">
        <v>160</v>
      </c>
      <c r="F1286" s="91" t="s">
        <v>1058</v>
      </c>
      <c r="G1286" s="90" t="str">
        <f>LEFT([1]modificado!$O$2, FIND(" ", [1]modificado!$O$2 &amp; " ") - 1)</f>
        <v>3M</v>
      </c>
      <c r="H1286" s="47" t="str">
        <f>RIGHT([1]!Tabla2[[#This Row],[Marca y Modelo]], LEN([1]!Tabla2[[#This Row],[Marca y Modelo]]) - FIND(" ", [1]!Tabla2[[#This Row],[Marca y Modelo]]))</f>
        <v>3100414</v>
      </c>
      <c r="I1286" s="76"/>
      <c r="J1286" s="76"/>
      <c r="K1286" s="91" t="s">
        <v>4312</v>
      </c>
      <c r="L1286" s="91" t="s">
        <v>3897</v>
      </c>
      <c r="M1286" s="91" t="s">
        <v>1404</v>
      </c>
      <c r="N1286" s="91" t="s">
        <v>1263</v>
      </c>
      <c r="O1286" s="77"/>
      <c r="P1286" s="91" t="s">
        <v>2537</v>
      </c>
      <c r="Q1286" s="32"/>
      <c r="R1286" s="48" t="s">
        <v>216</v>
      </c>
      <c r="S1286" s="32"/>
    </row>
    <row r="1287" spans="2:19" ht="28.8" x14ac:dyDescent="0.3">
      <c r="B1287" t="str">
        <f>LEFT(Tabla3890134177220392[[#This Row],[Descripción del equipo]], FIND(" ", Tabla3890134177220392[[#This Row],[Descripción del equipo]] &amp; " ") - 1)</f>
        <v>Autoretractil</v>
      </c>
      <c r="C1287" s="11" t="s">
        <v>178</v>
      </c>
      <c r="D1287">
        <v>1</v>
      </c>
      <c r="E1287" t="s">
        <v>160</v>
      </c>
      <c r="F1287" s="92" t="s">
        <v>1058</v>
      </c>
      <c r="G1287" s="90" t="str">
        <f>LEFT([1]modificado!$O$2, FIND(" ", [1]modificado!$O$2 &amp; " ") - 1)</f>
        <v>3M</v>
      </c>
      <c r="H1287" s="47" t="str">
        <f>RIGHT([1]!Tabla2[[#This Row],[Marca y Modelo]], LEN([1]!Tabla2[[#This Row],[Marca y Modelo]]) - FIND(" ", [1]!Tabla2[[#This Row],[Marca y Modelo]]))</f>
        <v>3101277</v>
      </c>
      <c r="I1287" s="76"/>
      <c r="J1287" s="76"/>
      <c r="K1287" s="92" t="s">
        <v>4312</v>
      </c>
      <c r="L1287" s="92" t="s">
        <v>3898</v>
      </c>
      <c r="M1287" s="92" t="s">
        <v>1404</v>
      </c>
      <c r="N1287" s="92" t="s">
        <v>1264</v>
      </c>
      <c r="O1287" s="77"/>
      <c r="P1287" s="92" t="s">
        <v>2537</v>
      </c>
      <c r="Q1287" s="32"/>
      <c r="R1287" s="48" t="s">
        <v>216</v>
      </c>
      <c r="S1287" s="32"/>
    </row>
    <row r="1288" spans="2:19" ht="28.8" x14ac:dyDescent="0.3">
      <c r="B1288" t="str">
        <f>LEFT(Tabla3890134177220392[[#This Row],[Descripción del equipo]], FIND(" ", Tabla3890134177220392[[#This Row],[Descripción del equipo]] &amp; " ") - 1)</f>
        <v>Autoretractil</v>
      </c>
      <c r="C1288" s="11" t="s">
        <v>178</v>
      </c>
      <c r="D1288">
        <v>1</v>
      </c>
      <c r="E1288" t="s">
        <v>160</v>
      </c>
      <c r="F1288" s="91" t="s">
        <v>1058</v>
      </c>
      <c r="G1288" s="90" t="str">
        <f>LEFT([1]modificado!$O$2, FIND(" ", [1]modificado!$O$2 &amp; " ") - 1)</f>
        <v>3M</v>
      </c>
      <c r="H1288" s="47" t="str">
        <f>RIGHT([1]!Tabla2[[#This Row],[Marca y Modelo]], LEN([1]!Tabla2[[#This Row],[Marca y Modelo]]) - FIND(" ", [1]!Tabla2[[#This Row],[Marca y Modelo]]))</f>
        <v>3101277</v>
      </c>
      <c r="I1288" s="76"/>
      <c r="J1288" s="76"/>
      <c r="K1288" s="91" t="s">
        <v>4312</v>
      </c>
      <c r="L1288" s="91" t="s">
        <v>3899</v>
      </c>
      <c r="M1288" s="91" t="s">
        <v>1404</v>
      </c>
      <c r="N1288" s="91" t="s">
        <v>1265</v>
      </c>
      <c r="O1288" s="77"/>
      <c r="P1288" s="91" t="s">
        <v>2537</v>
      </c>
      <c r="Q1288" s="32"/>
      <c r="R1288" s="48" t="s">
        <v>216</v>
      </c>
      <c r="S1288" s="32"/>
    </row>
    <row r="1289" spans="2:19" ht="28.8" x14ac:dyDescent="0.3">
      <c r="B1289" t="str">
        <f>LEFT(Tabla3890134177220392[[#This Row],[Descripción del equipo]], FIND(" ", Tabla3890134177220392[[#This Row],[Descripción del equipo]] &amp; " ") - 1)</f>
        <v>Autoretractil</v>
      </c>
      <c r="C1289" s="11" t="s">
        <v>178</v>
      </c>
      <c r="D1289">
        <v>1</v>
      </c>
      <c r="E1289" t="s">
        <v>160</v>
      </c>
      <c r="F1289" s="92" t="s">
        <v>1058</v>
      </c>
      <c r="G1289" s="90" t="str">
        <f>LEFT([1]modificado!$O$2, FIND(" ", [1]modificado!$O$2 &amp; " ") - 1)</f>
        <v>3M</v>
      </c>
      <c r="H1289" s="47" t="str">
        <f>RIGHT([1]!Tabla2[[#This Row],[Marca y Modelo]], LEN([1]!Tabla2[[#This Row],[Marca y Modelo]]) - FIND(" ", [1]!Tabla2[[#This Row],[Marca y Modelo]]))</f>
        <v>3101277</v>
      </c>
      <c r="I1289" s="76"/>
      <c r="J1289" s="76"/>
      <c r="K1289" s="92" t="s">
        <v>4312</v>
      </c>
      <c r="L1289" s="92" t="s">
        <v>3900</v>
      </c>
      <c r="M1289" s="92" t="s">
        <v>1404</v>
      </c>
      <c r="N1289" s="92" t="s">
        <v>1266</v>
      </c>
      <c r="O1289" s="77"/>
      <c r="P1289" s="92" t="s">
        <v>2537</v>
      </c>
      <c r="Q1289" s="32"/>
      <c r="R1289" s="48" t="s">
        <v>216</v>
      </c>
      <c r="S1289" s="32"/>
    </row>
    <row r="1290" spans="2:19" ht="28.8" x14ac:dyDescent="0.3">
      <c r="B1290" t="str">
        <f>LEFT(Tabla3890134177220392[[#This Row],[Descripción del equipo]], FIND(" ", Tabla3890134177220392[[#This Row],[Descripción del equipo]] &amp; " ") - 1)</f>
        <v>Arnes</v>
      </c>
      <c r="C1290" s="11" t="s">
        <v>178</v>
      </c>
      <c r="D1290">
        <v>1</v>
      </c>
      <c r="E1290" t="s">
        <v>160</v>
      </c>
      <c r="F1290" s="91" t="s">
        <v>1056</v>
      </c>
      <c r="G1290" s="90" t="str">
        <f>LEFT([1]modificado!$O$2, FIND(" ", [1]modificado!$O$2 &amp; " ") - 1)</f>
        <v>3M</v>
      </c>
      <c r="H1290" s="47" t="str">
        <f>RIGHT([1]!Tabla2[[#This Row],[Marca y Modelo]], LEN([1]!Tabla2[[#This Row],[Marca y Modelo]]) - FIND(" ", [1]!Tabla2[[#This Row],[Marca y Modelo]]))</f>
        <v>10911</v>
      </c>
      <c r="I1290" s="76"/>
      <c r="J1290" s="76"/>
      <c r="K1290" s="91" t="s">
        <v>4314</v>
      </c>
      <c r="L1290" s="91" t="s">
        <v>3901</v>
      </c>
      <c r="M1290" s="91" t="s">
        <v>1404</v>
      </c>
      <c r="N1290" s="91" t="s">
        <v>1267</v>
      </c>
      <c r="O1290" s="77"/>
      <c r="P1290" s="91" t="s">
        <v>2537</v>
      </c>
      <c r="Q1290" s="32"/>
      <c r="R1290" s="48" t="s">
        <v>216</v>
      </c>
      <c r="S1290" s="32"/>
    </row>
    <row r="1291" spans="2:19" ht="28.8" x14ac:dyDescent="0.3">
      <c r="B1291" t="s">
        <v>4348</v>
      </c>
      <c r="C1291" s="11" t="s">
        <v>178</v>
      </c>
      <c r="D1291">
        <v>1</v>
      </c>
      <c r="E1291" t="s">
        <v>160</v>
      </c>
      <c r="F1291" s="92" t="s">
        <v>1061</v>
      </c>
      <c r="G1291" s="90" t="str">
        <f>LEFT([1]modificado!$O$2, FIND(" ", [1]modificado!$O$2 &amp; " ") - 1)</f>
        <v>3M</v>
      </c>
      <c r="H1291" s="47" t="str">
        <f>RIGHT([1]!Tabla2[[#This Row],[Marca y Modelo]], LEN([1]!Tabla2[[#This Row],[Marca y Modelo]]) - FIND(" ", [1]!Tabla2[[#This Row],[Marca y Modelo]]))</f>
        <v>3210</v>
      </c>
      <c r="I1291" s="76"/>
      <c r="J1291" s="76"/>
      <c r="K1291" s="92" t="s">
        <v>4315</v>
      </c>
      <c r="L1291" s="92" t="s">
        <v>3902</v>
      </c>
      <c r="M1291" s="92" t="s">
        <v>1404</v>
      </c>
      <c r="N1291" s="92" t="s">
        <v>1268</v>
      </c>
      <c r="O1291" s="77"/>
      <c r="P1291" s="92" t="s">
        <v>2537</v>
      </c>
      <c r="Q1291" s="32"/>
      <c r="R1291" s="48" t="s">
        <v>216</v>
      </c>
      <c r="S1291" s="32"/>
    </row>
    <row r="1292" spans="2:19" ht="28.8" x14ac:dyDescent="0.3">
      <c r="B1292" t="str">
        <f>LEFT(Tabla3890134177220392[[#This Row],[Descripción del equipo]], FIND(" ", Tabla3890134177220392[[#This Row],[Descripción del equipo]] &amp; " ") - 1)</f>
        <v>Autoretractil</v>
      </c>
      <c r="C1292" s="11" t="s">
        <v>178</v>
      </c>
      <c r="D1292">
        <v>1</v>
      </c>
      <c r="E1292" t="s">
        <v>160</v>
      </c>
      <c r="F1292" s="91" t="s">
        <v>1058</v>
      </c>
      <c r="G1292" s="90" t="str">
        <f>LEFT([1]modificado!$O$2, FIND(" ", [1]modificado!$O$2 &amp; " ") - 1)</f>
        <v>3M</v>
      </c>
      <c r="H1292" s="47" t="str">
        <f>RIGHT([1]!Tabla2[[#This Row],[Marca y Modelo]], LEN([1]!Tabla2[[#This Row],[Marca y Modelo]]) - FIND(" ", [1]!Tabla2[[#This Row],[Marca y Modelo]]))</f>
        <v>3100413</v>
      </c>
      <c r="I1292" s="76"/>
      <c r="J1292" s="76"/>
      <c r="K1292" s="91" t="s">
        <v>4316</v>
      </c>
      <c r="L1292" s="91" t="s">
        <v>3903</v>
      </c>
      <c r="M1292" s="91" t="s">
        <v>1404</v>
      </c>
      <c r="N1292" s="91" t="s">
        <v>1269</v>
      </c>
      <c r="O1292" s="77"/>
      <c r="P1292" s="91" t="s">
        <v>2537</v>
      </c>
      <c r="Q1292" s="32"/>
      <c r="R1292" s="48" t="s">
        <v>216</v>
      </c>
      <c r="S1292" s="32"/>
    </row>
    <row r="1293" spans="2:19" ht="28.8" x14ac:dyDescent="0.3">
      <c r="B1293" t="s">
        <v>4349</v>
      </c>
      <c r="C1293" s="11" t="s">
        <v>178</v>
      </c>
      <c r="D1293">
        <v>1</v>
      </c>
      <c r="E1293" t="s">
        <v>160</v>
      </c>
      <c r="F1293" s="92" t="s">
        <v>1078</v>
      </c>
      <c r="G1293" s="90" t="str">
        <f>LEFT([1]modificado!$O$2, FIND(" ", [1]modificado!$O$2 &amp; " ") - 1)</f>
        <v>3M</v>
      </c>
      <c r="H1293" s="47" t="str">
        <f>RIGHT([1]!Tabla2[[#This Row],[Marca y Modelo]], LEN([1]!Tabla2[[#This Row],[Marca y Modelo]]) - FIND(" ", [1]!Tabla2[[#This Row],[Marca y Modelo]]))</f>
        <v>SW-247</v>
      </c>
      <c r="I1293" s="76"/>
      <c r="J1293" s="76"/>
      <c r="K1293" s="92" t="s">
        <v>4317</v>
      </c>
      <c r="L1293" s="92" t="s">
        <v>3904</v>
      </c>
      <c r="M1293" s="92" t="s">
        <v>1414</v>
      </c>
      <c r="N1293" s="92" t="s">
        <v>1270</v>
      </c>
      <c r="O1293" s="77"/>
      <c r="P1293" s="92" t="s">
        <v>2537</v>
      </c>
      <c r="Q1293" s="32"/>
      <c r="R1293" s="48" t="s">
        <v>216</v>
      </c>
      <c r="S1293" s="32"/>
    </row>
    <row r="1294" spans="2:19" ht="28.8" x14ac:dyDescent="0.3">
      <c r="B1294" t="s">
        <v>4349</v>
      </c>
      <c r="C1294" s="11" t="s">
        <v>178</v>
      </c>
      <c r="D1294">
        <v>1</v>
      </c>
      <c r="E1294" t="s">
        <v>160</v>
      </c>
      <c r="F1294" s="91" t="s">
        <v>1078</v>
      </c>
      <c r="G1294" s="90" t="str">
        <f>LEFT([1]modificado!$O$2, FIND(" ", [1]modificado!$O$2 &amp; " ") - 1)</f>
        <v>3M</v>
      </c>
      <c r="H1294" s="47" t="str">
        <f>RIGHT([1]!Tabla2[[#This Row],[Marca y Modelo]], LEN([1]!Tabla2[[#This Row],[Marca y Modelo]]) - FIND(" ", [1]!Tabla2[[#This Row],[Marca y Modelo]]))</f>
        <v>SW-247</v>
      </c>
      <c r="I1294" s="76"/>
      <c r="J1294" s="76"/>
      <c r="K1294" s="91" t="s">
        <v>4317</v>
      </c>
      <c r="L1294" s="91" t="s">
        <v>3905</v>
      </c>
      <c r="M1294" s="91" t="s">
        <v>1414</v>
      </c>
      <c r="N1294" s="91" t="s">
        <v>1271</v>
      </c>
      <c r="O1294" s="77"/>
      <c r="P1294" s="91" t="s">
        <v>2537</v>
      </c>
      <c r="Q1294" s="32"/>
      <c r="R1294" s="48" t="s">
        <v>216</v>
      </c>
      <c r="S1294" s="32"/>
    </row>
    <row r="1295" spans="2:19" ht="28.8" x14ac:dyDescent="0.3">
      <c r="B1295" t="s">
        <v>4348</v>
      </c>
      <c r="C1295" s="11" t="s">
        <v>178</v>
      </c>
      <c r="D1295">
        <v>1</v>
      </c>
      <c r="E1295" t="s">
        <v>160</v>
      </c>
      <c r="F1295" s="92" t="s">
        <v>1074</v>
      </c>
      <c r="G1295" s="90" t="str">
        <f>LEFT([1]modificado!$O$2, FIND(" ", [1]modificado!$O$2 &amp; " ") - 1)</f>
        <v>3M</v>
      </c>
      <c r="H1295" s="47"/>
      <c r="I1295" s="76"/>
      <c r="J1295" s="76"/>
      <c r="K1295" s="92" t="s">
        <v>4318</v>
      </c>
      <c r="L1295" s="92" t="s">
        <v>3906</v>
      </c>
      <c r="M1295" s="92" t="s">
        <v>1404</v>
      </c>
      <c r="N1295" s="92" t="s">
        <v>1192</v>
      </c>
      <c r="O1295" s="77"/>
      <c r="P1295" s="92" t="s">
        <v>2537</v>
      </c>
      <c r="Q1295" s="32"/>
      <c r="R1295" s="48" t="s">
        <v>216</v>
      </c>
      <c r="S1295" s="32"/>
    </row>
    <row r="1296" spans="2:19" ht="28.8" x14ac:dyDescent="0.3">
      <c r="B1296" t="s">
        <v>4348</v>
      </c>
      <c r="C1296" s="11" t="s">
        <v>178</v>
      </c>
      <c r="D1296">
        <v>1</v>
      </c>
      <c r="E1296" t="s">
        <v>160</v>
      </c>
      <c r="F1296" s="91" t="s">
        <v>1074</v>
      </c>
      <c r="G1296" s="90" t="str">
        <f>LEFT([1]modificado!$O$2, FIND(" ", [1]modificado!$O$2 &amp; " ") - 1)</f>
        <v>3M</v>
      </c>
      <c r="H1296" s="47"/>
      <c r="I1296" s="76"/>
      <c r="J1296" s="76"/>
      <c r="K1296" s="91" t="s">
        <v>4318</v>
      </c>
      <c r="L1296" s="91" t="s">
        <v>3907</v>
      </c>
      <c r="M1296" s="91" t="s">
        <v>1404</v>
      </c>
      <c r="N1296" s="91" t="s">
        <v>1193</v>
      </c>
      <c r="O1296" s="77"/>
      <c r="P1296" s="91" t="s">
        <v>2537</v>
      </c>
      <c r="Q1296" s="32"/>
      <c r="R1296" s="48" t="s">
        <v>216</v>
      </c>
      <c r="S1296" s="32"/>
    </row>
    <row r="1297" spans="2:19" ht="28.8" x14ac:dyDescent="0.3">
      <c r="B1297" t="s">
        <v>4348</v>
      </c>
      <c r="C1297" s="11" t="s">
        <v>178</v>
      </c>
      <c r="D1297">
        <v>1</v>
      </c>
      <c r="E1297" t="s">
        <v>160</v>
      </c>
      <c r="F1297" s="92" t="s">
        <v>1074</v>
      </c>
      <c r="G1297" s="90" t="str">
        <f>LEFT([1]modificado!$O$2, FIND(" ", [1]modificado!$O$2 &amp; " ") - 1)</f>
        <v>3M</v>
      </c>
      <c r="H1297" s="47"/>
      <c r="I1297" s="76"/>
      <c r="J1297" s="76"/>
      <c r="K1297" s="92" t="s">
        <v>4318</v>
      </c>
      <c r="L1297" s="92" t="s">
        <v>3908</v>
      </c>
      <c r="M1297" s="92" t="s">
        <v>1404</v>
      </c>
      <c r="N1297" s="92" t="s">
        <v>1272</v>
      </c>
      <c r="O1297" s="77"/>
      <c r="P1297" s="92" t="s">
        <v>2537</v>
      </c>
      <c r="Q1297" s="32"/>
      <c r="R1297" s="48" t="s">
        <v>216</v>
      </c>
      <c r="S1297" s="32"/>
    </row>
    <row r="1298" spans="2:19" ht="28.8" x14ac:dyDescent="0.3">
      <c r="B1298" t="s">
        <v>4348</v>
      </c>
      <c r="C1298" s="11" t="s">
        <v>178</v>
      </c>
      <c r="D1298">
        <v>1</v>
      </c>
      <c r="E1298" t="s">
        <v>160</v>
      </c>
      <c r="F1298" s="91" t="s">
        <v>1074</v>
      </c>
      <c r="G1298" s="90" t="str">
        <f>LEFT([1]modificado!$O$2, FIND(" ", [1]modificado!$O$2 &amp; " ") - 1)</f>
        <v>3M</v>
      </c>
      <c r="H1298" s="47"/>
      <c r="I1298" s="76"/>
      <c r="J1298" s="76"/>
      <c r="K1298" s="91" t="s">
        <v>4318</v>
      </c>
      <c r="L1298" s="91" t="s">
        <v>3909</v>
      </c>
      <c r="M1298" s="91" t="s">
        <v>1404</v>
      </c>
      <c r="N1298" s="91" t="s">
        <v>1273</v>
      </c>
      <c r="O1298" s="77"/>
      <c r="P1298" s="91" t="s">
        <v>2537</v>
      </c>
      <c r="Q1298" s="32"/>
      <c r="R1298" s="48" t="s">
        <v>216</v>
      </c>
      <c r="S1298" s="32"/>
    </row>
    <row r="1299" spans="2:19" ht="28.8" x14ac:dyDescent="0.3">
      <c r="B1299" t="s">
        <v>4348</v>
      </c>
      <c r="C1299" s="11" t="s">
        <v>178</v>
      </c>
      <c r="D1299">
        <v>1</v>
      </c>
      <c r="E1299" t="s">
        <v>160</v>
      </c>
      <c r="F1299" s="92" t="s">
        <v>1074</v>
      </c>
      <c r="G1299" s="90" t="str">
        <f>LEFT([1]modificado!$O$2, FIND(" ", [1]modificado!$O$2 &amp; " ") - 1)</f>
        <v>3M</v>
      </c>
      <c r="H1299" s="47"/>
      <c r="I1299" s="76"/>
      <c r="J1299" s="76"/>
      <c r="K1299" s="92" t="s">
        <v>4318</v>
      </c>
      <c r="L1299" s="92" t="s">
        <v>3910</v>
      </c>
      <c r="M1299" s="92" t="s">
        <v>1404</v>
      </c>
      <c r="N1299" s="92" t="s">
        <v>1274</v>
      </c>
      <c r="O1299" s="77"/>
      <c r="P1299" s="92" t="s">
        <v>2537</v>
      </c>
      <c r="Q1299" s="32"/>
      <c r="R1299" s="48" t="s">
        <v>216</v>
      </c>
      <c r="S1299" s="32"/>
    </row>
    <row r="1300" spans="2:19" ht="28.8" x14ac:dyDescent="0.3">
      <c r="B1300" t="s">
        <v>4348</v>
      </c>
      <c r="C1300" s="11" t="s">
        <v>178</v>
      </c>
      <c r="D1300">
        <v>1</v>
      </c>
      <c r="E1300" t="s">
        <v>160</v>
      </c>
      <c r="F1300" s="91" t="s">
        <v>1074</v>
      </c>
      <c r="G1300" s="90" t="str">
        <f>LEFT([1]modificado!$O$2, FIND(" ", [1]modificado!$O$2 &amp; " ") - 1)</f>
        <v>3M</v>
      </c>
      <c r="H1300" s="47"/>
      <c r="I1300" s="76"/>
      <c r="J1300" s="76"/>
      <c r="K1300" s="91" t="s">
        <v>4318</v>
      </c>
      <c r="L1300" s="91" t="s">
        <v>3911</v>
      </c>
      <c r="M1300" s="91" t="s">
        <v>1404</v>
      </c>
      <c r="N1300" s="91" t="s">
        <v>1275</v>
      </c>
      <c r="O1300" s="77"/>
      <c r="P1300" s="91" t="s">
        <v>2537</v>
      </c>
      <c r="Q1300" s="32"/>
      <c r="R1300" s="48" t="s">
        <v>216</v>
      </c>
      <c r="S1300" s="32"/>
    </row>
    <row r="1301" spans="2:19" ht="28.8" x14ac:dyDescent="0.3">
      <c r="B1301" t="s">
        <v>4348</v>
      </c>
      <c r="C1301" s="11" t="s">
        <v>178</v>
      </c>
      <c r="D1301">
        <v>1</v>
      </c>
      <c r="E1301" t="s">
        <v>160</v>
      </c>
      <c r="F1301" s="92" t="s">
        <v>1074</v>
      </c>
      <c r="G1301" s="90" t="str">
        <f>LEFT([1]modificado!$O$2, FIND(" ", [1]modificado!$O$2 &amp; " ") - 1)</f>
        <v>3M</v>
      </c>
      <c r="H1301" s="47"/>
      <c r="I1301" s="76"/>
      <c r="J1301" s="76"/>
      <c r="K1301" s="92" t="s">
        <v>4318</v>
      </c>
      <c r="L1301" s="92" t="s">
        <v>3912</v>
      </c>
      <c r="M1301" s="92" t="s">
        <v>1404</v>
      </c>
      <c r="N1301" s="92" t="s">
        <v>1276</v>
      </c>
      <c r="O1301" s="77"/>
      <c r="P1301" s="92" t="s">
        <v>2537</v>
      </c>
      <c r="Q1301" s="32"/>
      <c r="R1301" s="48" t="s">
        <v>216</v>
      </c>
      <c r="S1301" s="32"/>
    </row>
    <row r="1302" spans="2:19" ht="28.8" x14ac:dyDescent="0.3">
      <c r="B1302" t="s">
        <v>4348</v>
      </c>
      <c r="C1302" s="11" t="s">
        <v>178</v>
      </c>
      <c r="D1302">
        <v>1</v>
      </c>
      <c r="E1302" t="s">
        <v>160</v>
      </c>
      <c r="F1302" s="91" t="s">
        <v>1074</v>
      </c>
      <c r="G1302" s="90" t="str">
        <f>LEFT([1]modificado!$O$2, FIND(" ", [1]modificado!$O$2 &amp; " ") - 1)</f>
        <v>3M</v>
      </c>
      <c r="H1302" s="47"/>
      <c r="I1302" s="76"/>
      <c r="J1302" s="76"/>
      <c r="K1302" s="91" t="s">
        <v>4318</v>
      </c>
      <c r="L1302" s="91" t="s">
        <v>3913</v>
      </c>
      <c r="M1302" s="91" t="s">
        <v>1404</v>
      </c>
      <c r="N1302" s="91" t="s">
        <v>1277</v>
      </c>
      <c r="O1302" s="77"/>
      <c r="P1302" s="91" t="s">
        <v>2537</v>
      </c>
      <c r="Q1302" s="32"/>
      <c r="R1302" s="48" t="s">
        <v>216</v>
      </c>
      <c r="S1302" s="32"/>
    </row>
    <row r="1303" spans="2:19" ht="28.8" x14ac:dyDescent="0.3">
      <c r="B1303" t="s">
        <v>4348</v>
      </c>
      <c r="C1303" s="11" t="s">
        <v>178</v>
      </c>
      <c r="D1303">
        <v>1</v>
      </c>
      <c r="E1303" t="s">
        <v>160</v>
      </c>
      <c r="F1303" s="92" t="s">
        <v>1074</v>
      </c>
      <c r="G1303" s="90" t="str">
        <f>LEFT([1]modificado!$O$2, FIND(" ", [1]modificado!$O$2 &amp; " ") - 1)</f>
        <v>3M</v>
      </c>
      <c r="H1303" s="47"/>
      <c r="I1303" s="76"/>
      <c r="J1303" s="76"/>
      <c r="K1303" s="92" t="s">
        <v>4318</v>
      </c>
      <c r="L1303" s="92" t="s">
        <v>3914</v>
      </c>
      <c r="M1303" s="92" t="s">
        <v>1404</v>
      </c>
      <c r="N1303" s="92" t="s">
        <v>1278</v>
      </c>
      <c r="O1303" s="77"/>
      <c r="P1303" s="92" t="s">
        <v>2537</v>
      </c>
      <c r="Q1303" s="32"/>
      <c r="R1303" s="48" t="s">
        <v>216</v>
      </c>
      <c r="S1303" s="32"/>
    </row>
    <row r="1304" spans="2:19" ht="28.8" x14ac:dyDescent="0.3">
      <c r="B1304" t="s">
        <v>4348</v>
      </c>
      <c r="C1304" s="11" t="s">
        <v>178</v>
      </c>
      <c r="D1304">
        <v>1</v>
      </c>
      <c r="E1304" t="s">
        <v>160</v>
      </c>
      <c r="F1304" s="91" t="s">
        <v>1074</v>
      </c>
      <c r="G1304" s="90" t="str">
        <f>LEFT([1]modificado!$O$2, FIND(" ", [1]modificado!$O$2 &amp; " ") - 1)</f>
        <v>3M</v>
      </c>
      <c r="H1304" s="47"/>
      <c r="I1304" s="76"/>
      <c r="J1304" s="76"/>
      <c r="K1304" s="91" t="s">
        <v>4318</v>
      </c>
      <c r="L1304" s="91" t="s">
        <v>3915</v>
      </c>
      <c r="M1304" s="91" t="s">
        <v>1404</v>
      </c>
      <c r="N1304" s="91" t="s">
        <v>1279</v>
      </c>
      <c r="O1304" s="77"/>
      <c r="P1304" s="91" t="s">
        <v>2537</v>
      </c>
      <c r="Q1304" s="32"/>
      <c r="R1304" s="48" t="s">
        <v>216</v>
      </c>
      <c r="S1304" s="32"/>
    </row>
    <row r="1305" spans="2:19" ht="28.8" x14ac:dyDescent="0.3">
      <c r="B1305" t="s">
        <v>4348</v>
      </c>
      <c r="C1305" s="11" t="s">
        <v>178</v>
      </c>
      <c r="D1305">
        <v>1</v>
      </c>
      <c r="E1305" t="s">
        <v>160</v>
      </c>
      <c r="F1305" s="92" t="s">
        <v>1074</v>
      </c>
      <c r="G1305" s="90" t="str">
        <f>LEFT([1]modificado!$O$2, FIND(" ", [1]modificado!$O$2 &amp; " ") - 1)</f>
        <v>3M</v>
      </c>
      <c r="H1305" s="47"/>
      <c r="I1305" s="76"/>
      <c r="J1305" s="76"/>
      <c r="K1305" s="92" t="s">
        <v>4318</v>
      </c>
      <c r="L1305" s="92" t="s">
        <v>3916</v>
      </c>
      <c r="M1305" s="92" t="s">
        <v>1404</v>
      </c>
      <c r="N1305" s="92" t="s">
        <v>1280</v>
      </c>
      <c r="O1305" s="77"/>
      <c r="P1305" s="92" t="s">
        <v>2537</v>
      </c>
      <c r="Q1305" s="32"/>
      <c r="R1305" s="48" t="s">
        <v>216</v>
      </c>
      <c r="S1305" s="32"/>
    </row>
    <row r="1306" spans="2:19" ht="28.8" x14ac:dyDescent="0.3">
      <c r="B1306" t="s">
        <v>4348</v>
      </c>
      <c r="C1306" s="11" t="s">
        <v>178</v>
      </c>
      <c r="D1306">
        <v>1</v>
      </c>
      <c r="E1306" t="s">
        <v>160</v>
      </c>
      <c r="F1306" s="91" t="s">
        <v>1074</v>
      </c>
      <c r="G1306" s="90" t="str">
        <f>LEFT([1]modificado!$O$2, FIND(" ", [1]modificado!$O$2 &amp; " ") - 1)</f>
        <v>3M</v>
      </c>
      <c r="H1306" s="47"/>
      <c r="I1306" s="76"/>
      <c r="J1306" s="76"/>
      <c r="K1306" s="91" t="s">
        <v>4318</v>
      </c>
      <c r="L1306" s="91" t="s">
        <v>3917</v>
      </c>
      <c r="M1306" s="91" t="s">
        <v>1404</v>
      </c>
      <c r="N1306" s="91" t="s">
        <v>1281</v>
      </c>
      <c r="O1306" s="77"/>
      <c r="P1306" s="91" t="s">
        <v>2537</v>
      </c>
      <c r="Q1306" s="32"/>
      <c r="R1306" s="48" t="s">
        <v>216</v>
      </c>
      <c r="S1306" s="32"/>
    </row>
    <row r="1307" spans="2:19" ht="28.8" x14ac:dyDescent="0.3">
      <c r="B1307" t="s">
        <v>4348</v>
      </c>
      <c r="C1307" s="11" t="s">
        <v>178</v>
      </c>
      <c r="D1307">
        <v>1</v>
      </c>
      <c r="E1307" t="s">
        <v>160</v>
      </c>
      <c r="F1307" s="92" t="s">
        <v>1074</v>
      </c>
      <c r="G1307" s="90" t="str">
        <f>LEFT([1]modificado!$O$2, FIND(" ", [1]modificado!$O$2 &amp; " ") - 1)</f>
        <v>3M</v>
      </c>
      <c r="H1307" s="47"/>
      <c r="I1307" s="76"/>
      <c r="J1307" s="76"/>
      <c r="K1307" s="92" t="s">
        <v>4318</v>
      </c>
      <c r="L1307" s="92" t="s">
        <v>3918</v>
      </c>
      <c r="M1307" s="92" t="s">
        <v>1404</v>
      </c>
      <c r="N1307" s="92" t="s">
        <v>1282</v>
      </c>
      <c r="O1307" s="77"/>
      <c r="P1307" s="92" t="s">
        <v>2537</v>
      </c>
      <c r="Q1307" s="32"/>
      <c r="R1307" s="48" t="s">
        <v>216</v>
      </c>
      <c r="S1307" s="32"/>
    </row>
    <row r="1308" spans="2:19" ht="28.8" x14ac:dyDescent="0.3">
      <c r="B1308" t="s">
        <v>4348</v>
      </c>
      <c r="C1308" s="11" t="s">
        <v>178</v>
      </c>
      <c r="D1308">
        <v>1</v>
      </c>
      <c r="E1308" t="s">
        <v>160</v>
      </c>
      <c r="F1308" s="91" t="s">
        <v>1074</v>
      </c>
      <c r="G1308" s="90" t="str">
        <f>LEFT([1]modificado!$O$2, FIND(" ", [1]modificado!$O$2 &amp; " ") - 1)</f>
        <v>3M</v>
      </c>
      <c r="H1308" s="47"/>
      <c r="I1308" s="76"/>
      <c r="J1308" s="76"/>
      <c r="K1308" s="91" t="s">
        <v>4318</v>
      </c>
      <c r="L1308" s="91" t="s">
        <v>3919</v>
      </c>
      <c r="M1308" s="91" t="s">
        <v>1404</v>
      </c>
      <c r="N1308" s="91" t="s">
        <v>1283</v>
      </c>
      <c r="O1308" s="77"/>
      <c r="P1308" s="91" t="s">
        <v>2537</v>
      </c>
      <c r="Q1308" s="32"/>
      <c r="R1308" s="48" t="s">
        <v>216</v>
      </c>
      <c r="S1308" s="32"/>
    </row>
    <row r="1309" spans="2:19" ht="28.8" x14ac:dyDescent="0.3">
      <c r="B1309" t="s">
        <v>4348</v>
      </c>
      <c r="C1309" s="11" t="s">
        <v>178</v>
      </c>
      <c r="D1309">
        <v>1</v>
      </c>
      <c r="E1309" t="s">
        <v>160</v>
      </c>
      <c r="F1309" s="92" t="s">
        <v>1074</v>
      </c>
      <c r="G1309" s="90" t="str">
        <f>LEFT([1]modificado!$O$2, FIND(" ", [1]modificado!$O$2 &amp; " ") - 1)</f>
        <v>3M</v>
      </c>
      <c r="H1309" s="47"/>
      <c r="I1309" s="76"/>
      <c r="J1309" s="76"/>
      <c r="K1309" s="92" t="s">
        <v>4318</v>
      </c>
      <c r="L1309" s="92" t="s">
        <v>3920</v>
      </c>
      <c r="M1309" s="92" t="s">
        <v>1404</v>
      </c>
      <c r="N1309" s="92" t="s">
        <v>1284</v>
      </c>
      <c r="O1309" s="77"/>
      <c r="P1309" s="92" t="s">
        <v>2537</v>
      </c>
      <c r="Q1309" s="32"/>
      <c r="R1309" s="48" t="s">
        <v>216</v>
      </c>
      <c r="S1309" s="32"/>
    </row>
    <row r="1310" spans="2:19" ht="28.8" x14ac:dyDescent="0.3">
      <c r="B1310" t="s">
        <v>4348</v>
      </c>
      <c r="C1310" s="11" t="s">
        <v>178</v>
      </c>
      <c r="D1310">
        <v>1</v>
      </c>
      <c r="E1310" t="s">
        <v>160</v>
      </c>
      <c r="F1310" s="91" t="s">
        <v>1074</v>
      </c>
      <c r="G1310" s="90" t="str">
        <f>LEFT([1]modificado!$O$2, FIND(" ", [1]modificado!$O$2 &amp; " ") - 1)</f>
        <v>3M</v>
      </c>
      <c r="H1310" s="47"/>
      <c r="I1310" s="76"/>
      <c r="J1310" s="76"/>
      <c r="K1310" s="91" t="s">
        <v>4318</v>
      </c>
      <c r="L1310" s="91" t="s">
        <v>3921</v>
      </c>
      <c r="M1310" s="91" t="s">
        <v>1404</v>
      </c>
      <c r="N1310" s="91" t="s">
        <v>1285</v>
      </c>
      <c r="O1310" s="77"/>
      <c r="P1310" s="91" t="s">
        <v>2537</v>
      </c>
      <c r="Q1310" s="32"/>
      <c r="R1310" s="48" t="s">
        <v>216</v>
      </c>
      <c r="S1310" s="32"/>
    </row>
    <row r="1311" spans="2:19" ht="28.8" x14ac:dyDescent="0.3">
      <c r="B1311" t="str">
        <f>LEFT(Tabla3890134177220392[[#This Row],[Descripción del equipo]], FIND(" ", Tabla3890134177220392[[#This Row],[Descripción del equipo]] &amp; " ") - 1)</f>
        <v>Arnes</v>
      </c>
      <c r="C1311" s="11" t="s">
        <v>178</v>
      </c>
      <c r="D1311">
        <v>1</v>
      </c>
      <c r="E1311" t="s">
        <v>160</v>
      </c>
      <c r="F1311" s="92" t="s">
        <v>1068</v>
      </c>
      <c r="G1311" s="90" t="str">
        <f>LEFT([1]modificado!$O$2, FIND(" ", [1]modificado!$O$2 &amp; " ") - 1)</f>
        <v>3M</v>
      </c>
      <c r="H1311" s="47" t="str">
        <f>RIGHT([1]!Tabla2[[#This Row],[Marca y Modelo]], LEN([1]!Tabla2[[#This Row],[Marca y Modelo]]) - FIND(" ", [1]!Tabla2[[#This Row],[Marca y Modelo]]))</f>
        <v>1110830</v>
      </c>
      <c r="I1311" s="76"/>
      <c r="J1311" s="76"/>
      <c r="K1311" s="92" t="s">
        <v>4319</v>
      </c>
      <c r="L1311" s="92" t="s">
        <v>3922</v>
      </c>
      <c r="M1311" s="92" t="s">
        <v>1404</v>
      </c>
      <c r="N1311" s="92" t="s">
        <v>1286</v>
      </c>
      <c r="O1311" s="77"/>
      <c r="P1311" s="92" t="s">
        <v>2537</v>
      </c>
      <c r="Q1311" s="32"/>
      <c r="R1311" s="48" t="s">
        <v>216</v>
      </c>
      <c r="S1311" s="32"/>
    </row>
    <row r="1312" spans="2:19" ht="28.8" x14ac:dyDescent="0.3">
      <c r="B1312" t="str">
        <f>LEFT(Tabla3890134177220392[[#This Row],[Descripción del equipo]], FIND(" ", Tabla3890134177220392[[#This Row],[Descripción del equipo]] &amp; " ") - 1)</f>
        <v>Arnes</v>
      </c>
      <c r="C1312" s="11" t="s">
        <v>178</v>
      </c>
      <c r="D1312">
        <v>1</v>
      </c>
      <c r="E1312" t="s">
        <v>160</v>
      </c>
      <c r="F1312" s="91" t="s">
        <v>1068</v>
      </c>
      <c r="G1312" s="90" t="str">
        <f>LEFT([1]modificado!$O$2, FIND(" ", [1]modificado!$O$2 &amp; " ") - 1)</f>
        <v>3M</v>
      </c>
      <c r="H1312" s="47" t="str">
        <f>RIGHT([1]!Tabla2[[#This Row],[Marca y Modelo]], LEN([1]!Tabla2[[#This Row],[Marca y Modelo]]) - FIND(" ", [1]!Tabla2[[#This Row],[Marca y Modelo]]))</f>
        <v>1021-LOGO</v>
      </c>
      <c r="I1312" s="76"/>
      <c r="J1312" s="76"/>
      <c r="K1312" s="91" t="s">
        <v>4319</v>
      </c>
      <c r="L1312" s="91" t="s">
        <v>3923</v>
      </c>
      <c r="M1312" s="91" t="s">
        <v>1404</v>
      </c>
      <c r="N1312" s="91" t="s">
        <v>1287</v>
      </c>
      <c r="O1312" s="77"/>
      <c r="P1312" s="91" t="s">
        <v>2537</v>
      </c>
      <c r="Q1312" s="32"/>
      <c r="R1312" s="48" t="s">
        <v>216</v>
      </c>
      <c r="S1312" s="32"/>
    </row>
    <row r="1313" spans="2:19" ht="28.8" x14ac:dyDescent="0.3">
      <c r="B1313" t="str">
        <f>LEFT(Tabla3890134177220392[[#This Row],[Descripción del equipo]], FIND(" ", Tabla3890134177220392[[#This Row],[Descripción del equipo]] &amp; " ") - 1)</f>
        <v>Arnes</v>
      </c>
      <c r="C1313" s="11" t="s">
        <v>178</v>
      </c>
      <c r="D1313">
        <v>1</v>
      </c>
      <c r="E1313" t="s">
        <v>160</v>
      </c>
      <c r="F1313" s="92" t="s">
        <v>1068</v>
      </c>
      <c r="G1313" s="90" t="str">
        <f>LEFT([1]modificado!$O$2, FIND(" ", [1]modificado!$O$2 &amp; " ") - 1)</f>
        <v>3M</v>
      </c>
      <c r="H1313" s="47" t="str">
        <f>RIGHT([1]!Tabla2[[#This Row],[Marca y Modelo]], LEN([1]!Tabla2[[#This Row],[Marca y Modelo]]) - FIND(" ", [1]!Tabla2[[#This Row],[Marca y Modelo]]))</f>
        <v>1110830</v>
      </c>
      <c r="I1313" s="76"/>
      <c r="J1313" s="76"/>
      <c r="K1313" s="92" t="s">
        <v>4319</v>
      </c>
      <c r="L1313" s="92" t="s">
        <v>3924</v>
      </c>
      <c r="M1313" s="92" t="s">
        <v>1404</v>
      </c>
      <c r="N1313" s="92" t="s">
        <v>1288</v>
      </c>
      <c r="O1313" s="77"/>
      <c r="P1313" s="92" t="s">
        <v>2537</v>
      </c>
      <c r="Q1313" s="32"/>
      <c r="R1313" s="48" t="s">
        <v>216</v>
      </c>
      <c r="S1313" s="32"/>
    </row>
    <row r="1314" spans="2:19" ht="28.8" x14ac:dyDescent="0.3">
      <c r="B1314" t="str">
        <f>LEFT(Tabla3890134177220392[[#This Row],[Descripción del equipo]], FIND(" ", Tabla3890134177220392[[#This Row],[Descripción del equipo]] &amp; " ") - 1)</f>
        <v>Arnes</v>
      </c>
      <c r="C1314" s="11" t="s">
        <v>178</v>
      </c>
      <c r="D1314">
        <v>1</v>
      </c>
      <c r="E1314" t="s">
        <v>160</v>
      </c>
      <c r="F1314" s="91" t="s">
        <v>1068</v>
      </c>
      <c r="G1314" s="90" t="str">
        <f>LEFT([1]modificado!$O$2, FIND(" ", [1]modificado!$O$2 &amp; " ") - 1)</f>
        <v>3M</v>
      </c>
      <c r="H1314" s="47" t="str">
        <f>RIGHT([1]!Tabla2[[#This Row],[Marca y Modelo]], LEN([1]!Tabla2[[#This Row],[Marca y Modelo]]) - FIND(" ", [1]!Tabla2[[#This Row],[Marca y Modelo]]))</f>
        <v>1110830</v>
      </c>
      <c r="I1314" s="76"/>
      <c r="J1314" s="76"/>
      <c r="K1314" s="91" t="s">
        <v>4319</v>
      </c>
      <c r="L1314" s="91" t="s">
        <v>3925</v>
      </c>
      <c r="M1314" s="91" t="s">
        <v>1404</v>
      </c>
      <c r="N1314" s="91" t="s">
        <v>1289</v>
      </c>
      <c r="O1314" s="77"/>
      <c r="P1314" s="91" t="s">
        <v>2537</v>
      </c>
      <c r="Q1314" s="32"/>
      <c r="R1314" s="48" t="s">
        <v>216</v>
      </c>
      <c r="S1314" s="32"/>
    </row>
    <row r="1315" spans="2:19" ht="28.8" x14ac:dyDescent="0.3">
      <c r="B1315" t="str">
        <f>LEFT(Tabla3890134177220392[[#This Row],[Descripción del equipo]], FIND(" ", Tabla3890134177220392[[#This Row],[Descripción del equipo]] &amp; " ") - 1)</f>
        <v>Autoretractil</v>
      </c>
      <c r="C1315" s="11" t="s">
        <v>178</v>
      </c>
      <c r="D1315">
        <v>1</v>
      </c>
      <c r="E1315" t="s">
        <v>160</v>
      </c>
      <c r="F1315" s="92" t="s">
        <v>1058</v>
      </c>
      <c r="G1315" s="90" t="str">
        <f>LEFT([1]modificado!$O$2, FIND(" ", [1]modificado!$O$2 &amp; " ") - 1)</f>
        <v>3M</v>
      </c>
      <c r="H1315" s="47" t="str">
        <f>RIGHT([1]!Tabla2[[#This Row],[Marca y Modelo]], LEN([1]!Tabla2[[#This Row],[Marca y Modelo]]) - FIND(" ", [1]!Tabla2[[#This Row],[Marca y Modelo]]))</f>
        <v>3101277</v>
      </c>
      <c r="I1315" s="76"/>
      <c r="J1315" s="76"/>
      <c r="K1315" s="92" t="s">
        <v>4320</v>
      </c>
      <c r="L1315" s="92" t="s">
        <v>3926</v>
      </c>
      <c r="M1315" s="92" t="s">
        <v>1404</v>
      </c>
      <c r="N1315" s="92" t="s">
        <v>1290</v>
      </c>
      <c r="O1315" s="77"/>
      <c r="P1315" s="92" t="s">
        <v>2537</v>
      </c>
      <c r="Q1315" s="32"/>
      <c r="R1315" s="48" t="s">
        <v>216</v>
      </c>
      <c r="S1315" s="32"/>
    </row>
    <row r="1316" spans="2:19" ht="28.8" x14ac:dyDescent="0.3">
      <c r="B1316" t="s">
        <v>4349</v>
      </c>
      <c r="C1316" s="11" t="s">
        <v>178</v>
      </c>
      <c r="D1316">
        <v>1</v>
      </c>
      <c r="E1316" t="s">
        <v>160</v>
      </c>
      <c r="F1316" s="91" t="s">
        <v>1059</v>
      </c>
      <c r="G1316" s="90" t="str">
        <f>LEFT([1]modificado!$O$2, FIND(" ", [1]modificado!$O$2 &amp; " ") - 1)</f>
        <v>3M</v>
      </c>
      <c r="H1316" s="47" t="str">
        <f>RIGHT([1]!Tabla2[[#This Row],[Marca y Modelo]], LEN([1]!Tabla2[[#This Row],[Marca y Modelo]]) - FIND(" ", [1]!Tabla2[[#This Row],[Marca y Modelo]]))</f>
        <v>1003006</v>
      </c>
      <c r="I1316" s="76"/>
      <c r="J1316" s="76"/>
      <c r="K1316" s="91" t="s">
        <v>4321</v>
      </c>
      <c r="L1316" s="91" t="s">
        <v>3927</v>
      </c>
      <c r="M1316" s="91" t="s">
        <v>1404</v>
      </c>
      <c r="N1316" s="91" t="s">
        <v>1291</v>
      </c>
      <c r="O1316" s="77"/>
      <c r="P1316" s="91" t="s">
        <v>2537</v>
      </c>
      <c r="Q1316" s="32"/>
      <c r="R1316" s="48" t="s">
        <v>216</v>
      </c>
      <c r="S1316" s="32"/>
    </row>
    <row r="1317" spans="2:19" ht="28.8" x14ac:dyDescent="0.3">
      <c r="B1317" t="s">
        <v>4349</v>
      </c>
      <c r="C1317" s="11" t="s">
        <v>178</v>
      </c>
      <c r="D1317">
        <v>1</v>
      </c>
      <c r="E1317" t="s">
        <v>160</v>
      </c>
      <c r="F1317" s="92" t="s">
        <v>1059</v>
      </c>
      <c r="G1317" s="90" t="str">
        <f>LEFT([1]modificado!$O$2, FIND(" ", [1]modificado!$O$2 &amp; " ") - 1)</f>
        <v>3M</v>
      </c>
      <c r="H1317" s="47" t="str">
        <f>RIGHT([1]!Tabla2[[#This Row],[Marca y Modelo]], LEN([1]!Tabla2[[#This Row],[Marca y Modelo]]) - FIND(" ", [1]!Tabla2[[#This Row],[Marca y Modelo]]))</f>
        <v>300606</v>
      </c>
      <c r="I1317" s="76"/>
      <c r="J1317" s="76"/>
      <c r="K1317" s="92" t="s">
        <v>4321</v>
      </c>
      <c r="L1317" s="92" t="s">
        <v>3928</v>
      </c>
      <c r="M1317" s="92" t="s">
        <v>1404</v>
      </c>
      <c r="N1317" s="92" t="s">
        <v>1292</v>
      </c>
      <c r="O1317" s="77"/>
      <c r="P1317" s="92" t="s">
        <v>2537</v>
      </c>
      <c r="Q1317" s="32"/>
      <c r="R1317" s="48" t="s">
        <v>216</v>
      </c>
      <c r="S1317" s="32"/>
    </row>
    <row r="1318" spans="2:19" ht="28.8" x14ac:dyDescent="0.3">
      <c r="B1318" t="s">
        <v>4349</v>
      </c>
      <c r="C1318" s="11" t="s">
        <v>178</v>
      </c>
      <c r="D1318">
        <v>1</v>
      </c>
      <c r="E1318" t="s">
        <v>160</v>
      </c>
      <c r="F1318" s="91" t="s">
        <v>1059</v>
      </c>
      <c r="G1318" s="90" t="str">
        <f>LEFT([1]modificado!$O$2, FIND(" ", [1]modificado!$O$2 &amp; " ") - 1)</f>
        <v>3M</v>
      </c>
      <c r="H1318" s="47"/>
      <c r="I1318" s="76"/>
      <c r="J1318" s="76"/>
      <c r="K1318" s="91" t="s">
        <v>4321</v>
      </c>
      <c r="L1318" s="91" t="s">
        <v>3929</v>
      </c>
      <c r="M1318" s="91" t="s">
        <v>1406</v>
      </c>
      <c r="N1318" s="91" t="s">
        <v>1293</v>
      </c>
      <c r="O1318" s="77"/>
      <c r="P1318" s="91" t="s">
        <v>2537</v>
      </c>
      <c r="Q1318" s="32"/>
      <c r="R1318" s="48" t="s">
        <v>216</v>
      </c>
      <c r="S1318" s="32"/>
    </row>
    <row r="1319" spans="2:19" ht="28.8" x14ac:dyDescent="0.3">
      <c r="B1319" t="s">
        <v>4349</v>
      </c>
      <c r="C1319" s="11" t="s">
        <v>178</v>
      </c>
      <c r="D1319">
        <v>1</v>
      </c>
      <c r="E1319" t="s">
        <v>160</v>
      </c>
      <c r="F1319" s="92" t="s">
        <v>1059</v>
      </c>
      <c r="G1319" s="90" t="str">
        <f>LEFT([1]modificado!$O$2, FIND(" ", [1]modificado!$O$2 &amp; " ") - 1)</f>
        <v>3M</v>
      </c>
      <c r="H1319" s="47" t="str">
        <f>RIGHT([1]!Tabla2[[#This Row],[Marca y Modelo]], LEN([1]!Tabla2[[#This Row],[Marca y Modelo]]) - FIND(" ", [1]!Tabla2[[#This Row],[Marca y Modelo]]))</f>
        <v>4550-U</v>
      </c>
      <c r="I1319" s="76"/>
      <c r="J1319" s="76"/>
      <c r="K1319" s="92" t="s">
        <v>4321</v>
      </c>
      <c r="L1319" s="92" t="s">
        <v>3930</v>
      </c>
      <c r="M1319" s="92" t="s">
        <v>1404</v>
      </c>
      <c r="N1319" s="92" t="s">
        <v>1294</v>
      </c>
      <c r="O1319" s="77"/>
      <c r="P1319" s="92" t="s">
        <v>2537</v>
      </c>
      <c r="Q1319" s="32"/>
      <c r="R1319" s="48" t="s">
        <v>216</v>
      </c>
      <c r="S1319" s="32"/>
    </row>
    <row r="1320" spans="2:19" ht="28.8" x14ac:dyDescent="0.3">
      <c r="B1320" t="s">
        <v>4349</v>
      </c>
      <c r="C1320" s="11" t="s">
        <v>178</v>
      </c>
      <c r="D1320">
        <v>1</v>
      </c>
      <c r="E1320" t="s">
        <v>160</v>
      </c>
      <c r="F1320" s="91" t="s">
        <v>1059</v>
      </c>
      <c r="G1320" s="90" t="str">
        <f>LEFT([1]modificado!$O$2, FIND(" ", [1]modificado!$O$2 &amp; " ") - 1)</f>
        <v>3M</v>
      </c>
      <c r="H1320" s="47" t="str">
        <f>RIGHT([1]!Tabla2[[#This Row],[Marca y Modelo]], LEN([1]!Tabla2[[#This Row],[Marca y Modelo]]) - FIND(" ", [1]!Tabla2[[#This Row],[Marca y Modelo]]))</f>
        <v>4550-U</v>
      </c>
      <c r="I1320" s="76"/>
      <c r="J1320" s="76"/>
      <c r="K1320" s="91" t="s">
        <v>4321</v>
      </c>
      <c r="L1320" s="91" t="s">
        <v>3931</v>
      </c>
      <c r="M1320" s="91" t="s">
        <v>1404</v>
      </c>
      <c r="N1320" s="91" t="s">
        <v>1295</v>
      </c>
      <c r="O1320" s="77"/>
      <c r="P1320" s="91" t="s">
        <v>2537</v>
      </c>
      <c r="Q1320" s="32"/>
      <c r="R1320" s="48" t="s">
        <v>216</v>
      </c>
      <c r="S1320" s="32"/>
    </row>
    <row r="1321" spans="2:19" ht="28.8" x14ac:dyDescent="0.3">
      <c r="B1321" t="str">
        <f>LEFT(Tabla3890134177220392[[#This Row],[Descripción del equipo]], FIND(" ", Tabla3890134177220392[[#This Row],[Descripción del equipo]] &amp; " ") - 1)</f>
        <v>Autoretractil</v>
      </c>
      <c r="C1321" s="11" t="s">
        <v>178</v>
      </c>
      <c r="D1321">
        <v>1</v>
      </c>
      <c r="E1321" t="s">
        <v>160</v>
      </c>
      <c r="F1321" s="92" t="s">
        <v>1058</v>
      </c>
      <c r="G1321" s="90" t="str">
        <f>LEFT([1]modificado!$O$2, FIND(" ", [1]modificado!$O$2 &amp; " ") - 1)</f>
        <v>3M</v>
      </c>
      <c r="H1321" s="47"/>
      <c r="I1321" s="76"/>
      <c r="J1321" s="76"/>
      <c r="K1321" s="92" t="s">
        <v>4320</v>
      </c>
      <c r="L1321" s="92" t="s">
        <v>3932</v>
      </c>
      <c r="M1321" s="92" t="s">
        <v>1404</v>
      </c>
      <c r="N1321" s="92" t="s">
        <v>1296</v>
      </c>
      <c r="O1321" s="77"/>
      <c r="P1321" s="92" t="s">
        <v>2537</v>
      </c>
      <c r="Q1321" s="32"/>
      <c r="R1321" s="48" t="s">
        <v>216</v>
      </c>
      <c r="S1321" s="32"/>
    </row>
    <row r="1322" spans="2:19" ht="28.8" x14ac:dyDescent="0.3">
      <c r="B1322" t="str">
        <f>LEFT(Tabla3890134177220392[[#This Row],[Descripción del equipo]], FIND(" ", Tabla3890134177220392[[#This Row],[Descripción del equipo]] &amp; " ") - 1)</f>
        <v>Arnes</v>
      </c>
      <c r="C1322" s="11" t="s">
        <v>178</v>
      </c>
      <c r="D1322">
        <v>1</v>
      </c>
      <c r="E1322" t="s">
        <v>160</v>
      </c>
      <c r="F1322" s="91" t="s">
        <v>1068</v>
      </c>
      <c r="G1322" s="90" t="str">
        <f>LEFT([1]modificado!$O$2, FIND(" ", [1]modificado!$O$2 &amp; " ") - 1)</f>
        <v>3M</v>
      </c>
      <c r="H1322" s="47" t="str">
        <f>RIGHT([1]!Tabla2[[#This Row],[Marca y Modelo]], LEN([1]!Tabla2[[#This Row],[Marca y Modelo]]) - FIND(" ", [1]!Tabla2[[#This Row],[Marca y Modelo]]))</f>
        <v>1191385</v>
      </c>
      <c r="I1322" s="76"/>
      <c r="J1322" s="76"/>
      <c r="K1322" s="91" t="s">
        <v>4319</v>
      </c>
      <c r="L1322" s="91" t="s">
        <v>3933</v>
      </c>
      <c r="M1322" s="91" t="s">
        <v>1404</v>
      </c>
      <c r="N1322" s="91" t="s">
        <v>1297</v>
      </c>
      <c r="O1322" s="77"/>
      <c r="P1322" s="91" t="s">
        <v>2537</v>
      </c>
      <c r="Q1322" s="32"/>
      <c r="R1322" s="48" t="s">
        <v>216</v>
      </c>
      <c r="S1322" s="32"/>
    </row>
    <row r="1323" spans="2:19" ht="28.8" x14ac:dyDescent="0.3">
      <c r="B1323" t="str">
        <f>LEFT(Tabla3890134177220392[[#This Row],[Descripción del equipo]], FIND(" ", Tabla3890134177220392[[#This Row],[Descripción del equipo]] &amp; " ") - 1)</f>
        <v>Autoretractil</v>
      </c>
      <c r="C1323" s="11" t="s">
        <v>178</v>
      </c>
      <c r="D1323">
        <v>1</v>
      </c>
      <c r="E1323" t="s">
        <v>160</v>
      </c>
      <c r="F1323" s="92" t="s">
        <v>1058</v>
      </c>
      <c r="G1323" s="90" t="str">
        <f>LEFT([1]modificado!$O$2, FIND(" ", [1]modificado!$O$2 &amp; " ") - 1)</f>
        <v>3M</v>
      </c>
      <c r="H1323" s="47" t="str">
        <f>RIGHT([1]!Tabla2[[#This Row],[Marca y Modelo]], LEN([1]!Tabla2[[#This Row],[Marca y Modelo]]) - FIND(" ", [1]!Tabla2[[#This Row],[Marca y Modelo]]))</f>
        <v>3100414</v>
      </c>
      <c r="I1323" s="76"/>
      <c r="J1323" s="76"/>
      <c r="K1323" s="92" t="s">
        <v>4320</v>
      </c>
      <c r="L1323" s="92" t="s">
        <v>3934</v>
      </c>
      <c r="M1323" s="92" t="s">
        <v>1404</v>
      </c>
      <c r="N1323" s="92" t="s">
        <v>1298</v>
      </c>
      <c r="O1323" s="77"/>
      <c r="P1323" s="92" t="s">
        <v>2537</v>
      </c>
      <c r="Q1323" s="32"/>
      <c r="R1323" s="48" t="s">
        <v>216</v>
      </c>
      <c r="S1323" s="32"/>
    </row>
    <row r="1324" spans="2:19" ht="28.8" x14ac:dyDescent="0.3">
      <c r="B1324" t="str">
        <f>LEFT(Tabla3890134177220392[[#This Row],[Descripción del equipo]], FIND(" ", Tabla3890134177220392[[#This Row],[Descripción del equipo]] &amp; " ") - 1)</f>
        <v>Autoretractil</v>
      </c>
      <c r="C1324" s="11" t="s">
        <v>178</v>
      </c>
      <c r="D1324">
        <v>1</v>
      </c>
      <c r="E1324" t="s">
        <v>160</v>
      </c>
      <c r="F1324" s="91" t="s">
        <v>1058</v>
      </c>
      <c r="G1324" s="90" t="str">
        <f>LEFT([1]modificado!$O$2, FIND(" ", [1]modificado!$O$2 &amp; " ") - 1)</f>
        <v>3M</v>
      </c>
      <c r="H1324" s="47" t="str">
        <f>RIGHT([1]!Tabla2[[#This Row],[Marca y Modelo]], LEN([1]!Tabla2[[#This Row],[Marca y Modelo]]) - FIND(" ", [1]!Tabla2[[#This Row],[Marca y Modelo]]))</f>
        <v>3100425</v>
      </c>
      <c r="I1324" s="76"/>
      <c r="J1324" s="76"/>
      <c r="K1324" s="91" t="s">
        <v>4320</v>
      </c>
      <c r="L1324" s="91" t="s">
        <v>3935</v>
      </c>
      <c r="M1324" s="91" t="s">
        <v>1404</v>
      </c>
      <c r="N1324" s="91" t="s">
        <v>1299</v>
      </c>
      <c r="O1324" s="77"/>
      <c r="P1324" s="91" t="s">
        <v>2537</v>
      </c>
      <c r="Q1324" s="32"/>
      <c r="R1324" s="48" t="s">
        <v>216</v>
      </c>
      <c r="S1324" s="32"/>
    </row>
    <row r="1325" spans="2:19" ht="28.8" x14ac:dyDescent="0.3">
      <c r="B1325" t="str">
        <f>LEFT(Tabla3890134177220392[[#This Row],[Descripción del equipo]], FIND(" ", Tabla3890134177220392[[#This Row],[Descripción del equipo]] &amp; " ") - 1)</f>
        <v>Autoretractil</v>
      </c>
      <c r="C1325" s="11" t="s">
        <v>178</v>
      </c>
      <c r="D1325">
        <v>1</v>
      </c>
      <c r="E1325" t="s">
        <v>160</v>
      </c>
      <c r="F1325" s="92" t="s">
        <v>1058</v>
      </c>
      <c r="G1325" s="90" t="str">
        <f>LEFT([1]modificado!$O$2, FIND(" ", [1]modificado!$O$2 &amp; " ") - 1)</f>
        <v>3M</v>
      </c>
      <c r="H1325" s="47" t="str">
        <f>RIGHT([1]!Tabla2[[#This Row],[Marca y Modelo]], LEN([1]!Tabla2[[#This Row],[Marca y Modelo]]) - FIND(" ", [1]!Tabla2[[#This Row],[Marca y Modelo]]))</f>
        <v>3100425</v>
      </c>
      <c r="I1325" s="76"/>
      <c r="J1325" s="76"/>
      <c r="K1325" s="92" t="s">
        <v>4320</v>
      </c>
      <c r="L1325" s="92" t="s">
        <v>3936</v>
      </c>
      <c r="M1325" s="92" t="s">
        <v>1404</v>
      </c>
      <c r="N1325" s="92" t="s">
        <v>1300</v>
      </c>
      <c r="O1325" s="77"/>
      <c r="P1325" s="92" t="s">
        <v>2537</v>
      </c>
      <c r="Q1325" s="32"/>
      <c r="R1325" s="48" t="s">
        <v>216</v>
      </c>
      <c r="S1325" s="32"/>
    </row>
    <row r="1326" spans="2:19" ht="28.8" x14ac:dyDescent="0.3">
      <c r="B1326" t="str">
        <f>LEFT(Tabla3890134177220392[[#This Row],[Descripción del equipo]], FIND(" ", Tabla3890134177220392[[#This Row],[Descripción del equipo]] &amp; " ") - 1)</f>
        <v>Autoretractil</v>
      </c>
      <c r="C1326" s="11" t="s">
        <v>178</v>
      </c>
      <c r="D1326">
        <v>1</v>
      </c>
      <c r="E1326" t="s">
        <v>160</v>
      </c>
      <c r="F1326" s="91" t="s">
        <v>1058</v>
      </c>
      <c r="G1326" s="90" t="str">
        <f>LEFT([1]modificado!$O$2, FIND(" ", [1]modificado!$O$2 &amp; " ") - 1)</f>
        <v>3M</v>
      </c>
      <c r="H1326" s="47" t="str">
        <f>RIGHT([1]!Tabla2[[#This Row],[Marca y Modelo]], LEN([1]!Tabla2[[#This Row],[Marca y Modelo]]) - FIND(" ", [1]!Tabla2[[#This Row],[Marca y Modelo]]))</f>
        <v>3101277</v>
      </c>
      <c r="I1326" s="76"/>
      <c r="J1326" s="76"/>
      <c r="K1326" s="91" t="s">
        <v>4320</v>
      </c>
      <c r="L1326" s="91" t="s">
        <v>3937</v>
      </c>
      <c r="M1326" s="91" t="s">
        <v>1404</v>
      </c>
      <c r="N1326" s="91" t="s">
        <v>1301</v>
      </c>
      <c r="O1326" s="77"/>
      <c r="P1326" s="91" t="s">
        <v>2537</v>
      </c>
      <c r="Q1326" s="32"/>
      <c r="R1326" s="48" t="s">
        <v>216</v>
      </c>
      <c r="S1326" s="32"/>
    </row>
    <row r="1327" spans="2:19" ht="28.8" x14ac:dyDescent="0.3">
      <c r="B1327" t="str">
        <f>LEFT(Tabla3890134177220392[[#This Row],[Descripción del equipo]], FIND(" ", Tabla3890134177220392[[#This Row],[Descripción del equipo]] &amp; " ") - 1)</f>
        <v>Autoretractil</v>
      </c>
      <c r="C1327" s="11" t="s">
        <v>178</v>
      </c>
      <c r="D1327">
        <v>1</v>
      </c>
      <c r="E1327" t="s">
        <v>160</v>
      </c>
      <c r="F1327" s="92" t="s">
        <v>1058</v>
      </c>
      <c r="G1327" s="90" t="str">
        <f>LEFT([1]modificado!$O$2, FIND(" ", [1]modificado!$O$2 &amp; " ") - 1)</f>
        <v>3M</v>
      </c>
      <c r="H1327" s="47" t="str">
        <f>RIGHT([1]!Tabla2[[#This Row],[Marca y Modelo]], LEN([1]!Tabla2[[#This Row],[Marca y Modelo]]) - FIND(" ", [1]!Tabla2[[#This Row],[Marca y Modelo]]))</f>
        <v>3100425</v>
      </c>
      <c r="I1327" s="76"/>
      <c r="J1327" s="76"/>
      <c r="K1327" s="92" t="s">
        <v>4320</v>
      </c>
      <c r="L1327" s="92" t="s">
        <v>3938</v>
      </c>
      <c r="M1327" s="92" t="s">
        <v>1404</v>
      </c>
      <c r="N1327" s="92" t="s">
        <v>1302</v>
      </c>
      <c r="O1327" s="77"/>
      <c r="P1327" s="92" t="s">
        <v>2537</v>
      </c>
      <c r="Q1327" s="32"/>
      <c r="R1327" s="48" t="s">
        <v>216</v>
      </c>
      <c r="S1327" s="32"/>
    </row>
    <row r="1328" spans="2:19" ht="28.8" x14ac:dyDescent="0.3">
      <c r="B1328" t="str">
        <f>LEFT(Tabla3890134177220392[[#This Row],[Descripción del equipo]], FIND(" ", Tabla3890134177220392[[#This Row],[Descripción del equipo]] &amp; " ") - 1)</f>
        <v>Autoretractil</v>
      </c>
      <c r="C1328" s="11" t="s">
        <v>178</v>
      </c>
      <c r="D1328">
        <v>1</v>
      </c>
      <c r="E1328" t="s">
        <v>160</v>
      </c>
      <c r="F1328" s="91" t="s">
        <v>1058</v>
      </c>
      <c r="G1328" s="90" t="str">
        <f>LEFT([1]modificado!$O$2, FIND(" ", [1]modificado!$O$2 &amp; " ") - 1)</f>
        <v>3M</v>
      </c>
      <c r="H1328" s="47" t="str">
        <f>RIGHT([1]!Tabla2[[#This Row],[Marca y Modelo]], LEN([1]!Tabla2[[#This Row],[Marca y Modelo]]) - FIND(" ", [1]!Tabla2[[#This Row],[Marca y Modelo]]))</f>
        <v>3101277</v>
      </c>
      <c r="I1328" s="76"/>
      <c r="J1328" s="76"/>
      <c r="K1328" s="91" t="s">
        <v>4320</v>
      </c>
      <c r="L1328" s="91" t="s">
        <v>3939</v>
      </c>
      <c r="M1328" s="91" t="s">
        <v>1404</v>
      </c>
      <c r="N1328" s="91" t="s">
        <v>1303</v>
      </c>
      <c r="O1328" s="77"/>
      <c r="P1328" s="91" t="s">
        <v>2537</v>
      </c>
      <c r="Q1328" s="32"/>
      <c r="R1328" s="48" t="s">
        <v>216</v>
      </c>
      <c r="S1328" s="32"/>
    </row>
    <row r="1329" spans="2:19" ht="28.8" x14ac:dyDescent="0.3">
      <c r="B1329" t="str">
        <f>LEFT(Tabla3890134177220392[[#This Row],[Descripción del equipo]], FIND(" ", Tabla3890134177220392[[#This Row],[Descripción del equipo]] &amp; " ") - 1)</f>
        <v>Autoretractil</v>
      </c>
      <c r="C1329" s="11" t="s">
        <v>178</v>
      </c>
      <c r="D1329">
        <v>1</v>
      </c>
      <c r="E1329" t="s">
        <v>160</v>
      </c>
      <c r="F1329" s="92" t="s">
        <v>1058</v>
      </c>
      <c r="G1329" s="90" t="str">
        <f>LEFT([1]modificado!$O$2, FIND(" ", [1]modificado!$O$2 &amp; " ") - 1)</f>
        <v>3M</v>
      </c>
      <c r="H1329" s="47" t="str">
        <f>RIGHT([1]!Tabla2[[#This Row],[Marca y Modelo]], LEN([1]!Tabla2[[#This Row],[Marca y Modelo]]) - FIND(" ", [1]!Tabla2[[#This Row],[Marca y Modelo]]))</f>
        <v>3101277</v>
      </c>
      <c r="I1329" s="76"/>
      <c r="J1329" s="76"/>
      <c r="K1329" s="92" t="s">
        <v>4320</v>
      </c>
      <c r="L1329" s="92" t="s">
        <v>3940</v>
      </c>
      <c r="M1329" s="92" t="s">
        <v>1404</v>
      </c>
      <c r="N1329" s="92" t="s">
        <v>1304</v>
      </c>
      <c r="O1329" s="77"/>
      <c r="P1329" s="92" t="s">
        <v>2537</v>
      </c>
      <c r="Q1329" s="32"/>
      <c r="R1329" s="48" t="s">
        <v>216</v>
      </c>
      <c r="S1329" s="32"/>
    </row>
    <row r="1330" spans="2:19" ht="28.8" x14ac:dyDescent="0.3">
      <c r="B1330" t="s">
        <v>4348</v>
      </c>
      <c r="C1330" s="11" t="s">
        <v>178</v>
      </c>
      <c r="D1330">
        <v>1</v>
      </c>
      <c r="E1330" t="s">
        <v>160</v>
      </c>
      <c r="F1330" s="91" t="s">
        <v>1057</v>
      </c>
      <c r="G1330" s="90" t="str">
        <f>LEFT([1]modificado!$O$2, FIND(" ", [1]modificado!$O$2 &amp; " ") - 1)</f>
        <v>3M</v>
      </c>
      <c r="H1330" s="47" t="str">
        <f>RIGHT([1]!Tabla2[[#This Row],[Marca y Modelo]], LEN([1]!Tabla2[[#This Row],[Marca y Modelo]]) - FIND(" ", [1]!Tabla2[[#This Row],[Marca y Modelo]]))</f>
        <v>671EC</v>
      </c>
      <c r="I1330" s="76"/>
      <c r="J1330" s="76"/>
      <c r="K1330" s="91" t="s">
        <v>4322</v>
      </c>
      <c r="L1330" s="91" t="s">
        <v>3941</v>
      </c>
      <c r="M1330" s="91" t="s">
        <v>1404</v>
      </c>
      <c r="N1330" s="91" t="s">
        <v>1305</v>
      </c>
      <c r="O1330" s="77"/>
      <c r="P1330" s="91" t="s">
        <v>2537</v>
      </c>
      <c r="Q1330" s="32"/>
      <c r="R1330" s="48" t="s">
        <v>216</v>
      </c>
      <c r="S1330" s="32"/>
    </row>
    <row r="1331" spans="2:19" ht="28.8" x14ac:dyDescent="0.3">
      <c r="B1331" t="str">
        <f>LEFT(Tabla3890134177220392[[#This Row],[Descripción del equipo]], FIND(" ", Tabla3890134177220392[[#This Row],[Descripción del equipo]] &amp; " ") - 1)</f>
        <v>Retractil</v>
      </c>
      <c r="C1331" s="11" t="s">
        <v>178</v>
      </c>
      <c r="D1331">
        <v>1</v>
      </c>
      <c r="E1331" t="s">
        <v>160</v>
      </c>
      <c r="F1331" s="92" t="s">
        <v>18</v>
      </c>
      <c r="G1331" s="90" t="str">
        <f>LEFT([1]modificado!$O$2, FIND(" ", [1]modificado!$O$2 &amp; " ") - 1)</f>
        <v>3M</v>
      </c>
      <c r="H1331" s="47"/>
      <c r="I1331" s="76"/>
      <c r="J1331" s="76"/>
      <c r="K1331" s="92" t="s">
        <v>4323</v>
      </c>
      <c r="L1331" s="92" t="s">
        <v>3942</v>
      </c>
      <c r="M1331" s="92" t="s">
        <v>1404</v>
      </c>
      <c r="N1331" s="92" t="s">
        <v>1306</v>
      </c>
      <c r="O1331" s="77"/>
      <c r="P1331" s="92" t="s">
        <v>2537</v>
      </c>
      <c r="Q1331" s="32"/>
      <c r="R1331" s="48" t="s">
        <v>216</v>
      </c>
      <c r="S1331" s="32"/>
    </row>
    <row r="1332" spans="2:19" ht="28.8" x14ac:dyDescent="0.3">
      <c r="B1332" t="s">
        <v>4349</v>
      </c>
      <c r="C1332" s="11" t="s">
        <v>178</v>
      </c>
      <c r="D1332">
        <v>1</v>
      </c>
      <c r="E1332" t="s">
        <v>160</v>
      </c>
      <c r="F1332" s="91" t="s">
        <v>1059</v>
      </c>
      <c r="G1332" s="90" t="str">
        <f>LEFT([1]modificado!$O$2, FIND(" ", [1]modificado!$O$2 &amp; " ") - 1)</f>
        <v>3M</v>
      </c>
      <c r="H1332" s="47" t="str">
        <f>RIGHT([1]!Tabla2[[#This Row],[Marca y Modelo]], LEN([1]!Tabla2[[#This Row],[Marca y Modelo]]) - FIND(" ", [1]!Tabla2[[#This Row],[Marca y Modelo]]))</f>
        <v>4550-U</v>
      </c>
      <c r="I1332" s="76"/>
      <c r="J1332" s="76"/>
      <c r="K1332" s="91" t="s">
        <v>4324</v>
      </c>
      <c r="L1332" s="91" t="s">
        <v>3943</v>
      </c>
      <c r="M1332" s="91" t="s">
        <v>1404</v>
      </c>
      <c r="N1332" s="91" t="s">
        <v>1307</v>
      </c>
      <c r="O1332" s="77"/>
      <c r="P1332" s="91" t="s">
        <v>2537</v>
      </c>
      <c r="Q1332" s="32"/>
      <c r="R1332" s="48" t="s">
        <v>216</v>
      </c>
      <c r="S1332" s="32"/>
    </row>
    <row r="1333" spans="2:19" ht="28.8" x14ac:dyDescent="0.3">
      <c r="B1333" t="str">
        <f>LEFT(Tabla3890134177220392[[#This Row],[Descripción del equipo]], FIND(" ", Tabla3890134177220392[[#This Row],[Descripción del equipo]] &amp; " ") - 1)</f>
        <v>Retractil</v>
      </c>
      <c r="C1333" s="11" t="s">
        <v>178</v>
      </c>
      <c r="D1333">
        <v>1</v>
      </c>
      <c r="E1333" t="s">
        <v>160</v>
      </c>
      <c r="F1333" s="92" t="s">
        <v>18</v>
      </c>
      <c r="G1333" s="90" t="str">
        <f>LEFT([1]modificado!$O$2, FIND(" ", [1]modificado!$O$2 &amp; " ") - 1)</f>
        <v>3M</v>
      </c>
      <c r="H1333" s="47" t="str">
        <f>RIGHT([1]!Tabla2[[#This Row],[Marca y Modelo]], LEN([1]!Tabla2[[#This Row],[Marca y Modelo]]) - FIND(" ", [1]!Tabla2[[#This Row],[Marca y Modelo]]))</f>
        <v>3504433</v>
      </c>
      <c r="I1333" s="76"/>
      <c r="J1333" s="76"/>
      <c r="K1333" s="92" t="s">
        <v>4323</v>
      </c>
      <c r="L1333" s="92" t="s">
        <v>3944</v>
      </c>
      <c r="M1333" s="92" t="s">
        <v>1404</v>
      </c>
      <c r="N1333" s="92" t="s">
        <v>1308</v>
      </c>
      <c r="O1333" s="77"/>
      <c r="P1333" s="92" t="s">
        <v>2537</v>
      </c>
      <c r="Q1333" s="32"/>
      <c r="R1333" s="48" t="s">
        <v>216</v>
      </c>
      <c r="S1333" s="32"/>
    </row>
    <row r="1334" spans="2:19" ht="28.8" x14ac:dyDescent="0.3">
      <c r="B1334" t="s">
        <v>4349</v>
      </c>
      <c r="C1334" s="11" t="s">
        <v>178</v>
      </c>
      <c r="D1334">
        <v>1</v>
      </c>
      <c r="E1334" t="s">
        <v>160</v>
      </c>
      <c r="F1334" s="91" t="s">
        <v>1079</v>
      </c>
      <c r="G1334" s="90" t="str">
        <f>LEFT([1]modificado!$O$2, FIND(" ", [1]modificado!$O$2 &amp; " ") - 1)</f>
        <v>3M</v>
      </c>
      <c r="H1334" s="47" t="str">
        <f>RIGHT([1]!Tabla2[[#This Row],[Marca y Modelo]], LEN([1]!Tabla2[[#This Row],[Marca y Modelo]]) - FIND(" ", [1]!Tabla2[[#This Row],[Marca y Modelo]]))</f>
        <v>2110808</v>
      </c>
      <c r="I1334" s="76"/>
      <c r="J1334" s="76"/>
      <c r="K1334" s="91" t="s">
        <v>4325</v>
      </c>
      <c r="L1334" s="91" t="s">
        <v>3945</v>
      </c>
      <c r="M1334" s="91" t="s">
        <v>1404</v>
      </c>
      <c r="N1334" s="91" t="s">
        <v>1309</v>
      </c>
      <c r="O1334" s="77"/>
      <c r="P1334" s="91" t="s">
        <v>2537</v>
      </c>
      <c r="Q1334" s="32"/>
      <c r="R1334" s="48" t="s">
        <v>216</v>
      </c>
      <c r="S1334" s="32"/>
    </row>
    <row r="1335" spans="2:19" ht="28.8" x14ac:dyDescent="0.3">
      <c r="B1335" t="str">
        <f>LEFT(Tabla3890134177220392[[#This Row],[Descripción del equipo]], FIND(" ", Tabla3890134177220392[[#This Row],[Descripción del equipo]] &amp; " ") - 1)</f>
        <v>Autoretractil</v>
      </c>
      <c r="C1335" s="11" t="s">
        <v>178</v>
      </c>
      <c r="D1335">
        <v>1</v>
      </c>
      <c r="E1335" t="s">
        <v>160</v>
      </c>
      <c r="F1335" s="92" t="s">
        <v>1058</v>
      </c>
      <c r="G1335" s="90" t="str">
        <f>LEFT([1]modificado!$O$2, FIND(" ", [1]modificado!$O$2 &amp; " ") - 1)</f>
        <v>3M</v>
      </c>
      <c r="H1335" s="47" t="str">
        <f>RIGHT([1]!Tabla2[[#This Row],[Marca y Modelo]], LEN([1]!Tabla2[[#This Row],[Marca y Modelo]]) - FIND(" ", [1]!Tabla2[[#This Row],[Marca y Modelo]]))</f>
        <v>3101277</v>
      </c>
      <c r="I1335" s="76"/>
      <c r="J1335" s="76"/>
      <c r="K1335" s="92" t="s">
        <v>4326</v>
      </c>
      <c r="L1335" s="92" t="s">
        <v>3946</v>
      </c>
      <c r="M1335" s="92" t="s">
        <v>1404</v>
      </c>
      <c r="N1335" s="92" t="s">
        <v>1310</v>
      </c>
      <c r="O1335" s="77"/>
      <c r="P1335" s="92" t="s">
        <v>2537</v>
      </c>
      <c r="Q1335" s="32"/>
      <c r="R1335" s="48" t="s">
        <v>216</v>
      </c>
      <c r="S1335" s="32"/>
    </row>
    <row r="1336" spans="2:19" ht="28.8" x14ac:dyDescent="0.3">
      <c r="B1336" t="str">
        <f>LEFT(Tabla3890134177220392[[#This Row],[Descripción del equipo]], FIND(" ", Tabla3890134177220392[[#This Row],[Descripción del equipo]] &amp; " ") - 1)</f>
        <v>Autoretractil</v>
      </c>
      <c r="C1336" s="11" t="s">
        <v>178</v>
      </c>
      <c r="D1336">
        <v>1</v>
      </c>
      <c r="E1336" t="s">
        <v>160</v>
      </c>
      <c r="F1336" s="91" t="s">
        <v>1058</v>
      </c>
      <c r="G1336" s="90" t="str">
        <f>LEFT([1]modificado!$O$2, FIND(" ", [1]modificado!$O$2 &amp; " ") - 1)</f>
        <v>3M</v>
      </c>
      <c r="H1336" s="47" t="str">
        <f>RIGHT([1]!Tabla2[[#This Row],[Marca y Modelo]], LEN([1]!Tabla2[[#This Row],[Marca y Modelo]]) - FIND(" ", [1]!Tabla2[[#This Row],[Marca y Modelo]]))</f>
        <v>3101277</v>
      </c>
      <c r="I1336" s="76"/>
      <c r="J1336" s="76"/>
      <c r="K1336" s="91" t="s">
        <v>4326</v>
      </c>
      <c r="L1336" s="91" t="s">
        <v>3947</v>
      </c>
      <c r="M1336" s="91" t="s">
        <v>1404</v>
      </c>
      <c r="N1336" s="91" t="s">
        <v>1311</v>
      </c>
      <c r="O1336" s="77"/>
      <c r="P1336" s="91" t="s">
        <v>2537</v>
      </c>
      <c r="Q1336" s="32"/>
      <c r="R1336" s="48" t="s">
        <v>216</v>
      </c>
      <c r="S1336" s="32"/>
    </row>
    <row r="1337" spans="2:19" ht="28.8" x14ac:dyDescent="0.3">
      <c r="B1337" t="s">
        <v>4349</v>
      </c>
      <c r="C1337" s="11" t="s">
        <v>178</v>
      </c>
      <c r="D1337">
        <v>1</v>
      </c>
      <c r="E1337" t="s">
        <v>160</v>
      </c>
      <c r="F1337" s="92" t="s">
        <v>1079</v>
      </c>
      <c r="G1337" s="90" t="str">
        <f>LEFT([1]modificado!$O$2, FIND(" ", [1]modificado!$O$2 &amp; " ") - 1)</f>
        <v>3M</v>
      </c>
      <c r="H1337" s="47" t="str">
        <f>RIGHT([1]!Tabla2[[#This Row],[Marca y Modelo]], LEN([1]!Tabla2[[#This Row],[Marca y Modelo]]) - FIND(" ", [1]!Tabla2[[#This Row],[Marca y Modelo]]))</f>
        <v>2110808</v>
      </c>
      <c r="I1337" s="76"/>
      <c r="J1337" s="76"/>
      <c r="K1337" s="92" t="s">
        <v>4325</v>
      </c>
      <c r="L1337" s="92" t="s">
        <v>3948</v>
      </c>
      <c r="M1337" s="92" t="s">
        <v>1404</v>
      </c>
      <c r="N1337" s="92" t="s">
        <v>1312</v>
      </c>
      <c r="O1337" s="77"/>
      <c r="P1337" s="92" t="s">
        <v>2537</v>
      </c>
      <c r="Q1337" s="32"/>
      <c r="R1337" s="48" t="s">
        <v>216</v>
      </c>
      <c r="S1337" s="32"/>
    </row>
    <row r="1338" spans="2:19" ht="28.8" x14ac:dyDescent="0.3">
      <c r="B1338" t="str">
        <f>LEFT(Tabla3890134177220392[[#This Row],[Descripción del equipo]], FIND(" ", Tabla3890134177220392[[#This Row],[Descripción del equipo]] &amp; " ") - 1)</f>
        <v>Retractil</v>
      </c>
      <c r="C1338" s="11" t="s">
        <v>178</v>
      </c>
      <c r="D1338">
        <v>1</v>
      </c>
      <c r="E1338" t="s">
        <v>160</v>
      </c>
      <c r="F1338" s="91" t="s">
        <v>18</v>
      </c>
      <c r="G1338" s="90" t="str">
        <f>LEFT([1]modificado!$O$2, FIND(" ", [1]modificado!$O$2 &amp; " ") - 1)</f>
        <v>3M</v>
      </c>
      <c r="H1338" s="47" t="str">
        <f>RIGHT([1]!Tabla2[[#This Row],[Marca y Modelo]], LEN([1]!Tabla2[[#This Row],[Marca y Modelo]]) - FIND(" ", [1]!Tabla2[[#This Row],[Marca y Modelo]]))</f>
        <v>3590500</v>
      </c>
      <c r="I1338" s="76"/>
      <c r="J1338" s="76"/>
      <c r="K1338" s="91" t="s">
        <v>4323</v>
      </c>
      <c r="L1338" s="91" t="s">
        <v>3949</v>
      </c>
      <c r="M1338" s="91" t="s">
        <v>1404</v>
      </c>
      <c r="N1338" s="91" t="s">
        <v>1313</v>
      </c>
      <c r="O1338" s="77"/>
      <c r="P1338" s="91" t="s">
        <v>2537</v>
      </c>
      <c r="Q1338" s="32"/>
      <c r="R1338" s="48" t="s">
        <v>216</v>
      </c>
      <c r="S1338" s="32"/>
    </row>
    <row r="1339" spans="2:19" ht="28.8" x14ac:dyDescent="0.3">
      <c r="B1339" t="str">
        <f>LEFT(Tabla3890134177220392[[#This Row],[Descripción del equipo]], FIND(" ", Tabla3890134177220392[[#This Row],[Descripción del equipo]] &amp; " ") - 1)</f>
        <v>Retractil</v>
      </c>
      <c r="C1339" s="11" t="s">
        <v>178</v>
      </c>
      <c r="D1339">
        <v>1</v>
      </c>
      <c r="E1339" t="s">
        <v>160</v>
      </c>
      <c r="F1339" s="92" t="s">
        <v>18</v>
      </c>
      <c r="G1339" s="90" t="str">
        <f>LEFT([1]modificado!$O$2, FIND(" ", [1]modificado!$O$2 &amp; " ") - 1)</f>
        <v>3M</v>
      </c>
      <c r="H1339" s="47"/>
      <c r="I1339" s="76"/>
      <c r="J1339" s="76"/>
      <c r="K1339" s="92" t="s">
        <v>4323</v>
      </c>
      <c r="L1339" s="92" t="s">
        <v>3950</v>
      </c>
      <c r="M1339" s="92" t="s">
        <v>1404</v>
      </c>
      <c r="N1339" s="92" t="s">
        <v>1314</v>
      </c>
      <c r="O1339" s="77"/>
      <c r="P1339" s="92" t="s">
        <v>2537</v>
      </c>
      <c r="Q1339" s="32"/>
      <c r="R1339" s="48" t="s">
        <v>216</v>
      </c>
      <c r="S1339" s="32"/>
    </row>
    <row r="1340" spans="2:19" ht="28.8" x14ac:dyDescent="0.3">
      <c r="B1340" t="str">
        <f>LEFT(Tabla3890134177220392[[#This Row],[Descripción del equipo]], FIND(" ", Tabla3890134177220392[[#This Row],[Descripción del equipo]] &amp; " ") - 1)</f>
        <v>Retractil</v>
      </c>
      <c r="C1340" s="11" t="s">
        <v>178</v>
      </c>
      <c r="D1340">
        <v>1</v>
      </c>
      <c r="E1340" t="s">
        <v>160</v>
      </c>
      <c r="F1340" s="91" t="s">
        <v>18</v>
      </c>
      <c r="G1340" s="90" t="str">
        <f>LEFT([1]modificado!$O$2, FIND(" ", [1]modificado!$O$2 &amp; " ") - 1)</f>
        <v>3M</v>
      </c>
      <c r="H1340" s="47"/>
      <c r="I1340" s="76"/>
      <c r="J1340" s="76"/>
      <c r="K1340" s="91" t="s">
        <v>4323</v>
      </c>
      <c r="L1340" s="91" t="s">
        <v>3951</v>
      </c>
      <c r="M1340" s="91" t="s">
        <v>1404</v>
      </c>
      <c r="N1340" s="91" t="s">
        <v>1315</v>
      </c>
      <c r="O1340" s="77"/>
      <c r="P1340" s="91" t="s">
        <v>2537</v>
      </c>
      <c r="Q1340" s="32"/>
      <c r="R1340" s="48" t="s">
        <v>216</v>
      </c>
      <c r="S1340" s="32"/>
    </row>
    <row r="1341" spans="2:19" ht="28.8" x14ac:dyDescent="0.3">
      <c r="B1341" t="str">
        <f>LEFT(Tabla3890134177220392[[#This Row],[Descripción del equipo]], FIND(" ", Tabla3890134177220392[[#This Row],[Descripción del equipo]] &amp; " ") - 1)</f>
        <v>Arnes</v>
      </c>
      <c r="C1341" s="11" t="s">
        <v>178</v>
      </c>
      <c r="D1341">
        <v>1</v>
      </c>
      <c r="E1341" t="s">
        <v>160</v>
      </c>
      <c r="F1341" s="92" t="s">
        <v>1062</v>
      </c>
      <c r="G1341" s="90" t="str">
        <f>LEFT([1]modificado!$O$2, FIND(" ", [1]modificado!$O$2 &amp; " ") - 1)</f>
        <v>3M</v>
      </c>
      <c r="H1341" s="47" t="str">
        <f>RIGHT([1]!Tabla2[[#This Row],[Marca y Modelo]], LEN([1]!Tabla2[[#This Row],[Marca y Modelo]]) - FIND(" ", [1]!Tabla2[[#This Row],[Marca y Modelo]]))</f>
        <v>10955-LOGO</v>
      </c>
      <c r="I1341" s="76"/>
      <c r="J1341" s="76"/>
      <c r="K1341" s="92" t="s">
        <v>4322</v>
      </c>
      <c r="L1341" s="92" t="s">
        <v>3952</v>
      </c>
      <c r="M1341" s="92" t="s">
        <v>1404</v>
      </c>
      <c r="N1341" s="92" t="s">
        <v>1316</v>
      </c>
      <c r="O1341" s="77"/>
      <c r="P1341" s="92" t="s">
        <v>2537</v>
      </c>
      <c r="Q1341" s="32"/>
      <c r="R1341" s="48" t="s">
        <v>216</v>
      </c>
      <c r="S1341" s="32"/>
    </row>
    <row r="1342" spans="2:19" ht="28.8" x14ac:dyDescent="0.3">
      <c r="B1342" t="s">
        <v>4348</v>
      </c>
      <c r="C1342" s="11" t="s">
        <v>178</v>
      </c>
      <c r="D1342">
        <v>1</v>
      </c>
      <c r="E1342" t="s">
        <v>160</v>
      </c>
      <c r="F1342" s="91" t="s">
        <v>1061</v>
      </c>
      <c r="G1342" s="90" t="str">
        <f>LEFT([1]modificado!$O$2, FIND(" ", [1]modificado!$O$2 &amp; " ") - 1)</f>
        <v>3M</v>
      </c>
      <c r="H1342" s="47" t="str">
        <f>RIGHT([1]!Tabla2[[#This Row],[Marca y Modelo]], LEN([1]!Tabla2[[#This Row],[Marca y Modelo]]) - FIND(" ", [1]!Tabla2[[#This Row],[Marca y Modelo]]))</f>
        <v>3210</v>
      </c>
      <c r="I1342" s="76"/>
      <c r="J1342" s="76"/>
      <c r="K1342" s="91" t="s">
        <v>4327</v>
      </c>
      <c r="L1342" s="91" t="s">
        <v>3953</v>
      </c>
      <c r="M1342" s="91" t="s">
        <v>1404</v>
      </c>
      <c r="N1342" s="91" t="s">
        <v>1317</v>
      </c>
      <c r="O1342" s="77"/>
      <c r="P1342" s="91" t="s">
        <v>2537</v>
      </c>
      <c r="Q1342" s="32"/>
      <c r="R1342" s="48" t="s">
        <v>216</v>
      </c>
      <c r="S1342" s="32"/>
    </row>
    <row r="1343" spans="2:19" ht="28.8" x14ac:dyDescent="0.3">
      <c r="B1343" t="s">
        <v>4348</v>
      </c>
      <c r="C1343" s="11" t="s">
        <v>178</v>
      </c>
      <c r="D1343">
        <v>1</v>
      </c>
      <c r="E1343" t="s">
        <v>160</v>
      </c>
      <c r="F1343" s="92" t="s">
        <v>1077</v>
      </c>
      <c r="G1343" s="90" t="str">
        <f>LEFT([1]modificado!$O$2, FIND(" ", [1]modificado!$O$2 &amp; " ") - 1)</f>
        <v>3M</v>
      </c>
      <c r="H1343" s="47" t="str">
        <f>RIGHT([1]!Tabla2[[#This Row],[Marca y Modelo]], LEN([1]!Tabla2[[#This Row],[Marca y Modelo]]) - FIND(" ", [1]!Tabla2[[#This Row],[Marca y Modelo]]))</f>
        <v>3710S</v>
      </c>
      <c r="I1343" s="76"/>
      <c r="J1343" s="76"/>
      <c r="K1343" s="92" t="s">
        <v>4327</v>
      </c>
      <c r="L1343" s="92" t="s">
        <v>3954</v>
      </c>
      <c r="M1343" s="92" t="s">
        <v>1415</v>
      </c>
      <c r="N1343" s="92" t="s">
        <v>1318</v>
      </c>
      <c r="O1343" s="77"/>
      <c r="P1343" s="92" t="s">
        <v>2537</v>
      </c>
      <c r="Q1343" s="32"/>
      <c r="R1343" s="48" t="s">
        <v>216</v>
      </c>
      <c r="S1343" s="32"/>
    </row>
    <row r="1344" spans="2:19" ht="28.8" x14ac:dyDescent="0.3">
      <c r="B1344" t="s">
        <v>4348</v>
      </c>
      <c r="C1344" s="11" t="s">
        <v>178</v>
      </c>
      <c r="D1344">
        <v>1</v>
      </c>
      <c r="E1344" t="s">
        <v>160</v>
      </c>
      <c r="F1344" s="91" t="s">
        <v>1077</v>
      </c>
      <c r="G1344" s="90" t="str">
        <f>LEFT([1]modificado!$O$2, FIND(" ", [1]modificado!$O$2 &amp; " ") - 1)</f>
        <v>3M</v>
      </c>
      <c r="H1344" s="47" t="str">
        <f>RIGHT([1]!Tabla2[[#This Row],[Marca y Modelo]], LEN([1]!Tabla2[[#This Row],[Marca y Modelo]]) - FIND(" ", [1]!Tabla2[[#This Row],[Marca y Modelo]]))</f>
        <v>3710S</v>
      </c>
      <c r="I1344" s="76"/>
      <c r="J1344" s="76"/>
      <c r="K1344" s="91" t="s">
        <v>4327</v>
      </c>
      <c r="L1344" s="91" t="s">
        <v>3955</v>
      </c>
      <c r="M1344" s="91" t="s">
        <v>1415</v>
      </c>
      <c r="N1344" s="91" t="s">
        <v>1319</v>
      </c>
      <c r="O1344" s="77"/>
      <c r="P1344" s="91" t="s">
        <v>2537</v>
      </c>
      <c r="Q1344" s="32"/>
      <c r="R1344" s="48" t="s">
        <v>216</v>
      </c>
      <c r="S1344" s="32"/>
    </row>
    <row r="1345" spans="2:19" ht="28.8" x14ac:dyDescent="0.3">
      <c r="B1345" t="s">
        <v>4348</v>
      </c>
      <c r="C1345" s="11" t="s">
        <v>178</v>
      </c>
      <c r="D1345">
        <v>1</v>
      </c>
      <c r="E1345" t="s">
        <v>160</v>
      </c>
      <c r="F1345" s="92" t="s">
        <v>1072</v>
      </c>
      <c r="G1345" s="90" t="str">
        <f>LEFT([1]modificado!$O$2, FIND(" ", [1]modificado!$O$2 &amp; " ") - 1)</f>
        <v>3M</v>
      </c>
      <c r="H1345" s="47" t="str">
        <f>RIGHT([1]!Tabla2[[#This Row],[Marca y Modelo]], LEN([1]!Tabla2[[#This Row],[Marca y Modelo]]) - FIND(" ", [1]!Tabla2[[#This Row],[Marca y Modelo]]))</f>
        <v>602AC</v>
      </c>
      <c r="I1345" s="76"/>
      <c r="J1345" s="76"/>
      <c r="K1345" s="92" t="s">
        <v>4328</v>
      </c>
      <c r="L1345" s="92" t="s">
        <v>3956</v>
      </c>
      <c r="M1345" s="92" t="s">
        <v>1404</v>
      </c>
      <c r="N1345" s="92" t="s">
        <v>1320</v>
      </c>
      <c r="O1345" s="77"/>
      <c r="P1345" s="92" t="s">
        <v>2537</v>
      </c>
      <c r="Q1345" s="32"/>
      <c r="R1345" s="48" t="s">
        <v>216</v>
      </c>
      <c r="S1345" s="32"/>
    </row>
    <row r="1346" spans="2:19" ht="28.8" x14ac:dyDescent="0.3">
      <c r="B1346" t="s">
        <v>4348</v>
      </c>
      <c r="C1346" s="11" t="s">
        <v>178</v>
      </c>
      <c r="D1346">
        <v>1</v>
      </c>
      <c r="E1346" t="s">
        <v>160</v>
      </c>
      <c r="F1346" s="91" t="s">
        <v>1072</v>
      </c>
      <c r="G1346" s="90" t="str">
        <f>LEFT([1]modificado!$O$2, FIND(" ", [1]modificado!$O$2 &amp; " ") - 1)</f>
        <v>3M</v>
      </c>
      <c r="H1346" s="47" t="str">
        <f>RIGHT([1]!Tabla2[[#This Row],[Marca y Modelo]], LEN([1]!Tabla2[[#This Row],[Marca y Modelo]]) - FIND(" ", [1]!Tabla2[[#This Row],[Marca y Modelo]]))</f>
        <v>602AC</v>
      </c>
      <c r="I1346" s="76"/>
      <c r="J1346" s="76"/>
      <c r="K1346" s="91" t="s">
        <v>4328</v>
      </c>
      <c r="L1346" s="91" t="s">
        <v>3957</v>
      </c>
      <c r="M1346" s="91" t="s">
        <v>1404</v>
      </c>
      <c r="N1346" s="91" t="s">
        <v>1321</v>
      </c>
      <c r="O1346" s="77"/>
      <c r="P1346" s="91" t="s">
        <v>2537</v>
      </c>
      <c r="Q1346" s="32"/>
      <c r="R1346" s="48" t="s">
        <v>216</v>
      </c>
      <c r="S1346" s="32"/>
    </row>
    <row r="1347" spans="2:19" ht="28.8" x14ac:dyDescent="0.3">
      <c r="B1347" t="s">
        <v>4348</v>
      </c>
      <c r="C1347" s="11" t="s">
        <v>178</v>
      </c>
      <c r="D1347">
        <v>1</v>
      </c>
      <c r="E1347" t="s">
        <v>160</v>
      </c>
      <c r="F1347" s="92" t="s">
        <v>1080</v>
      </c>
      <c r="G1347" s="90" t="str">
        <f>LEFT([1]modificado!$O$2, FIND(" ", [1]modificado!$O$2 &amp; " ") - 1)</f>
        <v>3M</v>
      </c>
      <c r="H1347" s="47" t="str">
        <f>RIGHT([1]!Tabla2[[#This Row],[Marca y Modelo]], LEN([1]!Tabla2[[#This Row],[Marca y Modelo]]) - FIND(" ", [1]!Tabla2[[#This Row],[Marca y Modelo]]))</f>
        <v>3312</v>
      </c>
      <c r="I1347" s="76"/>
      <c r="J1347" s="76"/>
      <c r="K1347" s="92" t="s">
        <v>4328</v>
      </c>
      <c r="L1347" s="92" t="s">
        <v>3958</v>
      </c>
      <c r="M1347" s="92" t="s">
        <v>1404</v>
      </c>
      <c r="N1347" s="92" t="s">
        <v>1322</v>
      </c>
      <c r="O1347" s="77"/>
      <c r="P1347" s="92" t="s">
        <v>2537</v>
      </c>
      <c r="Q1347" s="32"/>
      <c r="R1347" s="48" t="s">
        <v>216</v>
      </c>
      <c r="S1347" s="32"/>
    </row>
    <row r="1348" spans="2:19" ht="28.8" x14ac:dyDescent="0.3">
      <c r="B1348" t="s">
        <v>4348</v>
      </c>
      <c r="C1348" s="11" t="s">
        <v>178</v>
      </c>
      <c r="D1348">
        <v>1</v>
      </c>
      <c r="E1348" t="s">
        <v>160</v>
      </c>
      <c r="F1348" s="91" t="s">
        <v>1069</v>
      </c>
      <c r="G1348" s="90" t="str">
        <f>LEFT([1]modificado!$O$2, FIND(" ", [1]modificado!$O$2 &amp; " ") - 1)</f>
        <v>3M</v>
      </c>
      <c r="H1348" s="47"/>
      <c r="I1348" s="76"/>
      <c r="J1348" s="76"/>
      <c r="K1348" s="91" t="s">
        <v>4329</v>
      </c>
      <c r="L1348" s="91" t="s">
        <v>3959</v>
      </c>
      <c r="M1348" s="91" t="s">
        <v>1404</v>
      </c>
      <c r="N1348" s="91" t="s">
        <v>1323</v>
      </c>
      <c r="O1348" s="77"/>
      <c r="P1348" s="91" t="s">
        <v>2537</v>
      </c>
      <c r="Q1348" s="32"/>
      <c r="R1348" s="48" t="s">
        <v>216</v>
      </c>
      <c r="S1348" s="32"/>
    </row>
    <row r="1349" spans="2:19" ht="28.8" x14ac:dyDescent="0.3">
      <c r="B1349" t="s">
        <v>4348</v>
      </c>
      <c r="C1349" s="11" t="s">
        <v>178</v>
      </c>
      <c r="D1349">
        <v>1</v>
      </c>
      <c r="E1349" t="s">
        <v>160</v>
      </c>
      <c r="F1349" s="92" t="s">
        <v>1070</v>
      </c>
      <c r="G1349" s="90" t="str">
        <f>LEFT([1]modificado!$O$2, FIND(" ", [1]modificado!$O$2 &amp; " ") - 1)</f>
        <v>3M</v>
      </c>
      <c r="H1349" s="47"/>
      <c r="I1349" s="76"/>
      <c r="J1349" s="76"/>
      <c r="K1349" s="92" t="s">
        <v>4329</v>
      </c>
      <c r="L1349" s="92" t="s">
        <v>3960</v>
      </c>
      <c r="M1349" s="92" t="s">
        <v>1404</v>
      </c>
      <c r="N1349" s="92" t="s">
        <v>1324</v>
      </c>
      <c r="O1349" s="77"/>
      <c r="P1349" s="92" t="s">
        <v>2537</v>
      </c>
      <c r="Q1349" s="32"/>
      <c r="R1349" s="48" t="s">
        <v>216</v>
      </c>
      <c r="S1349" s="32"/>
    </row>
    <row r="1350" spans="2:19" ht="28.8" x14ac:dyDescent="0.3">
      <c r="B1350" t="s">
        <v>4348</v>
      </c>
      <c r="C1350" s="11" t="s">
        <v>178</v>
      </c>
      <c r="D1350">
        <v>1</v>
      </c>
      <c r="E1350" t="s">
        <v>160</v>
      </c>
      <c r="F1350" s="91" t="s">
        <v>1071</v>
      </c>
      <c r="G1350" s="90" t="str">
        <f>LEFT([1]modificado!$O$2, FIND(" ", [1]modificado!$O$2 &amp; " ") - 1)</f>
        <v>3M</v>
      </c>
      <c r="H1350" s="47" t="str">
        <f>RIGHT([1]!Tabla2[[#This Row],[Marca y Modelo]], LEN([1]!Tabla2[[#This Row],[Marca y Modelo]]) - FIND(" ", [1]!Tabla2[[#This Row],[Marca y Modelo]]))</f>
        <v>209550-0241</v>
      </c>
      <c r="I1350" s="76"/>
      <c r="J1350" s="76"/>
      <c r="K1350" s="91" t="s">
        <v>4329</v>
      </c>
      <c r="L1350" s="91" t="s">
        <v>3961</v>
      </c>
      <c r="M1350" s="91" t="s">
        <v>1404</v>
      </c>
      <c r="N1350" s="91" t="s">
        <v>1325</v>
      </c>
      <c r="O1350" s="77"/>
      <c r="P1350" s="91" t="s">
        <v>2537</v>
      </c>
      <c r="Q1350" s="32"/>
      <c r="R1350" s="48" t="s">
        <v>216</v>
      </c>
      <c r="S1350" s="32"/>
    </row>
    <row r="1351" spans="2:19" ht="20.399999999999999" customHeight="1" x14ac:dyDescent="0.3">
      <c r="B1351" t="s">
        <v>4348</v>
      </c>
      <c r="C1351" s="11" t="s">
        <v>178</v>
      </c>
      <c r="D1351">
        <v>1</v>
      </c>
      <c r="E1351" t="s">
        <v>160</v>
      </c>
      <c r="F1351" s="92" t="s">
        <v>1072</v>
      </c>
      <c r="G1351" s="90" t="str">
        <f>LEFT([1]modificado!$O$2, FIND(" ", [1]modificado!$O$2 &amp; " ") - 1)</f>
        <v>3M</v>
      </c>
      <c r="H1351" s="47" t="str">
        <f>RIGHT([1]!Tabla2[[#This Row],[Marca y Modelo]], LEN([1]!Tabla2[[#This Row],[Marca y Modelo]]) - FIND(" ", [1]!Tabla2[[#This Row],[Marca y Modelo]]))</f>
        <v>602AC</v>
      </c>
      <c r="I1351" s="76"/>
      <c r="J1351" s="76"/>
      <c r="K1351" s="92" t="s">
        <v>4328</v>
      </c>
      <c r="L1351" s="92" t="s">
        <v>3962</v>
      </c>
      <c r="M1351" s="92" t="s">
        <v>1404</v>
      </c>
      <c r="N1351" s="92" t="s">
        <v>1326</v>
      </c>
      <c r="O1351" s="77"/>
      <c r="P1351" s="92" t="s">
        <v>2537</v>
      </c>
      <c r="Q1351" s="32"/>
      <c r="R1351" s="48" t="s">
        <v>216</v>
      </c>
      <c r="S1351" s="32"/>
    </row>
    <row r="1352" spans="2:19" ht="28.8" x14ac:dyDescent="0.3">
      <c r="B1352" t="s">
        <v>4349</v>
      </c>
      <c r="C1352" s="11" t="s">
        <v>178</v>
      </c>
      <c r="D1352">
        <v>1</v>
      </c>
      <c r="E1352" t="s">
        <v>160</v>
      </c>
      <c r="F1352" s="91" t="s">
        <v>1081</v>
      </c>
      <c r="G1352" s="90" t="str">
        <f>LEFT([1]modificado!$O$2, FIND(" ", [1]modificado!$O$2 &amp; " ") - 1)</f>
        <v>3M</v>
      </c>
      <c r="H1352" s="47"/>
      <c r="I1352" s="76"/>
      <c r="J1352" s="76"/>
      <c r="K1352" s="91" t="s">
        <v>4324</v>
      </c>
      <c r="L1352" s="91" t="s">
        <v>3963</v>
      </c>
      <c r="M1352" s="91" t="s">
        <v>1408</v>
      </c>
      <c r="N1352" s="91" t="s">
        <v>1327</v>
      </c>
      <c r="O1352" s="77"/>
      <c r="P1352" s="91" t="s">
        <v>2537</v>
      </c>
      <c r="Q1352" s="32"/>
      <c r="R1352" s="48" t="s">
        <v>216</v>
      </c>
      <c r="S1352" s="32"/>
    </row>
    <row r="1353" spans="2:19" ht="28.8" x14ac:dyDescent="0.3">
      <c r="B1353" t="s">
        <v>4349</v>
      </c>
      <c r="C1353" s="11" t="s">
        <v>178</v>
      </c>
      <c r="D1353">
        <v>1</v>
      </c>
      <c r="E1353" t="s">
        <v>160</v>
      </c>
      <c r="F1353" s="92" t="s">
        <v>1081</v>
      </c>
      <c r="G1353" s="90" t="str">
        <f>LEFT([1]modificado!$O$2, FIND(" ", [1]modificado!$O$2 &amp; " ") - 1)</f>
        <v>3M</v>
      </c>
      <c r="H1353" s="47" t="str">
        <f>RIGHT([1]!Tabla2[[#This Row],[Marca y Modelo]], LEN([1]!Tabla2[[#This Row],[Marca y Modelo]]) - FIND(" ", [1]!Tabla2[[#This Row],[Marca y Modelo]]))</f>
        <v>10X14</v>
      </c>
      <c r="I1353" s="76"/>
      <c r="J1353" s="76"/>
      <c r="K1353" s="92" t="s">
        <v>4324</v>
      </c>
      <c r="L1353" s="92" t="s">
        <v>3964</v>
      </c>
      <c r="M1353" s="92" t="s">
        <v>1404</v>
      </c>
      <c r="N1353" s="92" t="s">
        <v>1328</v>
      </c>
      <c r="O1353" s="77"/>
      <c r="P1353" s="92" t="s">
        <v>2537</v>
      </c>
      <c r="Q1353" s="32"/>
      <c r="R1353" s="48" t="s">
        <v>216</v>
      </c>
      <c r="S1353" s="32"/>
    </row>
    <row r="1354" spans="2:19" ht="28.8" x14ac:dyDescent="0.3">
      <c r="B1354" t="str">
        <f>LEFT(Tabla3890134177220392[[#This Row],[Descripción del equipo]], FIND(" ", Tabla3890134177220392[[#This Row],[Descripción del equipo]] &amp; " ") - 1)</f>
        <v>Arnes</v>
      </c>
      <c r="C1354" s="11" t="s">
        <v>178</v>
      </c>
      <c r="D1354">
        <v>1</v>
      </c>
      <c r="E1354" t="s">
        <v>160</v>
      </c>
      <c r="F1354" s="91" t="s">
        <v>1068</v>
      </c>
      <c r="G1354" s="90" t="str">
        <f>LEFT([1]modificado!$O$2, FIND(" ", [1]modificado!$O$2 &amp; " ") - 1)</f>
        <v>3M</v>
      </c>
      <c r="H1354" s="47" t="str">
        <f>RIGHT([1]!Tabla2[[#This Row],[Marca y Modelo]], LEN([1]!Tabla2[[#This Row],[Marca y Modelo]]) - FIND(" ", [1]!Tabla2[[#This Row],[Marca y Modelo]]))</f>
        <v>1110830</v>
      </c>
      <c r="I1354" s="76"/>
      <c r="J1354" s="76"/>
      <c r="K1354" s="91" t="s">
        <v>4330</v>
      </c>
      <c r="L1354" s="91" t="s">
        <v>3965</v>
      </c>
      <c r="M1354" s="91" t="s">
        <v>1404</v>
      </c>
      <c r="N1354" s="91" t="s">
        <v>1329</v>
      </c>
      <c r="O1354" s="77"/>
      <c r="P1354" s="91" t="s">
        <v>2537</v>
      </c>
      <c r="Q1354" s="32"/>
      <c r="R1354" s="48" t="s">
        <v>216</v>
      </c>
      <c r="S1354" s="32"/>
    </row>
    <row r="1355" spans="2:19" ht="28.8" x14ac:dyDescent="0.3">
      <c r="B1355" t="s">
        <v>4348</v>
      </c>
      <c r="C1355" s="11" t="s">
        <v>178</v>
      </c>
      <c r="D1355">
        <v>1</v>
      </c>
      <c r="E1355" t="s">
        <v>160</v>
      </c>
      <c r="F1355" s="92" t="s">
        <v>1057</v>
      </c>
      <c r="G1355" s="90" t="str">
        <f>LEFT([1]modificado!$O$2, FIND(" ", [1]modificado!$O$2 &amp; " ") - 1)</f>
        <v>3M</v>
      </c>
      <c r="H1355" s="47" t="str">
        <f>RIGHT([1]!Tabla2[[#This Row],[Marca y Modelo]], LEN([1]!Tabla2[[#This Row],[Marca y Modelo]]) - FIND(" ", [1]!Tabla2[[#This Row],[Marca y Modelo]]))</f>
        <v>231MK</v>
      </c>
      <c r="I1355" s="76"/>
      <c r="J1355" s="76"/>
      <c r="K1355" s="92" t="s">
        <v>4331</v>
      </c>
      <c r="L1355" s="92" t="s">
        <v>3966</v>
      </c>
      <c r="M1355" s="92" t="s">
        <v>1405</v>
      </c>
      <c r="N1355" s="92" t="s">
        <v>1330</v>
      </c>
      <c r="O1355" s="77"/>
      <c r="P1355" s="92" t="s">
        <v>2537</v>
      </c>
      <c r="Q1355" s="32"/>
      <c r="R1355" s="48" t="s">
        <v>216</v>
      </c>
      <c r="S1355" s="32"/>
    </row>
    <row r="1356" spans="2:19" ht="28.8" x14ac:dyDescent="0.3">
      <c r="B1356" t="s">
        <v>4349</v>
      </c>
      <c r="C1356" s="11" t="s">
        <v>178</v>
      </c>
      <c r="D1356">
        <v>1</v>
      </c>
      <c r="E1356" t="s">
        <v>160</v>
      </c>
      <c r="F1356" s="91" t="s">
        <v>1059</v>
      </c>
      <c r="G1356" s="90" t="str">
        <f>LEFT([1]modificado!$O$2, FIND(" ", [1]modificado!$O$2 &amp; " ") - 1)</f>
        <v>3M</v>
      </c>
      <c r="H1356" s="47" t="str">
        <f>RIGHT([1]!Tabla2[[#This Row],[Marca y Modelo]], LEN([1]!Tabla2[[#This Row],[Marca y Modelo]]) - FIND(" ", [1]!Tabla2[[#This Row],[Marca y Modelo]]))</f>
        <v>AJ450A6</v>
      </c>
      <c r="I1356" s="76"/>
      <c r="J1356" s="76"/>
      <c r="K1356" s="91" t="s">
        <v>4332</v>
      </c>
      <c r="L1356" s="91" t="s">
        <v>3967</v>
      </c>
      <c r="M1356" s="91" t="s">
        <v>1404</v>
      </c>
      <c r="N1356" s="91" t="s">
        <v>1331</v>
      </c>
      <c r="O1356" s="77"/>
      <c r="P1356" s="91" t="s">
        <v>2537</v>
      </c>
      <c r="Q1356" s="32"/>
      <c r="R1356" s="48" t="s">
        <v>216</v>
      </c>
      <c r="S1356" s="32"/>
    </row>
    <row r="1357" spans="2:19" ht="28.8" x14ac:dyDescent="0.3">
      <c r="B1357" t="str">
        <f>LEFT(Tabla3890134177220392[[#This Row],[Descripción del equipo]], FIND(" ", Tabla3890134177220392[[#This Row],[Descripción del equipo]] &amp; " ") - 1)</f>
        <v>Autoretractil</v>
      </c>
      <c r="C1357" s="11" t="s">
        <v>178</v>
      </c>
      <c r="D1357">
        <v>1</v>
      </c>
      <c r="E1357" t="s">
        <v>160</v>
      </c>
      <c r="F1357" s="92" t="s">
        <v>1058</v>
      </c>
      <c r="G1357" s="90" t="str">
        <f>LEFT([1]modificado!$O$2, FIND(" ", [1]modificado!$O$2 &amp; " ") - 1)</f>
        <v>3M</v>
      </c>
      <c r="H1357" s="47" t="str">
        <f>RIGHT([1]!Tabla2[[#This Row],[Marca y Modelo]], LEN([1]!Tabla2[[#This Row],[Marca y Modelo]]) - FIND(" ", [1]!Tabla2[[#This Row],[Marca y Modelo]]))</f>
        <v>3100425</v>
      </c>
      <c r="I1357" s="76"/>
      <c r="J1357" s="76"/>
      <c r="K1357" s="92" t="s">
        <v>4333</v>
      </c>
      <c r="L1357" s="92" t="s">
        <v>3968</v>
      </c>
      <c r="M1357" s="92" t="s">
        <v>1404</v>
      </c>
      <c r="N1357" s="92" t="s">
        <v>1332</v>
      </c>
      <c r="O1357" s="77"/>
      <c r="P1357" s="92" t="s">
        <v>2537</v>
      </c>
      <c r="Q1357" s="32"/>
      <c r="R1357" s="48" t="s">
        <v>216</v>
      </c>
      <c r="S1357" s="32"/>
    </row>
    <row r="1358" spans="2:19" ht="28.8" x14ac:dyDescent="0.3">
      <c r="B1358" t="s">
        <v>4348</v>
      </c>
      <c r="C1358" s="11" t="s">
        <v>178</v>
      </c>
      <c r="D1358">
        <v>1</v>
      </c>
      <c r="E1358" t="s">
        <v>160</v>
      </c>
      <c r="F1358" s="91" t="s">
        <v>1061</v>
      </c>
      <c r="G1358" s="90" t="str">
        <f>LEFT([1]modificado!$O$2, FIND(" ", [1]modificado!$O$2 &amp; " ") - 1)</f>
        <v>3M</v>
      </c>
      <c r="H1358" s="47" t="str">
        <f>RIGHT([1]!Tabla2[[#This Row],[Marca y Modelo]], LEN([1]!Tabla2[[#This Row],[Marca y Modelo]]) - FIND(" ", [1]!Tabla2[[#This Row],[Marca y Modelo]]))</f>
        <v>3210</v>
      </c>
      <c r="I1358" s="76"/>
      <c r="J1358" s="76"/>
      <c r="K1358" s="91" t="s">
        <v>4334</v>
      </c>
      <c r="L1358" s="91" t="s">
        <v>3969</v>
      </c>
      <c r="M1358" s="91" t="s">
        <v>1404</v>
      </c>
      <c r="N1358" s="91" t="s">
        <v>1333</v>
      </c>
      <c r="O1358" s="77"/>
      <c r="P1358" s="91" t="s">
        <v>2537</v>
      </c>
      <c r="Q1358" s="32"/>
      <c r="R1358" s="48" t="s">
        <v>216</v>
      </c>
      <c r="S1358" s="32"/>
    </row>
    <row r="1359" spans="2:19" ht="28.8" x14ac:dyDescent="0.3">
      <c r="B1359" t="s">
        <v>4348</v>
      </c>
      <c r="C1359" s="11" t="s">
        <v>178</v>
      </c>
      <c r="D1359">
        <v>1</v>
      </c>
      <c r="E1359" t="s">
        <v>160</v>
      </c>
      <c r="F1359" s="92" t="s">
        <v>1057</v>
      </c>
      <c r="G1359" s="90" t="str">
        <f>LEFT([1]modificado!$O$2, FIND(" ", [1]modificado!$O$2 &amp; " ") - 1)</f>
        <v>3M</v>
      </c>
      <c r="H1359" s="47" t="str">
        <f>RIGHT([1]!Tabla2[[#This Row],[Marca y Modelo]], LEN([1]!Tabla2[[#This Row],[Marca y Modelo]]) - FIND(" ", [1]!Tabla2[[#This Row],[Marca y Modelo]]))</f>
        <v>671EC</v>
      </c>
      <c r="I1359" s="76"/>
      <c r="J1359" s="76"/>
      <c r="K1359" s="92" t="s">
        <v>4331</v>
      </c>
      <c r="L1359" s="92" t="s">
        <v>3970</v>
      </c>
      <c r="M1359" s="92" t="s">
        <v>1404</v>
      </c>
      <c r="N1359" s="92" t="s">
        <v>1334</v>
      </c>
      <c r="O1359" s="77"/>
      <c r="P1359" s="92" t="s">
        <v>2537</v>
      </c>
      <c r="Q1359" s="32"/>
      <c r="R1359" s="48" t="s">
        <v>216</v>
      </c>
      <c r="S1359" s="32"/>
    </row>
    <row r="1360" spans="2:19" ht="28.8" x14ac:dyDescent="0.3">
      <c r="B1360" t="s">
        <v>4349</v>
      </c>
      <c r="C1360" s="11" t="s">
        <v>178</v>
      </c>
      <c r="D1360">
        <v>1</v>
      </c>
      <c r="E1360" t="s">
        <v>160</v>
      </c>
      <c r="F1360" s="91" t="s">
        <v>1059</v>
      </c>
      <c r="G1360" s="90" t="str">
        <f>LEFT([1]modificado!$O$2, FIND(" ", [1]modificado!$O$2 &amp; " ") - 1)</f>
        <v>3M</v>
      </c>
      <c r="H1360" s="47" t="str">
        <f>RIGHT([1]!Tabla2[[#This Row],[Marca y Modelo]], LEN([1]!Tabla2[[#This Row],[Marca y Modelo]]) - FIND(" ", [1]!Tabla2[[#This Row],[Marca y Modelo]]))</f>
        <v>4550-U</v>
      </c>
      <c r="I1360" s="76"/>
      <c r="J1360" s="76"/>
      <c r="K1360" s="91" t="s">
        <v>4332</v>
      </c>
      <c r="L1360" s="91" t="s">
        <v>3971</v>
      </c>
      <c r="M1360" s="91" t="s">
        <v>1404</v>
      </c>
      <c r="N1360" s="91" t="s">
        <v>1335</v>
      </c>
      <c r="O1360" s="77"/>
      <c r="P1360" s="91" t="s">
        <v>2537</v>
      </c>
      <c r="Q1360" s="32"/>
      <c r="R1360" s="48" t="s">
        <v>216</v>
      </c>
      <c r="S1360" s="32"/>
    </row>
    <row r="1361" spans="2:19" ht="28.8" x14ac:dyDescent="0.3">
      <c r="B1361" t="s">
        <v>4349</v>
      </c>
      <c r="C1361" s="11" t="s">
        <v>178</v>
      </c>
      <c r="D1361">
        <v>1</v>
      </c>
      <c r="E1361" t="s">
        <v>160</v>
      </c>
      <c r="F1361" s="92" t="s">
        <v>1059</v>
      </c>
      <c r="G1361" s="90" t="str">
        <f>LEFT([1]modificado!$O$2, FIND(" ", [1]modificado!$O$2 &amp; " ") - 1)</f>
        <v>3M</v>
      </c>
      <c r="H1361" s="47"/>
      <c r="I1361" s="76"/>
      <c r="J1361" s="76"/>
      <c r="K1361" s="92" t="s">
        <v>4332</v>
      </c>
      <c r="L1361" s="92" t="s">
        <v>3972</v>
      </c>
      <c r="M1361" s="92" t="s">
        <v>1404</v>
      </c>
      <c r="N1361" s="92" t="s">
        <v>1336</v>
      </c>
      <c r="O1361" s="77"/>
      <c r="P1361" s="92" t="s">
        <v>2537</v>
      </c>
      <c r="Q1361" s="32"/>
      <c r="R1361" s="48" t="s">
        <v>216</v>
      </c>
      <c r="S1361" s="32"/>
    </row>
    <row r="1362" spans="2:19" ht="28.8" x14ac:dyDescent="0.3">
      <c r="B1362" t="str">
        <f>LEFT(Tabla3890134177220392[[#This Row],[Descripción del equipo]], FIND(" ", Tabla3890134177220392[[#This Row],[Descripción del equipo]] &amp; " ") - 1)</f>
        <v>Autoretractil</v>
      </c>
      <c r="C1362" s="11" t="s">
        <v>178</v>
      </c>
      <c r="D1362">
        <v>1</v>
      </c>
      <c r="E1362" t="s">
        <v>160</v>
      </c>
      <c r="F1362" s="91" t="s">
        <v>1058</v>
      </c>
      <c r="G1362" s="90" t="str">
        <f>LEFT([1]modificado!$O$2, FIND(" ", [1]modificado!$O$2 &amp; " ") - 1)</f>
        <v>3M</v>
      </c>
      <c r="H1362" s="47"/>
      <c r="I1362" s="76"/>
      <c r="J1362" s="76"/>
      <c r="K1362" s="91" t="s">
        <v>4333</v>
      </c>
      <c r="L1362" s="91" t="s">
        <v>3973</v>
      </c>
      <c r="M1362" s="91" t="s">
        <v>1405</v>
      </c>
      <c r="N1362" s="91" t="s">
        <v>1337</v>
      </c>
      <c r="O1362" s="77"/>
      <c r="P1362" s="91" t="s">
        <v>2537</v>
      </c>
      <c r="Q1362" s="32"/>
      <c r="R1362" s="48" t="s">
        <v>216</v>
      </c>
      <c r="S1362" s="32"/>
    </row>
    <row r="1363" spans="2:19" ht="28.8" x14ac:dyDescent="0.3">
      <c r="B1363" t="s">
        <v>4348</v>
      </c>
      <c r="C1363" s="11" t="s">
        <v>178</v>
      </c>
      <c r="D1363">
        <v>1</v>
      </c>
      <c r="E1363" t="s">
        <v>160</v>
      </c>
      <c r="F1363" s="92" t="s">
        <v>1057</v>
      </c>
      <c r="G1363" s="90" t="str">
        <f>LEFT([1]modificado!$O$2, FIND(" ", [1]modificado!$O$2 &amp; " ") - 1)</f>
        <v>3M</v>
      </c>
      <c r="H1363" s="47" t="str">
        <f>RIGHT([1]!Tabla2[[#This Row],[Marca y Modelo]], LEN([1]!Tabla2[[#This Row],[Marca y Modelo]]) - FIND(" ", [1]!Tabla2[[#This Row],[Marca y Modelo]]))</f>
        <v>231MK</v>
      </c>
      <c r="I1363" s="76"/>
      <c r="J1363" s="76"/>
      <c r="K1363" s="92" t="s">
        <v>4331</v>
      </c>
      <c r="L1363" s="92" t="s">
        <v>3974</v>
      </c>
      <c r="M1363" s="92" t="s">
        <v>1405</v>
      </c>
      <c r="N1363" s="92" t="s">
        <v>1338</v>
      </c>
      <c r="O1363" s="77"/>
      <c r="P1363" s="92" t="s">
        <v>2537</v>
      </c>
      <c r="Q1363" s="32"/>
      <c r="R1363" s="48" t="s">
        <v>216</v>
      </c>
      <c r="S1363" s="32"/>
    </row>
    <row r="1364" spans="2:19" ht="28.8" x14ac:dyDescent="0.3">
      <c r="B1364" t="s">
        <v>4349</v>
      </c>
      <c r="C1364" s="11" t="s">
        <v>178</v>
      </c>
      <c r="D1364">
        <v>1</v>
      </c>
      <c r="E1364" t="s">
        <v>160</v>
      </c>
      <c r="F1364" s="91" t="s">
        <v>1079</v>
      </c>
      <c r="G1364" s="90" t="str">
        <f>LEFT([1]modificado!$O$2, FIND(" ", [1]modificado!$O$2 &amp; " ") - 1)</f>
        <v>3M</v>
      </c>
      <c r="H1364" s="47" t="str">
        <f>RIGHT([1]!Tabla2[[#This Row],[Marca y Modelo]], LEN([1]!Tabla2[[#This Row],[Marca y Modelo]]) - FIND(" ", [1]!Tabla2[[#This Row],[Marca y Modelo]]))</f>
        <v>2110808</v>
      </c>
      <c r="I1364" s="76"/>
      <c r="J1364" s="76"/>
      <c r="K1364" s="91" t="s">
        <v>4335</v>
      </c>
      <c r="L1364" s="91" t="s">
        <v>3975</v>
      </c>
      <c r="M1364" s="91" t="s">
        <v>1404</v>
      </c>
      <c r="N1364" s="91" t="s">
        <v>1339</v>
      </c>
      <c r="O1364" s="77"/>
      <c r="P1364" s="91" t="s">
        <v>2537</v>
      </c>
      <c r="Q1364" s="32"/>
      <c r="R1364" s="48" t="s">
        <v>216</v>
      </c>
      <c r="S1364" s="32"/>
    </row>
    <row r="1365" spans="2:19" ht="28.8" x14ac:dyDescent="0.3">
      <c r="B1365" t="s">
        <v>4349</v>
      </c>
      <c r="C1365" s="11" t="s">
        <v>178</v>
      </c>
      <c r="D1365">
        <v>1</v>
      </c>
      <c r="E1365" t="s">
        <v>160</v>
      </c>
      <c r="F1365" s="92" t="s">
        <v>1059</v>
      </c>
      <c r="G1365" s="90" t="str">
        <f>LEFT([1]modificado!$O$2, FIND(" ", [1]modificado!$O$2 &amp; " ") - 1)</f>
        <v>3M</v>
      </c>
      <c r="H1365" s="47" t="str">
        <f>RIGHT([1]!Tabla2[[#This Row],[Marca y Modelo]], LEN([1]!Tabla2[[#This Row],[Marca y Modelo]]) - FIND(" ", [1]!Tabla2[[#This Row],[Marca y Modelo]]))</f>
        <v>1003006</v>
      </c>
      <c r="I1365" s="76"/>
      <c r="J1365" s="76"/>
      <c r="K1365" s="92" t="s">
        <v>4332</v>
      </c>
      <c r="L1365" s="92" t="s">
        <v>3976</v>
      </c>
      <c r="M1365" s="92" t="s">
        <v>1404</v>
      </c>
      <c r="N1365" s="92" t="s">
        <v>1340</v>
      </c>
      <c r="O1365" s="77"/>
      <c r="P1365" s="92" t="s">
        <v>2537</v>
      </c>
      <c r="Q1365" s="32"/>
      <c r="R1365" s="48" t="s">
        <v>216</v>
      </c>
      <c r="S1365" s="32"/>
    </row>
    <row r="1366" spans="2:19" ht="28.8" x14ac:dyDescent="0.3">
      <c r="B1366" t="s">
        <v>4349</v>
      </c>
      <c r="C1366" s="11" t="s">
        <v>178</v>
      </c>
      <c r="D1366">
        <v>1</v>
      </c>
      <c r="E1366" t="s">
        <v>160</v>
      </c>
      <c r="F1366" s="91" t="s">
        <v>1059</v>
      </c>
      <c r="G1366" s="90" t="str">
        <f>LEFT([1]modificado!$O$2, FIND(" ", [1]modificado!$O$2 &amp; " ") - 1)</f>
        <v>3M</v>
      </c>
      <c r="H1366" s="47" t="str">
        <f>RIGHT([1]!Tabla2[[#This Row],[Marca y Modelo]], LEN([1]!Tabla2[[#This Row],[Marca y Modelo]]) - FIND(" ", [1]!Tabla2[[#This Row],[Marca y Modelo]]))</f>
        <v>1003006</v>
      </c>
      <c r="I1366" s="76"/>
      <c r="J1366" s="76"/>
      <c r="K1366" s="91" t="s">
        <v>4332</v>
      </c>
      <c r="L1366" s="91" t="s">
        <v>3977</v>
      </c>
      <c r="M1366" s="91" t="s">
        <v>1404</v>
      </c>
      <c r="N1366" s="91" t="s">
        <v>1341</v>
      </c>
      <c r="O1366" s="77"/>
      <c r="P1366" s="91" t="s">
        <v>2537</v>
      </c>
      <c r="Q1366" s="32"/>
      <c r="R1366" s="48" t="s">
        <v>216</v>
      </c>
      <c r="S1366" s="32"/>
    </row>
    <row r="1367" spans="2:19" ht="28.8" x14ac:dyDescent="0.3">
      <c r="B1367" t="s">
        <v>4349</v>
      </c>
      <c r="C1367" s="11" t="s">
        <v>178</v>
      </c>
      <c r="D1367">
        <v>1</v>
      </c>
      <c r="E1367" t="s">
        <v>160</v>
      </c>
      <c r="F1367" s="92" t="s">
        <v>1059</v>
      </c>
      <c r="G1367" s="90" t="str">
        <f>LEFT([1]modificado!$O$2, FIND(" ", [1]modificado!$O$2 &amp; " ") - 1)</f>
        <v>3M</v>
      </c>
      <c r="H1367" s="47" t="str">
        <f>RIGHT([1]!Tabla2[[#This Row],[Marca y Modelo]], LEN([1]!Tabla2[[#This Row],[Marca y Modelo]]) - FIND(" ", [1]!Tabla2[[#This Row],[Marca y Modelo]]))</f>
        <v>1003000</v>
      </c>
      <c r="I1367" s="76"/>
      <c r="J1367" s="76"/>
      <c r="K1367" s="92" t="s">
        <v>4332</v>
      </c>
      <c r="L1367" s="92" t="s">
        <v>3978</v>
      </c>
      <c r="M1367" s="92" t="s">
        <v>1404</v>
      </c>
      <c r="N1367" s="92" t="s">
        <v>1342</v>
      </c>
      <c r="O1367" s="77"/>
      <c r="P1367" s="92" t="s">
        <v>2537</v>
      </c>
      <c r="Q1367" s="32"/>
      <c r="R1367" s="48" t="s">
        <v>216</v>
      </c>
      <c r="S1367" s="32"/>
    </row>
    <row r="1368" spans="2:19" ht="28.8" x14ac:dyDescent="0.3">
      <c r="B1368" t="s">
        <v>4348</v>
      </c>
      <c r="C1368" s="11" t="s">
        <v>178</v>
      </c>
      <c r="D1368">
        <v>1</v>
      </c>
      <c r="E1368" t="s">
        <v>160</v>
      </c>
      <c r="F1368" s="91" t="s">
        <v>1070</v>
      </c>
      <c r="G1368" s="90" t="str">
        <f>LEFT([1]modificado!$O$2, FIND(" ", [1]modificado!$O$2 &amp; " ") - 1)</f>
        <v>3M</v>
      </c>
      <c r="H1368" s="47" t="str">
        <f>RIGHT([1]!Tabla2[[#This Row],[Marca y Modelo]], LEN([1]!Tabla2[[#This Row],[Marca y Modelo]]) - FIND(" ", [1]!Tabla2[[#This Row],[Marca y Modelo]]))</f>
        <v>1340161</v>
      </c>
      <c r="I1368" s="76"/>
      <c r="J1368" s="76"/>
      <c r="K1368" s="91" t="s">
        <v>4331</v>
      </c>
      <c r="L1368" s="91" t="s">
        <v>3979</v>
      </c>
      <c r="M1368" s="91" t="s">
        <v>1404</v>
      </c>
      <c r="N1368" s="91" t="s">
        <v>1343</v>
      </c>
      <c r="O1368" s="77"/>
      <c r="P1368" s="91" t="s">
        <v>2537</v>
      </c>
      <c r="Q1368" s="32"/>
      <c r="R1368" s="48" t="s">
        <v>216</v>
      </c>
      <c r="S1368" s="32"/>
    </row>
    <row r="1369" spans="2:19" ht="28.8" x14ac:dyDescent="0.3">
      <c r="B1369" t="str">
        <f>LEFT(Tabla3890134177220392[[#This Row],[Descripción del equipo]], FIND(" ", Tabla3890134177220392[[#This Row],[Descripción del equipo]] &amp; " ") - 1)</f>
        <v>Autoretractil</v>
      </c>
      <c r="C1369" s="11" t="s">
        <v>178</v>
      </c>
      <c r="D1369">
        <v>1</v>
      </c>
      <c r="E1369" t="s">
        <v>160</v>
      </c>
      <c r="F1369" s="92" t="s">
        <v>1058</v>
      </c>
      <c r="G1369" s="90" t="str">
        <f>LEFT([1]modificado!$O$2, FIND(" ", [1]modificado!$O$2 &amp; " ") - 1)</f>
        <v>3M</v>
      </c>
      <c r="H1369" s="47" t="str">
        <f>RIGHT([1]!Tabla2[[#This Row],[Marca y Modelo]], LEN([1]!Tabla2[[#This Row],[Marca y Modelo]]) - FIND(" ", [1]!Tabla2[[#This Row],[Marca y Modelo]]))</f>
        <v>3100414</v>
      </c>
      <c r="I1369" s="76"/>
      <c r="J1369" s="76"/>
      <c r="K1369" s="92" t="s">
        <v>4333</v>
      </c>
      <c r="L1369" s="92" t="s">
        <v>3980</v>
      </c>
      <c r="M1369" s="92" t="s">
        <v>1404</v>
      </c>
      <c r="N1369" s="92" t="s">
        <v>1344</v>
      </c>
      <c r="O1369" s="77"/>
      <c r="P1369" s="92" t="s">
        <v>2537</v>
      </c>
      <c r="Q1369" s="32"/>
      <c r="R1369" s="48" t="s">
        <v>216</v>
      </c>
      <c r="S1369" s="32"/>
    </row>
    <row r="1370" spans="2:19" ht="28.8" x14ac:dyDescent="0.3">
      <c r="B1370" t="str">
        <f>LEFT(Tabla3890134177220392[[#This Row],[Descripción del equipo]], FIND(" ", Tabla3890134177220392[[#This Row],[Descripción del equipo]] &amp; " ") - 1)</f>
        <v>Autoretractil</v>
      </c>
      <c r="C1370" s="11" t="s">
        <v>178</v>
      </c>
      <c r="D1370">
        <v>1</v>
      </c>
      <c r="E1370" t="s">
        <v>160</v>
      </c>
      <c r="F1370" s="91" t="s">
        <v>1058</v>
      </c>
      <c r="G1370" s="90" t="str">
        <f>LEFT([1]modificado!$O$2, FIND(" ", [1]modificado!$O$2 &amp; " ") - 1)</f>
        <v>3M</v>
      </c>
      <c r="H1370" s="47" t="str">
        <f>RIGHT([1]!Tabla2[[#This Row],[Marca y Modelo]], LEN([1]!Tabla2[[#This Row],[Marca y Modelo]]) - FIND(" ", [1]!Tabla2[[#This Row],[Marca y Modelo]]))</f>
        <v>3100414</v>
      </c>
      <c r="I1370" s="76"/>
      <c r="J1370" s="76"/>
      <c r="K1370" s="91" t="s">
        <v>4333</v>
      </c>
      <c r="L1370" s="91" t="s">
        <v>3981</v>
      </c>
      <c r="M1370" s="91" t="s">
        <v>1404</v>
      </c>
      <c r="N1370" s="91" t="s">
        <v>1345</v>
      </c>
      <c r="O1370" s="77"/>
      <c r="P1370" s="91" t="s">
        <v>2537</v>
      </c>
      <c r="Q1370" s="32"/>
      <c r="R1370" s="48" t="s">
        <v>216</v>
      </c>
      <c r="S1370" s="32"/>
    </row>
    <row r="1371" spans="2:19" ht="28.8" x14ac:dyDescent="0.3">
      <c r="B1371" t="str">
        <f>LEFT(Tabla3890134177220392[[#This Row],[Descripción del equipo]], FIND(" ", Tabla3890134177220392[[#This Row],[Descripción del equipo]] &amp; " ") - 1)</f>
        <v>Autoretractil</v>
      </c>
      <c r="C1371" s="11" t="s">
        <v>178</v>
      </c>
      <c r="D1371">
        <v>1</v>
      </c>
      <c r="E1371" t="s">
        <v>160</v>
      </c>
      <c r="F1371" s="92" t="s">
        <v>1058</v>
      </c>
      <c r="G1371" s="90" t="str">
        <f>LEFT([1]modificado!$O$2, FIND(" ", [1]modificado!$O$2 &amp; " ") - 1)</f>
        <v>3M</v>
      </c>
      <c r="H1371" s="47" t="str">
        <f>RIGHT([1]!Tabla2[[#This Row],[Marca y Modelo]], LEN([1]!Tabla2[[#This Row],[Marca y Modelo]]) - FIND(" ", [1]!Tabla2[[#This Row],[Marca y Modelo]]))</f>
        <v>3100414</v>
      </c>
      <c r="I1371" s="76"/>
      <c r="J1371" s="76"/>
      <c r="K1371" s="92" t="s">
        <v>4333</v>
      </c>
      <c r="L1371" s="92" t="s">
        <v>3982</v>
      </c>
      <c r="M1371" s="92" t="s">
        <v>1404</v>
      </c>
      <c r="N1371" s="92" t="s">
        <v>1346</v>
      </c>
      <c r="O1371" s="77"/>
      <c r="P1371" s="92" t="s">
        <v>2537</v>
      </c>
      <c r="Q1371" s="32"/>
      <c r="R1371" s="48" t="s">
        <v>216</v>
      </c>
      <c r="S1371" s="32"/>
    </row>
    <row r="1372" spans="2:19" ht="28.8" x14ac:dyDescent="0.3">
      <c r="B1372" t="str">
        <f>LEFT(Tabla3890134177220392[[#This Row],[Descripción del equipo]], FIND(" ", Tabla3890134177220392[[#This Row],[Descripción del equipo]] &amp; " ") - 1)</f>
        <v>Arnes</v>
      </c>
      <c r="C1372" s="11" t="s">
        <v>178</v>
      </c>
      <c r="D1372">
        <v>1</v>
      </c>
      <c r="E1372" t="s">
        <v>160</v>
      </c>
      <c r="F1372" s="91" t="s">
        <v>1068</v>
      </c>
      <c r="G1372" s="90" t="str">
        <f>LEFT([1]modificado!$O$2, FIND(" ", [1]modificado!$O$2 &amp; " ") - 1)</f>
        <v>3M</v>
      </c>
      <c r="H1372" s="47" t="str">
        <f>RIGHT([1]!Tabla2[[#This Row],[Marca y Modelo]], LEN([1]!Tabla2[[#This Row],[Marca y Modelo]]) - FIND(" ", [1]!Tabla2[[#This Row],[Marca y Modelo]]))</f>
        <v>1110830</v>
      </c>
      <c r="I1372" s="76"/>
      <c r="J1372" s="76"/>
      <c r="K1372" s="91" t="s">
        <v>4330</v>
      </c>
      <c r="L1372" s="91" t="s">
        <v>3983</v>
      </c>
      <c r="M1372" s="91" t="s">
        <v>1404</v>
      </c>
      <c r="N1372" s="91" t="s">
        <v>1347</v>
      </c>
      <c r="O1372" s="77"/>
      <c r="P1372" s="91" t="s">
        <v>2537</v>
      </c>
      <c r="Q1372" s="32"/>
      <c r="R1372" s="48" t="s">
        <v>216</v>
      </c>
      <c r="S1372" s="32"/>
    </row>
    <row r="1373" spans="2:19" ht="28.8" x14ac:dyDescent="0.3">
      <c r="B1373" t="str">
        <f>LEFT(Tabla3890134177220392[[#This Row],[Descripción del equipo]], FIND(" ", Tabla3890134177220392[[#This Row],[Descripción del equipo]] &amp; " ") - 1)</f>
        <v>Arnes</v>
      </c>
      <c r="C1373" s="11" t="s">
        <v>178</v>
      </c>
      <c r="D1373">
        <v>1</v>
      </c>
      <c r="E1373" t="s">
        <v>160</v>
      </c>
      <c r="F1373" s="92" t="s">
        <v>1068</v>
      </c>
      <c r="G1373" s="90" t="str">
        <f>LEFT([1]modificado!$O$2, FIND(" ", [1]modificado!$O$2 &amp; " ") - 1)</f>
        <v>3M</v>
      </c>
      <c r="H1373" s="47" t="str">
        <f>RIGHT([1]!Tabla2[[#This Row],[Marca y Modelo]], LEN([1]!Tabla2[[#This Row],[Marca y Modelo]]) - FIND(" ", [1]!Tabla2[[#This Row],[Marca y Modelo]]))</f>
        <v>1110830</v>
      </c>
      <c r="I1373" s="76"/>
      <c r="J1373" s="76"/>
      <c r="K1373" s="92" t="s">
        <v>4330</v>
      </c>
      <c r="L1373" s="92" t="s">
        <v>3984</v>
      </c>
      <c r="M1373" s="92" t="s">
        <v>1404</v>
      </c>
      <c r="N1373" s="92" t="s">
        <v>1348</v>
      </c>
      <c r="O1373" s="77"/>
      <c r="P1373" s="92" t="s">
        <v>2537</v>
      </c>
      <c r="Q1373" s="32"/>
      <c r="R1373" s="48" t="s">
        <v>216</v>
      </c>
      <c r="S1373" s="32"/>
    </row>
    <row r="1374" spans="2:19" ht="28.8" x14ac:dyDescent="0.3">
      <c r="B1374" t="s">
        <v>4348</v>
      </c>
      <c r="C1374" s="11" t="s">
        <v>178</v>
      </c>
      <c r="D1374">
        <v>1</v>
      </c>
      <c r="E1374" t="s">
        <v>160</v>
      </c>
      <c r="F1374" s="91" t="s">
        <v>1061</v>
      </c>
      <c r="G1374" s="90" t="str">
        <f>LEFT([1]modificado!$O$2, FIND(" ", [1]modificado!$O$2 &amp; " ") - 1)</f>
        <v>3M</v>
      </c>
      <c r="H1374" s="47" t="str">
        <f>RIGHT([1]!Tabla2[[#This Row],[Marca y Modelo]], LEN([1]!Tabla2[[#This Row],[Marca y Modelo]]) - FIND(" ", [1]!Tabla2[[#This Row],[Marca y Modelo]]))</f>
        <v>3210</v>
      </c>
      <c r="I1374" s="76"/>
      <c r="J1374" s="76"/>
      <c r="K1374" s="91" t="s">
        <v>4334</v>
      </c>
      <c r="L1374" s="91" t="s">
        <v>3985</v>
      </c>
      <c r="M1374" s="91" t="s">
        <v>1404</v>
      </c>
      <c r="N1374" s="91" t="s">
        <v>1349</v>
      </c>
      <c r="O1374" s="77"/>
      <c r="P1374" s="91" t="s">
        <v>2537</v>
      </c>
      <c r="Q1374" s="32"/>
      <c r="R1374" s="48" t="s">
        <v>216</v>
      </c>
      <c r="S1374" s="32"/>
    </row>
    <row r="1375" spans="2:19" ht="28.8" x14ac:dyDescent="0.3">
      <c r="B1375" t="s">
        <v>4348</v>
      </c>
      <c r="C1375" s="11" t="s">
        <v>178</v>
      </c>
      <c r="D1375">
        <v>1</v>
      </c>
      <c r="E1375" t="s">
        <v>160</v>
      </c>
      <c r="F1375" s="92" t="s">
        <v>1069</v>
      </c>
      <c r="G1375" s="90" t="str">
        <f>LEFT([1]modificado!$O$2, FIND(" ", [1]modificado!$O$2 &amp; " ") - 1)</f>
        <v>3M</v>
      </c>
      <c r="H1375" s="47"/>
      <c r="I1375" s="76"/>
      <c r="J1375" s="76"/>
      <c r="K1375" s="92" t="s">
        <v>4331</v>
      </c>
      <c r="L1375" s="92" t="s">
        <v>3986</v>
      </c>
      <c r="M1375" s="92" t="s">
        <v>1404</v>
      </c>
      <c r="N1375" s="92" t="s">
        <v>1350</v>
      </c>
      <c r="O1375" s="77"/>
      <c r="P1375" s="92" t="s">
        <v>2537</v>
      </c>
      <c r="Q1375" s="32"/>
      <c r="R1375" s="48" t="s">
        <v>216</v>
      </c>
      <c r="S1375" s="32"/>
    </row>
    <row r="1376" spans="2:19" ht="28.8" x14ac:dyDescent="0.3">
      <c r="B1376" t="s">
        <v>4348</v>
      </c>
      <c r="C1376" s="11" t="s">
        <v>178</v>
      </c>
      <c r="D1376">
        <v>1</v>
      </c>
      <c r="E1376" t="s">
        <v>160</v>
      </c>
      <c r="F1376" s="91" t="s">
        <v>1070</v>
      </c>
      <c r="G1376" s="90" t="str">
        <f>LEFT([1]modificado!$O$2, FIND(" ", [1]modificado!$O$2 &amp; " ") - 1)</f>
        <v>3M</v>
      </c>
      <c r="H1376" s="47"/>
      <c r="I1376" s="76"/>
      <c r="J1376" s="76"/>
      <c r="K1376" s="91" t="s">
        <v>4331</v>
      </c>
      <c r="L1376" s="91" t="s">
        <v>3987</v>
      </c>
      <c r="M1376" s="91" t="s">
        <v>1404</v>
      </c>
      <c r="N1376" s="91" t="s">
        <v>1351</v>
      </c>
      <c r="O1376" s="77"/>
      <c r="P1376" s="91" t="s">
        <v>2537</v>
      </c>
      <c r="Q1376" s="32"/>
      <c r="R1376" s="48" t="s">
        <v>216</v>
      </c>
      <c r="S1376" s="32"/>
    </row>
    <row r="1377" spans="2:19" ht="28.8" x14ac:dyDescent="0.3">
      <c r="B1377" t="s">
        <v>4349</v>
      </c>
      <c r="C1377" s="11" t="s">
        <v>178</v>
      </c>
      <c r="D1377">
        <v>1</v>
      </c>
      <c r="E1377" t="s">
        <v>160</v>
      </c>
      <c r="F1377" s="92" t="s">
        <v>1059</v>
      </c>
      <c r="G1377" s="90" t="str">
        <f>LEFT([1]modificado!$O$2, FIND(" ", [1]modificado!$O$2 &amp; " ") - 1)</f>
        <v>3M</v>
      </c>
      <c r="H1377" s="47" t="str">
        <f>RIGHT([1]!Tabla2[[#This Row],[Marca y Modelo]], LEN([1]!Tabla2[[#This Row],[Marca y Modelo]]) - FIND(" ", [1]!Tabla2[[#This Row],[Marca y Modelo]]))</f>
        <v>1003006</v>
      </c>
      <c r="I1377" s="76"/>
      <c r="J1377" s="76"/>
      <c r="K1377" s="92" t="s">
        <v>4332</v>
      </c>
      <c r="L1377" s="92" t="s">
        <v>3988</v>
      </c>
      <c r="M1377" s="92" t="s">
        <v>1404</v>
      </c>
      <c r="N1377" s="92" t="s">
        <v>1352</v>
      </c>
      <c r="O1377" s="77"/>
      <c r="P1377" s="92" t="s">
        <v>2537</v>
      </c>
      <c r="Q1377" s="32"/>
      <c r="R1377" s="48" t="s">
        <v>216</v>
      </c>
      <c r="S1377" s="32"/>
    </row>
    <row r="1378" spans="2:19" ht="28.8" x14ac:dyDescent="0.3">
      <c r="B1378" t="str">
        <f>LEFT(Tabla3890134177220392[[#This Row],[Descripción del equipo]], FIND(" ", Tabla3890134177220392[[#This Row],[Descripción del equipo]] &amp; " ") - 1)</f>
        <v>Autoretractil</v>
      </c>
      <c r="C1378" s="11" t="s">
        <v>178</v>
      </c>
      <c r="D1378">
        <v>1</v>
      </c>
      <c r="E1378" t="s">
        <v>160</v>
      </c>
      <c r="F1378" s="91" t="s">
        <v>1058</v>
      </c>
      <c r="G1378" s="90" t="str">
        <f>LEFT([1]modificado!$O$2, FIND(" ", [1]modificado!$O$2 &amp; " ") - 1)</f>
        <v>3M</v>
      </c>
      <c r="H1378" s="47" t="str">
        <f>RIGHT([1]!Tabla2[[#This Row],[Marca y Modelo]], LEN([1]!Tabla2[[#This Row],[Marca y Modelo]]) - FIND(" ", [1]!Tabla2[[#This Row],[Marca y Modelo]]))</f>
        <v>3100414</v>
      </c>
      <c r="I1378" s="76"/>
      <c r="J1378" s="76"/>
      <c r="K1378" s="91" t="s">
        <v>4333</v>
      </c>
      <c r="L1378" s="91" t="s">
        <v>3989</v>
      </c>
      <c r="M1378" s="91" t="s">
        <v>1404</v>
      </c>
      <c r="N1378" s="91" t="s">
        <v>1353</v>
      </c>
      <c r="O1378" s="77"/>
      <c r="P1378" s="91" t="s">
        <v>2537</v>
      </c>
      <c r="Q1378" s="32"/>
      <c r="R1378" s="48" t="s">
        <v>216</v>
      </c>
      <c r="S1378" s="32"/>
    </row>
    <row r="1379" spans="2:19" ht="28.8" x14ac:dyDescent="0.3">
      <c r="B1379" t="s">
        <v>4348</v>
      </c>
      <c r="C1379" s="11" t="s">
        <v>178</v>
      </c>
      <c r="D1379">
        <v>1</v>
      </c>
      <c r="E1379" t="s">
        <v>160</v>
      </c>
      <c r="F1379" s="92" t="s">
        <v>1057</v>
      </c>
      <c r="G1379" s="90" t="str">
        <f>LEFT([1]modificado!$O$2, FIND(" ", [1]modificado!$O$2 &amp; " ") - 1)</f>
        <v>3M</v>
      </c>
      <c r="H1379" s="47"/>
      <c r="I1379" s="76"/>
      <c r="J1379" s="76"/>
      <c r="K1379" s="92" t="s">
        <v>4336</v>
      </c>
      <c r="L1379" s="92" t="s">
        <v>3990</v>
      </c>
      <c r="M1379" s="92" t="s">
        <v>1404</v>
      </c>
      <c r="N1379" s="92" t="s">
        <v>1354</v>
      </c>
      <c r="O1379" s="77"/>
      <c r="P1379" s="92" t="s">
        <v>2537</v>
      </c>
      <c r="Q1379" s="32"/>
      <c r="R1379" s="48" t="s">
        <v>216</v>
      </c>
      <c r="S1379" s="32"/>
    </row>
    <row r="1380" spans="2:19" ht="28.8" x14ac:dyDescent="0.3">
      <c r="B1380" t="s">
        <v>4349</v>
      </c>
      <c r="C1380" s="11" t="s">
        <v>178</v>
      </c>
      <c r="D1380">
        <v>1</v>
      </c>
      <c r="E1380" t="s">
        <v>160</v>
      </c>
      <c r="F1380" s="91" t="s">
        <v>1059</v>
      </c>
      <c r="G1380" s="90" t="str">
        <f>LEFT([1]modificado!$O$2, FIND(" ", [1]modificado!$O$2 &amp; " ") - 1)</f>
        <v>3M</v>
      </c>
      <c r="H1380" s="47" t="str">
        <f>RIGHT([1]!Tabla2[[#This Row],[Marca y Modelo]], LEN([1]!Tabla2[[#This Row],[Marca y Modelo]]) - FIND(" ", [1]!Tabla2[[#This Row],[Marca y Modelo]]))</f>
        <v>911</v>
      </c>
      <c r="I1380" s="76"/>
      <c r="J1380" s="76"/>
      <c r="K1380" s="91" t="s">
        <v>4337</v>
      </c>
      <c r="L1380" s="91" t="s">
        <v>3991</v>
      </c>
      <c r="M1380" s="91" t="s">
        <v>1404</v>
      </c>
      <c r="N1380" s="91" t="s">
        <v>1355</v>
      </c>
      <c r="O1380" s="77"/>
      <c r="P1380" s="91" t="s">
        <v>2537</v>
      </c>
      <c r="Q1380" s="32"/>
      <c r="R1380" s="48" t="s">
        <v>216</v>
      </c>
      <c r="S1380" s="32"/>
    </row>
    <row r="1381" spans="2:19" ht="28.8" x14ac:dyDescent="0.3">
      <c r="B1381" t="s">
        <v>4349</v>
      </c>
      <c r="C1381" s="11" t="s">
        <v>178</v>
      </c>
      <c r="D1381">
        <v>1</v>
      </c>
      <c r="E1381" t="s">
        <v>160</v>
      </c>
      <c r="F1381" s="92" t="s">
        <v>1081</v>
      </c>
      <c r="G1381" s="90" t="str">
        <f>LEFT([1]modificado!$O$2, FIND(" ", [1]modificado!$O$2 &amp; " ") - 1)</f>
        <v>3M</v>
      </c>
      <c r="H1381" s="47"/>
      <c r="I1381" s="76"/>
      <c r="J1381" s="76"/>
      <c r="K1381" s="92" t="s">
        <v>4337</v>
      </c>
      <c r="L1381" s="92" t="s">
        <v>3992</v>
      </c>
      <c r="M1381" s="92" t="s">
        <v>1404</v>
      </c>
      <c r="N1381" s="92" t="s">
        <v>1356</v>
      </c>
      <c r="O1381" s="77"/>
      <c r="P1381" s="92" t="s">
        <v>2537</v>
      </c>
      <c r="Q1381" s="32"/>
      <c r="R1381" s="48" t="s">
        <v>216</v>
      </c>
      <c r="S1381" s="32"/>
    </row>
    <row r="1382" spans="2:19" ht="28.8" x14ac:dyDescent="0.3">
      <c r="B1382" t="str">
        <f>LEFT(Tabla3890134177220392[[#This Row],[Descripción del equipo]], FIND(" ", Tabla3890134177220392[[#This Row],[Descripción del equipo]] &amp; " ") - 1)</f>
        <v>Arnes</v>
      </c>
      <c r="C1382" s="11" t="s">
        <v>178</v>
      </c>
      <c r="D1382">
        <v>1</v>
      </c>
      <c r="E1382" t="s">
        <v>160</v>
      </c>
      <c r="F1382" s="91" t="s">
        <v>1068</v>
      </c>
      <c r="G1382" s="90" t="str">
        <f>LEFT([1]modificado!$O$2, FIND(" ", [1]modificado!$O$2 &amp; " ") - 1)</f>
        <v>3M</v>
      </c>
      <c r="H1382" s="47" t="str">
        <f>RIGHT([1]!Tabla2[[#This Row],[Marca y Modelo]], LEN([1]!Tabla2[[#This Row],[Marca y Modelo]]) - FIND(" ", [1]!Tabla2[[#This Row],[Marca y Modelo]]))</f>
        <v>452KN</v>
      </c>
      <c r="I1382" s="76"/>
      <c r="J1382" s="76"/>
      <c r="K1382" s="91" t="s">
        <v>4338</v>
      </c>
      <c r="L1382" s="91" t="s">
        <v>3993</v>
      </c>
      <c r="M1382" s="91" t="s">
        <v>1404</v>
      </c>
      <c r="N1382" s="91" t="s">
        <v>1357</v>
      </c>
      <c r="O1382" s="77"/>
      <c r="P1382" s="91" t="s">
        <v>2537</v>
      </c>
      <c r="Q1382" s="32"/>
      <c r="R1382" s="48" t="s">
        <v>216</v>
      </c>
      <c r="S1382" s="32"/>
    </row>
    <row r="1383" spans="2:19" ht="28.8" x14ac:dyDescent="0.3">
      <c r="B1383" t="s">
        <v>4348</v>
      </c>
      <c r="C1383" s="11" t="s">
        <v>178</v>
      </c>
      <c r="D1383">
        <v>1</v>
      </c>
      <c r="E1383" t="s">
        <v>160</v>
      </c>
      <c r="F1383" s="92" t="s">
        <v>1061</v>
      </c>
      <c r="G1383" s="90" t="str">
        <f>LEFT([1]modificado!$O$2, FIND(" ", [1]modificado!$O$2 &amp; " ") - 1)</f>
        <v>3M</v>
      </c>
      <c r="H1383" s="47" t="str">
        <f>RIGHT([1]!Tabla2[[#This Row],[Marca y Modelo]], LEN([1]!Tabla2[[#This Row],[Marca y Modelo]]) - FIND(" ", [1]!Tabla2[[#This Row],[Marca y Modelo]]))</f>
        <v>3210</v>
      </c>
      <c r="I1383" s="76"/>
      <c r="J1383" s="76"/>
      <c r="K1383" s="92" t="s">
        <v>4339</v>
      </c>
      <c r="L1383" s="92" t="s">
        <v>3994</v>
      </c>
      <c r="M1383" s="92" t="s">
        <v>1404</v>
      </c>
      <c r="N1383" s="92" t="s">
        <v>1358</v>
      </c>
      <c r="O1383" s="77"/>
      <c r="P1383" s="92" t="s">
        <v>2537</v>
      </c>
      <c r="Q1383" s="32"/>
      <c r="R1383" s="48" t="s">
        <v>216</v>
      </c>
      <c r="S1383" s="32"/>
    </row>
    <row r="1384" spans="2:19" ht="28.8" x14ac:dyDescent="0.3">
      <c r="B1384" t="s">
        <v>4349</v>
      </c>
      <c r="C1384" s="11" t="s">
        <v>178</v>
      </c>
      <c r="D1384">
        <v>1</v>
      </c>
      <c r="E1384" t="s">
        <v>160</v>
      </c>
      <c r="F1384" s="91" t="s">
        <v>1079</v>
      </c>
      <c r="G1384" s="90" t="str">
        <f>LEFT([1]modificado!$O$2, FIND(" ", [1]modificado!$O$2 &amp; " ") - 1)</f>
        <v>3M</v>
      </c>
      <c r="H1384" s="47" t="str">
        <f>RIGHT([1]!Tabla2[[#This Row],[Marca y Modelo]], LEN([1]!Tabla2[[#This Row],[Marca y Modelo]]) - FIND(" ", [1]!Tabla2[[#This Row],[Marca y Modelo]]))</f>
        <v>2110808</v>
      </c>
      <c r="I1384" s="76"/>
      <c r="J1384" s="76"/>
      <c r="K1384" s="91" t="s">
        <v>4340</v>
      </c>
      <c r="L1384" s="91" t="s">
        <v>3995</v>
      </c>
      <c r="M1384" s="91" t="s">
        <v>1404</v>
      </c>
      <c r="N1384" s="91" t="s">
        <v>1359</v>
      </c>
      <c r="O1384" s="77"/>
      <c r="P1384" s="91" t="s">
        <v>2537</v>
      </c>
      <c r="Q1384" s="32"/>
      <c r="R1384" s="48" t="s">
        <v>216</v>
      </c>
      <c r="S1384" s="32"/>
    </row>
    <row r="1385" spans="2:19" ht="28.8" x14ac:dyDescent="0.3">
      <c r="B1385" t="s">
        <v>4349</v>
      </c>
      <c r="C1385" s="11" t="s">
        <v>178</v>
      </c>
      <c r="D1385">
        <v>1</v>
      </c>
      <c r="E1385" t="s">
        <v>160</v>
      </c>
      <c r="F1385" s="92" t="s">
        <v>1079</v>
      </c>
      <c r="G1385" s="90" t="str">
        <f>LEFT([1]modificado!$O$2, FIND(" ", [1]modificado!$O$2 &amp; " ") - 1)</f>
        <v>3M</v>
      </c>
      <c r="H1385" s="47" t="str">
        <f>RIGHT([1]!Tabla2[[#This Row],[Marca y Modelo]], LEN([1]!Tabla2[[#This Row],[Marca y Modelo]]) - FIND(" ", [1]!Tabla2[[#This Row],[Marca y Modelo]]))</f>
        <v>2110808</v>
      </c>
      <c r="I1385" s="76"/>
      <c r="J1385" s="76"/>
      <c r="K1385" s="92" t="s">
        <v>4340</v>
      </c>
      <c r="L1385" s="92" t="s">
        <v>3996</v>
      </c>
      <c r="M1385" s="92" t="s">
        <v>1404</v>
      </c>
      <c r="N1385" s="92" t="s">
        <v>1360</v>
      </c>
      <c r="O1385" s="77"/>
      <c r="P1385" s="92" t="s">
        <v>2537</v>
      </c>
      <c r="Q1385" s="32"/>
      <c r="R1385" s="48" t="s">
        <v>216</v>
      </c>
      <c r="S1385" s="32"/>
    </row>
    <row r="1386" spans="2:19" ht="28.8" x14ac:dyDescent="0.3">
      <c r="B1386" t="s">
        <v>4349</v>
      </c>
      <c r="C1386" s="11" t="s">
        <v>178</v>
      </c>
      <c r="D1386">
        <v>1</v>
      </c>
      <c r="E1386" t="s">
        <v>160</v>
      </c>
      <c r="F1386" s="91" t="s">
        <v>1059</v>
      </c>
      <c r="G1386" s="90" t="str">
        <f>LEFT([1]modificado!$O$2, FIND(" ", [1]modificado!$O$2 &amp; " ") - 1)</f>
        <v>3M</v>
      </c>
      <c r="H1386" s="47" t="str">
        <f>RIGHT([1]!Tabla2[[#This Row],[Marca y Modelo]], LEN([1]!Tabla2[[#This Row],[Marca y Modelo]]) - FIND(" ", [1]!Tabla2[[#This Row],[Marca y Modelo]]))</f>
        <v>AJ450A6</v>
      </c>
      <c r="I1386" s="76"/>
      <c r="J1386" s="76"/>
      <c r="K1386" s="91" t="s">
        <v>4337</v>
      </c>
      <c r="L1386" s="91" t="s">
        <v>3997</v>
      </c>
      <c r="M1386" s="91" t="s">
        <v>1404</v>
      </c>
      <c r="N1386" s="91" t="s">
        <v>1361</v>
      </c>
      <c r="O1386" s="77"/>
      <c r="P1386" s="91" t="s">
        <v>2537</v>
      </c>
      <c r="Q1386" s="32"/>
      <c r="R1386" s="48" t="s">
        <v>216</v>
      </c>
      <c r="S1386" s="32"/>
    </row>
    <row r="1387" spans="2:19" ht="28.8" x14ac:dyDescent="0.3">
      <c r="B1387" t="s">
        <v>4349</v>
      </c>
      <c r="C1387" s="11" t="s">
        <v>178</v>
      </c>
      <c r="D1387">
        <v>1</v>
      </c>
      <c r="E1387" t="s">
        <v>160</v>
      </c>
      <c r="F1387" s="92" t="s">
        <v>1059</v>
      </c>
      <c r="G1387" s="90" t="str">
        <f>LEFT([1]modificado!$O$2, FIND(" ", [1]modificado!$O$2 &amp; " ") - 1)</f>
        <v>3M</v>
      </c>
      <c r="H1387" s="47" t="str">
        <f>RIGHT([1]!Tabla2[[#This Row],[Marca y Modelo]], LEN([1]!Tabla2[[#This Row],[Marca y Modelo]]) - FIND(" ", [1]!Tabla2[[#This Row],[Marca y Modelo]]))</f>
        <v>AJ450A6</v>
      </c>
      <c r="I1387" s="76"/>
      <c r="J1387" s="76"/>
      <c r="K1387" s="92" t="s">
        <v>4337</v>
      </c>
      <c r="L1387" s="92" t="s">
        <v>3998</v>
      </c>
      <c r="M1387" s="92" t="s">
        <v>1404</v>
      </c>
      <c r="N1387" s="92" t="s">
        <v>1362</v>
      </c>
      <c r="O1387" s="77"/>
      <c r="P1387" s="92" t="s">
        <v>2537</v>
      </c>
      <c r="Q1387" s="32"/>
      <c r="R1387" s="48" t="s">
        <v>216</v>
      </c>
      <c r="S1387" s="32"/>
    </row>
    <row r="1388" spans="2:19" ht="28.8" x14ac:dyDescent="0.3">
      <c r="B1388" t="str">
        <f>LEFT(Tabla3890134177220392[[#This Row],[Descripción del equipo]], FIND(" ", Tabla3890134177220392[[#This Row],[Descripción del equipo]] &amp; " ") - 1)</f>
        <v>Autoretractil</v>
      </c>
      <c r="C1388" s="11" t="s">
        <v>178</v>
      </c>
      <c r="D1388">
        <v>1</v>
      </c>
      <c r="E1388" t="s">
        <v>160</v>
      </c>
      <c r="F1388" s="91" t="s">
        <v>1058</v>
      </c>
      <c r="G1388" s="90" t="str">
        <f>LEFT([1]modificado!$O$2, FIND(" ", [1]modificado!$O$2 &amp; " ") - 1)</f>
        <v>3M</v>
      </c>
      <c r="H1388" s="47" t="str">
        <f>RIGHT([1]!Tabla2[[#This Row],[Marca y Modelo]], LEN([1]!Tabla2[[#This Row],[Marca y Modelo]]) - FIND(" ", [1]!Tabla2[[#This Row],[Marca y Modelo]]))</f>
        <v>3100414</v>
      </c>
      <c r="I1388" s="76"/>
      <c r="J1388" s="76"/>
      <c r="K1388" s="91" t="s">
        <v>4341</v>
      </c>
      <c r="L1388" s="91" t="s">
        <v>3999</v>
      </c>
      <c r="M1388" s="91" t="s">
        <v>1404</v>
      </c>
      <c r="N1388" s="91" t="s">
        <v>1363</v>
      </c>
      <c r="O1388" s="77"/>
      <c r="P1388" s="91" t="s">
        <v>2537</v>
      </c>
      <c r="Q1388" s="32"/>
      <c r="R1388" s="48" t="s">
        <v>216</v>
      </c>
      <c r="S1388" s="32"/>
    </row>
    <row r="1389" spans="2:19" ht="28.8" x14ac:dyDescent="0.3">
      <c r="B1389" t="str">
        <f>LEFT(Tabla3890134177220392[[#This Row],[Descripción del equipo]], FIND(" ", Tabla3890134177220392[[#This Row],[Descripción del equipo]] &amp; " ") - 1)</f>
        <v>Autoretractil</v>
      </c>
      <c r="C1389" s="11" t="s">
        <v>178</v>
      </c>
      <c r="D1389">
        <v>1</v>
      </c>
      <c r="E1389" t="s">
        <v>160</v>
      </c>
      <c r="F1389" s="92" t="s">
        <v>1058</v>
      </c>
      <c r="G1389" s="90" t="str">
        <f>LEFT([1]modificado!$O$2, FIND(" ", [1]modificado!$O$2 &amp; " ") - 1)</f>
        <v>3M</v>
      </c>
      <c r="H1389" s="47" t="str">
        <f>RIGHT([1]!Tabla2[[#This Row],[Marca y Modelo]], LEN([1]!Tabla2[[#This Row],[Marca y Modelo]]) - FIND(" ", [1]!Tabla2[[#This Row],[Marca y Modelo]]))</f>
        <v>3100414</v>
      </c>
      <c r="I1389" s="76"/>
      <c r="J1389" s="76"/>
      <c r="K1389" s="92" t="s">
        <v>4341</v>
      </c>
      <c r="L1389" s="92" t="s">
        <v>4000</v>
      </c>
      <c r="M1389" s="92" t="s">
        <v>1404</v>
      </c>
      <c r="N1389" s="92" t="s">
        <v>1364</v>
      </c>
      <c r="O1389" s="77"/>
      <c r="P1389" s="92" t="s">
        <v>2537</v>
      </c>
      <c r="Q1389" s="32"/>
      <c r="R1389" s="48" t="s">
        <v>216</v>
      </c>
      <c r="S1389" s="32"/>
    </row>
    <row r="1390" spans="2:19" ht="28.8" x14ac:dyDescent="0.3">
      <c r="B1390" t="str">
        <f>LEFT(Tabla3890134177220392[[#This Row],[Descripción del equipo]], FIND(" ", Tabla3890134177220392[[#This Row],[Descripción del equipo]] &amp; " ") - 1)</f>
        <v>Arnes</v>
      </c>
      <c r="C1390" s="11" t="s">
        <v>178</v>
      </c>
      <c r="D1390">
        <v>1</v>
      </c>
      <c r="E1390" t="s">
        <v>160</v>
      </c>
      <c r="F1390" s="91" t="s">
        <v>1068</v>
      </c>
      <c r="G1390" s="90" t="str">
        <f>LEFT([1]modificado!$O$2, FIND(" ", [1]modificado!$O$2 &amp; " ") - 1)</f>
        <v>3M</v>
      </c>
      <c r="H1390" s="47" t="str">
        <f>RIGHT([1]!Tabla2[[#This Row],[Marca y Modelo]], LEN([1]!Tabla2[[#This Row],[Marca y Modelo]]) - FIND(" ", [1]!Tabla2[[#This Row],[Marca y Modelo]]))</f>
        <v>1110830</v>
      </c>
      <c r="I1390" s="76"/>
      <c r="J1390" s="76"/>
      <c r="K1390" s="91" t="s">
        <v>4338</v>
      </c>
      <c r="L1390" s="91" t="s">
        <v>4001</v>
      </c>
      <c r="M1390" s="91" t="s">
        <v>1404</v>
      </c>
      <c r="N1390" s="91" t="s">
        <v>1365</v>
      </c>
      <c r="O1390" s="77"/>
      <c r="P1390" s="91" t="s">
        <v>2537</v>
      </c>
      <c r="Q1390" s="32"/>
      <c r="R1390" s="48" t="s">
        <v>216</v>
      </c>
      <c r="S1390" s="32"/>
    </row>
    <row r="1391" spans="2:19" ht="28.8" x14ac:dyDescent="0.3">
      <c r="B1391" t="s">
        <v>4348</v>
      </c>
      <c r="C1391" s="11" t="s">
        <v>178</v>
      </c>
      <c r="D1391">
        <v>1</v>
      </c>
      <c r="E1391" t="s">
        <v>160</v>
      </c>
      <c r="F1391" s="92" t="s">
        <v>1057</v>
      </c>
      <c r="G1391" s="90" t="str">
        <f>LEFT([1]modificado!$O$2, FIND(" ", [1]modificado!$O$2 &amp; " ") - 1)</f>
        <v>3M</v>
      </c>
      <c r="H1391" s="47" t="str">
        <f>RIGHT([1]!Tabla2[[#This Row],[Marca y Modelo]], LEN([1]!Tabla2[[#This Row],[Marca y Modelo]]) - FIND(" ", [1]!Tabla2[[#This Row],[Marca y Modelo]]))</f>
        <v>191026A</v>
      </c>
      <c r="I1391" s="76"/>
      <c r="J1391" s="76"/>
      <c r="K1391" s="92" t="s">
        <v>4336</v>
      </c>
      <c r="L1391" s="92" t="s">
        <v>4002</v>
      </c>
      <c r="M1391" s="92" t="s">
        <v>1405</v>
      </c>
      <c r="N1391" s="92" t="s">
        <v>1366</v>
      </c>
      <c r="O1391" s="77"/>
      <c r="P1391" s="92" t="s">
        <v>2537</v>
      </c>
      <c r="Q1391" s="32"/>
      <c r="R1391" s="48" t="s">
        <v>216</v>
      </c>
      <c r="S1391" s="32"/>
    </row>
    <row r="1392" spans="2:19" ht="28.8" x14ac:dyDescent="0.3">
      <c r="B1392" t="s">
        <v>4348</v>
      </c>
      <c r="C1392" s="11" t="s">
        <v>178</v>
      </c>
      <c r="D1392">
        <v>1</v>
      </c>
      <c r="E1392" t="s">
        <v>160</v>
      </c>
      <c r="F1392" s="91" t="s">
        <v>1061</v>
      </c>
      <c r="G1392" s="90" t="str">
        <f>LEFT([1]modificado!$O$2, FIND(" ", [1]modificado!$O$2 &amp; " ") - 1)</f>
        <v>3M</v>
      </c>
      <c r="H1392" s="47" t="str">
        <f>RIGHT([1]!Tabla2[[#This Row],[Marca y Modelo]], LEN([1]!Tabla2[[#This Row],[Marca y Modelo]]) - FIND(" ", [1]!Tabla2[[#This Row],[Marca y Modelo]]))</f>
        <v>3250</v>
      </c>
      <c r="I1392" s="76"/>
      <c r="J1392" s="76"/>
      <c r="K1392" s="91" t="s">
        <v>4339</v>
      </c>
      <c r="L1392" s="91" t="s">
        <v>4003</v>
      </c>
      <c r="M1392" s="91" t="s">
        <v>1404</v>
      </c>
      <c r="N1392" s="91" t="s">
        <v>1367</v>
      </c>
      <c r="O1392" s="77"/>
      <c r="P1392" s="91" t="s">
        <v>2537</v>
      </c>
      <c r="Q1392" s="32"/>
      <c r="R1392" s="48" t="s">
        <v>216</v>
      </c>
      <c r="S1392" s="32"/>
    </row>
    <row r="1393" spans="2:19" ht="28.8" x14ac:dyDescent="0.3">
      <c r="B1393" t="s">
        <v>4348</v>
      </c>
      <c r="C1393" s="11" t="s">
        <v>178</v>
      </c>
      <c r="D1393">
        <v>1</v>
      </c>
      <c r="E1393" t="s">
        <v>160</v>
      </c>
      <c r="F1393" s="92" t="s">
        <v>1070</v>
      </c>
      <c r="G1393" s="90" t="str">
        <f>LEFT([1]modificado!$O$2, FIND(" ", [1]modificado!$O$2 &amp; " ") - 1)</f>
        <v>3M</v>
      </c>
      <c r="H1393" s="47" t="str">
        <f>RIGHT([1]!Tabla2[[#This Row],[Marca y Modelo]], LEN([1]!Tabla2[[#This Row],[Marca y Modelo]]) - FIND(" ", [1]!Tabla2[[#This Row],[Marca y Modelo]]))</f>
        <v>1340161</v>
      </c>
      <c r="I1393" s="76"/>
      <c r="J1393" s="76"/>
      <c r="K1393" s="92" t="s">
        <v>4336</v>
      </c>
      <c r="L1393" s="92" t="s">
        <v>4004</v>
      </c>
      <c r="M1393" s="92" t="s">
        <v>1404</v>
      </c>
      <c r="N1393" s="92" t="s">
        <v>1368</v>
      </c>
      <c r="O1393" s="77"/>
      <c r="P1393" s="92" t="s">
        <v>2537</v>
      </c>
      <c r="Q1393" s="32"/>
      <c r="R1393" s="48" t="s">
        <v>216</v>
      </c>
      <c r="S1393" s="32"/>
    </row>
    <row r="1394" spans="2:19" ht="28.8" x14ac:dyDescent="0.3">
      <c r="B1394" t="str">
        <f>LEFT(Tabla3890134177220392[[#This Row],[Descripción del equipo]], FIND(" ", Tabla3890134177220392[[#This Row],[Descripción del equipo]] &amp; " ") - 1)</f>
        <v>Arnes</v>
      </c>
      <c r="C1394" s="11" t="s">
        <v>178</v>
      </c>
      <c r="D1394">
        <v>1</v>
      </c>
      <c r="E1394" t="s">
        <v>160</v>
      </c>
      <c r="F1394" s="91" t="s">
        <v>1068</v>
      </c>
      <c r="G1394" s="90" t="str">
        <f>LEFT([1]modificado!$O$2, FIND(" ", [1]modificado!$O$2 &amp; " ") - 1)</f>
        <v>3M</v>
      </c>
      <c r="H1394" s="47" t="str">
        <f>RIGHT([1]!Tabla2[[#This Row],[Marca y Modelo]], LEN([1]!Tabla2[[#This Row],[Marca y Modelo]]) - FIND(" ", [1]!Tabla2[[#This Row],[Marca y Modelo]]))</f>
        <v>1104625</v>
      </c>
      <c r="I1394" s="76"/>
      <c r="J1394" s="76"/>
      <c r="K1394" s="91" t="s">
        <v>4342</v>
      </c>
      <c r="L1394" s="91" t="s">
        <v>4005</v>
      </c>
      <c r="M1394" s="91" t="s">
        <v>1404</v>
      </c>
      <c r="N1394" s="91" t="s">
        <v>1369</v>
      </c>
      <c r="O1394" s="77"/>
      <c r="P1394" s="91" t="s">
        <v>2537</v>
      </c>
      <c r="Q1394" s="32"/>
      <c r="R1394" s="48" t="s">
        <v>216</v>
      </c>
      <c r="S1394" s="32"/>
    </row>
    <row r="1395" spans="2:19" ht="28.8" x14ac:dyDescent="0.3">
      <c r="B1395" t="str">
        <f>LEFT(Tabla3890134177220392[[#This Row],[Descripción del equipo]], FIND(" ", Tabla3890134177220392[[#This Row],[Descripción del equipo]] &amp; " ") - 1)</f>
        <v>Arnes</v>
      </c>
      <c r="C1395" s="11" t="s">
        <v>178</v>
      </c>
      <c r="D1395">
        <v>1</v>
      </c>
      <c r="E1395" t="s">
        <v>160</v>
      </c>
      <c r="F1395" s="92" t="s">
        <v>1068</v>
      </c>
      <c r="G1395" s="90" t="str">
        <f>LEFT([1]modificado!$O$2, FIND(" ", [1]modificado!$O$2 &amp; " ") - 1)</f>
        <v>3M</v>
      </c>
      <c r="H1395" s="47" t="str">
        <f>RIGHT([1]!Tabla2[[#This Row],[Marca y Modelo]], LEN([1]!Tabla2[[#This Row],[Marca y Modelo]]) - FIND(" ", [1]!Tabla2[[#This Row],[Marca y Modelo]]))</f>
        <v>1104625</v>
      </c>
      <c r="I1395" s="76"/>
      <c r="J1395" s="76"/>
      <c r="K1395" s="92" t="s">
        <v>4342</v>
      </c>
      <c r="L1395" s="92" t="s">
        <v>4006</v>
      </c>
      <c r="M1395" s="92" t="s">
        <v>1404</v>
      </c>
      <c r="N1395" s="92" t="s">
        <v>1370</v>
      </c>
      <c r="O1395" s="77"/>
      <c r="P1395" s="92" t="s">
        <v>2537</v>
      </c>
      <c r="Q1395" s="32"/>
      <c r="R1395" s="48" t="s">
        <v>216</v>
      </c>
      <c r="S1395" s="32"/>
    </row>
    <row r="1396" spans="2:19" ht="28.8" x14ac:dyDescent="0.3">
      <c r="B1396" t="str">
        <f>LEFT(Tabla3890134177220392[[#This Row],[Descripción del equipo]], FIND(" ", Tabla3890134177220392[[#This Row],[Descripción del equipo]] &amp; " ") - 1)</f>
        <v>Arnes</v>
      </c>
      <c r="C1396" s="11" t="s">
        <v>178</v>
      </c>
      <c r="D1396">
        <v>1</v>
      </c>
      <c r="E1396" t="s">
        <v>160</v>
      </c>
      <c r="F1396" s="91" t="s">
        <v>1068</v>
      </c>
      <c r="G1396" s="90" t="str">
        <f>LEFT([1]modificado!$O$2, FIND(" ", [1]modificado!$O$2 &amp; " ") - 1)</f>
        <v>3M</v>
      </c>
      <c r="H1396" s="47" t="str">
        <f>RIGHT([1]!Tabla2[[#This Row],[Marca y Modelo]], LEN([1]!Tabla2[[#This Row],[Marca y Modelo]]) - FIND(" ", [1]!Tabla2[[#This Row],[Marca y Modelo]]))</f>
        <v>1104625</v>
      </c>
      <c r="I1396" s="76"/>
      <c r="J1396" s="76"/>
      <c r="K1396" s="91" t="s">
        <v>4342</v>
      </c>
      <c r="L1396" s="91" t="s">
        <v>4007</v>
      </c>
      <c r="M1396" s="91" t="s">
        <v>1404</v>
      </c>
      <c r="N1396" s="91" t="s">
        <v>1371</v>
      </c>
      <c r="O1396" s="77"/>
      <c r="P1396" s="91" t="s">
        <v>2537</v>
      </c>
      <c r="Q1396" s="32"/>
      <c r="R1396" s="48" t="s">
        <v>216</v>
      </c>
      <c r="S1396" s="32"/>
    </row>
    <row r="1397" spans="2:19" ht="28.8" x14ac:dyDescent="0.3">
      <c r="B1397" t="str">
        <f>LEFT(Tabla3890134177220392[[#This Row],[Descripción del equipo]], FIND(" ", Tabla3890134177220392[[#This Row],[Descripción del equipo]] &amp; " ") - 1)</f>
        <v>Arnes</v>
      </c>
      <c r="C1397" s="11" t="s">
        <v>178</v>
      </c>
      <c r="D1397">
        <v>1</v>
      </c>
      <c r="E1397" t="s">
        <v>160</v>
      </c>
      <c r="F1397" s="92" t="s">
        <v>1068</v>
      </c>
      <c r="G1397" s="90" t="str">
        <f>LEFT([1]modificado!$O$2, FIND(" ", [1]modificado!$O$2 &amp; " ") - 1)</f>
        <v>3M</v>
      </c>
      <c r="H1397" s="47" t="str">
        <f>RIGHT([1]!Tabla2[[#This Row],[Marca y Modelo]], LEN([1]!Tabla2[[#This Row],[Marca y Modelo]]) - FIND(" ", [1]!Tabla2[[#This Row],[Marca y Modelo]]))</f>
        <v>1104625</v>
      </c>
      <c r="I1397" s="76"/>
      <c r="J1397" s="76"/>
      <c r="K1397" s="92" t="s">
        <v>4342</v>
      </c>
      <c r="L1397" s="92" t="s">
        <v>4008</v>
      </c>
      <c r="M1397" s="92" t="s">
        <v>1404</v>
      </c>
      <c r="N1397" s="92" t="s">
        <v>1372</v>
      </c>
      <c r="O1397" s="77"/>
      <c r="P1397" s="92" t="s">
        <v>2537</v>
      </c>
      <c r="Q1397" s="32"/>
      <c r="R1397" s="48" t="s">
        <v>216</v>
      </c>
      <c r="S1397" s="32"/>
    </row>
    <row r="1398" spans="2:19" ht="28.8" x14ac:dyDescent="0.3">
      <c r="B1398" t="str">
        <f>LEFT(Tabla3890134177220392[[#This Row],[Descripción del equipo]], FIND(" ", Tabla3890134177220392[[#This Row],[Descripción del equipo]] &amp; " ") - 1)</f>
        <v>Arnes</v>
      </c>
      <c r="C1398" s="11" t="s">
        <v>178</v>
      </c>
      <c r="D1398">
        <v>1</v>
      </c>
      <c r="E1398" t="s">
        <v>160</v>
      </c>
      <c r="F1398" s="91" t="s">
        <v>1068</v>
      </c>
      <c r="G1398" s="90" t="str">
        <f>LEFT([1]modificado!$O$2, FIND(" ", [1]modificado!$O$2 &amp; " ") - 1)</f>
        <v>3M</v>
      </c>
      <c r="H1398" s="47" t="str">
        <f>RIGHT([1]!Tabla2[[#This Row],[Marca y Modelo]], LEN([1]!Tabla2[[#This Row],[Marca y Modelo]]) - FIND(" ", [1]!Tabla2[[#This Row],[Marca y Modelo]]))</f>
        <v>1104625</v>
      </c>
      <c r="I1398" s="76"/>
      <c r="J1398" s="76"/>
      <c r="K1398" s="91" t="s">
        <v>4343</v>
      </c>
      <c r="L1398" s="91" t="s">
        <v>4009</v>
      </c>
      <c r="M1398" s="91" t="s">
        <v>1404</v>
      </c>
      <c r="N1398" s="91" t="s">
        <v>1373</v>
      </c>
      <c r="O1398" s="77"/>
      <c r="P1398" s="91" t="s">
        <v>2537</v>
      </c>
      <c r="Q1398" s="32"/>
      <c r="R1398" s="48" t="s">
        <v>216</v>
      </c>
      <c r="S1398" s="32"/>
    </row>
    <row r="1399" spans="2:19" ht="28.8" x14ac:dyDescent="0.3">
      <c r="B1399" t="str">
        <f>LEFT(Tabla3890134177220392[[#This Row],[Descripción del equipo]], FIND(" ", Tabla3890134177220392[[#This Row],[Descripción del equipo]] &amp; " ") - 1)</f>
        <v>Arnes</v>
      </c>
      <c r="C1399" s="11" t="s">
        <v>178</v>
      </c>
      <c r="D1399">
        <v>1</v>
      </c>
      <c r="E1399" t="s">
        <v>160</v>
      </c>
      <c r="F1399" s="92" t="s">
        <v>1068</v>
      </c>
      <c r="G1399" s="90" t="str">
        <f>LEFT([1]modificado!$O$2, FIND(" ", [1]modificado!$O$2 &amp; " ") - 1)</f>
        <v>3M</v>
      </c>
      <c r="H1399" s="47" t="str">
        <f>RIGHT([1]!Tabla2[[#This Row],[Marca y Modelo]], LEN([1]!Tabla2[[#This Row],[Marca y Modelo]]) - FIND(" ", [1]!Tabla2[[#This Row],[Marca y Modelo]]))</f>
        <v>1104625</v>
      </c>
      <c r="I1399" s="76"/>
      <c r="J1399" s="76"/>
      <c r="K1399" s="92" t="s">
        <v>4342</v>
      </c>
      <c r="L1399" s="92" t="s">
        <v>4010</v>
      </c>
      <c r="M1399" s="92" t="s">
        <v>1404</v>
      </c>
      <c r="N1399" s="92" t="s">
        <v>1374</v>
      </c>
      <c r="O1399" s="77"/>
      <c r="P1399" s="92" t="s">
        <v>2537</v>
      </c>
      <c r="Q1399" s="32"/>
      <c r="R1399" s="48" t="s">
        <v>216</v>
      </c>
      <c r="S1399" s="32"/>
    </row>
    <row r="1400" spans="2:19" ht="28.8" x14ac:dyDescent="0.3">
      <c r="B1400" t="str">
        <f>LEFT(Tabla3890134177220392[[#This Row],[Descripción del equipo]], FIND(" ", Tabla3890134177220392[[#This Row],[Descripción del equipo]] &amp; " ") - 1)</f>
        <v>Arnes</v>
      </c>
      <c r="C1400" s="11" t="s">
        <v>178</v>
      </c>
      <c r="D1400">
        <v>1</v>
      </c>
      <c r="E1400" t="s">
        <v>160</v>
      </c>
      <c r="F1400" s="91" t="s">
        <v>1056</v>
      </c>
      <c r="G1400" s="90" t="str">
        <f>LEFT([1]modificado!$O$2, FIND(" ", [1]modificado!$O$2 &amp; " ") - 1)</f>
        <v>3M</v>
      </c>
      <c r="H1400" s="47" t="str">
        <f>RIGHT([1]!Tabla2[[#This Row],[Marca y Modelo]], LEN([1]!Tabla2[[#This Row],[Marca y Modelo]]) - FIND(" ", [1]!Tabla2[[#This Row],[Marca y Modelo]]))</f>
        <v>1110600</v>
      </c>
      <c r="I1400" s="76"/>
      <c r="J1400" s="76"/>
      <c r="K1400" s="91" t="s">
        <v>4344</v>
      </c>
      <c r="L1400" s="91" t="s">
        <v>4011</v>
      </c>
      <c r="M1400" s="91" t="s">
        <v>1404</v>
      </c>
      <c r="N1400" s="91" t="s">
        <v>1375</v>
      </c>
      <c r="O1400" s="77"/>
      <c r="P1400" s="91" t="s">
        <v>2537</v>
      </c>
      <c r="Q1400" s="32"/>
      <c r="R1400" s="48" t="s">
        <v>216</v>
      </c>
      <c r="S1400" s="32"/>
    </row>
    <row r="1401" spans="2:19" ht="28.8" x14ac:dyDescent="0.3">
      <c r="B1401" t="str">
        <f>LEFT(Tabla3890134177220392[[#This Row],[Descripción del equipo]], FIND(" ", Tabla3890134177220392[[#This Row],[Descripción del equipo]] &amp; " ") - 1)</f>
        <v>Arnes</v>
      </c>
      <c r="C1401" s="11" t="s">
        <v>178</v>
      </c>
      <c r="D1401">
        <v>1</v>
      </c>
      <c r="E1401" t="s">
        <v>160</v>
      </c>
      <c r="F1401" s="92" t="s">
        <v>1056</v>
      </c>
      <c r="G1401" s="90" t="str">
        <f>LEFT([1]modificado!$O$2, FIND(" ", [1]modificado!$O$2 &amp; " ") - 1)</f>
        <v>3M</v>
      </c>
      <c r="H1401" s="47" t="str">
        <f>RIGHT([1]!Tabla2[[#This Row],[Marca y Modelo]], LEN([1]!Tabla2[[#This Row],[Marca y Modelo]]) - FIND(" ", [1]!Tabla2[[#This Row],[Marca y Modelo]]))</f>
        <v>1110600</v>
      </c>
      <c r="I1401" s="76"/>
      <c r="J1401" s="76"/>
      <c r="K1401" s="92" t="s">
        <v>4344</v>
      </c>
      <c r="L1401" s="92" t="s">
        <v>4012</v>
      </c>
      <c r="M1401" s="92" t="s">
        <v>1404</v>
      </c>
      <c r="N1401" s="92" t="s">
        <v>1376</v>
      </c>
      <c r="O1401" s="77"/>
      <c r="P1401" s="92" t="s">
        <v>2537</v>
      </c>
      <c r="Q1401" s="32"/>
      <c r="R1401" s="48" t="s">
        <v>216</v>
      </c>
      <c r="S1401" s="32"/>
    </row>
    <row r="1402" spans="2:19" ht="28.8" x14ac:dyDescent="0.3">
      <c r="B1402" t="str">
        <f>LEFT(Tabla3890134177220392[[#This Row],[Descripción del equipo]], FIND(" ", Tabla3890134177220392[[#This Row],[Descripción del equipo]] &amp; " ") - 1)</f>
        <v>Arnes</v>
      </c>
      <c r="C1402" s="11" t="s">
        <v>178</v>
      </c>
      <c r="D1402">
        <v>1</v>
      </c>
      <c r="E1402" t="s">
        <v>160</v>
      </c>
      <c r="F1402" s="91" t="s">
        <v>1056</v>
      </c>
      <c r="G1402" s="90" t="str">
        <f>LEFT([1]modificado!$O$2, FIND(" ", [1]modificado!$O$2 &amp; " ") - 1)</f>
        <v>3M</v>
      </c>
      <c r="H1402" s="47" t="str">
        <f>RIGHT([1]!Tabla2[[#This Row],[Marca y Modelo]], LEN([1]!Tabla2[[#This Row],[Marca y Modelo]]) - FIND(" ", [1]!Tabla2[[#This Row],[Marca y Modelo]]))</f>
        <v>1110600</v>
      </c>
      <c r="I1402" s="76"/>
      <c r="J1402" s="76"/>
      <c r="K1402" s="91" t="s">
        <v>4344</v>
      </c>
      <c r="L1402" s="91" t="s">
        <v>4013</v>
      </c>
      <c r="M1402" s="91" t="s">
        <v>1404</v>
      </c>
      <c r="N1402" s="91" t="s">
        <v>1377</v>
      </c>
      <c r="O1402" s="77"/>
      <c r="P1402" s="91" t="s">
        <v>2537</v>
      </c>
      <c r="Q1402" s="32"/>
      <c r="R1402" s="48" t="s">
        <v>216</v>
      </c>
      <c r="S1402" s="32"/>
    </row>
    <row r="1403" spans="2:19" ht="28.8" x14ac:dyDescent="0.3">
      <c r="B1403" t="str">
        <f>LEFT(Tabla3890134177220392[[#This Row],[Descripción del equipo]], FIND(" ", Tabla3890134177220392[[#This Row],[Descripción del equipo]] &amp; " ") - 1)</f>
        <v>Arnes</v>
      </c>
      <c r="C1403" s="11" t="s">
        <v>178</v>
      </c>
      <c r="D1403">
        <v>1</v>
      </c>
      <c r="E1403" t="s">
        <v>160</v>
      </c>
      <c r="F1403" s="92" t="s">
        <v>1056</v>
      </c>
      <c r="G1403" s="90" t="str">
        <f>LEFT([1]modificado!$O$2, FIND(" ", [1]modificado!$O$2 &amp; " ") - 1)</f>
        <v>3M</v>
      </c>
      <c r="H1403" s="47" t="str">
        <f>RIGHT([1]!Tabla2[[#This Row],[Marca y Modelo]], LEN([1]!Tabla2[[#This Row],[Marca y Modelo]]) - FIND(" ", [1]!Tabla2[[#This Row],[Marca y Modelo]]))</f>
        <v>1110600</v>
      </c>
      <c r="I1403" s="76"/>
      <c r="J1403" s="76"/>
      <c r="K1403" s="92" t="s">
        <v>4344</v>
      </c>
      <c r="L1403" s="92" t="s">
        <v>4014</v>
      </c>
      <c r="M1403" s="92" t="s">
        <v>1404</v>
      </c>
      <c r="N1403" s="92" t="s">
        <v>1378</v>
      </c>
      <c r="O1403" s="77"/>
      <c r="P1403" s="92" t="s">
        <v>2537</v>
      </c>
      <c r="Q1403" s="32"/>
      <c r="R1403" s="48" t="s">
        <v>216</v>
      </c>
      <c r="S1403" s="32"/>
    </row>
    <row r="1404" spans="2:19" ht="28.8" x14ac:dyDescent="0.3">
      <c r="B1404" t="str">
        <f>LEFT(Tabla3890134177220392[[#This Row],[Descripción del equipo]], FIND(" ", Tabla3890134177220392[[#This Row],[Descripción del equipo]] &amp; " ") - 1)</f>
        <v>Arnes</v>
      </c>
      <c r="C1404" s="11" t="s">
        <v>178</v>
      </c>
      <c r="D1404">
        <v>1</v>
      </c>
      <c r="E1404" t="s">
        <v>160</v>
      </c>
      <c r="F1404" s="91" t="s">
        <v>1056</v>
      </c>
      <c r="G1404" s="90" t="str">
        <f>LEFT([1]modificado!$O$2, FIND(" ", [1]modificado!$O$2 &amp; " ") - 1)</f>
        <v>3M</v>
      </c>
      <c r="H1404" s="47" t="str">
        <f>RIGHT([1]!Tabla2[[#This Row],[Marca y Modelo]], LEN([1]!Tabla2[[#This Row],[Marca y Modelo]]) - FIND(" ", [1]!Tabla2[[#This Row],[Marca y Modelo]]))</f>
        <v>1110600</v>
      </c>
      <c r="I1404" s="76"/>
      <c r="J1404" s="76"/>
      <c r="K1404" s="91" t="s">
        <v>4344</v>
      </c>
      <c r="L1404" s="91" t="s">
        <v>4015</v>
      </c>
      <c r="M1404" s="91" t="s">
        <v>1404</v>
      </c>
      <c r="N1404" s="91" t="s">
        <v>1379</v>
      </c>
      <c r="O1404" s="77"/>
      <c r="P1404" s="91" t="s">
        <v>2537</v>
      </c>
      <c r="Q1404" s="32"/>
      <c r="R1404" s="48" t="s">
        <v>216</v>
      </c>
      <c r="S1404" s="32"/>
    </row>
    <row r="1405" spans="2:19" ht="28.8" x14ac:dyDescent="0.3">
      <c r="B1405" t="s">
        <v>4348</v>
      </c>
      <c r="C1405" s="11" t="s">
        <v>178</v>
      </c>
      <c r="D1405">
        <v>1</v>
      </c>
      <c r="E1405" t="s">
        <v>160</v>
      </c>
      <c r="F1405" s="92" t="s">
        <v>1057</v>
      </c>
      <c r="G1405" s="90" t="str">
        <f>LEFT([1]modificado!$O$2, FIND(" ", [1]modificado!$O$2 &amp; " ") - 1)</f>
        <v>3M</v>
      </c>
      <c r="H1405" s="47" t="str">
        <f>RIGHT([1]!Tabla2[[#This Row],[Marca y Modelo]], LEN([1]!Tabla2[[#This Row],[Marca y Modelo]]) - FIND(" ", [1]!Tabla2[[#This Row],[Marca y Modelo]]))</f>
        <v>1246245</v>
      </c>
      <c r="I1405" s="76"/>
      <c r="J1405" s="76"/>
      <c r="K1405" s="92" t="s">
        <v>4345</v>
      </c>
      <c r="L1405" s="92" t="s">
        <v>4016</v>
      </c>
      <c r="M1405" s="92" t="s">
        <v>1404</v>
      </c>
      <c r="N1405" s="92" t="s">
        <v>1380</v>
      </c>
      <c r="O1405" s="77"/>
      <c r="P1405" s="92" t="s">
        <v>2537</v>
      </c>
      <c r="Q1405" s="32"/>
      <c r="R1405" s="48" t="s">
        <v>216</v>
      </c>
      <c r="S1405" s="32"/>
    </row>
    <row r="1406" spans="2:19" ht="28.8" x14ac:dyDescent="0.3">
      <c r="B1406" t="s">
        <v>4348</v>
      </c>
      <c r="C1406" s="11" t="s">
        <v>178</v>
      </c>
      <c r="D1406">
        <v>1</v>
      </c>
      <c r="E1406" t="s">
        <v>160</v>
      </c>
      <c r="F1406" s="91" t="s">
        <v>1057</v>
      </c>
      <c r="G1406" s="90" t="str">
        <f>LEFT([1]modificado!$O$2, FIND(" ", [1]modificado!$O$2 &amp; " ") - 1)</f>
        <v>3M</v>
      </c>
      <c r="H1406" s="47" t="str">
        <f>RIGHT([1]!Tabla2[[#This Row],[Marca y Modelo]], LEN([1]!Tabla2[[#This Row],[Marca y Modelo]]) - FIND(" ", [1]!Tabla2[[#This Row],[Marca y Modelo]]))</f>
        <v>1246245</v>
      </c>
      <c r="I1406" s="76"/>
      <c r="J1406" s="76"/>
      <c r="K1406" s="91" t="s">
        <v>4345</v>
      </c>
      <c r="L1406" s="91" t="s">
        <v>4017</v>
      </c>
      <c r="M1406" s="91" t="s">
        <v>1404</v>
      </c>
      <c r="N1406" s="91" t="s">
        <v>1381</v>
      </c>
      <c r="O1406" s="77"/>
      <c r="P1406" s="91" t="s">
        <v>2537</v>
      </c>
      <c r="Q1406" s="32"/>
      <c r="R1406" s="48" t="s">
        <v>216</v>
      </c>
      <c r="S1406" s="32"/>
    </row>
    <row r="1407" spans="2:19" ht="28.8" x14ac:dyDescent="0.3">
      <c r="B1407" t="s">
        <v>4348</v>
      </c>
      <c r="C1407" s="11" t="s">
        <v>178</v>
      </c>
      <c r="D1407">
        <v>1</v>
      </c>
      <c r="E1407" t="s">
        <v>160</v>
      </c>
      <c r="F1407" s="92" t="s">
        <v>1057</v>
      </c>
      <c r="G1407" s="90" t="str">
        <f>LEFT([1]modificado!$O$2, FIND(" ", [1]modificado!$O$2 &amp; " ") - 1)</f>
        <v>3M</v>
      </c>
      <c r="H1407" s="47" t="str">
        <f>RIGHT([1]!Tabla2[[#This Row],[Marca y Modelo]], LEN([1]!Tabla2[[#This Row],[Marca y Modelo]]) - FIND(" ", [1]!Tabla2[[#This Row],[Marca y Modelo]]))</f>
        <v>1246245</v>
      </c>
      <c r="I1407" s="76"/>
      <c r="J1407" s="76"/>
      <c r="K1407" s="92" t="s">
        <v>4345</v>
      </c>
      <c r="L1407" s="92" t="s">
        <v>4018</v>
      </c>
      <c r="M1407" s="92" t="s">
        <v>1404</v>
      </c>
      <c r="N1407" s="92" t="s">
        <v>1382</v>
      </c>
      <c r="O1407" s="77"/>
      <c r="P1407" s="92" t="s">
        <v>2537</v>
      </c>
      <c r="Q1407" s="32"/>
      <c r="R1407" s="48" t="s">
        <v>216</v>
      </c>
      <c r="S1407" s="32"/>
    </row>
    <row r="1408" spans="2:19" ht="28.8" x14ac:dyDescent="0.3">
      <c r="B1408" t="s">
        <v>4348</v>
      </c>
      <c r="C1408" s="11" t="s">
        <v>178</v>
      </c>
      <c r="D1408">
        <v>1</v>
      </c>
      <c r="E1408" t="s">
        <v>160</v>
      </c>
      <c r="F1408" s="91" t="s">
        <v>1057</v>
      </c>
      <c r="G1408" s="90" t="str">
        <f>LEFT([1]modificado!$O$2, FIND(" ", [1]modificado!$O$2 &amp; " ") - 1)</f>
        <v>3M</v>
      </c>
      <c r="H1408" s="47" t="str">
        <f>RIGHT([1]!Tabla2[[#This Row],[Marca y Modelo]], LEN([1]!Tabla2[[#This Row],[Marca y Modelo]]) - FIND(" ", [1]!Tabla2[[#This Row],[Marca y Modelo]]))</f>
        <v>1246245</v>
      </c>
      <c r="I1408" s="76"/>
      <c r="J1408" s="76"/>
      <c r="K1408" s="91" t="s">
        <v>4345</v>
      </c>
      <c r="L1408" s="91" t="s">
        <v>4019</v>
      </c>
      <c r="M1408" s="91" t="s">
        <v>1404</v>
      </c>
      <c r="N1408" s="91" t="s">
        <v>1383</v>
      </c>
      <c r="O1408" s="77"/>
      <c r="P1408" s="91" t="s">
        <v>2537</v>
      </c>
      <c r="Q1408" s="32"/>
      <c r="R1408" s="48" t="s">
        <v>216</v>
      </c>
      <c r="S1408" s="32"/>
    </row>
    <row r="1409" spans="2:19" ht="28.8" x14ac:dyDescent="0.3">
      <c r="B1409" t="s">
        <v>4348</v>
      </c>
      <c r="C1409" s="11" t="s">
        <v>178</v>
      </c>
      <c r="D1409">
        <v>1</v>
      </c>
      <c r="E1409" t="s">
        <v>160</v>
      </c>
      <c r="F1409" s="92" t="s">
        <v>1057</v>
      </c>
      <c r="G1409" s="90" t="str">
        <f>LEFT([1]modificado!$O$2, FIND(" ", [1]modificado!$O$2 &amp; " ") - 1)</f>
        <v>3M</v>
      </c>
      <c r="H1409" s="47" t="str">
        <f>RIGHT([1]!Tabla2[[#This Row],[Marca y Modelo]], LEN([1]!Tabla2[[#This Row],[Marca y Modelo]]) - FIND(" ", [1]!Tabla2[[#This Row],[Marca y Modelo]]))</f>
        <v>1246245</v>
      </c>
      <c r="I1409" s="76"/>
      <c r="J1409" s="76"/>
      <c r="K1409" s="92" t="s">
        <v>4345</v>
      </c>
      <c r="L1409" s="92" t="s">
        <v>4020</v>
      </c>
      <c r="M1409" s="92" t="s">
        <v>1404</v>
      </c>
      <c r="N1409" s="92" t="s">
        <v>1384</v>
      </c>
      <c r="O1409" s="77"/>
      <c r="P1409" s="92" t="s">
        <v>2537</v>
      </c>
      <c r="Q1409" s="32"/>
      <c r="R1409" s="48" t="s">
        <v>216</v>
      </c>
      <c r="S1409" s="32"/>
    </row>
    <row r="1410" spans="2:19" ht="28.8" x14ac:dyDescent="0.3">
      <c r="B1410" t="s">
        <v>4348</v>
      </c>
      <c r="C1410" s="11" t="s">
        <v>178</v>
      </c>
      <c r="D1410">
        <v>1</v>
      </c>
      <c r="E1410" t="s">
        <v>160</v>
      </c>
      <c r="F1410" s="91" t="s">
        <v>1057</v>
      </c>
      <c r="G1410" s="90" t="str">
        <f>LEFT([1]modificado!$O$2, FIND(" ", [1]modificado!$O$2 &amp; " ") - 1)</f>
        <v>3M</v>
      </c>
      <c r="H1410" s="47" t="str">
        <f>RIGHT([1]!Tabla2[[#This Row],[Marca y Modelo]], LEN([1]!Tabla2[[#This Row],[Marca y Modelo]]) - FIND(" ", [1]!Tabla2[[#This Row],[Marca y Modelo]]))</f>
        <v>1246245</v>
      </c>
      <c r="I1410" s="76"/>
      <c r="J1410" s="76"/>
      <c r="K1410" s="91" t="s">
        <v>4345</v>
      </c>
      <c r="L1410" s="91" t="s">
        <v>4021</v>
      </c>
      <c r="M1410" s="91" t="s">
        <v>1404</v>
      </c>
      <c r="N1410" s="91" t="s">
        <v>1385</v>
      </c>
      <c r="O1410" s="77"/>
      <c r="P1410" s="91" t="s">
        <v>2537</v>
      </c>
      <c r="Q1410" s="32"/>
      <c r="R1410" s="48" t="s">
        <v>216</v>
      </c>
      <c r="S1410" s="32"/>
    </row>
    <row r="1411" spans="2:19" ht="28.8" x14ac:dyDescent="0.3">
      <c r="B1411" t="str">
        <f>LEFT(Tabla3890134177220392[[#This Row],[Descripción del equipo]], FIND(" ", Tabla3890134177220392[[#This Row],[Descripción del equipo]] &amp; " ") - 1)</f>
        <v>Autoretractil</v>
      </c>
      <c r="C1411" s="11" t="s">
        <v>178</v>
      </c>
      <c r="D1411">
        <v>1</v>
      </c>
      <c r="E1411" t="s">
        <v>160</v>
      </c>
      <c r="F1411" s="92" t="s">
        <v>1058</v>
      </c>
      <c r="G1411" s="90" t="str">
        <f>LEFT([1]modificado!$O$2, FIND(" ", [1]modificado!$O$2 &amp; " ") - 1)</f>
        <v>3M</v>
      </c>
      <c r="H1411" s="47" t="str">
        <f>RIGHT([1]!Tabla2[[#This Row],[Marca y Modelo]], LEN([1]!Tabla2[[#This Row],[Marca y Modelo]]) - FIND(" ", [1]!Tabla2[[#This Row],[Marca y Modelo]]))</f>
        <v>Nano Lok</v>
      </c>
      <c r="I1411" s="76"/>
      <c r="J1411" s="76"/>
      <c r="K1411" s="92" t="s">
        <v>4346</v>
      </c>
      <c r="L1411" s="92" t="s">
        <v>4022</v>
      </c>
      <c r="M1411" s="92" t="s">
        <v>1404</v>
      </c>
      <c r="N1411" s="92" t="s">
        <v>1386</v>
      </c>
      <c r="O1411" s="77"/>
      <c r="P1411" s="92" t="s">
        <v>2537</v>
      </c>
      <c r="Q1411" s="32"/>
      <c r="R1411" s="48" t="s">
        <v>216</v>
      </c>
      <c r="S1411" s="32"/>
    </row>
    <row r="1412" spans="2:19" ht="28.8" x14ac:dyDescent="0.3">
      <c r="B1412" t="str">
        <f>LEFT(Tabla3890134177220392[[#This Row],[Descripción del equipo]], FIND(" ", Tabla3890134177220392[[#This Row],[Descripción del equipo]] &amp; " ") - 1)</f>
        <v>Autoretractil</v>
      </c>
      <c r="C1412" s="11" t="s">
        <v>178</v>
      </c>
      <c r="D1412">
        <v>1</v>
      </c>
      <c r="E1412" t="s">
        <v>160</v>
      </c>
      <c r="F1412" s="91" t="s">
        <v>1058</v>
      </c>
      <c r="G1412" s="90" t="str">
        <f>LEFT([1]modificado!$O$2, FIND(" ", [1]modificado!$O$2 &amp; " ") - 1)</f>
        <v>3M</v>
      </c>
      <c r="H1412" s="47" t="str">
        <f>RIGHT([1]!Tabla2[[#This Row],[Marca y Modelo]], LEN([1]!Tabla2[[#This Row],[Marca y Modelo]]) - FIND(" ", [1]!Tabla2[[#This Row],[Marca y Modelo]]))</f>
        <v>Nano Lok</v>
      </c>
      <c r="I1412" s="76"/>
      <c r="J1412" s="76"/>
      <c r="K1412" s="91" t="s">
        <v>4346</v>
      </c>
      <c r="L1412" s="91" t="s">
        <v>4023</v>
      </c>
      <c r="M1412" s="91" t="s">
        <v>1404</v>
      </c>
      <c r="N1412" s="91" t="s">
        <v>1387</v>
      </c>
      <c r="O1412" s="77"/>
      <c r="P1412" s="91" t="s">
        <v>2537</v>
      </c>
      <c r="Q1412" s="32"/>
      <c r="R1412" s="48" t="s">
        <v>216</v>
      </c>
      <c r="S1412" s="32"/>
    </row>
    <row r="1413" spans="2:19" ht="28.8" x14ac:dyDescent="0.3">
      <c r="B1413" t="str">
        <f>LEFT(Tabla3890134177220392[[#This Row],[Descripción del equipo]], FIND(" ", Tabla3890134177220392[[#This Row],[Descripción del equipo]] &amp; " ") - 1)</f>
        <v>Autoretractil</v>
      </c>
      <c r="C1413" s="11" t="s">
        <v>178</v>
      </c>
      <c r="D1413">
        <v>1</v>
      </c>
      <c r="E1413" t="s">
        <v>160</v>
      </c>
      <c r="F1413" s="92" t="s">
        <v>1058</v>
      </c>
      <c r="G1413" s="90" t="str">
        <f>LEFT([1]modificado!$O$2, FIND(" ", [1]modificado!$O$2 &amp; " ") - 1)</f>
        <v>3M</v>
      </c>
      <c r="H1413" s="47" t="str">
        <f>RIGHT([1]!Tabla2[[#This Row],[Marca y Modelo]], LEN([1]!Tabla2[[#This Row],[Marca y Modelo]]) - FIND(" ", [1]!Tabla2[[#This Row],[Marca y Modelo]]))</f>
        <v>Nano Lok</v>
      </c>
      <c r="I1413" s="76"/>
      <c r="J1413" s="76"/>
      <c r="K1413" s="92" t="s">
        <v>4346</v>
      </c>
      <c r="L1413" s="92" t="s">
        <v>4024</v>
      </c>
      <c r="M1413" s="92" t="s">
        <v>1404</v>
      </c>
      <c r="N1413" s="92" t="s">
        <v>1388</v>
      </c>
      <c r="O1413" s="77"/>
      <c r="P1413" s="92" t="s">
        <v>2537</v>
      </c>
      <c r="Q1413" s="32"/>
      <c r="R1413" s="48" t="s">
        <v>216</v>
      </c>
      <c r="S1413" s="32"/>
    </row>
    <row r="1414" spans="2:19" ht="28.8" x14ac:dyDescent="0.3">
      <c r="B1414" t="str">
        <f>LEFT(Tabla3890134177220392[[#This Row],[Descripción del equipo]], FIND(" ", Tabla3890134177220392[[#This Row],[Descripción del equipo]] &amp; " ") - 1)</f>
        <v>Autoretractil</v>
      </c>
      <c r="C1414" s="11" t="s">
        <v>178</v>
      </c>
      <c r="D1414">
        <v>1</v>
      </c>
      <c r="E1414" t="s">
        <v>160</v>
      </c>
      <c r="F1414" s="91" t="s">
        <v>1058</v>
      </c>
      <c r="G1414" s="90" t="str">
        <f>LEFT([1]modificado!$O$2, FIND(" ", [1]modificado!$O$2 &amp; " ") - 1)</f>
        <v>3M</v>
      </c>
      <c r="H1414" s="47" t="str">
        <f>RIGHT([1]!Tabla2[[#This Row],[Marca y Modelo]], LEN([1]!Tabla2[[#This Row],[Marca y Modelo]]) - FIND(" ", [1]!Tabla2[[#This Row],[Marca y Modelo]]))</f>
        <v>Nano Lok</v>
      </c>
      <c r="I1414" s="76"/>
      <c r="J1414" s="76"/>
      <c r="K1414" s="91" t="s">
        <v>4346</v>
      </c>
      <c r="L1414" s="91" t="s">
        <v>4025</v>
      </c>
      <c r="M1414" s="91" t="s">
        <v>1404</v>
      </c>
      <c r="N1414" s="91" t="s">
        <v>1389</v>
      </c>
      <c r="O1414" s="77"/>
      <c r="P1414" s="91" t="s">
        <v>2537</v>
      </c>
      <c r="Q1414" s="32"/>
      <c r="R1414" s="48" t="s">
        <v>216</v>
      </c>
      <c r="S1414" s="32"/>
    </row>
    <row r="1415" spans="2:19" ht="28.8" x14ac:dyDescent="0.3">
      <c r="B1415" t="str">
        <f>LEFT(Tabla3890134177220392[[#This Row],[Descripción del equipo]], FIND(" ", Tabla3890134177220392[[#This Row],[Descripción del equipo]] &amp; " ") - 1)</f>
        <v>Autoretractil</v>
      </c>
      <c r="C1415" s="11" t="s">
        <v>178</v>
      </c>
      <c r="D1415">
        <v>1</v>
      </c>
      <c r="E1415" t="s">
        <v>160</v>
      </c>
      <c r="F1415" s="92" t="s">
        <v>1058</v>
      </c>
      <c r="G1415" s="90" t="str">
        <f>LEFT([1]modificado!$O$2, FIND(" ", [1]modificado!$O$2 &amp; " ") - 1)</f>
        <v>3M</v>
      </c>
      <c r="H1415" s="47" t="str">
        <f>RIGHT([1]!Tabla2[[#This Row],[Marca y Modelo]], LEN([1]!Tabla2[[#This Row],[Marca y Modelo]]) - FIND(" ", [1]!Tabla2[[#This Row],[Marca y Modelo]]))</f>
        <v>Nano Lok</v>
      </c>
      <c r="I1415" s="76"/>
      <c r="J1415" s="76"/>
      <c r="K1415" s="92" t="s">
        <v>4346</v>
      </c>
      <c r="L1415" s="92" t="s">
        <v>4026</v>
      </c>
      <c r="M1415" s="92" t="s">
        <v>1404</v>
      </c>
      <c r="N1415" s="92" t="s">
        <v>1390</v>
      </c>
      <c r="O1415" s="77"/>
      <c r="P1415" s="92" t="s">
        <v>2537</v>
      </c>
      <c r="Q1415" s="32"/>
      <c r="R1415" s="48" t="s">
        <v>216</v>
      </c>
      <c r="S1415" s="32"/>
    </row>
    <row r="1416" spans="2:19" ht="28.8" x14ac:dyDescent="0.3">
      <c r="B1416" t="str">
        <f>LEFT(Tabla3890134177220392[[#This Row],[Descripción del equipo]], FIND(" ", Tabla3890134177220392[[#This Row],[Descripción del equipo]] &amp; " ") - 1)</f>
        <v>Autoretractil</v>
      </c>
      <c r="C1416" s="11" t="s">
        <v>178</v>
      </c>
      <c r="D1416">
        <v>1</v>
      </c>
      <c r="E1416" t="s">
        <v>160</v>
      </c>
      <c r="F1416" s="91" t="s">
        <v>1058</v>
      </c>
      <c r="G1416" s="90" t="str">
        <f>LEFT([1]modificado!$O$2, FIND(" ", [1]modificado!$O$2 &amp; " ") - 1)</f>
        <v>3M</v>
      </c>
      <c r="H1416" s="47" t="str">
        <f>RIGHT([1]!Tabla2[[#This Row],[Marca y Modelo]], LEN([1]!Tabla2[[#This Row],[Marca y Modelo]]) - FIND(" ", [1]!Tabla2[[#This Row],[Marca y Modelo]]))</f>
        <v>Nano Lok</v>
      </c>
      <c r="I1416" s="76"/>
      <c r="J1416" s="76"/>
      <c r="K1416" s="91" t="s">
        <v>4346</v>
      </c>
      <c r="L1416" s="91" t="s">
        <v>4027</v>
      </c>
      <c r="M1416" s="91" t="s">
        <v>1404</v>
      </c>
      <c r="N1416" s="91" t="s">
        <v>1391</v>
      </c>
      <c r="O1416" s="77"/>
      <c r="P1416" s="91" t="s">
        <v>2537</v>
      </c>
      <c r="Q1416" s="32"/>
      <c r="R1416" s="48" t="s">
        <v>216</v>
      </c>
      <c r="S1416" s="32"/>
    </row>
    <row r="1417" spans="2:19" ht="28.8" x14ac:dyDescent="0.3">
      <c r="B1417" t="str">
        <f>LEFT(Tabla3890134177220392[[#This Row],[Descripción del equipo]], FIND(" ", Tabla3890134177220392[[#This Row],[Descripción del equipo]] &amp; " ") - 1)</f>
        <v>Autoretractil</v>
      </c>
      <c r="C1417" s="11" t="s">
        <v>178</v>
      </c>
      <c r="D1417">
        <v>1</v>
      </c>
      <c r="E1417" t="s">
        <v>160</v>
      </c>
      <c r="F1417" s="92" t="s">
        <v>1058</v>
      </c>
      <c r="G1417" s="90" t="str">
        <f>LEFT([1]modificado!$O$2, FIND(" ", [1]modificado!$O$2 &amp; " ") - 1)</f>
        <v>3M</v>
      </c>
      <c r="H1417" s="47" t="str">
        <f>RIGHT([1]!Tabla2[[#This Row],[Marca y Modelo]], LEN([1]!Tabla2[[#This Row],[Marca y Modelo]]) - FIND(" ", [1]!Tabla2[[#This Row],[Marca y Modelo]]))</f>
        <v>Nano Lok</v>
      </c>
      <c r="I1417" s="76"/>
      <c r="J1417" s="76"/>
      <c r="K1417" s="92" t="s">
        <v>4346</v>
      </c>
      <c r="L1417" s="92" t="s">
        <v>4028</v>
      </c>
      <c r="M1417" s="92" t="s">
        <v>1404</v>
      </c>
      <c r="N1417" s="92" t="s">
        <v>1392</v>
      </c>
      <c r="O1417" s="77"/>
      <c r="P1417" s="92" t="s">
        <v>2537</v>
      </c>
      <c r="Q1417" s="32"/>
      <c r="R1417" s="48" t="s">
        <v>216</v>
      </c>
      <c r="S1417" s="32"/>
    </row>
    <row r="1418" spans="2:19" ht="28.8" x14ac:dyDescent="0.3">
      <c r="B1418" t="str">
        <f>LEFT(Tabla3890134177220392[[#This Row],[Descripción del equipo]], FIND(" ", Tabla3890134177220392[[#This Row],[Descripción del equipo]] &amp; " ") - 1)</f>
        <v>Autoretractil</v>
      </c>
      <c r="C1418" s="11" t="s">
        <v>178</v>
      </c>
      <c r="D1418">
        <v>1</v>
      </c>
      <c r="E1418" t="s">
        <v>160</v>
      </c>
      <c r="F1418" s="91" t="s">
        <v>1058</v>
      </c>
      <c r="G1418" s="90" t="str">
        <f>LEFT([1]modificado!$O$2, FIND(" ", [1]modificado!$O$2 &amp; " ") - 1)</f>
        <v>3M</v>
      </c>
      <c r="H1418" s="47" t="str">
        <f>RIGHT([1]!Tabla2[[#This Row],[Marca y Modelo]], LEN([1]!Tabla2[[#This Row],[Marca y Modelo]]) - FIND(" ", [1]!Tabla2[[#This Row],[Marca y Modelo]]))</f>
        <v>Nano Lok</v>
      </c>
      <c r="I1418" s="76"/>
      <c r="J1418" s="76"/>
      <c r="K1418" s="91" t="s">
        <v>4346</v>
      </c>
      <c r="L1418" s="91" t="s">
        <v>4029</v>
      </c>
      <c r="M1418" s="91" t="s">
        <v>1404</v>
      </c>
      <c r="N1418" s="91" t="s">
        <v>1393</v>
      </c>
      <c r="O1418" s="77"/>
      <c r="P1418" s="91" t="s">
        <v>2537</v>
      </c>
      <c r="Q1418" s="32"/>
      <c r="R1418" s="48" t="s">
        <v>216</v>
      </c>
      <c r="S1418" s="32"/>
    </row>
    <row r="1419" spans="2:19" ht="28.8" x14ac:dyDescent="0.3">
      <c r="B1419" t="str">
        <f>LEFT(Tabla3890134177220392[[#This Row],[Descripción del equipo]], FIND(" ", Tabla3890134177220392[[#This Row],[Descripción del equipo]] &amp; " ") - 1)</f>
        <v>Autoretractil</v>
      </c>
      <c r="C1419" s="11" t="s">
        <v>178</v>
      </c>
      <c r="D1419">
        <v>1</v>
      </c>
      <c r="E1419" t="s">
        <v>160</v>
      </c>
      <c r="F1419" s="92" t="s">
        <v>1058</v>
      </c>
      <c r="G1419" s="90" t="str">
        <f>LEFT([1]modificado!$O$2, FIND(" ", [1]modificado!$O$2 &amp; " ") - 1)</f>
        <v>3M</v>
      </c>
      <c r="H1419" s="47" t="str">
        <f>RIGHT([1]!Tabla2[[#This Row],[Marca y Modelo]], LEN([1]!Tabla2[[#This Row],[Marca y Modelo]]) - FIND(" ", [1]!Tabla2[[#This Row],[Marca y Modelo]]))</f>
        <v>Nano Lok</v>
      </c>
      <c r="I1419" s="76"/>
      <c r="J1419" s="76"/>
      <c r="K1419" s="92" t="s">
        <v>4346</v>
      </c>
      <c r="L1419" s="92" t="s">
        <v>4030</v>
      </c>
      <c r="M1419" s="92" t="s">
        <v>1404</v>
      </c>
      <c r="N1419" s="92" t="s">
        <v>1394</v>
      </c>
      <c r="O1419" s="77"/>
      <c r="P1419" s="92" t="s">
        <v>2537</v>
      </c>
      <c r="Q1419" s="32"/>
      <c r="R1419" s="48" t="s">
        <v>216</v>
      </c>
      <c r="S1419" s="32"/>
    </row>
    <row r="1420" spans="2:19" ht="28.8" x14ac:dyDescent="0.3">
      <c r="B1420" t="str">
        <f>LEFT(Tabla3890134177220392[[#This Row],[Descripción del equipo]], FIND(" ", Tabla3890134177220392[[#This Row],[Descripción del equipo]] &amp; " ") - 1)</f>
        <v>Autoretractil</v>
      </c>
      <c r="C1420" s="11" t="s">
        <v>178</v>
      </c>
      <c r="D1420">
        <v>1</v>
      </c>
      <c r="E1420" t="s">
        <v>160</v>
      </c>
      <c r="F1420" s="91" t="s">
        <v>1058</v>
      </c>
      <c r="G1420" s="90" t="str">
        <f>LEFT([1]modificado!$O$2, FIND(" ", [1]modificado!$O$2 &amp; " ") - 1)</f>
        <v>3M</v>
      </c>
      <c r="H1420" s="47" t="str">
        <f>RIGHT([1]!Tabla2[[#This Row],[Marca y Modelo]], LEN([1]!Tabla2[[#This Row],[Marca y Modelo]]) - FIND(" ", [1]!Tabla2[[#This Row],[Marca y Modelo]]))</f>
        <v>Nano Lok</v>
      </c>
      <c r="I1420" s="76"/>
      <c r="J1420" s="76"/>
      <c r="K1420" s="91" t="s">
        <v>4346</v>
      </c>
      <c r="L1420" s="91" t="s">
        <v>4031</v>
      </c>
      <c r="M1420" s="91" t="s">
        <v>1404</v>
      </c>
      <c r="N1420" s="91" t="s">
        <v>1395</v>
      </c>
      <c r="O1420" s="77"/>
      <c r="P1420" s="91" t="s">
        <v>2537</v>
      </c>
      <c r="Q1420" s="32"/>
      <c r="R1420" s="48" t="s">
        <v>216</v>
      </c>
      <c r="S1420" s="32"/>
    </row>
    <row r="1421" spans="2:19" ht="28.8" x14ac:dyDescent="0.3">
      <c r="B1421" t="str">
        <f>LEFT(Tabla3890134177220392[[#This Row],[Descripción del equipo]], FIND(" ", Tabla3890134177220392[[#This Row],[Descripción del equipo]] &amp; " ") - 1)</f>
        <v>Autoretractil</v>
      </c>
      <c r="C1421" s="11" t="s">
        <v>178</v>
      </c>
      <c r="D1421">
        <v>1</v>
      </c>
      <c r="E1421" t="s">
        <v>160</v>
      </c>
      <c r="F1421" s="92" t="s">
        <v>1058</v>
      </c>
      <c r="G1421" s="90" t="str">
        <f>LEFT([1]modificado!$O$2, FIND(" ", [1]modificado!$O$2 &amp; " ") - 1)</f>
        <v>3M</v>
      </c>
      <c r="H1421" s="47" t="str">
        <f>RIGHT([1]!Tabla2[[#This Row],[Marca y Modelo]], LEN([1]!Tabla2[[#This Row],[Marca y Modelo]]) - FIND(" ", [1]!Tabla2[[#This Row],[Marca y Modelo]]))</f>
        <v>Nano Lok</v>
      </c>
      <c r="I1421" s="76"/>
      <c r="J1421" s="76"/>
      <c r="K1421" s="92" t="s">
        <v>4346</v>
      </c>
      <c r="L1421" s="92" t="s">
        <v>4032</v>
      </c>
      <c r="M1421" s="92" t="s">
        <v>1404</v>
      </c>
      <c r="N1421" s="92" t="s">
        <v>1396</v>
      </c>
      <c r="O1421" s="77"/>
      <c r="P1421" s="92" t="s">
        <v>2537</v>
      </c>
      <c r="Q1421" s="32"/>
      <c r="R1421" s="48" t="s">
        <v>216</v>
      </c>
      <c r="S1421" s="32"/>
    </row>
    <row r="1422" spans="2:19" ht="28.8" x14ac:dyDescent="0.3">
      <c r="B1422" t="str">
        <f>LEFT(Tabla3890134177220392[[#This Row],[Descripción del equipo]], FIND(" ", Tabla3890134177220392[[#This Row],[Descripción del equipo]] &amp; " ") - 1)</f>
        <v>Autoretractil</v>
      </c>
      <c r="C1422" s="11" t="s">
        <v>178</v>
      </c>
      <c r="D1422">
        <v>1</v>
      </c>
      <c r="E1422" t="s">
        <v>160</v>
      </c>
      <c r="F1422" s="91" t="s">
        <v>1058</v>
      </c>
      <c r="G1422" s="90" t="str">
        <f>LEFT([1]modificado!$O$2, FIND(" ", [1]modificado!$O$2 &amp; " ") - 1)</f>
        <v>3M</v>
      </c>
      <c r="H1422" s="47" t="str">
        <f>RIGHT([1]!Tabla2[[#This Row],[Marca y Modelo]], LEN([1]!Tabla2[[#This Row],[Marca y Modelo]]) - FIND(" ", [1]!Tabla2[[#This Row],[Marca y Modelo]]))</f>
        <v>Nano Lok</v>
      </c>
      <c r="I1422" s="76"/>
      <c r="J1422" s="76"/>
      <c r="K1422" s="91" t="s">
        <v>4346</v>
      </c>
      <c r="L1422" s="91" t="s">
        <v>4033</v>
      </c>
      <c r="M1422" s="91" t="s">
        <v>1404</v>
      </c>
      <c r="N1422" s="91" t="s">
        <v>1397</v>
      </c>
      <c r="O1422" s="77"/>
      <c r="P1422" s="91" t="s">
        <v>2537</v>
      </c>
      <c r="Q1422" s="32"/>
      <c r="R1422" s="48" t="s">
        <v>216</v>
      </c>
      <c r="S1422" s="32"/>
    </row>
    <row r="1423" spans="2:19" ht="28.8" x14ac:dyDescent="0.3">
      <c r="B1423" t="str">
        <f>LEFT(Tabla3890134177220392[[#This Row],[Descripción del equipo]], FIND(" ", Tabla3890134177220392[[#This Row],[Descripción del equipo]] &amp; " ") - 1)</f>
        <v>Autoretractil</v>
      </c>
      <c r="C1423" s="11" t="s">
        <v>178</v>
      </c>
      <c r="D1423">
        <v>1</v>
      </c>
      <c r="E1423" t="s">
        <v>160</v>
      </c>
      <c r="F1423" s="92" t="s">
        <v>1058</v>
      </c>
      <c r="G1423" s="90" t="str">
        <f>LEFT([1]modificado!$O$2, FIND(" ", [1]modificado!$O$2 &amp; " ") - 1)</f>
        <v>3M</v>
      </c>
      <c r="H1423" s="47" t="str">
        <f>RIGHT([1]!Tabla2[[#This Row],[Marca y Modelo]], LEN([1]!Tabla2[[#This Row],[Marca y Modelo]]) - FIND(" ", [1]!Tabla2[[#This Row],[Marca y Modelo]]))</f>
        <v>Nano Lok</v>
      </c>
      <c r="I1423" s="76"/>
      <c r="J1423" s="76"/>
      <c r="K1423" s="92" t="s">
        <v>4346</v>
      </c>
      <c r="L1423" s="92" t="s">
        <v>4034</v>
      </c>
      <c r="M1423" s="92" t="s">
        <v>1404</v>
      </c>
      <c r="N1423" s="92" t="s">
        <v>1398</v>
      </c>
      <c r="O1423" s="77"/>
      <c r="P1423" s="92" t="s">
        <v>2537</v>
      </c>
      <c r="Q1423" s="32"/>
      <c r="R1423" s="48" t="s">
        <v>216</v>
      </c>
      <c r="S1423" s="32"/>
    </row>
    <row r="1424" spans="2:19" ht="28.8" x14ac:dyDescent="0.3">
      <c r="B1424" t="str">
        <f>LEFT(Tabla3890134177220392[[#This Row],[Descripción del equipo]], FIND(" ", Tabla3890134177220392[[#This Row],[Descripción del equipo]] &amp; " ") - 1)</f>
        <v>Autoretractil</v>
      </c>
      <c r="C1424" s="11" t="s">
        <v>178</v>
      </c>
      <c r="D1424">
        <v>1</v>
      </c>
      <c r="E1424" t="s">
        <v>160</v>
      </c>
      <c r="F1424" s="91" t="s">
        <v>1058</v>
      </c>
      <c r="G1424" s="90" t="str">
        <f>LEFT([1]modificado!$O$2, FIND(" ", [1]modificado!$O$2 &amp; " ") - 1)</f>
        <v>3M</v>
      </c>
      <c r="H1424" s="47" t="str">
        <f>RIGHT([1]!Tabla2[[#This Row],[Marca y Modelo]], LEN([1]!Tabla2[[#This Row],[Marca y Modelo]]) - FIND(" ", [1]!Tabla2[[#This Row],[Marca y Modelo]]))</f>
        <v>Nano Lok</v>
      </c>
      <c r="I1424" s="76"/>
      <c r="J1424" s="76"/>
      <c r="K1424" s="91" t="s">
        <v>4346</v>
      </c>
      <c r="L1424" s="91" t="s">
        <v>4035</v>
      </c>
      <c r="M1424" s="91" t="s">
        <v>1404</v>
      </c>
      <c r="N1424" s="91" t="s">
        <v>1399</v>
      </c>
      <c r="O1424" s="77"/>
      <c r="P1424" s="91" t="s">
        <v>2537</v>
      </c>
      <c r="Q1424" s="32"/>
      <c r="R1424" s="48" t="s">
        <v>216</v>
      </c>
      <c r="S1424" s="32"/>
    </row>
    <row r="1425" spans="2:19" ht="28.8" x14ac:dyDescent="0.3">
      <c r="B1425" t="str">
        <f>LEFT(Tabla3890134177220392[[#This Row],[Descripción del equipo]], FIND(" ", Tabla3890134177220392[[#This Row],[Descripción del equipo]] &amp; " ") - 1)</f>
        <v>Autoretractil</v>
      </c>
      <c r="C1425" s="11" t="s">
        <v>178</v>
      </c>
      <c r="D1425">
        <v>1</v>
      </c>
      <c r="E1425" t="s">
        <v>160</v>
      </c>
      <c r="F1425" s="92" t="s">
        <v>1058</v>
      </c>
      <c r="G1425" s="90" t="str">
        <f>LEFT([1]modificado!$O$2, FIND(" ", [1]modificado!$O$2 &amp; " ") - 1)</f>
        <v>3M</v>
      </c>
      <c r="H1425" s="47" t="str">
        <f>RIGHT([1]!Tabla2[[#This Row],[Marca y Modelo]], LEN([1]!Tabla2[[#This Row],[Marca y Modelo]]) - FIND(" ", [1]!Tabla2[[#This Row],[Marca y Modelo]]))</f>
        <v>Nano Lok</v>
      </c>
      <c r="I1425" s="76"/>
      <c r="J1425" s="76"/>
      <c r="K1425" s="92" t="s">
        <v>4346</v>
      </c>
      <c r="L1425" s="92" t="s">
        <v>4036</v>
      </c>
      <c r="M1425" s="92" t="s">
        <v>1404</v>
      </c>
      <c r="N1425" s="92" t="s">
        <v>1400</v>
      </c>
      <c r="O1425" s="77"/>
      <c r="P1425" s="92" t="s">
        <v>2537</v>
      </c>
      <c r="Q1425" s="32"/>
      <c r="R1425" s="48" t="s">
        <v>216</v>
      </c>
      <c r="S1425" s="32"/>
    </row>
    <row r="1426" spans="2:19" ht="28.8" x14ac:dyDescent="0.3">
      <c r="B1426" t="str">
        <f>LEFT(Tabla3890134177220392[[#This Row],[Descripción del equipo]], FIND(" ", Tabla3890134177220392[[#This Row],[Descripción del equipo]] &amp; " ") - 1)</f>
        <v>Autoretractil</v>
      </c>
      <c r="C1426" s="11" t="s">
        <v>178</v>
      </c>
      <c r="D1426">
        <v>1</v>
      </c>
      <c r="E1426" t="s">
        <v>160</v>
      </c>
      <c r="F1426" s="73" t="s">
        <v>1058</v>
      </c>
      <c r="G1426" s="90" t="str">
        <f>LEFT([1]modificado!$O$2, FIND(" ", [1]modificado!$O$2 &amp; " ") - 1)</f>
        <v>3M</v>
      </c>
      <c r="H1426" s="47" t="str">
        <f>RIGHT([1]!Tabla2[[#This Row],[Marca y Modelo]], LEN([1]!Tabla2[[#This Row],[Marca y Modelo]]) - FIND(" ", [1]!Tabla2[[#This Row],[Marca y Modelo]]))</f>
        <v>Nano Lok</v>
      </c>
      <c r="I1426" s="76"/>
      <c r="J1426" s="76"/>
      <c r="K1426" s="73" t="s">
        <v>4346</v>
      </c>
      <c r="L1426" s="73" t="s">
        <v>4037</v>
      </c>
      <c r="M1426" s="73" t="s">
        <v>1404</v>
      </c>
      <c r="N1426" s="73" t="s">
        <v>1401</v>
      </c>
      <c r="O1426" s="77"/>
      <c r="P1426" s="73" t="s">
        <v>2537</v>
      </c>
      <c r="Q1426" s="32"/>
      <c r="R1426" s="48" t="s">
        <v>216</v>
      </c>
      <c r="S1426" s="32"/>
    </row>
    <row r="1427" spans="2:19" x14ac:dyDescent="0.3">
      <c r="C1427" s="11"/>
    </row>
    <row r="1428" spans="2:19" x14ac:dyDescent="0.3">
      <c r="C1428" s="11"/>
    </row>
    <row r="1429" spans="2:19" x14ac:dyDescent="0.3">
      <c r="C1429" s="11"/>
    </row>
    <row r="1430" spans="2:19" x14ac:dyDescent="0.3">
      <c r="C1430" s="11"/>
    </row>
    <row r="1431" spans="2:19" x14ac:dyDescent="0.3">
      <c r="C1431" s="11"/>
    </row>
    <row r="1432" spans="2:19" x14ac:dyDescent="0.3">
      <c r="C1432" s="11"/>
    </row>
    <row r="1433" spans="2:19" x14ac:dyDescent="0.3">
      <c r="C1433" s="11"/>
    </row>
  </sheetData>
  <dataValidations count="9">
    <dataValidation type="list" allowBlank="1" showInputMessage="1" showErrorMessage="1" sqref="E2:E374" xr:uid="{D2454DCA-0525-40C9-96CF-C6F25D1DC1CE}">
      <formula1>$AE$1:$AL$1</formula1>
    </dataValidation>
    <dataValidation type="list" allowBlank="1" showInputMessage="1" showErrorMessage="1" sqref="R2:R1426" xr:uid="{D91DD25B-DDFE-4E27-8A99-2302A2E446D2}">
      <formula1>$Y$2:$Y$4</formula1>
    </dataValidation>
    <dataValidation type="whole" allowBlank="1" showInputMessage="1" showErrorMessage="1" sqref="D2:D374 D376:D1426" xr:uid="{BA049B21-EF50-4109-A998-3B6D3A205C87}">
      <formula1>1</formula1>
      <formula2>100</formula2>
    </dataValidation>
    <dataValidation type="list" allowBlank="1" showInputMessage="1" showErrorMessage="1" sqref="Q2:Q374 Q376:Q1426" xr:uid="{C87A1524-A3EF-4D0B-B005-89E3FB5F900C}">
      <formula1>$AA$10:$AA$12</formula1>
    </dataValidation>
    <dataValidation type="list" allowBlank="1" showInputMessage="1" promptTitle="Guia" prompt="Si tiene dudas sobre que dato colocar consulte las siguientes tablas y no olvide revisar los comentarios_x000a__x000a_" sqref="F2:F139" xr:uid="{4626791F-FFC5-4D6A-A10A-698641729182}">
      <formula1>INDIRECT($E$2:$E$1426)</formula1>
    </dataValidation>
    <dataValidation allowBlank="1" showInputMessage="1" showErrorMessage="1" sqref="D1427:D1433" xr:uid="{97952831-B655-4682-A025-E37B2D75E70E}"/>
    <dataValidation type="list" allowBlank="1" showInputMessage="1" promptTitle="Guia" prompt="puede realizar Las siguientes opciones_x000a_si eligio electricos tiene las siguientes opciones de una posible sublista_x000a_" sqref="F140:F374 F376:F1428" xr:uid="{7AB79A0A-51E9-47EE-977F-C17FE004C128}">
      <formula1>INDIRECT($E$2:$E$1426)</formula1>
    </dataValidation>
    <dataValidation type="list" allowBlank="1" showInputMessage="1" showErrorMessage="1" sqref="C2:C1433" xr:uid="{ACF97D14-9922-4CA2-B0A9-41D1938BAA4B}">
      <formula1>$V$2:$V$13</formula1>
    </dataValidation>
    <dataValidation type="list" allowBlank="1" showInputMessage="1" showErrorMessage="1" sqref="E1427:E1430" xr:uid="{02BA84C3-2EC6-4D9B-B00C-3641A9E5BE1D}">
      <formula1>$AB$2:$AB$7</formula1>
    </dataValidation>
  </dataValidations>
  <pageMargins left="0.7" right="0.7" top="0.75" bottom="0.75" header="0.3" footer="0.3"/>
  <ignoredErrors>
    <ignoredError sqref="I49:J49 O49 S49 Q49" calculatedColumn="1"/>
  </ignoredErrors>
  <legacyDrawing r:id="rId1"/>
  <tableParts count="43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F80516F-FFC2-47D4-967D-54279C848265}">
          <x14:formula1>
            <xm:f>Hoja2!$B$3:$B$80</xm:f>
          </x14:formula1>
          <xm:sqref>B2:B1426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B7068-BCD4-4C84-85BE-83F0AA8E1E4A}">
  <dimension ref="B1:BP618"/>
  <sheetViews>
    <sheetView zoomScale="85" zoomScaleNormal="85" workbookViewId="0">
      <pane xSplit="3" topLeftCell="G1" activePane="topRight" state="frozen"/>
      <selection pane="topRight" activeCell="H43" sqref="H43"/>
    </sheetView>
  </sheetViews>
  <sheetFormatPr baseColWidth="10" defaultColWidth="8.88671875" defaultRowHeight="14.4" x14ac:dyDescent="0.3"/>
  <cols>
    <col min="2" max="2" width="10.5546875" customWidth="1"/>
    <col min="3" max="3" width="14.6640625" customWidth="1"/>
    <col min="4" max="4" width="17.33203125" customWidth="1"/>
    <col min="5" max="5" width="25.44140625" customWidth="1"/>
    <col min="6" max="9" width="36.33203125" customWidth="1"/>
    <col min="10" max="10" width="18.88671875" customWidth="1"/>
    <col min="11" max="11" width="13.88671875" customWidth="1"/>
    <col min="12" max="12" width="15.109375" customWidth="1"/>
    <col min="13" max="13" width="22.6640625" customWidth="1"/>
    <col min="14" max="14" width="21.33203125" customWidth="1"/>
    <col min="15" max="15" width="23.109375" customWidth="1"/>
    <col min="16" max="16" width="17.44140625" customWidth="1"/>
    <col min="17" max="17" width="24.109375" customWidth="1"/>
    <col min="18" max="18" width="18.6640625" customWidth="1"/>
    <col min="19" max="19" width="43.6640625" customWidth="1"/>
    <col min="20" max="20" width="15.6640625" customWidth="1"/>
    <col min="21" max="21" width="11.6640625" customWidth="1"/>
    <col min="22" max="22" width="18.6640625" customWidth="1"/>
    <col min="25" max="25" width="11.33203125" customWidth="1"/>
    <col min="27" max="27" width="19.5546875" customWidth="1"/>
    <col min="28" max="28" width="23.44140625" bestFit="1" customWidth="1"/>
    <col min="29" max="29" width="21.33203125" customWidth="1"/>
    <col min="30" max="30" width="22.33203125" customWidth="1"/>
    <col min="31" max="31" width="24" customWidth="1"/>
    <col min="32" max="32" width="24.44140625" customWidth="1"/>
    <col min="33" max="33" width="26.109375" customWidth="1"/>
    <col min="34" max="34" width="23.6640625" customWidth="1"/>
    <col min="35" max="35" width="24" customWidth="1"/>
    <col min="36" max="36" width="21.33203125" customWidth="1"/>
    <col min="37" max="37" width="21.109375" customWidth="1"/>
    <col min="38" max="38" width="19.44140625" bestFit="1" customWidth="1"/>
    <col min="39" max="39" width="22.5546875" customWidth="1"/>
    <col min="40" max="40" width="29.6640625" customWidth="1"/>
    <col min="41" max="41" width="25" customWidth="1"/>
    <col min="42" max="42" width="26.6640625" customWidth="1"/>
    <col min="43" max="43" width="28.33203125" customWidth="1"/>
    <col min="44" max="44" width="27.109375" customWidth="1"/>
    <col min="45" max="47" width="33.6640625" customWidth="1"/>
    <col min="48" max="48" width="22.5546875" customWidth="1"/>
    <col min="49" max="49" width="26.109375" customWidth="1"/>
    <col min="50" max="50" width="25.33203125" customWidth="1"/>
    <col min="51" max="51" width="21.109375" customWidth="1"/>
    <col min="52" max="52" width="19" customWidth="1"/>
    <col min="53" max="53" width="15.5546875" customWidth="1"/>
    <col min="54" max="54" width="18.33203125" customWidth="1"/>
    <col min="55" max="55" width="18.109375" customWidth="1"/>
  </cols>
  <sheetData>
    <row r="1" spans="2:68" ht="21.6" customHeight="1" x14ac:dyDescent="0.3">
      <c r="B1" s="36" t="s">
        <v>200</v>
      </c>
      <c r="C1" s="36" t="s">
        <v>201</v>
      </c>
      <c r="D1" s="36" t="s">
        <v>202</v>
      </c>
      <c r="E1" s="36" t="s">
        <v>203</v>
      </c>
      <c r="F1" s="37" t="s">
        <v>204</v>
      </c>
      <c r="G1" s="37" t="s">
        <v>567</v>
      </c>
      <c r="H1" s="37" t="s">
        <v>570</v>
      </c>
      <c r="I1" s="37" t="s">
        <v>571</v>
      </c>
      <c r="J1" s="36" t="s">
        <v>205</v>
      </c>
      <c r="K1" s="36" t="s">
        <v>206</v>
      </c>
      <c r="L1" s="36" t="s">
        <v>342</v>
      </c>
      <c r="M1" s="37" t="s">
        <v>207</v>
      </c>
      <c r="N1" s="37" t="s">
        <v>343</v>
      </c>
      <c r="O1" s="37" t="s">
        <v>208</v>
      </c>
      <c r="P1" s="37" t="s">
        <v>209</v>
      </c>
      <c r="Q1" s="37" t="s">
        <v>210</v>
      </c>
      <c r="R1" s="38" t="s">
        <v>211</v>
      </c>
      <c r="S1" s="37" t="s">
        <v>212</v>
      </c>
      <c r="T1" s="39"/>
      <c r="U1" s="40" t="s">
        <v>213</v>
      </c>
      <c r="V1" s="41" t="s">
        <v>201</v>
      </c>
      <c r="X1" s="42" t="s">
        <v>213</v>
      </c>
      <c r="Y1" s="43" t="s">
        <v>211</v>
      </c>
      <c r="AA1" s="44" t="s">
        <v>213</v>
      </c>
      <c r="AB1" s="45" t="s">
        <v>214</v>
      </c>
      <c r="AD1" s="46"/>
      <c r="AE1" s="1" t="s">
        <v>4</v>
      </c>
      <c r="AF1" s="2" t="s">
        <v>5</v>
      </c>
      <c r="AG1" s="3" t="s">
        <v>6</v>
      </c>
      <c r="AH1" s="2" t="s">
        <v>7</v>
      </c>
      <c r="AI1" s="3" t="s">
        <v>8</v>
      </c>
      <c r="AJ1" s="3" t="s">
        <v>160</v>
      </c>
      <c r="AK1" s="2" t="s">
        <v>9</v>
      </c>
      <c r="AL1" s="4" t="s">
        <v>10</v>
      </c>
      <c r="AM1" t="s">
        <v>11</v>
      </c>
      <c r="AN1" t="s">
        <v>12</v>
      </c>
      <c r="AQ1" t="s">
        <v>215</v>
      </c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</row>
    <row r="2" spans="2:68" ht="26.4" customHeight="1" x14ac:dyDescent="0.3">
      <c r="B2" t="s">
        <v>49</v>
      </c>
      <c r="C2" s="11" t="s">
        <v>177</v>
      </c>
      <c r="D2">
        <v>1</v>
      </c>
      <c r="E2" s="11" t="str" cm="1">
        <f t="array" ref="E2">_xlfn.IFS(
    COUNTIF(Herramientas_eléctricas1862106149192321[Herramientas_eléctricas], B2) &gt; 0, Herramientas_eléctricas1862106149192321[[#Headers],[Herramientas_eléctricas]],
    COUNTIF(Herramientas_neumáticas1963107150193322[Herramientas_neumáticas], B2) &gt; 0, Herramientas_neumáticas1963107150193322[[#Headers],[Herramientas_neumáticas]],
    COUNTIF(Herramientas_de_medición2064108151194323[Herramientas_de_medición], B2) &gt; 0, Herramientas_de_medición2064108151194323[[#Headers],[Herramientas_de_medición]],
    COUNTIF(Herrramientas_mecánicas2165109152195324[Herramientas_mecánicas], B2) &gt; 0, Herrramientas_mecánicas2165109152195324[[#Headers],[Herramientas_mecánicas]],
    COUNTIF(AI2:AI8, B2) &gt; 0, Herramientas_hidráulicas2266110153196325[[#Headers],[Herramientas_hidráulicas]],
    COUNTIF(EPP_2367111154197326[SPCC], B2) &gt; 0, EPP_2367111154197326[[#Headers],[SPCC]],
   COUNTIF(Herramientas_de_izaje2468112155198327[Herramientas_de_izaje], B2) &gt; 0, Herramientas_de_izaje2468112155198327[[#Headers],[Herramientas_de_izaje]],
COUNTIF(Tabla162670114157200329[Equipos], B2) &gt; 0, Tabla162670114157200329[[#Headers],[Equipos]],
    TRUE, "Sin clasificación"
)</f>
        <v>Herramientas_eléctricas</v>
      </c>
      <c r="F2" s="15"/>
      <c r="G2" s="15"/>
      <c r="H2" s="15" t="s">
        <v>573</v>
      </c>
      <c r="I2" s="15" t="s">
        <v>573</v>
      </c>
      <c r="J2" s="15" t="s">
        <v>572</v>
      </c>
      <c r="K2" s="47" t="s">
        <v>573</v>
      </c>
      <c r="M2" s="47">
        <v>309000096</v>
      </c>
      <c r="N2" s="47" t="str">
        <f>_xlfn.LET(
    _xlpm.itemBuscado, B2,
    _xlpm.areaBuscada, C2,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TEXT(COUNTIF($C$2:C2, _xlpm.areaBuscada), "0000"),
    _xlpm.codItem &amp; "-" &amp; _xlpm.codArea &amp; "-" &amp; _xlpm.secuencia
)</f>
        <v>ZE-TA-INS-0001</v>
      </c>
      <c r="P2" s="15"/>
      <c r="R2" s="48"/>
      <c r="U2" s="49">
        <v>1</v>
      </c>
      <c r="V2" s="50" t="s">
        <v>171</v>
      </c>
      <c r="X2" s="51">
        <v>1</v>
      </c>
      <c r="Y2" s="52" t="s">
        <v>216</v>
      </c>
      <c r="AA2" s="51">
        <v>1</v>
      </c>
      <c r="AB2" s="52" t="s">
        <v>4</v>
      </c>
      <c r="AE2" s="5" t="s">
        <v>13</v>
      </c>
      <c r="AF2" t="s">
        <v>14</v>
      </c>
      <c r="AG2" t="s">
        <v>15</v>
      </c>
      <c r="AH2" t="s">
        <v>16</v>
      </c>
      <c r="AI2" s="6" t="s">
        <v>17</v>
      </c>
      <c r="AJ2" t="s">
        <v>18</v>
      </c>
      <c r="AK2" t="s">
        <v>19</v>
      </c>
      <c r="AL2" s="6" t="s">
        <v>20</v>
      </c>
      <c r="AM2" t="s">
        <v>21</v>
      </c>
      <c r="AN2" s="7" t="s">
        <v>22</v>
      </c>
      <c r="AQ2" s="25" t="s">
        <v>217</v>
      </c>
      <c r="AR2" t="s">
        <v>218</v>
      </c>
      <c r="AS2" t="s">
        <v>219</v>
      </c>
      <c r="AT2" s="25" t="s">
        <v>220</v>
      </c>
      <c r="AU2" t="s">
        <v>221</v>
      </c>
      <c r="BA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</row>
    <row r="3" spans="2:68" ht="29.25" customHeight="1" x14ac:dyDescent="0.3">
      <c r="B3" t="s">
        <v>49</v>
      </c>
      <c r="C3" s="11" t="s">
        <v>177</v>
      </c>
      <c r="D3">
        <v>1</v>
      </c>
      <c r="E3" s="11" t="str" cm="1">
        <f t="array" ref="E3">_xlfn.IFS(
    COUNTIF(Herramientas_eléctricas1862106149192321[Herramientas_eléctricas], B3) &gt; 0, Herramientas_eléctricas1862106149192321[[#Headers],[Herramientas_eléctricas]],
    COUNTIF(Herramientas_neumáticas1963107150193322[Herramientas_neumáticas], B3) &gt; 0, Herramientas_neumáticas1963107150193322[[#Headers],[Herramientas_neumáticas]],
    COUNTIF(Herramientas_de_medición2064108151194323[Herramientas_de_medición], B3) &gt; 0, Herramientas_de_medición2064108151194323[[#Headers],[Herramientas_de_medición]],
    COUNTIF(Herrramientas_mecánicas2165109152195324[Herramientas_mecánicas], B3) &gt; 0, Herrramientas_mecánicas2165109152195324[[#Headers],[Herramientas_mecánicas]],
    COUNTIF(AI3:AI9, B3) &gt; 0, Herramientas_hidráulicas2266110153196325[[#Headers],[Herramientas_hidráulicas]],
    COUNTIF(EPP_2367111154197326[SPCC], B3) &gt; 0, EPP_2367111154197326[[#Headers],[SPCC]],
   COUNTIF(Herramientas_de_izaje2468112155198327[Herramientas_de_izaje], B3) &gt; 0, Herramientas_de_izaje2468112155198327[[#Headers],[Herramientas_de_izaje]],
COUNTIF(Tabla162670114157200329[Equipos], B3) &gt; 0, Tabla162670114157200329[[#Headers],[Equipos]],
    TRUE, "Sin clasificación"
)</f>
        <v>Herramientas_eléctricas</v>
      </c>
      <c r="F3" s="15"/>
      <c r="G3" s="15"/>
      <c r="H3" s="15" t="s">
        <v>576</v>
      </c>
      <c r="I3" s="15"/>
      <c r="J3" s="15" t="s">
        <v>574</v>
      </c>
      <c r="K3" s="47" t="s">
        <v>575</v>
      </c>
      <c r="M3" s="47">
        <v>787612</v>
      </c>
      <c r="N3" s="47" t="str">
        <f>_xlfn.LET(
    _xlpm.itemBuscado, B3,
    _xlpm.areaBuscada, C3,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TEXT(COUNTIF($C$2:C3, _xlpm.areaBuscada), "0000"),
    _xlpm.codItem &amp; "-" &amp; _xlpm.codArea &amp; "-" &amp; _xlpm.secuencia
)</f>
        <v>ZE-TA-INS-0002</v>
      </c>
      <c r="P3" s="15"/>
      <c r="R3" s="48"/>
      <c r="U3" s="49">
        <v>2</v>
      </c>
      <c r="V3" s="50" t="s">
        <v>172</v>
      </c>
      <c r="X3" s="51">
        <v>2</v>
      </c>
      <c r="Y3" s="52" t="s">
        <v>222</v>
      </c>
      <c r="AA3" s="51">
        <v>2</v>
      </c>
      <c r="AB3" s="53" t="s">
        <v>5</v>
      </c>
      <c r="AE3" s="6" t="s">
        <v>23</v>
      </c>
      <c r="AF3" t="s">
        <v>24</v>
      </c>
      <c r="AG3" t="s">
        <v>25</v>
      </c>
      <c r="AH3" t="s">
        <v>26</v>
      </c>
      <c r="AI3" s="6" t="s">
        <v>27</v>
      </c>
      <c r="AJ3" t="s">
        <v>28</v>
      </c>
      <c r="AK3" t="s">
        <v>29</v>
      </c>
      <c r="AM3" s="8" t="s">
        <v>30</v>
      </c>
      <c r="AN3" s="9" t="s">
        <v>31</v>
      </c>
      <c r="AQ3" s="25" t="s">
        <v>223</v>
      </c>
      <c r="AR3" t="s">
        <v>70</v>
      </c>
      <c r="BA3" s="11"/>
      <c r="BB3" s="11"/>
      <c r="BC3" s="11"/>
      <c r="BD3" s="11"/>
      <c r="BE3" s="11"/>
      <c r="BF3" s="11"/>
      <c r="BG3" s="11"/>
      <c r="BH3" s="11"/>
      <c r="BI3" s="54"/>
      <c r="BJ3" s="54"/>
      <c r="BK3" s="11"/>
      <c r="BL3" s="11"/>
      <c r="BM3" s="11"/>
      <c r="BN3" s="11"/>
      <c r="BO3" s="11"/>
      <c r="BP3" s="11"/>
    </row>
    <row r="4" spans="2:68" ht="33" customHeight="1" x14ac:dyDescent="0.3">
      <c r="B4" t="s">
        <v>49</v>
      </c>
      <c r="C4" s="11" t="s">
        <v>177</v>
      </c>
      <c r="D4">
        <v>1</v>
      </c>
      <c r="E4" s="11" t="str" cm="1">
        <f t="array" ref="E4">_xlfn.IFS(
    COUNTIF(Herramientas_eléctricas1862106149192321[Herramientas_eléctricas], B4) &gt; 0, Herramientas_eléctricas1862106149192321[[#Headers],[Herramientas_eléctricas]],
    COUNTIF(Herramientas_neumáticas1963107150193322[Herramientas_neumáticas], B4) &gt; 0, Herramientas_neumáticas1963107150193322[[#Headers],[Herramientas_neumáticas]],
    COUNTIF(Herramientas_de_medición2064108151194323[Herramientas_de_medición], B4) &gt; 0, Herramientas_de_medición2064108151194323[[#Headers],[Herramientas_de_medición]],
    COUNTIF(Herrramientas_mecánicas2165109152195324[Herramientas_mecánicas], B4) &gt; 0, Herrramientas_mecánicas2165109152195324[[#Headers],[Herramientas_mecánicas]],
    COUNTIF(AI4:AI10, B4) &gt; 0, Herramientas_hidráulicas2266110153196325[[#Headers],[Herramientas_hidráulicas]],
    COUNTIF(EPP_2367111154197326[SPCC], B4) &gt; 0, EPP_2367111154197326[[#Headers],[SPCC]],
   COUNTIF(Herramientas_de_izaje2468112155198327[Herramientas_de_izaje], B4) &gt; 0, Herramientas_de_izaje2468112155198327[[#Headers],[Herramientas_de_izaje]],
COUNTIF(Tabla162670114157200329[Equipos], B4) &gt; 0, Tabla162670114157200329[[#Headers],[Equipos]],
    TRUE, "Sin clasificación"
)</f>
        <v>Herramientas_eléctricas</v>
      </c>
      <c r="F4" s="15"/>
      <c r="G4" s="15"/>
      <c r="H4" s="15" t="s">
        <v>578</v>
      </c>
      <c r="I4" s="15" t="s">
        <v>579</v>
      </c>
      <c r="J4" s="15" t="s">
        <v>572</v>
      </c>
      <c r="K4" s="47" t="s">
        <v>577</v>
      </c>
      <c r="M4" s="47">
        <v>791004131</v>
      </c>
      <c r="N4" s="47" t="str">
        <f>_xlfn.LET(
    _xlpm.itemBuscado, B4,
    _xlpm.areaBuscada, C4,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TEXT(COUNTIF($C$2:C4, _xlpm.areaBuscada), "0000"),
    _xlpm.codItem &amp; "-" &amp; _xlpm.codArea &amp; "-" &amp; _xlpm.secuencia
)</f>
        <v>ZE-TA-INS-0003</v>
      </c>
      <c r="P4" s="15"/>
      <c r="R4" s="48"/>
      <c r="S4" t="s">
        <v>580</v>
      </c>
      <c r="U4" s="49">
        <v>3</v>
      </c>
      <c r="V4" s="50" t="s">
        <v>173</v>
      </c>
      <c r="X4" s="55">
        <v>3</v>
      </c>
      <c r="Y4" s="56" t="s">
        <v>224</v>
      </c>
      <c r="AA4" s="51">
        <v>3</v>
      </c>
      <c r="AB4" s="53" t="s">
        <v>6</v>
      </c>
      <c r="AE4" s="10" t="s">
        <v>32</v>
      </c>
      <c r="AF4" t="s">
        <v>33</v>
      </c>
      <c r="AG4" t="s">
        <v>34</v>
      </c>
      <c r="AH4" t="s">
        <v>35</v>
      </c>
      <c r="AI4" s="5" t="s">
        <v>36</v>
      </c>
      <c r="AJ4" s="11" t="s">
        <v>37</v>
      </c>
      <c r="AK4" t="s">
        <v>38</v>
      </c>
      <c r="AM4" s="11" t="s">
        <v>39</v>
      </c>
      <c r="AN4" s="7" t="s">
        <v>40</v>
      </c>
      <c r="AQ4" s="25" t="s">
        <v>225</v>
      </c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</row>
    <row r="5" spans="2:68" ht="28.8" x14ac:dyDescent="0.3">
      <c r="B5" t="s">
        <v>49</v>
      </c>
      <c r="C5" s="11" t="s">
        <v>177</v>
      </c>
      <c r="D5">
        <v>1</v>
      </c>
      <c r="E5" s="11" t="str" cm="1">
        <f t="array" ref="E5">_xlfn.IFS(
    COUNTIF(Herramientas_eléctricas1862106149192321[Herramientas_eléctricas], B5) &gt; 0, Herramientas_eléctricas1862106149192321[[#Headers],[Herramientas_eléctricas]],
    COUNTIF(Herramientas_neumáticas1963107150193322[Herramientas_neumáticas], B5) &gt; 0, Herramientas_neumáticas1963107150193322[[#Headers],[Herramientas_neumáticas]],
    COUNTIF(Herramientas_de_medición2064108151194323[Herramientas_de_medición], B5) &gt; 0, Herramientas_de_medición2064108151194323[[#Headers],[Herramientas_de_medición]],
    COUNTIF(Herrramientas_mecánicas2165109152195324[Herramientas_mecánicas], B5) &gt; 0, Herrramientas_mecánicas2165109152195324[[#Headers],[Herramientas_mecánicas]],
    COUNTIF(AI5:AI11, B5) &gt; 0, Herramientas_hidráulicas2266110153196325[[#Headers],[Herramientas_hidráulicas]],
    COUNTIF(EPP_2367111154197326[SPCC], B5) &gt; 0, EPP_2367111154197326[[#Headers],[SPCC]],
   COUNTIF(Herramientas_de_izaje2468112155198327[Herramientas_de_izaje], B5) &gt; 0, Herramientas_de_izaje2468112155198327[[#Headers],[Herramientas_de_izaje]],
COUNTIF(Tabla162670114157200329[Equipos], B5) &gt; 0, Tabla162670114157200329[[#Headers],[Equipos]],
    TRUE, "Sin clasificación"
)</f>
        <v>Herramientas_eléctricas</v>
      </c>
      <c r="F5" s="15"/>
      <c r="G5" s="15" t="s">
        <v>581</v>
      </c>
      <c r="H5" s="15">
        <v>240</v>
      </c>
      <c r="I5" s="15">
        <v>3.15</v>
      </c>
      <c r="J5" s="15" t="s">
        <v>572</v>
      </c>
      <c r="K5" s="47" t="s">
        <v>583</v>
      </c>
      <c r="M5" s="47">
        <v>68900206</v>
      </c>
      <c r="N5" s="47" t="str">
        <f>_xlfn.LET(
    _xlpm.itemBuscado, B5,
    _xlpm.areaBuscada, C5,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TEXT(COUNTIF($C$2:C5, _xlpm.areaBuscada), "0000"),
    _xlpm.codItem &amp; "-" &amp; _xlpm.codArea &amp; "-" &amp; _xlpm.secuencia
)</f>
        <v>ZE-TA-INS-0004</v>
      </c>
      <c r="P5" s="15"/>
      <c r="R5" s="48"/>
      <c r="S5" t="s">
        <v>582</v>
      </c>
      <c r="U5" s="49">
        <v>4</v>
      </c>
      <c r="V5" s="50" t="s">
        <v>174</v>
      </c>
      <c r="AA5" s="51">
        <v>4</v>
      </c>
      <c r="AB5" s="53" t="s">
        <v>7</v>
      </c>
      <c r="AE5" t="s">
        <v>41</v>
      </c>
      <c r="AF5" t="s">
        <v>42</v>
      </c>
      <c r="AG5" t="s">
        <v>43</v>
      </c>
      <c r="AH5" t="s">
        <v>44</v>
      </c>
      <c r="AI5" s="5" t="s">
        <v>45</v>
      </c>
      <c r="AK5" t="s">
        <v>46</v>
      </c>
      <c r="AM5" s="12" t="s">
        <v>47</v>
      </c>
      <c r="AN5" s="9" t="s">
        <v>48</v>
      </c>
      <c r="AQ5" s="25" t="s">
        <v>226</v>
      </c>
      <c r="AR5" t="s">
        <v>80</v>
      </c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</row>
    <row r="6" spans="2:68" ht="30" customHeight="1" x14ac:dyDescent="0.3">
      <c r="B6" t="s">
        <v>49</v>
      </c>
      <c r="C6" s="11" t="s">
        <v>177</v>
      </c>
      <c r="D6">
        <v>1</v>
      </c>
      <c r="E6" s="11" t="str" cm="1">
        <f t="array" ref="E6">_xlfn.IFS(
    COUNTIF(Herramientas_eléctricas1862106149192321[Herramientas_eléctricas], B6) &gt; 0, Herramientas_eléctricas1862106149192321[[#Headers],[Herramientas_eléctricas]],
    COUNTIF(Herramientas_neumáticas1963107150193322[Herramientas_neumáticas], B6) &gt; 0, Herramientas_neumáticas1963107150193322[[#Headers],[Herramientas_neumáticas]],
    COUNTIF(Herramientas_de_medición2064108151194323[Herramientas_de_medición], B6) &gt; 0, Herramientas_de_medición2064108151194323[[#Headers],[Herramientas_de_medición]],
    COUNTIF(Herrramientas_mecánicas2165109152195324[Herramientas_mecánicas], B6) &gt; 0, Herrramientas_mecánicas2165109152195324[[#Headers],[Herramientas_mecánicas]],
    COUNTIF(AI6:AI12, B6) &gt; 0, Herramientas_hidráulicas2266110153196325[[#Headers],[Herramientas_hidráulicas]],
    COUNTIF(EPP_2367111154197326[SPCC], B6) &gt; 0, EPP_2367111154197326[[#Headers],[SPCC]],
   COUNTIF(Herramientas_de_izaje2468112155198327[Herramientas_de_izaje], B6) &gt; 0, Herramientas_de_izaje2468112155198327[[#Headers],[Herramientas_de_izaje]],
COUNTIF(Tabla162670114157200329[Equipos], B6) &gt; 0, Tabla162670114157200329[[#Headers],[Equipos]],
    TRUE, "Sin clasificación"
)</f>
        <v>Herramientas_eléctricas</v>
      </c>
      <c r="F6" s="15"/>
      <c r="G6" s="15"/>
      <c r="H6" s="15" t="s">
        <v>576</v>
      </c>
      <c r="I6" s="15"/>
      <c r="J6" s="15" t="s">
        <v>574</v>
      </c>
      <c r="K6" s="47" t="s">
        <v>584</v>
      </c>
      <c r="M6" s="47">
        <v>913388</v>
      </c>
      <c r="N6" s="47" t="str">
        <f>_xlfn.LET(
    _xlpm.itemBuscado, B6,
    _xlpm.areaBuscada, C6,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TEXT(COUNTIF($C$2:C6, _xlpm.areaBuscada), "0000"),
    _xlpm.codItem &amp; "-" &amp; _xlpm.codArea &amp; "-" &amp; _xlpm.secuencia
)</f>
        <v>ZE-TA-INS-0005</v>
      </c>
      <c r="P6" s="15"/>
      <c r="R6" s="48"/>
      <c r="S6" t="s">
        <v>585</v>
      </c>
      <c r="U6" s="49">
        <v>5</v>
      </c>
      <c r="V6" s="50" t="s">
        <v>175</v>
      </c>
      <c r="AA6" s="51">
        <v>5</v>
      </c>
      <c r="AB6" s="53" t="s">
        <v>8</v>
      </c>
      <c r="AE6" t="s">
        <v>49</v>
      </c>
      <c r="AF6" t="s">
        <v>36</v>
      </c>
      <c r="AG6" t="s">
        <v>50</v>
      </c>
      <c r="AH6" t="s">
        <v>51</v>
      </c>
      <c r="AI6" s="5" t="s">
        <v>52</v>
      </c>
      <c r="AM6" t="s">
        <v>53</v>
      </c>
      <c r="AN6" s="7" t="s">
        <v>54</v>
      </c>
      <c r="AQ6" s="25" t="s">
        <v>227</v>
      </c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</row>
    <row r="7" spans="2:68" ht="30" customHeight="1" x14ac:dyDescent="0.3">
      <c r="B7" t="s">
        <v>49</v>
      </c>
      <c r="C7" s="11" t="s">
        <v>177</v>
      </c>
      <c r="D7">
        <v>1</v>
      </c>
      <c r="E7" s="11" t="str" cm="1">
        <f t="array" ref="E7">_xlfn.IFS(
    COUNTIF(Herramientas_eléctricas1862106149192321[Herramientas_eléctricas], B7) &gt; 0, Herramientas_eléctricas1862106149192321[[#Headers],[Herramientas_eléctricas]],
    COUNTIF(Herramientas_neumáticas1963107150193322[Herramientas_neumáticas], B7) &gt; 0, Herramientas_neumáticas1963107150193322[[#Headers],[Herramientas_neumáticas]],
    COUNTIF(Herramientas_de_medición2064108151194323[Herramientas_de_medición], B7) &gt; 0, Herramientas_de_medición2064108151194323[[#Headers],[Herramientas_de_medición]],
    COUNTIF(Herrramientas_mecánicas2165109152195324[Herramientas_mecánicas], B7) &gt; 0, Herrramientas_mecánicas2165109152195324[[#Headers],[Herramientas_mecánicas]],
    COUNTIF(AI7:AI13, B7) &gt; 0, Herramientas_hidráulicas2266110153196325[[#Headers],[Herramientas_hidráulicas]],
    COUNTIF(EPP_2367111154197326[SPCC], B7) &gt; 0, EPP_2367111154197326[[#Headers],[SPCC]],
   COUNTIF(Herramientas_de_izaje2468112155198327[Herramientas_de_izaje], B7) &gt; 0, Herramientas_de_izaje2468112155198327[[#Headers],[Herramientas_de_izaje]],
COUNTIF(Tabla162670114157200329[Equipos], B7) &gt; 0, Tabla162670114157200329[[#Headers],[Equipos]],
    TRUE, "Sin clasificación"
)</f>
        <v>Herramientas_eléctricas</v>
      </c>
      <c r="F7" s="15"/>
      <c r="G7" s="15"/>
      <c r="H7" s="15">
        <v>120</v>
      </c>
      <c r="I7" s="15">
        <v>8.5</v>
      </c>
      <c r="J7" s="15" t="s">
        <v>572</v>
      </c>
      <c r="K7" s="47" t="s">
        <v>577</v>
      </c>
      <c r="M7" s="47">
        <v>783002518</v>
      </c>
      <c r="N7" s="47" t="str">
        <f>_xlfn.LET(
    _xlpm.itemBuscado, B7,
    _xlpm.areaBuscada, C7,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TEXT(COUNTIF($C$2:C7, _xlpm.areaBuscada), "0000"),
    _xlpm.codItem &amp; "-" &amp; _xlpm.codArea &amp; "-" &amp; _xlpm.secuencia
)</f>
        <v>ZE-TA-INS-0006</v>
      </c>
      <c r="P7" s="15"/>
      <c r="R7" s="48"/>
      <c r="S7" t="s">
        <v>586</v>
      </c>
      <c r="U7" s="49">
        <v>6</v>
      </c>
      <c r="V7" s="50" t="s">
        <v>176</v>
      </c>
      <c r="AA7" s="55">
        <v>6</v>
      </c>
      <c r="AB7" s="56" t="s">
        <v>10</v>
      </c>
      <c r="AE7" t="s">
        <v>55</v>
      </c>
      <c r="AG7" s="11" t="s">
        <v>56</v>
      </c>
      <c r="AH7" s="5" t="s">
        <v>57</v>
      </c>
      <c r="AI7" t="s">
        <v>58</v>
      </c>
      <c r="AN7" s="13" t="s">
        <v>59</v>
      </c>
      <c r="AQ7" s="15" t="s">
        <v>228</v>
      </c>
      <c r="AR7" s="15" t="s">
        <v>229</v>
      </c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</row>
    <row r="8" spans="2:68" ht="33.6" customHeight="1" x14ac:dyDescent="0.3">
      <c r="B8" t="s">
        <v>49</v>
      </c>
      <c r="C8" s="11" t="s">
        <v>177</v>
      </c>
      <c r="D8">
        <v>1</v>
      </c>
      <c r="E8" s="11" t="str" cm="1">
        <f t="array" ref="E8">_xlfn.IFS(
    COUNTIF(Herramientas_eléctricas1862106149192321[Herramientas_eléctricas], B8) &gt; 0, Herramientas_eléctricas1862106149192321[[#Headers],[Herramientas_eléctricas]],
    COUNTIF(Herramientas_neumáticas1963107150193322[Herramientas_neumáticas], B8) &gt; 0, Herramientas_neumáticas1963107150193322[[#Headers],[Herramientas_neumáticas]],
    COUNTIF(Herramientas_de_medición2064108151194323[Herramientas_de_medición], B8) &gt; 0, Herramientas_de_medición2064108151194323[[#Headers],[Herramientas_de_medición]],
    COUNTIF(Herrramientas_mecánicas2165109152195324[Herramientas_mecánicas], B8) &gt; 0, Herrramientas_mecánicas2165109152195324[[#Headers],[Herramientas_mecánicas]],
    COUNTIF(AI8:AI14, B8) &gt; 0, Herramientas_hidráulicas2266110153196325[[#Headers],[Herramientas_hidráulicas]],
    COUNTIF(EPP_2367111154197326[SPCC], B8) &gt; 0, EPP_2367111154197326[[#Headers],[SPCC]],
   COUNTIF(Herramientas_de_izaje2468112155198327[Herramientas_de_izaje], B8) &gt; 0, Herramientas_de_izaje2468112155198327[[#Headers],[Herramientas_de_izaje]],
COUNTIF(Tabla162670114157200329[Equipos], B8) &gt; 0, Tabla162670114157200329[[#Headers],[Equipos]],
    TRUE, "Sin clasificación"
)</f>
        <v>Herramientas_eléctricas</v>
      </c>
      <c r="F8" s="15"/>
      <c r="G8" s="15">
        <v>650</v>
      </c>
      <c r="H8" s="15">
        <v>230</v>
      </c>
      <c r="I8" s="15">
        <v>2.8</v>
      </c>
      <c r="J8" s="15" t="s">
        <v>587</v>
      </c>
      <c r="K8" s="47" t="s">
        <v>588</v>
      </c>
      <c r="M8" s="47">
        <v>203147</v>
      </c>
      <c r="N8" s="47" t="str">
        <f>_xlfn.LET(
    _xlpm.itemBuscado, B8,
    _xlpm.areaBuscada, C8,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TEXT(COUNTIF($C$2:C8, _xlpm.areaBuscada), "0000"),
    _xlpm.codItem &amp; "-" &amp; _xlpm.codArea &amp; "-" &amp; _xlpm.secuencia
)</f>
        <v>ZE-TA-INS-0007</v>
      </c>
      <c r="P8" s="15"/>
      <c r="R8" s="48"/>
      <c r="S8" t="s">
        <v>589</v>
      </c>
      <c r="U8" s="49">
        <v>7</v>
      </c>
      <c r="V8" s="50" t="s">
        <v>177</v>
      </c>
      <c r="AE8" t="s">
        <v>60</v>
      </c>
      <c r="AG8" s="11" t="s">
        <v>61</v>
      </c>
      <c r="AH8" t="s">
        <v>62</v>
      </c>
      <c r="AI8" t="s">
        <v>35</v>
      </c>
      <c r="AN8" s="14" t="s">
        <v>63</v>
      </c>
      <c r="AQ8" s="25" t="s">
        <v>230</v>
      </c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</row>
    <row r="9" spans="2:68" ht="30" customHeight="1" x14ac:dyDescent="0.3">
      <c r="B9" t="s">
        <v>49</v>
      </c>
      <c r="C9" s="11" t="s">
        <v>177</v>
      </c>
      <c r="D9">
        <v>1</v>
      </c>
      <c r="E9" s="11" t="str" cm="1">
        <f t="array" ref="E9">_xlfn.IFS(
    COUNTIF(Herramientas_eléctricas1862106149192321[Herramientas_eléctricas], B9) &gt; 0, Herramientas_eléctricas1862106149192321[[#Headers],[Herramientas_eléctricas]],
    COUNTIF(Herramientas_neumáticas1963107150193322[Herramientas_neumáticas], B9) &gt; 0, Herramientas_neumáticas1963107150193322[[#Headers],[Herramientas_neumáticas]],
    COUNTIF(Herramientas_de_medición2064108151194323[Herramientas_de_medición], B9) &gt; 0, Herramientas_de_medición2064108151194323[[#Headers],[Herramientas_de_medición]],
    COUNTIF(Herrramientas_mecánicas2165109152195324[Herramientas_mecánicas], B9) &gt; 0, Herrramientas_mecánicas2165109152195324[[#Headers],[Herramientas_mecánicas]],
    COUNTIF(AI9:AI15, B9) &gt; 0, Herramientas_hidráulicas2266110153196325[[#Headers],[Herramientas_hidráulicas]],
    COUNTIF(EPP_2367111154197326[SPCC], B9) &gt; 0, EPP_2367111154197326[[#Headers],[SPCC]],
   COUNTIF(Herramientas_de_izaje2468112155198327[Herramientas_de_izaje], B9) &gt; 0, Herramientas_de_izaje2468112155198327[[#Headers],[Herramientas_de_izaje]],
COUNTIF(Tabla162670114157200329[Equipos], B9) &gt; 0, Tabla162670114157200329[[#Headers],[Equipos]],
    TRUE, "Sin clasificación"
)</f>
        <v>Herramientas_eléctricas</v>
      </c>
      <c r="F9" s="15"/>
      <c r="G9" s="15">
        <v>900</v>
      </c>
      <c r="H9" s="15">
        <v>220</v>
      </c>
      <c r="I9" s="15">
        <v>4.4000000000000004</v>
      </c>
      <c r="J9" s="15" t="s">
        <v>572</v>
      </c>
      <c r="K9" s="47" t="s">
        <v>597</v>
      </c>
      <c r="M9" s="47">
        <v>407000025</v>
      </c>
      <c r="N9" s="47" t="str">
        <f>_xlfn.LET(
    _xlpm.itemBuscado, B9,
    _xlpm.areaBuscada, C9,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TEXT(COUNTIF($C$2:C9, _xlpm.areaBuscada), "0000"),
    _xlpm.codItem &amp; "-" &amp; _xlpm.codArea &amp; "-" &amp; _xlpm.secuencia
)</f>
        <v>ZE-TA-INS-0008</v>
      </c>
      <c r="P9" s="15"/>
      <c r="R9" s="48"/>
      <c r="S9" t="s">
        <v>598</v>
      </c>
      <c r="U9" s="49">
        <v>8</v>
      </c>
      <c r="V9" s="57" t="s">
        <v>178</v>
      </c>
      <c r="AA9" s="58" t="s">
        <v>210</v>
      </c>
      <c r="AE9" t="s">
        <v>64</v>
      </c>
      <c r="AG9" s="15" t="s">
        <v>65</v>
      </c>
      <c r="AH9" t="s">
        <v>66</v>
      </c>
      <c r="AI9" s="16"/>
      <c r="AN9" s="9" t="s">
        <v>67</v>
      </c>
      <c r="AQ9" s="25" t="s">
        <v>231</v>
      </c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</row>
    <row r="10" spans="2:68" ht="26.4" customHeight="1" x14ac:dyDescent="0.3">
      <c r="B10" t="s">
        <v>49</v>
      </c>
      <c r="C10" s="11" t="s">
        <v>177</v>
      </c>
      <c r="D10">
        <v>1</v>
      </c>
      <c r="E10" s="11" t="str" cm="1">
        <f t="array" ref="E10">_xlfn.IFS(
    COUNTIF(Herramientas_eléctricas1862106149192321[Herramientas_eléctricas], B10) &gt; 0, Herramientas_eléctricas1862106149192321[[#Headers],[Herramientas_eléctricas]],
    COUNTIF(Herramientas_neumáticas1963107150193322[Herramientas_neumáticas], B10) &gt; 0, Herramientas_neumáticas1963107150193322[[#Headers],[Herramientas_neumáticas]],
    COUNTIF(Herramientas_de_medición2064108151194323[Herramientas_de_medición], B10) &gt; 0, Herramientas_de_medición2064108151194323[[#Headers],[Herramientas_de_medición]],
    COUNTIF(Herrramientas_mecánicas2165109152195324[Herramientas_mecánicas], B10) &gt; 0, Herrramientas_mecánicas2165109152195324[[#Headers],[Herramientas_mecánicas]],
    COUNTIF(AI10:AI16, B10) &gt; 0, Herramientas_hidráulicas2266110153196325[[#Headers],[Herramientas_hidráulicas]],
    COUNTIF(EPP_2367111154197326[SPCC], B10) &gt; 0, EPP_2367111154197326[[#Headers],[SPCC]],
   COUNTIF(Herramientas_de_izaje2468112155198327[Herramientas_de_izaje], B10) &gt; 0, Herramientas_de_izaje2468112155198327[[#Headers],[Herramientas_de_izaje]],
COUNTIF(Tabla162670114157200329[Equipos], B10) &gt; 0, Tabla162670114157200329[[#Headers],[Equipos]],
    TRUE, "Sin clasificación"
)</f>
        <v>Herramientas_eléctricas</v>
      </c>
      <c r="F10" s="15"/>
      <c r="G10" s="15">
        <v>800</v>
      </c>
      <c r="H10" s="15">
        <v>220</v>
      </c>
      <c r="I10" s="15">
        <v>3.9</v>
      </c>
      <c r="J10" s="15" t="s">
        <v>572</v>
      </c>
      <c r="K10" s="47" t="s">
        <v>583</v>
      </c>
      <c r="L10" t="s">
        <v>600</v>
      </c>
      <c r="M10" s="47">
        <v>5124900040</v>
      </c>
      <c r="N10" s="47" t="str">
        <f>_xlfn.LET(
    _xlpm.itemBuscado, B10,
    _xlpm.areaBuscada, C10,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TEXT(COUNTIF($C$2:C10, _xlpm.areaBuscada), "0000"),
    _xlpm.codItem &amp; "-" &amp; _xlpm.codArea &amp; "-" &amp; _xlpm.secuencia
)</f>
        <v>ZE-TA-INS-0009</v>
      </c>
      <c r="P10" s="15"/>
      <c r="R10" s="48"/>
      <c r="S10" t="s">
        <v>599</v>
      </c>
      <c r="U10" s="49">
        <v>9</v>
      </c>
      <c r="V10" s="57" t="s">
        <v>179</v>
      </c>
      <c r="AA10" s="59" t="s">
        <v>232</v>
      </c>
      <c r="AE10" s="17" t="s">
        <v>68</v>
      </c>
      <c r="AG10" s="15" t="s">
        <v>69</v>
      </c>
      <c r="AH10" t="s">
        <v>70</v>
      </c>
      <c r="AN10" s="18" t="s">
        <v>71</v>
      </c>
      <c r="AQ10" s="15" t="s">
        <v>95</v>
      </c>
    </row>
    <row r="11" spans="2:68" ht="33.6" customHeight="1" x14ac:dyDescent="0.3">
      <c r="B11" t="s">
        <v>49</v>
      </c>
      <c r="C11" s="11" t="s">
        <v>177</v>
      </c>
      <c r="E11" s="11" t="str" cm="1">
        <f t="array" ref="E11">_xlfn.IFS(
    COUNTIF(Herramientas_eléctricas1862106149192321[Herramientas_eléctricas], B11) &gt; 0, Herramientas_eléctricas1862106149192321[[#Headers],[Herramientas_eléctricas]],
    COUNTIF(Herramientas_neumáticas1963107150193322[Herramientas_neumáticas], B11) &gt; 0, Herramientas_neumáticas1963107150193322[[#Headers],[Herramientas_neumáticas]],
    COUNTIF(Herramientas_de_medición2064108151194323[Herramientas_de_medición], B11) &gt; 0, Herramientas_de_medición2064108151194323[[#Headers],[Herramientas_de_medición]],
    COUNTIF(Herrramientas_mecánicas2165109152195324[Herramientas_mecánicas], B11) &gt; 0, Herrramientas_mecánicas2165109152195324[[#Headers],[Herramientas_mecánicas]],
    COUNTIF(AI11:AI17, B11) &gt; 0, Herramientas_hidráulicas2266110153196325[[#Headers],[Herramientas_hidráulicas]],
    COUNTIF(EPP_2367111154197326[SPCC], B11) &gt; 0, EPP_2367111154197326[[#Headers],[SPCC]],
   COUNTIF(Herramientas_de_izaje2468112155198327[Herramientas_de_izaje], B11) &gt; 0, Herramientas_de_izaje2468112155198327[[#Headers],[Herramientas_de_izaje]],
COUNTIF(Tabla162670114157200329[Equipos], B11) &gt; 0, Tabla162670114157200329[[#Headers],[Equipos]],
    TRUE, "Sin clasificación"
)</f>
        <v>Herramientas_eléctricas</v>
      </c>
      <c r="F11" s="15"/>
      <c r="G11" s="15">
        <v>800</v>
      </c>
      <c r="H11" s="15">
        <v>230</v>
      </c>
      <c r="I11" s="15">
        <v>3.7</v>
      </c>
      <c r="J11" s="15" t="s">
        <v>572</v>
      </c>
      <c r="K11" s="85" t="s">
        <v>601</v>
      </c>
      <c r="M11" s="47">
        <v>807000299</v>
      </c>
      <c r="N11" s="47" t="str">
        <f>_xlfn.LET(
    _xlpm.itemBuscado, B11,
    _xlpm.areaBuscada, C11,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TEXT(COUNTIF($C$2:C11, _xlpm.areaBuscada), "0000"),
    _xlpm.codItem &amp; "-" &amp; _xlpm.codArea &amp; "-" &amp; _xlpm.secuencia
)</f>
        <v>ZE-TA-INS-0010</v>
      </c>
      <c r="P11" s="15"/>
      <c r="R11" s="48"/>
      <c r="S11" t="s">
        <v>602</v>
      </c>
      <c r="U11" s="60">
        <v>10</v>
      </c>
      <c r="V11" s="61" t="s">
        <v>180</v>
      </c>
      <c r="AA11" s="59" t="s">
        <v>233</v>
      </c>
      <c r="AE11" s="8" t="s">
        <v>72</v>
      </c>
      <c r="AG11" s="15" t="s">
        <v>73</v>
      </c>
      <c r="AH11" t="s">
        <v>74</v>
      </c>
      <c r="AN11" s="18" t="s">
        <v>75</v>
      </c>
      <c r="BB11" s="62"/>
    </row>
    <row r="12" spans="2:68" ht="28.8" x14ac:dyDescent="0.3">
      <c r="B12" t="s">
        <v>49</v>
      </c>
      <c r="C12" s="11" t="s">
        <v>177</v>
      </c>
      <c r="E12" s="11" t="str" cm="1">
        <f t="array" ref="E12">_xlfn.IFS(
    COUNTIF(Herramientas_eléctricas1862106149192321[Herramientas_eléctricas], B12) &gt; 0, Herramientas_eléctricas1862106149192321[[#Headers],[Herramientas_eléctricas]],
    COUNTIF(Herramientas_neumáticas1963107150193322[Herramientas_neumáticas], B12) &gt; 0, Herramientas_neumáticas1963107150193322[[#Headers],[Herramientas_neumáticas]],
    COUNTIF(Herramientas_de_medición2064108151194323[Herramientas_de_medición], B12) &gt; 0, Herramientas_de_medición2064108151194323[[#Headers],[Herramientas_de_medición]],
    COUNTIF(Herrramientas_mecánicas2165109152195324[Herramientas_mecánicas], B12) &gt; 0, Herrramientas_mecánicas2165109152195324[[#Headers],[Herramientas_mecánicas]],
    COUNTIF(AI12:AI18, B12) &gt; 0, Herramientas_hidráulicas2266110153196325[[#Headers],[Herramientas_hidráulicas]],
    COUNTIF(EPP_2367111154197326[SPCC], B12) &gt; 0, EPP_2367111154197326[[#Headers],[SPCC]],
   COUNTIF(Herramientas_de_izaje2468112155198327[Herramientas_de_izaje], B12) &gt; 0, Herramientas_de_izaje2468112155198327[[#Headers],[Herramientas_de_izaje]],
COUNTIF(Tabla162670114157200329[Equipos], B12) &gt; 0, Tabla162670114157200329[[#Headers],[Equipos]],
    TRUE, "Sin clasificación"
)</f>
        <v>Herramientas_eléctricas</v>
      </c>
      <c r="F12" s="15"/>
      <c r="G12" s="15">
        <v>710</v>
      </c>
      <c r="H12" s="15" t="s">
        <v>605</v>
      </c>
      <c r="I12" s="15">
        <v>3.4</v>
      </c>
      <c r="J12" s="15" t="s">
        <v>587</v>
      </c>
      <c r="K12" s="47" t="s">
        <v>604</v>
      </c>
      <c r="L12" t="s">
        <v>603</v>
      </c>
      <c r="M12" s="47">
        <v>258581</v>
      </c>
      <c r="N12" s="47" t="str">
        <f>_xlfn.LET(
    _xlpm.itemBuscado, B12,
    _xlpm.areaBuscada, C12,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TEXT(COUNTIF($C$2:C12, _xlpm.areaBuscada), "0000"),
    _xlpm.codItem &amp; "-" &amp; _xlpm.codArea &amp; "-" &amp; _xlpm.secuencia
)</f>
        <v>ZE-TA-INS-0011</v>
      </c>
      <c r="P12" s="15"/>
      <c r="R12" s="48"/>
      <c r="U12" s="60">
        <v>11</v>
      </c>
      <c r="V12" s="61" t="s">
        <v>181</v>
      </c>
      <c r="AA12" s="33" t="s">
        <v>234</v>
      </c>
      <c r="AE12" t="s">
        <v>19</v>
      </c>
      <c r="AF12" t="s">
        <v>76</v>
      </c>
      <c r="AG12" s="15" t="s">
        <v>77</v>
      </c>
      <c r="AH12" t="s">
        <v>78</v>
      </c>
      <c r="AN12" s="19" t="s">
        <v>79</v>
      </c>
      <c r="AQ12" s="11"/>
    </row>
    <row r="13" spans="2:68" ht="28.8" x14ac:dyDescent="0.3">
      <c r="B13" t="s">
        <v>49</v>
      </c>
      <c r="C13" s="11" t="s">
        <v>177</v>
      </c>
      <c r="E13" s="11" t="str" cm="1">
        <f t="array" ref="E13">_xlfn.IFS(
    COUNTIF(Herramientas_eléctricas1862106149192321[Herramientas_eléctricas], B13) &gt; 0, Herramientas_eléctricas1862106149192321[[#Headers],[Herramientas_eléctricas]],
    COUNTIF(Herramientas_neumáticas1963107150193322[Herramientas_neumáticas], B13) &gt; 0, Herramientas_neumáticas1963107150193322[[#Headers],[Herramientas_neumáticas]],
    COUNTIF(Herramientas_de_medición2064108151194323[Herramientas_de_medición], B13) &gt; 0, Herramientas_de_medición2064108151194323[[#Headers],[Herramientas_de_medición]],
    COUNTIF(Herrramientas_mecánicas2165109152195324[Herramientas_mecánicas], B13) &gt; 0, Herrramientas_mecánicas2165109152195324[[#Headers],[Herramientas_mecánicas]],
    COUNTIF(AI13:AI19, B13) &gt; 0, Herramientas_hidráulicas2266110153196325[[#Headers],[Herramientas_hidráulicas]],
    COUNTIF(EPP_2367111154197326[SPCC], B13) &gt; 0, EPP_2367111154197326[[#Headers],[SPCC]],
   COUNTIF(Herramientas_de_izaje2468112155198327[Herramientas_de_izaje], B13) &gt; 0, Herramientas_de_izaje2468112155198327[[#Headers],[Herramientas_de_izaje]],
COUNTIF(Tabla162670114157200329[Equipos], B13) &gt; 0, Tabla162670114157200329[[#Headers],[Equipos]],
    TRUE, "Sin clasificación"
)</f>
        <v>Herramientas_eléctricas</v>
      </c>
      <c r="F13" s="15"/>
      <c r="G13" s="15"/>
      <c r="H13" s="15">
        <v>18</v>
      </c>
      <c r="I13" s="15"/>
      <c r="J13" s="15" t="s">
        <v>572</v>
      </c>
      <c r="K13" s="47" t="s">
        <v>606</v>
      </c>
      <c r="L13" t="s">
        <v>607</v>
      </c>
      <c r="M13" s="47">
        <v>503000012</v>
      </c>
      <c r="N13" s="47" t="str">
        <f>_xlfn.LET(
    _xlpm.itemBuscado, B13,
    _xlpm.areaBuscada, C13,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TEXT(COUNTIF($C$2:C13, _xlpm.areaBuscada), "0000"),
    _xlpm.codItem &amp; "-" &amp; _xlpm.codArea &amp; "-" &amp; _xlpm.secuencia
)</f>
        <v>ZE-TA-INS-0012</v>
      </c>
      <c r="P13" s="15"/>
      <c r="R13" s="48"/>
      <c r="AE13" t="s">
        <v>80</v>
      </c>
      <c r="AG13" s="15" t="s">
        <v>81</v>
      </c>
      <c r="AH13" t="s">
        <v>82</v>
      </c>
      <c r="AN13" s="20" t="s">
        <v>83</v>
      </c>
      <c r="AQ13" s="11"/>
      <c r="AV13" s="11"/>
    </row>
    <row r="14" spans="2:68" ht="28.8" x14ac:dyDescent="0.3">
      <c r="B14" t="s">
        <v>49</v>
      </c>
      <c r="C14" s="11" t="s">
        <v>177</v>
      </c>
      <c r="E14" s="11" t="str" cm="1">
        <f t="array" ref="E14">_xlfn.IFS(
    COUNTIF(Herramientas_eléctricas1862106149192321[Herramientas_eléctricas], B14) &gt; 0, Herramientas_eléctricas1862106149192321[[#Headers],[Herramientas_eléctricas]],
    COUNTIF(Herramientas_neumáticas1963107150193322[Herramientas_neumáticas], B14) &gt; 0, Herramientas_neumáticas1963107150193322[[#Headers],[Herramientas_neumáticas]],
    COUNTIF(Herramientas_de_medición2064108151194323[Herramientas_de_medición], B14) &gt; 0, Herramientas_de_medición2064108151194323[[#Headers],[Herramientas_de_medición]],
    COUNTIF(Herrramientas_mecánicas2165109152195324[Herramientas_mecánicas], B14) &gt; 0, Herrramientas_mecánicas2165109152195324[[#Headers],[Herramientas_mecánicas]],
    COUNTIF(AI14:AI20, B14) &gt; 0, Herramientas_hidráulicas2266110153196325[[#Headers],[Herramientas_hidráulicas]],
    COUNTIF(EPP_2367111154197326[SPCC], B14) &gt; 0, EPP_2367111154197326[[#Headers],[SPCC]],
   COUNTIF(Herramientas_de_izaje2468112155198327[Herramientas_de_izaje], B14) &gt; 0, Herramientas_de_izaje2468112155198327[[#Headers],[Herramientas_de_izaje]],
COUNTIF(Tabla162670114157200329[Equipos], B14) &gt; 0, Tabla162670114157200329[[#Headers],[Equipos]],
    TRUE, "Sin clasificación"
)</f>
        <v>Herramientas_eléctricas</v>
      </c>
      <c r="F14" s="15"/>
      <c r="G14" s="15"/>
      <c r="H14" s="15">
        <v>18</v>
      </c>
      <c r="I14" s="15"/>
      <c r="J14" s="15" t="s">
        <v>572</v>
      </c>
      <c r="K14" s="47" t="s">
        <v>609</v>
      </c>
      <c r="L14" t="s">
        <v>608</v>
      </c>
      <c r="M14" s="47">
        <v>704000665</v>
      </c>
      <c r="N14" s="47" t="str">
        <f>_xlfn.LET(
    _xlpm.itemBuscado, B14,
    _xlpm.areaBuscada, C14,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TEXT(COUNTIF($C$2:C14, _xlpm.areaBuscada), "0000"),
    _xlpm.codItem &amp; "-" &amp; _xlpm.codArea &amp; "-" &amp; _xlpm.secuencia
)</f>
        <v>ZE-TA-INS-0013</v>
      </c>
      <c r="P14" s="15"/>
      <c r="R14" s="48"/>
      <c r="AE14" t="s">
        <v>84</v>
      </c>
      <c r="AG14" s="15" t="s">
        <v>85</v>
      </c>
      <c r="AH14" t="s">
        <v>86</v>
      </c>
      <c r="AN14" s="18" t="s">
        <v>87</v>
      </c>
    </row>
    <row r="15" spans="2:68" ht="43.95" customHeight="1" x14ac:dyDescent="0.3">
      <c r="B15" t="s">
        <v>49</v>
      </c>
      <c r="C15" s="11" t="s">
        <v>177</v>
      </c>
      <c r="E15" s="11" t="str" cm="1">
        <f t="array" ref="E15">_xlfn.IFS(
    COUNTIF(Herramientas_eléctricas1862106149192321[Herramientas_eléctricas], B15) &gt; 0, Herramientas_eléctricas1862106149192321[[#Headers],[Herramientas_eléctricas]],
    COUNTIF(Herramientas_neumáticas1963107150193322[Herramientas_neumáticas], B15) &gt; 0, Herramientas_neumáticas1963107150193322[[#Headers],[Herramientas_neumáticas]],
    COUNTIF(Herramientas_de_medición2064108151194323[Herramientas_de_medición], B15) &gt; 0, Herramientas_de_medición2064108151194323[[#Headers],[Herramientas_de_medición]],
    COUNTIF(Herrramientas_mecánicas2165109152195324[Herramientas_mecánicas], B15) &gt; 0, Herrramientas_mecánicas2165109152195324[[#Headers],[Herramientas_mecánicas]],
    COUNTIF(AI15:AI21, B15) &gt; 0, Herramientas_hidráulicas2266110153196325[[#Headers],[Herramientas_hidráulicas]],
    COUNTIF(EPP_2367111154197326[SPCC], B15) &gt; 0, EPP_2367111154197326[[#Headers],[SPCC]],
   COUNTIF(Herramientas_de_izaje2468112155198327[Herramientas_de_izaje], B15) &gt; 0, Herramientas_de_izaje2468112155198327[[#Headers],[Herramientas_de_izaje]],
COUNTIF(Tabla162670114157200329[Equipos], B15) &gt; 0, Tabla162670114157200329[[#Headers],[Equipos]],
    TRUE, "Sin clasificación"
)</f>
        <v>Herramientas_eléctricas</v>
      </c>
      <c r="F15" s="15"/>
      <c r="G15" s="15"/>
      <c r="H15" s="15">
        <v>12</v>
      </c>
      <c r="I15" s="15"/>
      <c r="J15" s="15" t="s">
        <v>572</v>
      </c>
      <c r="K15" s="47" t="s">
        <v>610</v>
      </c>
      <c r="M15">
        <v>526000169</v>
      </c>
      <c r="N15" s="47" t="str">
        <f>_xlfn.LET(
    _xlpm.itemBuscado, B15,
    _xlpm.areaBuscada, C15,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TEXT(COUNTIF($C$2:C15, _xlpm.areaBuscada), "0000"),
    _xlpm.codItem &amp; "-" &amp; _xlpm.codArea &amp; "-" &amp; _xlpm.secuencia
)</f>
        <v>ZE-TA-INS-0014</v>
      </c>
      <c r="P15" s="15"/>
      <c r="R15" s="48"/>
      <c r="AE15" t="s">
        <v>88</v>
      </c>
      <c r="AG15" t="s">
        <v>89</v>
      </c>
      <c r="AH15" t="s">
        <v>90</v>
      </c>
      <c r="AN15" s="21" t="s">
        <v>91</v>
      </c>
      <c r="AQ15" s="11"/>
    </row>
    <row r="16" spans="2:68" ht="28.8" x14ac:dyDescent="0.3">
      <c r="B16" t="s">
        <v>49</v>
      </c>
      <c r="C16" s="11" t="s">
        <v>177</v>
      </c>
      <c r="E16" s="11" t="str" cm="1">
        <f t="array" ref="E16">_xlfn.IFS(
    COUNTIF(Herramientas_eléctricas1862106149192321[Herramientas_eléctricas], B16) &gt; 0, Herramientas_eléctricas1862106149192321[[#Headers],[Herramientas_eléctricas]],
    COUNTIF(Herramientas_neumáticas1963107150193322[Herramientas_neumáticas], B16) &gt; 0, Herramientas_neumáticas1963107150193322[[#Headers],[Herramientas_neumáticas]],
    COUNTIF(Herramientas_de_medición2064108151194323[Herramientas_de_medición], B16) &gt; 0, Herramientas_de_medición2064108151194323[[#Headers],[Herramientas_de_medición]],
    COUNTIF(Herrramientas_mecánicas2165109152195324[Herramientas_mecánicas], B16) &gt; 0, Herrramientas_mecánicas2165109152195324[[#Headers],[Herramientas_mecánicas]],
    COUNTIF(AI16:AI22, B16) &gt; 0, Herramientas_hidráulicas2266110153196325[[#Headers],[Herramientas_hidráulicas]],
    COUNTIF(EPP_2367111154197326[SPCC], B16) &gt; 0, EPP_2367111154197326[[#Headers],[SPCC]],
   COUNTIF(Herramientas_de_izaje2468112155198327[Herramientas_de_izaje], B16) &gt; 0, Herramientas_de_izaje2468112155198327[[#Headers],[Herramientas_de_izaje]],
COUNTIF(Tabla162670114157200329[Equipos], B16) &gt; 0, Tabla162670114157200329[[#Headers],[Equipos]],
    TRUE, "Sin clasificación"
)</f>
        <v>Herramientas_eléctricas</v>
      </c>
      <c r="F16" s="15"/>
      <c r="G16" s="15"/>
      <c r="H16" s="15">
        <v>220</v>
      </c>
      <c r="I16" s="15"/>
      <c r="J16" s="15" t="s">
        <v>572</v>
      </c>
      <c r="K16" s="47" t="s">
        <v>624</v>
      </c>
      <c r="M16" s="47" t="s">
        <v>625</v>
      </c>
      <c r="N16" s="47" t="str">
        <f>_xlfn.LET(
    _xlpm.itemBuscado, B16,
    _xlpm.areaBuscada, C16,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TEXT(COUNTIF($C$2:C16, _xlpm.areaBuscada), "0000"),
    _xlpm.codItem &amp; "-" &amp; _xlpm.codArea &amp; "-" &amp; _xlpm.secuencia
)</f>
        <v>ZE-TA-INS-0015</v>
      </c>
      <c r="P16" s="15"/>
      <c r="R16" s="48"/>
      <c r="AE16" t="s">
        <v>41</v>
      </c>
      <c r="AG16" t="s">
        <v>62</v>
      </c>
      <c r="AH16" s="11" t="s">
        <v>92</v>
      </c>
      <c r="AI16" s="22"/>
      <c r="AN16" s="23" t="s">
        <v>93</v>
      </c>
    </row>
    <row r="17" spans="2:43" x14ac:dyDescent="0.3">
      <c r="B17" t="s">
        <v>49</v>
      </c>
      <c r="C17" s="11" t="s">
        <v>176</v>
      </c>
      <c r="E17" s="11" t="str" cm="1">
        <f t="array" ref="E17">_xlfn.IFS(
    COUNTIF(Herramientas_eléctricas1862106149192321[Herramientas_eléctricas], B17) &gt; 0, Herramientas_eléctricas1862106149192321[[#Headers],[Herramientas_eléctricas]],
    COUNTIF(Herramientas_neumáticas1963107150193322[Herramientas_neumáticas], B17) &gt; 0, Herramientas_neumáticas1963107150193322[[#Headers],[Herramientas_neumáticas]],
    COUNTIF(Herramientas_de_medición2064108151194323[Herramientas_de_medición], B17) &gt; 0, Herramientas_de_medición2064108151194323[[#Headers],[Herramientas_de_medición]],
    COUNTIF(Herrramientas_mecánicas2165109152195324[Herramientas_mecánicas], B17) &gt; 0, Herrramientas_mecánicas2165109152195324[[#Headers],[Herramientas_mecánicas]],
    COUNTIF(AI17:AI23, B17) &gt; 0, Herramientas_hidráulicas2266110153196325[[#Headers],[Herramientas_hidráulicas]],
    COUNTIF(EPP_2367111154197326[SPCC], B17) &gt; 0, EPP_2367111154197326[[#Headers],[SPCC]],
   COUNTIF(Herramientas_de_izaje2468112155198327[Herramientas_de_izaje], B17) &gt; 0, Herramientas_de_izaje2468112155198327[[#Headers],[Herramientas_de_izaje]],
COUNTIF(Tabla162670114157200329[Equipos], B17) &gt; 0, Tabla162670114157200329[[#Headers],[Equipos]],
    TRUE, "Sin clasificación"
)</f>
        <v>Herramientas_eléctricas</v>
      </c>
      <c r="F17" s="15"/>
      <c r="G17" s="15"/>
      <c r="H17" s="15">
        <v>18</v>
      </c>
      <c r="I17" s="15"/>
      <c r="J17" s="15" t="s">
        <v>572</v>
      </c>
      <c r="K17" s="47" t="s">
        <v>657</v>
      </c>
      <c r="L17" t="s">
        <v>658</v>
      </c>
      <c r="M17">
        <v>808101621</v>
      </c>
      <c r="N17" s="47" t="str">
        <f>_xlfn.LET(
    _xlpm.itemBuscado, B17,
    _xlpm.areaBuscada, C17,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TEXT(COUNTIF($C$2:C17, _xlpm.areaBuscada), "0000"),
    _xlpm.codItem &amp; "-" &amp; _xlpm.codArea &amp; "-" &amp; _xlpm.secuencia
)</f>
        <v>ZE-TA-ELT-0001</v>
      </c>
      <c r="P17" s="15"/>
      <c r="R17" s="48"/>
      <c r="S17" t="s">
        <v>659</v>
      </c>
      <c r="AE17" s="24" t="s">
        <v>94</v>
      </c>
      <c r="AH17" s="15" t="s">
        <v>95</v>
      </c>
      <c r="AI17" s="14"/>
      <c r="AN17" s="25" t="s">
        <v>96</v>
      </c>
      <c r="AQ17" s="11"/>
    </row>
    <row r="18" spans="2:43" x14ac:dyDescent="0.3">
      <c r="B18" t="s">
        <v>49</v>
      </c>
      <c r="C18" s="11" t="s">
        <v>176</v>
      </c>
      <c r="E18" s="11" t="str" cm="1">
        <f t="array" ref="E18">_xlfn.IFS(
    COUNTIF(Herramientas_eléctricas1862106149192321[Herramientas_eléctricas], B18) &gt; 0, Herramientas_eléctricas1862106149192321[[#Headers],[Herramientas_eléctricas]],
    COUNTIF(Herramientas_neumáticas1963107150193322[Herramientas_neumáticas], B18) &gt; 0, Herramientas_neumáticas1963107150193322[[#Headers],[Herramientas_neumáticas]],
    COUNTIF(Herramientas_de_medición2064108151194323[Herramientas_de_medición], B18) &gt; 0, Herramientas_de_medición2064108151194323[[#Headers],[Herramientas_de_medición]],
    COUNTIF(Herrramientas_mecánicas2165109152195324[Herramientas_mecánicas], B18) &gt; 0, Herrramientas_mecánicas2165109152195324[[#Headers],[Herramientas_mecánicas]],
    COUNTIF(AI18:AI24, B18) &gt; 0, Herramientas_hidráulicas2266110153196325[[#Headers],[Herramientas_hidráulicas]],
    COUNTIF(EPP_2367111154197326[SPCC], B18) &gt; 0, EPP_2367111154197326[[#Headers],[SPCC]],
   COUNTIF(Herramientas_de_izaje2468112155198327[Herramientas_de_izaje], B18) &gt; 0, Herramientas_de_izaje2468112155198327[[#Headers],[Herramientas_de_izaje]],
COUNTIF(Tabla162670114157200329[Equipos], B18) &gt; 0, Tabla162670114157200329[[#Headers],[Equipos]],
    TRUE, "Sin clasificación"
)</f>
        <v>Herramientas_eléctricas</v>
      </c>
      <c r="F18" s="15"/>
      <c r="G18" s="15">
        <v>750</v>
      </c>
      <c r="H18" s="15">
        <v>220</v>
      </c>
      <c r="I18" s="15"/>
      <c r="J18" s="15" t="s">
        <v>572</v>
      </c>
      <c r="K18" s="47" t="s">
        <v>660</v>
      </c>
      <c r="M18" s="47">
        <v>327280074</v>
      </c>
      <c r="N18" s="47" t="str">
        <f>_xlfn.LET(
    _xlpm.itemBuscado, B18,
    _xlpm.areaBuscada, C18,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TEXT(COUNTIF($C$2:C18, _xlpm.areaBuscada), "0000"),
    _xlpm.codItem &amp; "-" &amp; _xlpm.codArea &amp; "-" &amp; _xlpm.secuencia
)</f>
        <v>ZE-TA-ELT-0002</v>
      </c>
      <c r="P18" s="15"/>
      <c r="R18" s="48"/>
      <c r="S18" t="s">
        <v>661</v>
      </c>
      <c r="AE18" t="s">
        <v>97</v>
      </c>
      <c r="AH18" t="s">
        <v>98</v>
      </c>
      <c r="AN18" s="25" t="s">
        <v>99</v>
      </c>
    </row>
    <row r="19" spans="2:43" x14ac:dyDescent="0.3">
      <c r="B19" t="s">
        <v>49</v>
      </c>
      <c r="C19" s="11" t="s">
        <v>176</v>
      </c>
      <c r="E19" s="11" t="str" cm="1">
        <f t="array" ref="E19">_xlfn.IFS(
    COUNTIF(Herramientas_eléctricas1862106149192321[Herramientas_eléctricas], B19) &gt; 0, Herramientas_eléctricas1862106149192321[[#Headers],[Herramientas_eléctricas]],
    COUNTIF(Herramientas_neumáticas1963107150193322[Herramientas_neumáticas], B19) &gt; 0, Herramientas_neumáticas1963107150193322[[#Headers],[Herramientas_neumáticas]],
    COUNTIF(Herramientas_de_medición2064108151194323[Herramientas_de_medición], B19) &gt; 0, Herramientas_de_medición2064108151194323[[#Headers],[Herramientas_de_medición]],
    COUNTIF(Herrramientas_mecánicas2165109152195324[Herramientas_mecánicas], B19) &gt; 0, Herrramientas_mecánicas2165109152195324[[#Headers],[Herramientas_mecánicas]],
    COUNTIF(AI19:AI25, B19) &gt; 0, Herramientas_hidráulicas2266110153196325[[#Headers],[Herramientas_hidráulicas]],
    COUNTIF(EPP_2367111154197326[SPCC], B19) &gt; 0, EPP_2367111154197326[[#Headers],[SPCC]],
   COUNTIF(Herramientas_de_izaje2468112155198327[Herramientas_de_izaje], B19) &gt; 0, Herramientas_de_izaje2468112155198327[[#Headers],[Herramientas_de_izaje]],
COUNTIF(Tabla162670114157200329[Equipos], B19) &gt; 0, Tabla162670114157200329[[#Headers],[Equipos]],
    TRUE, "Sin clasificación"
)</f>
        <v>Herramientas_eléctricas</v>
      </c>
      <c r="F19" s="15"/>
      <c r="G19" s="15"/>
      <c r="H19" s="15"/>
      <c r="I19" s="15"/>
      <c r="J19" s="15" t="s">
        <v>572</v>
      </c>
      <c r="K19" s="47"/>
      <c r="L19" t="s">
        <v>662</v>
      </c>
      <c r="M19" s="47"/>
      <c r="N19" s="47" t="str">
        <f>_xlfn.LET(
    _xlpm.itemBuscado, B19,
    _xlpm.areaBuscada, C19,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TEXT(COUNTIF($C$2:C19, _xlpm.areaBuscada), "0000"),
    _xlpm.codItem &amp; "-" &amp; _xlpm.codArea &amp; "-" &amp; _xlpm.secuencia
)</f>
        <v>ZE-TA-ELT-0003</v>
      </c>
      <c r="P19" s="15"/>
      <c r="R19" s="48"/>
      <c r="S19" t="s">
        <v>663</v>
      </c>
      <c r="AE19" t="s">
        <v>42</v>
      </c>
      <c r="AH19" s="11" t="s">
        <v>41</v>
      </c>
      <c r="AN19" t="s">
        <v>100</v>
      </c>
    </row>
    <row r="20" spans="2:43" x14ac:dyDescent="0.3">
      <c r="B20" t="s">
        <v>49</v>
      </c>
      <c r="C20" s="11" t="s">
        <v>176</v>
      </c>
      <c r="E20" s="11" t="str" cm="1">
        <f t="array" ref="E20">_xlfn.IFS(
    COUNTIF(Herramientas_eléctricas1862106149192321[Herramientas_eléctricas], B20) &gt; 0, Herramientas_eléctricas1862106149192321[[#Headers],[Herramientas_eléctricas]],
    COUNTIF(Herramientas_neumáticas1963107150193322[Herramientas_neumáticas], B20) &gt; 0, Herramientas_neumáticas1963107150193322[[#Headers],[Herramientas_neumáticas]],
    COUNTIF(Herramientas_de_medición2064108151194323[Herramientas_de_medición], B20) &gt; 0, Herramientas_de_medición2064108151194323[[#Headers],[Herramientas_de_medición]],
    COUNTIF(Herrramientas_mecánicas2165109152195324[Herramientas_mecánicas], B20) &gt; 0, Herrramientas_mecánicas2165109152195324[[#Headers],[Herramientas_mecánicas]],
    COUNTIF(AI20:AI26, B20) &gt; 0, Herramientas_hidráulicas2266110153196325[[#Headers],[Herramientas_hidráulicas]],
    COUNTIF(EPP_2367111154197326[SPCC], B20) &gt; 0, EPP_2367111154197326[[#Headers],[SPCC]],
   COUNTIF(Herramientas_de_izaje2468112155198327[Herramientas_de_izaje], B20) &gt; 0, Herramientas_de_izaje2468112155198327[[#Headers],[Herramientas_de_izaje]],
COUNTIF(Tabla162670114157200329[Equipos], B20) &gt; 0, Tabla162670114157200329[[#Headers],[Equipos]],
    TRUE, "Sin clasificación"
)</f>
        <v>Herramientas_eléctricas</v>
      </c>
      <c r="F20" s="15"/>
      <c r="G20" s="15">
        <v>701</v>
      </c>
      <c r="H20" s="15">
        <v>230</v>
      </c>
      <c r="I20" s="15">
        <v>3.25</v>
      </c>
      <c r="J20" s="15" t="s">
        <v>572</v>
      </c>
      <c r="K20" s="47" t="s">
        <v>664</v>
      </c>
      <c r="L20" t="s">
        <v>665</v>
      </c>
      <c r="M20" s="47">
        <v>88900435</v>
      </c>
      <c r="N20" s="47" t="str">
        <f>_xlfn.LET(
    _xlpm.itemBuscado, B20,
    _xlpm.areaBuscada, C20,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TEXT(COUNTIF($C$2:C20, _xlpm.areaBuscada), "0000"),
    _xlpm.codItem &amp; "-" &amp; _xlpm.codArea &amp; "-" &amp; _xlpm.secuencia
)</f>
        <v>ZE-TA-ELT-0004</v>
      </c>
      <c r="P20" s="15"/>
      <c r="R20" s="48" t="s">
        <v>224</v>
      </c>
      <c r="S20" t="s">
        <v>666</v>
      </c>
      <c r="AE20" t="s">
        <v>101</v>
      </c>
      <c r="AH20" t="s">
        <v>102</v>
      </c>
      <c r="AN20" s="26" t="s">
        <v>103</v>
      </c>
    </row>
    <row r="21" spans="2:43" x14ac:dyDescent="0.3">
      <c r="B21" t="s">
        <v>49</v>
      </c>
      <c r="C21" s="11" t="s">
        <v>176</v>
      </c>
      <c r="E21" s="11" t="str" cm="1">
        <f t="array" ref="E21">_xlfn.IFS(
    COUNTIF(Herramientas_eléctricas1862106149192321[Herramientas_eléctricas], B21) &gt; 0, Herramientas_eléctricas1862106149192321[[#Headers],[Herramientas_eléctricas]],
    COUNTIF(Herramientas_neumáticas1963107150193322[Herramientas_neumáticas], B21) &gt; 0, Herramientas_neumáticas1963107150193322[[#Headers],[Herramientas_neumáticas]],
    COUNTIF(Herramientas_de_medición2064108151194323[Herramientas_de_medición], B21) &gt; 0, Herramientas_de_medición2064108151194323[[#Headers],[Herramientas_de_medición]],
    COUNTIF(Herrramientas_mecánicas2165109152195324[Herramientas_mecánicas], B21) &gt; 0, Herrramientas_mecánicas2165109152195324[[#Headers],[Herramientas_mecánicas]],
    COUNTIF(AI21:AI27, B21) &gt; 0, Herramientas_hidráulicas2266110153196325[[#Headers],[Herramientas_hidráulicas]],
    COUNTIF(EPP_2367111154197326[SPCC], B21) &gt; 0, EPP_2367111154197326[[#Headers],[SPCC]],
   COUNTIF(Herramientas_de_izaje2468112155198327[Herramientas_de_izaje], B21) &gt; 0, Herramientas_de_izaje2468112155198327[[#Headers],[Herramientas_de_izaje]],
COUNTIF(Tabla162670114157200329[Equipos], B21) &gt; 0, Tabla162670114157200329[[#Headers],[Equipos]],
    TRUE, "Sin clasificación"
)</f>
        <v>Herramientas_eléctricas</v>
      </c>
      <c r="F21" s="15"/>
      <c r="G21" s="15">
        <v>870</v>
      </c>
      <c r="H21" s="15">
        <v>220</v>
      </c>
      <c r="I21" s="15"/>
      <c r="J21" s="15" t="s">
        <v>572</v>
      </c>
      <c r="K21" s="47" t="s">
        <v>583</v>
      </c>
      <c r="L21" t="s">
        <v>667</v>
      </c>
      <c r="M21" s="47">
        <v>331450558</v>
      </c>
      <c r="N21" s="47" t="str">
        <f>_xlfn.LET(
    _xlpm.itemBuscado, B21,
    _xlpm.areaBuscada, C21,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TEXT(COUNTIF($C$2:C21, _xlpm.areaBuscada), "0000"),
    _xlpm.codItem &amp; "-" &amp; _xlpm.codArea &amp; "-" &amp; _xlpm.secuencia
)</f>
        <v>ZE-TA-ELT-0005</v>
      </c>
      <c r="P21" s="15"/>
      <c r="R21" s="48"/>
      <c r="S21" t="s">
        <v>668</v>
      </c>
      <c r="AE21" s="6"/>
      <c r="AH21" s="6" t="s">
        <v>20</v>
      </c>
    </row>
    <row r="22" spans="2:43" x14ac:dyDescent="0.3">
      <c r="B22" t="s">
        <v>49</v>
      </c>
      <c r="C22" s="11" t="s">
        <v>176</v>
      </c>
      <c r="E22" s="11" t="str" cm="1">
        <f t="array" ref="E22">_xlfn.IFS(
    COUNTIF(Herramientas_eléctricas1862106149192321[Herramientas_eléctricas], B22) &gt; 0, Herramientas_eléctricas1862106149192321[[#Headers],[Herramientas_eléctricas]],
    COUNTIF(Herramientas_neumáticas1963107150193322[Herramientas_neumáticas], B22) &gt; 0, Herramientas_neumáticas1963107150193322[[#Headers],[Herramientas_neumáticas]],
    COUNTIF(Herramientas_de_medición2064108151194323[Herramientas_de_medición], B22) &gt; 0, Herramientas_de_medición2064108151194323[[#Headers],[Herramientas_de_medición]],
    COUNTIF(Herrramientas_mecánicas2165109152195324[Herramientas_mecánicas], B22) &gt; 0, Herrramientas_mecánicas2165109152195324[[#Headers],[Herramientas_mecánicas]],
    COUNTIF(AI22:AI28, B22) &gt; 0, Herramientas_hidráulicas2266110153196325[[#Headers],[Herramientas_hidráulicas]],
    COUNTIF(EPP_2367111154197326[SPCC], B22) &gt; 0, EPP_2367111154197326[[#Headers],[SPCC]],
   COUNTIF(Herramientas_de_izaje2468112155198327[Herramientas_de_izaje], B22) &gt; 0, Herramientas_de_izaje2468112155198327[[#Headers],[Herramientas_de_izaje]],
COUNTIF(Tabla162670114157200329[Equipos], B22) &gt; 0, Tabla162670114157200329[[#Headers],[Equipos]],
    TRUE, "Sin clasificación"
)</f>
        <v>Herramientas_eléctricas</v>
      </c>
      <c r="F22" s="15"/>
      <c r="G22" s="15">
        <v>750</v>
      </c>
      <c r="H22" s="15">
        <v>220</v>
      </c>
      <c r="I22" s="15">
        <v>3.4</v>
      </c>
      <c r="J22" s="15" t="s">
        <v>572</v>
      </c>
      <c r="K22" s="47" t="s">
        <v>624</v>
      </c>
      <c r="L22" t="s">
        <v>669</v>
      </c>
      <c r="M22" s="47">
        <v>123002510</v>
      </c>
      <c r="N22" s="47" t="str">
        <f>_xlfn.LET(
    _xlpm.itemBuscado, B22,
    _xlpm.areaBuscada, C22,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TEXT(COUNTIF($C$2:C22, _xlpm.areaBuscada), "0000"),
    _xlpm.codItem &amp; "-" &amp; _xlpm.codArea &amp; "-" &amp; _xlpm.secuencia
)</f>
        <v>ZE-TA-ELT-0006</v>
      </c>
      <c r="P22" s="15"/>
      <c r="R22" s="48"/>
      <c r="S22" t="s">
        <v>670</v>
      </c>
    </row>
    <row r="23" spans="2:43" x14ac:dyDescent="0.3">
      <c r="B23" t="s">
        <v>49</v>
      </c>
      <c r="C23" s="11" t="s">
        <v>176</v>
      </c>
      <c r="E23" s="11" t="str" cm="1">
        <f t="array" ref="E23">_xlfn.IFS(
    COUNTIF(Herramientas_eléctricas1862106149192321[Herramientas_eléctricas], B23) &gt; 0, Herramientas_eléctricas1862106149192321[[#Headers],[Herramientas_eléctricas]],
    COUNTIF(Herramientas_neumáticas1963107150193322[Herramientas_neumáticas], B23) &gt; 0, Herramientas_neumáticas1963107150193322[[#Headers],[Herramientas_neumáticas]],
    COUNTIF(Herramientas_de_medición2064108151194323[Herramientas_de_medición], B23) &gt; 0, Herramientas_de_medición2064108151194323[[#Headers],[Herramientas_de_medición]],
    COUNTIF(Herrramientas_mecánicas2165109152195324[Herramientas_mecánicas], B23) &gt; 0, Herrramientas_mecánicas2165109152195324[[#Headers],[Herramientas_mecánicas]],
    COUNTIF(AI23:AI29, B23) &gt; 0, Herramientas_hidráulicas2266110153196325[[#Headers],[Herramientas_hidráulicas]],
    COUNTIF(EPP_2367111154197326[SPCC], B23) &gt; 0, EPP_2367111154197326[[#Headers],[SPCC]],
   COUNTIF(Herramientas_de_izaje2468112155198327[Herramientas_de_izaje], B23) &gt; 0, Herramientas_de_izaje2468112155198327[[#Headers],[Herramientas_de_izaje]],
COUNTIF(Tabla162670114157200329[Equipos], B23) &gt; 0, Tabla162670114157200329[[#Headers],[Equipos]],
    TRUE, "Sin clasificación"
)</f>
        <v>Herramientas_eléctricas</v>
      </c>
      <c r="F23" s="15"/>
      <c r="G23" s="15"/>
      <c r="H23" s="15">
        <v>18</v>
      </c>
      <c r="I23" s="15"/>
      <c r="J23" s="15" t="s">
        <v>572</v>
      </c>
      <c r="K23" s="47" t="s">
        <v>674</v>
      </c>
      <c r="L23" t="s">
        <v>675</v>
      </c>
      <c r="M23" s="47" t="s">
        <v>645</v>
      </c>
      <c r="N23" s="47" t="str">
        <f>_xlfn.LET(
    _xlpm.itemBuscado, B23,
    _xlpm.areaBuscada, C23,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TEXT(COUNTIF($C$2:C23, _xlpm.areaBuscada), "0000"),
    _xlpm.codItem &amp; "-" &amp; _xlpm.codArea &amp; "-" &amp; _xlpm.secuencia
)</f>
        <v>ZE-TA-ELT-0007</v>
      </c>
      <c r="P23" s="15"/>
      <c r="R23" s="48"/>
      <c r="S23" t="s">
        <v>676</v>
      </c>
    </row>
    <row r="24" spans="2:43" x14ac:dyDescent="0.3">
      <c r="B24" t="s">
        <v>49</v>
      </c>
      <c r="C24" s="11" t="s">
        <v>176</v>
      </c>
      <c r="E24" s="11" t="str" cm="1">
        <f t="array" ref="E24">_xlfn.IFS(
    COUNTIF(Herramientas_eléctricas1862106149192321[Herramientas_eléctricas], B24) &gt; 0, Herramientas_eléctricas1862106149192321[[#Headers],[Herramientas_eléctricas]],
    COUNTIF(Herramientas_neumáticas1963107150193322[Herramientas_neumáticas], B24) &gt; 0, Herramientas_neumáticas1963107150193322[[#Headers],[Herramientas_neumáticas]],
    COUNTIF(Herramientas_de_medición2064108151194323[Herramientas_de_medición], B24) &gt; 0, Herramientas_de_medición2064108151194323[[#Headers],[Herramientas_de_medición]],
    COUNTIF(Herrramientas_mecánicas2165109152195324[Herramientas_mecánicas], B24) &gt; 0, Herrramientas_mecánicas2165109152195324[[#Headers],[Herramientas_mecánicas]],
    COUNTIF(AI24:AI30, B24) &gt; 0, Herramientas_hidráulicas2266110153196325[[#Headers],[Herramientas_hidráulicas]],
    COUNTIF(EPP_2367111154197326[SPCC], B24) &gt; 0, EPP_2367111154197326[[#Headers],[SPCC]],
   COUNTIF(Herramientas_de_izaje2468112155198327[Herramientas_de_izaje], B24) &gt; 0, Herramientas_de_izaje2468112155198327[[#Headers],[Herramientas_de_izaje]],
COUNTIF(Tabla162670114157200329[Equipos], B24) &gt; 0, Tabla162670114157200329[[#Headers],[Equipos]],
    TRUE, "Sin clasificación"
)</f>
        <v>Herramientas_eléctricas</v>
      </c>
      <c r="F24" s="15"/>
      <c r="G24" s="15"/>
      <c r="H24" s="15">
        <v>18</v>
      </c>
      <c r="I24" s="15"/>
      <c r="J24" s="15" t="s">
        <v>572</v>
      </c>
      <c r="K24" s="47" t="s">
        <v>674</v>
      </c>
      <c r="L24" t="s">
        <v>694</v>
      </c>
      <c r="M24" s="47">
        <v>525190264</v>
      </c>
      <c r="N24" s="47" t="str">
        <f>_xlfn.LET(
    _xlpm.itemBuscado, B24,
    _xlpm.areaBuscada, C24,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TEXT(COUNTIF($C$2:C24, _xlpm.areaBuscada), "0000"),
    _xlpm.codItem &amp; "-" &amp; _xlpm.codArea &amp; "-" &amp; _xlpm.secuencia
)</f>
        <v>ZE-TA-ELT-0008</v>
      </c>
      <c r="P24" s="15"/>
      <c r="R24" s="48" t="s">
        <v>224</v>
      </c>
      <c r="S24" t="s">
        <v>676</v>
      </c>
      <c r="AO24" s="18"/>
    </row>
    <row r="25" spans="2:43" x14ac:dyDescent="0.3">
      <c r="B25" t="s">
        <v>49</v>
      </c>
      <c r="C25" s="11" t="s">
        <v>176</v>
      </c>
      <c r="E25" s="11" t="str" cm="1">
        <f t="array" ref="E25">_xlfn.IFS(
    COUNTIF(Herramientas_eléctricas1862106149192321[Herramientas_eléctricas], B25) &gt; 0, Herramientas_eléctricas1862106149192321[[#Headers],[Herramientas_eléctricas]],
    COUNTIF(Herramientas_neumáticas1963107150193322[Herramientas_neumáticas], B25) &gt; 0, Herramientas_neumáticas1963107150193322[[#Headers],[Herramientas_neumáticas]],
    COUNTIF(Herramientas_de_medición2064108151194323[Herramientas_de_medición], B25) &gt; 0, Herramientas_de_medición2064108151194323[[#Headers],[Herramientas_de_medición]],
    COUNTIF(Herrramientas_mecánicas2165109152195324[Herramientas_mecánicas], B25) &gt; 0, Herrramientas_mecánicas2165109152195324[[#Headers],[Herramientas_mecánicas]],
    COUNTIF(AI25:AI31, B25) &gt; 0, Herramientas_hidráulicas2266110153196325[[#Headers],[Herramientas_hidráulicas]],
    COUNTIF(EPP_2367111154197326[SPCC], B25) &gt; 0, EPP_2367111154197326[[#Headers],[SPCC]],
   COUNTIF(Herramientas_de_izaje2468112155198327[Herramientas_de_izaje], B25) &gt; 0, Herramientas_de_izaje2468112155198327[[#Headers],[Herramientas_de_izaje]],
COUNTIF(Tabla162670114157200329[Equipos], B25) &gt; 0, Tabla162670114157200329[[#Headers],[Equipos]],
    TRUE, "Sin clasificación"
)</f>
        <v>Herramientas_eléctricas</v>
      </c>
      <c r="F25" s="15"/>
      <c r="G25" s="15"/>
      <c r="H25" s="15">
        <v>18</v>
      </c>
      <c r="I25" s="15"/>
      <c r="J25" s="15" t="s">
        <v>572</v>
      </c>
      <c r="K25" s="47" t="s">
        <v>674</v>
      </c>
      <c r="L25" t="s">
        <v>695</v>
      </c>
      <c r="M25" s="47">
        <v>524160030</v>
      </c>
      <c r="N25" s="47" t="str">
        <f>_xlfn.LET(
    _xlpm.itemBuscado, B25,
    _xlpm.areaBuscada, C25,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TEXT(COUNTIF($C$2:C25, _xlpm.areaBuscada), "0000"),
    _xlpm.codItem &amp; "-" &amp; _xlpm.codArea &amp; "-" &amp; _xlpm.secuencia
)</f>
        <v>ZE-TA-ELT-0009</v>
      </c>
      <c r="P25" s="15"/>
      <c r="R25" s="48"/>
      <c r="S25" t="s">
        <v>676</v>
      </c>
      <c r="AO25" s="22"/>
    </row>
    <row r="26" spans="2:43" x14ac:dyDescent="0.3">
      <c r="C26" s="11"/>
      <c r="E26" s="11" t="str" cm="1">
        <f t="array" ref="E26">_xlfn.IFS(
    COUNTIF(Herramientas_eléctricas1862106149192321[Herramientas_eléctricas], B26) &gt; 0, Herramientas_eléctricas1862106149192321[[#Headers],[Herramientas_eléctricas]],
    COUNTIF(Herramientas_neumáticas1963107150193322[Herramientas_neumáticas], B26) &gt; 0, Herramientas_neumáticas1963107150193322[[#Headers],[Herramientas_neumáticas]],
    COUNTIF(Herramientas_de_medición2064108151194323[Herramientas_de_medición], B26) &gt; 0, Herramientas_de_medición2064108151194323[[#Headers],[Herramientas_de_medición]],
    COUNTIF(Herrramientas_mecánicas2165109152195324[Herramientas_mecánicas], B26) &gt; 0, Herrramientas_mecánicas2165109152195324[[#Headers],[Herramientas_mecánicas]],
    COUNTIF(AI26:AI32, B26) &gt; 0, Herramientas_hidráulicas2266110153196325[[#Headers],[Herramientas_hidráulicas]],
    COUNTIF(EPP_2367111154197326[SPCC], B26) &gt; 0, EPP_2367111154197326[[#Headers],[SPCC]],
   COUNTIF(Herramientas_de_izaje2468112155198327[Herramientas_de_izaje], B26) &gt; 0, Herramientas_de_izaje2468112155198327[[#Headers],[Herramientas_de_izaje]],
COUNTIF(Tabla162670114157200329[Equipos], B26) &gt; 0, Tabla162670114157200329[[#Headers],[Equipos]],
    TRUE, "Sin clasificación"
)</f>
        <v>Sin clasificación</v>
      </c>
      <c r="F26" s="15"/>
      <c r="G26" s="15"/>
      <c r="H26" s="15"/>
      <c r="I26" s="15"/>
      <c r="J26" s="15"/>
      <c r="K26" s="47"/>
      <c r="M26" s="47"/>
      <c r="N26" s="47" t="str">
        <f>_xlfn.LET(
    _xlpm.itemBuscado, B26,
    _xlpm.areaBuscada, C26,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TEXT(COUNTIF($C$2:C26, _xlpm.areaBuscada), "0000"),
    _xlpm.codItem &amp; "-" &amp; _xlpm.codArea &amp; "-" &amp; _xlpm.secuencia
)</f>
        <v>-SinArea-0000</v>
      </c>
      <c r="P26" s="15"/>
      <c r="R26" s="48" t="s">
        <v>224</v>
      </c>
      <c r="AF26" s="18"/>
      <c r="AP26" t="s">
        <v>235</v>
      </c>
    </row>
    <row r="27" spans="2:43" ht="28.8" x14ac:dyDescent="0.3">
      <c r="C27" s="11"/>
      <c r="E27" s="11" t="str" cm="1">
        <f t="array" ref="E27">_xlfn.IFS(
    COUNTIF(Herramientas_eléctricas1862106149192321[Herramientas_eléctricas], B27) &gt; 0, Herramientas_eléctricas1862106149192321[[#Headers],[Herramientas_eléctricas]],
    COUNTIF(Herramientas_neumáticas1963107150193322[Herramientas_neumáticas], B27) &gt; 0, Herramientas_neumáticas1963107150193322[[#Headers],[Herramientas_neumáticas]],
    COUNTIF(Herramientas_de_medición2064108151194323[Herramientas_de_medición], B27) &gt; 0, Herramientas_de_medición2064108151194323[[#Headers],[Herramientas_de_medición]],
    COUNTIF(Herrramientas_mecánicas2165109152195324[Herramientas_mecánicas], B27) &gt; 0, Herrramientas_mecánicas2165109152195324[[#Headers],[Herramientas_mecánicas]],
    COUNTIF(AI27:AI33, B27) &gt; 0, Herramientas_hidráulicas2266110153196325[[#Headers],[Herramientas_hidráulicas]],
    COUNTIF(EPP_2367111154197326[SPCC], B27) &gt; 0, EPP_2367111154197326[[#Headers],[SPCC]],
   COUNTIF(Herramientas_de_izaje2468112155198327[Herramientas_de_izaje], B27) &gt; 0, Herramientas_de_izaje2468112155198327[[#Headers],[Herramientas_de_izaje]],
COUNTIF(Tabla162670114157200329[Equipos], B27) &gt; 0, Tabla162670114157200329[[#Headers],[Equipos]],
    TRUE, "Sin clasificación"
)</f>
        <v>Sin clasificación</v>
      </c>
      <c r="F27" s="15"/>
      <c r="G27" s="15"/>
      <c r="H27" s="15"/>
      <c r="I27" s="15"/>
      <c r="J27" s="15"/>
      <c r="K27" s="47"/>
      <c r="M27" s="47"/>
      <c r="N27" s="47" t="str">
        <f>_xlfn.LET(
    _xlpm.itemBuscado, B27,
    _xlpm.areaBuscada, C27,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TEXT(COUNTIF($C$2:C27, _xlpm.areaBuscada), "0000"),
    _xlpm.codItem &amp; "-" &amp; _xlpm.codArea &amp; "-" &amp; _xlpm.secuencia
)</f>
        <v>-SinArea-0000</v>
      </c>
      <c r="P27" s="15"/>
      <c r="R27" s="48"/>
      <c r="AE27" s="11" t="s">
        <v>236</v>
      </c>
      <c r="AF27" s="11" t="s">
        <v>237</v>
      </c>
      <c r="AG27" s="11" t="s">
        <v>238</v>
      </c>
      <c r="AH27" s="11" t="s">
        <v>239</v>
      </c>
      <c r="AI27" s="11" t="s">
        <v>240</v>
      </c>
      <c r="AJ27" s="11" t="s">
        <v>241</v>
      </c>
      <c r="AK27" s="11" t="s">
        <v>242</v>
      </c>
      <c r="AL27" s="11" t="s">
        <v>243</v>
      </c>
      <c r="AM27" s="11" t="s">
        <v>244</v>
      </c>
      <c r="AN27" s="11" t="s">
        <v>245</v>
      </c>
    </row>
    <row r="28" spans="2:43" x14ac:dyDescent="0.3">
      <c r="C28" s="11"/>
      <c r="E28" s="11" t="str" cm="1">
        <f t="array" ref="E28">_xlfn.IFS(
    COUNTIF(Herramientas_eléctricas1862106149192321[Herramientas_eléctricas], B28) &gt; 0, Herramientas_eléctricas1862106149192321[[#Headers],[Herramientas_eléctricas]],
    COUNTIF(Herramientas_neumáticas1963107150193322[Herramientas_neumáticas], B28) &gt; 0, Herramientas_neumáticas1963107150193322[[#Headers],[Herramientas_neumáticas]],
    COUNTIF(Herramientas_de_medición2064108151194323[Herramientas_de_medición], B28) &gt; 0, Herramientas_de_medición2064108151194323[[#Headers],[Herramientas_de_medición]],
    COUNTIF(Herrramientas_mecánicas2165109152195324[Herramientas_mecánicas], B28) &gt; 0, Herrramientas_mecánicas2165109152195324[[#Headers],[Herramientas_mecánicas]],
    COUNTIF(AI28:AI34, B28) &gt; 0, Herramientas_hidráulicas2266110153196325[[#Headers],[Herramientas_hidráulicas]],
    COUNTIF(EPP_2367111154197326[SPCC], B28) &gt; 0, EPP_2367111154197326[[#Headers],[SPCC]],
   COUNTIF(Herramientas_de_izaje2468112155198327[Herramientas_de_izaje], B28) &gt; 0, Herramientas_de_izaje2468112155198327[[#Headers],[Herramientas_de_izaje]],
COUNTIF(Tabla162670114157200329[Equipos], B28) &gt; 0, Tabla162670114157200329[[#Headers],[Equipos]],
    TRUE, "Sin clasificación"
)</f>
        <v>Sin clasificación</v>
      </c>
      <c r="F28" s="15"/>
      <c r="G28" s="15"/>
      <c r="H28" s="15"/>
      <c r="I28" s="15"/>
      <c r="J28" s="15"/>
      <c r="K28" s="47"/>
      <c r="M28" s="47"/>
      <c r="N28" s="47" t="str">
        <f>_xlfn.LET(
    _xlpm.itemBuscado, B28,
    _xlpm.areaBuscada, C28,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TEXT(COUNTIF($C$2:C28, _xlpm.areaBuscada), "0000"),
    _xlpm.codItem &amp; "-" &amp; _xlpm.codArea &amp; "-" &amp; _xlpm.secuencia
)</f>
        <v>-SinArea-0000</v>
      </c>
      <c r="P28" s="15"/>
      <c r="R28" s="48"/>
    </row>
    <row r="29" spans="2:43" x14ac:dyDescent="0.3">
      <c r="C29" s="11"/>
      <c r="E29" s="11" t="str" cm="1">
        <f t="array" ref="E29">_xlfn.IFS(
    COUNTIF(Herramientas_eléctricas1862106149192321[Herramientas_eléctricas], B29) &gt; 0, Herramientas_eléctricas1862106149192321[[#Headers],[Herramientas_eléctricas]],
    COUNTIF(Herramientas_neumáticas1963107150193322[Herramientas_neumáticas], B29) &gt; 0, Herramientas_neumáticas1963107150193322[[#Headers],[Herramientas_neumáticas]],
    COUNTIF(Herramientas_de_medición2064108151194323[Herramientas_de_medición], B29) &gt; 0, Herramientas_de_medición2064108151194323[[#Headers],[Herramientas_de_medición]],
    COUNTIF(Herrramientas_mecánicas2165109152195324[Herramientas_mecánicas], B29) &gt; 0, Herrramientas_mecánicas2165109152195324[[#Headers],[Herramientas_mecánicas]],
    COUNTIF(AI29:AI35, B29) &gt; 0, Herramientas_hidráulicas2266110153196325[[#Headers],[Herramientas_hidráulicas]],
    COUNTIF(EPP_2367111154197326[SPCC], B29) &gt; 0, EPP_2367111154197326[[#Headers],[SPCC]],
   COUNTIF(Herramientas_de_izaje2468112155198327[Herramientas_de_izaje], B29) &gt; 0, Herramientas_de_izaje2468112155198327[[#Headers],[Herramientas_de_izaje]],
COUNTIF(Tabla162670114157200329[Equipos], B29) &gt; 0, Tabla162670114157200329[[#Headers],[Equipos]],
    TRUE, "Sin clasificación"
)</f>
        <v>Sin clasificación</v>
      </c>
      <c r="F29" s="15"/>
      <c r="G29" s="15"/>
      <c r="H29" s="15"/>
      <c r="I29" s="15"/>
      <c r="J29" s="15"/>
      <c r="K29" s="47"/>
      <c r="M29" s="47"/>
      <c r="N29" s="47" t="str">
        <f>_xlfn.LET(
    _xlpm.itemBuscado, B29,
    _xlpm.areaBuscada, C29,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TEXT(COUNTIF($C$2:C29, _xlpm.areaBuscada), "0000"),
    _xlpm.codItem &amp; "-" &amp; _xlpm.codArea &amp; "-" &amp; _xlpm.secuencia
)</f>
        <v>-SinArea-0000</v>
      </c>
      <c r="P29" s="15"/>
      <c r="R29" s="48"/>
      <c r="AE29" t="s">
        <v>246</v>
      </c>
      <c r="AF29" t="s">
        <v>97</v>
      </c>
      <c r="AG29" t="s">
        <v>34</v>
      </c>
      <c r="AH29" t="s">
        <v>66</v>
      </c>
      <c r="AI29" s="63" t="s">
        <v>247</v>
      </c>
      <c r="AK29" t="s">
        <v>19</v>
      </c>
      <c r="AN29" t="s">
        <v>75</v>
      </c>
    </row>
    <row r="30" spans="2:43" ht="28.8" x14ac:dyDescent="0.3">
      <c r="C30" s="11"/>
      <c r="E30" s="11" t="str" cm="1">
        <f t="array" ref="E30">_xlfn.IFS(
    COUNTIF(Herramientas_eléctricas1862106149192321[Herramientas_eléctricas], B30) &gt; 0, Herramientas_eléctricas1862106149192321[[#Headers],[Herramientas_eléctricas]],
    COUNTIF(Herramientas_neumáticas1963107150193322[Herramientas_neumáticas], B30) &gt; 0, Herramientas_neumáticas1963107150193322[[#Headers],[Herramientas_neumáticas]],
    COUNTIF(Herramientas_de_medición2064108151194323[Herramientas_de_medición], B30) &gt; 0, Herramientas_de_medición2064108151194323[[#Headers],[Herramientas_de_medición]],
    COUNTIF(Herrramientas_mecánicas2165109152195324[Herramientas_mecánicas], B30) &gt; 0, Herrramientas_mecánicas2165109152195324[[#Headers],[Herramientas_mecánicas]],
    COUNTIF(AI30:AI36, B30) &gt; 0, Herramientas_hidráulicas2266110153196325[[#Headers],[Herramientas_hidráulicas]],
    COUNTIF(EPP_2367111154197326[SPCC], B30) &gt; 0, EPP_2367111154197326[[#Headers],[SPCC]],
   COUNTIF(Herramientas_de_izaje2468112155198327[Herramientas_de_izaje], B30) &gt; 0, Herramientas_de_izaje2468112155198327[[#Headers],[Herramientas_de_izaje]],
COUNTIF(Tabla162670114157200329[Equipos], B30) &gt; 0, Tabla162670114157200329[[#Headers],[Equipos]],
    TRUE, "Sin clasificación"
)</f>
        <v>Sin clasificación</v>
      </c>
      <c r="F30" s="15"/>
      <c r="G30" s="15"/>
      <c r="H30" s="15"/>
      <c r="I30" s="15"/>
      <c r="J30" s="15"/>
      <c r="K30" s="47"/>
      <c r="M30" s="47"/>
      <c r="N30" s="47" t="str">
        <f>_xlfn.LET(
    _xlpm.itemBuscado, B30,
    _xlpm.areaBuscada, C30,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TEXT(COUNTIF($C$2:C30, _xlpm.areaBuscada), "0000"),
    _xlpm.codItem &amp; "-" &amp; _xlpm.codArea &amp; "-" &amp; _xlpm.secuencia
)</f>
        <v>-SinArea-0000</v>
      </c>
      <c r="P30" s="15"/>
      <c r="R30" s="48" t="s">
        <v>224</v>
      </c>
      <c r="AE30" s="22" t="s">
        <v>248</v>
      </c>
      <c r="AF30" t="s">
        <v>17</v>
      </c>
      <c r="AG30" s="18" t="s">
        <v>249</v>
      </c>
      <c r="AH30" t="s">
        <v>250</v>
      </c>
      <c r="AI30" s="64" t="s">
        <v>251</v>
      </c>
      <c r="AK30" t="s">
        <v>252</v>
      </c>
      <c r="AN30" s="18" t="s">
        <v>253</v>
      </c>
    </row>
    <row r="31" spans="2:43" x14ac:dyDescent="0.3">
      <c r="C31" s="11"/>
      <c r="E31" s="11" t="str" cm="1">
        <f t="array" ref="E31">_xlfn.IFS(
    COUNTIF(Herramientas_eléctricas1862106149192321[Herramientas_eléctricas], B31) &gt; 0, Herramientas_eléctricas1862106149192321[[#Headers],[Herramientas_eléctricas]],
    COUNTIF(Herramientas_neumáticas1963107150193322[Herramientas_neumáticas], B31) &gt; 0, Herramientas_neumáticas1963107150193322[[#Headers],[Herramientas_neumáticas]],
    COUNTIF(Herramientas_de_medición2064108151194323[Herramientas_de_medición], B31) &gt; 0, Herramientas_de_medición2064108151194323[[#Headers],[Herramientas_de_medición]],
    COUNTIF(Herrramientas_mecánicas2165109152195324[Herramientas_mecánicas], B31) &gt; 0, Herrramientas_mecánicas2165109152195324[[#Headers],[Herramientas_mecánicas]],
    COUNTIF(AI31:AI37, B31) &gt; 0, Herramientas_hidráulicas2266110153196325[[#Headers],[Herramientas_hidráulicas]],
    COUNTIF(EPP_2367111154197326[SPCC], B31) &gt; 0, EPP_2367111154197326[[#Headers],[SPCC]],
   COUNTIF(Herramientas_de_izaje2468112155198327[Herramientas_de_izaje], B31) &gt; 0, Herramientas_de_izaje2468112155198327[[#Headers],[Herramientas_de_izaje]],
COUNTIF(Tabla162670114157200329[Equipos], B31) &gt; 0, Tabla162670114157200329[[#Headers],[Equipos]],
    TRUE, "Sin clasificación"
)</f>
        <v>Sin clasificación</v>
      </c>
      <c r="F31" s="15"/>
      <c r="G31" s="15"/>
      <c r="H31" s="15"/>
      <c r="I31" s="15"/>
      <c r="J31" s="15"/>
      <c r="K31" s="47"/>
      <c r="M31" s="47"/>
      <c r="N31" s="47" t="str">
        <f>_xlfn.LET(
    _xlpm.itemBuscado, B31,
    _xlpm.areaBuscada, C31,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TEXT(COUNTIF($C$2:C31, _xlpm.areaBuscada), "0000"),
    _xlpm.codItem &amp; "-" &amp; _xlpm.codArea &amp; "-" &amp; _xlpm.secuencia
)</f>
        <v>-SinArea-0000</v>
      </c>
      <c r="P31" s="15"/>
      <c r="R31" s="48"/>
      <c r="AE31" s="65" t="s">
        <v>254</v>
      </c>
      <c r="AG31" t="s">
        <v>255</v>
      </c>
      <c r="AN31" s="26" t="s">
        <v>256</v>
      </c>
    </row>
    <row r="32" spans="2:43" ht="28.5" customHeight="1" x14ac:dyDescent="0.3">
      <c r="C32" s="11"/>
      <c r="E32" s="11" t="str" cm="1">
        <f t="array" ref="E32">_xlfn.IFS(
    COUNTIF(Herramientas_eléctricas1862106149192321[Herramientas_eléctricas], B32) &gt; 0, Herramientas_eléctricas1862106149192321[[#Headers],[Herramientas_eléctricas]],
    COUNTIF(Herramientas_neumáticas1963107150193322[Herramientas_neumáticas], B32) &gt; 0, Herramientas_neumáticas1963107150193322[[#Headers],[Herramientas_neumáticas]],
    COUNTIF(Herramientas_de_medición2064108151194323[Herramientas_de_medición], B32) &gt; 0, Herramientas_de_medición2064108151194323[[#Headers],[Herramientas_de_medición]],
    COUNTIF(Herrramientas_mecánicas2165109152195324[Herramientas_mecánicas], B32) &gt; 0, Herrramientas_mecánicas2165109152195324[[#Headers],[Herramientas_mecánicas]],
    COUNTIF(AI32:AI38, B32) &gt; 0, Herramientas_hidráulicas2266110153196325[[#Headers],[Herramientas_hidráulicas]],
    COUNTIF(EPP_2367111154197326[SPCC], B32) &gt; 0, EPP_2367111154197326[[#Headers],[SPCC]],
   COUNTIF(Herramientas_de_izaje2468112155198327[Herramientas_de_izaje], B32) &gt; 0, Herramientas_de_izaje2468112155198327[[#Headers],[Herramientas_de_izaje]],
COUNTIF(Tabla162670114157200329[Equipos], B32) &gt; 0, Tabla162670114157200329[[#Headers],[Equipos]],
    TRUE, "Sin clasificación"
)</f>
        <v>Sin clasificación</v>
      </c>
      <c r="F32" s="15"/>
      <c r="G32" s="15"/>
      <c r="H32" s="15"/>
      <c r="I32" s="15"/>
      <c r="J32" s="15"/>
      <c r="K32" s="47"/>
      <c r="M32" s="47"/>
      <c r="N32" s="47" t="str">
        <f>_xlfn.LET(
    _xlpm.itemBuscado, B32,
    _xlpm.areaBuscada, C32,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TEXT(COUNTIF($C$2:C32, _xlpm.areaBuscada), "0000"),
    _xlpm.codItem &amp; "-" &amp; _xlpm.codArea &amp; "-" &amp; _xlpm.secuencia
)</f>
        <v>-SinArea-0000</v>
      </c>
      <c r="P32" s="15"/>
      <c r="R32" s="48"/>
    </row>
    <row r="33" spans="3:43" x14ac:dyDescent="0.3">
      <c r="C33" s="11"/>
      <c r="E33" s="11" t="str" cm="1">
        <f t="array" ref="E33">_xlfn.IFS(
    COUNTIF(Herramientas_eléctricas1862106149192321[Herramientas_eléctricas], B33) &gt; 0, Herramientas_eléctricas1862106149192321[[#Headers],[Herramientas_eléctricas]],
    COUNTIF(Herramientas_neumáticas1963107150193322[Herramientas_neumáticas], B33) &gt; 0, Herramientas_neumáticas1963107150193322[[#Headers],[Herramientas_neumáticas]],
    COUNTIF(Herramientas_de_medición2064108151194323[Herramientas_de_medición], B33) &gt; 0, Herramientas_de_medición2064108151194323[[#Headers],[Herramientas_de_medición]],
    COUNTIF(Herrramientas_mecánicas2165109152195324[Herramientas_mecánicas], B33) &gt; 0, Herrramientas_mecánicas2165109152195324[[#Headers],[Herramientas_mecánicas]],
    COUNTIF(AI33:AI39, B33) &gt; 0, Herramientas_hidráulicas2266110153196325[[#Headers],[Herramientas_hidráulicas]],
    COUNTIF(EPP_2367111154197326[SPCC], B33) &gt; 0, EPP_2367111154197326[[#Headers],[SPCC]],
   COUNTIF(Herramientas_de_izaje2468112155198327[Herramientas_de_izaje], B33) &gt; 0, Herramientas_de_izaje2468112155198327[[#Headers],[Herramientas_de_izaje]],
COUNTIF(Tabla162670114157200329[Equipos], B33) &gt; 0, Tabla162670114157200329[[#Headers],[Equipos]],
    TRUE, "Sin clasificación"
)</f>
        <v>Sin clasificación</v>
      </c>
      <c r="F33" s="15"/>
      <c r="G33" s="15"/>
      <c r="H33" s="15"/>
      <c r="I33" s="15"/>
      <c r="J33" s="15"/>
      <c r="K33" s="47"/>
      <c r="M33" s="47"/>
      <c r="N33" s="47" t="str">
        <f>_xlfn.LET(
    _xlpm.itemBuscado, B33,
    _xlpm.areaBuscada, C33,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TEXT(COUNTIF($C$2:C33, _xlpm.areaBuscada), "0000"),
    _xlpm.codItem &amp; "-" &amp; _xlpm.codArea &amp; "-" &amp; _xlpm.secuencia
)</f>
        <v>-SinArea-0000</v>
      </c>
      <c r="P33" s="15"/>
      <c r="R33" s="48"/>
      <c r="AE33" t="s">
        <v>68</v>
      </c>
      <c r="AF33" t="s">
        <v>36</v>
      </c>
      <c r="AG33" t="s">
        <v>257</v>
      </c>
      <c r="AH33" t="s">
        <v>258</v>
      </c>
    </row>
    <row r="34" spans="3:43" x14ac:dyDescent="0.3">
      <c r="C34" s="11"/>
      <c r="E34" s="11" t="str" cm="1">
        <f t="array" ref="E34">_xlfn.IFS(
    COUNTIF(Herramientas_eléctricas1862106149192321[Herramientas_eléctricas], B34) &gt; 0, Herramientas_eléctricas1862106149192321[[#Headers],[Herramientas_eléctricas]],
    COUNTIF(Herramientas_neumáticas1963107150193322[Herramientas_neumáticas], B34) &gt; 0, Herramientas_neumáticas1963107150193322[[#Headers],[Herramientas_neumáticas]],
    COUNTIF(Herramientas_de_medición2064108151194323[Herramientas_de_medición], B34) &gt; 0, Herramientas_de_medición2064108151194323[[#Headers],[Herramientas_de_medición]],
    COUNTIF(Herrramientas_mecánicas2165109152195324[Herramientas_mecánicas], B34) &gt; 0, Herrramientas_mecánicas2165109152195324[[#Headers],[Herramientas_mecánicas]],
    COUNTIF(AI34:AI40, B34) &gt; 0, Herramientas_hidráulicas2266110153196325[[#Headers],[Herramientas_hidráulicas]],
    COUNTIF(EPP_2367111154197326[SPCC], B34) &gt; 0, EPP_2367111154197326[[#Headers],[SPCC]],
   COUNTIF(Herramientas_de_izaje2468112155198327[Herramientas_de_izaje], B34) &gt; 0, Herramientas_de_izaje2468112155198327[[#Headers],[Herramientas_de_izaje]],
COUNTIF(Tabla162670114157200329[Equipos], B34) &gt; 0, Tabla162670114157200329[[#Headers],[Equipos]],
    TRUE, "Sin clasificación"
)</f>
        <v>Sin clasificación</v>
      </c>
      <c r="F34" s="15"/>
      <c r="G34" s="15"/>
      <c r="H34" s="15"/>
      <c r="I34" s="15"/>
      <c r="J34" s="15"/>
      <c r="K34" s="47"/>
      <c r="M34" s="47"/>
      <c r="N34" s="47" t="str">
        <f>_xlfn.LET(
    _xlpm.itemBuscado, B34,
    _xlpm.areaBuscada, C34,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TEXT(COUNTIF($C$2:C34, _xlpm.areaBuscada), "0000"),
    _xlpm.codItem &amp; "-" &amp; _xlpm.codArea &amp; "-" &amp; _xlpm.secuencia
)</f>
        <v>-SinArea-0000</v>
      </c>
      <c r="P34" s="15"/>
      <c r="R34" s="48"/>
      <c r="AE34" s="20" t="s">
        <v>259</v>
      </c>
      <c r="AF34" t="s">
        <v>260</v>
      </c>
      <c r="AG34" s="19" t="s">
        <v>261</v>
      </c>
      <c r="AH34" s="22" t="s">
        <v>262</v>
      </c>
    </row>
    <row r="35" spans="3:43" ht="28.8" x14ac:dyDescent="0.3">
      <c r="C35" s="11"/>
      <c r="E35" s="11" t="str" cm="1">
        <f t="array" ref="E35">_xlfn.IFS(
    COUNTIF(Herramientas_eléctricas1862106149192321[Herramientas_eléctricas], B35) &gt; 0, Herramientas_eléctricas1862106149192321[[#Headers],[Herramientas_eléctricas]],
    COUNTIF(Herramientas_neumáticas1963107150193322[Herramientas_neumáticas], B35) &gt; 0, Herramientas_neumáticas1963107150193322[[#Headers],[Herramientas_neumáticas]],
    COUNTIF(Herramientas_de_medición2064108151194323[Herramientas_de_medición], B35) &gt; 0, Herramientas_de_medición2064108151194323[[#Headers],[Herramientas_de_medición]],
    COUNTIF(Herrramientas_mecánicas2165109152195324[Herramientas_mecánicas], B35) &gt; 0, Herrramientas_mecánicas2165109152195324[[#Headers],[Herramientas_mecánicas]],
    COUNTIF(AI35:AI41, B35) &gt; 0, Herramientas_hidráulicas2266110153196325[[#Headers],[Herramientas_hidráulicas]],
    COUNTIF(EPP_2367111154197326[SPCC], B35) &gt; 0, EPP_2367111154197326[[#Headers],[SPCC]],
   COUNTIF(Herramientas_de_izaje2468112155198327[Herramientas_de_izaje], B35) &gt; 0, Herramientas_de_izaje2468112155198327[[#Headers],[Herramientas_de_izaje]],
COUNTIF(Tabla162670114157200329[Equipos], B35) &gt; 0, Tabla162670114157200329[[#Headers],[Equipos]],
    TRUE, "Sin clasificación"
)</f>
        <v>Sin clasificación</v>
      </c>
      <c r="F35" s="15"/>
      <c r="G35" s="15"/>
      <c r="H35" s="15"/>
      <c r="I35" s="15"/>
      <c r="J35" s="15"/>
      <c r="K35" s="47"/>
      <c r="M35" s="47"/>
      <c r="N35" s="47" t="str">
        <f>_xlfn.LET(
    _xlpm.itemBuscado, B35,
    _xlpm.areaBuscada, C35,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TEXT(COUNTIF($C$2:C35, _xlpm.areaBuscada), "0000"),
    _xlpm.codItem &amp; "-" &amp; _xlpm.codArea &amp; "-" &amp; _xlpm.secuencia
)</f>
        <v>-SinArea-0000</v>
      </c>
      <c r="P35" s="15"/>
      <c r="R35" s="48"/>
      <c r="AE35" s="66" t="s">
        <v>263</v>
      </c>
      <c r="AG35" s="13" t="s">
        <v>264</v>
      </c>
      <c r="AH35" s="67" t="s">
        <v>265</v>
      </c>
    </row>
    <row r="36" spans="3:43" x14ac:dyDescent="0.3">
      <c r="C36" s="11"/>
      <c r="E36" s="11"/>
      <c r="F36" s="15"/>
      <c r="G36" s="15"/>
      <c r="H36" s="15"/>
      <c r="I36" s="15"/>
      <c r="J36" s="15"/>
      <c r="K36" s="47"/>
      <c r="M36" s="47"/>
      <c r="N36" s="47" t="str">
        <f>_xlfn.LET(
    _xlpm.itemBuscado, B36,
    _xlpm.areaBuscada, C36,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TEXT(COUNTIF($C$2:C36, _xlpm.areaBuscada), "0000"),
    _xlpm.codItem &amp; "-" &amp; _xlpm.codArea &amp; "-" &amp; _xlpm.secuencia
)</f>
        <v>-SinArea-0000</v>
      </c>
      <c r="P36" s="15"/>
      <c r="R36" s="48"/>
      <c r="AG36" s="68" t="s">
        <v>266</v>
      </c>
      <c r="AH36" s="22" t="s">
        <v>267</v>
      </c>
    </row>
    <row r="37" spans="3:43" x14ac:dyDescent="0.3">
      <c r="C37" s="11"/>
      <c r="E37" s="11"/>
      <c r="F37" s="15"/>
      <c r="G37" s="15"/>
      <c r="H37" s="15"/>
      <c r="I37" s="15"/>
      <c r="J37" s="15"/>
      <c r="K37" s="47"/>
      <c r="M37" s="47"/>
      <c r="N37" s="47" t="str">
        <f>_xlfn.LET(
    _xlpm.itemBuscado, B37,
    _xlpm.areaBuscada, C37,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TEXT(COUNTIF($C$2:C37, _xlpm.areaBuscada), "0000"),
    _xlpm.codItem &amp; "-" &amp; _xlpm.codArea &amp; "-" &amp; _xlpm.secuencia
)</f>
        <v>-SinArea-0000</v>
      </c>
      <c r="P37" s="15"/>
      <c r="R37" s="48"/>
      <c r="AH37" s="18" t="s">
        <v>268</v>
      </c>
    </row>
    <row r="38" spans="3:43" x14ac:dyDescent="0.3">
      <c r="C38" s="11"/>
      <c r="E38" s="11"/>
      <c r="F38" s="15"/>
      <c r="G38" s="15"/>
      <c r="H38" s="15"/>
      <c r="I38" s="15"/>
      <c r="J38" s="15"/>
      <c r="K38" s="47"/>
      <c r="M38" s="47"/>
      <c r="N38" s="47" t="str">
        <f>_xlfn.LET(
    _xlpm.itemBuscado, B38,
    _xlpm.areaBuscada, C38,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TEXT(COUNTIF($C$2:C38, _xlpm.areaBuscada), "0000"),
    _xlpm.codItem &amp; "-" &amp; _xlpm.codArea &amp; "-" &amp; _xlpm.secuencia
)</f>
        <v>-SinArea-0000</v>
      </c>
      <c r="P38" s="15"/>
      <c r="R38" s="48"/>
      <c r="AE38" s="69" t="s">
        <v>24</v>
      </c>
      <c r="AG38" t="s">
        <v>269</v>
      </c>
      <c r="AH38" s="18" t="s">
        <v>270</v>
      </c>
    </row>
    <row r="39" spans="3:43" ht="22.8" x14ac:dyDescent="0.3">
      <c r="C39" s="11"/>
      <c r="E39" s="11"/>
      <c r="F39" s="15"/>
      <c r="G39" s="15"/>
      <c r="H39" s="15"/>
      <c r="I39" s="15"/>
      <c r="J39" s="15"/>
      <c r="K39" s="47"/>
      <c r="M39" s="47"/>
      <c r="N39" s="47" t="str">
        <f>_xlfn.LET(
    _xlpm.itemBuscado, B39,
    _xlpm.areaBuscada, C39,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TEXT(COUNTIF($C$2:C39, _xlpm.areaBuscada), "0000"),
    _xlpm.codItem &amp; "-" &amp; _xlpm.codArea &amp; "-" &amp; _xlpm.secuencia
)</f>
        <v>-SinArea-0000</v>
      </c>
      <c r="P39" s="15"/>
      <c r="R39" s="48"/>
      <c r="AE39" s="62" t="s">
        <v>271</v>
      </c>
      <c r="AG39" s="68" t="s">
        <v>272</v>
      </c>
      <c r="AH39" s="22" t="s">
        <v>273</v>
      </c>
    </row>
    <row r="40" spans="3:43" x14ac:dyDescent="0.3">
      <c r="C40" s="11"/>
      <c r="E40" s="11"/>
      <c r="F40" s="15"/>
      <c r="G40" s="15"/>
      <c r="H40" s="15"/>
      <c r="I40" s="15"/>
      <c r="J40" s="15"/>
      <c r="K40" s="47"/>
      <c r="M40" s="47"/>
      <c r="N40" s="47" t="str">
        <f>_xlfn.LET(
    _xlpm.itemBuscado, B40,
    _xlpm.areaBuscada, C40,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TEXT(COUNTIF($C$2:C40, _xlpm.areaBuscada), "0000"),
    _xlpm.codItem &amp; "-" &amp; _xlpm.codArea &amp; "-" &amp; _xlpm.secuencia
)</f>
        <v>-SinArea-0000</v>
      </c>
      <c r="P40" s="15"/>
      <c r="R40" s="48"/>
      <c r="AE40" s="70" t="s">
        <v>17</v>
      </c>
      <c r="AH40" t="s">
        <v>274</v>
      </c>
    </row>
    <row r="41" spans="3:43" x14ac:dyDescent="0.3">
      <c r="C41" s="11"/>
      <c r="E41" s="11"/>
      <c r="F41" s="15"/>
      <c r="G41" s="15"/>
      <c r="H41" s="15"/>
      <c r="I41" s="15"/>
      <c r="J41" s="15"/>
      <c r="K41" s="47"/>
      <c r="M41" s="47"/>
      <c r="N41" s="47" t="str">
        <f>_xlfn.LET(
    _xlpm.itemBuscado, B41,
    _xlpm.areaBuscada, C41,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TEXT(COUNTIF($C$2:C41, _xlpm.areaBuscada), "0000"),
    _xlpm.codItem &amp; "-" &amp; _xlpm.codArea &amp; "-" &amp; _xlpm.secuencia
)</f>
        <v>-SinArea-0000</v>
      </c>
      <c r="P41" s="15"/>
      <c r="R41" s="48"/>
      <c r="AG41" t="s">
        <v>61</v>
      </c>
    </row>
    <row r="42" spans="3:43" x14ac:dyDescent="0.3">
      <c r="C42" s="11"/>
      <c r="E42" s="11"/>
      <c r="F42" s="15"/>
      <c r="G42" s="15"/>
      <c r="H42" s="15"/>
      <c r="I42" s="15"/>
      <c r="J42" s="15"/>
      <c r="K42" s="47"/>
      <c r="M42" s="47"/>
      <c r="N42" s="47" t="str">
        <f>_xlfn.LET(
    _xlpm.itemBuscado, B42,
    _xlpm.areaBuscada, C42,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TEXT(COUNTIF($C$2:C42, _xlpm.areaBuscada), "0000"),
    _xlpm.codItem &amp; "-" &amp; _xlpm.codArea &amp; "-" &amp; _xlpm.secuencia
)</f>
        <v>-SinArea-0000</v>
      </c>
      <c r="P42" s="15"/>
      <c r="R42" s="48"/>
      <c r="AE42" s="71" t="s">
        <v>94</v>
      </c>
      <c r="AG42" t="s">
        <v>275</v>
      </c>
    </row>
    <row r="43" spans="3:43" ht="28.8" x14ac:dyDescent="0.3">
      <c r="C43" s="11"/>
      <c r="E43" s="11"/>
      <c r="F43" s="15"/>
      <c r="G43" s="15"/>
      <c r="H43" s="15"/>
      <c r="I43" s="15"/>
      <c r="J43" s="15"/>
      <c r="K43" s="47"/>
      <c r="M43" s="47"/>
      <c r="N43" s="47" t="str">
        <f>_xlfn.LET(
    _xlpm.itemBuscado, B43,
    _xlpm.areaBuscada, C43,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TEXT(COUNTIF($C$2:C43, _xlpm.areaBuscada), "0000"),
    _xlpm.codItem &amp; "-" &amp; _xlpm.codArea &amp; "-" &amp; _xlpm.secuencia
)</f>
        <v>-SinArea-0000</v>
      </c>
      <c r="P43" s="15"/>
      <c r="R43" s="48"/>
      <c r="AE43" s="72" t="s">
        <v>276</v>
      </c>
      <c r="AG43" s="20" t="s">
        <v>277</v>
      </c>
      <c r="AH43" t="s">
        <v>98</v>
      </c>
    </row>
    <row r="44" spans="3:43" x14ac:dyDescent="0.3">
      <c r="C44" s="11"/>
      <c r="E44" s="11"/>
      <c r="F44" s="15"/>
      <c r="G44" s="15"/>
      <c r="H44" s="15"/>
      <c r="I44" s="15"/>
      <c r="J44" s="15"/>
      <c r="K44" s="47"/>
      <c r="M44" s="47"/>
      <c r="N44" s="47" t="str">
        <f>_xlfn.LET(
    _xlpm.itemBuscado, B44,
    _xlpm.areaBuscada, C44,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TEXT(COUNTIF($C$2:C44, _xlpm.areaBuscada), "0000"),
    _xlpm.codItem &amp; "-" &amp; _xlpm.codArea &amp; "-" &amp; _xlpm.secuencia
)</f>
        <v>-SinArea-0000</v>
      </c>
      <c r="P44" s="15"/>
      <c r="R44" s="48"/>
      <c r="AE44" s="73" t="s">
        <v>278</v>
      </c>
      <c r="AG44" s="18" t="s">
        <v>279</v>
      </c>
      <c r="AH44" s="26" t="s">
        <v>280</v>
      </c>
    </row>
    <row r="45" spans="3:43" x14ac:dyDescent="0.3">
      <c r="C45" s="11"/>
      <c r="E45" s="11"/>
      <c r="F45" s="15"/>
      <c r="G45" s="15"/>
      <c r="H45" s="15"/>
      <c r="I45" s="15"/>
      <c r="J45" s="15"/>
      <c r="K45" s="47"/>
      <c r="M45" s="47"/>
      <c r="N45" s="47" t="str">
        <f>_xlfn.LET(
    _xlpm.itemBuscado, B45,
    _xlpm.areaBuscada, C45,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TEXT(COUNTIF($C$2:C45, _xlpm.areaBuscada), "0000"),
    _xlpm.codItem &amp; "-" &amp; _xlpm.codArea &amp; "-" &amp; _xlpm.secuencia
)</f>
        <v>-SinArea-0000</v>
      </c>
      <c r="P45" s="15"/>
      <c r="R45" s="48"/>
      <c r="AE45" t="s">
        <v>42</v>
      </c>
      <c r="AG45" s="26" t="s">
        <v>281</v>
      </c>
    </row>
    <row r="46" spans="3:43" x14ac:dyDescent="0.3">
      <c r="C46" s="11"/>
      <c r="E46" s="11"/>
      <c r="F46" s="15"/>
      <c r="G46" s="15"/>
      <c r="H46" s="15"/>
      <c r="I46" s="15"/>
      <c r="J46" s="15"/>
      <c r="K46" s="47"/>
      <c r="M46" s="47"/>
      <c r="N46" s="47" t="str">
        <f>_xlfn.LET(
    _xlpm.itemBuscado, B46,
    _xlpm.areaBuscada, C46,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TEXT(COUNTIF($C$2:C46, _xlpm.areaBuscada), "0000"),
    _xlpm.codItem &amp; "-" &amp; _xlpm.codArea &amp; "-" &amp; _xlpm.secuencia
)</f>
        <v>-SinArea-0000</v>
      </c>
      <c r="P46" s="15"/>
      <c r="R46" s="48"/>
    </row>
    <row r="47" spans="3:43" x14ac:dyDescent="0.3">
      <c r="C47" s="11"/>
      <c r="E47" s="11"/>
      <c r="F47" s="15"/>
      <c r="G47" s="15"/>
      <c r="H47" s="15"/>
      <c r="I47" s="15"/>
      <c r="J47" s="15"/>
      <c r="K47" s="47"/>
      <c r="M47" s="47"/>
      <c r="N47" s="47" t="str">
        <f>_xlfn.LET(
    _xlpm.itemBuscado, B47,
    _xlpm.areaBuscada, C47,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TEXT(COUNTIF($C$2:C47, _xlpm.areaBuscada), "0000"),
    _xlpm.codItem &amp; "-" &amp; _xlpm.codArea &amp; "-" &amp; _xlpm.secuencia
)</f>
        <v>-SinArea-0000</v>
      </c>
      <c r="P47" s="15"/>
      <c r="R47" s="48"/>
      <c r="AE47" t="s">
        <v>41</v>
      </c>
      <c r="AH47" t="s">
        <v>282</v>
      </c>
    </row>
    <row r="48" spans="3:43" ht="28.8" x14ac:dyDescent="0.3">
      <c r="C48" s="11"/>
      <c r="E48" s="11"/>
      <c r="F48" s="15"/>
      <c r="G48" s="15"/>
      <c r="H48" s="15"/>
      <c r="I48" s="15"/>
      <c r="J48" s="15"/>
      <c r="K48" s="47"/>
      <c r="M48" s="47"/>
      <c r="N48" s="47" t="str">
        <f>_xlfn.LET(
    _xlpm.itemBuscado, B48,
    _xlpm.areaBuscada, C48,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TEXT(COUNTIF($C$2:C48, _xlpm.areaBuscada), "0000"),
    _xlpm.codItem &amp; "-" &amp; _xlpm.codArea &amp; "-" &amp; _xlpm.secuencia
)</f>
        <v>-SinArea-0000</v>
      </c>
      <c r="P48" s="15"/>
      <c r="R48" s="48"/>
      <c r="AE48" t="s">
        <v>41</v>
      </c>
      <c r="AG48" t="s">
        <v>283</v>
      </c>
      <c r="AH48" s="74" t="s">
        <v>284</v>
      </c>
      <c r="AQ48" t="s">
        <v>74</v>
      </c>
    </row>
    <row r="49" spans="3:43" x14ac:dyDescent="0.3">
      <c r="C49" s="11"/>
      <c r="E49" s="11"/>
      <c r="F49" s="15"/>
      <c r="G49" s="15"/>
      <c r="H49" s="15"/>
      <c r="I49" s="15"/>
      <c r="J49" s="15"/>
      <c r="K49" s="47"/>
      <c r="M49" s="47"/>
      <c r="N49" s="47" t="str">
        <f>_xlfn.LET(
    _xlpm.itemBuscado, B49,
    _xlpm.areaBuscada, C49,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TEXT(COUNTIF($C$2:C49, _xlpm.areaBuscada), "0000"),
    _xlpm.codItem &amp; "-" &amp; _xlpm.codArea &amp; "-" &amp; _xlpm.secuencia
)</f>
        <v>-SinArea-0000</v>
      </c>
      <c r="P49" s="15"/>
      <c r="R49" s="48"/>
      <c r="AE49" t="s">
        <v>285</v>
      </c>
      <c r="AG49" t="s">
        <v>286</v>
      </c>
      <c r="AQ49" s="22" t="s">
        <v>74</v>
      </c>
    </row>
    <row r="50" spans="3:43" x14ac:dyDescent="0.3">
      <c r="C50" s="11"/>
      <c r="E50" s="11"/>
      <c r="F50" s="15"/>
      <c r="G50" s="15"/>
      <c r="H50" s="15"/>
      <c r="I50" s="15"/>
      <c r="J50" s="15"/>
      <c r="K50" s="47"/>
      <c r="M50" s="47"/>
      <c r="N50" s="47" t="str">
        <f>_xlfn.LET(
    _xlpm.itemBuscado, B50,
    _xlpm.areaBuscada, C50,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TEXT(COUNTIF($C$2:C50, _xlpm.areaBuscada), "0000"),
    _xlpm.codItem &amp; "-" &amp; _xlpm.codArea &amp; "-" &amp; _xlpm.secuencia
)</f>
        <v>-SinArea-0000</v>
      </c>
      <c r="P50" s="15"/>
      <c r="R50" s="48"/>
      <c r="AE50" t="s">
        <v>287</v>
      </c>
      <c r="AG50" t="s">
        <v>288</v>
      </c>
      <c r="AH50" t="s">
        <v>289</v>
      </c>
      <c r="AQ50" s="18" t="s">
        <v>290</v>
      </c>
    </row>
    <row r="51" spans="3:43" x14ac:dyDescent="0.3">
      <c r="C51" s="11"/>
      <c r="E51" s="11"/>
      <c r="F51" s="15"/>
      <c r="G51" s="15"/>
      <c r="H51" s="15"/>
      <c r="I51" s="15"/>
      <c r="J51" s="15"/>
      <c r="K51" s="47"/>
      <c r="M51" s="47"/>
      <c r="N51" s="47" t="str">
        <f>_xlfn.LET(
    _xlpm.itemBuscado, B51,
    _xlpm.areaBuscada, C51,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TEXT(COUNTIF($C$2:C51, _xlpm.areaBuscada), "0000"),
    _xlpm.codItem &amp; "-" &amp; _xlpm.codArea &amp; "-" &amp; _xlpm.secuencia
)</f>
        <v>-SinArea-0000</v>
      </c>
      <c r="P51" s="15"/>
      <c r="R51" s="48"/>
      <c r="AH51" s="22" t="s">
        <v>291</v>
      </c>
    </row>
    <row r="52" spans="3:43" x14ac:dyDescent="0.3">
      <c r="C52" s="11"/>
      <c r="E52" s="11"/>
      <c r="F52" s="15"/>
      <c r="G52" s="15"/>
      <c r="H52" s="15"/>
      <c r="I52" s="15"/>
      <c r="J52" s="15"/>
      <c r="K52" s="47"/>
      <c r="M52" s="47"/>
      <c r="N52" s="47" t="str">
        <f>_xlfn.LET(
    _xlpm.itemBuscado, B52,
    _xlpm.areaBuscada, C52,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TEXT(COUNTIF($C$2:C52, _xlpm.areaBuscada), "0000"),
    _xlpm.codItem &amp; "-" &amp; _xlpm.codArea &amp; "-" &amp; _xlpm.secuencia
)</f>
        <v>-SinArea-0000</v>
      </c>
      <c r="P52" s="15"/>
      <c r="R52" s="48"/>
      <c r="AE52" t="s">
        <v>60</v>
      </c>
      <c r="AH52" s="67" t="s">
        <v>292</v>
      </c>
    </row>
    <row r="53" spans="3:43" x14ac:dyDescent="0.3">
      <c r="C53" s="11"/>
      <c r="E53" s="11"/>
      <c r="F53" s="15"/>
      <c r="G53" s="15"/>
      <c r="H53" s="15"/>
      <c r="I53" s="15"/>
      <c r="J53" s="15"/>
      <c r="K53" s="47"/>
      <c r="M53" s="47"/>
      <c r="N53" s="47" t="str">
        <f>_xlfn.LET(
    _xlpm.itemBuscado, B53,
    _xlpm.areaBuscada, C53,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TEXT(COUNTIF($C$2:C53, _xlpm.areaBuscada), "0000"),
    _xlpm.codItem &amp; "-" &amp; _xlpm.codArea &amp; "-" &amp; _xlpm.secuencia
)</f>
        <v>-SinArea-0000</v>
      </c>
      <c r="P53" s="15"/>
      <c r="R53" s="48"/>
      <c r="AE53" s="70" t="s">
        <v>293</v>
      </c>
      <c r="AH53" s="22" t="s">
        <v>294</v>
      </c>
    </row>
    <row r="54" spans="3:43" x14ac:dyDescent="0.3">
      <c r="C54" s="11"/>
      <c r="E54" s="11"/>
      <c r="F54" s="15"/>
      <c r="G54" s="15"/>
      <c r="H54" s="15"/>
      <c r="I54" s="15"/>
      <c r="J54" s="15"/>
      <c r="K54" s="47"/>
      <c r="M54" s="47"/>
      <c r="N54" s="47" t="str">
        <f>_xlfn.LET(
    _xlpm.itemBuscado, B54,
    _xlpm.areaBuscada, C54,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TEXT(COUNTIF($C$2:C54, _xlpm.areaBuscada), "0000"),
    _xlpm.codItem &amp; "-" &amp; _xlpm.codArea &amp; "-" &amp; _xlpm.secuencia
)</f>
        <v>-SinArea-0000</v>
      </c>
      <c r="P54" s="15"/>
      <c r="R54" s="48"/>
      <c r="AH54" s="22" t="s">
        <v>295</v>
      </c>
    </row>
    <row r="55" spans="3:43" x14ac:dyDescent="0.3">
      <c r="C55" s="11"/>
      <c r="E55" s="11"/>
      <c r="F55" s="15"/>
      <c r="G55" s="15"/>
      <c r="H55" s="15"/>
      <c r="I55" s="15"/>
      <c r="J55" s="15"/>
      <c r="K55" s="47"/>
      <c r="M55" s="47"/>
      <c r="N55" s="47" t="str">
        <f>_xlfn.LET(
    _xlpm.itemBuscado, B55,
    _xlpm.areaBuscada, C55,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TEXT(COUNTIF($C$2:C55, _xlpm.areaBuscada), "0000"),
    _xlpm.codItem &amp; "-" &amp; _xlpm.codArea &amp; "-" &amp; _xlpm.secuencia
)</f>
        <v>-SinArea-0000</v>
      </c>
      <c r="P55" s="15"/>
      <c r="R55" s="48"/>
      <c r="AH55" s="22" t="s">
        <v>296</v>
      </c>
    </row>
    <row r="56" spans="3:43" x14ac:dyDescent="0.3">
      <c r="C56" s="11"/>
      <c r="E56" s="11"/>
      <c r="F56" s="15"/>
      <c r="G56" s="15"/>
      <c r="H56" s="15"/>
      <c r="I56" s="15"/>
      <c r="J56" s="15"/>
      <c r="K56" s="47"/>
      <c r="M56" s="47"/>
      <c r="N56" s="47" t="str">
        <f>_xlfn.LET(
    _xlpm.itemBuscado, B56,
    _xlpm.areaBuscada, C56,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TEXT(COUNTIF($C$2:C56, _xlpm.areaBuscada), "0000"),
    _xlpm.codItem &amp; "-" &amp; _xlpm.codArea &amp; "-" &amp; _xlpm.secuencia
)</f>
        <v>-SinArea-0000</v>
      </c>
      <c r="P56" s="15"/>
      <c r="R56" s="48"/>
      <c r="AG56" t="s">
        <v>297</v>
      </c>
      <c r="AH56" s="18" t="s">
        <v>298</v>
      </c>
    </row>
    <row r="57" spans="3:43" x14ac:dyDescent="0.3">
      <c r="C57" s="11"/>
      <c r="E57" s="11"/>
      <c r="F57" s="15"/>
      <c r="G57" s="15"/>
      <c r="H57" s="15"/>
      <c r="I57" s="15"/>
      <c r="J57" s="15"/>
      <c r="K57" s="47"/>
      <c r="M57" s="47"/>
      <c r="N57" s="47" t="str">
        <f>_xlfn.LET(
    _xlpm.itemBuscado, B57,
    _xlpm.areaBuscada, C57,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TEXT(COUNTIF($C$2:C57, _xlpm.areaBuscada), "0000"),
    _xlpm.codItem &amp; "-" &amp; _xlpm.codArea &amp; "-" &amp; _xlpm.secuencia
)</f>
        <v>-SinArea-0000</v>
      </c>
      <c r="P57" s="15"/>
      <c r="R57" s="48"/>
      <c r="AG57" t="s">
        <v>299</v>
      </c>
      <c r="AH57" s="22" t="s">
        <v>300</v>
      </c>
    </row>
    <row r="58" spans="3:43" x14ac:dyDescent="0.3">
      <c r="C58" s="11"/>
      <c r="E58" s="11"/>
      <c r="F58" s="15"/>
      <c r="G58" s="15"/>
      <c r="H58" s="15"/>
      <c r="I58" s="15"/>
      <c r="J58" s="15"/>
      <c r="K58" s="47"/>
      <c r="M58" s="47"/>
      <c r="N58" s="47" t="str">
        <f>_xlfn.LET(
    _xlpm.itemBuscado, B58,
    _xlpm.areaBuscada, C58,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TEXT(COUNTIF($C$2:C58, _xlpm.areaBuscada), "0000"),
    _xlpm.codItem &amp; "-" &amp; _xlpm.codArea &amp; "-" &amp; _xlpm.secuencia
)</f>
        <v>-SinArea-0000</v>
      </c>
      <c r="P58" s="15"/>
      <c r="R58" s="48"/>
      <c r="AE58" t="s">
        <v>23</v>
      </c>
      <c r="AH58" s="18" t="s">
        <v>301</v>
      </c>
    </row>
    <row r="59" spans="3:43" x14ac:dyDescent="0.3">
      <c r="C59" s="11"/>
      <c r="E59" s="11"/>
      <c r="F59" s="15"/>
      <c r="G59" s="15"/>
      <c r="H59" s="15"/>
      <c r="I59" s="15"/>
      <c r="J59" s="15"/>
      <c r="K59" s="47"/>
      <c r="M59" s="47"/>
      <c r="N59" s="47" t="str">
        <f>_xlfn.LET(
    _xlpm.itemBuscado, B59,
    _xlpm.areaBuscada, C59,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TEXT(COUNTIF($C$2:C59, _xlpm.areaBuscada), "0000"),
    _xlpm.codItem &amp; "-" &amp; _xlpm.codArea &amp; "-" &amp; _xlpm.secuencia
)</f>
        <v>-SinArea-0000</v>
      </c>
      <c r="P59" s="15"/>
      <c r="R59" s="48"/>
      <c r="AE59" t="s">
        <v>302</v>
      </c>
      <c r="AH59" s="70" t="s">
        <v>303</v>
      </c>
    </row>
    <row r="60" spans="3:43" x14ac:dyDescent="0.3">
      <c r="C60" s="11"/>
      <c r="E60" s="11"/>
      <c r="F60" s="15"/>
      <c r="G60" s="15"/>
      <c r="H60" s="15"/>
      <c r="I60" s="15"/>
      <c r="J60" s="15"/>
      <c r="K60" s="47"/>
      <c r="M60" s="47"/>
      <c r="N60" s="47" t="str">
        <f>_xlfn.LET(
    _xlpm.itemBuscado, B60,
    _xlpm.areaBuscada, C60,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TEXT(COUNTIF($C$2:C60, _xlpm.areaBuscada), "0000"),
    _xlpm.codItem &amp; "-" &amp; _xlpm.codArea &amp; "-" &amp; _xlpm.secuencia
)</f>
        <v>-SinArea-0000</v>
      </c>
      <c r="P60" s="15"/>
      <c r="R60" s="48"/>
      <c r="AG60" t="s">
        <v>62</v>
      </c>
    </row>
    <row r="61" spans="3:43" x14ac:dyDescent="0.3">
      <c r="C61" s="11"/>
      <c r="E61" s="11"/>
      <c r="F61" s="15"/>
      <c r="G61" s="15"/>
      <c r="H61" s="15"/>
      <c r="I61" s="15"/>
      <c r="J61" s="15"/>
      <c r="K61" s="47"/>
      <c r="M61" s="47"/>
      <c r="N61" s="47" t="str">
        <f>_xlfn.LET(
    _xlpm.itemBuscado, B61,
    _xlpm.areaBuscada, C61,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TEXT(COUNTIF($C$2:C61, _xlpm.areaBuscada), "0000"),
    _xlpm.codItem &amp; "-" &amp; _xlpm.codArea &amp; "-" &amp; _xlpm.secuencia
)</f>
        <v>-SinArea-0000</v>
      </c>
      <c r="P61" s="15"/>
      <c r="R61" s="48"/>
      <c r="AG61" s="70" t="s">
        <v>304</v>
      </c>
      <c r="AH61" t="s">
        <v>305</v>
      </c>
    </row>
    <row r="62" spans="3:43" x14ac:dyDescent="0.3">
      <c r="C62" s="11"/>
      <c r="E62" s="11"/>
      <c r="F62" s="15"/>
      <c r="G62" s="15"/>
      <c r="H62" s="15"/>
      <c r="I62" s="15"/>
      <c r="J62" s="15"/>
      <c r="K62" s="47"/>
      <c r="M62" s="47"/>
      <c r="N62" s="47" t="str">
        <f>_xlfn.LET(
    _xlpm.itemBuscado, B62,
    _xlpm.areaBuscada, C62,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TEXT(COUNTIF($C$2:C62, _xlpm.areaBuscada), "0000"),
    _xlpm.codItem &amp; "-" &amp; _xlpm.codArea &amp; "-" &amp; _xlpm.secuencia
)</f>
        <v>-SinArea-0000</v>
      </c>
      <c r="P62" s="15"/>
      <c r="R62" s="48"/>
      <c r="AE62" t="s">
        <v>64</v>
      </c>
      <c r="AH62" t="s">
        <v>306</v>
      </c>
    </row>
    <row r="63" spans="3:43" x14ac:dyDescent="0.3">
      <c r="C63" s="11"/>
      <c r="E63" s="11"/>
      <c r="F63" s="15"/>
      <c r="G63" s="15"/>
      <c r="H63" s="15"/>
      <c r="I63" s="15"/>
      <c r="J63" s="15"/>
      <c r="K63" s="47"/>
      <c r="M63" s="47"/>
      <c r="N63" s="47" t="str">
        <f>_xlfn.LET(
    _xlpm.itemBuscado, B63,
    _xlpm.areaBuscada, C63,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TEXT(COUNTIF($C$2:C63, _xlpm.areaBuscada), "0000"),
    _xlpm.codItem &amp; "-" &amp; _xlpm.codArea &amp; "-" &amp; _xlpm.secuencia
)</f>
        <v>-SinArea-0000</v>
      </c>
      <c r="P63" s="15"/>
      <c r="R63" s="48"/>
      <c r="AE63" s="75" t="s">
        <v>307</v>
      </c>
      <c r="AG63" t="s">
        <v>89</v>
      </c>
    </row>
    <row r="64" spans="3:43" ht="28.8" x14ac:dyDescent="0.3">
      <c r="C64" s="11"/>
      <c r="E64" s="11"/>
      <c r="F64" s="15"/>
      <c r="G64" s="15"/>
      <c r="H64" s="15"/>
      <c r="I64" s="15"/>
      <c r="J64" s="15"/>
      <c r="K64" s="47"/>
      <c r="M64" s="47"/>
      <c r="N64" s="47" t="str">
        <f>_xlfn.LET(
    _xlpm.itemBuscado, B64,
    _xlpm.areaBuscada, C64,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TEXT(COUNTIF($C$2:C64, _xlpm.areaBuscada), "0000"),
    _xlpm.codItem &amp; "-" &amp; _xlpm.codArea &amp; "-" &amp; _xlpm.secuencia
)</f>
        <v>-SinArea-0000</v>
      </c>
      <c r="P64" s="15"/>
      <c r="R64" s="48"/>
      <c r="AE64" s="70" t="s">
        <v>308</v>
      </c>
      <c r="AG64" s="12" t="s">
        <v>309</v>
      </c>
      <c r="AH64" t="s">
        <v>102</v>
      </c>
    </row>
    <row r="65" spans="3:34" x14ac:dyDescent="0.3">
      <c r="C65" s="11"/>
      <c r="E65" s="11"/>
      <c r="F65" s="15"/>
      <c r="G65" s="15"/>
      <c r="H65" s="15"/>
      <c r="I65" s="15"/>
      <c r="J65" s="15"/>
      <c r="K65" s="47"/>
      <c r="M65" s="47"/>
      <c r="N65" s="47" t="str">
        <f>_xlfn.LET(
    _xlpm.itemBuscado, B65,
    _xlpm.areaBuscada, C65,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TEXT(COUNTIF($C$2:C65, _xlpm.areaBuscada), "0000"),
    _xlpm.codItem &amp; "-" &amp; _xlpm.codArea &amp; "-" &amp; _xlpm.secuencia
)</f>
        <v>-SinArea-0000</v>
      </c>
      <c r="P65" s="15"/>
      <c r="R65" s="48"/>
      <c r="AH65" t="s">
        <v>310</v>
      </c>
    </row>
    <row r="66" spans="3:34" x14ac:dyDescent="0.3">
      <c r="C66" s="11"/>
      <c r="E66" s="11"/>
      <c r="F66" s="15"/>
      <c r="G66" s="15"/>
      <c r="H66" s="15"/>
      <c r="I66" s="15"/>
      <c r="J66" s="15"/>
      <c r="K66" s="47"/>
      <c r="M66" s="47"/>
      <c r="N66" s="47" t="str">
        <f>_xlfn.LET(
    _xlpm.itemBuscado, B66,
    _xlpm.areaBuscada, C66,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TEXT(COUNTIF($C$2:C66, _xlpm.areaBuscada), "0000"),
    _xlpm.codItem &amp; "-" &amp; _xlpm.codArea &amp; "-" &amp; _xlpm.secuencia
)</f>
        <v>-SinArea-0000</v>
      </c>
      <c r="P66" s="15"/>
      <c r="R66" s="48"/>
      <c r="AE66" t="s">
        <v>101</v>
      </c>
      <c r="AG66" s="34" t="s">
        <v>73</v>
      </c>
    </row>
    <row r="67" spans="3:34" x14ac:dyDescent="0.3">
      <c r="C67" s="11"/>
      <c r="E67" s="11"/>
      <c r="F67" s="15"/>
      <c r="G67" s="15"/>
      <c r="H67" s="15"/>
      <c r="I67" s="15"/>
      <c r="J67" s="15"/>
      <c r="K67" s="47"/>
      <c r="M67" s="47"/>
      <c r="N67" s="47" t="str">
        <f>_xlfn.LET(
    _xlpm.itemBuscado, B67,
    _xlpm.areaBuscada, C67,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TEXT(COUNTIF($C$2:C67, _xlpm.areaBuscada), "0000"),
    _xlpm.codItem &amp; "-" &amp; _xlpm.codArea &amp; "-" &amp; _xlpm.secuencia
)</f>
        <v>-SinArea-0000</v>
      </c>
      <c r="P67" s="15"/>
      <c r="R67" s="48"/>
      <c r="AE67" t="s">
        <v>311</v>
      </c>
      <c r="AG67" s="22" t="s">
        <v>312</v>
      </c>
      <c r="AH67" t="s">
        <v>313</v>
      </c>
    </row>
    <row r="68" spans="3:34" x14ac:dyDescent="0.3">
      <c r="C68" s="11"/>
      <c r="E68" s="11"/>
      <c r="F68" s="15"/>
      <c r="G68" s="15"/>
      <c r="H68" s="15"/>
      <c r="I68" s="15"/>
      <c r="J68" s="15"/>
      <c r="K68" s="47"/>
      <c r="M68" s="47"/>
      <c r="N68" s="47" t="str">
        <f>_xlfn.LET(
    _xlpm.itemBuscado, B68,
    _xlpm.areaBuscada, C68,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TEXT(COUNTIF($C$2:C68, _xlpm.areaBuscada), "0000"),
    _xlpm.codItem &amp; "-" &amp; _xlpm.codArea &amp; "-" &amp; _xlpm.secuencia
)</f>
        <v>-SinArea-0000</v>
      </c>
      <c r="P68" s="15"/>
      <c r="R68" s="48"/>
      <c r="AH68" s="21" t="s">
        <v>314</v>
      </c>
    </row>
    <row r="69" spans="3:34" x14ac:dyDescent="0.3">
      <c r="C69" s="11"/>
      <c r="E69" s="11"/>
      <c r="F69" s="15"/>
      <c r="G69" s="15"/>
      <c r="H69" s="15"/>
      <c r="I69" s="15"/>
      <c r="J69" s="15"/>
      <c r="K69" s="47"/>
      <c r="M69" s="47"/>
      <c r="N69" s="47" t="str">
        <f>_xlfn.LET(
    _xlpm.itemBuscado, B69,
    _xlpm.areaBuscada, C69,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TEXT(COUNTIF($C$2:C69, _xlpm.areaBuscada), "0000"),
    _xlpm.codItem &amp; "-" &amp; _xlpm.codArea &amp; "-" &amp; _xlpm.secuencia
)</f>
        <v>-SinArea-0000</v>
      </c>
      <c r="P69" s="15"/>
      <c r="R69" s="48"/>
      <c r="AH69" s="70" t="s">
        <v>315</v>
      </c>
    </row>
    <row r="70" spans="3:34" x14ac:dyDescent="0.3">
      <c r="C70" s="11"/>
      <c r="E70" s="11"/>
      <c r="F70" s="15"/>
      <c r="G70" s="15"/>
      <c r="H70" s="15"/>
      <c r="I70" s="15"/>
      <c r="J70" s="15"/>
      <c r="K70" s="47"/>
      <c r="M70" s="47"/>
      <c r="N70" s="47" t="str">
        <f>_xlfn.LET(
    _xlpm.itemBuscado, B70,
    _xlpm.areaBuscada, C70,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TEXT(COUNTIF($C$2:C70, _xlpm.areaBuscada), "0000"),
    _xlpm.codItem &amp; "-" &amp; _xlpm.codArea &amp; "-" &amp; _xlpm.secuencia
)</f>
        <v>-SinArea-0000</v>
      </c>
      <c r="P70" s="15"/>
      <c r="R70" s="48"/>
    </row>
    <row r="71" spans="3:34" x14ac:dyDescent="0.3">
      <c r="C71" s="11"/>
      <c r="E71" s="11"/>
      <c r="F71" s="15"/>
      <c r="G71" s="15"/>
      <c r="H71" s="15"/>
      <c r="I71" s="15"/>
      <c r="J71" s="15"/>
      <c r="K71" s="47"/>
      <c r="M71" s="47"/>
      <c r="N71" s="47" t="str">
        <f>_xlfn.LET(
    _xlpm.itemBuscado, B71,
    _xlpm.areaBuscada, C71,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TEXT(COUNTIF($C$2:C71, _xlpm.areaBuscada), "0000"),
    _xlpm.codItem &amp; "-" &amp; _xlpm.codArea &amp; "-" &amp; _xlpm.secuencia
)</f>
        <v>-SinArea-0000</v>
      </c>
      <c r="P71" s="15"/>
      <c r="R71" s="48"/>
    </row>
    <row r="72" spans="3:34" x14ac:dyDescent="0.3">
      <c r="C72" s="11"/>
      <c r="E72" s="11"/>
      <c r="F72" s="15"/>
      <c r="G72" s="15"/>
      <c r="H72" s="15"/>
      <c r="I72" s="15"/>
      <c r="J72" s="15"/>
      <c r="K72" s="47"/>
      <c r="M72" s="47"/>
      <c r="N72" s="47" t="str">
        <f>_xlfn.LET(
    _xlpm.itemBuscado, B72,
    _xlpm.areaBuscada, C72,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TEXT(COUNTIF($C$2:C72, _xlpm.areaBuscada), "0000"),
    _xlpm.codItem &amp; "-" &amp; _xlpm.codArea &amp; "-" &amp; _xlpm.secuencia
)</f>
        <v>-SinArea-0000</v>
      </c>
      <c r="P72" s="15"/>
      <c r="R72" s="48"/>
    </row>
    <row r="73" spans="3:34" x14ac:dyDescent="0.3">
      <c r="C73" s="11"/>
      <c r="E73" s="11"/>
      <c r="F73" s="15"/>
      <c r="G73" s="15"/>
      <c r="H73" s="15"/>
      <c r="I73" s="15"/>
      <c r="J73" s="15"/>
      <c r="K73" s="47"/>
      <c r="M73" s="47"/>
      <c r="N73" s="47" t="str">
        <f>_xlfn.LET(
    _xlpm.itemBuscado, B73,
    _xlpm.areaBuscada, C73,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TEXT(COUNTIF($C$2:C73, _xlpm.areaBuscada), "0000"),
    _xlpm.codItem &amp; "-" &amp; _xlpm.codArea &amp; "-" &amp; _xlpm.secuencia
)</f>
        <v>-SinArea-0000</v>
      </c>
      <c r="P73" s="15"/>
      <c r="R73" s="48"/>
    </row>
    <row r="74" spans="3:34" x14ac:dyDescent="0.3">
      <c r="C74" s="11"/>
      <c r="E74" s="11"/>
      <c r="F74" s="15"/>
      <c r="G74" s="15"/>
      <c r="H74" s="15"/>
      <c r="I74" s="15"/>
      <c r="J74" s="15"/>
      <c r="K74" s="47"/>
      <c r="M74" s="47"/>
      <c r="N74" s="47" t="str">
        <f>_xlfn.LET(
    _xlpm.itemBuscado, B74,
    _xlpm.areaBuscada, C74,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TEXT(COUNTIF($C$2:C74, _xlpm.areaBuscada), "0000"),
    _xlpm.codItem &amp; "-" &amp; _xlpm.codArea &amp; "-" &amp; _xlpm.secuencia
)</f>
        <v>-SinArea-0000</v>
      </c>
      <c r="P74" s="15"/>
      <c r="R74" s="48"/>
    </row>
    <row r="75" spans="3:34" ht="57.6" x14ac:dyDescent="0.3">
      <c r="C75" s="11"/>
      <c r="E75" s="11"/>
      <c r="F75" s="15"/>
      <c r="G75" s="15"/>
      <c r="H75" s="15"/>
      <c r="I75" s="15"/>
      <c r="J75" s="15"/>
      <c r="K75" s="47"/>
      <c r="M75" s="47"/>
      <c r="N75" s="47" t="str">
        <f>_xlfn.LET(
    _xlpm.itemBuscado, B75,
    _xlpm.areaBuscada, C75,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TEXT(COUNTIF($C$2:C75, _xlpm.areaBuscada), "0000"),
    _xlpm.codItem &amp; "-" &amp; _xlpm.codArea &amp; "-" &amp; _xlpm.secuencia
)</f>
        <v>-SinArea-0000</v>
      </c>
      <c r="P75" s="15"/>
      <c r="R75" s="48"/>
      <c r="AE75" s="11" t="s">
        <v>316</v>
      </c>
    </row>
    <row r="76" spans="3:34" x14ac:dyDescent="0.3">
      <c r="C76" s="11"/>
      <c r="E76" s="11"/>
      <c r="F76" s="15"/>
      <c r="G76" s="15"/>
      <c r="H76" s="15"/>
      <c r="I76" s="15"/>
      <c r="J76" s="15"/>
      <c r="K76" s="47"/>
      <c r="M76" s="47"/>
      <c r="N76" s="47" t="str">
        <f>_xlfn.LET(
    _xlpm.itemBuscado, B76,
    _xlpm.areaBuscada, C76,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TEXT(COUNTIF($C$2:C76, _xlpm.areaBuscada), "0000"),
    _xlpm.codItem &amp; "-" &amp; _xlpm.codArea &amp; "-" &amp; _xlpm.secuencia
)</f>
        <v>-SinArea-0000</v>
      </c>
      <c r="P76" s="15"/>
      <c r="R76" s="48"/>
    </row>
    <row r="77" spans="3:34" x14ac:dyDescent="0.3">
      <c r="C77" s="11"/>
      <c r="E77" s="11"/>
      <c r="F77" s="15"/>
      <c r="G77" s="15"/>
      <c r="H77" s="15"/>
      <c r="I77" s="15"/>
      <c r="J77" s="15"/>
      <c r="K77" s="47"/>
      <c r="M77" s="47"/>
      <c r="N77" s="47" t="str">
        <f>_xlfn.LET(
    _xlpm.itemBuscado, B77,
    _xlpm.areaBuscada, C77,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TEXT(COUNTIF($C$2:C77, _xlpm.areaBuscada), "0000"),
    _xlpm.codItem &amp; "-" &amp; _xlpm.codArea &amp; "-" &amp; _xlpm.secuencia
)</f>
        <v>-SinArea-0000</v>
      </c>
      <c r="P77" s="15"/>
      <c r="R77" s="48"/>
    </row>
    <row r="78" spans="3:34" x14ac:dyDescent="0.3">
      <c r="C78" s="11"/>
      <c r="E78" s="11"/>
      <c r="F78" s="15"/>
      <c r="G78" s="15"/>
      <c r="H78" s="15"/>
      <c r="I78" s="15"/>
      <c r="J78" s="15"/>
      <c r="K78" s="47"/>
      <c r="M78" s="47"/>
      <c r="N78" s="47" t="str">
        <f>_xlfn.LET(
    _xlpm.itemBuscado, B78,
    _xlpm.areaBuscada, C78,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TEXT(COUNTIF($C$2:C78, _xlpm.areaBuscada), "0000"),
    _xlpm.codItem &amp; "-" &amp; _xlpm.codArea &amp; "-" &amp; _xlpm.secuencia
)</f>
        <v>-SinArea-0000</v>
      </c>
      <c r="P78" s="15"/>
      <c r="R78" s="48"/>
    </row>
    <row r="79" spans="3:34" x14ac:dyDescent="0.3">
      <c r="C79" s="11"/>
      <c r="E79" s="11"/>
      <c r="F79" s="15"/>
      <c r="G79" s="15"/>
      <c r="H79" s="15"/>
      <c r="I79" s="15"/>
      <c r="J79" s="15"/>
      <c r="K79" s="47"/>
      <c r="M79" s="47"/>
      <c r="N79" s="47" t="str">
        <f>_xlfn.LET(
    _xlpm.itemBuscado, B79,
    _xlpm.areaBuscada, C79,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TEXT(COUNTIF($C$2:C79, _xlpm.areaBuscada), "0000"),
    _xlpm.codItem &amp; "-" &amp; _xlpm.codArea &amp; "-" &amp; _xlpm.secuencia
)</f>
        <v>-SinArea-0000</v>
      </c>
      <c r="P79" s="15"/>
      <c r="R79" s="48"/>
    </row>
    <row r="80" spans="3:34" x14ac:dyDescent="0.3">
      <c r="C80" s="11"/>
      <c r="E80" s="11"/>
      <c r="F80" s="15"/>
      <c r="G80" s="15"/>
      <c r="H80" s="15"/>
      <c r="I80" s="15"/>
      <c r="J80" s="15"/>
      <c r="K80" s="47"/>
      <c r="M80" s="47"/>
      <c r="N80" s="47" t="str">
        <f>_xlfn.LET(
    _xlpm.itemBuscado, B80,
    _xlpm.areaBuscada, C80,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TEXT(COUNTIF($C$2:C80, _xlpm.areaBuscada), "0000"),
    _xlpm.codItem &amp; "-" &amp; _xlpm.codArea &amp; "-" &amp; _xlpm.secuencia
)</f>
        <v>-SinArea-0000</v>
      </c>
      <c r="P80" s="15"/>
      <c r="R80" s="48"/>
    </row>
    <row r="81" spans="3:18" x14ac:dyDescent="0.3">
      <c r="C81" s="11"/>
      <c r="E81" s="11"/>
      <c r="F81" s="15"/>
      <c r="G81" s="15"/>
      <c r="H81" s="15"/>
      <c r="I81" s="15"/>
      <c r="J81" s="15"/>
      <c r="K81" s="47"/>
      <c r="M81" s="47"/>
      <c r="N81" s="47" t="str">
        <f>_xlfn.LET(
    _xlpm.itemBuscado, B81,
    _xlpm.areaBuscada, C81,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TEXT(COUNTIF($C$2:C81, _xlpm.areaBuscada), "0000"),
    _xlpm.codItem &amp; "-" &amp; _xlpm.codArea &amp; "-" &amp; _xlpm.secuencia
)</f>
        <v>-SinArea-0000</v>
      </c>
      <c r="P81" s="15"/>
      <c r="R81" s="48"/>
    </row>
    <row r="82" spans="3:18" x14ac:dyDescent="0.3">
      <c r="C82" s="11"/>
      <c r="E82" s="11"/>
      <c r="F82" s="15"/>
      <c r="G82" s="15"/>
      <c r="H82" s="15"/>
      <c r="I82" s="15"/>
      <c r="J82" s="15"/>
      <c r="K82" s="47"/>
      <c r="M82" s="47"/>
      <c r="N82" s="47" t="str">
        <f>_xlfn.LET(
    _xlpm.itemBuscado, B82,
    _xlpm.areaBuscada, C82,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TEXT(COUNTIF($C$2:C82, _xlpm.areaBuscada), "0000"),
    _xlpm.codItem &amp; "-" &amp; _xlpm.codArea &amp; "-" &amp; _xlpm.secuencia
)</f>
        <v>-SinArea-0000</v>
      </c>
      <c r="P82" s="15"/>
      <c r="R82" s="48"/>
    </row>
    <row r="83" spans="3:18" x14ac:dyDescent="0.3">
      <c r="C83" s="11"/>
      <c r="E83" s="11"/>
      <c r="F83" s="15"/>
      <c r="G83" s="15"/>
      <c r="H83" s="15"/>
      <c r="I83" s="15"/>
      <c r="J83" s="15"/>
      <c r="K83" s="47"/>
      <c r="M83" s="47"/>
      <c r="N83" s="47" t="str">
        <f>_xlfn.LET(
    _xlpm.itemBuscado, B83,
    _xlpm.areaBuscada, C83,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TEXT(COUNTIF($C$2:C83, _xlpm.areaBuscada), "0000"),
    _xlpm.codItem &amp; "-" &amp; _xlpm.codArea &amp; "-" &amp; _xlpm.secuencia
)</f>
        <v>-SinArea-0000</v>
      </c>
      <c r="P83" s="15"/>
      <c r="R83" s="48"/>
    </row>
    <row r="84" spans="3:18" x14ac:dyDescent="0.3">
      <c r="C84" s="11"/>
      <c r="E84" s="11"/>
      <c r="F84" s="15"/>
      <c r="G84" s="15"/>
      <c r="H84" s="15"/>
      <c r="I84" s="15"/>
      <c r="J84" s="15"/>
      <c r="K84" s="47"/>
      <c r="M84" s="47"/>
      <c r="N84" s="47" t="str">
        <f>_xlfn.LET(
    _xlpm.itemBuscado, B84,
    _xlpm.areaBuscada, C84,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TEXT(COUNTIF($C$2:C84, _xlpm.areaBuscada), "0000"),
    _xlpm.codItem &amp; "-" &amp; _xlpm.codArea &amp; "-" &amp; _xlpm.secuencia
)</f>
        <v>-SinArea-0000</v>
      </c>
      <c r="P84" s="15"/>
      <c r="R84" s="48"/>
    </row>
    <row r="85" spans="3:18" x14ac:dyDescent="0.3">
      <c r="C85" s="11"/>
      <c r="E85" s="11"/>
      <c r="F85" s="15"/>
      <c r="G85" s="15"/>
      <c r="H85" s="15"/>
      <c r="I85" s="15"/>
      <c r="J85" s="15"/>
      <c r="K85" s="47"/>
      <c r="M85" s="47"/>
      <c r="N85" s="47" t="str">
        <f>_xlfn.LET(
    _xlpm.itemBuscado, B85,
    _xlpm.areaBuscada, C85,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TEXT(COUNTIF($C$2:C85, _xlpm.areaBuscada), "0000"),
    _xlpm.codItem &amp; "-" &amp; _xlpm.codArea &amp; "-" &amp; _xlpm.secuencia
)</f>
        <v>-SinArea-0000</v>
      </c>
      <c r="P85" s="15"/>
      <c r="R85" s="48"/>
    </row>
    <row r="86" spans="3:18" x14ac:dyDescent="0.3">
      <c r="C86" s="11"/>
      <c r="E86" s="11"/>
      <c r="F86" s="15"/>
      <c r="G86" s="15"/>
      <c r="H86" s="15"/>
      <c r="I86" s="15"/>
      <c r="J86" s="15"/>
      <c r="K86" s="47"/>
      <c r="M86" s="47"/>
      <c r="N86" s="47" t="str">
        <f>_xlfn.LET(
    _xlpm.itemBuscado, B86,
    _xlpm.areaBuscada, C86,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TEXT(COUNTIF($C$2:C86, _xlpm.areaBuscada), "0000"),
    _xlpm.codItem &amp; "-" &amp; _xlpm.codArea &amp; "-" &amp; _xlpm.secuencia
)</f>
        <v>-SinArea-0000</v>
      </c>
      <c r="P86" s="15"/>
      <c r="R86" s="48"/>
    </row>
    <row r="87" spans="3:18" x14ac:dyDescent="0.3">
      <c r="C87" s="11"/>
      <c r="E87" s="11"/>
      <c r="F87" s="15"/>
      <c r="G87" s="15"/>
      <c r="H87" s="15"/>
      <c r="I87" s="15"/>
      <c r="J87" s="15"/>
      <c r="K87" s="47"/>
      <c r="M87" s="47"/>
      <c r="N87" s="47" t="str">
        <f>_xlfn.LET(
    _xlpm.itemBuscado, B87,
    _xlpm.areaBuscada, C87,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TEXT(COUNTIF($C$2:C87, _xlpm.areaBuscada), "0000"),
    _xlpm.codItem &amp; "-" &amp; _xlpm.codArea &amp; "-" &amp; _xlpm.secuencia
)</f>
        <v>-SinArea-0000</v>
      </c>
      <c r="P87" s="15"/>
      <c r="R87" s="48"/>
    </row>
    <row r="88" spans="3:18" x14ac:dyDescent="0.3">
      <c r="C88" s="11"/>
      <c r="E88" s="11"/>
      <c r="F88" s="15"/>
      <c r="G88" s="15"/>
      <c r="H88" s="15"/>
      <c r="I88" s="15"/>
      <c r="J88" s="15"/>
      <c r="K88" s="47"/>
      <c r="M88" s="47"/>
      <c r="N88" s="47" t="str">
        <f>_xlfn.LET(
    _xlpm.itemBuscado, B88,
    _xlpm.areaBuscada, C88,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TEXT(COUNTIF($C$2:C88, _xlpm.areaBuscada), "0000"),
    _xlpm.codItem &amp; "-" &amp; _xlpm.codArea &amp; "-" &amp; _xlpm.secuencia
)</f>
        <v>-SinArea-0000</v>
      </c>
      <c r="P88" s="15"/>
      <c r="R88" s="48"/>
    </row>
    <row r="89" spans="3:18" x14ac:dyDescent="0.3">
      <c r="C89" s="11"/>
      <c r="E89" s="11"/>
      <c r="F89" s="15"/>
      <c r="G89" s="15"/>
      <c r="H89" s="15"/>
      <c r="I89" s="15"/>
      <c r="J89" s="15"/>
      <c r="K89" s="47"/>
      <c r="M89" s="47"/>
      <c r="N89" s="47" t="str">
        <f>_xlfn.LET(
    _xlpm.itemBuscado, B89,
    _xlpm.areaBuscada, C89,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TEXT(COUNTIF($C$2:C89, _xlpm.areaBuscada), "0000"),
    _xlpm.codItem &amp; "-" &amp; _xlpm.codArea &amp; "-" &amp; _xlpm.secuencia
)</f>
        <v>-SinArea-0000</v>
      </c>
      <c r="P89" s="15"/>
      <c r="R89" s="48"/>
    </row>
    <row r="90" spans="3:18" x14ac:dyDescent="0.3">
      <c r="C90" s="11"/>
      <c r="E90" s="11"/>
      <c r="F90" s="15"/>
      <c r="G90" s="15"/>
      <c r="H90" s="15"/>
      <c r="I90" s="15"/>
      <c r="J90" s="15"/>
      <c r="K90" s="47"/>
      <c r="M90" s="47"/>
      <c r="N90" s="47" t="str">
        <f>_xlfn.LET(
    _xlpm.itemBuscado, B90,
    _xlpm.areaBuscada, C90,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TEXT(COUNTIF($C$2:C90, _xlpm.areaBuscada), "0000"),
    _xlpm.codItem &amp; "-" &amp; _xlpm.codArea &amp; "-" &amp; _xlpm.secuencia
)</f>
        <v>-SinArea-0000</v>
      </c>
      <c r="P90" s="15"/>
      <c r="R90" s="48"/>
    </row>
    <row r="91" spans="3:18" x14ac:dyDescent="0.3">
      <c r="C91" s="11"/>
      <c r="E91" s="11"/>
      <c r="F91" s="15"/>
      <c r="G91" s="15"/>
      <c r="H91" s="15"/>
      <c r="I91" s="15"/>
      <c r="J91" s="15"/>
      <c r="K91" s="47"/>
      <c r="M91" s="47"/>
      <c r="N91" s="47" t="str">
        <f>_xlfn.LET(
    _xlpm.itemBuscado, B91,
    _xlpm.areaBuscada, C91,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TEXT(COUNTIF($C$2:C91, _xlpm.areaBuscada), "0000"),
    _xlpm.codItem &amp; "-" &amp; _xlpm.codArea &amp; "-" &amp; _xlpm.secuencia
)</f>
        <v>-SinArea-0000</v>
      </c>
      <c r="P91" s="15"/>
      <c r="R91" s="48"/>
    </row>
    <row r="92" spans="3:18" x14ac:dyDescent="0.3">
      <c r="C92" s="11"/>
      <c r="E92" s="11"/>
      <c r="F92" s="15"/>
      <c r="G92" s="15"/>
      <c r="H92" s="15"/>
      <c r="I92" s="15"/>
      <c r="J92" s="15"/>
      <c r="K92" s="47"/>
      <c r="M92" s="47"/>
      <c r="N92" s="47" t="str">
        <f>_xlfn.LET(
    _xlpm.itemBuscado, B92,
    _xlpm.areaBuscada, C92,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TEXT(COUNTIF($C$2:C92, _xlpm.areaBuscada), "0000"),
    _xlpm.codItem &amp; "-" &amp; _xlpm.codArea &amp; "-" &amp; _xlpm.secuencia
)</f>
        <v>-SinArea-0000</v>
      </c>
      <c r="P92" s="15"/>
      <c r="R92" s="48"/>
    </row>
    <row r="93" spans="3:18" x14ac:dyDescent="0.3">
      <c r="C93" s="11"/>
      <c r="E93" s="11"/>
      <c r="F93" s="15"/>
      <c r="G93" s="15"/>
      <c r="H93" s="15"/>
      <c r="I93" s="15"/>
      <c r="J93" s="15"/>
      <c r="K93" s="47"/>
      <c r="M93" s="47"/>
      <c r="N93" s="47" t="str">
        <f>_xlfn.LET(
    _xlpm.itemBuscado, B93,
    _xlpm.areaBuscada, C93,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TEXT(COUNTIF($C$2:C93, _xlpm.areaBuscada), "0000"),
    _xlpm.codItem &amp; "-" &amp; _xlpm.codArea &amp; "-" &amp; _xlpm.secuencia
)</f>
        <v>-SinArea-0000</v>
      </c>
      <c r="P93" s="15"/>
      <c r="R93" s="48"/>
    </row>
    <row r="94" spans="3:18" x14ac:dyDescent="0.3">
      <c r="C94" s="11"/>
      <c r="E94" s="11"/>
      <c r="F94" s="15"/>
      <c r="G94" s="15"/>
      <c r="H94" s="15"/>
      <c r="I94" s="15"/>
      <c r="J94" s="15"/>
      <c r="K94" s="47"/>
      <c r="M94" s="47"/>
      <c r="N94" s="47" t="str">
        <f>_xlfn.LET(
    _xlpm.itemBuscado, B94,
    _xlpm.areaBuscada, C94,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TEXT(COUNTIF($C$2:C94, _xlpm.areaBuscada), "0000"),
    _xlpm.codItem &amp; "-" &amp; _xlpm.codArea &amp; "-" &amp; _xlpm.secuencia
)</f>
        <v>-SinArea-0000</v>
      </c>
      <c r="P94" s="15"/>
      <c r="R94" s="48"/>
    </row>
    <row r="95" spans="3:18" x14ac:dyDescent="0.3">
      <c r="C95" s="11"/>
      <c r="E95" s="11"/>
      <c r="F95" s="15"/>
      <c r="G95" s="15"/>
      <c r="H95" s="15"/>
      <c r="I95" s="15"/>
      <c r="J95" s="15"/>
      <c r="K95" s="47"/>
      <c r="M95" s="47"/>
      <c r="N95" s="47" t="str">
        <f>_xlfn.LET(
    _xlpm.itemBuscado, B95,
    _xlpm.areaBuscada, C95,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TEXT(COUNTIF($C$2:C95, _xlpm.areaBuscada), "0000"),
    _xlpm.codItem &amp; "-" &amp; _xlpm.codArea &amp; "-" &amp; _xlpm.secuencia
)</f>
        <v>-SinArea-0000</v>
      </c>
      <c r="P95" s="15"/>
      <c r="R95" s="48"/>
    </row>
    <row r="96" spans="3:18" x14ac:dyDescent="0.3">
      <c r="C96" s="11"/>
      <c r="E96" s="11"/>
      <c r="F96" s="15"/>
      <c r="G96" s="15"/>
      <c r="H96" s="15"/>
      <c r="I96" s="15"/>
      <c r="J96" s="15"/>
      <c r="K96" s="47"/>
      <c r="M96" s="47"/>
      <c r="N96" s="47" t="str">
        <f>_xlfn.LET(
    _xlpm.itemBuscado, B96,
    _xlpm.areaBuscada, C96,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TEXT(COUNTIF($C$2:C96, _xlpm.areaBuscada), "0000"),
    _xlpm.codItem &amp; "-" &amp; _xlpm.codArea &amp; "-" &amp; _xlpm.secuencia
)</f>
        <v>-SinArea-0000</v>
      </c>
      <c r="P96" s="15"/>
      <c r="R96" s="48"/>
    </row>
    <row r="97" spans="3:18" x14ac:dyDescent="0.3">
      <c r="C97" s="11"/>
      <c r="E97" s="11"/>
      <c r="F97" s="15"/>
      <c r="G97" s="15"/>
      <c r="H97" s="15"/>
      <c r="I97" s="15"/>
      <c r="J97" s="15"/>
      <c r="K97" s="47"/>
      <c r="M97" s="47"/>
      <c r="N97" s="47" t="str">
        <f>_xlfn.LET(
    _xlpm.itemBuscado, B97,
    _xlpm.areaBuscada, C97,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TEXT(COUNTIF($C$2:C97, _xlpm.areaBuscada), "0000"),
    _xlpm.codItem &amp; "-" &amp; _xlpm.codArea &amp; "-" &amp; _xlpm.secuencia
)</f>
        <v>-SinArea-0000</v>
      </c>
      <c r="P97" s="15"/>
      <c r="R97" s="48"/>
    </row>
    <row r="98" spans="3:18" x14ac:dyDescent="0.3">
      <c r="C98" s="11"/>
      <c r="E98" s="11"/>
      <c r="F98" s="15"/>
      <c r="G98" s="15"/>
      <c r="H98" s="15"/>
      <c r="I98" s="15"/>
      <c r="J98" s="15"/>
      <c r="K98" s="47"/>
      <c r="M98" s="47"/>
      <c r="N98" s="47" t="str">
        <f>_xlfn.LET(
    _xlpm.itemBuscado, B98,
    _xlpm.areaBuscada, C98,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TEXT(COUNTIF($C$2:C98, _xlpm.areaBuscada), "0000"),
    _xlpm.codItem &amp; "-" &amp; _xlpm.codArea &amp; "-" &amp; _xlpm.secuencia
)</f>
        <v>-SinArea-0000</v>
      </c>
      <c r="P98" s="15"/>
      <c r="R98" s="48"/>
    </row>
    <row r="99" spans="3:18" x14ac:dyDescent="0.3">
      <c r="C99" s="11"/>
      <c r="E99" s="11"/>
      <c r="F99" s="15"/>
      <c r="G99" s="15"/>
      <c r="H99" s="15"/>
      <c r="I99" s="15"/>
      <c r="J99" s="15"/>
      <c r="K99" s="47"/>
      <c r="M99" s="47"/>
      <c r="N99" s="47" t="str">
        <f>_xlfn.LET(
    _xlpm.itemBuscado, B99,
    _xlpm.areaBuscada, C99,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TEXT(COUNTIF($C$2:C99, _xlpm.areaBuscada), "0000"),
    _xlpm.codItem &amp; "-" &amp; _xlpm.codArea &amp; "-" &amp; _xlpm.secuencia
)</f>
        <v>-SinArea-0000</v>
      </c>
      <c r="P99" s="15"/>
      <c r="R99" s="48"/>
    </row>
    <row r="100" spans="3:18" x14ac:dyDescent="0.3">
      <c r="C100" s="11"/>
      <c r="E100" s="11"/>
      <c r="F100" s="15"/>
      <c r="G100" s="15"/>
      <c r="H100" s="15"/>
      <c r="I100" s="15"/>
      <c r="J100" s="15"/>
      <c r="K100" s="47"/>
      <c r="M100" s="47"/>
      <c r="N100" s="47" t="str">
        <f>_xlfn.LET(
    _xlpm.itemBuscado, B100,
    _xlpm.areaBuscada, C100,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TEXT(COUNTIF($C$2:C100, _xlpm.areaBuscada), "0000"),
    _xlpm.codItem &amp; "-" &amp; _xlpm.codArea &amp; "-" &amp; _xlpm.secuencia
)</f>
        <v>-SinArea-0000</v>
      </c>
      <c r="P100" s="15"/>
      <c r="R100" s="48"/>
    </row>
    <row r="101" spans="3:18" x14ac:dyDescent="0.3">
      <c r="C101" s="11"/>
      <c r="E101" s="11"/>
      <c r="F101" s="15"/>
      <c r="G101" s="15"/>
      <c r="H101" s="15"/>
      <c r="I101" s="15"/>
      <c r="J101" s="15"/>
      <c r="K101" s="47"/>
      <c r="M101" s="47"/>
      <c r="N101" s="47" t="str">
        <f>_xlfn.LET(
    _xlpm.itemBuscado, B101,
    _xlpm.areaBuscada, C101,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TEXT(COUNTIF($C$2:C101, _xlpm.areaBuscada), "0000"),
    _xlpm.codItem &amp; "-" &amp; _xlpm.codArea &amp; "-" &amp; _xlpm.secuencia
)</f>
        <v>-SinArea-0000</v>
      </c>
      <c r="P101" s="15"/>
      <c r="R101" s="48"/>
    </row>
    <row r="102" spans="3:18" x14ac:dyDescent="0.3">
      <c r="C102" s="11"/>
      <c r="E102" s="11"/>
      <c r="F102" s="15"/>
      <c r="G102" s="15"/>
      <c r="H102" s="15"/>
      <c r="I102" s="15"/>
      <c r="J102" s="15"/>
      <c r="K102" s="47"/>
      <c r="M102" s="47"/>
      <c r="N102" s="47" t="str">
        <f>_xlfn.LET(
    _xlpm.itemBuscado, B102,
    _xlpm.areaBuscada, C102,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TEXT(COUNTIF($C$2:C102, _xlpm.areaBuscada), "0000"),
    _xlpm.codItem &amp; "-" &amp; _xlpm.codArea &amp; "-" &amp; _xlpm.secuencia
)</f>
        <v>-SinArea-0000</v>
      </c>
      <c r="P102" s="15"/>
      <c r="R102" s="48"/>
    </row>
    <row r="103" spans="3:18" x14ac:dyDescent="0.3">
      <c r="C103" s="11"/>
      <c r="E103" s="11"/>
      <c r="F103" s="15"/>
      <c r="G103" s="15"/>
      <c r="H103" s="15"/>
      <c r="I103" s="15"/>
      <c r="J103" s="15"/>
      <c r="K103" s="47"/>
      <c r="M103" s="47"/>
      <c r="N103" s="47" t="str">
        <f>_xlfn.LET(
    _xlpm.itemBuscado, B103,
    _xlpm.areaBuscada, C103,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TEXT(COUNTIF($C$2:C103, _xlpm.areaBuscada), "0000"),
    _xlpm.codItem &amp; "-" &amp; _xlpm.codArea &amp; "-" &amp; _xlpm.secuencia
)</f>
        <v>-SinArea-0000</v>
      </c>
      <c r="P103" s="15"/>
      <c r="R103" s="48"/>
    </row>
    <row r="104" spans="3:18" x14ac:dyDescent="0.3">
      <c r="C104" s="11"/>
      <c r="E104" s="11"/>
      <c r="F104" s="15"/>
      <c r="G104" s="15"/>
      <c r="H104" s="15"/>
      <c r="I104" s="15"/>
      <c r="J104" s="15"/>
      <c r="K104" s="47"/>
      <c r="M104" s="47"/>
      <c r="N104" s="47" t="str">
        <f>_xlfn.LET(
    _xlpm.itemBuscado, B104,
    _xlpm.areaBuscada, C104,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TEXT(COUNTIF($C$2:C104, _xlpm.areaBuscada), "0000"),
    _xlpm.codItem &amp; "-" &amp; _xlpm.codArea &amp; "-" &amp; _xlpm.secuencia
)</f>
        <v>-SinArea-0000</v>
      </c>
      <c r="P104" s="15"/>
      <c r="R104" s="48"/>
    </row>
    <row r="105" spans="3:18" x14ac:dyDescent="0.3">
      <c r="C105" s="11"/>
      <c r="E105" s="11"/>
      <c r="F105" s="15"/>
      <c r="G105" s="15"/>
      <c r="H105" s="15"/>
      <c r="I105" s="15"/>
      <c r="J105" s="15"/>
      <c r="K105" s="47"/>
      <c r="M105" s="47"/>
      <c r="N105" s="47" t="str">
        <f>_xlfn.LET(
    _xlpm.itemBuscado, B105,
    _xlpm.areaBuscada, C105,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TEXT(COUNTIF($C$2:C105, _xlpm.areaBuscada), "0000"),
    _xlpm.codItem &amp; "-" &amp; _xlpm.codArea &amp; "-" &amp; _xlpm.secuencia
)</f>
        <v>-SinArea-0000</v>
      </c>
      <c r="P105" s="15"/>
      <c r="R105" s="48"/>
    </row>
    <row r="106" spans="3:18" x14ac:dyDescent="0.3">
      <c r="C106" s="11"/>
      <c r="E106" s="11"/>
      <c r="F106" s="15"/>
      <c r="G106" s="15"/>
      <c r="H106" s="15"/>
      <c r="I106" s="15"/>
      <c r="J106" s="15"/>
      <c r="K106" s="47"/>
      <c r="M106" s="47"/>
      <c r="N106" s="47" t="str">
        <f>_xlfn.LET(
    _xlpm.itemBuscado, B106,
    _xlpm.areaBuscada, C106,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TEXT(COUNTIF($C$2:C106, _xlpm.areaBuscada), "0000"),
    _xlpm.codItem &amp; "-" &amp; _xlpm.codArea &amp; "-" &amp; _xlpm.secuencia
)</f>
        <v>-SinArea-0000</v>
      </c>
      <c r="P106" s="15"/>
      <c r="R106" s="48"/>
    </row>
    <row r="107" spans="3:18" x14ac:dyDescent="0.3">
      <c r="C107" s="11"/>
      <c r="E107" s="11"/>
      <c r="F107" s="15"/>
      <c r="G107" s="15"/>
      <c r="H107" s="15"/>
      <c r="I107" s="15"/>
      <c r="J107" s="15"/>
      <c r="K107" s="47"/>
      <c r="M107" s="47"/>
      <c r="N107" s="47" t="str">
        <f>_xlfn.LET(
    _xlpm.itemBuscado, B107,
    _xlpm.areaBuscada, C107,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TEXT(COUNTIF($C$2:C107, _xlpm.areaBuscada), "0000"),
    _xlpm.codItem &amp; "-" &amp; _xlpm.codArea &amp; "-" &amp; _xlpm.secuencia
)</f>
        <v>-SinArea-0000</v>
      </c>
      <c r="P107" s="15"/>
      <c r="R107" s="48"/>
    </row>
    <row r="108" spans="3:18" x14ac:dyDescent="0.3">
      <c r="C108" s="11"/>
      <c r="E108" s="11"/>
      <c r="F108" s="15"/>
      <c r="G108" s="15"/>
      <c r="H108" s="15"/>
      <c r="I108" s="15"/>
      <c r="J108" s="15"/>
      <c r="K108" s="47"/>
      <c r="M108" s="47"/>
      <c r="N108" s="47" t="str">
        <f>_xlfn.LET(
    _xlpm.itemBuscado, B108,
    _xlpm.areaBuscada, C108,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TEXT(COUNTIF($C$2:C108, _xlpm.areaBuscada), "0000"),
    _xlpm.codItem &amp; "-" &amp; _xlpm.codArea &amp; "-" &amp; _xlpm.secuencia
)</f>
        <v>-SinArea-0000</v>
      </c>
      <c r="P108" s="15"/>
      <c r="R108" s="48"/>
    </row>
    <row r="109" spans="3:18" x14ac:dyDescent="0.3">
      <c r="C109" s="11"/>
      <c r="E109" s="11"/>
      <c r="F109" s="15"/>
      <c r="G109" s="15"/>
      <c r="H109" s="15"/>
      <c r="I109" s="15"/>
      <c r="J109" s="15"/>
      <c r="K109" s="47"/>
      <c r="M109" s="47"/>
      <c r="N109" s="47" t="str">
        <f>_xlfn.LET(
    _xlpm.itemBuscado, B109,
    _xlpm.areaBuscada, C109,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TEXT(COUNTIF($C$2:C109, _xlpm.areaBuscada), "0000"),
    _xlpm.codItem &amp; "-" &amp; _xlpm.codArea &amp; "-" &amp; _xlpm.secuencia
)</f>
        <v>-SinArea-0000</v>
      </c>
      <c r="P109" s="15"/>
      <c r="R109" s="48"/>
    </row>
    <row r="110" spans="3:18" x14ac:dyDescent="0.3">
      <c r="C110" s="11"/>
      <c r="E110" s="11"/>
      <c r="F110" s="15"/>
      <c r="G110" s="15"/>
      <c r="H110" s="15"/>
      <c r="I110" s="15"/>
      <c r="J110" s="15"/>
      <c r="K110" s="47"/>
      <c r="M110" s="47"/>
      <c r="N110" s="47" t="str">
        <f>_xlfn.LET(
    _xlpm.itemBuscado, B110,
    _xlpm.areaBuscada, C110,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TEXT(COUNTIF($C$2:C110, _xlpm.areaBuscada), "0000"),
    _xlpm.codItem &amp; "-" &amp; _xlpm.codArea &amp; "-" &amp; _xlpm.secuencia
)</f>
        <v>-SinArea-0000</v>
      </c>
      <c r="P110" s="15"/>
      <c r="R110" s="48"/>
    </row>
    <row r="111" spans="3:18" x14ac:dyDescent="0.3">
      <c r="C111" s="11"/>
      <c r="E111" s="11"/>
      <c r="F111" s="15"/>
      <c r="G111" s="15"/>
      <c r="H111" s="15"/>
      <c r="I111" s="15"/>
      <c r="J111" s="15"/>
      <c r="K111" s="47"/>
      <c r="M111" s="47"/>
      <c r="N111" s="47" t="str">
        <f>_xlfn.LET(
    _xlpm.itemBuscado, B111,
    _xlpm.areaBuscada, C111,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TEXT(COUNTIF($C$2:C111, _xlpm.areaBuscada), "0000"),
    _xlpm.codItem &amp; "-" &amp; _xlpm.codArea &amp; "-" &amp; _xlpm.secuencia
)</f>
        <v>-SinArea-0000</v>
      </c>
      <c r="P111" s="15"/>
      <c r="R111" s="48"/>
    </row>
    <row r="112" spans="3:18" x14ac:dyDescent="0.3">
      <c r="C112" s="11"/>
      <c r="E112" s="11"/>
      <c r="F112" s="15"/>
      <c r="G112" s="15"/>
      <c r="H112" s="15"/>
      <c r="I112" s="15"/>
      <c r="J112" s="15"/>
      <c r="K112" s="47"/>
      <c r="M112" s="47"/>
      <c r="N112" s="47" t="str">
        <f>_xlfn.LET(
    _xlpm.itemBuscado, B112,
    _xlpm.areaBuscada, C112,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TEXT(COUNTIF($C$2:C112, _xlpm.areaBuscada), "0000"),
    _xlpm.codItem &amp; "-" &amp; _xlpm.codArea &amp; "-" &amp; _xlpm.secuencia
)</f>
        <v>-SinArea-0000</v>
      </c>
      <c r="P112" s="15"/>
      <c r="R112" s="48"/>
    </row>
    <row r="113" spans="3:18" x14ac:dyDescent="0.3">
      <c r="C113" s="11"/>
      <c r="E113" s="11"/>
      <c r="F113" s="15"/>
      <c r="G113" s="15"/>
      <c r="H113" s="15"/>
      <c r="I113" s="15"/>
      <c r="J113" s="15"/>
      <c r="K113" s="47"/>
      <c r="M113" s="47"/>
      <c r="N113" s="47" t="str">
        <f>_xlfn.LET(
    _xlpm.itemBuscado, B113,
    _xlpm.areaBuscada, C113,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TEXT(COUNTIF($C$2:C113, _xlpm.areaBuscada), "0000"),
    _xlpm.codItem &amp; "-" &amp; _xlpm.codArea &amp; "-" &amp; _xlpm.secuencia
)</f>
        <v>-SinArea-0000</v>
      </c>
      <c r="P113" s="15"/>
      <c r="R113" s="48"/>
    </row>
    <row r="114" spans="3:18" x14ac:dyDescent="0.3">
      <c r="C114" s="11"/>
      <c r="E114" s="11"/>
      <c r="F114" s="15"/>
      <c r="G114" s="15"/>
      <c r="H114" s="15"/>
      <c r="I114" s="15"/>
      <c r="J114" s="15"/>
      <c r="K114" s="47"/>
      <c r="M114" s="47"/>
      <c r="N114" s="47" t="str">
        <f>_xlfn.LET(
    _xlpm.itemBuscado, B114,
    _xlpm.areaBuscada, C114,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TEXT(COUNTIF($C$2:C114, _xlpm.areaBuscada), "0000"),
    _xlpm.codItem &amp; "-" &amp; _xlpm.codArea &amp; "-" &amp; _xlpm.secuencia
)</f>
        <v>-SinArea-0000</v>
      </c>
      <c r="P114" s="15"/>
      <c r="R114" s="48"/>
    </row>
    <row r="115" spans="3:18" x14ac:dyDescent="0.3">
      <c r="C115" s="11"/>
      <c r="E115" s="11"/>
      <c r="F115" s="15"/>
      <c r="G115" s="15"/>
      <c r="H115" s="15"/>
      <c r="I115" s="15"/>
      <c r="J115" s="15"/>
      <c r="K115" s="47"/>
      <c r="M115" s="47"/>
      <c r="N115" s="47" t="str">
        <f>_xlfn.LET(
    _xlpm.itemBuscado, B115,
    _xlpm.areaBuscada, C115,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TEXT(COUNTIF($C$2:C115, _xlpm.areaBuscada), "0000"),
    _xlpm.codItem &amp; "-" &amp; _xlpm.codArea &amp; "-" &amp; _xlpm.secuencia
)</f>
        <v>-SinArea-0000</v>
      </c>
      <c r="P115" s="15"/>
      <c r="R115" s="48"/>
    </row>
    <row r="116" spans="3:18" x14ac:dyDescent="0.3">
      <c r="C116" s="11"/>
      <c r="E116" s="11"/>
      <c r="F116" s="15"/>
      <c r="G116" s="15"/>
      <c r="H116" s="15"/>
      <c r="I116" s="15"/>
      <c r="J116" s="15"/>
      <c r="K116" s="47"/>
      <c r="M116" s="47"/>
      <c r="N116" s="47" t="str">
        <f>_xlfn.LET(
    _xlpm.itemBuscado, B116,
    _xlpm.areaBuscada, C116,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TEXT(COUNTIF($C$2:C116, _xlpm.areaBuscada), "0000"),
    _xlpm.codItem &amp; "-" &amp; _xlpm.codArea &amp; "-" &amp; _xlpm.secuencia
)</f>
        <v>-SinArea-0000</v>
      </c>
      <c r="P116" s="15"/>
      <c r="R116" s="48"/>
    </row>
    <row r="117" spans="3:18" x14ac:dyDescent="0.3">
      <c r="C117" s="11"/>
      <c r="E117" s="11"/>
      <c r="F117" s="15"/>
      <c r="G117" s="15"/>
      <c r="H117" s="15"/>
      <c r="I117" s="15"/>
      <c r="J117" s="15"/>
      <c r="K117" s="47"/>
      <c r="M117" s="47"/>
      <c r="N117" s="47" t="str">
        <f>_xlfn.LET(
    _xlpm.itemBuscado, B117,
    _xlpm.areaBuscada, C117,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TEXT(COUNTIF($C$2:C117, _xlpm.areaBuscada), "0000"),
    _xlpm.codItem &amp; "-" &amp; _xlpm.codArea &amp; "-" &amp; _xlpm.secuencia
)</f>
        <v>-SinArea-0000</v>
      </c>
      <c r="P117" s="15"/>
      <c r="R117" s="48"/>
    </row>
    <row r="118" spans="3:18" x14ac:dyDescent="0.3">
      <c r="C118" s="11"/>
      <c r="E118" s="11"/>
      <c r="F118" s="15"/>
      <c r="G118" s="15"/>
      <c r="H118" s="15"/>
      <c r="I118" s="15"/>
      <c r="J118" s="15"/>
      <c r="K118" s="47"/>
      <c r="M118" s="47"/>
      <c r="N118" s="47" t="str">
        <f>_xlfn.LET(
    _xlpm.itemBuscado, B118,
    _xlpm.areaBuscada, C118,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TEXT(COUNTIF($C$2:C118, _xlpm.areaBuscada), "0000"),
    _xlpm.codItem &amp; "-" &amp; _xlpm.codArea &amp; "-" &amp; _xlpm.secuencia
)</f>
        <v>-SinArea-0000</v>
      </c>
      <c r="P118" s="15"/>
      <c r="R118" s="48"/>
    </row>
    <row r="119" spans="3:18" x14ac:dyDescent="0.3">
      <c r="C119" s="11"/>
      <c r="E119" s="11"/>
      <c r="F119" s="15"/>
      <c r="G119" s="15"/>
      <c r="H119" s="15"/>
      <c r="I119" s="15"/>
      <c r="J119" s="15"/>
      <c r="K119" s="47"/>
      <c r="M119" s="47"/>
      <c r="N119" s="47" t="str">
        <f>_xlfn.LET(
    _xlpm.itemBuscado, B119,
    _xlpm.areaBuscada, C119,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TEXT(COUNTIF($C$2:C119, _xlpm.areaBuscada), "0000"),
    _xlpm.codItem &amp; "-" &amp; _xlpm.codArea &amp; "-" &amp; _xlpm.secuencia
)</f>
        <v>-SinArea-0000</v>
      </c>
      <c r="P119" s="15"/>
      <c r="R119" s="48"/>
    </row>
    <row r="120" spans="3:18" x14ac:dyDescent="0.3">
      <c r="C120" s="11"/>
      <c r="E120" s="11"/>
      <c r="F120" s="15"/>
      <c r="G120" s="15"/>
      <c r="H120" s="15"/>
      <c r="I120" s="15"/>
      <c r="J120" s="15"/>
      <c r="K120" s="47"/>
      <c r="M120" s="47"/>
      <c r="N120" s="47" t="str">
        <f>_xlfn.LET(
    _xlpm.itemBuscado, B120,
    _xlpm.areaBuscada, C120,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TEXT(COUNTIF($C$2:C120, _xlpm.areaBuscada), "0000"),
    _xlpm.codItem &amp; "-" &amp; _xlpm.codArea &amp; "-" &amp; _xlpm.secuencia
)</f>
        <v>-SinArea-0000</v>
      </c>
      <c r="P120" s="15"/>
      <c r="R120" s="48"/>
    </row>
    <row r="121" spans="3:18" x14ac:dyDescent="0.3">
      <c r="C121" s="11"/>
      <c r="E121" s="11"/>
      <c r="F121" s="15"/>
      <c r="G121" s="15"/>
      <c r="H121" s="15"/>
      <c r="I121" s="15"/>
      <c r="J121" s="15"/>
      <c r="K121" s="47"/>
      <c r="M121" s="47"/>
      <c r="N121" s="47" t="str">
        <f>_xlfn.LET(
    _xlpm.itemBuscado, B121,
    _xlpm.areaBuscada, C121,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TEXT(COUNTIF($C$2:C121, _xlpm.areaBuscada), "0000"),
    _xlpm.codItem &amp; "-" &amp; _xlpm.codArea &amp; "-" &amp; _xlpm.secuencia
)</f>
        <v>-SinArea-0000</v>
      </c>
      <c r="P121" s="15"/>
      <c r="R121" s="48"/>
    </row>
    <row r="122" spans="3:18" x14ac:dyDescent="0.3">
      <c r="C122" s="11"/>
      <c r="E122" s="11"/>
      <c r="F122" s="15"/>
      <c r="G122" s="15"/>
      <c r="H122" s="15"/>
      <c r="I122" s="15"/>
      <c r="J122" s="15"/>
      <c r="K122" s="47"/>
      <c r="M122" s="47"/>
      <c r="N122" s="47" t="str">
        <f>_xlfn.LET(
    _xlpm.itemBuscado, B122,
    _xlpm.areaBuscada, C122,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TEXT(COUNTIF($C$2:C122, _xlpm.areaBuscada), "0000"),
    _xlpm.codItem &amp; "-" &amp; _xlpm.codArea &amp; "-" &amp; _xlpm.secuencia
)</f>
        <v>-SinArea-0000</v>
      </c>
      <c r="P122" s="15"/>
      <c r="R122" s="48"/>
    </row>
    <row r="123" spans="3:18" x14ac:dyDescent="0.3">
      <c r="C123" s="11"/>
      <c r="E123" s="11"/>
      <c r="F123" s="15"/>
      <c r="G123" s="15"/>
      <c r="H123" s="15"/>
      <c r="I123" s="15"/>
      <c r="J123" s="15"/>
      <c r="K123" s="47"/>
      <c r="M123" s="47"/>
      <c r="N123" s="47" t="str">
        <f>_xlfn.LET(
    _xlpm.itemBuscado, B123,
    _xlpm.areaBuscada, C123,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TEXT(COUNTIF($C$2:C123, _xlpm.areaBuscada), "0000"),
    _xlpm.codItem &amp; "-" &amp; _xlpm.codArea &amp; "-" &amp; _xlpm.secuencia
)</f>
        <v>-SinArea-0000</v>
      </c>
      <c r="P123" s="15"/>
      <c r="R123" s="48"/>
    </row>
    <row r="124" spans="3:18" x14ac:dyDescent="0.3">
      <c r="C124" s="11"/>
      <c r="E124" s="11"/>
      <c r="F124" s="15"/>
      <c r="G124" s="15"/>
      <c r="H124" s="15"/>
      <c r="I124" s="15"/>
      <c r="J124" s="15"/>
      <c r="K124" s="47"/>
      <c r="M124" s="47"/>
      <c r="N124" s="47" t="str">
        <f>_xlfn.LET(
    _xlpm.itemBuscado, B124,
    _xlpm.areaBuscada, C124,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TEXT(COUNTIF($C$2:C124, _xlpm.areaBuscada), "0000"),
    _xlpm.codItem &amp; "-" &amp; _xlpm.codArea &amp; "-" &amp; _xlpm.secuencia
)</f>
        <v>-SinArea-0000</v>
      </c>
      <c r="P124" s="15"/>
      <c r="R124" s="48"/>
    </row>
    <row r="125" spans="3:18" x14ac:dyDescent="0.3">
      <c r="C125" s="11"/>
      <c r="E125" s="11"/>
      <c r="F125" s="15"/>
      <c r="G125" s="15"/>
      <c r="H125" s="15"/>
      <c r="I125" s="15"/>
      <c r="J125" s="15"/>
      <c r="K125" s="47"/>
      <c r="M125" s="47"/>
      <c r="N125" s="47" t="str">
        <f>_xlfn.LET(
    _xlpm.itemBuscado, B125,
    _xlpm.areaBuscada, C125,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TEXT(COUNTIF($C$2:C125, _xlpm.areaBuscada), "0000"),
    _xlpm.codItem &amp; "-" &amp; _xlpm.codArea &amp; "-" &amp; _xlpm.secuencia
)</f>
        <v>-SinArea-0000</v>
      </c>
      <c r="P125" s="15"/>
      <c r="R125" s="48"/>
    </row>
    <row r="126" spans="3:18" x14ac:dyDescent="0.3">
      <c r="C126" s="11"/>
      <c r="E126" s="11"/>
      <c r="F126" s="15"/>
      <c r="G126" s="15"/>
      <c r="H126" s="15"/>
      <c r="I126" s="15"/>
      <c r="J126" s="15"/>
      <c r="K126" s="47"/>
      <c r="M126" s="47"/>
      <c r="N126" s="47" t="str">
        <f>_xlfn.LET(
    _xlpm.itemBuscado, B126,
    _xlpm.areaBuscada, C126,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TEXT(COUNTIF($C$2:C126, _xlpm.areaBuscada), "0000"),
    _xlpm.codItem &amp; "-" &amp; _xlpm.codArea &amp; "-" &amp; _xlpm.secuencia
)</f>
        <v>-SinArea-0000</v>
      </c>
      <c r="P126" s="15"/>
      <c r="R126" s="48"/>
    </row>
    <row r="127" spans="3:18" x14ac:dyDescent="0.3">
      <c r="C127" s="11"/>
      <c r="E127" s="11"/>
      <c r="F127" s="15"/>
      <c r="G127" s="15"/>
      <c r="H127" s="15"/>
      <c r="I127" s="15"/>
      <c r="J127" s="15"/>
      <c r="K127" s="47"/>
      <c r="M127" s="47"/>
      <c r="N127" s="47" t="str">
        <f>_xlfn.LET(
    _xlpm.itemBuscado, B127,
    _xlpm.areaBuscada, C127,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TEXT(COUNTIF($C$2:C127, _xlpm.areaBuscada), "0000"),
    _xlpm.codItem &amp; "-" &amp; _xlpm.codArea &amp; "-" &amp; _xlpm.secuencia
)</f>
        <v>-SinArea-0000</v>
      </c>
      <c r="P127" s="15"/>
      <c r="R127" s="48"/>
    </row>
    <row r="128" spans="3:18" x14ac:dyDescent="0.3">
      <c r="C128" s="11"/>
      <c r="E128" s="11"/>
      <c r="F128" s="15"/>
      <c r="G128" s="15"/>
      <c r="H128" s="15"/>
      <c r="I128" s="15"/>
      <c r="J128" s="15"/>
      <c r="K128" s="47"/>
      <c r="M128" s="47"/>
      <c r="N128" s="47" t="str">
        <f>_xlfn.LET(
    _xlpm.itemBuscado, B128,
    _xlpm.areaBuscada, C128,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TEXT(COUNTIF($C$2:C128, _xlpm.areaBuscada), "0000"),
    _xlpm.codItem &amp; "-" &amp; _xlpm.codArea &amp; "-" &amp; _xlpm.secuencia
)</f>
        <v>-SinArea-0000</v>
      </c>
      <c r="P128" s="15"/>
      <c r="R128" s="48"/>
    </row>
    <row r="129" spans="3:19" x14ac:dyDescent="0.3">
      <c r="C129" s="11"/>
      <c r="E129" s="11"/>
      <c r="F129" s="15"/>
      <c r="G129" s="15"/>
      <c r="H129" s="15"/>
      <c r="I129" s="15"/>
      <c r="J129" s="15"/>
      <c r="K129" s="47"/>
      <c r="M129" s="47"/>
      <c r="N129" s="47" t="str">
        <f>_xlfn.LET(
    _xlpm.itemBuscado, B129,
    _xlpm.areaBuscada, C129,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TEXT(COUNTIF($C$2:C129, _xlpm.areaBuscada), "0000"),
    _xlpm.codItem &amp; "-" &amp; _xlpm.codArea &amp; "-" &amp; _xlpm.secuencia
)</f>
        <v>-SinArea-0000</v>
      </c>
      <c r="P129" s="15"/>
      <c r="R129" s="48"/>
    </row>
    <row r="130" spans="3:19" x14ac:dyDescent="0.3">
      <c r="C130" s="11"/>
      <c r="E130" s="11"/>
      <c r="F130" s="15"/>
      <c r="G130" s="15"/>
      <c r="H130" s="15"/>
      <c r="I130" s="15"/>
      <c r="J130" s="15"/>
      <c r="K130" s="47"/>
      <c r="M130" s="47"/>
      <c r="N130" s="47" t="str">
        <f>_xlfn.LET(
    _xlpm.itemBuscado, B130,
    _xlpm.areaBuscada, C130,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TEXT(COUNTIF($C$2:C130, _xlpm.areaBuscada), "0000"),
    _xlpm.codItem &amp; "-" &amp; _xlpm.codArea &amp; "-" &amp; _xlpm.secuencia
)</f>
        <v>-SinArea-0000</v>
      </c>
      <c r="P130" s="15"/>
      <c r="R130" s="48"/>
    </row>
    <row r="131" spans="3:19" x14ac:dyDescent="0.3">
      <c r="C131" s="11"/>
      <c r="E131" s="11"/>
      <c r="F131" s="15"/>
      <c r="G131" s="15"/>
      <c r="H131" s="15"/>
      <c r="I131" s="15"/>
      <c r="J131" s="15"/>
      <c r="K131" s="47"/>
      <c r="M131" s="47"/>
      <c r="N131" s="47" t="str">
        <f>_xlfn.LET(
    _xlpm.itemBuscado, B131,
    _xlpm.areaBuscada, C131,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TEXT(COUNTIF($C$2:C131, _xlpm.areaBuscada), "0000"),
    _xlpm.codItem &amp; "-" &amp; _xlpm.codArea &amp; "-" &amp; _xlpm.secuencia
)</f>
        <v>-SinArea-0000</v>
      </c>
      <c r="P131" s="15"/>
      <c r="R131" s="48"/>
    </row>
    <row r="132" spans="3:19" x14ac:dyDescent="0.3">
      <c r="C132" s="11"/>
      <c r="E132" s="11"/>
      <c r="F132" s="15"/>
      <c r="G132" s="15"/>
      <c r="H132" s="15"/>
      <c r="I132" s="15"/>
      <c r="J132" s="15"/>
      <c r="K132" s="47"/>
      <c r="M132" s="47"/>
      <c r="N132" s="47" t="str">
        <f>_xlfn.LET(
    _xlpm.itemBuscado, B132,
    _xlpm.areaBuscada, C132,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TEXT(COUNTIF($C$2:C132, _xlpm.areaBuscada), "0000"),
    _xlpm.codItem &amp; "-" &amp; _xlpm.codArea &amp; "-" &amp; _xlpm.secuencia
)</f>
        <v>-SinArea-0000</v>
      </c>
      <c r="P132" s="15"/>
      <c r="R132" s="48"/>
    </row>
    <row r="133" spans="3:19" x14ac:dyDescent="0.3">
      <c r="C133" s="11"/>
      <c r="E133" s="11"/>
      <c r="F133" s="15"/>
      <c r="G133" s="15"/>
      <c r="H133" s="15"/>
      <c r="I133" s="15"/>
      <c r="J133" s="15"/>
      <c r="K133" s="47"/>
      <c r="M133" s="47"/>
      <c r="N133" s="47" t="str">
        <f>_xlfn.LET(
    _xlpm.itemBuscado, B133,
    _xlpm.areaBuscada, C133,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TEXT(COUNTIF($C$2:C133, _xlpm.areaBuscada), "0000"),
    _xlpm.codItem &amp; "-" &amp; _xlpm.codArea &amp; "-" &amp; _xlpm.secuencia
)</f>
        <v>-SinArea-0000</v>
      </c>
      <c r="P133" s="15"/>
      <c r="R133" s="48"/>
    </row>
    <row r="134" spans="3:19" x14ac:dyDescent="0.3">
      <c r="C134" s="11"/>
      <c r="E134" s="11"/>
      <c r="F134" s="15"/>
      <c r="G134" s="15"/>
      <c r="H134" s="15"/>
      <c r="I134" s="15"/>
      <c r="J134" s="15"/>
      <c r="K134" s="47"/>
      <c r="M134" s="47"/>
      <c r="N134" s="47" t="str">
        <f>_xlfn.LET(
    _xlpm.itemBuscado, B134,
    _xlpm.areaBuscada, C134,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TEXT(COUNTIF($C$2:C134, _xlpm.areaBuscada), "0000"),
    _xlpm.codItem &amp; "-" &amp; _xlpm.codArea &amp; "-" &amp; _xlpm.secuencia
)</f>
        <v>-SinArea-0000</v>
      </c>
      <c r="P134" s="15"/>
      <c r="R134" s="48"/>
    </row>
    <row r="135" spans="3:19" x14ac:dyDescent="0.3">
      <c r="C135" s="11"/>
      <c r="E135" s="11"/>
      <c r="F135" s="15"/>
      <c r="G135" s="15"/>
      <c r="H135" s="15"/>
      <c r="I135" s="15"/>
      <c r="J135" s="15"/>
      <c r="K135" s="47"/>
      <c r="M135" s="47"/>
      <c r="N135" s="47" t="str">
        <f>_xlfn.LET(
    _xlpm.itemBuscado, B135,
    _xlpm.areaBuscada, C135,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TEXT(COUNTIF($C$2:C135, _xlpm.areaBuscada), "0000"),
    _xlpm.codItem &amp; "-" &amp; _xlpm.codArea &amp; "-" &amp; _xlpm.secuencia
)</f>
        <v>-SinArea-0000</v>
      </c>
      <c r="P135" s="15"/>
      <c r="R135" s="48"/>
    </row>
    <row r="136" spans="3:19" x14ac:dyDescent="0.3">
      <c r="C136" s="11"/>
      <c r="E136" s="11"/>
      <c r="F136" s="15"/>
      <c r="G136" s="15"/>
      <c r="H136" s="15"/>
      <c r="I136" s="15"/>
      <c r="J136" s="15"/>
      <c r="K136" s="47"/>
      <c r="M136" s="47"/>
      <c r="N136" s="47" t="str">
        <f>_xlfn.LET(
    _xlpm.itemBuscado, B136,
    _xlpm.areaBuscada, C136,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TEXT(COUNTIF($C$2:C136, _xlpm.areaBuscada), "0000"),
    _xlpm.codItem &amp; "-" &amp; _xlpm.codArea &amp; "-" &amp; _xlpm.secuencia
)</f>
        <v>-SinArea-0000</v>
      </c>
      <c r="P136" s="15"/>
      <c r="R136" s="48"/>
    </row>
    <row r="137" spans="3:19" x14ac:dyDescent="0.3">
      <c r="C137" s="11"/>
      <c r="E137" s="11"/>
      <c r="F137" s="15"/>
      <c r="G137" s="15"/>
      <c r="H137" s="15"/>
      <c r="I137" s="15"/>
      <c r="J137" s="15"/>
      <c r="K137" s="47"/>
      <c r="M137" s="47"/>
      <c r="N137" s="47" t="str">
        <f>_xlfn.LET(
    _xlpm.itemBuscado, B137,
    _xlpm.areaBuscada, C137,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TEXT(COUNTIF($C$2:C137, _xlpm.areaBuscada), "0000"),
    _xlpm.codItem &amp; "-" &amp; _xlpm.codArea &amp; "-" &amp; _xlpm.secuencia
)</f>
        <v>-SinArea-0000</v>
      </c>
      <c r="P137" s="15"/>
      <c r="R137" s="48"/>
    </row>
    <row r="138" spans="3:19" x14ac:dyDescent="0.3">
      <c r="C138" s="11"/>
      <c r="E138" s="11"/>
      <c r="F138" s="15"/>
      <c r="G138" s="15"/>
      <c r="H138" s="15"/>
      <c r="I138" s="15"/>
      <c r="J138" s="15"/>
      <c r="K138" s="47"/>
      <c r="M138" s="47"/>
      <c r="N138" s="47" t="str">
        <f>_xlfn.LET(
    _xlpm.itemBuscado, B138,
    _xlpm.areaBuscada, C138,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TEXT(COUNTIF($C$2:C138, _xlpm.areaBuscada), "0000"),
    _xlpm.codItem &amp; "-" &amp; _xlpm.codArea &amp; "-" &amp; _xlpm.secuencia
)</f>
        <v>-SinArea-0000</v>
      </c>
      <c r="P138" s="15"/>
      <c r="R138" s="48"/>
    </row>
    <row r="139" spans="3:19" x14ac:dyDescent="0.3">
      <c r="C139" s="11"/>
      <c r="E139" s="11"/>
      <c r="F139" s="15"/>
      <c r="G139" s="15"/>
      <c r="H139" s="15"/>
      <c r="I139" s="15"/>
      <c r="J139" s="15"/>
      <c r="K139" s="47"/>
      <c r="M139" s="47"/>
      <c r="N139" s="47" t="str">
        <f>_xlfn.LET(
    _xlpm.itemBuscado, B139,
    _xlpm.areaBuscada, C139,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TEXT(COUNTIF($C$2:C139, _xlpm.areaBuscada), "0000"),
    _xlpm.codItem &amp; "-" &amp; _xlpm.codArea &amp; "-" &amp; _xlpm.secuencia
)</f>
        <v>-SinArea-0000</v>
      </c>
      <c r="P139" s="15"/>
      <c r="R139" s="48"/>
    </row>
    <row r="140" spans="3:19" x14ac:dyDescent="0.3">
      <c r="C140" s="11"/>
      <c r="D140" s="32"/>
      <c r="E140" s="11"/>
      <c r="F140" s="15"/>
      <c r="G140" s="15"/>
      <c r="H140" s="15"/>
      <c r="I140" s="15"/>
      <c r="J140" s="15"/>
      <c r="K140" s="47"/>
      <c r="L140" s="76"/>
      <c r="M140" s="47"/>
      <c r="N140" s="47" t="str">
        <f>_xlfn.LET(
    _xlpm.itemBuscado, B140,
    _xlpm.areaBuscada, C140,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TEXT(COUNTIF($C$2:C140, _xlpm.areaBuscada), "0000"),
    _xlpm.codItem &amp; "-" &amp; _xlpm.codArea &amp; "-" &amp; _xlpm.secuencia
)</f>
        <v>-SinArea-0000</v>
      </c>
      <c r="O140" s="77"/>
      <c r="P140" s="15"/>
      <c r="Q140" s="32"/>
      <c r="R140" s="48"/>
    </row>
    <row r="141" spans="3:19" x14ac:dyDescent="0.3">
      <c r="C141" s="11"/>
      <c r="D141" s="32"/>
      <c r="E141" s="11"/>
      <c r="J141" s="15"/>
      <c r="K141" s="47"/>
      <c r="L141" s="76"/>
      <c r="M141" s="76"/>
      <c r="N141" s="78" t="str">
        <f>_xlfn.LET(
    _xlpm.itemBuscado, B141,
    _xlpm.areaBuscada, C141,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TEXT(COUNTIF($C$2:C141, _xlpm.areaBuscada), "0000"),
    _xlpm.codItem &amp; "-" &amp; _xlpm.codArea &amp; "-" &amp; _xlpm.secuencia
)</f>
        <v>-SinArea-0000</v>
      </c>
      <c r="O141" s="77"/>
      <c r="P141" s="32"/>
      <c r="Q141" s="32"/>
      <c r="R141" s="32"/>
      <c r="S141" s="32"/>
    </row>
    <row r="142" spans="3:19" x14ac:dyDescent="0.3">
      <c r="C142" s="11"/>
      <c r="D142" s="32"/>
      <c r="E142" s="11"/>
      <c r="J142" s="15"/>
      <c r="K142" s="47"/>
      <c r="L142" s="76"/>
      <c r="M142" s="76"/>
      <c r="N142" s="78" t="str">
        <f>_xlfn.LET(
    _xlpm.itemBuscado, B142,
    _xlpm.areaBuscada, C142,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TEXT(COUNTIF($C$2:C142, _xlpm.areaBuscada), "0000"),
    _xlpm.codItem &amp; "-" &amp; _xlpm.codArea &amp; "-" &amp; _xlpm.secuencia
)</f>
        <v>-SinArea-0000</v>
      </c>
      <c r="O142" s="77"/>
      <c r="P142" s="32"/>
      <c r="Q142" s="32"/>
      <c r="R142" s="32"/>
      <c r="S142" s="32"/>
    </row>
    <row r="143" spans="3:19" x14ac:dyDescent="0.3">
      <c r="C143" s="11"/>
      <c r="D143" s="32"/>
      <c r="E143" s="11"/>
      <c r="J143" s="15"/>
      <c r="K143" s="47"/>
      <c r="L143" s="76"/>
      <c r="M143" s="76"/>
      <c r="N143" s="78" t="str">
        <f>_xlfn.LET(
    _xlpm.itemBuscado, B143,
    _xlpm.areaBuscada, C143,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TEXT(COUNTIF($C$2:C143, _xlpm.areaBuscada), "0000"),
    _xlpm.codItem &amp; "-" &amp; _xlpm.codArea &amp; "-" &amp; _xlpm.secuencia
)</f>
        <v>-SinArea-0000</v>
      </c>
      <c r="O143" s="77"/>
      <c r="P143" s="32"/>
      <c r="Q143" s="32"/>
      <c r="R143" s="32"/>
      <c r="S143" s="32"/>
    </row>
    <row r="144" spans="3:19" x14ac:dyDescent="0.3">
      <c r="C144" s="11"/>
      <c r="D144" s="32"/>
      <c r="E144" s="11"/>
      <c r="J144" s="15"/>
      <c r="K144" s="47"/>
      <c r="L144" s="76"/>
      <c r="M144" s="76"/>
      <c r="N144" s="78" t="str">
        <f>_xlfn.LET(
    _xlpm.itemBuscado, B144,
    _xlpm.areaBuscada, C144,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TEXT(COUNTIF($C$2:C144, _xlpm.areaBuscada), "0000"),
    _xlpm.codItem &amp; "-" &amp; _xlpm.codArea &amp; "-" &amp; _xlpm.secuencia
)</f>
        <v>-SinArea-0000</v>
      </c>
      <c r="O144" s="77"/>
      <c r="P144" s="32"/>
      <c r="Q144" s="32"/>
      <c r="R144" s="32"/>
      <c r="S144" s="32"/>
    </row>
    <row r="145" spans="3:19" x14ac:dyDescent="0.3">
      <c r="C145" s="11"/>
      <c r="D145" s="32"/>
      <c r="E145" s="11"/>
      <c r="J145" s="15"/>
      <c r="K145" s="47"/>
      <c r="L145" s="76"/>
      <c r="M145" s="76"/>
      <c r="N145" s="78" t="str">
        <f>_xlfn.LET(
    _xlpm.itemBuscado, B145,
    _xlpm.areaBuscada, C145,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TEXT(COUNTIF($C$2:C145, _xlpm.areaBuscada), "0000"),
    _xlpm.codItem &amp; "-" &amp; _xlpm.codArea &amp; "-" &amp; _xlpm.secuencia
)</f>
        <v>-SinArea-0000</v>
      </c>
      <c r="O145" s="77"/>
      <c r="P145" s="32"/>
      <c r="Q145" s="32"/>
      <c r="R145" s="32"/>
      <c r="S145" s="32"/>
    </row>
    <row r="146" spans="3:19" x14ac:dyDescent="0.3">
      <c r="C146" s="11"/>
      <c r="D146" s="32"/>
      <c r="E146" s="11"/>
      <c r="J146" s="15"/>
      <c r="K146" s="47"/>
      <c r="L146" s="76"/>
      <c r="M146" s="76"/>
      <c r="N146" s="78" t="str">
        <f>_xlfn.LET(
    _xlpm.itemBuscado, B146,
    _xlpm.areaBuscada, C146,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TEXT(COUNTIF($C$2:C146, _xlpm.areaBuscada), "0000"),
    _xlpm.codItem &amp; "-" &amp; _xlpm.codArea &amp; "-" &amp; _xlpm.secuencia
)</f>
        <v>-SinArea-0000</v>
      </c>
      <c r="O146" s="77"/>
      <c r="P146" s="32"/>
      <c r="Q146" s="32"/>
      <c r="R146" s="32"/>
      <c r="S146" s="32"/>
    </row>
    <row r="147" spans="3:19" x14ac:dyDescent="0.3">
      <c r="C147" s="11"/>
      <c r="D147" s="32"/>
      <c r="E147" s="11"/>
      <c r="J147" s="15"/>
      <c r="K147" s="47"/>
      <c r="L147" s="76"/>
      <c r="M147" s="76"/>
      <c r="N147" s="78" t="str">
        <f>_xlfn.LET(
    _xlpm.itemBuscado, B147,
    _xlpm.areaBuscada, C147,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TEXT(COUNTIF($C$2:C147, _xlpm.areaBuscada), "0000"),
    _xlpm.codItem &amp; "-" &amp; _xlpm.codArea &amp; "-" &amp; _xlpm.secuencia
)</f>
        <v>-SinArea-0000</v>
      </c>
      <c r="O147" s="77"/>
      <c r="P147" s="32"/>
      <c r="Q147" s="32"/>
      <c r="R147" s="32"/>
      <c r="S147" s="32"/>
    </row>
    <row r="148" spans="3:19" x14ac:dyDescent="0.3">
      <c r="C148" s="11"/>
      <c r="D148" s="32"/>
      <c r="E148" s="11"/>
      <c r="J148" s="15"/>
      <c r="K148" s="47"/>
      <c r="L148" s="76"/>
      <c r="M148" s="76"/>
      <c r="N148" s="78" t="str">
        <f>_xlfn.LET(
    _xlpm.itemBuscado, B148,
    _xlpm.areaBuscada, C148,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TEXT(COUNTIF($C$2:C148, _xlpm.areaBuscada), "0000"),
    _xlpm.codItem &amp; "-" &amp; _xlpm.codArea &amp; "-" &amp; _xlpm.secuencia
)</f>
        <v>-SinArea-0000</v>
      </c>
      <c r="O148" s="77"/>
      <c r="P148" s="32"/>
      <c r="Q148" s="32"/>
      <c r="R148" s="32"/>
      <c r="S148" s="32"/>
    </row>
    <row r="149" spans="3:19" x14ac:dyDescent="0.3">
      <c r="C149" s="11"/>
      <c r="D149" s="32"/>
      <c r="E149" s="11"/>
      <c r="J149" s="15"/>
      <c r="K149" s="47"/>
      <c r="L149" s="76"/>
      <c r="M149" s="76"/>
      <c r="N149" s="78" t="str">
        <f>_xlfn.LET(
    _xlpm.itemBuscado, B149,
    _xlpm.areaBuscada, C149,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TEXT(COUNTIF($C$2:C149, _xlpm.areaBuscada), "0000"),
    _xlpm.codItem &amp; "-" &amp; _xlpm.codArea &amp; "-" &amp; _xlpm.secuencia
)</f>
        <v>-SinArea-0000</v>
      </c>
      <c r="O149" s="77"/>
      <c r="P149" s="32"/>
      <c r="Q149" s="32"/>
      <c r="R149" s="32"/>
      <c r="S149" s="32"/>
    </row>
    <row r="150" spans="3:19" x14ac:dyDescent="0.3">
      <c r="C150" s="11"/>
      <c r="D150" s="32"/>
      <c r="E150" s="11"/>
      <c r="J150" s="15"/>
      <c r="K150" s="47"/>
      <c r="L150" s="76"/>
      <c r="M150" s="76"/>
      <c r="N150" s="78" t="str">
        <f>_xlfn.LET(
    _xlpm.itemBuscado, B150,
    _xlpm.areaBuscada, C150,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TEXT(COUNTIF($C$2:C150, _xlpm.areaBuscada), "0000"),
    _xlpm.codItem &amp; "-" &amp; _xlpm.codArea &amp; "-" &amp; _xlpm.secuencia
)</f>
        <v>-SinArea-0000</v>
      </c>
      <c r="O150" s="77"/>
      <c r="P150" s="32"/>
      <c r="Q150" s="32"/>
      <c r="R150" s="32"/>
      <c r="S150" s="32"/>
    </row>
    <row r="151" spans="3:19" x14ac:dyDescent="0.3">
      <c r="C151" s="11"/>
      <c r="D151" s="32"/>
      <c r="E151" s="11"/>
      <c r="J151" s="15"/>
      <c r="K151" s="47"/>
      <c r="L151" s="76"/>
      <c r="M151" s="76"/>
      <c r="N151" s="78" t="str">
        <f>_xlfn.LET(
    _xlpm.itemBuscado, B151,
    _xlpm.areaBuscada, C151,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TEXT(COUNTIF($C$2:C151, _xlpm.areaBuscada), "0000"),
    _xlpm.codItem &amp; "-" &amp; _xlpm.codArea &amp; "-" &amp; _xlpm.secuencia
)</f>
        <v>-SinArea-0000</v>
      </c>
      <c r="O151" s="77"/>
      <c r="P151" s="32"/>
      <c r="Q151" s="32"/>
      <c r="R151" s="32"/>
      <c r="S151" s="32"/>
    </row>
    <row r="152" spans="3:19" x14ac:dyDescent="0.3">
      <c r="C152" s="11"/>
      <c r="D152" s="32"/>
      <c r="E152" s="11"/>
      <c r="J152" s="15"/>
      <c r="K152" s="47"/>
      <c r="L152" s="76"/>
      <c r="M152" s="76"/>
      <c r="N152" s="78" t="str">
        <f>_xlfn.LET(
    _xlpm.itemBuscado, B152,
    _xlpm.areaBuscada, C152,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TEXT(COUNTIF($C$2:C152, _xlpm.areaBuscada), "0000"),
    _xlpm.codItem &amp; "-" &amp; _xlpm.codArea &amp; "-" &amp; _xlpm.secuencia
)</f>
        <v>-SinArea-0000</v>
      </c>
      <c r="O152" s="77"/>
      <c r="P152" s="32"/>
      <c r="Q152" s="32"/>
      <c r="R152" s="32"/>
      <c r="S152" s="32"/>
    </row>
    <row r="153" spans="3:19" x14ac:dyDescent="0.3">
      <c r="C153" s="11"/>
      <c r="D153" s="32"/>
      <c r="E153" s="11"/>
      <c r="J153" s="15"/>
      <c r="K153" s="47"/>
      <c r="L153" s="76"/>
      <c r="M153" s="76"/>
      <c r="N153" s="78" t="str">
        <f>_xlfn.LET(
    _xlpm.itemBuscado, B153,
    _xlpm.areaBuscada, C153,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TEXT(COUNTIF($C$2:C153, _xlpm.areaBuscada), "0000"),
    _xlpm.codItem &amp; "-" &amp; _xlpm.codArea &amp; "-" &amp; _xlpm.secuencia
)</f>
        <v>-SinArea-0000</v>
      </c>
      <c r="O153" s="77"/>
      <c r="P153" s="32"/>
      <c r="Q153" s="32"/>
      <c r="R153" s="32"/>
      <c r="S153" s="32"/>
    </row>
    <row r="154" spans="3:19" x14ac:dyDescent="0.3">
      <c r="C154" s="11"/>
      <c r="D154" s="32"/>
      <c r="E154" s="11"/>
      <c r="J154" s="15"/>
      <c r="K154" s="47"/>
      <c r="L154" s="76"/>
      <c r="M154" s="76"/>
      <c r="N154" s="78" t="str">
        <f>_xlfn.LET(
    _xlpm.itemBuscado, B154,
    _xlpm.areaBuscada, C154,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TEXT(COUNTIF($C$2:C154, _xlpm.areaBuscada), "0000"),
    _xlpm.codItem &amp; "-" &amp; _xlpm.codArea &amp; "-" &amp; _xlpm.secuencia
)</f>
        <v>-SinArea-0000</v>
      </c>
      <c r="O154" s="77"/>
      <c r="P154" s="32"/>
      <c r="Q154" s="32"/>
      <c r="R154" s="32"/>
      <c r="S154" s="32"/>
    </row>
    <row r="155" spans="3:19" x14ac:dyDescent="0.3">
      <c r="C155" s="11"/>
      <c r="D155" s="32"/>
      <c r="E155" s="11"/>
      <c r="J155" s="15"/>
      <c r="K155" s="47"/>
      <c r="L155" s="76"/>
      <c r="M155" s="76"/>
      <c r="N155" s="78" t="str">
        <f>_xlfn.LET(
    _xlpm.itemBuscado, B155,
    _xlpm.areaBuscada, C155,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TEXT(COUNTIF($C$2:C155, _xlpm.areaBuscada), "0000"),
    _xlpm.codItem &amp; "-" &amp; _xlpm.codArea &amp; "-" &amp; _xlpm.secuencia
)</f>
        <v>-SinArea-0000</v>
      </c>
      <c r="O155" s="77"/>
      <c r="P155" s="32"/>
      <c r="Q155" s="32"/>
      <c r="R155" s="32"/>
      <c r="S155" s="32"/>
    </row>
    <row r="156" spans="3:19" x14ac:dyDescent="0.3">
      <c r="C156" s="11"/>
      <c r="D156" s="32"/>
      <c r="E156" s="11"/>
      <c r="J156" s="15"/>
      <c r="K156" s="47"/>
      <c r="L156" s="76"/>
      <c r="M156" s="76"/>
      <c r="N156" s="78" t="str">
        <f>_xlfn.LET(
    _xlpm.itemBuscado, B156,
    _xlpm.areaBuscada, C156,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TEXT(COUNTIF($C$2:C156, _xlpm.areaBuscada), "0000"),
    _xlpm.codItem &amp; "-" &amp; _xlpm.codArea &amp; "-" &amp; _xlpm.secuencia
)</f>
        <v>-SinArea-0000</v>
      </c>
      <c r="O156" s="77"/>
      <c r="P156" s="32"/>
      <c r="Q156" s="32"/>
      <c r="R156" s="32"/>
      <c r="S156" s="32"/>
    </row>
    <row r="157" spans="3:19" x14ac:dyDescent="0.3">
      <c r="C157" s="11"/>
      <c r="D157" s="32"/>
      <c r="E157" s="11"/>
      <c r="J157" s="15"/>
      <c r="K157" s="47"/>
      <c r="L157" s="76"/>
      <c r="M157" s="76"/>
      <c r="N157" s="78" t="str">
        <f>_xlfn.LET(
    _xlpm.itemBuscado, B157,
    _xlpm.areaBuscada, C157,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TEXT(COUNTIF($C$2:C157, _xlpm.areaBuscada), "0000"),
    _xlpm.codItem &amp; "-" &amp; _xlpm.codArea &amp; "-" &amp; _xlpm.secuencia
)</f>
        <v>-SinArea-0000</v>
      </c>
      <c r="O157" s="77"/>
      <c r="P157" s="32"/>
      <c r="Q157" s="32"/>
      <c r="R157" s="32"/>
      <c r="S157" s="32"/>
    </row>
    <row r="158" spans="3:19" x14ac:dyDescent="0.3">
      <c r="C158" s="11"/>
      <c r="D158" s="32"/>
      <c r="E158" s="11"/>
      <c r="J158" s="15"/>
      <c r="K158" s="47"/>
      <c r="L158" s="76"/>
      <c r="M158" s="76"/>
      <c r="N158" s="78" t="str">
        <f>_xlfn.LET(
    _xlpm.itemBuscado, B158,
    _xlpm.areaBuscada, C158,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TEXT(COUNTIF($C$2:C158, _xlpm.areaBuscada), "0000"),
    _xlpm.codItem &amp; "-" &amp; _xlpm.codArea &amp; "-" &amp; _xlpm.secuencia
)</f>
        <v>-SinArea-0000</v>
      </c>
      <c r="O158" s="77"/>
      <c r="P158" s="32"/>
      <c r="Q158" s="32"/>
      <c r="R158" s="32"/>
      <c r="S158" s="32"/>
    </row>
    <row r="159" spans="3:19" x14ac:dyDescent="0.3">
      <c r="C159" s="11"/>
      <c r="D159" s="32"/>
      <c r="E159" s="11"/>
      <c r="J159" s="15"/>
      <c r="K159" s="47"/>
      <c r="L159" s="76"/>
      <c r="M159" s="76"/>
      <c r="N159" s="78" t="str">
        <f>_xlfn.LET(
    _xlpm.itemBuscado, B159,
    _xlpm.areaBuscada, C159,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TEXT(COUNTIF($C$2:C159, _xlpm.areaBuscada), "0000"),
    _xlpm.codItem &amp; "-" &amp; _xlpm.codArea &amp; "-" &amp; _xlpm.secuencia
)</f>
        <v>-SinArea-0000</v>
      </c>
      <c r="O159" s="77"/>
      <c r="P159" s="32"/>
      <c r="Q159" s="32"/>
      <c r="R159" s="32"/>
      <c r="S159" s="32"/>
    </row>
    <row r="160" spans="3:19" x14ac:dyDescent="0.3">
      <c r="C160" s="11"/>
      <c r="D160" s="32"/>
      <c r="E160" s="11"/>
      <c r="J160" s="15"/>
      <c r="K160" s="47"/>
      <c r="L160" s="76"/>
      <c r="M160" s="76"/>
      <c r="N160" s="78" t="str">
        <f>_xlfn.LET(
    _xlpm.itemBuscado, B160,
    _xlpm.areaBuscada, C160,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TEXT(COUNTIF($C$2:C160, _xlpm.areaBuscada), "0000"),
    _xlpm.codItem &amp; "-" &amp; _xlpm.codArea &amp; "-" &amp; _xlpm.secuencia
)</f>
        <v>-SinArea-0000</v>
      </c>
      <c r="O160" s="77"/>
      <c r="P160" s="32"/>
      <c r="Q160" s="32"/>
      <c r="R160" s="32"/>
      <c r="S160" s="32"/>
    </row>
    <row r="161" spans="3:19" x14ac:dyDescent="0.3">
      <c r="C161" s="11"/>
      <c r="D161" s="32"/>
      <c r="E161" s="11"/>
      <c r="J161" s="15"/>
      <c r="K161" s="47"/>
      <c r="L161" s="76"/>
      <c r="M161" s="76"/>
      <c r="N161" s="78" t="str">
        <f>_xlfn.LET(
    _xlpm.itemBuscado, B161,
    _xlpm.areaBuscada, C161,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TEXT(COUNTIF($C$2:C161, _xlpm.areaBuscada), "0000"),
    _xlpm.codItem &amp; "-" &amp; _xlpm.codArea &amp; "-" &amp; _xlpm.secuencia
)</f>
        <v>-SinArea-0000</v>
      </c>
      <c r="O161" s="77"/>
      <c r="P161" s="32"/>
      <c r="Q161" s="32"/>
      <c r="R161" s="32"/>
      <c r="S161" s="32"/>
    </row>
    <row r="162" spans="3:19" x14ac:dyDescent="0.3">
      <c r="C162" s="11"/>
      <c r="D162" s="32"/>
      <c r="E162" s="11"/>
      <c r="J162" s="15"/>
      <c r="K162" s="47"/>
      <c r="L162" s="76"/>
      <c r="M162" s="76"/>
      <c r="N162" s="78" t="str">
        <f>_xlfn.LET(
    _xlpm.itemBuscado, B162,
    _xlpm.areaBuscada, C162,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TEXT(COUNTIF($C$2:C162, _xlpm.areaBuscada), "0000"),
    _xlpm.codItem &amp; "-" &amp; _xlpm.codArea &amp; "-" &amp; _xlpm.secuencia
)</f>
        <v>-SinArea-0000</v>
      </c>
      <c r="O162" s="77"/>
      <c r="P162" s="32"/>
      <c r="Q162" s="32"/>
      <c r="R162" s="32"/>
      <c r="S162" s="32"/>
    </row>
    <row r="163" spans="3:19" x14ac:dyDescent="0.3">
      <c r="C163" s="11"/>
      <c r="D163" s="32"/>
      <c r="E163" s="11"/>
      <c r="J163" s="15"/>
      <c r="K163" s="47"/>
      <c r="L163" s="76"/>
      <c r="M163" s="76"/>
      <c r="N163" s="78" t="str">
        <f>_xlfn.LET(
    _xlpm.itemBuscado, B163,
    _xlpm.areaBuscada, C163,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TEXT(COUNTIF($C$2:C163, _xlpm.areaBuscada), "0000"),
    _xlpm.codItem &amp; "-" &amp; _xlpm.codArea &amp; "-" &amp; _xlpm.secuencia
)</f>
        <v>-SinArea-0000</v>
      </c>
      <c r="O163" s="77"/>
      <c r="P163" s="32"/>
      <c r="Q163" s="32"/>
      <c r="R163" s="32"/>
      <c r="S163" s="32"/>
    </row>
    <row r="164" spans="3:19" x14ac:dyDescent="0.3">
      <c r="C164" s="11"/>
      <c r="D164" s="32"/>
      <c r="E164" s="11"/>
      <c r="J164" s="15"/>
      <c r="K164" s="47"/>
      <c r="L164" s="76"/>
      <c r="M164" s="76"/>
      <c r="N164" s="78" t="str">
        <f>_xlfn.LET(
    _xlpm.itemBuscado, B164,
    _xlpm.areaBuscada, C164,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TEXT(COUNTIF($C$2:C164, _xlpm.areaBuscada), "0000"),
    _xlpm.codItem &amp; "-" &amp; _xlpm.codArea &amp; "-" &amp; _xlpm.secuencia
)</f>
        <v>-SinArea-0000</v>
      </c>
      <c r="O164" s="77"/>
      <c r="P164" s="32"/>
      <c r="Q164" s="32"/>
      <c r="R164" s="32"/>
      <c r="S164" s="32"/>
    </row>
    <row r="165" spans="3:19" x14ac:dyDescent="0.3">
      <c r="C165" s="11"/>
      <c r="D165" s="32"/>
      <c r="E165" s="11"/>
      <c r="J165" s="15"/>
      <c r="K165" s="47"/>
      <c r="L165" s="76"/>
      <c r="M165" s="76"/>
      <c r="N165" s="78" t="str">
        <f>_xlfn.LET(
    _xlpm.itemBuscado, B165,
    _xlpm.areaBuscada, C165,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TEXT(COUNTIF($C$2:C165, _xlpm.areaBuscada), "0000"),
    _xlpm.codItem &amp; "-" &amp; _xlpm.codArea &amp; "-" &amp; _xlpm.secuencia
)</f>
        <v>-SinArea-0000</v>
      </c>
      <c r="O165" s="77"/>
      <c r="P165" s="32"/>
      <c r="Q165" s="32"/>
      <c r="R165" s="32"/>
      <c r="S165" s="32"/>
    </row>
    <row r="166" spans="3:19" x14ac:dyDescent="0.3">
      <c r="C166" s="11"/>
      <c r="D166" s="32"/>
      <c r="E166" s="11"/>
      <c r="J166" s="15"/>
      <c r="K166" s="47"/>
      <c r="L166" s="76"/>
      <c r="M166" s="76"/>
      <c r="N166" s="78" t="str">
        <f>_xlfn.LET(
    _xlpm.itemBuscado, B166,
    _xlpm.areaBuscada, C166,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TEXT(COUNTIF($C$2:C166, _xlpm.areaBuscada), "0000"),
    _xlpm.codItem &amp; "-" &amp; _xlpm.codArea &amp; "-" &amp; _xlpm.secuencia
)</f>
        <v>-SinArea-0000</v>
      </c>
      <c r="O166" s="77"/>
      <c r="P166" s="32"/>
      <c r="Q166" s="32"/>
      <c r="R166" s="32"/>
      <c r="S166" s="32"/>
    </row>
    <row r="167" spans="3:19" x14ac:dyDescent="0.3">
      <c r="C167" s="11"/>
      <c r="D167" s="32"/>
      <c r="E167" s="11"/>
      <c r="J167" s="15"/>
      <c r="K167" s="47"/>
      <c r="L167" s="76"/>
      <c r="M167" s="76"/>
      <c r="N167" s="78" t="str">
        <f>_xlfn.LET(
    _xlpm.itemBuscado, B167,
    _xlpm.areaBuscada, C167,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TEXT(COUNTIF($C$2:C167, _xlpm.areaBuscada), "0000"),
    _xlpm.codItem &amp; "-" &amp; _xlpm.codArea &amp; "-" &amp; _xlpm.secuencia
)</f>
        <v>-SinArea-0000</v>
      </c>
      <c r="O167" s="77"/>
      <c r="P167" s="32"/>
      <c r="Q167" s="32"/>
      <c r="R167" s="32"/>
      <c r="S167" s="32"/>
    </row>
    <row r="168" spans="3:19" x14ac:dyDescent="0.3">
      <c r="C168" s="11"/>
      <c r="D168" s="32"/>
      <c r="E168" s="11"/>
      <c r="J168" s="15"/>
      <c r="K168" s="47"/>
      <c r="L168" s="76"/>
      <c r="M168" s="76"/>
      <c r="N168" s="78" t="str">
        <f>_xlfn.LET(
    _xlpm.itemBuscado, B168,
    _xlpm.areaBuscada, C168,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TEXT(COUNTIF($C$2:C168, _xlpm.areaBuscada), "0000"),
    _xlpm.codItem &amp; "-" &amp; _xlpm.codArea &amp; "-" &amp; _xlpm.secuencia
)</f>
        <v>-SinArea-0000</v>
      </c>
      <c r="O168" s="77"/>
      <c r="P168" s="32"/>
      <c r="Q168" s="32"/>
      <c r="R168" s="32"/>
      <c r="S168" s="32"/>
    </row>
    <row r="169" spans="3:19" x14ac:dyDescent="0.3">
      <c r="C169" s="11"/>
      <c r="D169" s="32"/>
      <c r="E169" s="11"/>
      <c r="J169" s="15"/>
      <c r="K169" s="47"/>
      <c r="L169" s="76"/>
      <c r="M169" s="76"/>
      <c r="N169" s="78" t="str">
        <f>_xlfn.LET(
    _xlpm.itemBuscado, B169,
    _xlpm.areaBuscada, C169,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TEXT(COUNTIF($C$2:C169, _xlpm.areaBuscada), "0000"),
    _xlpm.codItem &amp; "-" &amp; _xlpm.codArea &amp; "-" &amp; _xlpm.secuencia
)</f>
        <v>-SinArea-0000</v>
      </c>
      <c r="O169" s="77"/>
      <c r="P169" s="32"/>
      <c r="Q169" s="32"/>
      <c r="R169" s="32"/>
      <c r="S169" s="32"/>
    </row>
    <row r="170" spans="3:19" x14ac:dyDescent="0.3">
      <c r="C170" s="11"/>
      <c r="D170" s="32"/>
      <c r="E170" s="11"/>
      <c r="J170" s="15"/>
      <c r="K170" s="47"/>
      <c r="L170" s="76"/>
      <c r="M170" s="76"/>
      <c r="N170" s="78" t="str">
        <f>_xlfn.LET(
    _xlpm.itemBuscado, B170,
    _xlpm.areaBuscada, C170,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TEXT(COUNTIF($C$2:C170, _xlpm.areaBuscada), "0000"),
    _xlpm.codItem &amp; "-" &amp; _xlpm.codArea &amp; "-" &amp; _xlpm.secuencia
)</f>
        <v>-SinArea-0000</v>
      </c>
      <c r="O170" s="77"/>
      <c r="P170" s="32"/>
      <c r="Q170" s="32"/>
      <c r="R170" s="32"/>
      <c r="S170" s="32"/>
    </row>
    <row r="171" spans="3:19" x14ac:dyDescent="0.3">
      <c r="C171" s="11"/>
      <c r="D171" s="32"/>
      <c r="E171" s="11"/>
      <c r="J171" s="15"/>
      <c r="K171" s="47"/>
      <c r="L171" s="76"/>
      <c r="M171" s="76"/>
      <c r="N171" s="78" t="str">
        <f>_xlfn.LET(
    _xlpm.itemBuscado, B171,
    _xlpm.areaBuscada, C171,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TEXT(COUNTIF($C$2:C171, _xlpm.areaBuscada), "0000"),
    _xlpm.codItem &amp; "-" &amp; _xlpm.codArea &amp; "-" &amp; _xlpm.secuencia
)</f>
        <v>-SinArea-0000</v>
      </c>
      <c r="O171" s="77"/>
      <c r="P171" s="32"/>
      <c r="Q171" s="32"/>
      <c r="R171" s="32"/>
      <c r="S171" s="32"/>
    </row>
    <row r="172" spans="3:19" x14ac:dyDescent="0.3">
      <c r="C172" s="11"/>
      <c r="D172" s="32"/>
      <c r="E172" s="11"/>
      <c r="J172" s="15"/>
      <c r="K172" s="47"/>
      <c r="L172" s="76"/>
      <c r="M172" s="76"/>
      <c r="N172" s="78" t="str">
        <f>_xlfn.LET(
    _xlpm.itemBuscado, B172,
    _xlpm.areaBuscada, C172,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TEXT(COUNTIF($C$2:C172, _xlpm.areaBuscada), "0000"),
    _xlpm.codItem &amp; "-" &amp; _xlpm.codArea &amp; "-" &amp; _xlpm.secuencia
)</f>
        <v>-SinArea-0000</v>
      </c>
      <c r="O172" s="77"/>
      <c r="P172" s="32"/>
      <c r="Q172" s="32"/>
      <c r="R172" s="32"/>
      <c r="S172" s="32"/>
    </row>
    <row r="173" spans="3:19" x14ac:dyDescent="0.3">
      <c r="C173" s="11"/>
      <c r="D173" s="32"/>
      <c r="E173" s="11"/>
      <c r="J173" s="15"/>
      <c r="K173" s="47"/>
      <c r="L173" s="76"/>
      <c r="M173" s="76"/>
      <c r="N173" s="78" t="str">
        <f>_xlfn.LET(
    _xlpm.itemBuscado, B173,
    _xlpm.areaBuscada, C173,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TEXT(COUNTIF($C$2:C173, _xlpm.areaBuscada), "0000"),
    _xlpm.codItem &amp; "-" &amp; _xlpm.codArea &amp; "-" &amp; _xlpm.secuencia
)</f>
        <v>-SinArea-0000</v>
      </c>
      <c r="O173" s="77"/>
      <c r="P173" s="32"/>
      <c r="Q173" s="32"/>
      <c r="R173" s="32"/>
      <c r="S173" s="32"/>
    </row>
    <row r="174" spans="3:19" x14ac:dyDescent="0.3">
      <c r="C174" s="11"/>
      <c r="D174" s="32"/>
      <c r="E174" s="11"/>
      <c r="J174" s="15"/>
      <c r="K174" s="47"/>
      <c r="L174" s="76"/>
      <c r="M174" s="76"/>
      <c r="N174" s="78" t="str">
        <f>_xlfn.LET(
    _xlpm.itemBuscado, B174,
    _xlpm.areaBuscada, C174,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TEXT(COUNTIF($C$2:C174, _xlpm.areaBuscada), "0000"),
    _xlpm.codItem &amp; "-" &amp; _xlpm.codArea &amp; "-" &amp; _xlpm.secuencia
)</f>
        <v>-SinArea-0000</v>
      </c>
      <c r="O174" s="77"/>
      <c r="P174" s="32"/>
      <c r="Q174" s="32"/>
      <c r="R174" s="32"/>
      <c r="S174" s="32"/>
    </row>
    <row r="175" spans="3:19" x14ac:dyDescent="0.3">
      <c r="C175" s="11"/>
      <c r="D175" s="32"/>
      <c r="E175" s="11"/>
      <c r="J175" s="15"/>
      <c r="K175" s="47"/>
      <c r="L175" s="76"/>
      <c r="M175" s="76"/>
      <c r="N175" s="78" t="str">
        <f>_xlfn.LET(
    _xlpm.itemBuscado, B175,
    _xlpm.areaBuscada, C175,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TEXT(COUNTIF($C$2:C175, _xlpm.areaBuscada), "0000"),
    _xlpm.codItem &amp; "-" &amp; _xlpm.codArea &amp; "-" &amp; _xlpm.secuencia
)</f>
        <v>-SinArea-0000</v>
      </c>
      <c r="O175" s="77"/>
      <c r="P175" s="32"/>
      <c r="Q175" s="32"/>
      <c r="R175" s="32"/>
      <c r="S175" s="32"/>
    </row>
    <row r="176" spans="3:19" x14ac:dyDescent="0.3">
      <c r="C176" s="11"/>
      <c r="D176" s="32"/>
      <c r="E176" s="11"/>
      <c r="J176" s="15"/>
      <c r="K176" s="47"/>
      <c r="L176" s="76"/>
      <c r="M176" s="76"/>
      <c r="N176" s="78" t="str">
        <f>_xlfn.LET(
    _xlpm.itemBuscado, B176,
    _xlpm.areaBuscada, C176,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TEXT(COUNTIF($C$2:C176, _xlpm.areaBuscada), "0000"),
    _xlpm.codItem &amp; "-" &amp; _xlpm.codArea &amp; "-" &amp; _xlpm.secuencia
)</f>
        <v>-SinArea-0000</v>
      </c>
      <c r="O176" s="77"/>
      <c r="P176" s="32"/>
      <c r="Q176" s="32"/>
      <c r="R176" s="32"/>
      <c r="S176" s="32"/>
    </row>
    <row r="177" spans="3:19" x14ac:dyDescent="0.3">
      <c r="C177" s="11"/>
      <c r="D177" s="32"/>
      <c r="E177" s="11"/>
      <c r="J177" s="15"/>
      <c r="K177" s="47"/>
      <c r="L177" s="76"/>
      <c r="M177" s="76"/>
      <c r="N177" s="78" t="str">
        <f>_xlfn.LET(
    _xlpm.itemBuscado, B177,
    _xlpm.areaBuscada, C177,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TEXT(COUNTIF($C$2:C177, _xlpm.areaBuscada), "0000"),
    _xlpm.codItem &amp; "-" &amp; _xlpm.codArea &amp; "-" &amp; _xlpm.secuencia
)</f>
        <v>-SinArea-0000</v>
      </c>
      <c r="O177" s="77"/>
      <c r="P177" s="32"/>
      <c r="Q177" s="32"/>
      <c r="R177" s="32"/>
      <c r="S177" s="32"/>
    </row>
    <row r="178" spans="3:19" x14ac:dyDescent="0.3">
      <c r="C178" s="11"/>
      <c r="D178" s="32"/>
      <c r="E178" s="11"/>
      <c r="J178" s="15"/>
      <c r="K178" s="47"/>
      <c r="L178" s="76"/>
      <c r="M178" s="76"/>
      <c r="N178" s="78" t="str">
        <f>_xlfn.LET(
    _xlpm.itemBuscado, B178,
    _xlpm.areaBuscada, C178,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TEXT(COUNTIF($C$2:C178, _xlpm.areaBuscada), "0000"),
    _xlpm.codItem &amp; "-" &amp; _xlpm.codArea &amp; "-" &amp; _xlpm.secuencia
)</f>
        <v>-SinArea-0000</v>
      </c>
      <c r="O178" s="77"/>
      <c r="P178" s="32"/>
      <c r="Q178" s="32"/>
      <c r="R178" s="32"/>
      <c r="S178" s="32"/>
    </row>
    <row r="179" spans="3:19" x14ac:dyDescent="0.3">
      <c r="C179" s="11"/>
      <c r="D179" s="32"/>
      <c r="E179" s="11"/>
      <c r="J179" s="15"/>
      <c r="K179" s="47"/>
      <c r="L179" s="76"/>
      <c r="M179" s="76"/>
      <c r="N179" s="78" t="str">
        <f>_xlfn.LET(
    _xlpm.itemBuscado, B179,
    _xlpm.areaBuscada, C179,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TEXT(COUNTIF($C$2:C179, _xlpm.areaBuscada), "0000"),
    _xlpm.codItem &amp; "-" &amp; _xlpm.codArea &amp; "-" &amp; _xlpm.secuencia
)</f>
        <v>-SinArea-0000</v>
      </c>
      <c r="O179" s="77"/>
      <c r="P179" s="32"/>
      <c r="Q179" s="32"/>
      <c r="R179" s="32"/>
      <c r="S179" s="32"/>
    </row>
    <row r="180" spans="3:19" x14ac:dyDescent="0.3">
      <c r="C180" s="11"/>
      <c r="D180" s="32"/>
      <c r="E180" s="11"/>
      <c r="J180" s="15"/>
      <c r="K180" s="47"/>
      <c r="L180" s="76"/>
      <c r="M180" s="76"/>
      <c r="N180" s="78" t="str">
        <f>_xlfn.LET(
    _xlpm.itemBuscado, B180,
    _xlpm.areaBuscada, C180,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TEXT(COUNTIF($C$2:C180, _xlpm.areaBuscada), "0000"),
    _xlpm.codItem &amp; "-" &amp; _xlpm.codArea &amp; "-" &amp; _xlpm.secuencia
)</f>
        <v>-SinArea-0000</v>
      </c>
      <c r="O180" s="77"/>
      <c r="P180" s="32"/>
      <c r="Q180" s="32"/>
      <c r="R180" s="32"/>
      <c r="S180" s="32"/>
    </row>
    <row r="181" spans="3:19" x14ac:dyDescent="0.3">
      <c r="C181" s="11"/>
      <c r="D181" s="32"/>
      <c r="E181" s="11"/>
      <c r="J181" s="15"/>
      <c r="K181" s="47"/>
      <c r="L181" s="76"/>
      <c r="M181" s="76"/>
      <c r="N181" s="78" t="str">
        <f>_xlfn.LET(
    _xlpm.itemBuscado, B181,
    _xlpm.areaBuscada, C181,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TEXT(COUNTIF($C$2:C181, _xlpm.areaBuscada), "0000"),
    _xlpm.codItem &amp; "-" &amp; _xlpm.codArea &amp; "-" &amp; _xlpm.secuencia
)</f>
        <v>-SinArea-0000</v>
      </c>
      <c r="O181" s="77"/>
      <c r="P181" s="32"/>
      <c r="Q181" s="32"/>
      <c r="R181" s="32"/>
      <c r="S181" s="32"/>
    </row>
    <row r="182" spans="3:19" x14ac:dyDescent="0.3">
      <c r="C182" s="11"/>
      <c r="D182" s="32"/>
      <c r="E182" s="11"/>
      <c r="J182" s="15"/>
      <c r="K182" s="47"/>
      <c r="L182" s="76"/>
      <c r="M182" s="76"/>
      <c r="N182" s="78" t="str">
        <f>_xlfn.LET(
    _xlpm.itemBuscado, B182,
    _xlpm.areaBuscada, C182,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TEXT(COUNTIF($C$2:C182, _xlpm.areaBuscada), "0000"),
    _xlpm.codItem &amp; "-" &amp; _xlpm.codArea &amp; "-" &amp; _xlpm.secuencia
)</f>
        <v>-SinArea-0000</v>
      </c>
      <c r="O182" s="77"/>
      <c r="P182" s="32"/>
      <c r="Q182" s="32"/>
      <c r="R182" s="32"/>
      <c r="S182" s="32"/>
    </row>
    <row r="183" spans="3:19" x14ac:dyDescent="0.3">
      <c r="C183" s="11"/>
      <c r="D183" s="32"/>
      <c r="E183" s="11"/>
      <c r="J183" s="15"/>
      <c r="K183" s="47"/>
      <c r="L183" s="76"/>
      <c r="M183" s="76"/>
      <c r="N183" s="78" t="str">
        <f>_xlfn.LET(
    _xlpm.itemBuscado, B183,
    _xlpm.areaBuscada, C183,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TEXT(COUNTIF($C$2:C183, _xlpm.areaBuscada), "0000"),
    _xlpm.codItem &amp; "-" &amp; _xlpm.codArea &amp; "-" &amp; _xlpm.secuencia
)</f>
        <v>-SinArea-0000</v>
      </c>
      <c r="O183" s="77"/>
      <c r="P183" s="32"/>
      <c r="Q183" s="32"/>
      <c r="R183" s="32"/>
      <c r="S183" s="32"/>
    </row>
    <row r="184" spans="3:19" x14ac:dyDescent="0.3">
      <c r="C184" s="11"/>
      <c r="D184" s="32"/>
      <c r="E184" s="11"/>
      <c r="J184" s="15"/>
      <c r="K184" s="47"/>
      <c r="L184" s="76"/>
      <c r="M184" s="76"/>
      <c r="N184" s="78" t="str">
        <f>_xlfn.LET(
    _xlpm.itemBuscado, B184,
    _xlpm.areaBuscada, C184,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TEXT(COUNTIF($C$2:C184, _xlpm.areaBuscada), "0000"),
    _xlpm.codItem &amp; "-" &amp; _xlpm.codArea &amp; "-" &amp; _xlpm.secuencia
)</f>
        <v>-SinArea-0000</v>
      </c>
      <c r="O184" s="77"/>
      <c r="P184" s="32"/>
      <c r="Q184" s="32"/>
      <c r="R184" s="32"/>
      <c r="S184" s="32"/>
    </row>
    <row r="185" spans="3:19" x14ac:dyDescent="0.3">
      <c r="C185" s="11"/>
      <c r="D185" s="32"/>
      <c r="E185" s="11"/>
      <c r="J185" s="15"/>
      <c r="K185" s="47"/>
      <c r="L185" s="76"/>
      <c r="M185" s="76"/>
      <c r="N185" s="78" t="str">
        <f>_xlfn.LET(
    _xlpm.itemBuscado, B185,
    _xlpm.areaBuscada, C185,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TEXT(COUNTIF($C$2:C185, _xlpm.areaBuscada), "0000"),
    _xlpm.codItem &amp; "-" &amp; _xlpm.codArea &amp; "-" &amp; _xlpm.secuencia
)</f>
        <v>-SinArea-0000</v>
      </c>
      <c r="O185" s="77"/>
      <c r="P185" s="32"/>
      <c r="Q185" s="32"/>
      <c r="R185" s="32"/>
      <c r="S185" s="32"/>
    </row>
    <row r="186" spans="3:19" x14ac:dyDescent="0.3">
      <c r="C186" s="11"/>
      <c r="D186" s="32"/>
      <c r="E186" s="11"/>
      <c r="J186" s="15"/>
      <c r="K186" s="47"/>
      <c r="L186" s="76"/>
      <c r="M186" s="76"/>
      <c r="N186" s="78" t="str">
        <f>_xlfn.LET(
    _xlpm.itemBuscado, B186,
    _xlpm.areaBuscada, C186,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TEXT(COUNTIF($C$2:C186, _xlpm.areaBuscada), "0000"),
    _xlpm.codItem &amp; "-" &amp; _xlpm.codArea &amp; "-" &amp; _xlpm.secuencia
)</f>
        <v>-SinArea-0000</v>
      </c>
      <c r="O186" s="77"/>
      <c r="P186" s="32"/>
      <c r="Q186" s="32"/>
      <c r="R186" s="32"/>
      <c r="S186" s="32"/>
    </row>
    <row r="187" spans="3:19" x14ac:dyDescent="0.3">
      <c r="C187" s="11"/>
      <c r="D187" s="32"/>
      <c r="E187" s="11"/>
      <c r="J187" s="15"/>
      <c r="K187" s="47"/>
      <c r="L187" s="76"/>
      <c r="M187" s="76"/>
      <c r="N187" s="78" t="str">
        <f>_xlfn.LET(
    _xlpm.itemBuscado, B187,
    _xlpm.areaBuscada, C187,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TEXT(COUNTIF($C$2:C187, _xlpm.areaBuscada), "0000"),
    _xlpm.codItem &amp; "-" &amp; _xlpm.codArea &amp; "-" &amp; _xlpm.secuencia
)</f>
        <v>-SinArea-0000</v>
      </c>
      <c r="O187" s="77"/>
      <c r="P187" s="32"/>
      <c r="Q187" s="32"/>
      <c r="R187" s="32"/>
      <c r="S187" s="32"/>
    </row>
    <row r="188" spans="3:19" x14ac:dyDescent="0.3">
      <c r="C188" s="11"/>
      <c r="D188" s="32"/>
      <c r="E188" s="11"/>
      <c r="J188" s="15"/>
      <c r="K188" s="47"/>
      <c r="L188" s="76"/>
      <c r="M188" s="76"/>
      <c r="N188" s="78" t="str">
        <f>_xlfn.LET(
    _xlpm.itemBuscado, B188,
    _xlpm.areaBuscada, C188,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TEXT(COUNTIF($C$2:C188, _xlpm.areaBuscada), "0000"),
    _xlpm.codItem &amp; "-" &amp; _xlpm.codArea &amp; "-" &amp; _xlpm.secuencia
)</f>
        <v>-SinArea-0000</v>
      </c>
      <c r="O188" s="77"/>
      <c r="P188" s="32"/>
      <c r="Q188" s="32"/>
      <c r="R188" s="32"/>
      <c r="S188" s="32"/>
    </row>
    <row r="189" spans="3:19" x14ac:dyDescent="0.3">
      <c r="C189" s="11"/>
      <c r="D189" s="32"/>
      <c r="E189" s="11"/>
      <c r="J189" s="15"/>
      <c r="K189" s="47"/>
      <c r="L189" s="76"/>
      <c r="M189" s="76"/>
      <c r="N189" s="78" t="str">
        <f>_xlfn.LET(
    _xlpm.itemBuscado, B189,
    _xlpm.areaBuscada, C189,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TEXT(COUNTIF($C$2:C189, _xlpm.areaBuscada), "0000"),
    _xlpm.codItem &amp; "-" &amp; _xlpm.codArea &amp; "-" &amp; _xlpm.secuencia
)</f>
        <v>-SinArea-0000</v>
      </c>
      <c r="O189" s="77"/>
      <c r="P189" s="32"/>
      <c r="Q189" s="32"/>
      <c r="R189" s="32"/>
      <c r="S189" s="32"/>
    </row>
    <row r="190" spans="3:19" x14ac:dyDescent="0.3">
      <c r="C190" s="11"/>
      <c r="D190" s="32"/>
      <c r="E190" s="11"/>
      <c r="J190" s="15"/>
      <c r="K190" s="47"/>
      <c r="L190" s="76"/>
      <c r="M190" s="76"/>
      <c r="N190" s="78" t="str">
        <f>_xlfn.LET(
    _xlpm.itemBuscado, B190,
    _xlpm.areaBuscada, C190,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TEXT(COUNTIF($C$2:C190, _xlpm.areaBuscada), "0000"),
    _xlpm.codItem &amp; "-" &amp; _xlpm.codArea &amp; "-" &amp; _xlpm.secuencia
)</f>
        <v>-SinArea-0000</v>
      </c>
      <c r="O190" s="77"/>
      <c r="P190" s="32"/>
      <c r="Q190" s="32"/>
      <c r="R190" s="32"/>
      <c r="S190" s="32"/>
    </row>
    <row r="191" spans="3:19" x14ac:dyDescent="0.3">
      <c r="C191" s="11"/>
      <c r="D191" s="32"/>
      <c r="E191" s="11"/>
      <c r="J191" s="15"/>
      <c r="K191" s="47"/>
      <c r="L191" s="76"/>
      <c r="M191" s="76"/>
      <c r="N191" s="78" t="str">
        <f>_xlfn.LET(
    _xlpm.itemBuscado, B191,
    _xlpm.areaBuscada, C191,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TEXT(COUNTIF($C$2:C191, _xlpm.areaBuscada), "0000"),
    _xlpm.codItem &amp; "-" &amp; _xlpm.codArea &amp; "-" &amp; _xlpm.secuencia
)</f>
        <v>-SinArea-0000</v>
      </c>
      <c r="O191" s="77"/>
      <c r="P191" s="32"/>
      <c r="Q191" s="32"/>
      <c r="R191" s="32"/>
      <c r="S191" s="32"/>
    </row>
    <row r="192" spans="3:19" x14ac:dyDescent="0.3">
      <c r="C192" s="11"/>
      <c r="D192" s="32"/>
      <c r="E192" s="11"/>
      <c r="J192" s="15"/>
      <c r="K192" s="47"/>
      <c r="L192" s="76"/>
      <c r="M192" s="76"/>
      <c r="N192" s="78" t="str">
        <f>_xlfn.LET(
    _xlpm.itemBuscado, B192,
    _xlpm.areaBuscada, C192,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TEXT(COUNTIF($C$2:C192, _xlpm.areaBuscada), "0000"),
    _xlpm.codItem &amp; "-" &amp; _xlpm.codArea &amp; "-" &amp; _xlpm.secuencia
)</f>
        <v>-SinArea-0000</v>
      </c>
      <c r="O192" s="77"/>
      <c r="P192" s="32"/>
      <c r="Q192" s="32"/>
      <c r="R192" s="32"/>
      <c r="S192" s="32"/>
    </row>
    <row r="193" spans="3:19" x14ac:dyDescent="0.3">
      <c r="C193" s="11"/>
      <c r="D193" s="32"/>
      <c r="E193" s="11"/>
      <c r="J193" s="15"/>
      <c r="K193" s="47"/>
      <c r="L193" s="76"/>
      <c r="M193" s="76"/>
      <c r="N193" s="78" t="str">
        <f>_xlfn.LET(
    _xlpm.itemBuscado, B193,
    _xlpm.areaBuscada, C193,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TEXT(COUNTIF($C$2:C193, _xlpm.areaBuscada), "0000"),
    _xlpm.codItem &amp; "-" &amp; _xlpm.codArea &amp; "-" &amp; _xlpm.secuencia
)</f>
        <v>-SinArea-0000</v>
      </c>
      <c r="O193" s="77"/>
      <c r="P193" s="32"/>
      <c r="Q193" s="32"/>
      <c r="R193" s="32"/>
      <c r="S193" s="32"/>
    </row>
    <row r="194" spans="3:19" x14ac:dyDescent="0.3">
      <c r="C194" s="11"/>
      <c r="D194" s="32"/>
      <c r="E194" s="11"/>
      <c r="J194" s="15"/>
      <c r="K194" s="47"/>
      <c r="L194" s="76"/>
      <c r="M194" s="76"/>
      <c r="N194" s="78" t="str">
        <f>_xlfn.LET(
    _xlpm.itemBuscado, B194,
    _xlpm.areaBuscada, C194,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TEXT(COUNTIF($C$2:C194, _xlpm.areaBuscada), "0000"),
    _xlpm.codItem &amp; "-" &amp; _xlpm.codArea &amp; "-" &amp; _xlpm.secuencia
)</f>
        <v>-SinArea-0000</v>
      </c>
      <c r="O194" s="77"/>
      <c r="P194" s="32"/>
      <c r="Q194" s="32"/>
      <c r="R194" s="32"/>
      <c r="S194" s="32"/>
    </row>
    <row r="195" spans="3:19" x14ac:dyDescent="0.3">
      <c r="C195" s="11"/>
      <c r="D195" s="32"/>
      <c r="E195" s="11"/>
      <c r="J195" s="15"/>
      <c r="K195" s="47"/>
      <c r="L195" s="76"/>
      <c r="M195" s="76"/>
      <c r="N195" s="78" t="str">
        <f>_xlfn.LET(
    _xlpm.itemBuscado, B195,
    _xlpm.areaBuscada, C195,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TEXT(COUNTIF($C$2:C195, _xlpm.areaBuscada), "0000"),
    _xlpm.codItem &amp; "-" &amp; _xlpm.codArea &amp; "-" &amp; _xlpm.secuencia
)</f>
        <v>-SinArea-0000</v>
      </c>
      <c r="O195" s="77"/>
      <c r="P195" s="32"/>
      <c r="Q195" s="32"/>
      <c r="R195" s="32"/>
      <c r="S195" s="32"/>
    </row>
    <row r="196" spans="3:19" x14ac:dyDescent="0.3">
      <c r="C196" s="11"/>
      <c r="D196" s="32"/>
      <c r="E196" s="11"/>
      <c r="J196" s="15"/>
      <c r="K196" s="47"/>
      <c r="L196" s="76"/>
      <c r="M196" s="76"/>
      <c r="N196" s="78" t="str">
        <f>_xlfn.LET(
    _xlpm.itemBuscado, B196,
    _xlpm.areaBuscada, C196,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TEXT(COUNTIF($C$2:C196, _xlpm.areaBuscada), "0000"),
    _xlpm.codItem &amp; "-" &amp; _xlpm.codArea &amp; "-" &amp; _xlpm.secuencia
)</f>
        <v>-SinArea-0000</v>
      </c>
      <c r="O196" s="77"/>
      <c r="P196" s="32"/>
      <c r="Q196" s="32"/>
      <c r="R196" s="32"/>
      <c r="S196" s="32"/>
    </row>
    <row r="197" spans="3:19" x14ac:dyDescent="0.3">
      <c r="C197" s="11"/>
      <c r="D197" s="32"/>
      <c r="E197" s="11"/>
      <c r="J197" s="15"/>
      <c r="K197" s="47"/>
      <c r="L197" s="76"/>
      <c r="M197" s="76"/>
      <c r="N197" s="78" t="str">
        <f>_xlfn.LET(
    _xlpm.itemBuscado, B197,
    _xlpm.areaBuscada, C197,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TEXT(COUNTIF($C$2:C197, _xlpm.areaBuscada), "0000"),
    _xlpm.codItem &amp; "-" &amp; _xlpm.codArea &amp; "-" &amp; _xlpm.secuencia
)</f>
        <v>-SinArea-0000</v>
      </c>
      <c r="O197" s="77"/>
      <c r="P197" s="32"/>
      <c r="Q197" s="32"/>
      <c r="R197" s="32"/>
      <c r="S197" s="32"/>
    </row>
    <row r="198" spans="3:19" x14ac:dyDescent="0.3">
      <c r="C198" s="11"/>
      <c r="D198" s="32"/>
      <c r="E198" s="11"/>
      <c r="J198" s="15"/>
      <c r="K198" s="47"/>
      <c r="L198" s="76"/>
      <c r="M198" s="76"/>
      <c r="N198" s="78" t="str">
        <f>_xlfn.LET(
    _xlpm.itemBuscado, B198,
    _xlpm.areaBuscada, C198,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TEXT(COUNTIF($C$2:C198, _xlpm.areaBuscada), "0000"),
    _xlpm.codItem &amp; "-" &amp; _xlpm.codArea &amp; "-" &amp; _xlpm.secuencia
)</f>
        <v>-SinArea-0000</v>
      </c>
      <c r="O198" s="77"/>
      <c r="P198" s="32"/>
      <c r="Q198" s="32"/>
      <c r="R198" s="32"/>
      <c r="S198" s="32"/>
    </row>
    <row r="199" spans="3:19" x14ac:dyDescent="0.3">
      <c r="C199" s="11"/>
      <c r="D199" s="32"/>
      <c r="E199" s="11"/>
      <c r="J199" s="15"/>
      <c r="K199" s="47"/>
      <c r="L199" s="76"/>
      <c r="M199" s="76"/>
      <c r="N199" s="78" t="str">
        <f>_xlfn.LET(
    _xlpm.itemBuscado, B199,
    _xlpm.areaBuscada, C199,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TEXT(COUNTIF($C$2:C199, _xlpm.areaBuscada), "0000"),
    _xlpm.codItem &amp; "-" &amp; _xlpm.codArea &amp; "-" &amp; _xlpm.secuencia
)</f>
        <v>-SinArea-0000</v>
      </c>
      <c r="O199" s="77"/>
      <c r="P199" s="32"/>
      <c r="Q199" s="32"/>
      <c r="R199" s="32"/>
      <c r="S199" s="32"/>
    </row>
    <row r="200" spans="3:19" x14ac:dyDescent="0.3">
      <c r="C200" s="11"/>
      <c r="D200" s="32"/>
      <c r="E200" s="11"/>
      <c r="J200" s="15"/>
      <c r="K200" s="47"/>
      <c r="L200" s="76"/>
      <c r="M200" s="76"/>
      <c r="N200" s="78" t="str">
        <f>_xlfn.LET(
    _xlpm.itemBuscado, B200,
    _xlpm.areaBuscada, C200,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TEXT(COUNTIF($C$2:C200, _xlpm.areaBuscada), "0000"),
    _xlpm.codItem &amp; "-" &amp; _xlpm.codArea &amp; "-" &amp; _xlpm.secuencia
)</f>
        <v>-SinArea-0000</v>
      </c>
      <c r="O200" s="77"/>
      <c r="P200" s="32"/>
      <c r="Q200" s="32"/>
      <c r="R200" s="32"/>
      <c r="S200" s="32"/>
    </row>
    <row r="201" spans="3:19" x14ac:dyDescent="0.3">
      <c r="C201" s="11"/>
      <c r="D201" s="32"/>
      <c r="E201" s="11"/>
      <c r="J201" s="15"/>
      <c r="K201" s="47"/>
      <c r="L201" s="76"/>
      <c r="M201" s="76"/>
      <c r="N201" s="78" t="str">
        <f>_xlfn.LET(
    _xlpm.itemBuscado, B201,
    _xlpm.areaBuscada, C201,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TEXT(COUNTIF($C$2:C201, _xlpm.areaBuscada), "0000"),
    _xlpm.codItem &amp; "-" &amp; _xlpm.codArea &amp; "-" &amp; _xlpm.secuencia
)</f>
        <v>-SinArea-0000</v>
      </c>
      <c r="O201" s="77"/>
      <c r="P201" s="32"/>
      <c r="Q201" s="32"/>
      <c r="R201" s="32"/>
      <c r="S201" s="32"/>
    </row>
    <row r="202" spans="3:19" x14ac:dyDescent="0.3">
      <c r="C202" s="11"/>
      <c r="D202" s="32"/>
      <c r="E202" s="11"/>
      <c r="J202" s="15"/>
      <c r="K202" s="47"/>
      <c r="L202" s="76"/>
      <c r="M202" s="76"/>
      <c r="N202" s="78" t="str">
        <f>_xlfn.LET(
    _xlpm.itemBuscado, B202,
    _xlpm.areaBuscada, C202,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TEXT(COUNTIF($C$2:C202, _xlpm.areaBuscada), "0000"),
    _xlpm.codItem &amp; "-" &amp; _xlpm.codArea &amp; "-" &amp; _xlpm.secuencia
)</f>
        <v>-SinArea-0000</v>
      </c>
      <c r="O202" s="77"/>
      <c r="P202" s="32"/>
      <c r="Q202" s="32"/>
      <c r="R202" s="32"/>
      <c r="S202" s="32"/>
    </row>
    <row r="203" spans="3:19" x14ac:dyDescent="0.3">
      <c r="C203" s="11"/>
      <c r="D203" s="32"/>
      <c r="E203" s="11"/>
      <c r="J203" s="15"/>
      <c r="K203" s="47"/>
      <c r="L203" s="76"/>
      <c r="M203" s="76"/>
      <c r="N203" s="78" t="str">
        <f>_xlfn.LET(
    _xlpm.itemBuscado, B203,
    _xlpm.areaBuscada, C203,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TEXT(COUNTIF($C$2:C203, _xlpm.areaBuscada), "0000"),
    _xlpm.codItem &amp; "-" &amp; _xlpm.codArea &amp; "-" &amp; _xlpm.secuencia
)</f>
        <v>-SinArea-0000</v>
      </c>
      <c r="O203" s="77"/>
      <c r="P203" s="32"/>
      <c r="Q203" s="32"/>
      <c r="R203" s="32"/>
      <c r="S203" s="32"/>
    </row>
    <row r="204" spans="3:19" x14ac:dyDescent="0.3">
      <c r="C204" s="11"/>
      <c r="D204" s="32"/>
      <c r="E204" s="11"/>
      <c r="J204" s="15"/>
      <c r="K204" s="47"/>
      <c r="L204" s="76"/>
      <c r="M204" s="76"/>
      <c r="N204" s="78" t="str">
        <f>_xlfn.LET(
    _xlpm.itemBuscado, B204,
    _xlpm.areaBuscada, C204,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TEXT(COUNTIF($C$2:C204, _xlpm.areaBuscada), "0000"),
    _xlpm.codItem &amp; "-" &amp; _xlpm.codArea &amp; "-" &amp; _xlpm.secuencia
)</f>
        <v>-SinArea-0000</v>
      </c>
      <c r="O204" s="77"/>
      <c r="P204" s="32"/>
      <c r="Q204" s="32"/>
      <c r="R204" s="32"/>
      <c r="S204" s="32"/>
    </row>
    <row r="205" spans="3:19" x14ac:dyDescent="0.3">
      <c r="C205" s="11"/>
      <c r="D205" s="32"/>
      <c r="E205" s="11"/>
      <c r="J205" s="15"/>
      <c r="K205" s="47"/>
      <c r="L205" s="76"/>
      <c r="M205" s="76"/>
      <c r="N205" s="78" t="str">
        <f>_xlfn.LET(
    _xlpm.itemBuscado, B205,
    _xlpm.areaBuscada, C205,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TEXT(COUNTIF($C$2:C205, _xlpm.areaBuscada), "0000"),
    _xlpm.codItem &amp; "-" &amp; _xlpm.codArea &amp; "-" &amp; _xlpm.secuencia
)</f>
        <v>-SinArea-0000</v>
      </c>
      <c r="O205" s="77"/>
      <c r="P205" s="32"/>
      <c r="Q205" s="32"/>
      <c r="R205" s="32"/>
      <c r="S205" s="32"/>
    </row>
    <row r="206" spans="3:19" x14ac:dyDescent="0.3">
      <c r="C206" s="11"/>
      <c r="D206" s="32"/>
      <c r="E206" s="11"/>
      <c r="J206" s="15"/>
      <c r="K206" s="47"/>
      <c r="L206" s="76"/>
      <c r="M206" s="76"/>
      <c r="N206" s="78" t="str">
        <f>_xlfn.LET(
    _xlpm.itemBuscado, B206,
    _xlpm.areaBuscada, C206,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TEXT(COUNTIF($C$2:C206, _xlpm.areaBuscada), "0000"),
    _xlpm.codItem &amp; "-" &amp; _xlpm.codArea &amp; "-" &amp; _xlpm.secuencia
)</f>
        <v>-SinArea-0000</v>
      </c>
      <c r="O206" s="77"/>
      <c r="P206" s="32"/>
      <c r="Q206" s="32"/>
      <c r="R206" s="32"/>
      <c r="S206" s="32"/>
    </row>
    <row r="207" spans="3:19" x14ac:dyDescent="0.3">
      <c r="C207" s="11"/>
      <c r="D207" s="32"/>
      <c r="E207" s="11"/>
      <c r="J207" s="15"/>
      <c r="K207" s="47"/>
      <c r="L207" s="76"/>
      <c r="M207" s="76"/>
      <c r="N207" s="78" t="str">
        <f>_xlfn.LET(
    _xlpm.itemBuscado, B207,
    _xlpm.areaBuscada, C207,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TEXT(COUNTIF($C$2:C207, _xlpm.areaBuscada), "0000"),
    _xlpm.codItem &amp; "-" &amp; _xlpm.codArea &amp; "-" &amp; _xlpm.secuencia
)</f>
        <v>-SinArea-0000</v>
      </c>
      <c r="O207" s="77"/>
      <c r="P207" s="32"/>
      <c r="Q207" s="32"/>
      <c r="R207" s="32"/>
      <c r="S207" s="32"/>
    </row>
    <row r="208" spans="3:19" x14ac:dyDescent="0.3">
      <c r="C208" s="11"/>
      <c r="D208" s="32"/>
      <c r="E208" s="11"/>
      <c r="J208" s="15"/>
      <c r="K208" s="47"/>
      <c r="L208" s="76"/>
      <c r="M208" s="76"/>
      <c r="N208" s="78" t="str">
        <f>_xlfn.LET(
    _xlpm.itemBuscado, B208,
    _xlpm.areaBuscada, C208,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TEXT(COUNTIF($C$2:C208, _xlpm.areaBuscada), "0000"),
    _xlpm.codItem &amp; "-" &amp; _xlpm.codArea &amp; "-" &amp; _xlpm.secuencia
)</f>
        <v>-SinArea-0000</v>
      </c>
      <c r="O208" s="77"/>
      <c r="P208" s="32"/>
      <c r="Q208" s="32"/>
      <c r="R208" s="32"/>
      <c r="S208" s="32"/>
    </row>
    <row r="209" spans="3:19" x14ac:dyDescent="0.3">
      <c r="C209" s="11"/>
      <c r="D209" s="32"/>
      <c r="E209" s="11"/>
      <c r="J209" s="15"/>
      <c r="K209" s="47"/>
      <c r="L209" s="76"/>
      <c r="M209" s="76"/>
      <c r="N209" s="78" t="str">
        <f>_xlfn.LET(
    _xlpm.itemBuscado, B209,
    _xlpm.areaBuscada, C209,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TEXT(COUNTIF($C$2:C209, _xlpm.areaBuscada), "0000"),
    _xlpm.codItem &amp; "-" &amp; _xlpm.codArea &amp; "-" &amp; _xlpm.secuencia
)</f>
        <v>-SinArea-0000</v>
      </c>
      <c r="O209" s="77"/>
      <c r="P209" s="32"/>
      <c r="Q209" s="32"/>
      <c r="R209" s="32"/>
      <c r="S209" s="32"/>
    </row>
    <row r="210" spans="3:19" x14ac:dyDescent="0.3">
      <c r="C210" s="11"/>
      <c r="D210" s="32"/>
      <c r="E210" s="11"/>
      <c r="J210" s="15"/>
      <c r="K210" s="47"/>
      <c r="L210" s="76"/>
      <c r="M210" s="76"/>
      <c r="N210" s="78" t="str">
        <f>_xlfn.LET(
    _xlpm.itemBuscado, B210,
    _xlpm.areaBuscada, C210,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TEXT(COUNTIF($C$2:C210, _xlpm.areaBuscada), "0000"),
    _xlpm.codItem &amp; "-" &amp; _xlpm.codArea &amp; "-" &amp; _xlpm.secuencia
)</f>
        <v>-SinArea-0000</v>
      </c>
      <c r="O210" s="77"/>
      <c r="P210" s="32"/>
      <c r="Q210" s="32"/>
      <c r="R210" s="32"/>
      <c r="S210" s="32"/>
    </row>
    <row r="211" spans="3:19" x14ac:dyDescent="0.3">
      <c r="C211" s="11"/>
      <c r="D211" s="32"/>
      <c r="E211" s="11"/>
      <c r="J211" s="15"/>
      <c r="K211" s="47"/>
      <c r="L211" s="76"/>
      <c r="M211" s="76"/>
      <c r="N211" s="78" t="str">
        <f>_xlfn.LET(
    _xlpm.itemBuscado, B211,
    _xlpm.areaBuscada, C211,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TEXT(COUNTIF($C$2:C211, _xlpm.areaBuscada), "0000"),
    _xlpm.codItem &amp; "-" &amp; _xlpm.codArea &amp; "-" &amp; _xlpm.secuencia
)</f>
        <v>-SinArea-0000</v>
      </c>
      <c r="O211" s="77"/>
      <c r="P211" s="32"/>
      <c r="Q211" s="32"/>
      <c r="R211" s="32"/>
      <c r="S211" s="32"/>
    </row>
    <row r="212" spans="3:19" x14ac:dyDescent="0.3">
      <c r="C212" s="11"/>
      <c r="D212" s="32"/>
      <c r="E212" s="11"/>
      <c r="J212" s="15"/>
      <c r="K212" s="47"/>
      <c r="L212" s="76"/>
      <c r="M212" s="76"/>
      <c r="N212" s="78" t="str">
        <f>_xlfn.LET(
    _xlpm.itemBuscado, B212,
    _xlpm.areaBuscada, C212,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TEXT(COUNTIF($C$2:C212, _xlpm.areaBuscada), "0000"),
    _xlpm.codItem &amp; "-" &amp; _xlpm.codArea &amp; "-" &amp; _xlpm.secuencia
)</f>
        <v>-SinArea-0000</v>
      </c>
      <c r="O212" s="77"/>
      <c r="P212" s="32"/>
      <c r="Q212" s="32"/>
      <c r="R212" s="32"/>
      <c r="S212" s="32"/>
    </row>
    <row r="213" spans="3:19" x14ac:dyDescent="0.3">
      <c r="C213" s="11"/>
      <c r="D213" s="32"/>
      <c r="E213" s="11"/>
      <c r="J213" s="15"/>
      <c r="K213" s="47"/>
      <c r="L213" s="76"/>
      <c r="M213" s="76"/>
      <c r="N213" s="78" t="str">
        <f>_xlfn.LET(
    _xlpm.itemBuscado, B213,
    _xlpm.areaBuscada, C213,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TEXT(COUNTIF($C$2:C213, _xlpm.areaBuscada), "0000"),
    _xlpm.codItem &amp; "-" &amp; _xlpm.codArea &amp; "-" &amp; _xlpm.secuencia
)</f>
        <v>-SinArea-0000</v>
      </c>
      <c r="O213" s="77"/>
      <c r="P213" s="32"/>
      <c r="Q213" s="32"/>
      <c r="R213" s="32"/>
      <c r="S213" s="32"/>
    </row>
    <row r="214" spans="3:19" x14ac:dyDescent="0.3">
      <c r="C214" s="11"/>
      <c r="D214" s="32"/>
      <c r="E214" s="11"/>
      <c r="J214" s="15"/>
      <c r="K214" s="47"/>
      <c r="L214" s="76"/>
      <c r="M214" s="76"/>
      <c r="N214" s="78" t="str">
        <f>_xlfn.LET(
    _xlpm.itemBuscado, B214,
    _xlpm.areaBuscada, C214,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TEXT(COUNTIF($C$2:C214, _xlpm.areaBuscada), "0000"),
    _xlpm.codItem &amp; "-" &amp; _xlpm.codArea &amp; "-" &amp; _xlpm.secuencia
)</f>
        <v>-SinArea-0000</v>
      </c>
      <c r="O214" s="77"/>
      <c r="P214" s="32"/>
      <c r="Q214" s="32"/>
      <c r="R214" s="32"/>
      <c r="S214" s="32"/>
    </row>
    <row r="215" spans="3:19" x14ac:dyDescent="0.3">
      <c r="C215" s="11"/>
      <c r="D215" s="32"/>
      <c r="E215" s="11"/>
      <c r="J215" s="15"/>
      <c r="K215" s="47"/>
      <c r="L215" s="76"/>
      <c r="M215" s="76"/>
      <c r="N215" s="78" t="str">
        <f>_xlfn.LET(
    _xlpm.itemBuscado, B215,
    _xlpm.areaBuscada, C215,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TEXT(COUNTIF($C$2:C215, _xlpm.areaBuscada), "0000"),
    _xlpm.codItem &amp; "-" &amp; _xlpm.codArea &amp; "-" &amp; _xlpm.secuencia
)</f>
        <v>-SinArea-0000</v>
      </c>
      <c r="O215" s="77"/>
      <c r="P215" s="32"/>
      <c r="Q215" s="32"/>
      <c r="R215" s="32"/>
      <c r="S215" s="32"/>
    </row>
    <row r="216" spans="3:19" x14ac:dyDescent="0.3">
      <c r="C216" s="11"/>
      <c r="D216" s="32"/>
      <c r="E216" s="11"/>
      <c r="J216" s="15"/>
      <c r="K216" s="47"/>
      <c r="L216" s="76"/>
      <c r="M216" s="76"/>
      <c r="N216" s="78" t="str">
        <f>_xlfn.LET(
    _xlpm.itemBuscado, B216,
    _xlpm.areaBuscada, C216,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TEXT(COUNTIF($C$2:C216, _xlpm.areaBuscada), "0000"),
    _xlpm.codItem &amp; "-" &amp; _xlpm.codArea &amp; "-" &amp; _xlpm.secuencia
)</f>
        <v>-SinArea-0000</v>
      </c>
      <c r="O216" s="77"/>
      <c r="P216" s="32"/>
      <c r="Q216" s="32"/>
      <c r="R216" s="32"/>
      <c r="S216" s="32"/>
    </row>
    <row r="217" spans="3:19" x14ac:dyDescent="0.3">
      <c r="C217" s="11"/>
      <c r="D217" s="32"/>
      <c r="E217" s="11"/>
      <c r="J217" s="15"/>
      <c r="K217" s="47"/>
      <c r="L217" s="76"/>
      <c r="M217" s="76"/>
      <c r="N217" s="78" t="str">
        <f>_xlfn.LET(
    _xlpm.itemBuscado, B217,
    _xlpm.areaBuscada, C217,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TEXT(COUNTIF($C$2:C217, _xlpm.areaBuscada), "0000"),
    _xlpm.codItem &amp; "-" &amp; _xlpm.codArea &amp; "-" &amp; _xlpm.secuencia
)</f>
        <v>-SinArea-0000</v>
      </c>
      <c r="O217" s="77"/>
      <c r="P217" s="32"/>
      <c r="Q217" s="32"/>
      <c r="R217" s="32"/>
      <c r="S217" s="32"/>
    </row>
    <row r="218" spans="3:19" x14ac:dyDescent="0.3">
      <c r="C218" s="11"/>
      <c r="D218" s="32"/>
      <c r="E218" s="11"/>
      <c r="J218" s="15"/>
      <c r="K218" s="47"/>
      <c r="L218" s="76"/>
      <c r="M218" s="76"/>
      <c r="N218" s="78" t="str">
        <f>_xlfn.LET(
    _xlpm.itemBuscado, B218,
    _xlpm.areaBuscada, C218,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TEXT(COUNTIF($C$2:C218, _xlpm.areaBuscada), "0000"),
    _xlpm.codItem &amp; "-" &amp; _xlpm.codArea &amp; "-" &amp; _xlpm.secuencia
)</f>
        <v>-SinArea-0000</v>
      </c>
      <c r="O218" s="77"/>
      <c r="P218" s="32"/>
      <c r="Q218" s="32"/>
      <c r="R218" s="32"/>
      <c r="S218" s="32"/>
    </row>
    <row r="219" spans="3:19" x14ac:dyDescent="0.3">
      <c r="C219" s="11"/>
      <c r="D219" s="32"/>
      <c r="E219" s="11"/>
      <c r="J219" s="15"/>
      <c r="K219" s="47"/>
      <c r="L219" s="76"/>
      <c r="M219" s="76"/>
      <c r="N219" s="78" t="str">
        <f>_xlfn.LET(
    _xlpm.itemBuscado, B219,
    _xlpm.areaBuscada, C219,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TEXT(COUNTIF($C$2:C219, _xlpm.areaBuscada), "0000"),
    _xlpm.codItem &amp; "-" &amp; _xlpm.codArea &amp; "-" &amp; _xlpm.secuencia
)</f>
        <v>-SinArea-0000</v>
      </c>
      <c r="O219" s="77"/>
      <c r="P219" s="32"/>
      <c r="Q219" s="32"/>
      <c r="R219" s="32"/>
      <c r="S219" s="32"/>
    </row>
    <row r="220" spans="3:19" x14ac:dyDescent="0.3">
      <c r="C220" s="11"/>
      <c r="D220" s="32"/>
      <c r="E220" s="11"/>
      <c r="J220" s="15"/>
      <c r="K220" s="47"/>
      <c r="L220" s="76"/>
      <c r="M220" s="76"/>
      <c r="N220" s="78" t="str">
        <f>_xlfn.LET(
    _xlpm.itemBuscado, B220,
    _xlpm.areaBuscada, C220,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TEXT(COUNTIF($C$2:C220, _xlpm.areaBuscada), "0000"),
    _xlpm.codItem &amp; "-" &amp; _xlpm.codArea &amp; "-" &amp; _xlpm.secuencia
)</f>
        <v>-SinArea-0000</v>
      </c>
      <c r="O220" s="77"/>
      <c r="P220" s="32"/>
      <c r="Q220" s="32"/>
      <c r="R220" s="32"/>
      <c r="S220" s="32"/>
    </row>
    <row r="221" spans="3:19" x14ac:dyDescent="0.3">
      <c r="C221" s="11"/>
      <c r="D221" s="32"/>
      <c r="E221" s="11"/>
      <c r="J221" s="15"/>
      <c r="K221" s="47"/>
      <c r="L221" s="76"/>
      <c r="M221" s="76"/>
      <c r="N221" s="78" t="str">
        <f>_xlfn.LET(
    _xlpm.itemBuscado, B221,
    _xlpm.areaBuscada, C221,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TEXT(COUNTIF($C$2:C221, _xlpm.areaBuscada), "0000"),
    _xlpm.codItem &amp; "-" &amp; _xlpm.codArea &amp; "-" &amp; _xlpm.secuencia
)</f>
        <v>-SinArea-0000</v>
      </c>
      <c r="O221" s="77"/>
      <c r="P221" s="32"/>
      <c r="Q221" s="32"/>
      <c r="R221" s="32"/>
      <c r="S221" s="32"/>
    </row>
    <row r="222" spans="3:19" x14ac:dyDescent="0.3">
      <c r="C222" s="11"/>
      <c r="D222" s="32"/>
      <c r="E222" s="11"/>
      <c r="J222" s="15"/>
      <c r="K222" s="47"/>
      <c r="L222" s="76"/>
      <c r="M222" s="76"/>
      <c r="N222" s="78" t="str">
        <f>_xlfn.LET(
    _xlpm.itemBuscado, B222,
    _xlpm.areaBuscada, C222,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TEXT(COUNTIF($C$2:C222, _xlpm.areaBuscada), "0000"),
    _xlpm.codItem &amp; "-" &amp; _xlpm.codArea &amp; "-" &amp; _xlpm.secuencia
)</f>
        <v>-SinArea-0000</v>
      </c>
      <c r="O222" s="77"/>
      <c r="P222" s="32"/>
      <c r="Q222" s="32"/>
      <c r="R222" s="32"/>
      <c r="S222" s="32"/>
    </row>
    <row r="223" spans="3:19" x14ac:dyDescent="0.3">
      <c r="C223" s="11"/>
      <c r="D223" s="32"/>
      <c r="E223" s="11"/>
      <c r="J223" s="15"/>
      <c r="K223" s="47"/>
      <c r="L223" s="76"/>
      <c r="M223" s="76"/>
      <c r="N223" s="78" t="str">
        <f>_xlfn.LET(
    _xlpm.itemBuscado, B223,
    _xlpm.areaBuscada, C223,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TEXT(COUNTIF($C$2:C223, _xlpm.areaBuscada), "0000"),
    _xlpm.codItem &amp; "-" &amp; _xlpm.codArea &amp; "-" &amp; _xlpm.secuencia
)</f>
        <v>-SinArea-0000</v>
      </c>
      <c r="O223" s="77"/>
      <c r="P223" s="32"/>
      <c r="Q223" s="32"/>
      <c r="R223" s="32"/>
      <c r="S223" s="32"/>
    </row>
    <row r="224" spans="3:19" x14ac:dyDescent="0.3">
      <c r="C224" s="11"/>
      <c r="D224" s="32"/>
      <c r="E224" s="11"/>
      <c r="J224" s="15"/>
      <c r="K224" s="47"/>
      <c r="L224" s="76"/>
      <c r="M224" s="76"/>
      <c r="N224" s="78" t="str">
        <f>_xlfn.LET(
    _xlpm.itemBuscado, B224,
    _xlpm.areaBuscada, C224,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TEXT(COUNTIF($C$2:C224, _xlpm.areaBuscada), "0000"),
    _xlpm.codItem &amp; "-" &amp; _xlpm.codArea &amp; "-" &amp; _xlpm.secuencia
)</f>
        <v>-SinArea-0000</v>
      </c>
      <c r="O224" s="77"/>
      <c r="P224" s="32"/>
      <c r="Q224" s="32"/>
      <c r="R224" s="32"/>
      <c r="S224" s="32"/>
    </row>
    <row r="225" spans="3:19" x14ac:dyDescent="0.3">
      <c r="C225" s="11"/>
      <c r="D225" s="32"/>
      <c r="E225" s="11"/>
      <c r="J225" s="15"/>
      <c r="K225" s="47"/>
      <c r="L225" s="76"/>
      <c r="M225" s="76"/>
      <c r="N225" s="78" t="str">
        <f>_xlfn.LET(
    _xlpm.itemBuscado, B225,
    _xlpm.areaBuscada, C225,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TEXT(COUNTIF($C$2:C225, _xlpm.areaBuscada), "0000"),
    _xlpm.codItem &amp; "-" &amp; _xlpm.codArea &amp; "-" &amp; _xlpm.secuencia
)</f>
        <v>-SinArea-0000</v>
      </c>
      <c r="O225" s="77"/>
      <c r="P225" s="32"/>
      <c r="Q225" s="32"/>
      <c r="R225" s="32"/>
      <c r="S225" s="32"/>
    </row>
    <row r="226" spans="3:19" x14ac:dyDescent="0.3">
      <c r="C226" s="11"/>
      <c r="D226" s="32"/>
      <c r="E226" s="11"/>
      <c r="J226" s="15"/>
      <c r="K226" s="47"/>
      <c r="L226" s="76"/>
      <c r="M226" s="76"/>
      <c r="N226" s="78" t="str">
        <f>_xlfn.LET(
    _xlpm.itemBuscado, B226,
    _xlpm.areaBuscada, C226,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TEXT(COUNTIF($C$2:C226, _xlpm.areaBuscada), "0000"),
    _xlpm.codItem &amp; "-" &amp; _xlpm.codArea &amp; "-" &amp; _xlpm.secuencia
)</f>
        <v>-SinArea-0000</v>
      </c>
      <c r="O226" s="77"/>
      <c r="P226" s="32"/>
      <c r="Q226" s="32"/>
      <c r="R226" s="32"/>
      <c r="S226" s="32"/>
    </row>
    <row r="227" spans="3:19" x14ac:dyDescent="0.3">
      <c r="C227" s="11"/>
      <c r="D227" s="32"/>
      <c r="E227" s="11"/>
      <c r="J227" s="15"/>
      <c r="K227" s="47"/>
      <c r="L227" s="76"/>
      <c r="M227" s="76"/>
      <c r="N227" s="78" t="str">
        <f>_xlfn.LET(
    _xlpm.itemBuscado, B227,
    _xlpm.areaBuscada, C227,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TEXT(COUNTIF($C$2:C227, _xlpm.areaBuscada), "0000"),
    _xlpm.codItem &amp; "-" &amp; _xlpm.codArea &amp; "-" &amp; _xlpm.secuencia
)</f>
        <v>-SinArea-0000</v>
      </c>
      <c r="O227" s="77"/>
      <c r="P227" s="32"/>
      <c r="Q227" s="32"/>
      <c r="R227" s="32"/>
      <c r="S227" s="32"/>
    </row>
    <row r="228" spans="3:19" x14ac:dyDescent="0.3">
      <c r="C228" s="11"/>
      <c r="D228" s="32"/>
      <c r="E228" s="11"/>
      <c r="J228" s="15"/>
      <c r="K228" s="47"/>
      <c r="L228" s="76"/>
      <c r="M228" s="76"/>
      <c r="N228" s="78" t="str">
        <f>_xlfn.LET(
    _xlpm.itemBuscado, B228,
    _xlpm.areaBuscada, C228,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TEXT(COUNTIF($C$2:C228, _xlpm.areaBuscada), "0000"),
    _xlpm.codItem &amp; "-" &amp; _xlpm.codArea &amp; "-" &amp; _xlpm.secuencia
)</f>
        <v>-SinArea-0000</v>
      </c>
      <c r="O228" s="77"/>
      <c r="P228" s="32"/>
      <c r="Q228" s="32"/>
      <c r="R228" s="32"/>
      <c r="S228" s="32"/>
    </row>
    <row r="229" spans="3:19" x14ac:dyDescent="0.3">
      <c r="C229" s="11"/>
      <c r="D229" s="32"/>
      <c r="E229" s="11"/>
      <c r="J229" s="15"/>
      <c r="K229" s="47"/>
      <c r="L229" s="76"/>
      <c r="M229" s="76"/>
      <c r="N229" s="78" t="str">
        <f>_xlfn.LET(
    _xlpm.itemBuscado, B229,
    _xlpm.areaBuscada, C229,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TEXT(COUNTIF($C$2:C229, _xlpm.areaBuscada), "0000"),
    _xlpm.codItem &amp; "-" &amp; _xlpm.codArea &amp; "-" &amp; _xlpm.secuencia
)</f>
        <v>-SinArea-0000</v>
      </c>
      <c r="O229" s="77"/>
      <c r="P229" s="32"/>
      <c r="Q229" s="32"/>
      <c r="R229" s="32"/>
      <c r="S229" s="32"/>
    </row>
    <row r="230" spans="3:19" x14ac:dyDescent="0.3">
      <c r="C230" s="11"/>
      <c r="D230" s="32"/>
      <c r="E230" s="11"/>
      <c r="J230" s="15"/>
      <c r="K230" s="47"/>
      <c r="L230" s="76"/>
      <c r="M230" s="76"/>
      <c r="N230" s="78" t="str">
        <f>_xlfn.LET(
    _xlpm.itemBuscado, B230,
    _xlpm.areaBuscada, C230,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TEXT(COUNTIF($C$2:C230, _xlpm.areaBuscada), "0000"),
    _xlpm.codItem &amp; "-" &amp; _xlpm.codArea &amp; "-" &amp; _xlpm.secuencia
)</f>
        <v>-SinArea-0000</v>
      </c>
      <c r="O230" s="77"/>
      <c r="P230" s="32"/>
      <c r="Q230" s="32"/>
      <c r="R230" s="32"/>
      <c r="S230" s="32"/>
    </row>
    <row r="231" spans="3:19" x14ac:dyDescent="0.3">
      <c r="C231" s="11"/>
      <c r="D231" s="32"/>
      <c r="E231" s="11"/>
      <c r="J231" s="15"/>
      <c r="K231" s="47"/>
      <c r="L231" s="76"/>
      <c r="M231" s="76"/>
      <c r="N231" s="78" t="str">
        <f>_xlfn.LET(
    _xlpm.itemBuscado, B231,
    _xlpm.areaBuscada, C231,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TEXT(COUNTIF($C$2:C231, _xlpm.areaBuscada), "0000"),
    _xlpm.codItem &amp; "-" &amp; _xlpm.codArea &amp; "-" &amp; _xlpm.secuencia
)</f>
        <v>-SinArea-0000</v>
      </c>
      <c r="O231" s="77"/>
      <c r="P231" s="32"/>
      <c r="Q231" s="32"/>
      <c r="R231" s="32"/>
      <c r="S231" s="32"/>
    </row>
    <row r="232" spans="3:19" x14ac:dyDescent="0.3">
      <c r="C232" s="11"/>
      <c r="D232" s="32"/>
      <c r="E232" s="11"/>
      <c r="J232" s="15"/>
      <c r="K232" s="47"/>
      <c r="L232" s="76"/>
      <c r="M232" s="76"/>
      <c r="N232" s="78" t="str">
        <f>_xlfn.LET(
    _xlpm.itemBuscado, B232,
    _xlpm.areaBuscada, C232,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TEXT(COUNTIF($C$2:C232, _xlpm.areaBuscada), "0000"),
    _xlpm.codItem &amp; "-" &amp; _xlpm.codArea &amp; "-" &amp; _xlpm.secuencia
)</f>
        <v>-SinArea-0000</v>
      </c>
      <c r="O232" s="77"/>
      <c r="P232" s="32"/>
      <c r="Q232" s="32"/>
      <c r="R232" s="32"/>
      <c r="S232" s="32"/>
    </row>
    <row r="233" spans="3:19" x14ac:dyDescent="0.3">
      <c r="C233" s="11"/>
      <c r="D233" s="32"/>
      <c r="E233" s="11"/>
      <c r="J233" s="15"/>
      <c r="K233" s="47"/>
      <c r="L233" s="76"/>
      <c r="M233" s="76"/>
      <c r="N233" s="78" t="str">
        <f>_xlfn.LET(
    _xlpm.itemBuscado, B233,
    _xlpm.areaBuscada, C233,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TEXT(COUNTIF($C$2:C233, _xlpm.areaBuscada), "0000"),
    _xlpm.codItem &amp; "-" &amp; _xlpm.codArea &amp; "-" &amp; _xlpm.secuencia
)</f>
        <v>-SinArea-0000</v>
      </c>
      <c r="O233" s="77"/>
      <c r="P233" s="32"/>
      <c r="Q233" s="32"/>
      <c r="R233" s="32"/>
      <c r="S233" s="32"/>
    </row>
    <row r="234" spans="3:19" x14ac:dyDescent="0.3">
      <c r="C234" s="11"/>
      <c r="D234" s="32"/>
      <c r="E234" s="11"/>
      <c r="J234" s="15"/>
      <c r="K234" s="47"/>
      <c r="L234" s="76"/>
      <c r="M234" s="76"/>
      <c r="N234" s="78" t="str">
        <f>_xlfn.LET(
    _xlpm.itemBuscado, B234,
    _xlpm.areaBuscada, C234,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TEXT(COUNTIF($C$2:C234, _xlpm.areaBuscada), "0000"),
    _xlpm.codItem &amp; "-" &amp; _xlpm.codArea &amp; "-" &amp; _xlpm.secuencia
)</f>
        <v>-SinArea-0000</v>
      </c>
      <c r="O234" s="77"/>
      <c r="P234" s="32"/>
      <c r="Q234" s="32"/>
      <c r="R234" s="32"/>
      <c r="S234" s="32"/>
    </row>
    <row r="235" spans="3:19" x14ac:dyDescent="0.3">
      <c r="C235" s="11"/>
      <c r="D235" s="32"/>
      <c r="E235" s="11"/>
      <c r="J235" s="15"/>
      <c r="K235" s="47"/>
      <c r="L235" s="76"/>
      <c r="M235" s="76"/>
      <c r="N235" s="78" t="str">
        <f>_xlfn.LET(
    _xlpm.itemBuscado, B235,
    _xlpm.areaBuscada, C235,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TEXT(COUNTIF($C$2:C235, _xlpm.areaBuscada), "0000"),
    _xlpm.codItem &amp; "-" &amp; _xlpm.codArea &amp; "-" &amp; _xlpm.secuencia
)</f>
        <v>-SinArea-0000</v>
      </c>
      <c r="O235" s="77"/>
      <c r="P235" s="32"/>
      <c r="Q235" s="32"/>
      <c r="R235" s="32"/>
      <c r="S235" s="32"/>
    </row>
    <row r="236" spans="3:19" x14ac:dyDescent="0.3">
      <c r="C236" s="11"/>
      <c r="D236" s="32"/>
      <c r="E236" s="11"/>
      <c r="J236" s="15"/>
      <c r="K236" s="47"/>
      <c r="L236" s="76"/>
      <c r="M236" s="76"/>
      <c r="N236" s="78" t="str">
        <f>_xlfn.LET(
    _xlpm.itemBuscado, B236,
    _xlpm.areaBuscada, C236,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TEXT(COUNTIF($C$2:C236, _xlpm.areaBuscada), "0000"),
    _xlpm.codItem &amp; "-" &amp; _xlpm.codArea &amp; "-" &amp; _xlpm.secuencia
)</f>
        <v>-SinArea-0000</v>
      </c>
      <c r="O236" s="77"/>
      <c r="P236" s="32"/>
      <c r="Q236" s="32"/>
      <c r="R236" s="32"/>
      <c r="S236" s="32"/>
    </row>
    <row r="237" spans="3:19" x14ac:dyDescent="0.3">
      <c r="C237" s="11"/>
      <c r="D237" s="32"/>
      <c r="E237" s="11"/>
      <c r="J237" s="15"/>
      <c r="K237" s="47"/>
      <c r="L237" s="76"/>
      <c r="M237" s="76"/>
      <c r="N237" s="78" t="str">
        <f>_xlfn.LET(
    _xlpm.itemBuscado, B237,
    _xlpm.areaBuscada, C237,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TEXT(COUNTIF($C$2:C237, _xlpm.areaBuscada), "0000"),
    _xlpm.codItem &amp; "-" &amp; _xlpm.codArea &amp; "-" &amp; _xlpm.secuencia
)</f>
        <v>-SinArea-0000</v>
      </c>
      <c r="O237" s="77"/>
      <c r="P237" s="32"/>
      <c r="Q237" s="32"/>
      <c r="R237" s="32"/>
      <c r="S237" s="32"/>
    </row>
    <row r="238" spans="3:19" x14ac:dyDescent="0.3">
      <c r="C238" s="11"/>
      <c r="D238" s="32"/>
      <c r="E238" s="11"/>
      <c r="J238" s="15"/>
      <c r="K238" s="47"/>
      <c r="L238" s="76"/>
      <c r="M238" s="76"/>
      <c r="N238" s="78" t="str">
        <f>_xlfn.LET(
    _xlpm.itemBuscado, B238,
    _xlpm.areaBuscada, C238,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TEXT(COUNTIF($C$2:C238, _xlpm.areaBuscada), "0000"),
    _xlpm.codItem &amp; "-" &amp; _xlpm.codArea &amp; "-" &amp; _xlpm.secuencia
)</f>
        <v>-SinArea-0000</v>
      </c>
      <c r="O238" s="77"/>
      <c r="P238" s="32"/>
      <c r="Q238" s="32"/>
      <c r="R238" s="32"/>
      <c r="S238" s="32"/>
    </row>
    <row r="239" spans="3:19" x14ac:dyDescent="0.3">
      <c r="C239" s="11"/>
      <c r="D239" s="32"/>
      <c r="E239" s="11"/>
      <c r="J239" s="15"/>
      <c r="K239" s="47"/>
      <c r="L239" s="76"/>
      <c r="M239" s="76"/>
      <c r="N239" s="78" t="str">
        <f>_xlfn.LET(
    _xlpm.itemBuscado, B239,
    _xlpm.areaBuscada, C239,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TEXT(COUNTIF($C$2:C239, _xlpm.areaBuscada), "0000"),
    _xlpm.codItem &amp; "-" &amp; _xlpm.codArea &amp; "-" &amp; _xlpm.secuencia
)</f>
        <v>-SinArea-0000</v>
      </c>
      <c r="O239" s="77"/>
      <c r="P239" s="32"/>
      <c r="Q239" s="32"/>
      <c r="R239" s="32"/>
      <c r="S239" s="32"/>
    </row>
    <row r="240" spans="3:19" x14ac:dyDescent="0.3">
      <c r="C240" s="11"/>
      <c r="D240" s="32"/>
      <c r="E240" s="11"/>
      <c r="J240" s="15"/>
      <c r="K240" s="47"/>
      <c r="L240" s="76"/>
      <c r="M240" s="76"/>
      <c r="N240" s="78" t="str">
        <f>_xlfn.LET(
    _xlpm.itemBuscado, B240,
    _xlpm.areaBuscada, C240,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TEXT(COUNTIF($C$2:C240, _xlpm.areaBuscada), "0000"),
    _xlpm.codItem &amp; "-" &amp; _xlpm.codArea &amp; "-" &amp; _xlpm.secuencia
)</f>
        <v>-SinArea-0000</v>
      </c>
      <c r="O240" s="77"/>
      <c r="P240" s="32"/>
      <c r="Q240" s="32"/>
      <c r="R240" s="32"/>
      <c r="S240" s="32"/>
    </row>
    <row r="241" spans="3:19" x14ac:dyDescent="0.3">
      <c r="C241" s="11"/>
      <c r="D241" s="32"/>
      <c r="E241" s="11"/>
      <c r="J241" s="15"/>
      <c r="K241" s="47"/>
      <c r="L241" s="76"/>
      <c r="M241" s="76"/>
      <c r="N241" s="78" t="str">
        <f>_xlfn.LET(
    _xlpm.itemBuscado, B241,
    _xlpm.areaBuscada, C241,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TEXT(COUNTIF($C$2:C241, _xlpm.areaBuscada), "0000"),
    _xlpm.codItem &amp; "-" &amp; _xlpm.codArea &amp; "-" &amp; _xlpm.secuencia
)</f>
        <v>-SinArea-0000</v>
      </c>
      <c r="O241" s="77"/>
      <c r="P241" s="32"/>
      <c r="Q241" s="32"/>
      <c r="R241" s="32"/>
      <c r="S241" s="32"/>
    </row>
    <row r="242" spans="3:19" x14ac:dyDescent="0.3">
      <c r="C242" s="11"/>
      <c r="D242" s="32"/>
      <c r="E242" s="11"/>
      <c r="J242" s="15"/>
      <c r="K242" s="47"/>
      <c r="L242" s="76"/>
      <c r="M242" s="76"/>
      <c r="N242" s="78" t="str">
        <f>_xlfn.LET(
    _xlpm.itemBuscado, B242,
    _xlpm.areaBuscada, C242,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TEXT(COUNTIF($C$2:C242, _xlpm.areaBuscada), "0000"),
    _xlpm.codItem &amp; "-" &amp; _xlpm.codArea &amp; "-" &amp; _xlpm.secuencia
)</f>
        <v>-SinArea-0000</v>
      </c>
      <c r="O242" s="77"/>
      <c r="P242" s="32"/>
      <c r="Q242" s="32"/>
      <c r="R242" s="32"/>
      <c r="S242" s="32"/>
    </row>
    <row r="243" spans="3:19" x14ac:dyDescent="0.3">
      <c r="C243" s="11"/>
      <c r="D243" s="32"/>
      <c r="E243" s="11"/>
      <c r="J243" s="15"/>
      <c r="K243" s="47"/>
      <c r="L243" s="76"/>
      <c r="M243" s="76"/>
      <c r="N243" s="78" t="str">
        <f>_xlfn.LET(
    _xlpm.itemBuscado, B243,
    _xlpm.areaBuscada, C243,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TEXT(COUNTIF($C$2:C243, _xlpm.areaBuscada), "0000"),
    _xlpm.codItem &amp; "-" &amp; _xlpm.codArea &amp; "-" &amp; _xlpm.secuencia
)</f>
        <v>-SinArea-0000</v>
      </c>
      <c r="O243" s="77"/>
      <c r="P243" s="32"/>
      <c r="Q243" s="32"/>
      <c r="R243" s="32"/>
      <c r="S243" s="32"/>
    </row>
    <row r="244" spans="3:19" x14ac:dyDescent="0.3">
      <c r="C244" s="11"/>
      <c r="D244" s="32"/>
      <c r="E244" s="11"/>
      <c r="J244" s="15"/>
      <c r="K244" s="47"/>
      <c r="L244" s="76"/>
      <c r="M244" s="76"/>
      <c r="N244" s="78" t="str">
        <f>_xlfn.LET(
    _xlpm.itemBuscado, B244,
    _xlpm.areaBuscada, C244,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TEXT(COUNTIF($C$2:C244, _xlpm.areaBuscada), "0000"),
    _xlpm.codItem &amp; "-" &amp; _xlpm.codArea &amp; "-" &amp; _xlpm.secuencia
)</f>
        <v>-SinArea-0000</v>
      </c>
      <c r="O244" s="77"/>
      <c r="P244" s="32"/>
      <c r="Q244" s="32"/>
      <c r="R244" s="32"/>
      <c r="S244" s="32"/>
    </row>
    <row r="245" spans="3:19" x14ac:dyDescent="0.3">
      <c r="C245" s="11"/>
      <c r="D245" s="32"/>
      <c r="E245" s="11"/>
      <c r="J245" s="15"/>
      <c r="K245" s="47"/>
      <c r="L245" s="76"/>
      <c r="M245" s="76"/>
      <c r="N245" s="78" t="str">
        <f>_xlfn.LET(
    _xlpm.itemBuscado, B245,
    _xlpm.areaBuscada, C245,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TEXT(COUNTIF($C$2:C245, _xlpm.areaBuscada), "0000"),
    _xlpm.codItem &amp; "-" &amp; _xlpm.codArea &amp; "-" &amp; _xlpm.secuencia
)</f>
        <v>-SinArea-0000</v>
      </c>
      <c r="O245" s="77"/>
      <c r="P245" s="32"/>
      <c r="Q245" s="32"/>
      <c r="R245" s="32"/>
      <c r="S245" s="32"/>
    </row>
    <row r="246" spans="3:19" x14ac:dyDescent="0.3">
      <c r="C246" s="11"/>
      <c r="D246" s="32"/>
      <c r="E246" s="11"/>
      <c r="J246" s="15"/>
      <c r="K246" s="47"/>
      <c r="L246" s="76"/>
      <c r="M246" s="76"/>
      <c r="N246" s="78" t="str">
        <f>_xlfn.LET(
    _xlpm.itemBuscado, B246,
    _xlpm.areaBuscada, C246,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TEXT(COUNTIF($C$2:C246, _xlpm.areaBuscada), "0000"),
    _xlpm.codItem &amp; "-" &amp; _xlpm.codArea &amp; "-" &amp; _xlpm.secuencia
)</f>
        <v>-SinArea-0000</v>
      </c>
      <c r="O246" s="77"/>
      <c r="P246" s="32"/>
      <c r="Q246" s="32"/>
      <c r="R246" s="32"/>
      <c r="S246" s="32"/>
    </row>
    <row r="247" spans="3:19" x14ac:dyDescent="0.3">
      <c r="C247" s="11"/>
      <c r="D247" s="32"/>
      <c r="E247" s="11"/>
      <c r="J247" s="15"/>
      <c r="K247" s="47"/>
      <c r="L247" s="76"/>
      <c r="M247" s="76"/>
      <c r="N247" s="78" t="str">
        <f>_xlfn.LET(
    _xlpm.itemBuscado, B247,
    _xlpm.areaBuscada, C247,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TEXT(COUNTIF($C$2:C247, _xlpm.areaBuscada), "0000"),
    _xlpm.codItem &amp; "-" &amp; _xlpm.codArea &amp; "-" &amp; _xlpm.secuencia
)</f>
        <v>-SinArea-0000</v>
      </c>
      <c r="O247" s="77"/>
      <c r="P247" s="32"/>
      <c r="Q247" s="32"/>
      <c r="R247" s="32"/>
      <c r="S247" s="32"/>
    </row>
    <row r="248" spans="3:19" x14ac:dyDescent="0.3">
      <c r="C248" s="11"/>
      <c r="D248" s="32"/>
      <c r="E248" s="11"/>
      <c r="J248" s="15"/>
      <c r="K248" s="47"/>
      <c r="L248" s="76"/>
      <c r="M248" s="76"/>
      <c r="N248" s="78" t="str">
        <f>_xlfn.LET(
    _xlpm.itemBuscado, B248,
    _xlpm.areaBuscada, C248,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TEXT(COUNTIF($C$2:C248, _xlpm.areaBuscada), "0000"),
    _xlpm.codItem &amp; "-" &amp; _xlpm.codArea &amp; "-" &amp; _xlpm.secuencia
)</f>
        <v>-SinArea-0000</v>
      </c>
      <c r="O248" s="77"/>
      <c r="P248" s="32"/>
      <c r="Q248" s="32"/>
      <c r="R248" s="32"/>
      <c r="S248" s="32"/>
    </row>
    <row r="249" spans="3:19" x14ac:dyDescent="0.3">
      <c r="C249" s="11"/>
      <c r="D249" s="32"/>
      <c r="E249" s="11"/>
      <c r="J249" s="15"/>
      <c r="K249" s="47"/>
      <c r="L249" s="76"/>
      <c r="M249" s="76"/>
      <c r="N249" s="78" t="str">
        <f>_xlfn.LET(
    _xlpm.itemBuscado, B249,
    _xlpm.areaBuscada, C249,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TEXT(COUNTIF($C$2:C249, _xlpm.areaBuscada), "0000"),
    _xlpm.codItem &amp; "-" &amp; _xlpm.codArea &amp; "-" &amp; _xlpm.secuencia
)</f>
        <v>-SinArea-0000</v>
      </c>
      <c r="O249" s="77"/>
      <c r="P249" s="32"/>
      <c r="Q249" s="32"/>
      <c r="R249" s="32"/>
      <c r="S249" s="32"/>
    </row>
    <row r="250" spans="3:19" x14ac:dyDescent="0.3">
      <c r="C250" s="11"/>
      <c r="D250" s="32"/>
      <c r="E250" s="11"/>
      <c r="J250" s="15"/>
      <c r="K250" s="47"/>
      <c r="L250" s="76"/>
      <c r="M250" s="76"/>
      <c r="N250" s="78" t="str">
        <f>_xlfn.LET(
    _xlpm.itemBuscado, B250,
    _xlpm.areaBuscada, C250,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TEXT(COUNTIF($C$2:C250, _xlpm.areaBuscada), "0000"),
    _xlpm.codItem &amp; "-" &amp; _xlpm.codArea &amp; "-" &amp; _xlpm.secuencia
)</f>
        <v>-SinArea-0000</v>
      </c>
      <c r="O250" s="77"/>
      <c r="P250" s="32"/>
      <c r="Q250" s="32"/>
      <c r="R250" s="32"/>
      <c r="S250" s="32"/>
    </row>
    <row r="251" spans="3:19" x14ac:dyDescent="0.3">
      <c r="C251" s="11"/>
      <c r="D251" s="32"/>
      <c r="E251" s="11"/>
      <c r="J251" s="15"/>
      <c r="K251" s="47"/>
      <c r="L251" s="76"/>
      <c r="M251" s="76"/>
      <c r="N251" s="78" t="str">
        <f>_xlfn.LET(
    _xlpm.itemBuscado, B251,
    _xlpm.areaBuscada, C251,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TEXT(COUNTIF($C$2:C251, _xlpm.areaBuscada), "0000"),
    _xlpm.codItem &amp; "-" &amp; _xlpm.codArea &amp; "-" &amp; _xlpm.secuencia
)</f>
        <v>-SinArea-0000</v>
      </c>
      <c r="O251" s="77"/>
      <c r="P251" s="32"/>
      <c r="Q251" s="32"/>
      <c r="R251" s="32"/>
      <c r="S251" s="32"/>
    </row>
    <row r="252" spans="3:19" x14ac:dyDescent="0.3">
      <c r="C252" s="11"/>
      <c r="D252" s="32"/>
      <c r="E252" s="11"/>
      <c r="J252" s="15"/>
      <c r="K252" s="47"/>
      <c r="L252" s="76"/>
      <c r="M252" s="76"/>
      <c r="N252" s="78" t="str">
        <f>_xlfn.LET(
    _xlpm.itemBuscado, B252,
    _xlpm.areaBuscada, C252,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TEXT(COUNTIF($C$2:C252, _xlpm.areaBuscada), "0000"),
    _xlpm.codItem &amp; "-" &amp; _xlpm.codArea &amp; "-" &amp; _xlpm.secuencia
)</f>
        <v>-SinArea-0000</v>
      </c>
      <c r="O252" s="77"/>
      <c r="P252" s="32"/>
      <c r="Q252" s="32"/>
      <c r="R252" s="32"/>
      <c r="S252" s="32"/>
    </row>
    <row r="253" spans="3:19" x14ac:dyDescent="0.3">
      <c r="C253" s="11"/>
      <c r="D253" s="32"/>
      <c r="E253" s="11"/>
      <c r="J253" s="15"/>
      <c r="K253" s="47"/>
      <c r="L253" s="76"/>
      <c r="M253" s="76"/>
      <c r="N253" s="78" t="str">
        <f>_xlfn.LET(
    _xlpm.itemBuscado, B253,
    _xlpm.areaBuscada, C253,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TEXT(COUNTIF($C$2:C253, _xlpm.areaBuscada), "0000"),
    _xlpm.codItem &amp; "-" &amp; _xlpm.codArea &amp; "-" &amp; _xlpm.secuencia
)</f>
        <v>-SinArea-0000</v>
      </c>
      <c r="O253" s="77"/>
      <c r="P253" s="32"/>
      <c r="Q253" s="32"/>
      <c r="R253" s="32"/>
      <c r="S253" s="32"/>
    </row>
    <row r="254" spans="3:19" x14ac:dyDescent="0.3">
      <c r="C254" s="11"/>
      <c r="D254" s="32"/>
      <c r="E254" s="11"/>
      <c r="J254" s="15"/>
      <c r="K254" s="47"/>
      <c r="L254" s="76"/>
      <c r="M254" s="76"/>
      <c r="N254" s="78" t="str">
        <f>_xlfn.LET(
    _xlpm.itemBuscado, B254,
    _xlpm.areaBuscada, C254,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TEXT(COUNTIF($C$2:C254, _xlpm.areaBuscada), "0000"),
    _xlpm.codItem &amp; "-" &amp; _xlpm.codArea &amp; "-" &amp; _xlpm.secuencia
)</f>
        <v>-SinArea-0000</v>
      </c>
      <c r="O254" s="77"/>
      <c r="P254" s="32"/>
      <c r="Q254" s="32"/>
      <c r="R254" s="32"/>
      <c r="S254" s="32"/>
    </row>
    <row r="255" spans="3:19" x14ac:dyDescent="0.3">
      <c r="C255" s="11"/>
      <c r="D255" s="32"/>
      <c r="E255" s="11"/>
      <c r="J255" s="15"/>
      <c r="K255" s="47"/>
      <c r="L255" s="76"/>
      <c r="M255" s="76"/>
      <c r="N255" s="78" t="str">
        <f>_xlfn.LET(
    _xlpm.itemBuscado, B255,
    _xlpm.areaBuscada, C255,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TEXT(COUNTIF($C$2:C255, _xlpm.areaBuscada), "0000"),
    _xlpm.codItem &amp; "-" &amp; _xlpm.codArea &amp; "-" &amp; _xlpm.secuencia
)</f>
        <v>-SinArea-0000</v>
      </c>
      <c r="O255" s="77"/>
      <c r="P255" s="32"/>
      <c r="Q255" s="32"/>
      <c r="R255" s="32"/>
      <c r="S255" s="32"/>
    </row>
    <row r="256" spans="3:19" x14ac:dyDescent="0.3">
      <c r="C256" s="11"/>
      <c r="D256" s="32"/>
      <c r="E256" s="11"/>
      <c r="J256" s="15"/>
      <c r="K256" s="47"/>
      <c r="L256" s="76"/>
      <c r="M256" s="76"/>
      <c r="N256" s="78" t="str">
        <f>_xlfn.LET(
    _xlpm.itemBuscado, B256,
    _xlpm.areaBuscada, C256,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TEXT(COUNTIF($C$2:C256, _xlpm.areaBuscada), "0000"),
    _xlpm.codItem &amp; "-" &amp; _xlpm.codArea &amp; "-" &amp; _xlpm.secuencia
)</f>
        <v>-SinArea-0000</v>
      </c>
      <c r="O256" s="77"/>
      <c r="P256" s="32"/>
      <c r="Q256" s="32"/>
      <c r="R256" s="32"/>
      <c r="S256" s="32"/>
    </row>
    <row r="257" spans="3:19" x14ac:dyDescent="0.3">
      <c r="C257" s="11"/>
      <c r="D257" s="32"/>
      <c r="E257" s="11"/>
      <c r="J257" s="15"/>
      <c r="K257" s="47"/>
      <c r="L257" s="76"/>
      <c r="M257" s="76"/>
      <c r="N257" s="78" t="str">
        <f>_xlfn.LET(
    _xlpm.itemBuscado, B257,
    _xlpm.areaBuscada, C257,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TEXT(COUNTIF($C$2:C257, _xlpm.areaBuscada), "0000"),
    _xlpm.codItem &amp; "-" &amp; _xlpm.codArea &amp; "-" &amp; _xlpm.secuencia
)</f>
        <v>-SinArea-0000</v>
      </c>
      <c r="O257" s="77"/>
      <c r="P257" s="32"/>
      <c r="Q257" s="32"/>
      <c r="R257" s="32"/>
      <c r="S257" s="32"/>
    </row>
    <row r="258" spans="3:19" x14ac:dyDescent="0.3">
      <c r="C258" s="11"/>
      <c r="D258" s="32"/>
      <c r="E258" s="11"/>
      <c r="J258" s="15"/>
      <c r="K258" s="47"/>
      <c r="L258" s="76"/>
      <c r="M258" s="76"/>
      <c r="N258" s="78" t="str">
        <f>_xlfn.LET(
    _xlpm.itemBuscado, B258,
    _xlpm.areaBuscada, C258,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TEXT(COUNTIF($C$2:C258, _xlpm.areaBuscada), "0000"),
    _xlpm.codItem &amp; "-" &amp; _xlpm.codArea &amp; "-" &amp; _xlpm.secuencia
)</f>
        <v>-SinArea-0000</v>
      </c>
      <c r="O258" s="77"/>
      <c r="P258" s="32"/>
      <c r="Q258" s="32"/>
      <c r="R258" s="32"/>
      <c r="S258" s="32"/>
    </row>
    <row r="259" spans="3:19" x14ac:dyDescent="0.3">
      <c r="C259" s="11"/>
      <c r="D259" s="32"/>
      <c r="E259" s="11"/>
      <c r="J259" s="15"/>
      <c r="K259" s="47"/>
      <c r="L259" s="76"/>
      <c r="M259" s="76"/>
      <c r="N259" s="78" t="str">
        <f>_xlfn.LET(
    _xlpm.itemBuscado, B259,
    _xlpm.areaBuscada, C259,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TEXT(COUNTIF($C$2:C259, _xlpm.areaBuscada), "0000"),
    _xlpm.codItem &amp; "-" &amp; _xlpm.codArea &amp; "-" &amp; _xlpm.secuencia
)</f>
        <v>-SinArea-0000</v>
      </c>
      <c r="O259" s="77"/>
      <c r="P259" s="32"/>
      <c r="Q259" s="32"/>
      <c r="R259" s="32"/>
      <c r="S259" s="32"/>
    </row>
    <row r="260" spans="3:19" x14ac:dyDescent="0.3">
      <c r="C260" s="11"/>
      <c r="D260" s="32"/>
      <c r="E260" s="11"/>
      <c r="J260" s="15"/>
      <c r="K260" s="47"/>
      <c r="L260" s="76"/>
      <c r="M260" s="76"/>
      <c r="N260" s="78" t="str">
        <f>_xlfn.LET(
    _xlpm.itemBuscado, B260,
    _xlpm.areaBuscada, C260,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TEXT(COUNTIF($C$2:C260, _xlpm.areaBuscada), "0000"),
    _xlpm.codItem &amp; "-" &amp; _xlpm.codArea &amp; "-" &amp; _xlpm.secuencia
)</f>
        <v>-SinArea-0000</v>
      </c>
      <c r="O260" s="77"/>
      <c r="P260" s="32"/>
      <c r="Q260" s="32"/>
      <c r="R260" s="32"/>
      <c r="S260" s="32"/>
    </row>
    <row r="261" spans="3:19" x14ac:dyDescent="0.3">
      <c r="C261" s="11"/>
      <c r="D261" s="32"/>
      <c r="E261" s="11"/>
      <c r="J261" s="15"/>
      <c r="K261" s="47"/>
      <c r="L261" s="76"/>
      <c r="M261" s="76"/>
      <c r="N261" s="78" t="str">
        <f>_xlfn.LET(
    _xlpm.itemBuscado, B261,
    _xlpm.areaBuscada, C261,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TEXT(COUNTIF($C$2:C261, _xlpm.areaBuscada), "0000"),
    _xlpm.codItem &amp; "-" &amp; _xlpm.codArea &amp; "-" &amp; _xlpm.secuencia
)</f>
        <v>-SinArea-0000</v>
      </c>
      <c r="O261" s="77"/>
      <c r="P261" s="32"/>
      <c r="Q261" s="32"/>
      <c r="R261" s="32"/>
      <c r="S261" s="32"/>
    </row>
    <row r="262" spans="3:19" x14ac:dyDescent="0.3">
      <c r="C262" s="11"/>
      <c r="D262" s="32"/>
      <c r="E262" s="11"/>
      <c r="J262" s="15"/>
      <c r="K262" s="47"/>
      <c r="L262" s="76"/>
      <c r="M262" s="76"/>
      <c r="N262" s="78" t="str">
        <f>_xlfn.LET(
    _xlpm.itemBuscado, B262,
    _xlpm.areaBuscada, C262,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TEXT(COUNTIF($C$2:C262, _xlpm.areaBuscada), "0000"),
    _xlpm.codItem &amp; "-" &amp; _xlpm.codArea &amp; "-" &amp; _xlpm.secuencia
)</f>
        <v>-SinArea-0000</v>
      </c>
      <c r="O262" s="77"/>
      <c r="P262" s="32"/>
      <c r="Q262" s="32"/>
      <c r="R262" s="32"/>
      <c r="S262" s="32"/>
    </row>
    <row r="263" spans="3:19" x14ac:dyDescent="0.3">
      <c r="C263" s="11"/>
      <c r="D263" s="32"/>
      <c r="E263" s="11"/>
      <c r="J263" s="15"/>
      <c r="K263" s="47"/>
      <c r="L263" s="76"/>
      <c r="M263" s="76"/>
      <c r="N263" s="78" t="str">
        <f>_xlfn.LET(
    _xlpm.itemBuscado, B263,
    _xlpm.areaBuscada, C263,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TEXT(COUNTIF($C$2:C263, _xlpm.areaBuscada), "0000"),
    _xlpm.codItem &amp; "-" &amp; _xlpm.codArea &amp; "-" &amp; _xlpm.secuencia
)</f>
        <v>-SinArea-0000</v>
      </c>
      <c r="O263" s="77"/>
      <c r="P263" s="32"/>
      <c r="Q263" s="32"/>
      <c r="R263" s="32"/>
      <c r="S263" s="32"/>
    </row>
    <row r="264" spans="3:19" x14ac:dyDescent="0.3">
      <c r="C264" s="11"/>
      <c r="D264" s="32"/>
      <c r="E264" s="11"/>
      <c r="J264" s="15"/>
      <c r="K264" s="47"/>
      <c r="L264" s="76"/>
      <c r="M264" s="76"/>
      <c r="N264" s="78" t="str">
        <f>_xlfn.LET(
    _xlpm.itemBuscado, B264,
    _xlpm.areaBuscada, C264,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TEXT(COUNTIF($C$2:C264, _xlpm.areaBuscada), "0000"),
    _xlpm.codItem &amp; "-" &amp; _xlpm.codArea &amp; "-" &amp; _xlpm.secuencia
)</f>
        <v>-SinArea-0000</v>
      </c>
      <c r="O264" s="77"/>
      <c r="P264" s="32"/>
      <c r="Q264" s="32"/>
      <c r="R264" s="32"/>
      <c r="S264" s="32"/>
    </row>
    <row r="265" spans="3:19" x14ac:dyDescent="0.3">
      <c r="C265" s="11"/>
      <c r="D265" s="32"/>
      <c r="E265" s="11"/>
      <c r="J265" s="15"/>
      <c r="K265" s="47"/>
      <c r="L265" s="76"/>
      <c r="M265" s="76"/>
      <c r="N265" s="78" t="str">
        <f>_xlfn.LET(
    _xlpm.itemBuscado, B265,
    _xlpm.areaBuscada, C265,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TEXT(COUNTIF($C$2:C265, _xlpm.areaBuscada), "0000"),
    _xlpm.codItem &amp; "-" &amp; _xlpm.codArea &amp; "-" &amp; _xlpm.secuencia
)</f>
        <v>-SinArea-0000</v>
      </c>
      <c r="O265" s="77"/>
      <c r="P265" s="32"/>
      <c r="Q265" s="32"/>
      <c r="R265" s="32"/>
      <c r="S265" s="32"/>
    </row>
    <row r="266" spans="3:19" x14ac:dyDescent="0.3">
      <c r="C266" s="11"/>
      <c r="D266" s="32"/>
      <c r="E266" s="11"/>
      <c r="J266" s="15"/>
      <c r="K266" s="47"/>
      <c r="L266" s="76"/>
      <c r="M266" s="76"/>
      <c r="N266" s="78" t="str">
        <f>_xlfn.LET(
    _xlpm.itemBuscado, B266,
    _xlpm.areaBuscada, C266,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TEXT(COUNTIF($C$2:C266, _xlpm.areaBuscada), "0000"),
    _xlpm.codItem &amp; "-" &amp; _xlpm.codArea &amp; "-" &amp; _xlpm.secuencia
)</f>
        <v>-SinArea-0000</v>
      </c>
      <c r="O266" s="77"/>
      <c r="P266" s="32"/>
      <c r="Q266" s="32"/>
      <c r="R266" s="32"/>
      <c r="S266" s="32"/>
    </row>
    <row r="267" spans="3:19" x14ac:dyDescent="0.3">
      <c r="C267" s="11"/>
      <c r="D267" s="32"/>
      <c r="E267" s="11"/>
      <c r="J267" s="15"/>
      <c r="K267" s="47"/>
      <c r="L267" s="76"/>
      <c r="M267" s="76"/>
      <c r="N267" s="78" t="str">
        <f>_xlfn.LET(
    _xlpm.itemBuscado, B267,
    _xlpm.areaBuscada, C267,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TEXT(COUNTIF($C$2:C267, _xlpm.areaBuscada), "0000"),
    _xlpm.codItem &amp; "-" &amp; _xlpm.codArea &amp; "-" &amp; _xlpm.secuencia
)</f>
        <v>-SinArea-0000</v>
      </c>
      <c r="O267" s="77"/>
      <c r="P267" s="32"/>
      <c r="Q267" s="32"/>
      <c r="R267" s="32"/>
      <c r="S267" s="32"/>
    </row>
    <row r="268" spans="3:19" x14ac:dyDescent="0.3">
      <c r="C268" s="11"/>
      <c r="D268" s="32"/>
      <c r="E268" s="11"/>
      <c r="J268" s="15"/>
      <c r="K268" s="47"/>
      <c r="L268" s="76"/>
      <c r="M268" s="76"/>
      <c r="N268" s="78" t="str">
        <f>_xlfn.LET(
    _xlpm.itemBuscado, B268,
    _xlpm.areaBuscada, C268,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TEXT(COUNTIF($C$2:C268, _xlpm.areaBuscada), "0000"),
    _xlpm.codItem &amp; "-" &amp; _xlpm.codArea &amp; "-" &amp; _xlpm.secuencia
)</f>
        <v>-SinArea-0000</v>
      </c>
      <c r="O268" s="77"/>
      <c r="P268" s="32"/>
      <c r="Q268" s="32"/>
      <c r="R268" s="32"/>
      <c r="S268" s="32"/>
    </row>
    <row r="269" spans="3:19" x14ac:dyDescent="0.3">
      <c r="C269" s="11"/>
      <c r="D269" s="32"/>
      <c r="E269" s="11"/>
      <c r="J269" s="15"/>
      <c r="K269" s="47"/>
      <c r="L269" s="76"/>
      <c r="M269" s="76"/>
      <c r="N269" s="78" t="str">
        <f>_xlfn.LET(
    _xlpm.itemBuscado, B269,
    _xlpm.areaBuscada, C269,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TEXT(COUNTIF($C$2:C269, _xlpm.areaBuscada), "0000"),
    _xlpm.codItem &amp; "-" &amp; _xlpm.codArea &amp; "-" &amp; _xlpm.secuencia
)</f>
        <v>-SinArea-0000</v>
      </c>
      <c r="O269" s="77"/>
      <c r="P269" s="32"/>
      <c r="Q269" s="32"/>
      <c r="R269" s="32"/>
      <c r="S269" s="32"/>
    </row>
    <row r="270" spans="3:19" x14ac:dyDescent="0.3">
      <c r="C270" s="11"/>
      <c r="D270" s="32"/>
      <c r="E270" s="11"/>
      <c r="J270" s="15"/>
      <c r="K270" s="47"/>
      <c r="L270" s="76"/>
      <c r="M270" s="76"/>
      <c r="N270" s="78" t="str">
        <f>_xlfn.LET(
    _xlpm.itemBuscado, B270,
    _xlpm.areaBuscada, C270,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TEXT(COUNTIF($C$2:C270, _xlpm.areaBuscada), "0000"),
    _xlpm.codItem &amp; "-" &amp; _xlpm.codArea &amp; "-" &amp; _xlpm.secuencia
)</f>
        <v>-SinArea-0000</v>
      </c>
      <c r="O270" s="77"/>
      <c r="P270" s="32"/>
      <c r="Q270" s="32"/>
      <c r="R270" s="32"/>
      <c r="S270" s="32"/>
    </row>
    <row r="271" spans="3:19" x14ac:dyDescent="0.3">
      <c r="C271" s="11"/>
      <c r="D271" s="32"/>
      <c r="E271" s="11"/>
      <c r="J271" s="15"/>
      <c r="K271" s="47"/>
      <c r="L271" s="76"/>
      <c r="M271" s="76"/>
      <c r="N271" s="78" t="str">
        <f>_xlfn.LET(
    _xlpm.itemBuscado, B271,
    _xlpm.areaBuscada, C271,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TEXT(COUNTIF($C$2:C271, _xlpm.areaBuscada), "0000"),
    _xlpm.codItem &amp; "-" &amp; _xlpm.codArea &amp; "-" &amp; _xlpm.secuencia
)</f>
        <v>-SinArea-0000</v>
      </c>
      <c r="O271" s="77"/>
      <c r="P271" s="32"/>
      <c r="Q271" s="32"/>
      <c r="R271" s="32"/>
      <c r="S271" s="32"/>
    </row>
    <row r="272" spans="3:19" x14ac:dyDescent="0.3">
      <c r="C272" s="11"/>
      <c r="D272" s="32"/>
      <c r="E272" s="11"/>
      <c r="J272" s="15"/>
      <c r="K272" s="47"/>
      <c r="L272" s="76"/>
      <c r="M272" s="76"/>
      <c r="N272" s="78" t="str">
        <f>_xlfn.LET(
    _xlpm.itemBuscado, B272,
    _xlpm.areaBuscada, C272,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TEXT(COUNTIF($C$2:C272, _xlpm.areaBuscada), "0000"),
    _xlpm.codItem &amp; "-" &amp; _xlpm.codArea &amp; "-" &amp; _xlpm.secuencia
)</f>
        <v>-SinArea-0000</v>
      </c>
      <c r="O272" s="77"/>
      <c r="P272" s="32"/>
      <c r="Q272" s="32"/>
      <c r="R272" s="32"/>
      <c r="S272" s="32"/>
    </row>
    <row r="273" spans="3:19" x14ac:dyDescent="0.3">
      <c r="C273" s="11"/>
      <c r="D273" s="32"/>
      <c r="E273" s="11"/>
      <c r="J273" s="15"/>
      <c r="K273" s="47"/>
      <c r="L273" s="76"/>
      <c r="M273" s="76"/>
      <c r="N273" s="78" t="str">
        <f>_xlfn.LET(
    _xlpm.itemBuscado, B273,
    _xlpm.areaBuscada, C273,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TEXT(COUNTIF($C$2:C273, _xlpm.areaBuscada), "0000"),
    _xlpm.codItem &amp; "-" &amp; _xlpm.codArea &amp; "-" &amp; _xlpm.secuencia
)</f>
        <v>-SinArea-0000</v>
      </c>
      <c r="O273" s="77"/>
      <c r="P273" s="32"/>
      <c r="Q273" s="32"/>
      <c r="R273" s="32"/>
      <c r="S273" s="32"/>
    </row>
    <row r="274" spans="3:19" x14ac:dyDescent="0.3">
      <c r="C274" s="11"/>
      <c r="D274" s="32"/>
      <c r="E274" s="11"/>
      <c r="J274" s="15"/>
      <c r="K274" s="47"/>
      <c r="L274" s="76"/>
      <c r="M274" s="76"/>
      <c r="N274" s="78" t="str">
        <f>_xlfn.LET(
    _xlpm.itemBuscado, B274,
    _xlpm.areaBuscada, C274,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TEXT(COUNTIF($C$2:C274, _xlpm.areaBuscada), "0000"),
    _xlpm.codItem &amp; "-" &amp; _xlpm.codArea &amp; "-" &amp; _xlpm.secuencia
)</f>
        <v>-SinArea-0000</v>
      </c>
      <c r="O274" s="77"/>
      <c r="P274" s="32"/>
      <c r="Q274" s="32"/>
      <c r="R274" s="32"/>
      <c r="S274" s="32"/>
    </row>
    <row r="275" spans="3:19" x14ac:dyDescent="0.3">
      <c r="C275" s="11"/>
      <c r="D275" s="32"/>
      <c r="E275" s="11"/>
      <c r="J275" s="15"/>
      <c r="K275" s="47"/>
      <c r="L275" s="76"/>
      <c r="M275" s="76"/>
      <c r="N275" s="78" t="str">
        <f>_xlfn.LET(
    _xlpm.itemBuscado, B275,
    _xlpm.areaBuscada, C275,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TEXT(COUNTIF($C$2:C275, _xlpm.areaBuscada), "0000"),
    _xlpm.codItem &amp; "-" &amp; _xlpm.codArea &amp; "-" &amp; _xlpm.secuencia
)</f>
        <v>-SinArea-0000</v>
      </c>
      <c r="O275" s="77"/>
      <c r="P275" s="32"/>
      <c r="Q275" s="32"/>
      <c r="R275" s="32"/>
      <c r="S275" s="32"/>
    </row>
    <row r="276" spans="3:19" x14ac:dyDescent="0.3">
      <c r="C276" s="11"/>
      <c r="D276" s="32"/>
      <c r="E276" s="11"/>
      <c r="J276" s="15"/>
      <c r="K276" s="47"/>
      <c r="L276" s="76"/>
      <c r="M276" s="76"/>
      <c r="N276" s="78" t="str">
        <f>_xlfn.LET(
    _xlpm.itemBuscado, B276,
    _xlpm.areaBuscada, C276,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TEXT(COUNTIF($C$2:C276, _xlpm.areaBuscada), "0000"),
    _xlpm.codItem &amp; "-" &amp; _xlpm.codArea &amp; "-" &amp; _xlpm.secuencia
)</f>
        <v>-SinArea-0000</v>
      </c>
      <c r="O276" s="77"/>
      <c r="P276" s="32"/>
      <c r="Q276" s="32"/>
      <c r="R276" s="32"/>
      <c r="S276" s="32"/>
    </row>
    <row r="277" spans="3:19" x14ac:dyDescent="0.3">
      <c r="C277" s="11"/>
      <c r="D277" s="32"/>
      <c r="E277" s="11"/>
      <c r="J277" s="15"/>
      <c r="K277" s="47"/>
      <c r="L277" s="76"/>
      <c r="M277" s="76"/>
      <c r="N277" s="78" t="str">
        <f>_xlfn.LET(
    _xlpm.itemBuscado, B277,
    _xlpm.areaBuscada, C277,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TEXT(COUNTIF($C$2:C277, _xlpm.areaBuscada), "0000"),
    _xlpm.codItem &amp; "-" &amp; _xlpm.codArea &amp; "-" &amp; _xlpm.secuencia
)</f>
        <v>-SinArea-0000</v>
      </c>
      <c r="O277" s="77"/>
      <c r="P277" s="32"/>
      <c r="Q277" s="32"/>
      <c r="R277" s="32"/>
      <c r="S277" s="32"/>
    </row>
    <row r="278" spans="3:19" x14ac:dyDescent="0.3">
      <c r="C278" s="11"/>
      <c r="D278" s="32"/>
      <c r="E278" s="11"/>
      <c r="J278" s="15"/>
      <c r="K278" s="47"/>
      <c r="L278" s="76"/>
      <c r="M278" s="76"/>
      <c r="N278" s="78" t="str">
        <f>_xlfn.LET(
    _xlpm.itemBuscado, B278,
    _xlpm.areaBuscada, C278,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TEXT(COUNTIF($C$2:C278, _xlpm.areaBuscada), "0000"),
    _xlpm.codItem &amp; "-" &amp; _xlpm.codArea &amp; "-" &amp; _xlpm.secuencia
)</f>
        <v>-SinArea-0000</v>
      </c>
      <c r="O278" s="77"/>
      <c r="P278" s="32"/>
      <c r="Q278" s="32"/>
      <c r="R278" s="32"/>
      <c r="S278" s="32"/>
    </row>
    <row r="279" spans="3:19" x14ac:dyDescent="0.3">
      <c r="C279" s="11"/>
      <c r="D279" s="32"/>
      <c r="E279" s="11"/>
      <c r="J279" s="15"/>
      <c r="K279" s="47"/>
      <c r="L279" s="76"/>
      <c r="M279" s="76"/>
      <c r="N279" s="78" t="str">
        <f>_xlfn.LET(
    _xlpm.itemBuscado, B279,
    _xlpm.areaBuscada, C279,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TEXT(COUNTIF($C$2:C279, _xlpm.areaBuscada), "0000"),
    _xlpm.codItem &amp; "-" &amp; _xlpm.codArea &amp; "-" &amp; _xlpm.secuencia
)</f>
        <v>-SinArea-0000</v>
      </c>
      <c r="O279" s="77"/>
      <c r="P279" s="32"/>
      <c r="Q279" s="32"/>
      <c r="R279" s="32"/>
      <c r="S279" s="32"/>
    </row>
    <row r="280" spans="3:19" x14ac:dyDescent="0.3">
      <c r="C280" s="11"/>
      <c r="D280" s="32"/>
      <c r="E280" s="11"/>
      <c r="J280" s="15"/>
      <c r="K280" s="47"/>
      <c r="L280" s="76"/>
      <c r="M280" s="76"/>
      <c r="N280" s="78" t="str">
        <f>_xlfn.LET(
    _xlpm.itemBuscado, B280,
    _xlpm.areaBuscada, C280,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TEXT(COUNTIF($C$2:C280, _xlpm.areaBuscada), "0000"),
    _xlpm.codItem &amp; "-" &amp; _xlpm.codArea &amp; "-" &amp; _xlpm.secuencia
)</f>
        <v>-SinArea-0000</v>
      </c>
      <c r="O280" s="77"/>
      <c r="P280" s="32"/>
      <c r="Q280" s="32"/>
      <c r="R280" s="32"/>
      <c r="S280" s="32"/>
    </row>
    <row r="281" spans="3:19" x14ac:dyDescent="0.3">
      <c r="C281" s="11"/>
      <c r="D281" s="32"/>
      <c r="E281" s="11"/>
      <c r="J281" s="15"/>
      <c r="K281" s="47"/>
      <c r="L281" s="76"/>
      <c r="M281" s="76"/>
      <c r="N281" s="78" t="str">
        <f>_xlfn.LET(
    _xlpm.itemBuscado, B281,
    _xlpm.areaBuscada, C281,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TEXT(COUNTIF($C$2:C281, _xlpm.areaBuscada), "0000"),
    _xlpm.codItem &amp; "-" &amp; _xlpm.codArea &amp; "-" &amp; _xlpm.secuencia
)</f>
        <v>-SinArea-0000</v>
      </c>
      <c r="O281" s="77"/>
      <c r="P281" s="32"/>
      <c r="Q281" s="32"/>
      <c r="R281" s="32"/>
      <c r="S281" s="32"/>
    </row>
    <row r="282" spans="3:19" x14ac:dyDescent="0.3">
      <c r="C282" s="11"/>
      <c r="D282" s="32"/>
      <c r="E282" s="11"/>
      <c r="J282" s="15"/>
      <c r="K282" s="47"/>
      <c r="L282" s="76"/>
      <c r="M282" s="76"/>
      <c r="N282" s="78" t="str">
        <f>_xlfn.LET(
    _xlpm.itemBuscado, B282,
    _xlpm.areaBuscada, C282,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TEXT(COUNTIF($C$2:C282, _xlpm.areaBuscada), "0000"),
    _xlpm.codItem &amp; "-" &amp; _xlpm.codArea &amp; "-" &amp; _xlpm.secuencia
)</f>
        <v>-SinArea-0000</v>
      </c>
      <c r="O282" s="77"/>
      <c r="P282" s="32"/>
      <c r="Q282" s="32"/>
      <c r="R282" s="32"/>
      <c r="S282" s="32"/>
    </row>
    <row r="283" spans="3:19" x14ac:dyDescent="0.3">
      <c r="C283" s="11"/>
      <c r="D283" s="32"/>
      <c r="E283" s="11"/>
      <c r="J283" s="15"/>
      <c r="K283" s="47"/>
      <c r="L283" s="76"/>
      <c r="M283" s="76"/>
      <c r="N283" s="78" t="str">
        <f>_xlfn.LET(
    _xlpm.itemBuscado, B283,
    _xlpm.areaBuscada, C283,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TEXT(COUNTIF($C$2:C283, _xlpm.areaBuscada), "0000"),
    _xlpm.codItem &amp; "-" &amp; _xlpm.codArea &amp; "-" &amp; _xlpm.secuencia
)</f>
        <v>-SinArea-0000</v>
      </c>
      <c r="O283" s="77"/>
      <c r="P283" s="32"/>
      <c r="Q283" s="32"/>
      <c r="R283" s="32"/>
      <c r="S283" s="32"/>
    </row>
    <row r="284" spans="3:19" x14ac:dyDescent="0.3">
      <c r="C284" s="11"/>
      <c r="D284" s="32"/>
      <c r="E284" s="11"/>
      <c r="J284" s="15"/>
      <c r="K284" s="47"/>
      <c r="L284" s="76"/>
      <c r="M284" s="76"/>
      <c r="N284" s="78" t="str">
        <f>_xlfn.LET(
    _xlpm.itemBuscado, B284,
    _xlpm.areaBuscada, C284,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TEXT(COUNTIF($C$2:C284, _xlpm.areaBuscada), "0000"),
    _xlpm.codItem &amp; "-" &amp; _xlpm.codArea &amp; "-" &amp; _xlpm.secuencia
)</f>
        <v>-SinArea-0000</v>
      </c>
      <c r="O284" s="77"/>
      <c r="P284" s="32"/>
      <c r="Q284" s="32"/>
      <c r="R284" s="32"/>
      <c r="S284" s="32"/>
    </row>
    <row r="285" spans="3:19" x14ac:dyDescent="0.3">
      <c r="C285" s="11"/>
      <c r="D285" s="32"/>
      <c r="E285" s="11"/>
      <c r="J285" s="15"/>
      <c r="K285" s="47"/>
      <c r="L285" s="76"/>
      <c r="M285" s="76"/>
      <c r="N285" s="78" t="str">
        <f>_xlfn.LET(
    _xlpm.itemBuscado, B285,
    _xlpm.areaBuscada, C285,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TEXT(COUNTIF($C$2:C285, _xlpm.areaBuscada), "0000"),
    _xlpm.codItem &amp; "-" &amp; _xlpm.codArea &amp; "-" &amp; _xlpm.secuencia
)</f>
        <v>-SinArea-0000</v>
      </c>
      <c r="O285" s="77"/>
      <c r="P285" s="32"/>
      <c r="Q285" s="32"/>
      <c r="R285" s="32"/>
      <c r="S285" s="32"/>
    </row>
    <row r="286" spans="3:19" x14ac:dyDescent="0.3">
      <c r="C286" s="11"/>
      <c r="D286" s="32"/>
      <c r="E286" s="11"/>
      <c r="J286" s="15"/>
      <c r="K286" s="47"/>
      <c r="L286" s="76"/>
      <c r="M286" s="76"/>
      <c r="N286" s="78" t="str">
        <f>_xlfn.LET(
    _xlpm.itemBuscado, B286,
    _xlpm.areaBuscada, C286,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TEXT(COUNTIF($C$2:C286, _xlpm.areaBuscada), "0000"),
    _xlpm.codItem &amp; "-" &amp; _xlpm.codArea &amp; "-" &amp; _xlpm.secuencia
)</f>
        <v>-SinArea-0000</v>
      </c>
      <c r="O286" s="77"/>
      <c r="P286" s="32"/>
      <c r="Q286" s="32"/>
      <c r="R286" s="32"/>
      <c r="S286" s="32"/>
    </row>
    <row r="287" spans="3:19" x14ac:dyDescent="0.3">
      <c r="C287" s="11"/>
      <c r="D287" s="32"/>
      <c r="E287" s="11"/>
      <c r="J287" s="15"/>
      <c r="K287" s="47"/>
      <c r="L287" s="76"/>
      <c r="M287" s="76"/>
      <c r="N287" s="78" t="str">
        <f>_xlfn.LET(
    _xlpm.itemBuscado, B287,
    _xlpm.areaBuscada, C287,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TEXT(COUNTIF($C$2:C287, _xlpm.areaBuscada), "0000"),
    _xlpm.codItem &amp; "-" &amp; _xlpm.codArea &amp; "-" &amp; _xlpm.secuencia
)</f>
        <v>-SinArea-0000</v>
      </c>
      <c r="O287" s="77"/>
      <c r="P287" s="32"/>
      <c r="Q287" s="32"/>
      <c r="R287" s="32"/>
      <c r="S287" s="32"/>
    </row>
    <row r="288" spans="3:19" x14ac:dyDescent="0.3">
      <c r="C288" s="11"/>
      <c r="D288" s="32"/>
      <c r="E288" s="11"/>
      <c r="J288" s="15"/>
      <c r="K288" s="47"/>
      <c r="L288" s="76"/>
      <c r="M288" s="76"/>
      <c r="N288" s="78" t="str">
        <f>_xlfn.LET(
    _xlpm.itemBuscado, B288,
    _xlpm.areaBuscada, C288,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TEXT(COUNTIF($C$2:C288, _xlpm.areaBuscada), "0000"),
    _xlpm.codItem &amp; "-" &amp; _xlpm.codArea &amp; "-" &amp; _xlpm.secuencia
)</f>
        <v>-SinArea-0000</v>
      </c>
      <c r="O288" s="77"/>
      <c r="P288" s="32"/>
      <c r="Q288" s="32"/>
      <c r="R288" s="32"/>
      <c r="S288" s="32"/>
    </row>
    <row r="289" spans="3:19" x14ac:dyDescent="0.3">
      <c r="C289" s="11"/>
      <c r="D289" s="32"/>
      <c r="E289" s="11"/>
      <c r="J289" s="15"/>
      <c r="K289" s="47"/>
      <c r="L289" s="76"/>
      <c r="M289" s="76"/>
      <c r="N289" s="78" t="str">
        <f>_xlfn.LET(
    _xlpm.itemBuscado, B289,
    _xlpm.areaBuscada, C289,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TEXT(COUNTIF($C$2:C289, _xlpm.areaBuscada), "0000"),
    _xlpm.codItem &amp; "-" &amp; _xlpm.codArea &amp; "-" &amp; _xlpm.secuencia
)</f>
        <v>-SinArea-0000</v>
      </c>
      <c r="O289" s="77"/>
      <c r="P289" s="32"/>
      <c r="Q289" s="32"/>
      <c r="R289" s="32"/>
      <c r="S289" s="32"/>
    </row>
    <row r="290" spans="3:19" x14ac:dyDescent="0.3">
      <c r="C290" s="11"/>
      <c r="D290" s="32"/>
      <c r="E290" s="11"/>
      <c r="J290" s="15"/>
      <c r="K290" s="47"/>
      <c r="L290" s="76"/>
      <c r="M290" s="76"/>
      <c r="N290" s="78" t="str">
        <f>_xlfn.LET(
    _xlpm.itemBuscado, B290,
    _xlpm.areaBuscada, C290,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TEXT(COUNTIF($C$2:C290, _xlpm.areaBuscada), "0000"),
    _xlpm.codItem &amp; "-" &amp; _xlpm.codArea &amp; "-" &amp; _xlpm.secuencia
)</f>
        <v>-SinArea-0000</v>
      </c>
      <c r="O290" s="77"/>
      <c r="P290" s="32"/>
      <c r="Q290" s="32"/>
      <c r="R290" s="32"/>
      <c r="S290" s="32"/>
    </row>
    <row r="291" spans="3:19" x14ac:dyDescent="0.3">
      <c r="C291" s="11"/>
      <c r="D291" s="32"/>
      <c r="E291" s="11"/>
      <c r="J291" s="15"/>
      <c r="K291" s="47"/>
      <c r="L291" s="76"/>
      <c r="M291" s="76"/>
      <c r="N291" s="78" t="str">
        <f>_xlfn.LET(
    _xlpm.itemBuscado, B291,
    _xlpm.areaBuscada, C291,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TEXT(COUNTIF($C$2:C291, _xlpm.areaBuscada), "0000"),
    _xlpm.codItem &amp; "-" &amp; _xlpm.codArea &amp; "-" &amp; _xlpm.secuencia
)</f>
        <v>-SinArea-0000</v>
      </c>
      <c r="O291" s="77"/>
      <c r="P291" s="32"/>
      <c r="Q291" s="32"/>
      <c r="R291" s="32"/>
      <c r="S291" s="32"/>
    </row>
    <row r="292" spans="3:19" x14ac:dyDescent="0.3">
      <c r="C292" s="11"/>
      <c r="D292" s="32"/>
      <c r="E292" s="11"/>
      <c r="J292" s="15"/>
      <c r="K292" s="47"/>
      <c r="L292" s="76"/>
      <c r="M292" s="76"/>
      <c r="N292" s="78" t="str">
        <f>_xlfn.LET(
    _xlpm.itemBuscado, B292,
    _xlpm.areaBuscada, C292,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TEXT(COUNTIF($C$2:C292, _xlpm.areaBuscada), "0000"),
    _xlpm.codItem &amp; "-" &amp; _xlpm.codArea &amp; "-" &amp; _xlpm.secuencia
)</f>
        <v>-SinArea-0000</v>
      </c>
      <c r="O292" s="77"/>
      <c r="P292" s="32"/>
      <c r="Q292" s="32"/>
      <c r="R292" s="32"/>
      <c r="S292" s="32"/>
    </row>
    <row r="293" spans="3:19" x14ac:dyDescent="0.3">
      <c r="C293" s="11"/>
      <c r="D293" s="32"/>
      <c r="E293" s="11"/>
      <c r="J293" s="15"/>
      <c r="K293" s="47"/>
      <c r="L293" s="76"/>
      <c r="M293" s="76"/>
      <c r="N293" s="78" t="str">
        <f>_xlfn.LET(
    _xlpm.itemBuscado, B293,
    _xlpm.areaBuscada, C293,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TEXT(COUNTIF($C$2:C293, _xlpm.areaBuscada), "0000"),
    _xlpm.codItem &amp; "-" &amp; _xlpm.codArea &amp; "-" &amp; _xlpm.secuencia
)</f>
        <v>-SinArea-0000</v>
      </c>
      <c r="O293" s="77"/>
      <c r="P293" s="32"/>
      <c r="Q293" s="32"/>
      <c r="R293" s="32"/>
      <c r="S293" s="32"/>
    </row>
    <row r="294" spans="3:19" x14ac:dyDescent="0.3">
      <c r="C294" s="11"/>
      <c r="D294" s="32"/>
      <c r="E294" s="11"/>
      <c r="J294" s="15"/>
      <c r="K294" s="47"/>
      <c r="L294" s="76"/>
      <c r="M294" s="76"/>
      <c r="N294" s="78" t="str">
        <f>_xlfn.LET(
    _xlpm.itemBuscado, B294,
    _xlpm.areaBuscada, C294,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TEXT(COUNTIF($C$2:C294, _xlpm.areaBuscada), "0000"),
    _xlpm.codItem &amp; "-" &amp; _xlpm.codArea &amp; "-" &amp; _xlpm.secuencia
)</f>
        <v>-SinArea-0000</v>
      </c>
      <c r="O294" s="77"/>
      <c r="P294" s="32"/>
      <c r="Q294" s="32"/>
      <c r="R294" s="32"/>
      <c r="S294" s="32"/>
    </row>
    <row r="295" spans="3:19" x14ac:dyDescent="0.3">
      <c r="C295" s="11"/>
      <c r="D295" s="32"/>
      <c r="E295" s="11"/>
      <c r="J295" s="15"/>
      <c r="K295" s="47"/>
      <c r="L295" s="76"/>
      <c r="M295" s="76"/>
      <c r="N295" s="78" t="str">
        <f>_xlfn.LET(
    _xlpm.itemBuscado, B295,
    _xlpm.areaBuscada, C295,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TEXT(COUNTIF($C$2:C295, _xlpm.areaBuscada), "0000"),
    _xlpm.codItem &amp; "-" &amp; _xlpm.codArea &amp; "-" &amp; _xlpm.secuencia
)</f>
        <v>-SinArea-0000</v>
      </c>
      <c r="O295" s="77"/>
      <c r="P295" s="32"/>
      <c r="Q295" s="32"/>
      <c r="R295" s="32"/>
      <c r="S295" s="32"/>
    </row>
    <row r="296" spans="3:19" x14ac:dyDescent="0.3">
      <c r="C296" s="11"/>
      <c r="D296" s="32"/>
      <c r="E296" s="11"/>
      <c r="J296" s="15"/>
      <c r="K296" s="47"/>
      <c r="L296" s="76"/>
      <c r="M296" s="76"/>
      <c r="N296" s="78" t="str">
        <f>_xlfn.LET(
    _xlpm.itemBuscado, B296,
    _xlpm.areaBuscada, C296,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TEXT(COUNTIF($C$2:C296, _xlpm.areaBuscada), "0000"),
    _xlpm.codItem &amp; "-" &amp; _xlpm.codArea &amp; "-" &amp; _xlpm.secuencia
)</f>
        <v>-SinArea-0000</v>
      </c>
      <c r="O296" s="77"/>
      <c r="P296" s="32"/>
      <c r="Q296" s="32"/>
      <c r="R296" s="32"/>
      <c r="S296" s="32"/>
    </row>
    <row r="297" spans="3:19" x14ac:dyDescent="0.3">
      <c r="C297" s="11"/>
      <c r="D297" s="32"/>
      <c r="E297" s="11"/>
      <c r="J297" s="15"/>
      <c r="K297" s="47"/>
      <c r="L297" s="76"/>
      <c r="M297" s="76"/>
      <c r="N297" s="78" t="str">
        <f>_xlfn.LET(
    _xlpm.itemBuscado, B297,
    _xlpm.areaBuscada, C297,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TEXT(COUNTIF($C$2:C297, _xlpm.areaBuscada), "0000"),
    _xlpm.codItem &amp; "-" &amp; _xlpm.codArea &amp; "-" &amp; _xlpm.secuencia
)</f>
        <v>-SinArea-0000</v>
      </c>
      <c r="O297" s="77"/>
      <c r="P297" s="32"/>
      <c r="Q297" s="32"/>
      <c r="R297" s="32"/>
      <c r="S297" s="32"/>
    </row>
    <row r="298" spans="3:19" x14ac:dyDescent="0.3">
      <c r="C298" s="11"/>
      <c r="D298" s="32"/>
      <c r="E298" s="11"/>
      <c r="J298" s="15"/>
      <c r="K298" s="47"/>
      <c r="L298" s="76"/>
      <c r="M298" s="76"/>
      <c r="N298" s="78" t="str">
        <f>_xlfn.LET(
    _xlpm.itemBuscado, B298,
    _xlpm.areaBuscada, C298,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TEXT(COUNTIF($C$2:C298, _xlpm.areaBuscada), "0000"),
    _xlpm.codItem &amp; "-" &amp; _xlpm.codArea &amp; "-" &amp; _xlpm.secuencia
)</f>
        <v>-SinArea-0000</v>
      </c>
      <c r="O298" s="77"/>
      <c r="P298" s="32"/>
      <c r="Q298" s="32"/>
      <c r="R298" s="32"/>
      <c r="S298" s="32"/>
    </row>
    <row r="299" spans="3:19" x14ac:dyDescent="0.3">
      <c r="C299" s="11"/>
      <c r="D299" s="32"/>
      <c r="E299" s="11"/>
      <c r="J299" s="15"/>
      <c r="K299" s="47"/>
      <c r="L299" s="76"/>
      <c r="M299" s="76"/>
      <c r="N299" s="78" t="str">
        <f>_xlfn.LET(
    _xlpm.itemBuscado, B299,
    _xlpm.areaBuscada, C299,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TEXT(COUNTIF($C$2:C299, _xlpm.areaBuscada), "0000"),
    _xlpm.codItem &amp; "-" &amp; _xlpm.codArea &amp; "-" &amp; _xlpm.secuencia
)</f>
        <v>-SinArea-0000</v>
      </c>
      <c r="O299" s="77"/>
      <c r="P299" s="32"/>
      <c r="Q299" s="32"/>
      <c r="R299" s="32"/>
      <c r="S299" s="32"/>
    </row>
    <row r="300" spans="3:19" x14ac:dyDescent="0.3">
      <c r="C300" s="11"/>
      <c r="D300" s="32"/>
      <c r="E300" s="11"/>
      <c r="J300" s="15"/>
      <c r="K300" s="47"/>
      <c r="L300" s="76"/>
      <c r="M300" s="76"/>
      <c r="N300" s="78" t="str">
        <f>_xlfn.LET(
    _xlpm.itemBuscado, B300,
    _xlpm.areaBuscada, C300,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TEXT(COUNTIF($C$2:C300, _xlpm.areaBuscada), "0000"),
    _xlpm.codItem &amp; "-" &amp; _xlpm.codArea &amp; "-" &amp; _xlpm.secuencia
)</f>
        <v>-SinArea-0000</v>
      </c>
      <c r="O300" s="77"/>
      <c r="P300" s="32"/>
      <c r="Q300" s="32"/>
      <c r="R300" s="32"/>
      <c r="S300" s="32"/>
    </row>
    <row r="301" spans="3:19" x14ac:dyDescent="0.3">
      <c r="C301" s="11"/>
      <c r="D301" s="32"/>
      <c r="E301" s="11"/>
      <c r="J301" s="15"/>
      <c r="K301" s="47"/>
      <c r="L301" s="76"/>
      <c r="M301" s="76"/>
      <c r="N301" s="78" t="str">
        <f>_xlfn.LET(
    _xlpm.itemBuscado, B301,
    _xlpm.areaBuscada, C301,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TEXT(COUNTIF($C$2:C301, _xlpm.areaBuscada), "0000"),
    _xlpm.codItem &amp; "-" &amp; _xlpm.codArea &amp; "-" &amp; _xlpm.secuencia
)</f>
        <v>-SinArea-0000</v>
      </c>
      <c r="O301" s="77"/>
      <c r="P301" s="32"/>
      <c r="Q301" s="32"/>
      <c r="R301" s="32"/>
      <c r="S301" s="32"/>
    </row>
    <row r="302" spans="3:19" x14ac:dyDescent="0.3">
      <c r="C302" s="11"/>
      <c r="D302" s="32"/>
      <c r="E302" s="11"/>
      <c r="J302" s="15"/>
      <c r="K302" s="47"/>
      <c r="L302" s="76"/>
      <c r="M302" s="76"/>
      <c r="N302" s="78" t="str">
        <f>_xlfn.LET(
    _xlpm.itemBuscado, B302,
    _xlpm.areaBuscada, C302,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TEXT(COUNTIF($C$2:C302, _xlpm.areaBuscada), "0000"),
    _xlpm.codItem &amp; "-" &amp; _xlpm.codArea &amp; "-" &amp; _xlpm.secuencia
)</f>
        <v>-SinArea-0000</v>
      </c>
      <c r="O302" s="77"/>
      <c r="P302" s="32"/>
      <c r="Q302" s="32"/>
      <c r="R302" s="32"/>
      <c r="S302" s="32"/>
    </row>
    <row r="303" spans="3:19" x14ac:dyDescent="0.3">
      <c r="C303" s="11"/>
      <c r="D303" s="32"/>
      <c r="E303" s="11"/>
      <c r="J303" s="15"/>
      <c r="K303" s="47"/>
      <c r="L303" s="76"/>
      <c r="M303" s="76"/>
      <c r="N303" s="78" t="str">
        <f>_xlfn.LET(
    _xlpm.itemBuscado, B303,
    _xlpm.areaBuscada, C303,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TEXT(COUNTIF($C$2:C303, _xlpm.areaBuscada), "0000"),
    _xlpm.codItem &amp; "-" &amp; _xlpm.codArea &amp; "-" &amp; _xlpm.secuencia
)</f>
        <v>-SinArea-0000</v>
      </c>
      <c r="O303" s="77"/>
      <c r="P303" s="32"/>
      <c r="Q303" s="32"/>
      <c r="R303" s="32"/>
      <c r="S303" s="32"/>
    </row>
    <row r="304" spans="3:19" x14ac:dyDescent="0.3">
      <c r="C304" s="11"/>
      <c r="D304" s="32"/>
      <c r="E304" s="11"/>
      <c r="J304" s="15"/>
      <c r="K304" s="47"/>
      <c r="L304" s="76"/>
      <c r="M304" s="76"/>
      <c r="N304" s="78" t="str">
        <f>_xlfn.LET(
    _xlpm.itemBuscado, B304,
    _xlpm.areaBuscada, C304,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TEXT(COUNTIF($C$2:C304, _xlpm.areaBuscada), "0000"),
    _xlpm.codItem &amp; "-" &amp; _xlpm.codArea &amp; "-" &amp; _xlpm.secuencia
)</f>
        <v>-SinArea-0000</v>
      </c>
      <c r="O304" s="77"/>
      <c r="P304" s="32"/>
      <c r="Q304" s="32"/>
      <c r="R304" s="32"/>
      <c r="S304" s="32"/>
    </row>
    <row r="305" spans="3:19" x14ac:dyDescent="0.3">
      <c r="C305" s="11"/>
      <c r="D305" s="32"/>
      <c r="E305" s="11"/>
      <c r="J305" s="15"/>
      <c r="K305" s="47"/>
      <c r="L305" s="76"/>
      <c r="M305" s="76"/>
      <c r="N305" s="78" t="str">
        <f>_xlfn.LET(
    _xlpm.itemBuscado, B305,
    _xlpm.areaBuscada, C305,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TEXT(COUNTIF($C$2:C305, _xlpm.areaBuscada), "0000"),
    _xlpm.codItem &amp; "-" &amp; _xlpm.codArea &amp; "-" &amp; _xlpm.secuencia
)</f>
        <v>-SinArea-0000</v>
      </c>
      <c r="O305" s="77"/>
      <c r="P305" s="32"/>
      <c r="Q305" s="32"/>
      <c r="R305" s="32"/>
      <c r="S305" s="32"/>
    </row>
    <row r="306" spans="3:19" x14ac:dyDescent="0.3">
      <c r="C306" s="11"/>
      <c r="D306" s="32"/>
      <c r="E306" s="11"/>
      <c r="J306" s="15"/>
      <c r="K306" s="47"/>
      <c r="L306" s="76"/>
      <c r="M306" s="76"/>
      <c r="N306" s="78" t="str">
        <f>_xlfn.LET(
    _xlpm.itemBuscado, B306,
    _xlpm.areaBuscada, C306,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TEXT(COUNTIF($C$2:C306, _xlpm.areaBuscada), "0000"),
    _xlpm.codItem &amp; "-" &amp; _xlpm.codArea &amp; "-" &amp; _xlpm.secuencia
)</f>
        <v>-SinArea-0000</v>
      </c>
      <c r="O306" s="77"/>
      <c r="P306" s="32"/>
      <c r="Q306" s="32"/>
      <c r="R306" s="32"/>
      <c r="S306" s="32"/>
    </row>
    <row r="307" spans="3:19" x14ac:dyDescent="0.3">
      <c r="C307" s="11"/>
      <c r="D307" s="32"/>
      <c r="E307" s="11"/>
      <c r="J307" s="15"/>
      <c r="K307" s="47"/>
      <c r="L307" s="76"/>
      <c r="M307" s="76"/>
      <c r="N307" s="78" t="str">
        <f>_xlfn.LET(
    _xlpm.itemBuscado, B307,
    _xlpm.areaBuscada, C307,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TEXT(COUNTIF($C$2:C307, _xlpm.areaBuscada), "0000"),
    _xlpm.codItem &amp; "-" &amp; _xlpm.codArea &amp; "-" &amp; _xlpm.secuencia
)</f>
        <v>-SinArea-0000</v>
      </c>
      <c r="O307" s="77"/>
      <c r="P307" s="32"/>
      <c r="Q307" s="32"/>
      <c r="R307" s="32"/>
      <c r="S307" s="32"/>
    </row>
    <row r="308" spans="3:19" x14ac:dyDescent="0.3">
      <c r="C308" s="11"/>
      <c r="D308" s="32"/>
      <c r="E308" s="11"/>
      <c r="J308" s="15"/>
      <c r="K308" s="47"/>
      <c r="L308" s="76"/>
      <c r="M308" s="76"/>
      <c r="N308" s="78" t="str">
        <f>_xlfn.LET(
    _xlpm.itemBuscado, B308,
    _xlpm.areaBuscada, C308,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TEXT(COUNTIF($C$2:C308, _xlpm.areaBuscada), "0000"),
    _xlpm.codItem &amp; "-" &amp; _xlpm.codArea &amp; "-" &amp; _xlpm.secuencia
)</f>
        <v>-SinArea-0000</v>
      </c>
      <c r="O308" s="77"/>
      <c r="P308" s="32"/>
      <c r="Q308" s="32"/>
      <c r="R308" s="32"/>
      <c r="S308" s="32"/>
    </row>
    <row r="309" spans="3:19" x14ac:dyDescent="0.3">
      <c r="C309" s="11"/>
      <c r="D309" s="32"/>
      <c r="E309" s="11"/>
      <c r="J309" s="15"/>
      <c r="K309" s="47"/>
      <c r="L309" s="76"/>
      <c r="M309" s="76"/>
      <c r="N309" s="78" t="str">
        <f>_xlfn.LET(
    _xlpm.itemBuscado, B309,
    _xlpm.areaBuscada, C309,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TEXT(COUNTIF($C$2:C309, _xlpm.areaBuscada), "0000"),
    _xlpm.codItem &amp; "-" &amp; _xlpm.codArea &amp; "-" &amp; _xlpm.secuencia
)</f>
        <v>-SinArea-0000</v>
      </c>
      <c r="O309" s="77"/>
      <c r="P309" s="32"/>
      <c r="Q309" s="32"/>
      <c r="R309" s="32"/>
      <c r="S309" s="32"/>
    </row>
    <row r="310" spans="3:19" x14ac:dyDescent="0.3">
      <c r="C310" s="11"/>
      <c r="D310" s="32"/>
      <c r="E310" s="11"/>
      <c r="J310" s="15"/>
      <c r="K310" s="47"/>
      <c r="L310" s="76"/>
      <c r="M310" s="76"/>
      <c r="N310" s="78" t="str">
        <f>_xlfn.LET(
    _xlpm.itemBuscado, B310,
    _xlpm.areaBuscada, C310,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TEXT(COUNTIF($C$2:C310, _xlpm.areaBuscada), "0000"),
    _xlpm.codItem &amp; "-" &amp; _xlpm.codArea &amp; "-" &amp; _xlpm.secuencia
)</f>
        <v>-SinArea-0000</v>
      </c>
      <c r="O310" s="77"/>
      <c r="P310" s="32"/>
      <c r="Q310" s="32"/>
      <c r="R310" s="32"/>
      <c r="S310" s="32"/>
    </row>
    <row r="311" spans="3:19" x14ac:dyDescent="0.3">
      <c r="C311" s="11"/>
      <c r="D311" s="32"/>
      <c r="E311" s="11"/>
      <c r="J311" s="15"/>
      <c r="K311" s="47"/>
      <c r="L311" s="76"/>
      <c r="M311" s="76"/>
      <c r="N311" s="78" t="str">
        <f>_xlfn.LET(
    _xlpm.itemBuscado, B311,
    _xlpm.areaBuscada, C311,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TEXT(COUNTIF($C$2:C311, _xlpm.areaBuscada), "0000"),
    _xlpm.codItem &amp; "-" &amp; _xlpm.codArea &amp; "-" &amp; _xlpm.secuencia
)</f>
        <v>-SinArea-0000</v>
      </c>
      <c r="O311" s="77"/>
      <c r="P311" s="32"/>
      <c r="Q311" s="32"/>
      <c r="R311" s="32"/>
      <c r="S311" s="32"/>
    </row>
    <row r="312" spans="3:19" x14ac:dyDescent="0.3">
      <c r="C312" s="11"/>
      <c r="D312" s="32"/>
      <c r="E312" s="11"/>
      <c r="J312" s="15"/>
      <c r="K312" s="47"/>
      <c r="L312" s="76"/>
      <c r="M312" s="76"/>
      <c r="N312" s="78" t="str">
        <f>_xlfn.LET(
    _xlpm.itemBuscado, B312,
    _xlpm.areaBuscada, C312,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TEXT(COUNTIF($C$2:C312, _xlpm.areaBuscada), "0000"),
    _xlpm.codItem &amp; "-" &amp; _xlpm.codArea &amp; "-" &amp; _xlpm.secuencia
)</f>
        <v>-SinArea-0000</v>
      </c>
      <c r="O312" s="77"/>
      <c r="P312" s="32"/>
      <c r="Q312" s="32"/>
      <c r="R312" s="32"/>
      <c r="S312" s="32"/>
    </row>
    <row r="313" spans="3:19" x14ac:dyDescent="0.3">
      <c r="C313" s="11"/>
      <c r="D313" s="32"/>
      <c r="E313" s="11"/>
      <c r="J313" s="15"/>
      <c r="K313" s="47"/>
      <c r="L313" s="76"/>
      <c r="M313" s="76"/>
      <c r="N313" s="78" t="str">
        <f>_xlfn.LET(
    _xlpm.itemBuscado, B313,
    _xlpm.areaBuscada, C313,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TEXT(COUNTIF($C$2:C313, _xlpm.areaBuscada), "0000"),
    _xlpm.codItem &amp; "-" &amp; _xlpm.codArea &amp; "-" &amp; _xlpm.secuencia
)</f>
        <v>-SinArea-0000</v>
      </c>
      <c r="O313" s="77"/>
      <c r="P313" s="32"/>
      <c r="Q313" s="32"/>
      <c r="R313" s="32"/>
      <c r="S313" s="32"/>
    </row>
    <row r="314" spans="3:19" x14ac:dyDescent="0.3">
      <c r="C314" s="11"/>
      <c r="D314" s="32"/>
      <c r="E314" s="11"/>
      <c r="J314" s="15"/>
      <c r="K314" s="47"/>
      <c r="L314" s="76"/>
      <c r="M314" s="76"/>
      <c r="N314" s="78" t="str">
        <f>_xlfn.LET(
    _xlpm.itemBuscado, B314,
    _xlpm.areaBuscada, C314,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TEXT(COUNTIF($C$2:C314, _xlpm.areaBuscada), "0000"),
    _xlpm.codItem &amp; "-" &amp; _xlpm.codArea &amp; "-" &amp; _xlpm.secuencia
)</f>
        <v>-SinArea-0000</v>
      </c>
      <c r="O314" s="77"/>
      <c r="P314" s="32"/>
      <c r="Q314" s="32"/>
      <c r="R314" s="32"/>
      <c r="S314" s="32"/>
    </row>
    <row r="315" spans="3:19" x14ac:dyDescent="0.3">
      <c r="C315" s="11"/>
      <c r="D315" s="32"/>
      <c r="E315" s="11"/>
      <c r="J315" s="15"/>
      <c r="K315" s="47"/>
      <c r="L315" s="76"/>
      <c r="M315" s="76"/>
      <c r="N315" s="78" t="str">
        <f>_xlfn.LET(
    _xlpm.itemBuscado, B315,
    _xlpm.areaBuscada, C315,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TEXT(COUNTIF($C$2:C315, _xlpm.areaBuscada), "0000"),
    _xlpm.codItem &amp; "-" &amp; _xlpm.codArea &amp; "-" &amp; _xlpm.secuencia
)</f>
        <v>-SinArea-0000</v>
      </c>
      <c r="O315" s="77"/>
      <c r="P315" s="32"/>
      <c r="Q315" s="32"/>
      <c r="R315" s="32"/>
      <c r="S315" s="32"/>
    </row>
    <row r="316" spans="3:19" x14ac:dyDescent="0.3">
      <c r="C316" s="11"/>
      <c r="D316" s="32"/>
      <c r="E316" s="11"/>
      <c r="J316" s="15"/>
      <c r="K316" s="47"/>
      <c r="L316" s="76"/>
      <c r="M316" s="76"/>
      <c r="N316" s="78" t="str">
        <f>_xlfn.LET(
    _xlpm.itemBuscado, B316,
    _xlpm.areaBuscada, C316,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TEXT(COUNTIF($C$2:C316, _xlpm.areaBuscada), "0000"),
    _xlpm.codItem &amp; "-" &amp; _xlpm.codArea &amp; "-" &amp; _xlpm.secuencia
)</f>
        <v>-SinArea-0000</v>
      </c>
      <c r="O316" s="77"/>
      <c r="P316" s="32"/>
      <c r="Q316" s="32"/>
      <c r="R316" s="32"/>
      <c r="S316" s="32"/>
    </row>
    <row r="317" spans="3:19" x14ac:dyDescent="0.3">
      <c r="C317" s="11"/>
      <c r="D317" s="32"/>
      <c r="E317" s="11"/>
      <c r="J317" s="15"/>
      <c r="K317" s="47"/>
      <c r="L317" s="76"/>
      <c r="M317" s="76"/>
      <c r="N317" s="78" t="str">
        <f>_xlfn.LET(
    _xlpm.itemBuscado, B317,
    _xlpm.areaBuscada, C317,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TEXT(COUNTIF($C$2:C317, _xlpm.areaBuscada), "0000"),
    _xlpm.codItem &amp; "-" &amp; _xlpm.codArea &amp; "-" &amp; _xlpm.secuencia
)</f>
        <v>-SinArea-0000</v>
      </c>
      <c r="O317" s="77"/>
      <c r="P317" s="32"/>
      <c r="Q317" s="32"/>
      <c r="R317" s="32"/>
      <c r="S317" s="32"/>
    </row>
    <row r="318" spans="3:19" x14ac:dyDescent="0.3">
      <c r="C318" s="11"/>
      <c r="D318" s="32"/>
      <c r="E318" s="11"/>
      <c r="J318" s="15"/>
      <c r="K318" s="47"/>
      <c r="L318" s="76"/>
      <c r="M318" s="76"/>
      <c r="N318" s="78" t="str">
        <f>_xlfn.LET(
    _xlpm.itemBuscado, B318,
    _xlpm.areaBuscada, C318,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TEXT(COUNTIF($C$2:C318, _xlpm.areaBuscada), "0000"),
    _xlpm.codItem &amp; "-" &amp; _xlpm.codArea &amp; "-" &amp; _xlpm.secuencia
)</f>
        <v>-SinArea-0000</v>
      </c>
      <c r="O318" s="77"/>
      <c r="P318" s="32"/>
      <c r="Q318" s="32"/>
      <c r="R318" s="32"/>
      <c r="S318" s="32"/>
    </row>
    <row r="319" spans="3:19" x14ac:dyDescent="0.3">
      <c r="C319" s="11"/>
      <c r="D319" s="32"/>
      <c r="E319" s="11"/>
      <c r="J319" s="15"/>
      <c r="K319" s="47"/>
      <c r="L319" s="76"/>
      <c r="M319" s="76"/>
      <c r="N319" s="78" t="str">
        <f>_xlfn.LET(
    _xlpm.itemBuscado, B319,
    _xlpm.areaBuscada, C319,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TEXT(COUNTIF($C$2:C319, _xlpm.areaBuscada), "0000"),
    _xlpm.codItem &amp; "-" &amp; _xlpm.codArea &amp; "-" &amp; _xlpm.secuencia
)</f>
        <v>-SinArea-0000</v>
      </c>
      <c r="O319" s="77"/>
      <c r="P319" s="32"/>
      <c r="Q319" s="32"/>
      <c r="R319" s="32"/>
      <c r="S319" s="32"/>
    </row>
    <row r="320" spans="3:19" x14ac:dyDescent="0.3">
      <c r="C320" s="11"/>
      <c r="D320" s="32"/>
      <c r="E320" s="11"/>
      <c r="J320" s="15"/>
      <c r="K320" s="47"/>
      <c r="L320" s="76"/>
      <c r="M320" s="76"/>
      <c r="N320" s="78" t="str">
        <f>_xlfn.LET(
    _xlpm.itemBuscado, B320,
    _xlpm.areaBuscada, C320,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TEXT(COUNTIF($C$2:C320, _xlpm.areaBuscada), "0000"),
    _xlpm.codItem &amp; "-" &amp; _xlpm.codArea &amp; "-" &amp; _xlpm.secuencia
)</f>
        <v>-SinArea-0000</v>
      </c>
      <c r="O320" s="77"/>
      <c r="P320" s="32"/>
      <c r="Q320" s="32"/>
      <c r="R320" s="32"/>
      <c r="S320" s="32"/>
    </row>
    <row r="321" spans="3:19" x14ac:dyDescent="0.3">
      <c r="C321" s="11"/>
      <c r="D321" s="32"/>
      <c r="E321" s="11"/>
      <c r="J321" s="15"/>
      <c r="K321" s="47"/>
      <c r="L321" s="76"/>
      <c r="M321" s="76"/>
      <c r="N321" s="78" t="str">
        <f>_xlfn.LET(
    _xlpm.itemBuscado, B321,
    _xlpm.areaBuscada, C321,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TEXT(COUNTIF($C$2:C321, _xlpm.areaBuscada), "0000"),
    _xlpm.codItem &amp; "-" &amp; _xlpm.codArea &amp; "-" &amp; _xlpm.secuencia
)</f>
        <v>-SinArea-0000</v>
      </c>
      <c r="O321" s="77"/>
      <c r="P321" s="32"/>
      <c r="Q321" s="32"/>
      <c r="R321" s="32"/>
      <c r="S321" s="32"/>
    </row>
    <row r="322" spans="3:19" x14ac:dyDescent="0.3">
      <c r="C322" s="11"/>
      <c r="D322" s="32"/>
      <c r="E322" s="11"/>
      <c r="J322" s="15"/>
      <c r="K322" s="47"/>
      <c r="L322" s="76"/>
      <c r="M322" s="76"/>
      <c r="N322" s="78" t="str">
        <f>_xlfn.LET(
    _xlpm.itemBuscado, B322,
    _xlpm.areaBuscada, C322,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TEXT(COUNTIF($C$2:C322, _xlpm.areaBuscada), "0000"),
    _xlpm.codItem &amp; "-" &amp; _xlpm.codArea &amp; "-" &amp; _xlpm.secuencia
)</f>
        <v>-SinArea-0000</v>
      </c>
      <c r="O322" s="77"/>
      <c r="P322" s="32"/>
      <c r="Q322" s="32"/>
      <c r="R322" s="32"/>
      <c r="S322" s="32"/>
    </row>
    <row r="323" spans="3:19" x14ac:dyDescent="0.3">
      <c r="C323" s="11"/>
      <c r="D323" s="32"/>
      <c r="E323" s="11"/>
      <c r="J323" s="15"/>
      <c r="K323" s="47"/>
      <c r="L323" s="76"/>
      <c r="M323" s="76"/>
      <c r="N323" s="78" t="str">
        <f>_xlfn.LET(
    _xlpm.itemBuscado, B323,
    _xlpm.areaBuscada, C323,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TEXT(COUNTIF($C$2:C323, _xlpm.areaBuscada), "0000"),
    _xlpm.codItem &amp; "-" &amp; _xlpm.codArea &amp; "-" &amp; _xlpm.secuencia
)</f>
        <v>-SinArea-0000</v>
      </c>
      <c r="O323" s="77"/>
      <c r="P323" s="32"/>
      <c r="Q323" s="32"/>
      <c r="R323" s="32"/>
      <c r="S323" s="32"/>
    </row>
    <row r="324" spans="3:19" x14ac:dyDescent="0.3">
      <c r="C324" s="11"/>
      <c r="D324" s="32"/>
      <c r="E324" s="11"/>
      <c r="J324" s="15"/>
      <c r="K324" s="47"/>
      <c r="L324" s="76"/>
      <c r="M324" s="76"/>
      <c r="N324" s="78" t="str">
        <f>_xlfn.LET(
    _xlpm.itemBuscado, B324,
    _xlpm.areaBuscada, C324,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TEXT(COUNTIF($C$2:C324, _xlpm.areaBuscada), "0000"),
    _xlpm.codItem &amp; "-" &amp; _xlpm.codArea &amp; "-" &amp; _xlpm.secuencia
)</f>
        <v>-SinArea-0000</v>
      </c>
      <c r="O324" s="77"/>
      <c r="P324" s="32"/>
      <c r="Q324" s="32"/>
      <c r="R324" s="32"/>
      <c r="S324" s="32"/>
    </row>
    <row r="325" spans="3:19" x14ac:dyDescent="0.3">
      <c r="C325" s="11"/>
      <c r="D325" s="32"/>
      <c r="E325" s="11"/>
      <c r="J325" s="15"/>
      <c r="K325" s="47"/>
      <c r="L325" s="76"/>
      <c r="M325" s="76"/>
      <c r="N325" s="78" t="str">
        <f>_xlfn.LET(
    _xlpm.itemBuscado, B325,
    _xlpm.areaBuscada, C325,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TEXT(COUNTIF($C$2:C325, _xlpm.areaBuscada), "0000"),
    _xlpm.codItem &amp; "-" &amp; _xlpm.codArea &amp; "-" &amp; _xlpm.secuencia
)</f>
        <v>-SinArea-0000</v>
      </c>
      <c r="O325" s="77"/>
      <c r="P325" s="32"/>
      <c r="Q325" s="32"/>
      <c r="R325" s="32"/>
      <c r="S325" s="32"/>
    </row>
    <row r="326" spans="3:19" x14ac:dyDescent="0.3">
      <c r="C326" s="11"/>
      <c r="D326" s="32"/>
      <c r="E326" s="11"/>
      <c r="J326" s="15"/>
      <c r="K326" s="47"/>
      <c r="L326" s="76"/>
      <c r="M326" s="76"/>
      <c r="N326" s="78" t="str">
        <f>_xlfn.LET(
    _xlpm.itemBuscado, B326,
    _xlpm.areaBuscada, C326,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TEXT(COUNTIF($C$2:C326, _xlpm.areaBuscada), "0000"),
    _xlpm.codItem &amp; "-" &amp; _xlpm.codArea &amp; "-" &amp; _xlpm.secuencia
)</f>
        <v>-SinArea-0000</v>
      </c>
      <c r="O326" s="77"/>
      <c r="P326" s="32"/>
      <c r="Q326" s="32"/>
      <c r="R326" s="32"/>
      <c r="S326" s="32"/>
    </row>
    <row r="327" spans="3:19" x14ac:dyDescent="0.3">
      <c r="C327" s="11"/>
      <c r="D327" s="32"/>
      <c r="E327" s="11"/>
      <c r="J327" s="15"/>
      <c r="K327" s="47"/>
      <c r="L327" s="76"/>
      <c r="M327" s="76"/>
      <c r="N327" s="78" t="str">
        <f>_xlfn.LET(
    _xlpm.itemBuscado, B327,
    _xlpm.areaBuscada, C327,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TEXT(COUNTIF($C$2:C327, _xlpm.areaBuscada), "0000"),
    _xlpm.codItem &amp; "-" &amp; _xlpm.codArea &amp; "-" &amp; _xlpm.secuencia
)</f>
        <v>-SinArea-0000</v>
      </c>
      <c r="O327" s="77"/>
      <c r="P327" s="32"/>
      <c r="Q327" s="32"/>
      <c r="R327" s="32"/>
      <c r="S327" s="32"/>
    </row>
    <row r="328" spans="3:19" x14ac:dyDescent="0.3">
      <c r="C328" s="11"/>
      <c r="D328" s="32"/>
      <c r="E328" s="11"/>
      <c r="J328" s="15"/>
      <c r="K328" s="47"/>
      <c r="L328" s="76"/>
      <c r="M328" s="76"/>
      <c r="N328" s="78" t="str">
        <f>_xlfn.LET(
    _xlpm.itemBuscado, B328,
    _xlpm.areaBuscada, C328,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TEXT(COUNTIF($C$2:C328, _xlpm.areaBuscada), "0000"),
    _xlpm.codItem &amp; "-" &amp; _xlpm.codArea &amp; "-" &amp; _xlpm.secuencia
)</f>
        <v>-SinArea-0000</v>
      </c>
      <c r="O328" s="77"/>
      <c r="P328" s="32"/>
      <c r="Q328" s="32"/>
      <c r="R328" s="32"/>
      <c r="S328" s="32"/>
    </row>
    <row r="329" spans="3:19" x14ac:dyDescent="0.3">
      <c r="C329" s="11"/>
      <c r="D329" s="32"/>
      <c r="E329" s="11"/>
      <c r="J329" s="15"/>
      <c r="K329" s="47"/>
      <c r="L329" s="76"/>
      <c r="M329" s="76"/>
      <c r="N329" s="78" t="str">
        <f>_xlfn.LET(
    _xlpm.itemBuscado, B329,
    _xlpm.areaBuscada, C329,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TEXT(COUNTIF($C$2:C329, _xlpm.areaBuscada), "0000"),
    _xlpm.codItem &amp; "-" &amp; _xlpm.codArea &amp; "-" &amp; _xlpm.secuencia
)</f>
        <v>-SinArea-0000</v>
      </c>
      <c r="O329" s="77"/>
      <c r="P329" s="32"/>
      <c r="Q329" s="32"/>
      <c r="R329" s="32"/>
      <c r="S329" s="32"/>
    </row>
    <row r="330" spans="3:19" x14ac:dyDescent="0.3">
      <c r="C330" s="11"/>
      <c r="D330" s="32"/>
      <c r="E330" s="11"/>
      <c r="J330" s="15"/>
      <c r="K330" s="47"/>
      <c r="L330" s="76"/>
      <c r="M330" s="76"/>
      <c r="N330" s="78" t="str">
        <f>_xlfn.LET(
    _xlpm.itemBuscado, B330,
    _xlpm.areaBuscada, C330,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TEXT(COUNTIF($C$2:C330, _xlpm.areaBuscada), "0000"),
    _xlpm.codItem &amp; "-" &amp; _xlpm.codArea &amp; "-" &amp; _xlpm.secuencia
)</f>
        <v>-SinArea-0000</v>
      </c>
      <c r="O330" s="77"/>
      <c r="P330" s="32"/>
      <c r="Q330" s="32"/>
      <c r="R330" s="32"/>
      <c r="S330" s="32"/>
    </row>
    <row r="331" spans="3:19" x14ac:dyDescent="0.3">
      <c r="C331" s="11"/>
      <c r="D331" s="32"/>
      <c r="E331" s="11"/>
      <c r="J331" s="15"/>
      <c r="K331" s="47"/>
      <c r="L331" s="76"/>
      <c r="M331" s="76"/>
      <c r="N331" s="78" t="str">
        <f>_xlfn.LET(
    _xlpm.itemBuscado, B331,
    _xlpm.areaBuscada, C331,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TEXT(COUNTIF($C$2:C331, _xlpm.areaBuscada), "0000"),
    _xlpm.codItem &amp; "-" &amp; _xlpm.codArea &amp; "-" &amp; _xlpm.secuencia
)</f>
        <v>-SinArea-0000</v>
      </c>
      <c r="O331" s="77"/>
      <c r="P331" s="32"/>
      <c r="Q331" s="32"/>
      <c r="R331" s="32"/>
      <c r="S331" s="32"/>
    </row>
    <row r="332" spans="3:19" x14ac:dyDescent="0.3">
      <c r="C332" s="11"/>
      <c r="D332" s="32"/>
      <c r="E332" s="11"/>
      <c r="J332" s="15"/>
      <c r="K332" s="47"/>
      <c r="L332" s="76"/>
      <c r="M332" s="76"/>
      <c r="N332" s="78" t="str">
        <f>_xlfn.LET(
    _xlpm.itemBuscado, B332,
    _xlpm.areaBuscada, C332,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TEXT(COUNTIF($C$2:C332, _xlpm.areaBuscada), "0000"),
    _xlpm.codItem &amp; "-" &amp; _xlpm.codArea &amp; "-" &amp; _xlpm.secuencia
)</f>
        <v>-SinArea-0000</v>
      </c>
      <c r="O332" s="77"/>
      <c r="P332" s="32"/>
      <c r="Q332" s="32"/>
      <c r="R332" s="32"/>
      <c r="S332" s="32"/>
    </row>
    <row r="333" spans="3:19" x14ac:dyDescent="0.3">
      <c r="C333" s="11"/>
      <c r="D333" s="32"/>
      <c r="E333" s="11"/>
      <c r="J333" s="15"/>
      <c r="K333" s="47"/>
      <c r="L333" s="76"/>
      <c r="M333" s="76"/>
      <c r="N333" s="78" t="str">
        <f>_xlfn.LET(
    _xlpm.itemBuscado, B333,
    _xlpm.areaBuscada, C333,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TEXT(COUNTIF($C$2:C333, _xlpm.areaBuscada), "0000"),
    _xlpm.codItem &amp; "-" &amp; _xlpm.codArea &amp; "-" &amp; _xlpm.secuencia
)</f>
        <v>-SinArea-0000</v>
      </c>
      <c r="O333" s="77"/>
      <c r="P333" s="32"/>
      <c r="Q333" s="32"/>
      <c r="R333" s="32"/>
      <c r="S333" s="32"/>
    </row>
    <row r="334" spans="3:19" x14ac:dyDescent="0.3">
      <c r="C334" s="11"/>
      <c r="D334" s="32"/>
      <c r="E334" s="11"/>
      <c r="J334" s="15"/>
      <c r="K334" s="47"/>
      <c r="L334" s="76"/>
      <c r="M334" s="76"/>
      <c r="N334" s="78" t="str">
        <f>_xlfn.LET(
    _xlpm.itemBuscado, B334,
    _xlpm.areaBuscada, C334,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TEXT(COUNTIF($C$2:C334, _xlpm.areaBuscada), "0000"),
    _xlpm.codItem &amp; "-" &amp; _xlpm.codArea &amp; "-" &amp; _xlpm.secuencia
)</f>
        <v>-SinArea-0000</v>
      </c>
      <c r="O334" s="77"/>
      <c r="P334" s="32"/>
      <c r="Q334" s="32"/>
      <c r="R334" s="32"/>
      <c r="S334" s="32"/>
    </row>
    <row r="335" spans="3:19" x14ac:dyDescent="0.3">
      <c r="C335" s="11"/>
      <c r="D335" s="32"/>
      <c r="E335" s="11"/>
      <c r="J335" s="15"/>
      <c r="K335" s="47"/>
      <c r="L335" s="76"/>
      <c r="M335" s="76"/>
      <c r="N335" s="78" t="str">
        <f>_xlfn.LET(
    _xlpm.itemBuscado, B335,
    _xlpm.areaBuscada, C335,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TEXT(COUNTIF($C$2:C335, _xlpm.areaBuscada), "0000"),
    _xlpm.codItem &amp; "-" &amp; _xlpm.codArea &amp; "-" &amp; _xlpm.secuencia
)</f>
        <v>-SinArea-0000</v>
      </c>
      <c r="O335" s="77"/>
      <c r="P335" s="32"/>
      <c r="Q335" s="32"/>
      <c r="R335" s="32"/>
      <c r="S335" s="32"/>
    </row>
    <row r="336" spans="3:19" x14ac:dyDescent="0.3">
      <c r="C336" s="11"/>
      <c r="D336" s="32"/>
      <c r="E336" s="11"/>
      <c r="J336" s="15"/>
      <c r="K336" s="47"/>
      <c r="L336" s="76"/>
      <c r="M336" s="76"/>
      <c r="N336" s="78" t="str">
        <f>_xlfn.LET(
    _xlpm.itemBuscado, B336,
    _xlpm.areaBuscada, C336,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TEXT(COUNTIF($C$2:C336, _xlpm.areaBuscada), "0000"),
    _xlpm.codItem &amp; "-" &amp; _xlpm.codArea &amp; "-" &amp; _xlpm.secuencia
)</f>
        <v>-SinArea-0000</v>
      </c>
      <c r="O336" s="77"/>
      <c r="P336" s="32"/>
      <c r="Q336" s="32"/>
      <c r="R336" s="32"/>
      <c r="S336" s="32"/>
    </row>
    <row r="337" spans="3:19" x14ac:dyDescent="0.3">
      <c r="C337" s="11"/>
      <c r="D337" s="32"/>
      <c r="E337" s="11"/>
      <c r="J337" s="15"/>
      <c r="K337" s="47"/>
      <c r="L337" s="76"/>
      <c r="M337" s="76"/>
      <c r="N337" s="78" t="str">
        <f>_xlfn.LET(
    _xlpm.itemBuscado, B337,
    _xlpm.areaBuscada, C337,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TEXT(COUNTIF($C$2:C337, _xlpm.areaBuscada), "0000"),
    _xlpm.codItem &amp; "-" &amp; _xlpm.codArea &amp; "-" &amp; _xlpm.secuencia
)</f>
        <v>-SinArea-0000</v>
      </c>
      <c r="O337" s="77"/>
      <c r="P337" s="32"/>
      <c r="Q337" s="32"/>
      <c r="R337" s="32"/>
      <c r="S337" s="32"/>
    </row>
    <row r="338" spans="3:19" x14ac:dyDescent="0.3">
      <c r="C338" s="11"/>
      <c r="D338" s="32"/>
      <c r="E338" s="11"/>
      <c r="J338" s="15"/>
      <c r="K338" s="47"/>
      <c r="L338" s="76"/>
      <c r="M338" s="76"/>
      <c r="N338" s="78" t="str">
        <f>_xlfn.LET(
    _xlpm.itemBuscado, B338,
    _xlpm.areaBuscada, C338,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TEXT(COUNTIF($C$2:C338, _xlpm.areaBuscada), "0000"),
    _xlpm.codItem &amp; "-" &amp; _xlpm.codArea &amp; "-" &amp; _xlpm.secuencia
)</f>
        <v>-SinArea-0000</v>
      </c>
      <c r="O338" s="77"/>
      <c r="P338" s="32"/>
      <c r="Q338" s="32"/>
      <c r="R338" s="32"/>
      <c r="S338" s="32"/>
    </row>
    <row r="339" spans="3:19" x14ac:dyDescent="0.3">
      <c r="C339" s="11"/>
      <c r="D339" s="32"/>
      <c r="E339" s="11"/>
      <c r="J339" s="15"/>
      <c r="K339" s="47"/>
      <c r="L339" s="76"/>
      <c r="M339" s="76"/>
      <c r="N339" s="78" t="str">
        <f>_xlfn.LET(
    _xlpm.itemBuscado, B339,
    _xlpm.areaBuscada, C339,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TEXT(COUNTIF($C$2:C339, _xlpm.areaBuscada), "0000"),
    _xlpm.codItem &amp; "-" &amp; _xlpm.codArea &amp; "-" &amp; _xlpm.secuencia
)</f>
        <v>-SinArea-0000</v>
      </c>
      <c r="O339" s="77"/>
      <c r="P339" s="32"/>
      <c r="Q339" s="32"/>
      <c r="R339" s="32"/>
      <c r="S339" s="32"/>
    </row>
    <row r="340" spans="3:19" x14ac:dyDescent="0.3">
      <c r="C340" s="11"/>
      <c r="D340" s="32"/>
      <c r="E340" s="11"/>
      <c r="J340" s="15"/>
      <c r="K340" s="47"/>
      <c r="L340" s="76"/>
      <c r="M340" s="76"/>
      <c r="N340" s="78" t="str">
        <f>_xlfn.LET(
    _xlpm.itemBuscado, B340,
    _xlpm.areaBuscada, C340,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TEXT(COUNTIF($C$2:C340, _xlpm.areaBuscada), "0000"),
    _xlpm.codItem &amp; "-" &amp; _xlpm.codArea &amp; "-" &amp; _xlpm.secuencia
)</f>
        <v>-SinArea-0000</v>
      </c>
      <c r="O340" s="77"/>
      <c r="P340" s="32"/>
      <c r="Q340" s="32"/>
      <c r="R340" s="32"/>
      <c r="S340" s="32"/>
    </row>
    <row r="341" spans="3:19" x14ac:dyDescent="0.3">
      <c r="C341" s="11"/>
      <c r="D341" s="32"/>
      <c r="E341" s="11"/>
      <c r="J341" s="15"/>
      <c r="K341" s="47"/>
      <c r="L341" s="76"/>
      <c r="M341" s="76"/>
      <c r="N341" s="78" t="str">
        <f>_xlfn.LET(
    _xlpm.itemBuscado, B341,
    _xlpm.areaBuscada, C341,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TEXT(COUNTIF($C$2:C341, _xlpm.areaBuscada), "0000"),
    _xlpm.codItem &amp; "-" &amp; _xlpm.codArea &amp; "-" &amp; _xlpm.secuencia
)</f>
        <v>-SinArea-0000</v>
      </c>
      <c r="O341" s="77"/>
      <c r="P341" s="32"/>
      <c r="Q341" s="32"/>
      <c r="R341" s="32"/>
      <c r="S341" s="32"/>
    </row>
    <row r="342" spans="3:19" x14ac:dyDescent="0.3">
      <c r="C342" s="11"/>
      <c r="D342" s="32"/>
      <c r="E342" s="11"/>
      <c r="J342" s="15"/>
      <c r="K342" s="47"/>
      <c r="L342" s="76"/>
      <c r="M342" s="76"/>
      <c r="N342" s="78" t="str">
        <f>_xlfn.LET(
    _xlpm.itemBuscado, B342,
    _xlpm.areaBuscada, C342,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TEXT(COUNTIF($C$2:C342, _xlpm.areaBuscada), "0000"),
    _xlpm.codItem &amp; "-" &amp; _xlpm.codArea &amp; "-" &amp; _xlpm.secuencia
)</f>
        <v>-SinArea-0000</v>
      </c>
      <c r="O342" s="77"/>
      <c r="P342" s="32"/>
      <c r="Q342" s="32"/>
      <c r="R342" s="32"/>
      <c r="S342" s="32"/>
    </row>
    <row r="343" spans="3:19" x14ac:dyDescent="0.3">
      <c r="C343" s="11"/>
      <c r="D343" s="32"/>
      <c r="E343" s="11"/>
      <c r="J343" s="15"/>
      <c r="K343" s="47"/>
      <c r="L343" s="76"/>
      <c r="M343" s="76"/>
      <c r="N343" s="78" t="str">
        <f>_xlfn.LET(
    _xlpm.itemBuscado, B343,
    _xlpm.areaBuscada, C343,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TEXT(COUNTIF($C$2:C343, _xlpm.areaBuscada), "0000"),
    _xlpm.codItem &amp; "-" &amp; _xlpm.codArea &amp; "-" &amp; _xlpm.secuencia
)</f>
        <v>-SinArea-0000</v>
      </c>
      <c r="O343" s="77"/>
      <c r="P343" s="32"/>
      <c r="Q343" s="32"/>
      <c r="R343" s="32"/>
      <c r="S343" s="32"/>
    </row>
    <row r="344" spans="3:19" x14ac:dyDescent="0.3">
      <c r="C344" s="11"/>
      <c r="D344" s="32"/>
      <c r="E344" s="11"/>
      <c r="J344" s="15"/>
      <c r="K344" s="47"/>
      <c r="L344" s="76"/>
      <c r="M344" s="76"/>
      <c r="N344" s="78" t="str">
        <f>_xlfn.LET(
    _xlpm.itemBuscado, B344,
    _xlpm.areaBuscada, C344,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TEXT(COUNTIF($C$2:C344, _xlpm.areaBuscada), "0000"),
    _xlpm.codItem &amp; "-" &amp; _xlpm.codArea &amp; "-" &amp; _xlpm.secuencia
)</f>
        <v>-SinArea-0000</v>
      </c>
      <c r="O344" s="77"/>
      <c r="P344" s="32"/>
      <c r="Q344" s="32"/>
      <c r="R344" s="32"/>
      <c r="S344" s="32"/>
    </row>
    <row r="345" spans="3:19" x14ac:dyDescent="0.3">
      <c r="C345" s="11"/>
      <c r="D345" s="32"/>
      <c r="E345" s="11"/>
      <c r="J345" s="15"/>
      <c r="K345" s="47"/>
      <c r="L345" s="76"/>
      <c r="M345" s="76"/>
      <c r="N345" s="78" t="str">
        <f>_xlfn.LET(
    _xlpm.itemBuscado, B345,
    _xlpm.areaBuscada, C345,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TEXT(COUNTIF($C$2:C345, _xlpm.areaBuscada), "0000"),
    _xlpm.codItem &amp; "-" &amp; _xlpm.codArea &amp; "-" &amp; _xlpm.secuencia
)</f>
        <v>-SinArea-0000</v>
      </c>
      <c r="O345" s="77"/>
      <c r="P345" s="32"/>
      <c r="Q345" s="32"/>
      <c r="R345" s="32"/>
      <c r="S345" s="32"/>
    </row>
    <row r="346" spans="3:19" x14ac:dyDescent="0.3">
      <c r="C346" s="11"/>
      <c r="D346" s="32"/>
      <c r="E346" s="11"/>
      <c r="J346" s="15"/>
      <c r="K346" s="47"/>
      <c r="L346" s="76"/>
      <c r="M346" s="76"/>
      <c r="N346" s="78" t="str">
        <f>_xlfn.LET(
    _xlpm.itemBuscado, B346,
    _xlpm.areaBuscada, C346,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TEXT(COUNTIF($C$2:C346, _xlpm.areaBuscada), "0000"),
    _xlpm.codItem &amp; "-" &amp; _xlpm.codArea &amp; "-" &amp; _xlpm.secuencia
)</f>
        <v>-SinArea-0000</v>
      </c>
      <c r="O346" s="77"/>
      <c r="P346" s="32"/>
      <c r="Q346" s="32"/>
      <c r="R346" s="32"/>
      <c r="S346" s="32"/>
    </row>
    <row r="347" spans="3:19" x14ac:dyDescent="0.3">
      <c r="C347" s="11"/>
      <c r="D347" s="32"/>
      <c r="E347" s="11"/>
      <c r="J347" s="15"/>
      <c r="K347" s="47"/>
      <c r="L347" s="76"/>
      <c r="M347" s="76"/>
      <c r="N347" s="78" t="str">
        <f>_xlfn.LET(
    _xlpm.itemBuscado, B347,
    _xlpm.areaBuscada, C347,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TEXT(COUNTIF($C$2:C347, _xlpm.areaBuscada), "0000"),
    _xlpm.codItem &amp; "-" &amp; _xlpm.codArea &amp; "-" &amp; _xlpm.secuencia
)</f>
        <v>-SinArea-0000</v>
      </c>
      <c r="O347" s="77"/>
      <c r="P347" s="32"/>
      <c r="Q347" s="32"/>
      <c r="R347" s="32"/>
      <c r="S347" s="32"/>
    </row>
    <row r="348" spans="3:19" x14ac:dyDescent="0.3">
      <c r="C348" s="11"/>
      <c r="D348" s="32"/>
      <c r="E348" s="11"/>
      <c r="J348" s="15"/>
      <c r="K348" s="47"/>
      <c r="L348" s="76"/>
      <c r="M348" s="76"/>
      <c r="N348" s="78" t="str">
        <f>_xlfn.LET(
    _xlpm.itemBuscado, B348,
    _xlpm.areaBuscada, C348,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TEXT(COUNTIF($C$2:C348, _xlpm.areaBuscada), "0000"),
    _xlpm.codItem &amp; "-" &amp; _xlpm.codArea &amp; "-" &amp; _xlpm.secuencia
)</f>
        <v>-SinArea-0000</v>
      </c>
      <c r="O348" s="77"/>
      <c r="P348" s="32"/>
      <c r="Q348" s="32"/>
      <c r="R348" s="32"/>
      <c r="S348" s="32"/>
    </row>
    <row r="349" spans="3:19" x14ac:dyDescent="0.3">
      <c r="C349" s="11"/>
      <c r="D349" s="32"/>
      <c r="E349" s="11"/>
      <c r="J349" s="15"/>
      <c r="K349" s="47"/>
      <c r="L349" s="76"/>
      <c r="M349" s="76"/>
      <c r="N349" s="78" t="str">
        <f>_xlfn.LET(
    _xlpm.itemBuscado, B349,
    _xlpm.areaBuscada, C349,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TEXT(COUNTIF($C$2:C349, _xlpm.areaBuscada), "0000"),
    _xlpm.codItem &amp; "-" &amp; _xlpm.codArea &amp; "-" &amp; _xlpm.secuencia
)</f>
        <v>-SinArea-0000</v>
      </c>
      <c r="O349" s="77"/>
      <c r="P349" s="32"/>
      <c r="Q349" s="32"/>
      <c r="R349" s="32"/>
      <c r="S349" s="32"/>
    </row>
    <row r="350" spans="3:19" x14ac:dyDescent="0.3">
      <c r="C350" s="11"/>
      <c r="D350" s="32"/>
      <c r="E350" s="11"/>
      <c r="J350" s="15"/>
      <c r="K350" s="47"/>
      <c r="L350" s="76"/>
      <c r="M350" s="76"/>
      <c r="N350" s="78" t="str">
        <f>_xlfn.LET(
    _xlpm.itemBuscado, B350,
    _xlpm.areaBuscada, C350,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TEXT(COUNTIF($C$2:C350, _xlpm.areaBuscada), "0000"),
    _xlpm.codItem &amp; "-" &amp; _xlpm.codArea &amp; "-" &amp; _xlpm.secuencia
)</f>
        <v>-SinArea-0000</v>
      </c>
      <c r="O350" s="77"/>
      <c r="P350" s="32"/>
      <c r="Q350" s="32"/>
      <c r="R350" s="32"/>
      <c r="S350" s="32"/>
    </row>
    <row r="351" spans="3:19" x14ac:dyDescent="0.3">
      <c r="C351" s="11"/>
      <c r="D351" s="32"/>
      <c r="E351" s="11"/>
      <c r="J351" s="15"/>
      <c r="K351" s="47"/>
      <c r="L351" s="76"/>
      <c r="M351" s="76"/>
      <c r="N351" s="78" t="str">
        <f>_xlfn.LET(
    _xlpm.itemBuscado, B351,
    _xlpm.areaBuscada, C351,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TEXT(COUNTIF($C$2:C351, _xlpm.areaBuscada), "0000"),
    _xlpm.codItem &amp; "-" &amp; _xlpm.codArea &amp; "-" &amp; _xlpm.secuencia
)</f>
        <v>-SinArea-0000</v>
      </c>
      <c r="O351" s="77"/>
      <c r="P351" s="32"/>
      <c r="Q351" s="32"/>
      <c r="R351" s="32"/>
      <c r="S351" s="32"/>
    </row>
    <row r="352" spans="3:19" x14ac:dyDescent="0.3">
      <c r="C352" s="11"/>
      <c r="D352" s="32"/>
      <c r="E352" s="11"/>
      <c r="J352" s="15"/>
      <c r="K352" s="47"/>
      <c r="L352" s="76"/>
      <c r="M352" s="76"/>
      <c r="N352" s="78" t="str">
        <f>_xlfn.LET(
    _xlpm.itemBuscado, B352,
    _xlpm.areaBuscada, C352,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TEXT(COUNTIF($C$2:C352, _xlpm.areaBuscada), "0000"),
    _xlpm.codItem &amp; "-" &amp; _xlpm.codArea &amp; "-" &amp; _xlpm.secuencia
)</f>
        <v>-SinArea-0000</v>
      </c>
      <c r="O352" s="77"/>
      <c r="P352" s="32"/>
      <c r="Q352" s="32"/>
      <c r="R352" s="32"/>
      <c r="S352" s="32"/>
    </row>
    <row r="353" spans="3:19" x14ac:dyDescent="0.3">
      <c r="C353" s="11"/>
      <c r="D353" s="32"/>
      <c r="E353" s="11"/>
      <c r="J353" s="15"/>
      <c r="K353" s="47"/>
      <c r="L353" s="76"/>
      <c r="M353" s="76"/>
      <c r="N353" s="78" t="str">
        <f>_xlfn.LET(
    _xlpm.itemBuscado, B353,
    _xlpm.areaBuscada, C353,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TEXT(COUNTIF($C$2:C353, _xlpm.areaBuscada), "0000"),
    _xlpm.codItem &amp; "-" &amp; _xlpm.codArea &amp; "-" &amp; _xlpm.secuencia
)</f>
        <v>-SinArea-0000</v>
      </c>
      <c r="O353" s="77"/>
      <c r="P353" s="32"/>
      <c r="Q353" s="32"/>
      <c r="R353" s="32"/>
      <c r="S353" s="32"/>
    </row>
    <row r="354" spans="3:19" x14ac:dyDescent="0.3">
      <c r="C354" s="11"/>
      <c r="D354" s="32"/>
      <c r="E354" s="11"/>
      <c r="J354" s="15"/>
      <c r="K354" s="47"/>
      <c r="L354" s="76"/>
      <c r="M354" s="76"/>
      <c r="N354" s="78" t="str">
        <f>_xlfn.LET(
    _xlpm.itemBuscado, B354,
    _xlpm.areaBuscada, C354,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TEXT(COUNTIF($C$2:C354, _xlpm.areaBuscada), "0000"),
    _xlpm.codItem &amp; "-" &amp; _xlpm.codArea &amp; "-" &amp; _xlpm.secuencia
)</f>
        <v>-SinArea-0000</v>
      </c>
      <c r="O354" s="77"/>
      <c r="P354" s="32"/>
      <c r="Q354" s="32"/>
      <c r="R354" s="32"/>
      <c r="S354" s="32"/>
    </row>
    <row r="355" spans="3:19" x14ac:dyDescent="0.3">
      <c r="C355" s="11"/>
      <c r="D355" s="32"/>
      <c r="E355" s="11"/>
      <c r="J355" s="15"/>
      <c r="K355" s="47"/>
      <c r="L355" s="76"/>
      <c r="M355" s="76"/>
      <c r="N355" s="78" t="str">
        <f>_xlfn.LET(
    _xlpm.itemBuscado, B355,
    _xlpm.areaBuscada, C355,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TEXT(COUNTIF($C$2:C355, _xlpm.areaBuscada), "0000"),
    _xlpm.codItem &amp; "-" &amp; _xlpm.codArea &amp; "-" &amp; _xlpm.secuencia
)</f>
        <v>-SinArea-0000</v>
      </c>
      <c r="O355" s="77"/>
      <c r="P355" s="32"/>
      <c r="Q355" s="32"/>
      <c r="R355" s="32"/>
      <c r="S355" s="32"/>
    </row>
    <row r="356" spans="3:19" x14ac:dyDescent="0.3">
      <c r="C356" s="11"/>
      <c r="D356" s="32"/>
      <c r="E356" s="11"/>
      <c r="J356" s="15"/>
      <c r="K356" s="47"/>
      <c r="L356" s="76"/>
      <c r="M356" s="76"/>
      <c r="N356" s="78" t="str">
        <f>_xlfn.LET(
    _xlpm.itemBuscado, B356,
    _xlpm.areaBuscada, C356,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TEXT(COUNTIF($C$2:C356, _xlpm.areaBuscada), "0000"),
    _xlpm.codItem &amp; "-" &amp; _xlpm.codArea &amp; "-" &amp; _xlpm.secuencia
)</f>
        <v>-SinArea-0000</v>
      </c>
      <c r="O356" s="77"/>
      <c r="P356" s="32"/>
      <c r="Q356" s="32"/>
      <c r="R356" s="32"/>
      <c r="S356" s="32"/>
    </row>
    <row r="357" spans="3:19" x14ac:dyDescent="0.3">
      <c r="C357" s="11"/>
      <c r="D357" s="32"/>
      <c r="E357" s="11"/>
      <c r="J357" s="15"/>
      <c r="K357" s="47"/>
      <c r="L357" s="76"/>
      <c r="M357" s="76"/>
      <c r="N357" s="78" t="str">
        <f>_xlfn.LET(
    _xlpm.itemBuscado, B357,
    _xlpm.areaBuscada, C357,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TEXT(COUNTIF($C$2:C357, _xlpm.areaBuscada), "0000"),
    _xlpm.codItem &amp; "-" &amp; _xlpm.codArea &amp; "-" &amp; _xlpm.secuencia
)</f>
        <v>-SinArea-0000</v>
      </c>
      <c r="O357" s="77"/>
      <c r="P357" s="32"/>
      <c r="Q357" s="32"/>
      <c r="R357" s="32"/>
      <c r="S357" s="32"/>
    </row>
    <row r="358" spans="3:19" x14ac:dyDescent="0.3">
      <c r="C358" s="11"/>
      <c r="D358" s="32"/>
      <c r="E358" s="11"/>
      <c r="J358" s="15"/>
      <c r="K358" s="47"/>
      <c r="L358" s="76"/>
      <c r="M358" s="76"/>
      <c r="N358" s="78" t="str">
        <f>_xlfn.LET(
    _xlpm.itemBuscado, B358,
    _xlpm.areaBuscada, C358,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TEXT(COUNTIF($C$2:C358, _xlpm.areaBuscada), "0000"),
    _xlpm.codItem &amp; "-" &amp; _xlpm.codArea &amp; "-" &amp; _xlpm.secuencia
)</f>
        <v>-SinArea-0000</v>
      </c>
      <c r="O358" s="77"/>
      <c r="P358" s="32"/>
      <c r="Q358" s="32"/>
      <c r="R358" s="32"/>
      <c r="S358" s="32"/>
    </row>
    <row r="359" spans="3:19" x14ac:dyDescent="0.3">
      <c r="C359" s="11"/>
      <c r="D359" s="32"/>
      <c r="E359" s="11"/>
      <c r="J359" s="15"/>
      <c r="K359" s="47"/>
      <c r="L359" s="76"/>
      <c r="M359" s="76"/>
      <c r="N359" s="78" t="str">
        <f>_xlfn.LET(
    _xlpm.itemBuscado, B359,
    _xlpm.areaBuscada, C359,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TEXT(COUNTIF($C$2:C359, _xlpm.areaBuscada), "0000"),
    _xlpm.codItem &amp; "-" &amp; _xlpm.codArea &amp; "-" &amp; _xlpm.secuencia
)</f>
        <v>-SinArea-0000</v>
      </c>
      <c r="O359" s="77"/>
      <c r="P359" s="32"/>
      <c r="Q359" s="32"/>
      <c r="R359" s="32"/>
      <c r="S359" s="32"/>
    </row>
    <row r="360" spans="3:19" x14ac:dyDescent="0.3">
      <c r="C360" s="11"/>
      <c r="D360" s="32"/>
      <c r="E360" s="11"/>
      <c r="J360" s="15"/>
      <c r="K360" s="47"/>
      <c r="L360" s="76"/>
      <c r="M360" s="76"/>
      <c r="N360" s="78" t="str">
        <f>_xlfn.LET(
    _xlpm.itemBuscado, B360,
    _xlpm.areaBuscada, C360,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TEXT(COUNTIF($C$2:C360, _xlpm.areaBuscada), "0000"),
    _xlpm.codItem &amp; "-" &amp; _xlpm.codArea &amp; "-" &amp; _xlpm.secuencia
)</f>
        <v>-SinArea-0000</v>
      </c>
      <c r="O360" s="77"/>
      <c r="P360" s="32"/>
      <c r="Q360" s="32"/>
      <c r="R360" s="32"/>
      <c r="S360" s="32"/>
    </row>
    <row r="361" spans="3:19" x14ac:dyDescent="0.3">
      <c r="C361" s="11"/>
      <c r="D361" s="32"/>
      <c r="E361" s="11"/>
      <c r="J361" s="15"/>
      <c r="K361" s="47"/>
      <c r="L361" s="76"/>
      <c r="M361" s="76"/>
      <c r="N361" s="78" t="str">
        <f>_xlfn.LET(
    _xlpm.itemBuscado, B361,
    _xlpm.areaBuscada, C361,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TEXT(COUNTIF($C$2:C361, _xlpm.areaBuscada), "0000"),
    _xlpm.codItem &amp; "-" &amp; _xlpm.codArea &amp; "-" &amp; _xlpm.secuencia
)</f>
        <v>-SinArea-0000</v>
      </c>
      <c r="O361" s="77"/>
      <c r="P361" s="32"/>
      <c r="Q361" s="32"/>
      <c r="R361" s="32"/>
      <c r="S361" s="32"/>
    </row>
    <row r="362" spans="3:19" x14ac:dyDescent="0.3">
      <c r="C362" s="11"/>
      <c r="D362" s="32"/>
      <c r="E362" s="11"/>
      <c r="J362" s="15"/>
      <c r="K362" s="47"/>
      <c r="L362" s="76"/>
      <c r="M362" s="76"/>
      <c r="N362" s="78" t="str">
        <f>_xlfn.LET(
    _xlpm.itemBuscado, B362,
    _xlpm.areaBuscada, C362,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TEXT(COUNTIF($C$2:C362, _xlpm.areaBuscada), "0000"),
    _xlpm.codItem &amp; "-" &amp; _xlpm.codArea &amp; "-" &amp; _xlpm.secuencia
)</f>
        <v>-SinArea-0000</v>
      </c>
      <c r="O362" s="77"/>
      <c r="P362" s="32"/>
      <c r="Q362" s="32"/>
      <c r="R362" s="32"/>
      <c r="S362" s="32"/>
    </row>
    <row r="363" spans="3:19" x14ac:dyDescent="0.3">
      <c r="C363" s="11"/>
      <c r="D363" s="32"/>
      <c r="E363" s="11"/>
      <c r="J363" s="15"/>
      <c r="K363" s="47"/>
      <c r="L363" s="76"/>
      <c r="M363" s="76"/>
      <c r="N363" s="78" t="str">
        <f>_xlfn.LET(
    _xlpm.itemBuscado, B363,
    _xlpm.areaBuscada, C363,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TEXT(COUNTIF($C$2:C363, _xlpm.areaBuscada), "0000"),
    _xlpm.codItem &amp; "-" &amp; _xlpm.codArea &amp; "-" &amp; _xlpm.secuencia
)</f>
        <v>-SinArea-0000</v>
      </c>
      <c r="O363" s="77"/>
      <c r="P363" s="32"/>
      <c r="Q363" s="32"/>
      <c r="R363" s="32"/>
      <c r="S363" s="32"/>
    </row>
    <row r="364" spans="3:19" x14ac:dyDescent="0.3">
      <c r="C364" s="11"/>
      <c r="D364" s="32"/>
      <c r="E364" s="11"/>
      <c r="J364" s="15"/>
      <c r="K364" s="47"/>
      <c r="L364" s="76"/>
      <c r="M364" s="76"/>
      <c r="N364" s="78" t="str">
        <f>_xlfn.LET(
    _xlpm.itemBuscado, B364,
    _xlpm.areaBuscada, C364,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TEXT(COUNTIF($C$2:C364, _xlpm.areaBuscada), "0000"),
    _xlpm.codItem &amp; "-" &amp; _xlpm.codArea &amp; "-" &amp; _xlpm.secuencia
)</f>
        <v>-SinArea-0000</v>
      </c>
      <c r="O364" s="77"/>
      <c r="P364" s="32"/>
      <c r="Q364" s="32"/>
      <c r="R364" s="32"/>
      <c r="S364" s="32"/>
    </row>
    <row r="365" spans="3:19" x14ac:dyDescent="0.3">
      <c r="C365" s="11"/>
      <c r="D365" s="32"/>
      <c r="E365" s="11"/>
      <c r="J365" s="15"/>
      <c r="K365" s="47"/>
      <c r="L365" s="76"/>
      <c r="M365" s="76"/>
      <c r="N365" s="78" t="str">
        <f>_xlfn.LET(
    _xlpm.itemBuscado, B365,
    _xlpm.areaBuscada, C365,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TEXT(COUNTIF($C$2:C365, _xlpm.areaBuscada), "0000"),
    _xlpm.codItem &amp; "-" &amp; _xlpm.codArea &amp; "-" &amp; _xlpm.secuencia
)</f>
        <v>-SinArea-0000</v>
      </c>
      <c r="O365" s="77"/>
      <c r="P365" s="32"/>
      <c r="Q365" s="32"/>
      <c r="R365" s="32"/>
      <c r="S365" s="32"/>
    </row>
    <row r="366" spans="3:19" x14ac:dyDescent="0.3">
      <c r="C366" s="11"/>
      <c r="D366" s="32"/>
      <c r="E366" s="11"/>
      <c r="J366" s="15"/>
      <c r="K366" s="47"/>
      <c r="L366" s="76"/>
      <c r="M366" s="76"/>
      <c r="N366" s="78" t="str">
        <f>_xlfn.LET(
    _xlpm.itemBuscado, B366,
    _xlpm.areaBuscada, C366,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TEXT(COUNTIF($C$2:C366, _xlpm.areaBuscada), "0000"),
    _xlpm.codItem &amp; "-" &amp; _xlpm.codArea &amp; "-" &amp; _xlpm.secuencia
)</f>
        <v>-SinArea-0000</v>
      </c>
      <c r="O366" s="77"/>
      <c r="P366" s="32"/>
      <c r="Q366" s="32"/>
      <c r="R366" s="32"/>
      <c r="S366" s="32"/>
    </row>
    <row r="367" spans="3:19" x14ac:dyDescent="0.3">
      <c r="C367" s="11"/>
      <c r="D367" s="32"/>
      <c r="E367" s="11"/>
      <c r="J367" s="15"/>
      <c r="K367" s="47"/>
      <c r="L367" s="76"/>
      <c r="M367" s="76"/>
      <c r="N367" s="78" t="str">
        <f>_xlfn.LET(
    _xlpm.itemBuscado, B367,
    _xlpm.areaBuscada, C367,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TEXT(COUNTIF($C$2:C367, _xlpm.areaBuscada), "0000"),
    _xlpm.codItem &amp; "-" &amp; _xlpm.codArea &amp; "-" &amp; _xlpm.secuencia
)</f>
        <v>-SinArea-0000</v>
      </c>
      <c r="O367" s="77"/>
      <c r="P367" s="32"/>
      <c r="Q367" s="32"/>
      <c r="R367" s="32"/>
      <c r="S367" s="32"/>
    </row>
    <row r="368" spans="3:19" x14ac:dyDescent="0.3">
      <c r="C368" s="11"/>
      <c r="D368" s="32"/>
      <c r="E368" s="11"/>
      <c r="J368" s="15"/>
      <c r="K368" s="47"/>
      <c r="L368" s="76"/>
      <c r="M368" s="76"/>
      <c r="N368" s="78" t="str">
        <f>_xlfn.LET(
    _xlpm.itemBuscado, B368,
    _xlpm.areaBuscada, C368,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TEXT(COUNTIF($C$2:C368, _xlpm.areaBuscada), "0000"),
    _xlpm.codItem &amp; "-" &amp; _xlpm.codArea &amp; "-" &amp; _xlpm.secuencia
)</f>
        <v>-SinArea-0000</v>
      </c>
      <c r="O368" s="77"/>
      <c r="P368" s="32"/>
      <c r="Q368" s="32"/>
      <c r="R368" s="32"/>
      <c r="S368" s="32"/>
    </row>
    <row r="369" spans="3:19" x14ac:dyDescent="0.3">
      <c r="C369" s="11"/>
      <c r="D369" s="32"/>
      <c r="E369" s="11"/>
      <c r="J369" s="15"/>
      <c r="K369" s="47"/>
      <c r="L369" s="76"/>
      <c r="M369" s="76"/>
      <c r="N369" s="78" t="str">
        <f>_xlfn.LET(
    _xlpm.itemBuscado, B369,
    _xlpm.areaBuscada, C369,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TEXT(COUNTIF($C$2:C369, _xlpm.areaBuscada), "0000"),
    _xlpm.codItem &amp; "-" &amp; _xlpm.codArea &amp; "-" &amp; _xlpm.secuencia
)</f>
        <v>-SinArea-0000</v>
      </c>
      <c r="O369" s="77"/>
      <c r="P369" s="32"/>
      <c r="Q369" s="32"/>
      <c r="R369" s="32"/>
      <c r="S369" s="32"/>
    </row>
    <row r="370" spans="3:19" x14ac:dyDescent="0.3">
      <c r="C370" s="11"/>
      <c r="D370" s="32"/>
      <c r="E370" s="11"/>
      <c r="J370" s="15"/>
      <c r="K370" s="47"/>
      <c r="L370" s="76"/>
      <c r="M370" s="76"/>
      <c r="N370" s="78" t="str">
        <f>_xlfn.LET(
    _xlpm.itemBuscado, B370,
    _xlpm.areaBuscada, C370,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TEXT(COUNTIF($C$2:C370, _xlpm.areaBuscada), "0000"),
    _xlpm.codItem &amp; "-" &amp; _xlpm.codArea &amp; "-" &amp; _xlpm.secuencia
)</f>
        <v>-SinArea-0000</v>
      </c>
      <c r="O370" s="77"/>
      <c r="P370" s="32"/>
      <c r="Q370" s="32"/>
      <c r="R370" s="32"/>
      <c r="S370" s="32"/>
    </row>
    <row r="371" spans="3:19" x14ac:dyDescent="0.3">
      <c r="C371" s="11"/>
      <c r="D371" s="32"/>
      <c r="E371" s="11"/>
      <c r="J371" s="15"/>
      <c r="K371" s="47"/>
      <c r="L371" s="76"/>
      <c r="M371" s="76"/>
      <c r="N371" s="78" t="str">
        <f>_xlfn.LET(
    _xlpm.itemBuscado, B371,
    _xlpm.areaBuscada, C371,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TEXT(COUNTIF($C$2:C371, _xlpm.areaBuscada), "0000"),
    _xlpm.codItem &amp; "-" &amp; _xlpm.codArea &amp; "-" &amp; _xlpm.secuencia
)</f>
        <v>-SinArea-0000</v>
      </c>
      <c r="O371" s="77"/>
      <c r="P371" s="32"/>
      <c r="Q371" s="32"/>
      <c r="R371" s="32"/>
      <c r="S371" s="32"/>
    </row>
    <row r="372" spans="3:19" x14ac:dyDescent="0.3">
      <c r="C372" s="11"/>
      <c r="D372" s="32"/>
      <c r="E372" s="11"/>
      <c r="J372" s="15"/>
      <c r="K372" s="47"/>
      <c r="L372" s="76"/>
      <c r="M372" s="76"/>
      <c r="N372" s="78" t="str">
        <f>_xlfn.LET(
    _xlpm.itemBuscado, B372,
    _xlpm.areaBuscada, C372,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TEXT(COUNTIF($C$2:C372, _xlpm.areaBuscada), "0000"),
    _xlpm.codItem &amp; "-" &amp; _xlpm.codArea &amp; "-" &amp; _xlpm.secuencia
)</f>
        <v>-SinArea-0000</v>
      </c>
      <c r="O372" s="77"/>
      <c r="P372" s="32"/>
      <c r="Q372" s="32"/>
      <c r="R372" s="32"/>
      <c r="S372" s="32"/>
    </row>
    <row r="373" spans="3:19" x14ac:dyDescent="0.3">
      <c r="C373" s="11"/>
      <c r="D373" s="32"/>
      <c r="E373" s="11"/>
      <c r="J373" s="15"/>
      <c r="K373" s="47"/>
      <c r="L373" s="76"/>
      <c r="M373" s="76"/>
      <c r="N373" s="78" t="str">
        <f>_xlfn.LET(
    _xlpm.itemBuscado, B373,
    _xlpm.areaBuscada, C373,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TEXT(COUNTIF($C$2:C373, _xlpm.areaBuscada), "0000"),
    _xlpm.codItem &amp; "-" &amp; _xlpm.codArea &amp; "-" &amp; _xlpm.secuencia
)</f>
        <v>-SinArea-0000</v>
      </c>
      <c r="O373" s="77"/>
      <c r="P373" s="32"/>
      <c r="Q373" s="32"/>
      <c r="R373" s="32"/>
      <c r="S373" s="32"/>
    </row>
    <row r="374" spans="3:19" x14ac:dyDescent="0.3">
      <c r="C374" s="11"/>
      <c r="D374" s="32"/>
      <c r="E374" s="11"/>
      <c r="J374" s="15"/>
      <c r="K374" s="47"/>
      <c r="L374" s="76"/>
      <c r="M374" s="76"/>
      <c r="N374" s="78" t="str">
        <f>_xlfn.LET(
    _xlpm.itemBuscado, B374,
    _xlpm.areaBuscada, C374,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TEXT(COUNTIF($C$2:C374, _xlpm.areaBuscada), "0000"),
    _xlpm.codItem &amp; "-" &amp; _xlpm.codArea &amp; "-" &amp; _xlpm.secuencia
)</f>
        <v>-SinArea-0000</v>
      </c>
      <c r="O374" s="77"/>
      <c r="P374" s="32"/>
      <c r="Q374" s="32"/>
      <c r="R374" s="32"/>
      <c r="S374" s="32"/>
    </row>
    <row r="375" spans="3:19" x14ac:dyDescent="0.3">
      <c r="C375" s="11"/>
      <c r="D375" s="32"/>
      <c r="E375" s="11"/>
      <c r="J375" s="15"/>
      <c r="K375" s="47"/>
      <c r="L375" s="76"/>
      <c r="M375" s="76"/>
      <c r="N375" s="78" t="str">
        <f>_xlfn.LET(
    _xlpm.itemBuscado, B375,
    _xlpm.areaBuscada, C375,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TEXT(COUNTIF($C$2:C375, _xlpm.areaBuscada), "0000"),
    _xlpm.codItem &amp; "-" &amp; _xlpm.codArea &amp; "-" &amp; _xlpm.secuencia
)</f>
        <v>-SinArea-0000</v>
      </c>
      <c r="O375" s="77"/>
      <c r="P375" s="32"/>
      <c r="Q375" s="32"/>
      <c r="R375" s="32"/>
      <c r="S375" s="32"/>
    </row>
    <row r="376" spans="3:19" x14ac:dyDescent="0.3">
      <c r="C376" s="11"/>
      <c r="D376" s="32"/>
      <c r="E376" s="11"/>
      <c r="J376" s="15"/>
      <c r="K376" s="47"/>
      <c r="L376" s="76"/>
      <c r="M376" s="76"/>
      <c r="N376" s="78" t="str">
        <f>_xlfn.LET(
    _xlpm.itemBuscado, B376,
    _xlpm.areaBuscada, C376,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TEXT(COUNTIF($C$2:C376, _xlpm.areaBuscada), "0000"),
    _xlpm.codItem &amp; "-" &amp; _xlpm.codArea &amp; "-" &amp; _xlpm.secuencia
)</f>
        <v>-SinArea-0000</v>
      </c>
      <c r="O376" s="77"/>
      <c r="P376" s="32"/>
      <c r="Q376" s="32"/>
      <c r="R376" s="32"/>
      <c r="S376" s="32"/>
    </row>
    <row r="377" spans="3:19" x14ac:dyDescent="0.3">
      <c r="C377" s="11"/>
      <c r="D377" s="32"/>
      <c r="E377" s="11"/>
      <c r="J377" s="15"/>
      <c r="K377" s="47"/>
      <c r="L377" s="76"/>
      <c r="M377" s="76"/>
      <c r="N377" s="78" t="str">
        <f>_xlfn.LET(
    _xlpm.itemBuscado, B377,
    _xlpm.areaBuscada, C377,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TEXT(COUNTIF($C$2:C377, _xlpm.areaBuscada), "0000"),
    _xlpm.codItem &amp; "-" &amp; _xlpm.codArea &amp; "-" &amp; _xlpm.secuencia
)</f>
        <v>-SinArea-0000</v>
      </c>
      <c r="O377" s="77"/>
      <c r="P377" s="32"/>
      <c r="Q377" s="32"/>
      <c r="R377" s="32"/>
      <c r="S377" s="32"/>
    </row>
    <row r="378" spans="3:19" x14ac:dyDescent="0.3">
      <c r="C378" s="11"/>
      <c r="D378" s="32"/>
      <c r="E378" s="11"/>
      <c r="J378" s="15"/>
      <c r="K378" s="47"/>
      <c r="L378" s="76"/>
      <c r="M378" s="76"/>
      <c r="N378" s="78" t="str">
        <f>_xlfn.LET(
    _xlpm.itemBuscado, B378,
    _xlpm.areaBuscada, C378,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TEXT(COUNTIF($C$2:C378, _xlpm.areaBuscada), "0000"),
    _xlpm.codItem &amp; "-" &amp; _xlpm.codArea &amp; "-" &amp; _xlpm.secuencia
)</f>
        <v>-SinArea-0000</v>
      </c>
      <c r="O378" s="77"/>
      <c r="P378" s="32"/>
      <c r="Q378" s="32"/>
      <c r="R378" s="32"/>
      <c r="S378" s="32"/>
    </row>
    <row r="379" spans="3:19" x14ac:dyDescent="0.3">
      <c r="C379" s="11"/>
      <c r="D379" s="32"/>
      <c r="E379" s="11"/>
      <c r="J379" s="15"/>
      <c r="K379" s="47"/>
      <c r="L379" s="76"/>
      <c r="M379" s="76"/>
      <c r="N379" s="78" t="str">
        <f>_xlfn.LET(
    _xlpm.itemBuscado, B379,
    _xlpm.areaBuscada, C379,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TEXT(COUNTIF($C$2:C379, _xlpm.areaBuscada), "0000"),
    _xlpm.codItem &amp; "-" &amp; _xlpm.codArea &amp; "-" &amp; _xlpm.secuencia
)</f>
        <v>-SinArea-0000</v>
      </c>
      <c r="O379" s="77"/>
      <c r="P379" s="32"/>
      <c r="Q379" s="32"/>
      <c r="R379" s="32"/>
      <c r="S379" s="32"/>
    </row>
    <row r="380" spans="3:19" x14ac:dyDescent="0.3">
      <c r="C380" s="11"/>
      <c r="D380" s="32"/>
      <c r="E380" s="11"/>
      <c r="J380" s="15"/>
      <c r="K380" s="47"/>
      <c r="L380" s="76"/>
      <c r="M380" s="76"/>
      <c r="N380" s="78" t="str">
        <f>_xlfn.LET(
    _xlpm.itemBuscado, B380,
    _xlpm.areaBuscada, C380,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TEXT(COUNTIF($C$2:C380, _xlpm.areaBuscada), "0000"),
    _xlpm.codItem &amp; "-" &amp; _xlpm.codArea &amp; "-" &amp; _xlpm.secuencia
)</f>
        <v>-SinArea-0000</v>
      </c>
      <c r="O380" s="77"/>
      <c r="P380" s="32"/>
      <c r="Q380" s="32"/>
      <c r="R380" s="32"/>
      <c r="S380" s="32"/>
    </row>
    <row r="381" spans="3:19" x14ac:dyDescent="0.3">
      <c r="C381" s="11"/>
      <c r="D381" s="32"/>
      <c r="E381" s="11"/>
      <c r="J381" s="15"/>
      <c r="K381" s="47"/>
      <c r="L381" s="76"/>
      <c r="M381" s="76"/>
      <c r="N381" s="78" t="str">
        <f>_xlfn.LET(
    _xlpm.itemBuscado, B381,
    _xlpm.areaBuscada, C381,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TEXT(COUNTIF($C$2:C381, _xlpm.areaBuscada), "0000"),
    _xlpm.codItem &amp; "-" &amp; _xlpm.codArea &amp; "-" &amp; _xlpm.secuencia
)</f>
        <v>-SinArea-0000</v>
      </c>
      <c r="O381" s="77"/>
      <c r="P381" s="32"/>
      <c r="Q381" s="32"/>
      <c r="R381" s="32"/>
      <c r="S381" s="32"/>
    </row>
    <row r="382" spans="3:19" x14ac:dyDescent="0.3">
      <c r="C382" s="11"/>
      <c r="D382" s="32"/>
      <c r="E382" s="11"/>
      <c r="J382" s="15"/>
      <c r="K382" s="47"/>
      <c r="L382" s="76"/>
      <c r="M382" s="76"/>
      <c r="N382" s="78" t="str">
        <f>_xlfn.LET(
    _xlpm.itemBuscado, B382,
    _xlpm.areaBuscada, C382,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TEXT(COUNTIF($C$2:C382, _xlpm.areaBuscada), "0000"),
    _xlpm.codItem &amp; "-" &amp; _xlpm.codArea &amp; "-" &amp; _xlpm.secuencia
)</f>
        <v>-SinArea-0000</v>
      </c>
      <c r="O382" s="77"/>
      <c r="P382" s="32"/>
      <c r="Q382" s="32"/>
      <c r="R382" s="32"/>
      <c r="S382" s="32"/>
    </row>
    <row r="383" spans="3:19" x14ac:dyDescent="0.3">
      <c r="C383" s="11"/>
      <c r="D383" s="32"/>
      <c r="E383" s="11"/>
      <c r="J383" s="15"/>
      <c r="K383" s="47"/>
      <c r="L383" s="76"/>
      <c r="M383" s="76"/>
      <c r="N383" s="78" t="str">
        <f>_xlfn.LET(
    _xlpm.itemBuscado, B383,
    _xlpm.areaBuscada, C383,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TEXT(COUNTIF($C$2:C383, _xlpm.areaBuscada), "0000"),
    _xlpm.codItem &amp; "-" &amp; _xlpm.codArea &amp; "-" &amp; _xlpm.secuencia
)</f>
        <v>-SinArea-0000</v>
      </c>
      <c r="O383" s="77"/>
      <c r="P383" s="32"/>
      <c r="Q383" s="32"/>
      <c r="R383" s="32"/>
      <c r="S383" s="32"/>
    </row>
    <row r="384" spans="3:19" x14ac:dyDescent="0.3">
      <c r="C384" s="11"/>
      <c r="D384" s="32"/>
      <c r="E384" s="11"/>
      <c r="J384" s="15"/>
      <c r="K384" s="47"/>
      <c r="L384" s="76"/>
      <c r="M384" s="76"/>
      <c r="N384" s="78" t="str">
        <f>_xlfn.LET(
    _xlpm.itemBuscado, B384,
    _xlpm.areaBuscada, C384,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TEXT(COUNTIF($C$2:C384, _xlpm.areaBuscada), "0000"),
    _xlpm.codItem &amp; "-" &amp; _xlpm.codArea &amp; "-" &amp; _xlpm.secuencia
)</f>
        <v>-SinArea-0000</v>
      </c>
      <c r="O384" s="77"/>
      <c r="P384" s="32"/>
      <c r="Q384" s="32"/>
      <c r="R384" s="32"/>
      <c r="S384" s="32"/>
    </row>
    <row r="385" spans="3:19" x14ac:dyDescent="0.3">
      <c r="C385" s="11"/>
      <c r="D385" s="32"/>
      <c r="E385" s="11"/>
      <c r="J385" s="15"/>
      <c r="K385" s="47"/>
      <c r="L385" s="76"/>
      <c r="M385" s="76"/>
      <c r="N385" s="78" t="str">
        <f>_xlfn.LET(
    _xlpm.itemBuscado, B385,
    _xlpm.areaBuscada, C385,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TEXT(COUNTIF($C$2:C385, _xlpm.areaBuscada), "0000"),
    _xlpm.codItem &amp; "-" &amp; _xlpm.codArea &amp; "-" &amp; _xlpm.secuencia
)</f>
        <v>-SinArea-0000</v>
      </c>
      <c r="O385" s="77"/>
      <c r="P385" s="32"/>
      <c r="Q385" s="32"/>
      <c r="R385" s="32"/>
      <c r="S385" s="32"/>
    </row>
    <row r="386" spans="3:19" x14ac:dyDescent="0.3">
      <c r="C386" s="11"/>
      <c r="D386" s="32"/>
      <c r="E386" s="11"/>
      <c r="J386" s="15"/>
      <c r="K386" s="47"/>
      <c r="L386" s="76"/>
      <c r="M386" s="76"/>
      <c r="N386" s="78" t="str">
        <f>_xlfn.LET(
    _xlpm.itemBuscado, B386,
    _xlpm.areaBuscada, C386,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TEXT(COUNTIF($C$2:C386, _xlpm.areaBuscada), "0000"),
    _xlpm.codItem &amp; "-" &amp; _xlpm.codArea &amp; "-" &amp; _xlpm.secuencia
)</f>
        <v>-SinArea-0000</v>
      </c>
      <c r="O386" s="77"/>
      <c r="P386" s="32"/>
      <c r="Q386" s="32"/>
      <c r="R386" s="32"/>
      <c r="S386" s="32"/>
    </row>
    <row r="387" spans="3:19" x14ac:dyDescent="0.3">
      <c r="C387" s="11"/>
      <c r="D387" s="32"/>
      <c r="E387" s="11"/>
      <c r="J387" s="15"/>
      <c r="K387" s="47"/>
      <c r="L387" s="76"/>
      <c r="M387" s="76"/>
      <c r="N387" s="78" t="str">
        <f>_xlfn.LET(
    _xlpm.itemBuscado, B387,
    _xlpm.areaBuscada, C387,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TEXT(COUNTIF($C$2:C387, _xlpm.areaBuscada), "0000"),
    _xlpm.codItem &amp; "-" &amp; _xlpm.codArea &amp; "-" &amp; _xlpm.secuencia
)</f>
        <v>-SinArea-0000</v>
      </c>
      <c r="O387" s="77"/>
      <c r="P387" s="32"/>
      <c r="Q387" s="32"/>
      <c r="R387" s="32"/>
      <c r="S387" s="32"/>
    </row>
    <row r="388" spans="3:19" x14ac:dyDescent="0.3">
      <c r="C388" s="11"/>
      <c r="D388" s="32"/>
      <c r="E388" s="11"/>
      <c r="J388" s="15"/>
      <c r="K388" s="47"/>
      <c r="L388" s="76"/>
      <c r="M388" s="76"/>
      <c r="N388" s="78" t="str">
        <f>_xlfn.LET(
    _xlpm.itemBuscado, B388,
    _xlpm.areaBuscada, C388,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TEXT(COUNTIF($C$2:C388, _xlpm.areaBuscada), "0000"),
    _xlpm.codItem &amp; "-" &amp; _xlpm.codArea &amp; "-" &amp; _xlpm.secuencia
)</f>
        <v>-SinArea-0000</v>
      </c>
      <c r="O388" s="77"/>
      <c r="P388" s="32"/>
      <c r="Q388" s="32"/>
      <c r="R388" s="32"/>
      <c r="S388" s="32"/>
    </row>
    <row r="389" spans="3:19" x14ac:dyDescent="0.3">
      <c r="C389" s="11"/>
      <c r="D389" s="32"/>
      <c r="E389" s="11"/>
      <c r="J389" s="15"/>
      <c r="K389" s="47"/>
      <c r="L389" s="76"/>
      <c r="M389" s="76"/>
      <c r="N389" s="78" t="str">
        <f>_xlfn.LET(
    _xlpm.itemBuscado, B389,
    _xlpm.areaBuscada, C389,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TEXT(COUNTIF($C$2:C389, _xlpm.areaBuscada), "0000"),
    _xlpm.codItem &amp; "-" &amp; _xlpm.codArea &amp; "-" &amp; _xlpm.secuencia
)</f>
        <v>-SinArea-0000</v>
      </c>
      <c r="O389" s="77"/>
      <c r="P389" s="32"/>
      <c r="Q389" s="32"/>
      <c r="R389" s="32"/>
      <c r="S389" s="32"/>
    </row>
    <row r="390" spans="3:19" x14ac:dyDescent="0.3">
      <c r="C390" s="11"/>
      <c r="D390" s="32"/>
      <c r="E390" s="11"/>
      <c r="J390" s="15"/>
      <c r="K390" s="47"/>
      <c r="L390" s="76"/>
      <c r="M390" s="76"/>
      <c r="N390" s="78" t="str">
        <f>_xlfn.LET(
    _xlpm.itemBuscado, B390,
    _xlpm.areaBuscada, C390,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TEXT(COUNTIF($C$2:C390, _xlpm.areaBuscada), "0000"),
    _xlpm.codItem &amp; "-" &amp; _xlpm.codArea &amp; "-" &amp; _xlpm.secuencia
)</f>
        <v>-SinArea-0000</v>
      </c>
      <c r="O390" s="77"/>
      <c r="P390" s="32"/>
      <c r="Q390" s="32"/>
      <c r="R390" s="32"/>
      <c r="S390" s="32"/>
    </row>
    <row r="391" spans="3:19" x14ac:dyDescent="0.3">
      <c r="C391" s="11"/>
      <c r="D391" s="32"/>
      <c r="E391" s="11"/>
      <c r="J391" s="15"/>
      <c r="K391" s="47"/>
      <c r="L391" s="76"/>
      <c r="M391" s="76"/>
      <c r="N391" s="78" t="str">
        <f>_xlfn.LET(
    _xlpm.itemBuscado, B391,
    _xlpm.areaBuscada, C391,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TEXT(COUNTIF($C$2:C391, _xlpm.areaBuscada), "0000"),
    _xlpm.codItem &amp; "-" &amp; _xlpm.codArea &amp; "-" &amp; _xlpm.secuencia
)</f>
        <v>-SinArea-0000</v>
      </c>
      <c r="O391" s="77"/>
      <c r="P391" s="32"/>
      <c r="Q391" s="32"/>
      <c r="R391" s="32"/>
      <c r="S391" s="32"/>
    </row>
    <row r="392" spans="3:19" x14ac:dyDescent="0.3">
      <c r="C392" s="11"/>
      <c r="D392" s="32"/>
      <c r="E392" s="11"/>
      <c r="J392" s="15"/>
      <c r="K392" s="47"/>
      <c r="L392" s="76"/>
      <c r="M392" s="76"/>
      <c r="N392" s="78" t="str">
        <f>_xlfn.LET(
    _xlpm.itemBuscado, B392,
    _xlpm.areaBuscada, C392,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TEXT(COUNTIF($C$2:C392, _xlpm.areaBuscada), "0000"),
    _xlpm.codItem &amp; "-" &amp; _xlpm.codArea &amp; "-" &amp; _xlpm.secuencia
)</f>
        <v>-SinArea-0000</v>
      </c>
      <c r="O392" s="77"/>
      <c r="P392" s="32"/>
      <c r="Q392" s="32"/>
      <c r="R392" s="32"/>
      <c r="S392" s="32"/>
    </row>
    <row r="393" spans="3:19" x14ac:dyDescent="0.3">
      <c r="C393" s="11"/>
      <c r="D393" s="32"/>
      <c r="E393" s="11"/>
      <c r="J393" s="15"/>
      <c r="K393" s="47"/>
      <c r="L393" s="76"/>
      <c r="M393" s="76"/>
      <c r="N393" s="78" t="str">
        <f>_xlfn.LET(
    _xlpm.itemBuscado, B393,
    _xlpm.areaBuscada, C393,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TEXT(COUNTIF($C$2:C393, _xlpm.areaBuscada), "0000"),
    _xlpm.codItem &amp; "-" &amp; _xlpm.codArea &amp; "-" &amp; _xlpm.secuencia
)</f>
        <v>-SinArea-0000</v>
      </c>
      <c r="O393" s="77"/>
      <c r="P393" s="32"/>
      <c r="Q393" s="32"/>
      <c r="R393" s="32"/>
      <c r="S393" s="32"/>
    </row>
    <row r="394" spans="3:19" x14ac:dyDescent="0.3">
      <c r="C394" s="11"/>
      <c r="D394" s="32"/>
      <c r="E394" s="11"/>
      <c r="J394" s="15"/>
      <c r="K394" s="47"/>
      <c r="L394" s="76"/>
      <c r="M394" s="76"/>
      <c r="N394" s="78" t="str">
        <f>_xlfn.LET(
    _xlpm.itemBuscado, B394,
    _xlpm.areaBuscada, C394,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TEXT(COUNTIF($C$2:C394, _xlpm.areaBuscada), "0000"),
    _xlpm.codItem &amp; "-" &amp; _xlpm.codArea &amp; "-" &amp; _xlpm.secuencia
)</f>
        <v>-SinArea-0000</v>
      </c>
      <c r="O394" s="77"/>
      <c r="P394" s="32"/>
      <c r="Q394" s="32"/>
      <c r="R394" s="32"/>
      <c r="S394" s="32"/>
    </row>
    <row r="395" spans="3:19" x14ac:dyDescent="0.3">
      <c r="C395" s="11"/>
      <c r="D395" s="32"/>
      <c r="E395" s="11"/>
      <c r="J395" s="15"/>
      <c r="K395" s="47"/>
      <c r="L395" s="76"/>
      <c r="M395" s="76"/>
      <c r="N395" s="78" t="str">
        <f>_xlfn.LET(
    _xlpm.itemBuscado, B395,
    _xlpm.areaBuscada, C395,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TEXT(COUNTIF($C$2:C395, _xlpm.areaBuscada), "0000"),
    _xlpm.codItem &amp; "-" &amp; _xlpm.codArea &amp; "-" &amp; _xlpm.secuencia
)</f>
        <v>-SinArea-0000</v>
      </c>
      <c r="O395" s="77"/>
      <c r="P395" s="32"/>
      <c r="Q395" s="32"/>
      <c r="R395" s="32"/>
      <c r="S395" s="32"/>
    </row>
    <row r="396" spans="3:19" x14ac:dyDescent="0.3">
      <c r="C396" s="11"/>
      <c r="D396" s="32"/>
      <c r="E396" s="11"/>
      <c r="J396" s="15"/>
      <c r="K396" s="47"/>
      <c r="L396" s="76"/>
      <c r="M396" s="76"/>
      <c r="N396" s="78" t="str">
        <f>_xlfn.LET(
    _xlpm.itemBuscado, B396,
    _xlpm.areaBuscada, C396,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TEXT(COUNTIF($C$2:C396, _xlpm.areaBuscada), "0000"),
    _xlpm.codItem &amp; "-" &amp; _xlpm.codArea &amp; "-" &amp; _xlpm.secuencia
)</f>
        <v>-SinArea-0000</v>
      </c>
      <c r="O396" s="77"/>
      <c r="P396" s="32"/>
      <c r="Q396" s="32"/>
      <c r="R396" s="32"/>
      <c r="S396" s="32"/>
    </row>
    <row r="397" spans="3:19" x14ac:dyDescent="0.3">
      <c r="C397" s="11"/>
      <c r="D397" s="32"/>
      <c r="E397" s="11"/>
      <c r="J397" s="15"/>
      <c r="K397" s="47"/>
      <c r="L397" s="76"/>
      <c r="M397" s="76"/>
      <c r="N397" s="78" t="str">
        <f>_xlfn.LET(
    _xlpm.itemBuscado, B397,
    _xlpm.areaBuscada, C397,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TEXT(COUNTIF($C$2:C397, _xlpm.areaBuscada), "0000"),
    _xlpm.codItem &amp; "-" &amp; _xlpm.codArea &amp; "-" &amp; _xlpm.secuencia
)</f>
        <v>-SinArea-0000</v>
      </c>
      <c r="O397" s="77"/>
      <c r="P397" s="32"/>
      <c r="Q397" s="32"/>
      <c r="R397" s="32"/>
      <c r="S397" s="32"/>
    </row>
    <row r="398" spans="3:19" x14ac:dyDescent="0.3">
      <c r="C398" s="11"/>
      <c r="D398" s="32"/>
      <c r="E398" s="11"/>
      <c r="J398" s="15"/>
      <c r="K398" s="47"/>
      <c r="L398" s="76"/>
      <c r="M398" s="76"/>
      <c r="N398" s="78" t="str">
        <f>_xlfn.LET(
    _xlpm.itemBuscado, B398,
    _xlpm.areaBuscada, C398,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TEXT(COUNTIF($C$2:C398, _xlpm.areaBuscada), "0000"),
    _xlpm.codItem &amp; "-" &amp; _xlpm.codArea &amp; "-" &amp; _xlpm.secuencia
)</f>
        <v>-SinArea-0000</v>
      </c>
      <c r="O398" s="77"/>
      <c r="P398" s="32"/>
      <c r="Q398" s="32"/>
      <c r="R398" s="32"/>
      <c r="S398" s="32"/>
    </row>
    <row r="399" spans="3:19" x14ac:dyDescent="0.3">
      <c r="C399" s="11"/>
      <c r="D399" s="32"/>
      <c r="E399" s="11"/>
      <c r="J399" s="15"/>
      <c r="K399" s="47"/>
      <c r="L399" s="76"/>
      <c r="M399" s="76"/>
      <c r="N399" s="78" t="str">
        <f>_xlfn.LET(
    _xlpm.itemBuscado, B399,
    _xlpm.areaBuscada, C399,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TEXT(COUNTIF($C$2:C399, _xlpm.areaBuscada), "0000"),
    _xlpm.codItem &amp; "-" &amp; _xlpm.codArea &amp; "-" &amp; _xlpm.secuencia
)</f>
        <v>-SinArea-0000</v>
      </c>
      <c r="O399" s="77"/>
      <c r="P399" s="32"/>
      <c r="Q399" s="32"/>
      <c r="R399" s="32"/>
      <c r="S399" s="32"/>
    </row>
    <row r="400" spans="3:19" x14ac:dyDescent="0.3">
      <c r="C400" s="11"/>
      <c r="D400" s="32"/>
      <c r="E400" s="11"/>
      <c r="J400" s="15"/>
      <c r="K400" s="47"/>
      <c r="L400" s="76"/>
      <c r="M400" s="76"/>
      <c r="N400" s="78" t="str">
        <f>_xlfn.LET(
    _xlpm.itemBuscado, B400,
    _xlpm.areaBuscada, C400,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TEXT(COUNTIF($C$2:C400, _xlpm.areaBuscada), "0000"),
    _xlpm.codItem &amp; "-" &amp; _xlpm.codArea &amp; "-" &amp; _xlpm.secuencia
)</f>
        <v>-SinArea-0000</v>
      </c>
      <c r="O400" s="77"/>
      <c r="P400" s="32"/>
      <c r="Q400" s="32"/>
      <c r="R400" s="32"/>
      <c r="S400" s="32"/>
    </row>
    <row r="401" spans="3:19" x14ac:dyDescent="0.3">
      <c r="C401" s="11"/>
      <c r="D401" s="32"/>
      <c r="E401" s="11"/>
      <c r="J401" s="15"/>
      <c r="K401" s="47"/>
      <c r="L401" s="76"/>
      <c r="M401" s="76"/>
      <c r="N401" s="78" t="str">
        <f>_xlfn.LET(
    _xlpm.itemBuscado, B401,
    _xlpm.areaBuscada, C401,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TEXT(COUNTIF($C$2:C401, _xlpm.areaBuscada), "0000"),
    _xlpm.codItem &amp; "-" &amp; _xlpm.codArea &amp; "-" &amp; _xlpm.secuencia
)</f>
        <v>-SinArea-0000</v>
      </c>
      <c r="O401" s="77"/>
      <c r="P401" s="32"/>
      <c r="Q401" s="32"/>
      <c r="R401" s="32"/>
      <c r="S401" s="32"/>
    </row>
    <row r="402" spans="3:19" x14ac:dyDescent="0.3">
      <c r="C402" s="11"/>
      <c r="D402" s="32"/>
      <c r="E402" s="11"/>
      <c r="J402" s="15"/>
      <c r="K402" s="47"/>
      <c r="L402" s="76"/>
      <c r="M402" s="76"/>
      <c r="N402" s="78" t="str">
        <f>_xlfn.LET(
    _xlpm.itemBuscado, B402,
    _xlpm.areaBuscada, C402,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TEXT(COUNTIF($C$2:C402, _xlpm.areaBuscada), "0000"),
    _xlpm.codItem &amp; "-" &amp; _xlpm.codArea &amp; "-" &amp; _xlpm.secuencia
)</f>
        <v>-SinArea-0000</v>
      </c>
      <c r="O402" s="77"/>
      <c r="P402" s="32"/>
      <c r="Q402" s="32"/>
      <c r="R402" s="32"/>
      <c r="S402" s="32"/>
    </row>
    <row r="403" spans="3:19" x14ac:dyDescent="0.3">
      <c r="C403" s="11"/>
      <c r="D403" s="32"/>
      <c r="E403" s="11"/>
      <c r="J403" s="15"/>
      <c r="K403" s="47"/>
      <c r="L403" s="76"/>
      <c r="M403" s="76"/>
      <c r="N403" s="78" t="str">
        <f>_xlfn.LET(
    _xlpm.itemBuscado, B403,
    _xlpm.areaBuscada, C403,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TEXT(COUNTIF($C$2:C403, _xlpm.areaBuscada), "0000"),
    _xlpm.codItem &amp; "-" &amp; _xlpm.codArea &amp; "-" &amp; _xlpm.secuencia
)</f>
        <v>-SinArea-0000</v>
      </c>
      <c r="O403" s="77"/>
      <c r="P403" s="32"/>
      <c r="Q403" s="32"/>
      <c r="R403" s="32"/>
      <c r="S403" s="32"/>
    </row>
    <row r="404" spans="3:19" x14ac:dyDescent="0.3">
      <c r="C404" s="11"/>
      <c r="D404" s="32"/>
      <c r="E404" s="11"/>
      <c r="J404" s="15"/>
      <c r="K404" s="47"/>
      <c r="L404" s="76"/>
      <c r="M404" s="76"/>
      <c r="N404" s="78" t="str">
        <f>_xlfn.LET(
    _xlpm.itemBuscado, B404,
    _xlpm.areaBuscada, C404,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TEXT(COUNTIF($C$2:C404, _xlpm.areaBuscada), "0000"),
    _xlpm.codItem &amp; "-" &amp; _xlpm.codArea &amp; "-" &amp; _xlpm.secuencia
)</f>
        <v>-SinArea-0000</v>
      </c>
      <c r="O404" s="77"/>
      <c r="P404" s="32"/>
      <c r="Q404" s="32"/>
      <c r="R404" s="32"/>
      <c r="S404" s="32"/>
    </row>
    <row r="405" spans="3:19" x14ac:dyDescent="0.3">
      <c r="C405" s="11"/>
      <c r="D405" s="32"/>
      <c r="E405" s="11"/>
      <c r="J405" s="15"/>
      <c r="K405" s="47"/>
      <c r="L405" s="76"/>
      <c r="M405" s="76"/>
      <c r="N405" s="78" t="str">
        <f>_xlfn.LET(
    _xlpm.itemBuscado, B405,
    _xlpm.areaBuscada, C405,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TEXT(COUNTIF($C$2:C405, _xlpm.areaBuscada), "0000"),
    _xlpm.codItem &amp; "-" &amp; _xlpm.codArea &amp; "-" &amp; _xlpm.secuencia
)</f>
        <v>-SinArea-0000</v>
      </c>
      <c r="O405" s="77"/>
      <c r="P405" s="32"/>
      <c r="Q405" s="32"/>
      <c r="R405" s="32"/>
      <c r="S405" s="32"/>
    </row>
    <row r="406" spans="3:19" x14ac:dyDescent="0.3">
      <c r="C406" s="11"/>
      <c r="D406" s="32"/>
      <c r="E406" s="11"/>
      <c r="J406" s="15"/>
      <c r="K406" s="47"/>
      <c r="L406" s="76"/>
      <c r="M406" s="76"/>
      <c r="N406" s="78" t="str">
        <f>_xlfn.LET(
    _xlpm.itemBuscado, B406,
    _xlpm.areaBuscada, C406,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TEXT(COUNTIF($C$2:C406, _xlpm.areaBuscada), "0000"),
    _xlpm.codItem &amp; "-" &amp; _xlpm.codArea &amp; "-" &amp; _xlpm.secuencia
)</f>
        <v>-SinArea-0000</v>
      </c>
      <c r="O406" s="77"/>
      <c r="P406" s="32"/>
      <c r="Q406" s="32"/>
      <c r="R406" s="32"/>
      <c r="S406" s="32"/>
    </row>
    <row r="407" spans="3:19" x14ac:dyDescent="0.3">
      <c r="C407" s="11"/>
      <c r="D407" s="32"/>
      <c r="E407" s="11"/>
      <c r="J407" s="15"/>
      <c r="K407" s="47"/>
      <c r="L407" s="76"/>
      <c r="M407" s="76"/>
      <c r="N407" s="78" t="str">
        <f>_xlfn.LET(
    _xlpm.itemBuscado, B407,
    _xlpm.areaBuscada, C407,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TEXT(COUNTIF($C$2:C407, _xlpm.areaBuscada), "0000"),
    _xlpm.codItem &amp; "-" &amp; _xlpm.codArea &amp; "-" &amp; _xlpm.secuencia
)</f>
        <v>-SinArea-0000</v>
      </c>
      <c r="O407" s="77"/>
      <c r="P407" s="32"/>
      <c r="Q407" s="32"/>
      <c r="R407" s="32"/>
      <c r="S407" s="32"/>
    </row>
    <row r="408" spans="3:19" x14ac:dyDescent="0.3">
      <c r="C408" s="11"/>
      <c r="D408" s="32"/>
      <c r="E408" s="11"/>
      <c r="J408" s="15"/>
      <c r="K408" s="47"/>
      <c r="L408" s="76"/>
      <c r="M408" s="76"/>
      <c r="N408" s="78" t="str">
        <f>_xlfn.LET(
    _xlpm.itemBuscado, B408,
    _xlpm.areaBuscada, C408,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TEXT(COUNTIF($C$2:C408, _xlpm.areaBuscada), "0000"),
    _xlpm.codItem &amp; "-" &amp; _xlpm.codArea &amp; "-" &amp; _xlpm.secuencia
)</f>
        <v>-SinArea-0000</v>
      </c>
      <c r="O408" s="77"/>
      <c r="P408" s="32"/>
      <c r="Q408" s="32"/>
      <c r="R408" s="32"/>
      <c r="S408" s="32"/>
    </row>
    <row r="409" spans="3:19" x14ac:dyDescent="0.3">
      <c r="C409" s="11"/>
      <c r="D409" s="32"/>
      <c r="E409" s="11"/>
      <c r="J409" s="15"/>
      <c r="K409" s="47"/>
      <c r="L409" s="76"/>
      <c r="M409" s="76"/>
      <c r="N409" s="78" t="str">
        <f>_xlfn.LET(
    _xlpm.itemBuscado, B409,
    _xlpm.areaBuscada, C409,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TEXT(COUNTIF($C$2:C409, _xlpm.areaBuscada), "0000"),
    _xlpm.codItem &amp; "-" &amp; _xlpm.codArea &amp; "-" &amp; _xlpm.secuencia
)</f>
        <v>-SinArea-0000</v>
      </c>
      <c r="O409" s="77"/>
      <c r="P409" s="32"/>
      <c r="Q409" s="32"/>
      <c r="R409" s="32"/>
      <c r="S409" s="32"/>
    </row>
    <row r="410" spans="3:19" x14ac:dyDescent="0.3">
      <c r="C410" s="11"/>
      <c r="D410" s="32"/>
      <c r="E410" s="11"/>
      <c r="J410" s="15"/>
      <c r="K410" s="47"/>
      <c r="L410" s="76"/>
      <c r="M410" s="76"/>
      <c r="N410" s="78" t="str">
        <f>_xlfn.LET(
    _xlpm.itemBuscado, B410,
    _xlpm.areaBuscada, C410,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TEXT(COUNTIF($C$2:C410, _xlpm.areaBuscada), "0000"),
    _xlpm.codItem &amp; "-" &amp; _xlpm.codArea &amp; "-" &amp; _xlpm.secuencia
)</f>
        <v>-SinArea-0000</v>
      </c>
      <c r="O410" s="77"/>
      <c r="P410" s="32"/>
      <c r="Q410" s="32"/>
      <c r="R410" s="32"/>
      <c r="S410" s="32"/>
    </row>
    <row r="411" spans="3:19" x14ac:dyDescent="0.3">
      <c r="C411" s="11"/>
      <c r="D411" s="32"/>
      <c r="E411" s="11"/>
      <c r="J411" s="15"/>
      <c r="K411" s="47"/>
      <c r="L411" s="76"/>
      <c r="M411" s="76"/>
      <c r="N411" s="78" t="str">
        <f>_xlfn.LET(
    _xlpm.itemBuscado, B411,
    _xlpm.areaBuscada, C411,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TEXT(COUNTIF($C$2:C411, _xlpm.areaBuscada), "0000"),
    _xlpm.codItem &amp; "-" &amp; _xlpm.codArea &amp; "-" &amp; _xlpm.secuencia
)</f>
        <v>-SinArea-0000</v>
      </c>
      <c r="O411" s="77"/>
      <c r="P411" s="32"/>
      <c r="Q411" s="32"/>
      <c r="R411" s="32"/>
      <c r="S411" s="32"/>
    </row>
    <row r="412" spans="3:19" x14ac:dyDescent="0.3">
      <c r="C412" s="11"/>
      <c r="D412" s="32"/>
      <c r="E412" s="11"/>
      <c r="J412" s="15"/>
      <c r="K412" s="47"/>
      <c r="L412" s="76"/>
      <c r="M412" s="76"/>
      <c r="N412" s="78" t="str">
        <f>_xlfn.LET(
    _xlpm.itemBuscado, B412,
    _xlpm.areaBuscada, C412,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TEXT(COUNTIF($C$2:C412, _xlpm.areaBuscada), "0000"),
    _xlpm.codItem &amp; "-" &amp; _xlpm.codArea &amp; "-" &amp; _xlpm.secuencia
)</f>
        <v>-SinArea-0000</v>
      </c>
      <c r="O412" s="77"/>
      <c r="P412" s="32"/>
      <c r="Q412" s="32"/>
      <c r="R412" s="32"/>
      <c r="S412" s="32"/>
    </row>
    <row r="413" spans="3:19" x14ac:dyDescent="0.3">
      <c r="C413" s="11"/>
      <c r="D413" s="32"/>
      <c r="E413" s="11"/>
      <c r="J413" s="15"/>
      <c r="K413" s="47"/>
      <c r="L413" s="76"/>
      <c r="M413" s="76"/>
      <c r="N413" s="78" t="str">
        <f>_xlfn.LET(
    _xlpm.itemBuscado, B413,
    _xlpm.areaBuscada, C413,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TEXT(COUNTIF($C$2:C413, _xlpm.areaBuscada), "0000"),
    _xlpm.codItem &amp; "-" &amp; _xlpm.codArea &amp; "-" &amp; _xlpm.secuencia
)</f>
        <v>-SinArea-0000</v>
      </c>
      <c r="O413" s="77"/>
      <c r="P413" s="32"/>
      <c r="Q413" s="32"/>
      <c r="R413" s="32"/>
      <c r="S413" s="32"/>
    </row>
    <row r="414" spans="3:19" x14ac:dyDescent="0.3">
      <c r="C414" s="11"/>
      <c r="D414" s="32"/>
      <c r="E414" s="11"/>
      <c r="J414" s="15"/>
      <c r="K414" s="47"/>
      <c r="L414" s="76"/>
      <c r="M414" s="76"/>
      <c r="N414" s="78" t="str">
        <f>_xlfn.LET(
    _xlpm.itemBuscado, B414,
    _xlpm.areaBuscada, C414,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TEXT(COUNTIF($C$2:C414, _xlpm.areaBuscada), "0000"),
    _xlpm.codItem &amp; "-" &amp; _xlpm.codArea &amp; "-" &amp; _xlpm.secuencia
)</f>
        <v>-SinArea-0000</v>
      </c>
      <c r="O414" s="77"/>
      <c r="P414" s="32"/>
      <c r="Q414" s="32"/>
      <c r="R414" s="32"/>
      <c r="S414" s="32"/>
    </row>
    <row r="415" spans="3:19" x14ac:dyDescent="0.3">
      <c r="C415" s="11"/>
      <c r="D415" s="32"/>
      <c r="E415" s="11"/>
      <c r="J415" s="15"/>
      <c r="K415" s="47"/>
      <c r="L415" s="76"/>
      <c r="M415" s="76"/>
      <c r="N415" s="78" t="str">
        <f>_xlfn.LET(
    _xlpm.itemBuscado, B415,
    _xlpm.areaBuscada, C415,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TEXT(COUNTIF($C$2:C415, _xlpm.areaBuscada), "0000"),
    _xlpm.codItem &amp; "-" &amp; _xlpm.codArea &amp; "-" &amp; _xlpm.secuencia
)</f>
        <v>-SinArea-0000</v>
      </c>
      <c r="O415" s="77"/>
      <c r="P415" s="32"/>
      <c r="Q415" s="32"/>
      <c r="R415" s="32"/>
      <c r="S415" s="32"/>
    </row>
    <row r="416" spans="3:19" x14ac:dyDescent="0.3">
      <c r="C416" s="11"/>
      <c r="D416" s="32"/>
      <c r="E416" s="11"/>
      <c r="J416" s="15"/>
      <c r="K416" s="47"/>
      <c r="L416" s="76"/>
      <c r="M416" s="76"/>
      <c r="N416" s="78" t="str">
        <f>_xlfn.LET(
    _xlpm.itemBuscado, B416,
    _xlpm.areaBuscada, C416,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TEXT(COUNTIF($C$2:C416, _xlpm.areaBuscada), "0000"),
    _xlpm.codItem &amp; "-" &amp; _xlpm.codArea &amp; "-" &amp; _xlpm.secuencia
)</f>
        <v>-SinArea-0000</v>
      </c>
      <c r="O416" s="77"/>
      <c r="P416" s="32"/>
      <c r="Q416" s="32"/>
      <c r="R416" s="32"/>
      <c r="S416" s="32"/>
    </row>
    <row r="417" spans="3:19" x14ac:dyDescent="0.3">
      <c r="C417" s="11"/>
      <c r="D417" s="32"/>
      <c r="E417" s="11"/>
      <c r="J417" s="15"/>
      <c r="K417" s="47"/>
      <c r="L417" s="76"/>
      <c r="M417" s="76"/>
      <c r="N417" s="78" t="str">
        <f>_xlfn.LET(
    _xlpm.itemBuscado, B417,
    _xlpm.areaBuscada, C417,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TEXT(COUNTIF($C$2:C417, _xlpm.areaBuscada), "0000"),
    _xlpm.codItem &amp; "-" &amp; _xlpm.codArea &amp; "-" &amp; _xlpm.secuencia
)</f>
        <v>-SinArea-0000</v>
      </c>
      <c r="O417" s="77"/>
      <c r="P417" s="32"/>
      <c r="Q417" s="32"/>
      <c r="R417" s="32"/>
      <c r="S417" s="32"/>
    </row>
    <row r="418" spans="3:19" x14ac:dyDescent="0.3">
      <c r="C418" s="11"/>
      <c r="D418" s="32"/>
      <c r="E418" s="11"/>
      <c r="J418" s="15"/>
      <c r="K418" s="47"/>
      <c r="L418" s="76"/>
      <c r="M418" s="76"/>
      <c r="N418" s="78" t="str">
        <f>_xlfn.LET(
    _xlpm.itemBuscado, B418,
    _xlpm.areaBuscada, C418,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TEXT(COUNTIF($C$2:C418, _xlpm.areaBuscada), "0000"),
    _xlpm.codItem &amp; "-" &amp; _xlpm.codArea &amp; "-" &amp; _xlpm.secuencia
)</f>
        <v>-SinArea-0000</v>
      </c>
      <c r="O418" s="77"/>
      <c r="P418" s="32"/>
      <c r="Q418" s="32"/>
      <c r="R418" s="32"/>
      <c r="S418" s="32"/>
    </row>
    <row r="419" spans="3:19" x14ac:dyDescent="0.3">
      <c r="C419" s="11"/>
      <c r="D419" s="32"/>
      <c r="E419" s="11"/>
      <c r="J419" s="15"/>
      <c r="K419" s="47"/>
      <c r="L419" s="76"/>
      <c r="M419" s="76"/>
      <c r="N419" s="78" t="str">
        <f>_xlfn.LET(
    _xlpm.itemBuscado, B419,
    _xlpm.areaBuscada, C419,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TEXT(COUNTIF($C$2:C419, _xlpm.areaBuscada), "0000"),
    _xlpm.codItem &amp; "-" &amp; _xlpm.codArea &amp; "-" &amp; _xlpm.secuencia
)</f>
        <v>-SinArea-0000</v>
      </c>
      <c r="O419" s="77"/>
      <c r="P419" s="32"/>
      <c r="Q419" s="32"/>
      <c r="R419" s="32"/>
      <c r="S419" s="32"/>
    </row>
    <row r="420" spans="3:19" x14ac:dyDescent="0.3">
      <c r="C420" s="11"/>
      <c r="D420" s="32"/>
      <c r="E420" s="11"/>
      <c r="J420" s="15"/>
      <c r="K420" s="47"/>
      <c r="L420" s="76"/>
      <c r="M420" s="76"/>
      <c r="N420" s="78" t="str">
        <f>_xlfn.LET(
    _xlpm.itemBuscado, B420,
    _xlpm.areaBuscada, C420,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TEXT(COUNTIF($C$2:C420, _xlpm.areaBuscada), "0000"),
    _xlpm.codItem &amp; "-" &amp; _xlpm.codArea &amp; "-" &amp; _xlpm.secuencia
)</f>
        <v>-SinArea-0000</v>
      </c>
      <c r="O420" s="77"/>
      <c r="P420" s="32"/>
      <c r="Q420" s="32"/>
      <c r="R420" s="32"/>
      <c r="S420" s="32"/>
    </row>
    <row r="421" spans="3:19" x14ac:dyDescent="0.3">
      <c r="C421" s="11"/>
      <c r="D421" s="32"/>
      <c r="E421" s="11"/>
      <c r="J421" s="15"/>
      <c r="K421" s="47"/>
      <c r="L421" s="76"/>
      <c r="M421" s="76"/>
      <c r="N421" s="78" t="str">
        <f>_xlfn.LET(
    _xlpm.itemBuscado, B421,
    _xlpm.areaBuscada, C421,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TEXT(COUNTIF($C$2:C421, _xlpm.areaBuscada), "0000"),
    _xlpm.codItem &amp; "-" &amp; _xlpm.codArea &amp; "-" &amp; _xlpm.secuencia
)</f>
        <v>-SinArea-0000</v>
      </c>
      <c r="O421" s="77"/>
      <c r="P421" s="32"/>
      <c r="Q421" s="32"/>
      <c r="R421" s="32"/>
      <c r="S421" s="32"/>
    </row>
    <row r="422" spans="3:19" x14ac:dyDescent="0.3">
      <c r="C422" s="11"/>
      <c r="D422" s="32"/>
      <c r="E422" s="11"/>
      <c r="J422" s="15"/>
      <c r="K422" s="47"/>
      <c r="L422" s="76"/>
      <c r="M422" s="76"/>
      <c r="N422" s="78" t="str">
        <f>_xlfn.LET(
    _xlpm.itemBuscado, B422,
    _xlpm.areaBuscada, C422,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TEXT(COUNTIF($C$2:C422, _xlpm.areaBuscada), "0000"),
    _xlpm.codItem &amp; "-" &amp; _xlpm.codArea &amp; "-" &amp; _xlpm.secuencia
)</f>
        <v>-SinArea-0000</v>
      </c>
      <c r="O422" s="77"/>
      <c r="P422" s="32"/>
      <c r="Q422" s="32"/>
      <c r="R422" s="32"/>
      <c r="S422" s="32"/>
    </row>
    <row r="423" spans="3:19" x14ac:dyDescent="0.3">
      <c r="C423" s="11"/>
      <c r="D423" s="32"/>
      <c r="E423" s="11"/>
      <c r="J423" s="15"/>
      <c r="K423" s="47"/>
      <c r="L423" s="76"/>
      <c r="M423" s="76"/>
      <c r="N423" s="78" t="str">
        <f>_xlfn.LET(
    _xlpm.itemBuscado, B423,
    _xlpm.areaBuscada, C423,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TEXT(COUNTIF($C$2:C423, _xlpm.areaBuscada), "0000"),
    _xlpm.codItem &amp; "-" &amp; _xlpm.codArea &amp; "-" &amp; _xlpm.secuencia
)</f>
        <v>-SinArea-0000</v>
      </c>
      <c r="O423" s="77"/>
      <c r="P423" s="32"/>
      <c r="Q423" s="32"/>
      <c r="R423" s="32"/>
      <c r="S423" s="32"/>
    </row>
    <row r="424" spans="3:19" x14ac:dyDescent="0.3">
      <c r="C424" s="11"/>
      <c r="D424" s="32"/>
      <c r="E424" s="11"/>
      <c r="J424" s="15"/>
      <c r="K424" s="47"/>
      <c r="L424" s="76"/>
      <c r="M424" s="76"/>
      <c r="N424" s="78" t="str">
        <f>_xlfn.LET(
    _xlpm.itemBuscado, B424,
    _xlpm.areaBuscada, C424,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TEXT(COUNTIF($C$2:C424, _xlpm.areaBuscada), "0000"),
    _xlpm.codItem &amp; "-" &amp; _xlpm.codArea &amp; "-" &amp; _xlpm.secuencia
)</f>
        <v>-SinArea-0000</v>
      </c>
      <c r="O424" s="77"/>
      <c r="P424" s="32"/>
      <c r="Q424" s="32"/>
      <c r="R424" s="32"/>
      <c r="S424" s="32"/>
    </row>
    <row r="425" spans="3:19" x14ac:dyDescent="0.3">
      <c r="C425" s="11"/>
      <c r="D425" s="32"/>
      <c r="E425" s="11"/>
      <c r="J425" s="15"/>
      <c r="K425" s="47"/>
      <c r="L425" s="76"/>
      <c r="M425" s="76"/>
      <c r="N425" s="78" t="str">
        <f>_xlfn.LET(
    _xlpm.itemBuscado, B425,
    _xlpm.areaBuscada, C425,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TEXT(COUNTIF($C$2:C425, _xlpm.areaBuscada), "0000"),
    _xlpm.codItem &amp; "-" &amp; _xlpm.codArea &amp; "-" &amp; _xlpm.secuencia
)</f>
        <v>-SinArea-0000</v>
      </c>
      <c r="O425" s="77"/>
      <c r="P425" s="32"/>
      <c r="Q425" s="32"/>
      <c r="R425" s="32"/>
      <c r="S425" s="32"/>
    </row>
    <row r="426" spans="3:19" x14ac:dyDescent="0.3">
      <c r="C426" s="11"/>
      <c r="D426" s="32"/>
      <c r="E426" s="11"/>
      <c r="J426" s="15"/>
      <c r="K426" s="47"/>
      <c r="L426" s="76"/>
      <c r="M426" s="76"/>
      <c r="N426" s="78" t="str">
        <f>_xlfn.LET(
    _xlpm.itemBuscado, B426,
    _xlpm.areaBuscada, C426,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TEXT(COUNTIF($C$2:C426, _xlpm.areaBuscada), "0000"),
    _xlpm.codItem &amp; "-" &amp; _xlpm.codArea &amp; "-" &amp; _xlpm.secuencia
)</f>
        <v>-SinArea-0000</v>
      </c>
      <c r="O426" s="77"/>
      <c r="P426" s="32"/>
      <c r="Q426" s="32"/>
      <c r="R426" s="32"/>
      <c r="S426" s="32"/>
    </row>
    <row r="427" spans="3:19" x14ac:dyDescent="0.3">
      <c r="C427" s="11"/>
      <c r="D427" s="32"/>
      <c r="E427" s="11"/>
      <c r="J427" s="15"/>
      <c r="K427" s="47"/>
      <c r="L427" s="76"/>
      <c r="M427" s="76"/>
      <c r="N427" s="78" t="str">
        <f>_xlfn.LET(
    _xlpm.itemBuscado, B427,
    _xlpm.areaBuscada, C427,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TEXT(COUNTIF($C$2:C427, _xlpm.areaBuscada), "0000"),
    _xlpm.codItem &amp; "-" &amp; _xlpm.codArea &amp; "-" &amp; _xlpm.secuencia
)</f>
        <v>-SinArea-0000</v>
      </c>
      <c r="O427" s="77"/>
      <c r="P427" s="32"/>
      <c r="Q427" s="32"/>
      <c r="R427" s="32"/>
      <c r="S427" s="32"/>
    </row>
    <row r="428" spans="3:19" x14ac:dyDescent="0.3">
      <c r="C428" s="11"/>
      <c r="D428" s="32"/>
      <c r="E428" s="11"/>
      <c r="J428" s="15"/>
      <c r="K428" s="47"/>
      <c r="L428" s="76"/>
      <c r="M428" s="76"/>
      <c r="N428" s="78" t="str">
        <f>_xlfn.LET(
    _xlpm.itemBuscado, B428,
    _xlpm.areaBuscada, C428,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TEXT(COUNTIF($C$2:C428, _xlpm.areaBuscada), "0000"),
    _xlpm.codItem &amp; "-" &amp; _xlpm.codArea &amp; "-" &amp; _xlpm.secuencia
)</f>
        <v>-SinArea-0000</v>
      </c>
      <c r="O428" s="77"/>
      <c r="P428" s="32"/>
      <c r="Q428" s="32"/>
      <c r="R428" s="32"/>
      <c r="S428" s="32"/>
    </row>
    <row r="429" spans="3:19" x14ac:dyDescent="0.3">
      <c r="C429" s="11"/>
      <c r="D429" s="32"/>
      <c r="E429" s="11"/>
      <c r="J429" s="15"/>
      <c r="K429" s="47"/>
      <c r="L429" s="76"/>
      <c r="M429" s="76"/>
      <c r="N429" s="78" t="str">
        <f>_xlfn.LET(
    _xlpm.itemBuscado, B429,
    _xlpm.areaBuscada, C429,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TEXT(COUNTIF($C$2:C429, _xlpm.areaBuscada), "0000"),
    _xlpm.codItem &amp; "-" &amp; _xlpm.codArea &amp; "-" &amp; _xlpm.secuencia
)</f>
        <v>-SinArea-0000</v>
      </c>
      <c r="O429" s="77"/>
      <c r="P429" s="32"/>
      <c r="Q429" s="32"/>
      <c r="R429" s="32"/>
      <c r="S429" s="32"/>
    </row>
    <row r="430" spans="3:19" x14ac:dyDescent="0.3">
      <c r="C430" s="11"/>
      <c r="D430" s="32"/>
      <c r="E430" s="11"/>
      <c r="J430" s="15"/>
      <c r="K430" s="47"/>
      <c r="L430" s="76"/>
      <c r="M430" s="76"/>
      <c r="N430" s="78" t="str">
        <f>_xlfn.LET(
    _xlpm.itemBuscado, B430,
    _xlpm.areaBuscada, C430,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TEXT(COUNTIF($C$2:C430, _xlpm.areaBuscada), "0000"),
    _xlpm.codItem &amp; "-" &amp; _xlpm.codArea &amp; "-" &amp; _xlpm.secuencia
)</f>
        <v>-SinArea-0000</v>
      </c>
      <c r="O430" s="77"/>
      <c r="P430" s="32"/>
      <c r="Q430" s="32"/>
      <c r="R430" s="32"/>
      <c r="S430" s="32"/>
    </row>
    <row r="431" spans="3:19" x14ac:dyDescent="0.3">
      <c r="C431" s="11"/>
      <c r="D431" s="32"/>
      <c r="E431" s="11"/>
      <c r="J431" s="15"/>
      <c r="K431" s="47"/>
      <c r="L431" s="76"/>
      <c r="M431" s="76"/>
      <c r="N431" s="78" t="str">
        <f>_xlfn.LET(
    _xlpm.itemBuscado, B431,
    _xlpm.areaBuscada, C431,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TEXT(COUNTIF($C$2:C431, _xlpm.areaBuscada), "0000"),
    _xlpm.codItem &amp; "-" &amp; _xlpm.codArea &amp; "-" &amp; _xlpm.secuencia
)</f>
        <v>-SinArea-0000</v>
      </c>
      <c r="O431" s="77"/>
      <c r="P431" s="32"/>
      <c r="Q431" s="32"/>
      <c r="R431" s="32"/>
      <c r="S431" s="32"/>
    </row>
    <row r="432" spans="3:19" x14ac:dyDescent="0.3">
      <c r="C432" s="11"/>
      <c r="D432" s="32"/>
      <c r="E432" s="11"/>
      <c r="J432" s="15"/>
      <c r="K432" s="47"/>
      <c r="L432" s="76"/>
      <c r="M432" s="76"/>
      <c r="N432" s="78" t="str">
        <f>_xlfn.LET(
    _xlpm.itemBuscado, B432,
    _xlpm.areaBuscada, C432,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TEXT(COUNTIF($C$2:C432, _xlpm.areaBuscada), "0000"),
    _xlpm.codItem &amp; "-" &amp; _xlpm.codArea &amp; "-" &amp; _xlpm.secuencia
)</f>
        <v>-SinArea-0000</v>
      </c>
      <c r="O432" s="77"/>
      <c r="P432" s="32"/>
      <c r="Q432" s="32"/>
      <c r="R432" s="32"/>
      <c r="S432" s="32"/>
    </row>
    <row r="433" spans="3:19" x14ac:dyDescent="0.3">
      <c r="C433" s="11"/>
      <c r="D433" s="32"/>
      <c r="E433" s="11"/>
      <c r="J433" s="15"/>
      <c r="K433" s="47"/>
      <c r="L433" s="76"/>
      <c r="M433" s="76"/>
      <c r="N433" s="78" t="str">
        <f>_xlfn.LET(
    _xlpm.itemBuscado, B433,
    _xlpm.areaBuscada, C433,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TEXT(COUNTIF($C$2:C433, _xlpm.areaBuscada), "0000"),
    _xlpm.codItem &amp; "-" &amp; _xlpm.codArea &amp; "-" &amp; _xlpm.secuencia
)</f>
        <v>-SinArea-0000</v>
      </c>
      <c r="O433" s="77"/>
      <c r="P433" s="32"/>
      <c r="Q433" s="32"/>
      <c r="R433" s="32"/>
      <c r="S433" s="32"/>
    </row>
    <row r="434" spans="3:19" x14ac:dyDescent="0.3">
      <c r="C434" s="11"/>
      <c r="D434" s="32"/>
      <c r="E434" s="11"/>
      <c r="J434" s="15"/>
      <c r="K434" s="47"/>
      <c r="L434" s="76"/>
      <c r="M434" s="76"/>
      <c r="N434" s="78" t="str">
        <f>_xlfn.LET(
    _xlpm.itemBuscado, B434,
    _xlpm.areaBuscada, C434,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TEXT(COUNTIF($C$2:C434, _xlpm.areaBuscada), "0000"),
    _xlpm.codItem &amp; "-" &amp; _xlpm.codArea &amp; "-" &amp; _xlpm.secuencia
)</f>
        <v>-SinArea-0000</v>
      </c>
      <c r="O434" s="77"/>
      <c r="P434" s="32"/>
      <c r="Q434" s="32"/>
      <c r="R434" s="32"/>
      <c r="S434" s="32"/>
    </row>
    <row r="435" spans="3:19" x14ac:dyDescent="0.3">
      <c r="C435" s="11"/>
      <c r="D435" s="32"/>
      <c r="E435" s="11"/>
      <c r="J435" s="15"/>
      <c r="K435" s="47"/>
      <c r="L435" s="76"/>
      <c r="M435" s="76"/>
      <c r="N435" s="78" t="str">
        <f>_xlfn.LET(
    _xlpm.itemBuscado, B435,
    _xlpm.areaBuscada, C435,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TEXT(COUNTIF($C$2:C435, _xlpm.areaBuscada), "0000"),
    _xlpm.codItem &amp; "-" &amp; _xlpm.codArea &amp; "-" &amp; _xlpm.secuencia
)</f>
        <v>-SinArea-0000</v>
      </c>
      <c r="O435" s="77"/>
      <c r="P435" s="32"/>
      <c r="Q435" s="32"/>
      <c r="R435" s="32"/>
      <c r="S435" s="32"/>
    </row>
    <row r="436" spans="3:19" x14ac:dyDescent="0.3">
      <c r="C436" s="11"/>
      <c r="D436" s="32"/>
      <c r="E436" s="11"/>
      <c r="J436" s="15"/>
      <c r="K436" s="47"/>
      <c r="L436" s="76"/>
      <c r="M436" s="76"/>
      <c r="N436" s="78" t="str">
        <f>_xlfn.LET(
    _xlpm.itemBuscado, B436,
    _xlpm.areaBuscada, C436,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TEXT(COUNTIF($C$2:C436, _xlpm.areaBuscada), "0000"),
    _xlpm.codItem &amp; "-" &amp; _xlpm.codArea &amp; "-" &amp; _xlpm.secuencia
)</f>
        <v>-SinArea-0000</v>
      </c>
      <c r="O436" s="77"/>
      <c r="P436" s="32"/>
      <c r="Q436" s="32"/>
      <c r="R436" s="32"/>
      <c r="S436" s="32"/>
    </row>
    <row r="437" spans="3:19" x14ac:dyDescent="0.3">
      <c r="C437" s="11"/>
      <c r="D437" s="32"/>
      <c r="E437" s="11"/>
      <c r="J437" s="15"/>
      <c r="K437" s="47"/>
      <c r="L437" s="76"/>
      <c r="M437" s="76"/>
      <c r="N437" s="78" t="str">
        <f>_xlfn.LET(
    _xlpm.itemBuscado, B437,
    _xlpm.areaBuscada, C437,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TEXT(COUNTIF($C$2:C437, _xlpm.areaBuscada), "0000"),
    _xlpm.codItem &amp; "-" &amp; _xlpm.codArea &amp; "-" &amp; _xlpm.secuencia
)</f>
        <v>-SinArea-0000</v>
      </c>
      <c r="O437" s="77"/>
      <c r="P437" s="32"/>
      <c r="Q437" s="32"/>
      <c r="R437" s="32"/>
      <c r="S437" s="32"/>
    </row>
    <row r="438" spans="3:19" x14ac:dyDescent="0.3">
      <c r="C438" s="11"/>
      <c r="D438" s="32"/>
      <c r="E438" s="11"/>
      <c r="J438" s="15"/>
      <c r="K438" s="47"/>
      <c r="L438" s="76"/>
      <c r="M438" s="76"/>
      <c r="N438" s="78" t="str">
        <f>_xlfn.LET(
    _xlpm.itemBuscado, B438,
    _xlpm.areaBuscada, C438,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TEXT(COUNTIF($C$2:C438, _xlpm.areaBuscada), "0000"),
    _xlpm.codItem &amp; "-" &amp; _xlpm.codArea &amp; "-" &amp; _xlpm.secuencia
)</f>
        <v>-SinArea-0000</v>
      </c>
      <c r="O438" s="77"/>
      <c r="P438" s="32"/>
      <c r="Q438" s="32"/>
      <c r="R438" s="32"/>
      <c r="S438" s="32"/>
    </row>
    <row r="439" spans="3:19" x14ac:dyDescent="0.3">
      <c r="C439" s="11"/>
      <c r="D439" s="32"/>
      <c r="E439" s="11"/>
      <c r="J439" s="15"/>
      <c r="K439" s="47"/>
      <c r="L439" s="76"/>
      <c r="M439" s="76"/>
      <c r="N439" s="78" t="str">
        <f>_xlfn.LET(
    _xlpm.itemBuscado, B439,
    _xlpm.areaBuscada, C439,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TEXT(COUNTIF($C$2:C439, _xlpm.areaBuscada), "0000"),
    _xlpm.codItem &amp; "-" &amp; _xlpm.codArea &amp; "-" &amp; _xlpm.secuencia
)</f>
        <v>-SinArea-0000</v>
      </c>
      <c r="O439" s="77"/>
      <c r="P439" s="32"/>
      <c r="Q439" s="32"/>
      <c r="R439" s="32"/>
      <c r="S439" s="32"/>
    </row>
    <row r="440" spans="3:19" x14ac:dyDescent="0.3">
      <c r="C440" s="11"/>
      <c r="D440" s="32"/>
      <c r="E440" s="11"/>
      <c r="J440" s="15"/>
      <c r="K440" s="47"/>
      <c r="L440" s="76"/>
      <c r="M440" s="76"/>
      <c r="N440" s="78" t="str">
        <f>_xlfn.LET(
    _xlpm.itemBuscado, B440,
    _xlpm.areaBuscada, C440,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TEXT(COUNTIF($C$2:C440, _xlpm.areaBuscada), "0000"),
    _xlpm.codItem &amp; "-" &amp; _xlpm.codArea &amp; "-" &amp; _xlpm.secuencia
)</f>
        <v>-SinArea-0000</v>
      </c>
      <c r="O440" s="77"/>
      <c r="P440" s="32"/>
      <c r="Q440" s="32"/>
      <c r="R440" s="32"/>
      <c r="S440" s="32"/>
    </row>
    <row r="441" spans="3:19" x14ac:dyDescent="0.3">
      <c r="C441" s="11"/>
      <c r="D441" s="32"/>
      <c r="E441" s="11"/>
      <c r="J441" s="15"/>
      <c r="K441" s="47"/>
      <c r="L441" s="76"/>
      <c r="M441" s="76"/>
      <c r="N441" s="78" t="str">
        <f>_xlfn.LET(
    _xlpm.itemBuscado, B441,
    _xlpm.areaBuscada, C441,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TEXT(COUNTIF($C$2:C441, _xlpm.areaBuscada), "0000"),
    _xlpm.codItem &amp; "-" &amp; _xlpm.codArea &amp; "-" &amp; _xlpm.secuencia
)</f>
        <v>-SinArea-0000</v>
      </c>
      <c r="O441" s="77"/>
      <c r="P441" s="32"/>
      <c r="Q441" s="32"/>
      <c r="R441" s="32"/>
      <c r="S441" s="32"/>
    </row>
    <row r="442" spans="3:19" x14ac:dyDescent="0.3">
      <c r="C442" s="11"/>
      <c r="D442" s="32"/>
      <c r="E442" s="11"/>
      <c r="J442" s="15"/>
      <c r="K442" s="47"/>
      <c r="L442" s="76"/>
      <c r="M442" s="76"/>
      <c r="N442" s="78" t="str">
        <f>_xlfn.LET(
    _xlpm.itemBuscado, B442,
    _xlpm.areaBuscada, C442,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TEXT(COUNTIF($C$2:C442, _xlpm.areaBuscada), "0000"),
    _xlpm.codItem &amp; "-" &amp; _xlpm.codArea &amp; "-" &amp; _xlpm.secuencia
)</f>
        <v>-SinArea-0000</v>
      </c>
      <c r="O442" s="77"/>
      <c r="P442" s="32"/>
      <c r="Q442" s="32"/>
      <c r="R442" s="32"/>
      <c r="S442" s="32"/>
    </row>
    <row r="443" spans="3:19" x14ac:dyDescent="0.3">
      <c r="C443" s="11"/>
      <c r="D443" s="32"/>
      <c r="E443" s="11"/>
      <c r="J443" s="15"/>
      <c r="K443" s="47"/>
      <c r="L443" s="76"/>
      <c r="M443" s="76"/>
      <c r="N443" s="78" t="str">
        <f>_xlfn.LET(
    _xlpm.itemBuscado, B443,
    _xlpm.areaBuscada, C443,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TEXT(COUNTIF($C$2:C443, _xlpm.areaBuscada), "0000"),
    _xlpm.codItem &amp; "-" &amp; _xlpm.codArea &amp; "-" &amp; _xlpm.secuencia
)</f>
        <v>-SinArea-0000</v>
      </c>
      <c r="O443" s="77"/>
      <c r="P443" s="32"/>
      <c r="Q443" s="32"/>
      <c r="R443" s="32"/>
      <c r="S443" s="32"/>
    </row>
    <row r="444" spans="3:19" x14ac:dyDescent="0.3">
      <c r="C444" s="11"/>
      <c r="D444" s="32"/>
      <c r="E444" s="11"/>
      <c r="J444" s="15"/>
      <c r="K444" s="47"/>
      <c r="L444" s="76"/>
      <c r="M444" s="76"/>
      <c r="N444" s="78" t="str">
        <f>_xlfn.LET(
    _xlpm.itemBuscado, B444,
    _xlpm.areaBuscada, C444,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TEXT(COUNTIF($C$2:C444, _xlpm.areaBuscada), "0000"),
    _xlpm.codItem &amp; "-" &amp; _xlpm.codArea &amp; "-" &amp; _xlpm.secuencia
)</f>
        <v>-SinArea-0000</v>
      </c>
      <c r="O444" s="77"/>
      <c r="P444" s="32"/>
      <c r="Q444" s="32"/>
      <c r="R444" s="32"/>
      <c r="S444" s="32"/>
    </row>
    <row r="445" spans="3:19" x14ac:dyDescent="0.3">
      <c r="C445" s="11"/>
      <c r="D445" s="32"/>
      <c r="E445" s="11"/>
      <c r="J445" s="15"/>
      <c r="K445" s="47"/>
      <c r="L445" s="76"/>
      <c r="M445" s="76"/>
      <c r="N445" s="78" t="str">
        <f>_xlfn.LET(
    _xlpm.itemBuscado, B445,
    _xlpm.areaBuscada, C445,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TEXT(COUNTIF($C$2:C445, _xlpm.areaBuscada), "0000"),
    _xlpm.codItem &amp; "-" &amp; _xlpm.codArea &amp; "-" &amp; _xlpm.secuencia
)</f>
        <v>-SinArea-0000</v>
      </c>
      <c r="O445" s="77"/>
      <c r="P445" s="32"/>
      <c r="Q445" s="32"/>
      <c r="R445" s="32"/>
      <c r="S445" s="32"/>
    </row>
    <row r="446" spans="3:19" x14ac:dyDescent="0.3">
      <c r="C446" s="11"/>
      <c r="D446" s="32"/>
      <c r="E446" s="11"/>
      <c r="J446" s="15"/>
      <c r="K446" s="47"/>
      <c r="L446" s="76"/>
      <c r="M446" s="76"/>
      <c r="N446" s="78" t="str">
        <f>_xlfn.LET(
    _xlpm.itemBuscado, B446,
    _xlpm.areaBuscada, C446,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TEXT(COUNTIF($C$2:C446, _xlpm.areaBuscada), "0000"),
    _xlpm.codItem &amp; "-" &amp; _xlpm.codArea &amp; "-" &amp; _xlpm.secuencia
)</f>
        <v>-SinArea-0000</v>
      </c>
      <c r="O446" s="77"/>
      <c r="P446" s="32"/>
      <c r="Q446" s="32"/>
      <c r="R446" s="32"/>
      <c r="S446" s="32"/>
    </row>
    <row r="447" spans="3:19" x14ac:dyDescent="0.3">
      <c r="C447" s="11"/>
      <c r="D447" s="32"/>
      <c r="E447" s="11"/>
      <c r="J447" s="15"/>
      <c r="K447" s="47"/>
      <c r="L447" s="76"/>
      <c r="M447" s="76"/>
      <c r="N447" s="78" t="str">
        <f>_xlfn.LET(
    _xlpm.itemBuscado, B447,
    _xlpm.areaBuscada, C447,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TEXT(COUNTIF($C$2:C447, _xlpm.areaBuscada), "0000"),
    _xlpm.codItem &amp; "-" &amp; _xlpm.codArea &amp; "-" &amp; _xlpm.secuencia
)</f>
        <v>-SinArea-0000</v>
      </c>
      <c r="O447" s="77"/>
      <c r="P447" s="32"/>
      <c r="Q447" s="32"/>
      <c r="R447" s="32"/>
      <c r="S447" s="32"/>
    </row>
    <row r="448" spans="3:19" x14ac:dyDescent="0.3">
      <c r="C448" s="11"/>
      <c r="D448" s="32"/>
      <c r="E448" s="11"/>
      <c r="J448" s="15"/>
      <c r="K448" s="47"/>
      <c r="L448" s="76"/>
      <c r="M448" s="76"/>
      <c r="N448" s="78" t="str">
        <f>_xlfn.LET(
    _xlpm.itemBuscado, B448,
    _xlpm.areaBuscada, C448,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TEXT(COUNTIF($C$2:C448, _xlpm.areaBuscada), "0000"),
    _xlpm.codItem &amp; "-" &amp; _xlpm.codArea &amp; "-" &amp; _xlpm.secuencia
)</f>
        <v>-SinArea-0000</v>
      </c>
      <c r="O448" s="77"/>
      <c r="P448" s="32"/>
      <c r="Q448" s="32"/>
      <c r="R448" s="32"/>
      <c r="S448" s="32"/>
    </row>
    <row r="449" spans="3:19" x14ac:dyDescent="0.3">
      <c r="C449" s="11"/>
      <c r="D449" s="32"/>
      <c r="E449" s="11"/>
      <c r="J449" s="15"/>
      <c r="K449" s="47"/>
      <c r="L449" s="76"/>
      <c r="M449" s="76"/>
      <c r="N449" s="78" t="str">
        <f>_xlfn.LET(
    _xlpm.itemBuscado, B449,
    _xlpm.areaBuscada, C449,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TEXT(COUNTIF($C$2:C449, _xlpm.areaBuscada), "0000"),
    _xlpm.codItem &amp; "-" &amp; _xlpm.codArea &amp; "-" &amp; _xlpm.secuencia
)</f>
        <v>-SinArea-0000</v>
      </c>
      <c r="O449" s="77"/>
      <c r="P449" s="32"/>
      <c r="Q449" s="32"/>
      <c r="R449" s="32"/>
      <c r="S449" s="32"/>
    </row>
    <row r="450" spans="3:19" x14ac:dyDescent="0.3">
      <c r="C450" s="11"/>
      <c r="D450" s="32"/>
      <c r="E450" s="11"/>
      <c r="J450" s="15"/>
      <c r="K450" s="47"/>
      <c r="L450" s="76"/>
      <c r="M450" s="76"/>
      <c r="N450" s="78" t="str">
        <f>_xlfn.LET(
    _xlpm.itemBuscado, B450,
    _xlpm.areaBuscada, C450,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TEXT(COUNTIF($C$2:C450, _xlpm.areaBuscada), "0000"),
    _xlpm.codItem &amp; "-" &amp; _xlpm.codArea &amp; "-" &amp; _xlpm.secuencia
)</f>
        <v>-SinArea-0000</v>
      </c>
      <c r="O450" s="77"/>
      <c r="P450" s="32"/>
      <c r="Q450" s="32"/>
      <c r="R450" s="32"/>
      <c r="S450" s="32"/>
    </row>
    <row r="451" spans="3:19" x14ac:dyDescent="0.3">
      <c r="C451" s="11"/>
      <c r="D451" s="32"/>
      <c r="E451" s="11"/>
      <c r="J451" s="15"/>
      <c r="K451" s="47"/>
      <c r="L451" s="76"/>
      <c r="M451" s="76"/>
      <c r="N451" s="78" t="str">
        <f>_xlfn.LET(
    _xlpm.itemBuscado, B451,
    _xlpm.areaBuscada, C451,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TEXT(COUNTIF($C$2:C451, _xlpm.areaBuscada), "0000"),
    _xlpm.codItem &amp; "-" &amp; _xlpm.codArea &amp; "-" &amp; _xlpm.secuencia
)</f>
        <v>-SinArea-0000</v>
      </c>
      <c r="O451" s="77"/>
      <c r="P451" s="32"/>
      <c r="Q451" s="32"/>
      <c r="R451" s="32"/>
      <c r="S451" s="32"/>
    </row>
    <row r="452" spans="3:19" x14ac:dyDescent="0.3">
      <c r="C452" s="11"/>
      <c r="D452" s="32"/>
      <c r="E452" s="11"/>
      <c r="J452" s="15"/>
      <c r="K452" s="47"/>
      <c r="L452" s="76"/>
      <c r="M452" s="76"/>
      <c r="N452" s="78" t="str">
        <f>_xlfn.LET(
    _xlpm.itemBuscado, B452,
    _xlpm.areaBuscada, C452,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TEXT(COUNTIF($C$2:C452, _xlpm.areaBuscada), "0000"),
    _xlpm.codItem &amp; "-" &amp; _xlpm.codArea &amp; "-" &amp; _xlpm.secuencia
)</f>
        <v>-SinArea-0000</v>
      </c>
      <c r="O452" s="77"/>
      <c r="P452" s="32"/>
      <c r="Q452" s="32"/>
      <c r="R452" s="32"/>
      <c r="S452" s="32"/>
    </row>
    <row r="453" spans="3:19" x14ac:dyDescent="0.3">
      <c r="C453" s="11"/>
      <c r="D453" s="32"/>
      <c r="E453" s="11"/>
      <c r="J453" s="15"/>
      <c r="K453" s="47"/>
      <c r="L453" s="76"/>
      <c r="M453" s="76"/>
      <c r="N453" s="78" t="str">
        <f>_xlfn.LET(
    _xlpm.itemBuscado, B453,
    _xlpm.areaBuscada, C453,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TEXT(COUNTIF($C$2:C453, _xlpm.areaBuscada), "0000"),
    _xlpm.codItem &amp; "-" &amp; _xlpm.codArea &amp; "-" &amp; _xlpm.secuencia
)</f>
        <v>-SinArea-0000</v>
      </c>
      <c r="O453" s="77"/>
      <c r="P453" s="32"/>
      <c r="Q453" s="32"/>
      <c r="R453" s="32"/>
      <c r="S453" s="32"/>
    </row>
    <row r="454" spans="3:19" x14ac:dyDescent="0.3">
      <c r="C454" s="11"/>
      <c r="D454" s="32"/>
      <c r="E454" s="11"/>
      <c r="J454" s="15"/>
      <c r="K454" s="47"/>
      <c r="L454" s="76"/>
      <c r="M454" s="76"/>
      <c r="N454" s="78" t="str">
        <f>_xlfn.LET(
    _xlpm.itemBuscado, B454,
    _xlpm.areaBuscada, C454,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TEXT(COUNTIF($C$2:C454, _xlpm.areaBuscada), "0000"),
    _xlpm.codItem &amp; "-" &amp; _xlpm.codArea &amp; "-" &amp; _xlpm.secuencia
)</f>
        <v>-SinArea-0000</v>
      </c>
      <c r="O454" s="77"/>
      <c r="P454" s="32"/>
      <c r="Q454" s="32"/>
      <c r="R454" s="32"/>
      <c r="S454" s="32"/>
    </row>
    <row r="455" spans="3:19" x14ac:dyDescent="0.3">
      <c r="C455" s="11"/>
      <c r="D455" s="32"/>
      <c r="E455" s="11"/>
      <c r="J455" s="15"/>
      <c r="K455" s="47"/>
      <c r="L455" s="76"/>
      <c r="M455" s="76"/>
      <c r="N455" s="78" t="str">
        <f>_xlfn.LET(
    _xlpm.itemBuscado, B455,
    _xlpm.areaBuscada, C455,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TEXT(COUNTIF($C$2:C455, _xlpm.areaBuscada), "0000"),
    _xlpm.codItem &amp; "-" &amp; _xlpm.codArea &amp; "-" &amp; _xlpm.secuencia
)</f>
        <v>-SinArea-0000</v>
      </c>
      <c r="O455" s="77"/>
      <c r="P455" s="32"/>
      <c r="Q455" s="32"/>
      <c r="R455" s="32"/>
      <c r="S455" s="32"/>
    </row>
    <row r="456" spans="3:19" x14ac:dyDescent="0.3">
      <c r="C456" s="11"/>
      <c r="D456" s="32"/>
      <c r="E456" s="11"/>
      <c r="J456" s="15"/>
      <c r="K456" s="47"/>
      <c r="L456" s="76"/>
      <c r="M456" s="76"/>
      <c r="N456" s="78" t="str">
        <f>_xlfn.LET(
    _xlpm.itemBuscado, B456,
    _xlpm.areaBuscada, C456,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TEXT(COUNTIF($C$2:C456, _xlpm.areaBuscada), "0000"),
    _xlpm.codItem &amp; "-" &amp; _xlpm.codArea &amp; "-" &amp; _xlpm.secuencia
)</f>
        <v>-SinArea-0000</v>
      </c>
      <c r="O456" s="77"/>
      <c r="P456" s="32"/>
      <c r="Q456" s="32"/>
      <c r="R456" s="32"/>
      <c r="S456" s="32"/>
    </row>
    <row r="457" spans="3:19" x14ac:dyDescent="0.3">
      <c r="C457" s="11"/>
      <c r="D457" s="32"/>
      <c r="E457" s="11"/>
      <c r="J457" s="15"/>
      <c r="K457" s="47"/>
      <c r="L457" s="76"/>
      <c r="M457" s="76"/>
      <c r="N457" s="78" t="str">
        <f>_xlfn.LET(
    _xlpm.itemBuscado, B457,
    _xlpm.areaBuscada, C457,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TEXT(COUNTIF($C$2:C457, _xlpm.areaBuscada), "0000"),
    _xlpm.codItem &amp; "-" &amp; _xlpm.codArea &amp; "-" &amp; _xlpm.secuencia
)</f>
        <v>-SinArea-0000</v>
      </c>
      <c r="O457" s="77"/>
      <c r="P457" s="32"/>
      <c r="Q457" s="32"/>
      <c r="R457" s="32"/>
      <c r="S457" s="32"/>
    </row>
    <row r="458" spans="3:19" x14ac:dyDescent="0.3">
      <c r="C458" s="11"/>
      <c r="D458" s="32"/>
      <c r="E458" s="11"/>
      <c r="J458" s="15"/>
      <c r="K458" s="47"/>
      <c r="L458" s="76"/>
      <c r="M458" s="76"/>
      <c r="N458" s="78" t="str">
        <f>_xlfn.LET(
    _xlpm.itemBuscado, B458,
    _xlpm.areaBuscada, C458,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TEXT(COUNTIF($C$2:C458, _xlpm.areaBuscada), "0000"),
    _xlpm.codItem &amp; "-" &amp; _xlpm.codArea &amp; "-" &amp; _xlpm.secuencia
)</f>
        <v>-SinArea-0000</v>
      </c>
      <c r="O458" s="77"/>
      <c r="P458" s="32"/>
      <c r="Q458" s="32"/>
      <c r="R458" s="32"/>
      <c r="S458" s="32"/>
    </row>
    <row r="459" spans="3:19" x14ac:dyDescent="0.3">
      <c r="C459" s="11"/>
      <c r="D459" s="32"/>
      <c r="E459" s="11"/>
      <c r="J459" s="15"/>
      <c r="K459" s="47"/>
      <c r="L459" s="76"/>
      <c r="M459" s="76"/>
      <c r="N459" s="78" t="str">
        <f>_xlfn.LET(
    _xlpm.itemBuscado, B459,
    _xlpm.areaBuscada, C459,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TEXT(COUNTIF($C$2:C459, _xlpm.areaBuscada), "0000"),
    _xlpm.codItem &amp; "-" &amp; _xlpm.codArea &amp; "-" &amp; _xlpm.secuencia
)</f>
        <v>-SinArea-0000</v>
      </c>
      <c r="O459" s="77"/>
      <c r="P459" s="32"/>
      <c r="Q459" s="32"/>
      <c r="R459" s="32"/>
      <c r="S459" s="32"/>
    </row>
    <row r="460" spans="3:19" x14ac:dyDescent="0.3">
      <c r="C460" s="11"/>
      <c r="D460" s="32"/>
      <c r="E460" s="11"/>
      <c r="J460" s="15"/>
      <c r="K460" s="47"/>
      <c r="L460" s="76"/>
      <c r="M460" s="76"/>
      <c r="N460" s="78" t="str">
        <f>_xlfn.LET(
    _xlpm.itemBuscado, B460,
    _xlpm.areaBuscada, C460,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TEXT(COUNTIF($C$2:C460, _xlpm.areaBuscada), "0000"),
    _xlpm.codItem &amp; "-" &amp; _xlpm.codArea &amp; "-" &amp; _xlpm.secuencia
)</f>
        <v>-SinArea-0000</v>
      </c>
      <c r="O460" s="77"/>
      <c r="P460" s="32"/>
      <c r="Q460" s="32"/>
      <c r="R460" s="32"/>
      <c r="S460" s="32"/>
    </row>
    <row r="461" spans="3:19" x14ac:dyDescent="0.3">
      <c r="C461" s="11"/>
      <c r="D461" s="32"/>
      <c r="E461" s="11"/>
      <c r="J461" s="15"/>
      <c r="K461" s="47"/>
      <c r="L461" s="76"/>
      <c r="M461" s="76"/>
      <c r="N461" s="78" t="str">
        <f>_xlfn.LET(
    _xlpm.itemBuscado, B461,
    _xlpm.areaBuscada, C461,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TEXT(COUNTIF($C$2:C461, _xlpm.areaBuscada), "0000"),
    _xlpm.codItem &amp; "-" &amp; _xlpm.codArea &amp; "-" &amp; _xlpm.secuencia
)</f>
        <v>-SinArea-0000</v>
      </c>
      <c r="O461" s="77"/>
      <c r="P461" s="32"/>
      <c r="Q461" s="32"/>
      <c r="R461" s="32"/>
      <c r="S461" s="32"/>
    </row>
    <row r="462" spans="3:19" x14ac:dyDescent="0.3">
      <c r="C462" s="11"/>
      <c r="D462" s="32"/>
      <c r="E462" s="11"/>
      <c r="J462" s="15"/>
      <c r="K462" s="47"/>
      <c r="L462" s="76"/>
      <c r="M462" s="76"/>
      <c r="N462" s="78" t="str">
        <f>_xlfn.LET(
    _xlpm.itemBuscado, B462,
    _xlpm.areaBuscada, C462,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TEXT(COUNTIF($C$2:C462, _xlpm.areaBuscada), "0000"),
    _xlpm.codItem &amp; "-" &amp; _xlpm.codArea &amp; "-" &amp; _xlpm.secuencia
)</f>
        <v>-SinArea-0000</v>
      </c>
      <c r="O462" s="77"/>
      <c r="P462" s="32"/>
      <c r="Q462" s="32"/>
      <c r="R462" s="32"/>
      <c r="S462" s="32"/>
    </row>
    <row r="463" spans="3:19" x14ac:dyDescent="0.3">
      <c r="C463" s="11"/>
      <c r="D463" s="32"/>
      <c r="E463" s="11"/>
      <c r="J463" s="15"/>
      <c r="K463" s="47"/>
      <c r="L463" s="76"/>
      <c r="M463" s="76"/>
      <c r="N463" s="78" t="str">
        <f>_xlfn.LET(
    _xlpm.itemBuscado, B463,
    _xlpm.areaBuscada, C463,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TEXT(COUNTIF($C$2:C463, _xlpm.areaBuscada), "0000"),
    _xlpm.codItem &amp; "-" &amp; _xlpm.codArea &amp; "-" &amp; _xlpm.secuencia
)</f>
        <v>-SinArea-0000</v>
      </c>
      <c r="O463" s="77"/>
      <c r="P463" s="32"/>
      <c r="Q463" s="32"/>
      <c r="R463" s="32"/>
      <c r="S463" s="32"/>
    </row>
    <row r="464" spans="3:19" x14ac:dyDescent="0.3">
      <c r="C464" s="11"/>
      <c r="D464" s="32"/>
      <c r="E464" s="11"/>
      <c r="J464" s="15"/>
      <c r="K464" s="47"/>
      <c r="L464" s="76"/>
      <c r="M464" s="76"/>
      <c r="N464" s="78" t="str">
        <f>_xlfn.LET(
    _xlpm.itemBuscado, B464,
    _xlpm.areaBuscada, C464,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TEXT(COUNTIF($C$2:C464, _xlpm.areaBuscada), "0000"),
    _xlpm.codItem &amp; "-" &amp; _xlpm.codArea &amp; "-" &amp; _xlpm.secuencia
)</f>
        <v>-SinArea-0000</v>
      </c>
      <c r="O464" s="77"/>
      <c r="P464" s="32"/>
      <c r="Q464" s="32"/>
      <c r="R464" s="32"/>
      <c r="S464" s="32"/>
    </row>
    <row r="465" spans="3:19" x14ac:dyDescent="0.3">
      <c r="C465" s="11"/>
      <c r="D465" s="32"/>
      <c r="E465" s="11"/>
      <c r="J465" s="15"/>
      <c r="K465" s="47"/>
      <c r="L465" s="76"/>
      <c r="M465" s="76"/>
      <c r="N465" s="78" t="str">
        <f>_xlfn.LET(
    _xlpm.itemBuscado, B465,
    _xlpm.areaBuscada, C465,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TEXT(COUNTIF($C$2:C465, _xlpm.areaBuscada), "0000"),
    _xlpm.codItem &amp; "-" &amp; _xlpm.codArea &amp; "-" &amp; _xlpm.secuencia
)</f>
        <v>-SinArea-0000</v>
      </c>
      <c r="O465" s="77"/>
      <c r="P465" s="32"/>
      <c r="Q465" s="32"/>
      <c r="R465" s="32"/>
      <c r="S465" s="32"/>
    </row>
    <row r="466" spans="3:19" x14ac:dyDescent="0.3">
      <c r="C466" s="11"/>
      <c r="D466" s="32"/>
      <c r="E466" s="11"/>
      <c r="J466" s="15"/>
      <c r="K466" s="47"/>
      <c r="L466" s="76"/>
      <c r="M466" s="76"/>
      <c r="N466" s="78" t="str">
        <f>_xlfn.LET(
    _xlpm.itemBuscado, B466,
    _xlpm.areaBuscada, C466,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TEXT(COUNTIF($C$2:C466, _xlpm.areaBuscada), "0000"),
    _xlpm.codItem &amp; "-" &amp; _xlpm.codArea &amp; "-" &amp; _xlpm.secuencia
)</f>
        <v>-SinArea-0000</v>
      </c>
      <c r="O466" s="77"/>
      <c r="P466" s="32"/>
      <c r="Q466" s="32"/>
      <c r="R466" s="32"/>
      <c r="S466" s="32"/>
    </row>
    <row r="467" spans="3:19" x14ac:dyDescent="0.3">
      <c r="C467" s="11"/>
      <c r="D467" s="32"/>
      <c r="E467" s="11"/>
      <c r="J467" s="15"/>
      <c r="K467" s="47"/>
      <c r="L467" s="76"/>
      <c r="M467" s="76"/>
      <c r="N467" s="78" t="str">
        <f>_xlfn.LET(
    _xlpm.itemBuscado, B467,
    _xlpm.areaBuscada, C467,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TEXT(COUNTIF($C$2:C467, _xlpm.areaBuscada), "0000"),
    _xlpm.codItem &amp; "-" &amp; _xlpm.codArea &amp; "-" &amp; _xlpm.secuencia
)</f>
        <v>-SinArea-0000</v>
      </c>
      <c r="O467" s="77"/>
      <c r="P467" s="32"/>
      <c r="Q467" s="32"/>
      <c r="R467" s="32"/>
      <c r="S467" s="32"/>
    </row>
    <row r="468" spans="3:19" x14ac:dyDescent="0.3">
      <c r="C468" s="11"/>
      <c r="D468" s="32"/>
      <c r="E468" s="11"/>
      <c r="J468" s="15"/>
      <c r="K468" s="47"/>
      <c r="L468" s="76"/>
      <c r="M468" s="76"/>
      <c r="N468" s="78" t="str">
        <f>_xlfn.LET(
    _xlpm.itemBuscado, B468,
    _xlpm.areaBuscada, C468,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TEXT(COUNTIF($C$2:C468, _xlpm.areaBuscada), "0000"),
    _xlpm.codItem &amp; "-" &amp; _xlpm.codArea &amp; "-" &amp; _xlpm.secuencia
)</f>
        <v>-SinArea-0000</v>
      </c>
      <c r="O468" s="77"/>
      <c r="P468" s="32"/>
      <c r="Q468" s="32"/>
      <c r="R468" s="32"/>
      <c r="S468" s="32"/>
    </row>
    <row r="469" spans="3:19" x14ac:dyDescent="0.3">
      <c r="C469" s="11"/>
      <c r="D469" s="32"/>
      <c r="E469" s="11"/>
      <c r="J469" s="15"/>
      <c r="K469" s="47"/>
      <c r="L469" s="76"/>
      <c r="M469" s="76"/>
      <c r="N469" s="78" t="str">
        <f>_xlfn.LET(
    _xlpm.itemBuscado, B469,
    _xlpm.areaBuscada, C469,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TEXT(COUNTIF($C$2:C469, _xlpm.areaBuscada), "0000"),
    _xlpm.codItem &amp; "-" &amp; _xlpm.codArea &amp; "-" &amp; _xlpm.secuencia
)</f>
        <v>-SinArea-0000</v>
      </c>
      <c r="O469" s="77"/>
      <c r="P469" s="32"/>
      <c r="Q469" s="32"/>
      <c r="R469" s="32"/>
      <c r="S469" s="32"/>
    </row>
    <row r="470" spans="3:19" x14ac:dyDescent="0.3">
      <c r="C470" s="11"/>
      <c r="D470" s="32"/>
      <c r="E470" s="11"/>
      <c r="J470" s="15"/>
      <c r="K470" s="47"/>
      <c r="L470" s="76"/>
      <c r="M470" s="76"/>
      <c r="N470" s="78" t="str">
        <f>_xlfn.LET(
    _xlpm.itemBuscado, B470,
    _xlpm.areaBuscada, C470,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TEXT(COUNTIF($C$2:C470, _xlpm.areaBuscada), "0000"),
    _xlpm.codItem &amp; "-" &amp; _xlpm.codArea &amp; "-" &amp; _xlpm.secuencia
)</f>
        <v>-SinArea-0000</v>
      </c>
      <c r="O470" s="77"/>
      <c r="P470" s="32"/>
      <c r="Q470" s="32"/>
      <c r="R470" s="32"/>
      <c r="S470" s="32"/>
    </row>
    <row r="471" spans="3:19" x14ac:dyDescent="0.3">
      <c r="C471" s="11"/>
      <c r="D471" s="32"/>
      <c r="E471" s="11"/>
      <c r="J471" s="15"/>
      <c r="K471" s="47"/>
      <c r="L471" s="76"/>
      <c r="M471" s="76"/>
      <c r="N471" s="78" t="str">
        <f>_xlfn.LET(
    _xlpm.itemBuscado, B471,
    _xlpm.areaBuscada, C471,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TEXT(COUNTIF($C$2:C471, _xlpm.areaBuscada), "0000"),
    _xlpm.codItem &amp; "-" &amp; _xlpm.codArea &amp; "-" &amp; _xlpm.secuencia
)</f>
        <v>-SinArea-0000</v>
      </c>
      <c r="O471" s="77"/>
      <c r="P471" s="32"/>
      <c r="Q471" s="32"/>
      <c r="R471" s="32"/>
      <c r="S471" s="32"/>
    </row>
    <row r="472" spans="3:19" x14ac:dyDescent="0.3">
      <c r="C472" s="11"/>
      <c r="D472" s="32"/>
      <c r="E472" s="11"/>
      <c r="J472" s="15"/>
      <c r="K472" s="47"/>
      <c r="L472" s="76"/>
      <c r="M472" s="76"/>
      <c r="N472" s="78" t="str">
        <f>_xlfn.LET(
    _xlpm.itemBuscado, B472,
    _xlpm.areaBuscada, C472,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TEXT(COUNTIF($C$2:C472, _xlpm.areaBuscada), "0000"),
    _xlpm.codItem &amp; "-" &amp; _xlpm.codArea &amp; "-" &amp; _xlpm.secuencia
)</f>
        <v>-SinArea-0000</v>
      </c>
      <c r="O472" s="77"/>
      <c r="P472" s="32"/>
      <c r="Q472" s="32"/>
      <c r="R472" s="32"/>
      <c r="S472" s="32"/>
    </row>
    <row r="473" spans="3:19" x14ac:dyDescent="0.3">
      <c r="C473" s="11"/>
      <c r="D473" s="32"/>
      <c r="E473" s="11"/>
      <c r="J473" s="15"/>
      <c r="K473" s="47"/>
      <c r="L473" s="76"/>
      <c r="M473" s="76"/>
      <c r="N473" s="78" t="str">
        <f>_xlfn.LET(
    _xlpm.itemBuscado, B473,
    _xlpm.areaBuscada, C473,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TEXT(COUNTIF($C$2:C473, _xlpm.areaBuscada), "0000"),
    _xlpm.codItem &amp; "-" &amp; _xlpm.codArea &amp; "-" &amp; _xlpm.secuencia
)</f>
        <v>-SinArea-0000</v>
      </c>
      <c r="O473" s="77"/>
      <c r="P473" s="32"/>
      <c r="Q473" s="32"/>
      <c r="R473" s="32"/>
      <c r="S473" s="32"/>
    </row>
    <row r="474" spans="3:19" x14ac:dyDescent="0.3">
      <c r="C474" s="11"/>
      <c r="D474" s="32"/>
      <c r="E474" s="11"/>
      <c r="J474" s="15"/>
      <c r="K474" s="47"/>
      <c r="L474" s="76"/>
      <c r="M474" s="76"/>
      <c r="N474" s="78" t="str">
        <f>_xlfn.LET(
    _xlpm.itemBuscado, B474,
    _xlpm.areaBuscada, C474,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TEXT(COUNTIF($C$2:C474, _xlpm.areaBuscada), "0000"),
    _xlpm.codItem &amp; "-" &amp; _xlpm.codArea &amp; "-" &amp; _xlpm.secuencia
)</f>
        <v>-SinArea-0000</v>
      </c>
      <c r="O474" s="77"/>
      <c r="P474" s="32"/>
      <c r="Q474" s="32"/>
      <c r="R474" s="32"/>
      <c r="S474" s="32"/>
    </row>
    <row r="475" spans="3:19" x14ac:dyDescent="0.3">
      <c r="C475" s="11"/>
      <c r="D475" s="32"/>
      <c r="E475" s="11"/>
      <c r="J475" s="15"/>
      <c r="K475" s="47"/>
      <c r="L475" s="76"/>
      <c r="M475" s="76"/>
      <c r="N475" s="78" t="str">
        <f>_xlfn.LET(
    _xlpm.itemBuscado, B475,
    _xlpm.areaBuscada, C475,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TEXT(COUNTIF($C$2:C475, _xlpm.areaBuscada), "0000"),
    _xlpm.codItem &amp; "-" &amp; _xlpm.codArea &amp; "-" &amp; _xlpm.secuencia
)</f>
        <v>-SinArea-0000</v>
      </c>
      <c r="O475" s="77"/>
      <c r="P475" s="32"/>
      <c r="Q475" s="32"/>
      <c r="R475" s="32"/>
      <c r="S475" s="32"/>
    </row>
    <row r="476" spans="3:19" x14ac:dyDescent="0.3">
      <c r="C476" s="11"/>
      <c r="D476" s="32"/>
      <c r="E476" s="11"/>
      <c r="J476" s="15"/>
      <c r="K476" s="47"/>
      <c r="L476" s="76"/>
      <c r="M476" s="76"/>
      <c r="N476" s="78" t="str">
        <f>_xlfn.LET(
    _xlpm.itemBuscado, B476,
    _xlpm.areaBuscada, C476,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TEXT(COUNTIF($C$2:C476, _xlpm.areaBuscada), "0000"),
    _xlpm.codItem &amp; "-" &amp; _xlpm.codArea &amp; "-" &amp; _xlpm.secuencia
)</f>
        <v>-SinArea-0000</v>
      </c>
      <c r="O476" s="77"/>
      <c r="P476" s="32"/>
      <c r="Q476" s="32"/>
      <c r="R476" s="32"/>
      <c r="S476" s="32"/>
    </row>
    <row r="477" spans="3:19" x14ac:dyDescent="0.3">
      <c r="C477" s="11"/>
      <c r="D477" s="32"/>
      <c r="E477" s="11"/>
      <c r="J477" s="15"/>
      <c r="K477" s="47"/>
      <c r="L477" s="76"/>
      <c r="M477" s="76"/>
      <c r="N477" s="78" t="str">
        <f>_xlfn.LET(
    _xlpm.itemBuscado, B477,
    _xlpm.areaBuscada, C477,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TEXT(COUNTIF($C$2:C477, _xlpm.areaBuscada), "0000"),
    _xlpm.codItem &amp; "-" &amp; _xlpm.codArea &amp; "-" &amp; _xlpm.secuencia
)</f>
        <v>-SinArea-0000</v>
      </c>
      <c r="O477" s="77"/>
      <c r="P477" s="32"/>
      <c r="Q477" s="32"/>
      <c r="R477" s="32"/>
      <c r="S477" s="32"/>
    </row>
    <row r="478" spans="3:19" x14ac:dyDescent="0.3">
      <c r="C478" s="11"/>
      <c r="D478" s="32"/>
      <c r="E478" s="11"/>
      <c r="J478" s="15"/>
      <c r="K478" s="47"/>
      <c r="L478" s="76"/>
      <c r="M478" s="76"/>
      <c r="N478" s="78" t="str">
        <f>_xlfn.LET(
    _xlpm.itemBuscado, B478,
    _xlpm.areaBuscada, C478,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TEXT(COUNTIF($C$2:C478, _xlpm.areaBuscada), "0000"),
    _xlpm.codItem &amp; "-" &amp; _xlpm.codArea &amp; "-" &amp; _xlpm.secuencia
)</f>
        <v>-SinArea-0000</v>
      </c>
      <c r="O478" s="77"/>
      <c r="P478" s="32"/>
      <c r="Q478" s="32"/>
      <c r="R478" s="32"/>
      <c r="S478" s="32"/>
    </row>
    <row r="479" spans="3:19" x14ac:dyDescent="0.3">
      <c r="C479" s="11"/>
      <c r="D479" s="32"/>
      <c r="E479" s="11"/>
      <c r="J479" s="15"/>
      <c r="K479" s="47"/>
      <c r="L479" s="76"/>
      <c r="M479" s="76"/>
      <c r="N479" s="78" t="str">
        <f>_xlfn.LET(
    _xlpm.itemBuscado, B479,
    _xlpm.areaBuscada, C479,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TEXT(COUNTIF($C$2:C479, _xlpm.areaBuscada), "0000"),
    _xlpm.codItem &amp; "-" &amp; _xlpm.codArea &amp; "-" &amp; _xlpm.secuencia
)</f>
        <v>-SinArea-0000</v>
      </c>
      <c r="O479" s="77"/>
      <c r="P479" s="32"/>
      <c r="Q479" s="32"/>
      <c r="R479" s="32"/>
      <c r="S479" s="32"/>
    </row>
    <row r="480" spans="3:19" x14ac:dyDescent="0.3">
      <c r="C480" s="11"/>
      <c r="D480" s="32"/>
      <c r="E480" s="11"/>
      <c r="J480" s="15"/>
      <c r="K480" s="47"/>
      <c r="L480" s="76"/>
      <c r="M480" s="76"/>
      <c r="N480" s="78" t="str">
        <f>_xlfn.LET(
    _xlpm.itemBuscado, B480,
    _xlpm.areaBuscada, C480,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TEXT(COUNTIF($C$2:C480, _xlpm.areaBuscada), "0000"),
    _xlpm.codItem &amp; "-" &amp; _xlpm.codArea &amp; "-" &amp; _xlpm.secuencia
)</f>
        <v>-SinArea-0000</v>
      </c>
      <c r="O480" s="77"/>
      <c r="P480" s="32"/>
      <c r="Q480" s="32"/>
      <c r="R480" s="32"/>
      <c r="S480" s="32"/>
    </row>
    <row r="481" spans="3:19" x14ac:dyDescent="0.3">
      <c r="C481" s="11"/>
      <c r="D481" s="32"/>
      <c r="E481" s="11"/>
      <c r="J481" s="15"/>
      <c r="K481" s="47"/>
      <c r="L481" s="76"/>
      <c r="M481" s="76"/>
      <c r="N481" s="78" t="str">
        <f>_xlfn.LET(
    _xlpm.itemBuscado, B481,
    _xlpm.areaBuscada, C481,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TEXT(COUNTIF($C$2:C481, _xlpm.areaBuscada), "0000"),
    _xlpm.codItem &amp; "-" &amp; _xlpm.codArea &amp; "-" &amp; _xlpm.secuencia
)</f>
        <v>-SinArea-0000</v>
      </c>
      <c r="O481" s="77"/>
      <c r="P481" s="32"/>
      <c r="Q481" s="32"/>
      <c r="R481" s="32"/>
      <c r="S481" s="32"/>
    </row>
    <row r="482" spans="3:19" x14ac:dyDescent="0.3">
      <c r="C482" s="11"/>
      <c r="D482" s="32"/>
      <c r="E482" s="11"/>
      <c r="J482" s="15"/>
      <c r="K482" s="47"/>
      <c r="L482" s="76"/>
      <c r="M482" s="76"/>
      <c r="N482" s="78" t="str">
        <f>_xlfn.LET(
    _xlpm.itemBuscado, B482,
    _xlpm.areaBuscada, C482,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TEXT(COUNTIF($C$2:C482, _xlpm.areaBuscada), "0000"),
    _xlpm.codItem &amp; "-" &amp; _xlpm.codArea &amp; "-" &amp; _xlpm.secuencia
)</f>
        <v>-SinArea-0000</v>
      </c>
      <c r="O482" s="77"/>
      <c r="P482" s="32"/>
      <c r="Q482" s="32"/>
      <c r="R482" s="32"/>
      <c r="S482" s="32"/>
    </row>
    <row r="483" spans="3:19" x14ac:dyDescent="0.3">
      <c r="C483" s="11"/>
      <c r="D483" s="32"/>
      <c r="E483" s="11"/>
      <c r="J483" s="15"/>
      <c r="K483" s="47"/>
      <c r="L483" s="76"/>
      <c r="M483" s="76"/>
      <c r="N483" s="78" t="str">
        <f>_xlfn.LET(
    _xlpm.itemBuscado, B483,
    _xlpm.areaBuscada, C483,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TEXT(COUNTIF($C$2:C483, _xlpm.areaBuscada), "0000"),
    _xlpm.codItem &amp; "-" &amp; _xlpm.codArea &amp; "-" &amp; _xlpm.secuencia
)</f>
        <v>-SinArea-0000</v>
      </c>
      <c r="O483" s="77"/>
      <c r="P483" s="32"/>
      <c r="Q483" s="32"/>
      <c r="R483" s="32"/>
      <c r="S483" s="32"/>
    </row>
    <row r="484" spans="3:19" x14ac:dyDescent="0.3">
      <c r="C484" s="11"/>
      <c r="D484" s="32"/>
      <c r="E484" s="11"/>
      <c r="J484" s="15"/>
      <c r="K484" s="47"/>
      <c r="L484" s="76"/>
      <c r="M484" s="76"/>
      <c r="N484" s="78" t="str">
        <f>_xlfn.LET(
    _xlpm.itemBuscado, B484,
    _xlpm.areaBuscada, C484,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TEXT(COUNTIF($C$2:C484, _xlpm.areaBuscada), "0000"),
    _xlpm.codItem &amp; "-" &amp; _xlpm.codArea &amp; "-" &amp; _xlpm.secuencia
)</f>
        <v>-SinArea-0000</v>
      </c>
      <c r="O484" s="77"/>
      <c r="P484" s="32"/>
      <c r="Q484" s="32"/>
      <c r="R484" s="32"/>
      <c r="S484" s="32"/>
    </row>
    <row r="485" spans="3:19" x14ac:dyDescent="0.3">
      <c r="C485" s="11"/>
      <c r="D485" s="32"/>
      <c r="E485" s="11"/>
      <c r="J485" s="15"/>
      <c r="K485" s="47"/>
      <c r="L485" s="76"/>
      <c r="M485" s="76"/>
      <c r="N485" s="78" t="str">
        <f>_xlfn.LET(
    _xlpm.itemBuscado, B485,
    _xlpm.areaBuscada, C485,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TEXT(COUNTIF($C$2:C485, _xlpm.areaBuscada), "0000"),
    _xlpm.codItem &amp; "-" &amp; _xlpm.codArea &amp; "-" &amp; _xlpm.secuencia
)</f>
        <v>-SinArea-0000</v>
      </c>
      <c r="O485" s="77"/>
      <c r="P485" s="32"/>
      <c r="Q485" s="32"/>
      <c r="R485" s="32"/>
      <c r="S485" s="32"/>
    </row>
    <row r="486" spans="3:19" x14ac:dyDescent="0.3">
      <c r="C486" s="11"/>
      <c r="D486" s="32"/>
      <c r="E486" s="11"/>
      <c r="J486" s="15"/>
      <c r="K486" s="47"/>
      <c r="L486" s="76"/>
      <c r="M486" s="76"/>
      <c r="N486" s="78" t="str">
        <f>_xlfn.LET(
    _xlpm.itemBuscado, B486,
    _xlpm.areaBuscada, C486,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TEXT(COUNTIF($C$2:C486, _xlpm.areaBuscada), "0000"),
    _xlpm.codItem &amp; "-" &amp; _xlpm.codArea &amp; "-" &amp; _xlpm.secuencia
)</f>
        <v>-SinArea-0000</v>
      </c>
      <c r="O486" s="77"/>
      <c r="P486" s="32"/>
      <c r="Q486" s="32"/>
      <c r="R486" s="32"/>
      <c r="S486" s="32"/>
    </row>
    <row r="487" spans="3:19" x14ac:dyDescent="0.3">
      <c r="C487" s="11"/>
      <c r="D487" s="32"/>
      <c r="E487" s="11"/>
      <c r="J487" s="15"/>
      <c r="K487" s="47"/>
      <c r="L487" s="76"/>
      <c r="M487" s="76"/>
      <c r="N487" s="78" t="str">
        <f>_xlfn.LET(
    _xlpm.itemBuscado, B487,
    _xlpm.areaBuscada, C487,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TEXT(COUNTIF($C$2:C487, _xlpm.areaBuscada), "0000"),
    _xlpm.codItem &amp; "-" &amp; _xlpm.codArea &amp; "-" &amp; _xlpm.secuencia
)</f>
        <v>-SinArea-0000</v>
      </c>
      <c r="O487" s="77"/>
      <c r="P487" s="32"/>
      <c r="Q487" s="32"/>
      <c r="R487" s="32"/>
      <c r="S487" s="32"/>
    </row>
    <row r="488" spans="3:19" x14ac:dyDescent="0.3">
      <c r="C488" s="11"/>
      <c r="D488" s="32"/>
      <c r="E488" s="11"/>
      <c r="J488" s="15"/>
      <c r="K488" s="47"/>
      <c r="L488" s="76"/>
      <c r="M488" s="76"/>
      <c r="N488" s="78" t="str">
        <f>_xlfn.LET(
    _xlpm.itemBuscado, B488,
    _xlpm.areaBuscada, C488,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TEXT(COUNTIF($C$2:C488, _xlpm.areaBuscada), "0000"),
    _xlpm.codItem &amp; "-" &amp; _xlpm.codArea &amp; "-" &amp; _xlpm.secuencia
)</f>
        <v>-SinArea-0000</v>
      </c>
      <c r="O488" s="77"/>
      <c r="P488" s="32"/>
      <c r="Q488" s="32"/>
      <c r="R488" s="32"/>
      <c r="S488" s="32"/>
    </row>
    <row r="489" spans="3:19" x14ac:dyDescent="0.3">
      <c r="C489" s="11"/>
      <c r="D489" s="32"/>
      <c r="E489" s="11"/>
      <c r="J489" s="15"/>
      <c r="K489" s="47"/>
      <c r="L489" s="76"/>
      <c r="M489" s="76"/>
      <c r="N489" s="78" t="str">
        <f>_xlfn.LET(
    _xlpm.itemBuscado, B489,
    _xlpm.areaBuscada, C489,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TEXT(COUNTIF($C$2:C489, _xlpm.areaBuscada), "0000"),
    _xlpm.codItem &amp; "-" &amp; _xlpm.codArea &amp; "-" &amp; _xlpm.secuencia
)</f>
        <v>-SinArea-0000</v>
      </c>
      <c r="O489" s="77"/>
      <c r="P489" s="32"/>
      <c r="Q489" s="32"/>
      <c r="R489" s="32"/>
      <c r="S489" s="32"/>
    </row>
    <row r="490" spans="3:19" x14ac:dyDescent="0.3">
      <c r="C490" s="11"/>
      <c r="D490" s="32"/>
      <c r="E490" s="11"/>
      <c r="J490" s="15"/>
      <c r="K490" s="47"/>
      <c r="L490" s="76"/>
      <c r="M490" s="76"/>
      <c r="N490" s="78" t="str">
        <f>_xlfn.LET(
    _xlpm.itemBuscado, B490,
    _xlpm.areaBuscada, C490,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TEXT(COUNTIF($C$2:C490, _xlpm.areaBuscada), "0000"),
    _xlpm.codItem &amp; "-" &amp; _xlpm.codArea &amp; "-" &amp; _xlpm.secuencia
)</f>
        <v>-SinArea-0000</v>
      </c>
      <c r="O490" s="77"/>
      <c r="P490" s="32"/>
      <c r="Q490" s="32"/>
      <c r="R490" s="32"/>
      <c r="S490" s="32"/>
    </row>
    <row r="491" spans="3:19" x14ac:dyDescent="0.3">
      <c r="C491" s="11"/>
      <c r="D491" s="32"/>
      <c r="E491" s="11"/>
      <c r="J491" s="15"/>
      <c r="K491" s="47"/>
      <c r="L491" s="76"/>
      <c r="M491" s="76"/>
      <c r="N491" s="78" t="str">
        <f>_xlfn.LET(
    _xlpm.itemBuscado, B491,
    _xlpm.areaBuscada, C491,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TEXT(COUNTIF($C$2:C491, _xlpm.areaBuscada), "0000"),
    _xlpm.codItem &amp; "-" &amp; _xlpm.codArea &amp; "-" &amp; _xlpm.secuencia
)</f>
        <v>-SinArea-0000</v>
      </c>
      <c r="O491" s="77"/>
      <c r="P491" s="32"/>
      <c r="Q491" s="32"/>
      <c r="R491" s="32"/>
      <c r="S491" s="32"/>
    </row>
    <row r="492" spans="3:19" x14ac:dyDescent="0.3">
      <c r="C492" s="11"/>
      <c r="D492" s="32"/>
      <c r="E492" s="11"/>
      <c r="J492" s="15"/>
      <c r="K492" s="47"/>
      <c r="L492" s="76"/>
      <c r="M492" s="76"/>
      <c r="N492" s="78" t="str">
        <f>_xlfn.LET(
    _xlpm.itemBuscado, B492,
    _xlpm.areaBuscada, C492,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TEXT(COUNTIF($C$2:C492, _xlpm.areaBuscada), "0000"),
    _xlpm.codItem &amp; "-" &amp; _xlpm.codArea &amp; "-" &amp; _xlpm.secuencia
)</f>
        <v>-SinArea-0000</v>
      </c>
      <c r="O492" s="77"/>
      <c r="P492" s="32"/>
      <c r="Q492" s="32"/>
      <c r="R492" s="32"/>
      <c r="S492" s="32"/>
    </row>
    <row r="493" spans="3:19" x14ac:dyDescent="0.3">
      <c r="C493" s="11"/>
      <c r="D493" s="32"/>
      <c r="E493" s="11"/>
      <c r="J493" s="15"/>
      <c r="K493" s="47"/>
      <c r="L493" s="76"/>
      <c r="M493" s="76"/>
      <c r="N493" s="78" t="str">
        <f>_xlfn.LET(
    _xlpm.itemBuscado, B493,
    _xlpm.areaBuscada, C493,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TEXT(COUNTIF($C$2:C493, _xlpm.areaBuscada), "0000"),
    _xlpm.codItem &amp; "-" &amp; _xlpm.codArea &amp; "-" &amp; _xlpm.secuencia
)</f>
        <v>-SinArea-0000</v>
      </c>
      <c r="O493" s="77"/>
      <c r="P493" s="32"/>
      <c r="Q493" s="32"/>
      <c r="R493" s="32"/>
      <c r="S493" s="32"/>
    </row>
    <row r="494" spans="3:19" x14ac:dyDescent="0.3">
      <c r="C494" s="11"/>
      <c r="D494" s="32"/>
      <c r="E494" s="11"/>
      <c r="J494" s="15"/>
      <c r="K494" s="47"/>
      <c r="L494" s="76"/>
      <c r="M494" s="76"/>
      <c r="N494" s="78" t="str">
        <f>_xlfn.LET(
    _xlpm.itemBuscado, B494,
    _xlpm.areaBuscada, C494,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TEXT(COUNTIF($C$2:C494, _xlpm.areaBuscada), "0000"),
    _xlpm.codItem &amp; "-" &amp; _xlpm.codArea &amp; "-" &amp; _xlpm.secuencia
)</f>
        <v>-SinArea-0000</v>
      </c>
      <c r="O494" s="77"/>
      <c r="P494" s="32"/>
      <c r="Q494" s="32"/>
      <c r="R494" s="32"/>
      <c r="S494" s="32"/>
    </row>
    <row r="495" spans="3:19" x14ac:dyDescent="0.3">
      <c r="C495" s="11"/>
      <c r="D495" s="32"/>
      <c r="E495" s="11"/>
      <c r="J495" s="15"/>
      <c r="K495" s="47"/>
      <c r="L495" s="76"/>
      <c r="M495" s="76"/>
      <c r="N495" s="78" t="str">
        <f>_xlfn.LET(
    _xlpm.itemBuscado, B495,
    _xlpm.areaBuscada, C495,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TEXT(COUNTIF($C$2:C495, _xlpm.areaBuscada), "0000"),
    _xlpm.codItem &amp; "-" &amp; _xlpm.codArea &amp; "-" &amp; _xlpm.secuencia
)</f>
        <v>-SinArea-0000</v>
      </c>
      <c r="O495" s="77"/>
      <c r="P495" s="32"/>
      <c r="Q495" s="32"/>
      <c r="R495" s="32"/>
      <c r="S495" s="32"/>
    </row>
    <row r="496" spans="3:19" x14ac:dyDescent="0.3">
      <c r="C496" s="11"/>
      <c r="D496" s="32"/>
      <c r="E496" s="11"/>
      <c r="J496" s="15"/>
      <c r="K496" s="47"/>
      <c r="L496" s="76"/>
      <c r="M496" s="76"/>
      <c r="N496" s="78" t="str">
        <f>_xlfn.LET(
    _xlpm.itemBuscado, B496,
    _xlpm.areaBuscada, C496,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TEXT(COUNTIF($C$2:C496, _xlpm.areaBuscada), "0000"),
    _xlpm.codItem &amp; "-" &amp; _xlpm.codArea &amp; "-" &amp; _xlpm.secuencia
)</f>
        <v>-SinArea-0000</v>
      </c>
      <c r="O496" s="77"/>
      <c r="P496" s="32"/>
      <c r="Q496" s="32"/>
      <c r="R496" s="32"/>
      <c r="S496" s="32"/>
    </row>
    <row r="497" spans="3:19" x14ac:dyDescent="0.3">
      <c r="C497" s="11"/>
      <c r="D497" s="32"/>
      <c r="E497" s="11"/>
      <c r="J497" s="15"/>
      <c r="K497" s="47"/>
      <c r="L497" s="76"/>
      <c r="M497" s="76"/>
      <c r="N497" s="78" t="str">
        <f>_xlfn.LET(
    _xlpm.itemBuscado, B497,
    _xlpm.areaBuscada, C497,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TEXT(COUNTIF($C$2:C497, _xlpm.areaBuscada), "0000"),
    _xlpm.codItem &amp; "-" &amp; _xlpm.codArea &amp; "-" &amp; _xlpm.secuencia
)</f>
        <v>-SinArea-0000</v>
      </c>
      <c r="O497" s="77"/>
      <c r="P497" s="32"/>
      <c r="Q497" s="32"/>
      <c r="R497" s="32"/>
      <c r="S497" s="32"/>
    </row>
    <row r="498" spans="3:19" x14ac:dyDescent="0.3">
      <c r="C498" s="11"/>
      <c r="D498" s="32"/>
      <c r="E498" s="11"/>
      <c r="J498" s="15"/>
      <c r="K498" s="47"/>
      <c r="L498" s="76"/>
      <c r="M498" s="76"/>
      <c r="N498" s="78" t="str">
        <f>_xlfn.LET(
    _xlpm.itemBuscado, B498,
    _xlpm.areaBuscada, C498,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TEXT(COUNTIF($C$2:C498, _xlpm.areaBuscada), "0000"),
    _xlpm.codItem &amp; "-" &amp; _xlpm.codArea &amp; "-" &amp; _xlpm.secuencia
)</f>
        <v>-SinArea-0000</v>
      </c>
      <c r="O498" s="77"/>
      <c r="P498" s="32"/>
      <c r="Q498" s="32"/>
      <c r="R498" s="32"/>
      <c r="S498" s="32"/>
    </row>
    <row r="499" spans="3:19" x14ac:dyDescent="0.3">
      <c r="C499" s="11"/>
      <c r="D499" s="32"/>
      <c r="E499" s="11"/>
      <c r="J499" s="15"/>
      <c r="K499" s="47"/>
      <c r="L499" s="76"/>
      <c r="M499" s="76"/>
      <c r="N499" s="78" t="str">
        <f>_xlfn.LET(
    _xlpm.itemBuscado, B499,
    _xlpm.areaBuscada, C499,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TEXT(COUNTIF($C$2:C499, _xlpm.areaBuscada), "0000"),
    _xlpm.codItem &amp; "-" &amp; _xlpm.codArea &amp; "-" &amp; _xlpm.secuencia
)</f>
        <v>-SinArea-0000</v>
      </c>
      <c r="O499" s="77"/>
      <c r="P499" s="32"/>
      <c r="Q499" s="32"/>
      <c r="R499" s="32"/>
      <c r="S499" s="32"/>
    </row>
    <row r="500" spans="3:19" x14ac:dyDescent="0.3">
      <c r="C500" s="11"/>
      <c r="D500" s="32"/>
      <c r="E500" s="11"/>
      <c r="J500" s="15"/>
      <c r="K500" s="47"/>
      <c r="L500" s="76"/>
      <c r="M500" s="76"/>
      <c r="N500" s="78" t="str">
        <f>_xlfn.LET(
    _xlpm.itemBuscado, B500,
    _xlpm.areaBuscada, C500,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TEXT(COUNTIF($C$2:C500, _xlpm.areaBuscada), "0000"),
    _xlpm.codItem &amp; "-" &amp; _xlpm.codArea &amp; "-" &amp; _xlpm.secuencia
)</f>
        <v>-SinArea-0000</v>
      </c>
      <c r="O500" s="77"/>
      <c r="P500" s="32"/>
      <c r="Q500" s="32"/>
      <c r="R500" s="32"/>
      <c r="S500" s="32"/>
    </row>
    <row r="501" spans="3:19" x14ac:dyDescent="0.3">
      <c r="C501" s="11"/>
      <c r="D501" s="32"/>
      <c r="E501" s="11"/>
      <c r="J501" s="15"/>
      <c r="K501" s="47"/>
      <c r="L501" s="76"/>
      <c r="M501" s="76"/>
      <c r="N501" s="78" t="str">
        <f>_xlfn.LET(
    _xlpm.itemBuscado, B501,
    _xlpm.areaBuscada, C501,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TEXT(COUNTIF($C$2:C501, _xlpm.areaBuscada), "0000"),
    _xlpm.codItem &amp; "-" &amp; _xlpm.codArea &amp; "-" &amp; _xlpm.secuencia
)</f>
        <v>-SinArea-0000</v>
      </c>
      <c r="O501" s="77"/>
      <c r="P501" s="32"/>
      <c r="Q501" s="32"/>
      <c r="R501" s="32"/>
      <c r="S501" s="32"/>
    </row>
    <row r="502" spans="3:19" x14ac:dyDescent="0.3">
      <c r="C502" s="11"/>
      <c r="D502" s="32"/>
      <c r="E502" s="11"/>
      <c r="J502" s="15"/>
      <c r="K502" s="47"/>
      <c r="L502" s="76"/>
      <c r="M502" s="76"/>
      <c r="N502" s="78" t="str">
        <f>_xlfn.LET(
    _xlpm.itemBuscado, B502,
    _xlpm.areaBuscada, C502,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TEXT(COUNTIF($C$2:C502, _xlpm.areaBuscada), "0000"),
    _xlpm.codItem &amp; "-" &amp; _xlpm.codArea &amp; "-" &amp; _xlpm.secuencia
)</f>
        <v>-SinArea-0000</v>
      </c>
      <c r="O502" s="77"/>
      <c r="P502" s="32"/>
      <c r="Q502" s="32"/>
      <c r="R502" s="32"/>
      <c r="S502" s="32"/>
    </row>
    <row r="503" spans="3:19" x14ac:dyDescent="0.3">
      <c r="C503" s="11"/>
      <c r="D503" s="32"/>
      <c r="E503" s="11"/>
      <c r="J503" s="15"/>
      <c r="K503" s="47"/>
      <c r="L503" s="76"/>
      <c r="M503" s="76"/>
      <c r="N503" s="78" t="str">
        <f>_xlfn.LET(
    _xlpm.itemBuscado, B503,
    _xlpm.areaBuscada, C503,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TEXT(COUNTIF($C$2:C503, _xlpm.areaBuscada), "0000"),
    _xlpm.codItem &amp; "-" &amp; _xlpm.codArea &amp; "-" &amp; _xlpm.secuencia
)</f>
        <v>-SinArea-0000</v>
      </c>
      <c r="O503" s="77"/>
      <c r="P503" s="32"/>
      <c r="Q503" s="32"/>
      <c r="R503" s="32"/>
      <c r="S503" s="32"/>
    </row>
    <row r="504" spans="3:19" x14ac:dyDescent="0.3">
      <c r="C504" s="11"/>
      <c r="D504" s="32"/>
      <c r="E504" s="11"/>
      <c r="J504" s="15"/>
      <c r="K504" s="47"/>
      <c r="L504" s="76"/>
      <c r="M504" s="76"/>
      <c r="N504" s="78" t="str">
        <f>_xlfn.LET(
    _xlpm.itemBuscado, B504,
    _xlpm.areaBuscada, C504,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TEXT(COUNTIF($C$2:C504, _xlpm.areaBuscada), "0000"),
    _xlpm.codItem &amp; "-" &amp; _xlpm.codArea &amp; "-" &amp; _xlpm.secuencia
)</f>
        <v>-SinArea-0000</v>
      </c>
      <c r="O504" s="77"/>
      <c r="P504" s="32"/>
      <c r="Q504" s="32"/>
      <c r="R504" s="32"/>
      <c r="S504" s="32"/>
    </row>
    <row r="505" spans="3:19" x14ac:dyDescent="0.3">
      <c r="C505" s="11"/>
      <c r="D505" s="32"/>
      <c r="E505" s="11"/>
      <c r="J505" s="15"/>
      <c r="K505" s="47"/>
      <c r="L505" s="76"/>
      <c r="M505" s="76"/>
      <c r="N505" s="78" t="str">
        <f>_xlfn.LET(
    _xlpm.itemBuscado, B505,
    _xlpm.areaBuscada, C505,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TEXT(COUNTIF($C$2:C505, _xlpm.areaBuscada), "0000"),
    _xlpm.codItem &amp; "-" &amp; _xlpm.codArea &amp; "-" &amp; _xlpm.secuencia
)</f>
        <v>-SinArea-0000</v>
      </c>
      <c r="O505" s="77"/>
      <c r="P505" s="32"/>
      <c r="Q505" s="32"/>
      <c r="R505" s="32"/>
      <c r="S505" s="32"/>
    </row>
    <row r="506" spans="3:19" x14ac:dyDescent="0.3">
      <c r="C506" s="11"/>
      <c r="D506" s="32"/>
      <c r="E506" s="11"/>
      <c r="J506" s="15"/>
      <c r="K506" s="47"/>
      <c r="L506" s="76"/>
      <c r="M506" s="76"/>
      <c r="N506" s="78" t="str">
        <f>_xlfn.LET(
    _xlpm.itemBuscado, B506,
    _xlpm.areaBuscada, C506,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TEXT(COUNTIF($C$2:C506, _xlpm.areaBuscada), "0000"),
    _xlpm.codItem &amp; "-" &amp; _xlpm.codArea &amp; "-" &amp; _xlpm.secuencia
)</f>
        <v>-SinArea-0000</v>
      </c>
      <c r="O506" s="77"/>
      <c r="P506" s="32"/>
      <c r="Q506" s="32"/>
      <c r="R506" s="32"/>
      <c r="S506" s="32"/>
    </row>
    <row r="507" spans="3:19" x14ac:dyDescent="0.3">
      <c r="C507" s="11"/>
      <c r="D507" s="32"/>
      <c r="E507" s="11"/>
      <c r="J507" s="15"/>
      <c r="K507" s="47"/>
      <c r="L507" s="76"/>
      <c r="M507" s="76"/>
      <c r="N507" s="78" t="str">
        <f>_xlfn.LET(
    _xlpm.itemBuscado, B507,
    _xlpm.areaBuscada, C507,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TEXT(COUNTIF($C$2:C507, _xlpm.areaBuscada), "0000"),
    _xlpm.codItem &amp; "-" &amp; _xlpm.codArea &amp; "-" &amp; _xlpm.secuencia
)</f>
        <v>-SinArea-0000</v>
      </c>
      <c r="O507" s="77"/>
      <c r="P507" s="32"/>
      <c r="Q507" s="32"/>
      <c r="R507" s="32"/>
      <c r="S507" s="32"/>
    </row>
    <row r="508" spans="3:19" x14ac:dyDescent="0.3">
      <c r="C508" s="11"/>
      <c r="D508" s="32"/>
      <c r="E508" s="11"/>
      <c r="J508" s="15"/>
      <c r="K508" s="47"/>
      <c r="L508" s="76"/>
      <c r="M508" s="76"/>
      <c r="N508" s="78" t="str">
        <f>_xlfn.LET(
    _xlpm.itemBuscado, B508,
    _xlpm.areaBuscada, C508,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TEXT(COUNTIF($C$2:C508, _xlpm.areaBuscada), "0000"),
    _xlpm.codItem &amp; "-" &amp; _xlpm.codArea &amp; "-" &amp; _xlpm.secuencia
)</f>
        <v>-SinArea-0000</v>
      </c>
      <c r="O508" s="77"/>
      <c r="P508" s="32"/>
      <c r="Q508" s="32"/>
      <c r="R508" s="32"/>
      <c r="S508" s="32"/>
    </row>
    <row r="509" spans="3:19" x14ac:dyDescent="0.3">
      <c r="C509" s="11"/>
      <c r="D509" s="32"/>
      <c r="E509" s="11"/>
      <c r="J509" s="15"/>
      <c r="K509" s="47"/>
      <c r="L509" s="76"/>
      <c r="M509" s="76"/>
      <c r="N509" s="78" t="str">
        <f>_xlfn.LET(
    _xlpm.itemBuscado, B509,
    _xlpm.areaBuscada, C509,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TEXT(COUNTIF($C$2:C509, _xlpm.areaBuscada), "0000"),
    _xlpm.codItem &amp; "-" &amp; _xlpm.codArea &amp; "-" &amp; _xlpm.secuencia
)</f>
        <v>-SinArea-0000</v>
      </c>
      <c r="O509" s="77"/>
      <c r="P509" s="32"/>
      <c r="Q509" s="32"/>
      <c r="R509" s="32"/>
      <c r="S509" s="32"/>
    </row>
    <row r="510" spans="3:19" x14ac:dyDescent="0.3">
      <c r="C510" s="11"/>
      <c r="D510" s="32"/>
      <c r="E510" s="11"/>
      <c r="J510" s="15"/>
      <c r="K510" s="47"/>
      <c r="L510" s="76"/>
      <c r="M510" s="76"/>
      <c r="N510" s="78" t="str">
        <f>_xlfn.LET(
    _xlpm.itemBuscado, B510,
    _xlpm.areaBuscada, C510,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TEXT(COUNTIF($C$2:C510, _xlpm.areaBuscada), "0000"),
    _xlpm.codItem &amp; "-" &amp; _xlpm.codArea &amp; "-" &amp; _xlpm.secuencia
)</f>
        <v>-SinArea-0000</v>
      </c>
      <c r="O510" s="77"/>
      <c r="P510" s="32"/>
      <c r="Q510" s="32"/>
      <c r="R510" s="32"/>
      <c r="S510" s="32"/>
    </row>
    <row r="511" spans="3:19" x14ac:dyDescent="0.3">
      <c r="C511" s="11"/>
      <c r="D511" s="32"/>
      <c r="E511" s="11"/>
      <c r="J511" s="15"/>
      <c r="K511" s="47"/>
      <c r="L511" s="76"/>
      <c r="M511" s="76"/>
      <c r="N511" s="78" t="str">
        <f>_xlfn.LET(
    _xlpm.itemBuscado, B511,
    _xlpm.areaBuscada, C511,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TEXT(COUNTIF($C$2:C511, _xlpm.areaBuscada), "0000"),
    _xlpm.codItem &amp; "-" &amp; _xlpm.codArea &amp; "-" &amp; _xlpm.secuencia
)</f>
        <v>-SinArea-0000</v>
      </c>
      <c r="O511" s="77"/>
      <c r="P511" s="32"/>
      <c r="Q511" s="32"/>
      <c r="R511" s="32"/>
      <c r="S511" s="32"/>
    </row>
    <row r="512" spans="3:19" x14ac:dyDescent="0.3">
      <c r="C512" s="11"/>
      <c r="D512" s="32"/>
      <c r="E512" s="11"/>
      <c r="J512" s="15"/>
      <c r="K512" s="47"/>
      <c r="L512" s="76"/>
      <c r="M512" s="76"/>
      <c r="N512" s="78" t="str">
        <f>_xlfn.LET(
    _xlpm.itemBuscado, B512,
    _xlpm.areaBuscada, C512,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TEXT(COUNTIF($C$2:C512, _xlpm.areaBuscada), "0000"),
    _xlpm.codItem &amp; "-" &amp; _xlpm.codArea &amp; "-" &amp; _xlpm.secuencia
)</f>
        <v>-SinArea-0000</v>
      </c>
      <c r="O512" s="77"/>
      <c r="P512" s="32"/>
      <c r="Q512" s="32"/>
      <c r="R512" s="32"/>
      <c r="S512" s="32"/>
    </row>
    <row r="513" spans="3:19" x14ac:dyDescent="0.3">
      <c r="C513" s="11"/>
      <c r="D513" s="32"/>
      <c r="E513" s="11"/>
      <c r="J513" s="15"/>
      <c r="K513" s="47"/>
      <c r="L513" s="76"/>
      <c r="M513" s="76"/>
      <c r="N513" s="78" t="str">
        <f>_xlfn.LET(
    _xlpm.itemBuscado, B513,
    _xlpm.areaBuscada, C513,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TEXT(COUNTIF($C$2:C513, _xlpm.areaBuscada), "0000"),
    _xlpm.codItem &amp; "-" &amp; _xlpm.codArea &amp; "-" &amp; _xlpm.secuencia
)</f>
        <v>-SinArea-0000</v>
      </c>
      <c r="O513" s="77"/>
      <c r="P513" s="32"/>
      <c r="Q513" s="32"/>
      <c r="R513" s="32"/>
      <c r="S513" s="32"/>
    </row>
    <row r="514" spans="3:19" x14ac:dyDescent="0.3">
      <c r="C514" s="11"/>
      <c r="D514" s="32"/>
      <c r="E514" s="11"/>
      <c r="J514" s="15"/>
      <c r="K514" s="47"/>
      <c r="L514" s="76"/>
      <c r="M514" s="76"/>
      <c r="N514" s="78" t="str">
        <f>_xlfn.LET(
    _xlpm.itemBuscado, B514,
    _xlpm.areaBuscada, C514,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TEXT(COUNTIF($C$2:C514, _xlpm.areaBuscada), "0000"),
    _xlpm.codItem &amp; "-" &amp; _xlpm.codArea &amp; "-" &amp; _xlpm.secuencia
)</f>
        <v>-SinArea-0000</v>
      </c>
      <c r="O514" s="77"/>
      <c r="P514" s="32"/>
      <c r="Q514" s="32"/>
      <c r="R514" s="32"/>
      <c r="S514" s="32"/>
    </row>
    <row r="515" spans="3:19" x14ac:dyDescent="0.3">
      <c r="C515" s="11"/>
      <c r="D515" s="32"/>
      <c r="E515" s="11"/>
      <c r="J515" s="15"/>
      <c r="K515" s="47"/>
      <c r="L515" s="76"/>
      <c r="M515" s="76"/>
      <c r="N515" s="78" t="str">
        <f>_xlfn.LET(
    _xlpm.itemBuscado, B515,
    _xlpm.areaBuscada, C515,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TEXT(COUNTIF($C$2:C515, _xlpm.areaBuscada), "0000"),
    _xlpm.codItem &amp; "-" &amp; _xlpm.codArea &amp; "-" &amp; _xlpm.secuencia
)</f>
        <v>-SinArea-0000</v>
      </c>
      <c r="O515" s="77"/>
      <c r="P515" s="32"/>
      <c r="Q515" s="32"/>
      <c r="R515" s="32"/>
      <c r="S515" s="32"/>
    </row>
    <row r="516" spans="3:19" x14ac:dyDescent="0.3">
      <c r="C516" s="11"/>
      <c r="D516" s="32"/>
      <c r="E516" s="11"/>
      <c r="J516" s="15"/>
      <c r="K516" s="47"/>
      <c r="L516" s="76"/>
      <c r="M516" s="76"/>
      <c r="N516" s="78" t="str">
        <f>_xlfn.LET(
    _xlpm.itemBuscado, B516,
    _xlpm.areaBuscada, C516,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TEXT(COUNTIF($C$2:C516, _xlpm.areaBuscada), "0000"),
    _xlpm.codItem &amp; "-" &amp; _xlpm.codArea &amp; "-" &amp; _xlpm.secuencia
)</f>
        <v>-SinArea-0000</v>
      </c>
      <c r="O516" s="77"/>
      <c r="P516" s="32"/>
      <c r="Q516" s="32"/>
      <c r="R516" s="32"/>
      <c r="S516" s="32"/>
    </row>
    <row r="517" spans="3:19" x14ac:dyDescent="0.3">
      <c r="C517" s="11"/>
      <c r="D517" s="32"/>
      <c r="E517" s="11"/>
      <c r="J517" s="15"/>
      <c r="K517" s="47"/>
      <c r="L517" s="76"/>
      <c r="M517" s="76"/>
      <c r="N517" s="78" t="str">
        <f>_xlfn.LET(
    _xlpm.itemBuscado, B517,
    _xlpm.areaBuscada, C517,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TEXT(COUNTIF($C$2:C517, _xlpm.areaBuscada), "0000"),
    _xlpm.codItem &amp; "-" &amp; _xlpm.codArea &amp; "-" &amp; _xlpm.secuencia
)</f>
        <v>-SinArea-0000</v>
      </c>
      <c r="O517" s="77"/>
      <c r="P517" s="32"/>
      <c r="Q517" s="32"/>
      <c r="R517" s="32"/>
      <c r="S517" s="32"/>
    </row>
    <row r="518" spans="3:19" x14ac:dyDescent="0.3">
      <c r="C518" s="11"/>
      <c r="D518" s="32"/>
      <c r="E518" s="11"/>
      <c r="J518" s="15"/>
      <c r="K518" s="47"/>
      <c r="L518" s="76"/>
      <c r="M518" s="76"/>
      <c r="N518" s="78" t="str">
        <f>_xlfn.LET(
    _xlpm.itemBuscado, B518,
    _xlpm.areaBuscada, C518,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TEXT(COUNTIF($C$2:C518, _xlpm.areaBuscada), "0000"),
    _xlpm.codItem &amp; "-" &amp; _xlpm.codArea &amp; "-" &amp; _xlpm.secuencia
)</f>
        <v>-SinArea-0000</v>
      </c>
      <c r="O518" s="77"/>
      <c r="P518" s="32"/>
      <c r="Q518" s="32"/>
      <c r="R518" s="32"/>
      <c r="S518" s="32"/>
    </row>
    <row r="519" spans="3:19" x14ac:dyDescent="0.3">
      <c r="C519" s="11"/>
      <c r="D519" s="32"/>
      <c r="E519" s="11"/>
      <c r="J519" s="15"/>
      <c r="K519" s="47"/>
      <c r="L519" s="76"/>
      <c r="M519" s="76"/>
      <c r="N519" s="78" t="str">
        <f>_xlfn.LET(
    _xlpm.itemBuscado, B519,
    _xlpm.areaBuscada, C519,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TEXT(COUNTIF($C$2:C519, _xlpm.areaBuscada), "0000"),
    _xlpm.codItem &amp; "-" &amp; _xlpm.codArea &amp; "-" &amp; _xlpm.secuencia
)</f>
        <v>-SinArea-0000</v>
      </c>
      <c r="O519" s="77"/>
      <c r="P519" s="32"/>
      <c r="Q519" s="32"/>
      <c r="R519" s="32"/>
      <c r="S519" s="32"/>
    </row>
    <row r="520" spans="3:19" x14ac:dyDescent="0.3">
      <c r="C520" s="11"/>
      <c r="D520" s="32"/>
      <c r="E520" s="11"/>
      <c r="J520" s="15"/>
      <c r="K520" s="47"/>
      <c r="L520" s="76"/>
      <c r="M520" s="76"/>
      <c r="N520" s="78" t="str">
        <f>_xlfn.LET(
    _xlpm.itemBuscado, B520,
    _xlpm.areaBuscada, C520,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TEXT(COUNTIF($C$2:C520, _xlpm.areaBuscada), "0000"),
    _xlpm.codItem &amp; "-" &amp; _xlpm.codArea &amp; "-" &amp; _xlpm.secuencia
)</f>
        <v>-SinArea-0000</v>
      </c>
      <c r="O520" s="77"/>
      <c r="P520" s="32"/>
      <c r="Q520" s="32"/>
      <c r="R520" s="32"/>
      <c r="S520" s="32"/>
    </row>
    <row r="521" spans="3:19" x14ac:dyDescent="0.3">
      <c r="C521" s="11"/>
      <c r="D521" s="32"/>
      <c r="E521" s="11"/>
      <c r="J521" s="15"/>
      <c r="K521" s="47"/>
      <c r="L521" s="76"/>
      <c r="M521" s="76"/>
      <c r="N521" s="78" t="str">
        <f>_xlfn.LET(
    _xlpm.itemBuscado, B521,
    _xlpm.areaBuscada, C521,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TEXT(COUNTIF($C$2:C521, _xlpm.areaBuscada), "0000"),
    _xlpm.codItem &amp; "-" &amp; _xlpm.codArea &amp; "-" &amp; _xlpm.secuencia
)</f>
        <v>-SinArea-0000</v>
      </c>
      <c r="O521" s="77"/>
      <c r="P521" s="32"/>
      <c r="Q521" s="32"/>
      <c r="R521" s="32"/>
      <c r="S521" s="32"/>
    </row>
    <row r="522" spans="3:19" x14ac:dyDescent="0.3">
      <c r="C522" s="11"/>
      <c r="D522" s="32"/>
      <c r="E522" s="11"/>
      <c r="J522" s="15"/>
      <c r="K522" s="47"/>
      <c r="L522" s="76"/>
      <c r="M522" s="76"/>
      <c r="N522" s="78" t="str">
        <f>_xlfn.LET(
    _xlpm.itemBuscado, B522,
    _xlpm.areaBuscada, C522,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TEXT(COUNTIF($C$2:C522, _xlpm.areaBuscada), "0000"),
    _xlpm.codItem &amp; "-" &amp; _xlpm.codArea &amp; "-" &amp; _xlpm.secuencia
)</f>
        <v>-SinArea-0000</v>
      </c>
      <c r="O522" s="77"/>
      <c r="P522" s="32"/>
      <c r="Q522" s="32"/>
      <c r="R522" s="32"/>
      <c r="S522" s="32"/>
    </row>
    <row r="523" spans="3:19" x14ac:dyDescent="0.3">
      <c r="C523" s="11"/>
      <c r="D523" s="32"/>
      <c r="E523" s="11"/>
      <c r="J523" s="15"/>
      <c r="K523" s="47"/>
      <c r="L523" s="76"/>
      <c r="M523" s="76"/>
      <c r="N523" s="78" t="str">
        <f>_xlfn.LET(
    _xlpm.itemBuscado, B523,
    _xlpm.areaBuscada, C523,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TEXT(COUNTIF($C$2:C523, _xlpm.areaBuscada), "0000"),
    _xlpm.codItem &amp; "-" &amp; _xlpm.codArea &amp; "-" &amp; _xlpm.secuencia
)</f>
        <v>-SinArea-0000</v>
      </c>
      <c r="O523" s="77"/>
      <c r="P523" s="32"/>
      <c r="Q523" s="32"/>
      <c r="R523" s="32"/>
      <c r="S523" s="32"/>
    </row>
    <row r="524" spans="3:19" x14ac:dyDescent="0.3">
      <c r="C524" s="11"/>
      <c r="D524" s="32"/>
      <c r="E524" s="11"/>
      <c r="J524" s="15"/>
      <c r="K524" s="47"/>
      <c r="L524" s="76"/>
      <c r="M524" s="76"/>
      <c r="N524" s="78" t="str">
        <f>_xlfn.LET(
    _xlpm.itemBuscado, B524,
    _xlpm.areaBuscada, C524,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TEXT(COUNTIF($C$2:C524, _xlpm.areaBuscada), "0000"),
    _xlpm.codItem &amp; "-" &amp; _xlpm.codArea &amp; "-" &amp; _xlpm.secuencia
)</f>
        <v>-SinArea-0000</v>
      </c>
      <c r="O524" s="77"/>
      <c r="P524" s="32"/>
      <c r="Q524" s="32"/>
      <c r="R524" s="32"/>
      <c r="S524" s="32"/>
    </row>
    <row r="525" spans="3:19" x14ac:dyDescent="0.3">
      <c r="C525" s="11"/>
      <c r="D525" s="32"/>
      <c r="E525" s="11"/>
      <c r="J525" s="15"/>
      <c r="K525" s="47"/>
      <c r="L525" s="76"/>
      <c r="M525" s="76"/>
      <c r="N525" s="78" t="str">
        <f>_xlfn.LET(
    _xlpm.itemBuscado, B525,
    _xlpm.areaBuscada, C525,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TEXT(COUNTIF($C$2:C525, _xlpm.areaBuscada), "0000"),
    _xlpm.codItem &amp; "-" &amp; _xlpm.codArea &amp; "-" &amp; _xlpm.secuencia
)</f>
        <v>-SinArea-0000</v>
      </c>
      <c r="O525" s="77"/>
      <c r="P525" s="32"/>
      <c r="Q525" s="32"/>
      <c r="R525" s="32"/>
      <c r="S525" s="32"/>
    </row>
    <row r="526" spans="3:19" x14ac:dyDescent="0.3">
      <c r="C526" s="11"/>
      <c r="D526" s="32"/>
      <c r="E526" s="11"/>
      <c r="J526" s="15"/>
      <c r="K526" s="47"/>
      <c r="L526" s="76"/>
      <c r="M526" s="76"/>
      <c r="N526" s="78" t="str">
        <f>_xlfn.LET(
    _xlpm.itemBuscado, B526,
    _xlpm.areaBuscada, C526,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TEXT(COUNTIF($C$2:C526, _xlpm.areaBuscada), "0000"),
    _xlpm.codItem &amp; "-" &amp; _xlpm.codArea &amp; "-" &amp; _xlpm.secuencia
)</f>
        <v>-SinArea-0000</v>
      </c>
      <c r="O526" s="77"/>
      <c r="P526" s="32"/>
      <c r="Q526" s="32"/>
      <c r="R526" s="32"/>
      <c r="S526" s="32"/>
    </row>
    <row r="527" spans="3:19" x14ac:dyDescent="0.3">
      <c r="C527" s="11"/>
      <c r="D527" s="32"/>
      <c r="E527" s="11"/>
      <c r="J527" s="15"/>
      <c r="K527" s="47"/>
      <c r="L527" s="76"/>
      <c r="M527" s="76"/>
      <c r="N527" s="78" t="str">
        <f>_xlfn.LET(
    _xlpm.itemBuscado, B527,
    _xlpm.areaBuscada, C527,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TEXT(COUNTIF($C$2:C527, _xlpm.areaBuscada), "0000"),
    _xlpm.codItem &amp; "-" &amp; _xlpm.codArea &amp; "-" &amp; _xlpm.secuencia
)</f>
        <v>-SinArea-0000</v>
      </c>
      <c r="O527" s="77"/>
      <c r="P527" s="32"/>
      <c r="Q527" s="32"/>
      <c r="R527" s="32"/>
      <c r="S527" s="32"/>
    </row>
    <row r="528" spans="3:19" x14ac:dyDescent="0.3">
      <c r="C528" s="11"/>
      <c r="D528" s="32"/>
      <c r="E528" s="11"/>
      <c r="J528" s="15"/>
      <c r="K528" s="47"/>
      <c r="L528" s="76"/>
      <c r="M528" s="76"/>
      <c r="N528" s="78" t="str">
        <f>_xlfn.LET(
    _xlpm.itemBuscado, B528,
    _xlpm.areaBuscada, C528,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TEXT(COUNTIF($C$2:C528, _xlpm.areaBuscada), "0000"),
    _xlpm.codItem &amp; "-" &amp; _xlpm.codArea &amp; "-" &amp; _xlpm.secuencia
)</f>
        <v>-SinArea-0000</v>
      </c>
      <c r="O528" s="77"/>
      <c r="P528" s="32"/>
      <c r="Q528" s="32"/>
      <c r="R528" s="32"/>
      <c r="S528" s="32"/>
    </row>
    <row r="529" spans="3:19" x14ac:dyDescent="0.3">
      <c r="C529" s="11"/>
      <c r="D529" s="32"/>
      <c r="E529" s="11"/>
      <c r="J529" s="15"/>
      <c r="K529" s="47"/>
      <c r="L529" s="76"/>
      <c r="M529" s="76"/>
      <c r="N529" s="78" t="str">
        <f>_xlfn.LET(
    _xlpm.itemBuscado, B529,
    _xlpm.areaBuscada, C529,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TEXT(COUNTIF($C$2:C529, _xlpm.areaBuscada), "0000"),
    _xlpm.codItem &amp; "-" &amp; _xlpm.codArea &amp; "-" &amp; _xlpm.secuencia
)</f>
        <v>-SinArea-0000</v>
      </c>
      <c r="O529" s="77"/>
      <c r="P529" s="32"/>
      <c r="Q529" s="32"/>
      <c r="R529" s="32"/>
      <c r="S529" s="32"/>
    </row>
    <row r="530" spans="3:19" x14ac:dyDescent="0.3">
      <c r="C530" s="11"/>
      <c r="D530" s="32"/>
      <c r="E530" s="11"/>
      <c r="J530" s="15"/>
      <c r="K530" s="47"/>
      <c r="L530" s="76"/>
      <c r="M530" s="76"/>
      <c r="N530" s="78" t="str">
        <f>_xlfn.LET(
    _xlpm.itemBuscado, B530,
    _xlpm.areaBuscada, C530,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TEXT(COUNTIF($C$2:C530, _xlpm.areaBuscada), "0000"),
    _xlpm.codItem &amp; "-" &amp; _xlpm.codArea &amp; "-" &amp; _xlpm.secuencia
)</f>
        <v>-SinArea-0000</v>
      </c>
      <c r="O530" s="77"/>
      <c r="P530" s="32"/>
      <c r="Q530" s="32"/>
      <c r="R530" s="32"/>
      <c r="S530" s="32"/>
    </row>
    <row r="531" spans="3:19" x14ac:dyDescent="0.3">
      <c r="C531" s="11"/>
      <c r="D531" s="32"/>
      <c r="E531" s="11"/>
      <c r="J531" s="15"/>
      <c r="K531" s="47"/>
      <c r="L531" s="76"/>
      <c r="M531" s="76"/>
      <c r="N531" s="78" t="str">
        <f>_xlfn.LET(
    _xlpm.itemBuscado, B531,
    _xlpm.areaBuscada, C531,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TEXT(COUNTIF($C$2:C531, _xlpm.areaBuscada), "0000"),
    _xlpm.codItem &amp; "-" &amp; _xlpm.codArea &amp; "-" &amp; _xlpm.secuencia
)</f>
        <v>-SinArea-0000</v>
      </c>
      <c r="O531" s="77"/>
      <c r="P531" s="32"/>
      <c r="Q531" s="32"/>
      <c r="R531" s="32"/>
      <c r="S531" s="32"/>
    </row>
    <row r="532" spans="3:19" x14ac:dyDescent="0.3">
      <c r="C532" s="11"/>
      <c r="D532" s="32"/>
      <c r="E532" s="11"/>
      <c r="J532" s="15"/>
      <c r="K532" s="47"/>
      <c r="L532" s="76"/>
      <c r="M532" s="76"/>
      <c r="N532" s="78" t="str">
        <f>_xlfn.LET(
    _xlpm.itemBuscado, B532,
    _xlpm.areaBuscada, C532,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TEXT(COUNTIF($C$2:C532, _xlpm.areaBuscada), "0000"),
    _xlpm.codItem &amp; "-" &amp; _xlpm.codArea &amp; "-" &amp; _xlpm.secuencia
)</f>
        <v>-SinArea-0000</v>
      </c>
      <c r="O532" s="77"/>
      <c r="P532" s="32"/>
      <c r="Q532" s="32"/>
      <c r="R532" s="32"/>
      <c r="S532" s="32"/>
    </row>
    <row r="533" spans="3:19" x14ac:dyDescent="0.3">
      <c r="C533" s="11"/>
      <c r="D533" s="32"/>
      <c r="E533" s="11"/>
      <c r="J533" s="15"/>
      <c r="K533" s="47"/>
      <c r="L533" s="76"/>
      <c r="M533" s="76"/>
      <c r="N533" s="78" t="str">
        <f>_xlfn.LET(
    _xlpm.itemBuscado, B533,
    _xlpm.areaBuscada, C533,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TEXT(COUNTIF($C$2:C533, _xlpm.areaBuscada), "0000"),
    _xlpm.codItem &amp; "-" &amp; _xlpm.codArea &amp; "-" &amp; _xlpm.secuencia
)</f>
        <v>-SinArea-0000</v>
      </c>
      <c r="O533" s="77"/>
      <c r="P533" s="32"/>
      <c r="Q533" s="32"/>
      <c r="R533" s="32"/>
      <c r="S533" s="32"/>
    </row>
    <row r="534" spans="3:19" x14ac:dyDescent="0.3">
      <c r="C534" s="11"/>
      <c r="D534" s="32"/>
      <c r="E534" s="11"/>
      <c r="J534" s="15"/>
      <c r="K534" s="78"/>
      <c r="L534" s="76"/>
      <c r="M534" s="76"/>
      <c r="N534" s="78" t="str">
        <f>_xlfn.LET(
    _xlpm.itemBuscado, B534,
    _xlpm.areaBuscada, C534,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TEXT(COUNTIF($C$2:C534, _xlpm.areaBuscada), "0000"),
    _xlpm.codItem &amp; "-" &amp; _xlpm.codArea &amp; "-" &amp; _xlpm.secuencia
)</f>
        <v>-SinArea-0000</v>
      </c>
      <c r="O534" s="77"/>
      <c r="P534" s="32"/>
      <c r="Q534" s="32"/>
      <c r="R534" s="32"/>
      <c r="S534" s="32"/>
    </row>
    <row r="535" spans="3:19" x14ac:dyDescent="0.3">
      <c r="C535" s="11"/>
      <c r="D535" s="32"/>
      <c r="E535" s="11"/>
      <c r="J535" s="15"/>
      <c r="K535" s="47"/>
      <c r="L535" s="76"/>
      <c r="M535" s="76"/>
      <c r="N535" s="78" t="str">
        <f>_xlfn.LET(
    _xlpm.itemBuscado, B535,
    _xlpm.areaBuscada, C535,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TEXT(COUNTIF($C$2:C535, _xlpm.areaBuscada), "0000"),
    _xlpm.codItem &amp; "-" &amp; _xlpm.codArea &amp; "-" &amp; _xlpm.secuencia
)</f>
        <v>-SinArea-0000</v>
      </c>
      <c r="O535" s="77"/>
      <c r="P535" s="32"/>
      <c r="Q535" s="32"/>
      <c r="R535" s="32"/>
      <c r="S535" s="32"/>
    </row>
    <row r="536" spans="3:19" x14ac:dyDescent="0.3">
      <c r="C536" s="11"/>
      <c r="D536" s="32"/>
      <c r="E536" s="11"/>
      <c r="J536" s="15"/>
      <c r="K536" s="47"/>
      <c r="L536" s="76"/>
      <c r="M536" s="76"/>
      <c r="N536" s="78" t="str">
        <f>_xlfn.LET(
    _xlpm.itemBuscado, B536,
    _xlpm.areaBuscada, C536,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TEXT(COUNTIF($C$2:C536, _xlpm.areaBuscada), "0000"),
    _xlpm.codItem &amp; "-" &amp; _xlpm.codArea &amp; "-" &amp; _xlpm.secuencia
)</f>
        <v>-SinArea-0000</v>
      </c>
      <c r="O536" s="77"/>
      <c r="P536" s="32"/>
      <c r="Q536" s="32"/>
      <c r="R536" s="32"/>
      <c r="S536" s="32"/>
    </row>
    <row r="537" spans="3:19" x14ac:dyDescent="0.3">
      <c r="C537" s="11"/>
      <c r="D537" s="32"/>
      <c r="E537" s="11"/>
      <c r="J537" s="15"/>
      <c r="K537" s="47"/>
      <c r="L537" s="76"/>
      <c r="M537" s="76"/>
      <c r="N537" s="78" t="str">
        <f>_xlfn.LET(
    _xlpm.itemBuscado, B537,
    _xlpm.areaBuscada, C537,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TEXT(COUNTIF($C$2:C537, _xlpm.areaBuscada), "0000"),
    _xlpm.codItem &amp; "-" &amp; _xlpm.codArea &amp; "-" &amp; _xlpm.secuencia
)</f>
        <v>-SinArea-0000</v>
      </c>
      <c r="O537" s="77"/>
      <c r="P537" s="32"/>
      <c r="Q537" s="32"/>
      <c r="R537" s="32"/>
      <c r="S537" s="32"/>
    </row>
    <row r="538" spans="3:19" x14ac:dyDescent="0.3">
      <c r="C538" s="11"/>
      <c r="D538" s="32"/>
      <c r="E538" s="11"/>
      <c r="J538" s="15"/>
      <c r="K538" s="47"/>
      <c r="L538" s="76"/>
      <c r="M538" s="76"/>
      <c r="N538" s="78" t="str">
        <f>_xlfn.LET(
    _xlpm.itemBuscado, B538,
    _xlpm.areaBuscada, C538,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TEXT(COUNTIF($C$2:C538, _xlpm.areaBuscada), "0000"),
    _xlpm.codItem &amp; "-" &amp; _xlpm.codArea &amp; "-" &amp; _xlpm.secuencia
)</f>
        <v>-SinArea-0000</v>
      </c>
      <c r="O538" s="77"/>
      <c r="P538" s="32"/>
      <c r="Q538" s="32"/>
      <c r="R538" s="32"/>
      <c r="S538" s="32"/>
    </row>
    <row r="539" spans="3:19" x14ac:dyDescent="0.3">
      <c r="C539" s="11"/>
      <c r="D539" s="32"/>
      <c r="E539" s="11"/>
      <c r="J539" s="15"/>
      <c r="K539" s="47"/>
      <c r="L539" s="76"/>
      <c r="M539" s="76"/>
      <c r="N539" s="78" t="str">
        <f>_xlfn.LET(
    _xlpm.itemBuscado, B539,
    _xlpm.areaBuscada, C539,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TEXT(COUNTIF($C$2:C539, _xlpm.areaBuscada), "0000"),
    _xlpm.codItem &amp; "-" &amp; _xlpm.codArea &amp; "-" &amp; _xlpm.secuencia
)</f>
        <v>-SinArea-0000</v>
      </c>
      <c r="O539" s="77"/>
      <c r="P539" s="32"/>
      <c r="Q539" s="32"/>
      <c r="R539" s="32"/>
      <c r="S539" s="32"/>
    </row>
    <row r="540" spans="3:19" x14ac:dyDescent="0.3">
      <c r="C540" s="11"/>
      <c r="D540" s="32"/>
      <c r="E540" s="11"/>
      <c r="J540" s="15"/>
      <c r="K540" s="47"/>
      <c r="L540" s="76"/>
      <c r="M540" s="76"/>
      <c r="N540" s="78" t="str">
        <f>_xlfn.LET(
    _xlpm.itemBuscado, B540,
    _xlpm.areaBuscada, C540,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TEXT(COUNTIF($C$2:C540, _xlpm.areaBuscada), "0000"),
    _xlpm.codItem &amp; "-" &amp; _xlpm.codArea &amp; "-" &amp; _xlpm.secuencia
)</f>
        <v>-SinArea-0000</v>
      </c>
      <c r="O540" s="77"/>
      <c r="P540" s="32"/>
      <c r="Q540" s="32"/>
      <c r="R540" s="32"/>
      <c r="S540" s="32"/>
    </row>
    <row r="541" spans="3:19" x14ac:dyDescent="0.3">
      <c r="C541" s="11"/>
      <c r="D541" s="32"/>
      <c r="E541" s="11"/>
      <c r="J541" s="15"/>
      <c r="K541" s="47"/>
      <c r="L541" s="76"/>
      <c r="M541" s="76"/>
      <c r="N541" s="78" t="str">
        <f>_xlfn.LET(
    _xlpm.itemBuscado, B541,
    _xlpm.areaBuscada, C541,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TEXT(COUNTIF($C$2:C541, _xlpm.areaBuscada), "0000"),
    _xlpm.codItem &amp; "-" &amp; _xlpm.codArea &amp; "-" &amp; _xlpm.secuencia
)</f>
        <v>-SinArea-0000</v>
      </c>
      <c r="O541" s="77"/>
      <c r="P541" s="32"/>
      <c r="Q541" s="32"/>
      <c r="R541" s="32"/>
      <c r="S541" s="32"/>
    </row>
    <row r="542" spans="3:19" x14ac:dyDescent="0.3">
      <c r="C542" s="11"/>
      <c r="D542" s="32"/>
      <c r="E542" s="11"/>
      <c r="J542" s="15"/>
      <c r="K542" s="47"/>
      <c r="L542" s="76"/>
      <c r="M542" s="76"/>
      <c r="N542" s="78" t="str">
        <f>_xlfn.LET(
    _xlpm.itemBuscado, B542,
    _xlpm.areaBuscada, C542,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TEXT(COUNTIF($C$2:C542, _xlpm.areaBuscada), "0000"),
    _xlpm.codItem &amp; "-" &amp; _xlpm.codArea &amp; "-" &amp; _xlpm.secuencia
)</f>
        <v>-SinArea-0000</v>
      </c>
      <c r="O542" s="77"/>
      <c r="P542" s="32"/>
      <c r="Q542" s="32"/>
      <c r="R542" s="32"/>
      <c r="S542" s="32"/>
    </row>
    <row r="543" spans="3:19" x14ac:dyDescent="0.3">
      <c r="C543" s="11"/>
      <c r="D543" s="32"/>
      <c r="E543" s="11"/>
      <c r="J543" s="15"/>
      <c r="K543" s="47"/>
      <c r="L543" s="76"/>
      <c r="M543" s="76"/>
      <c r="N543" s="78" t="str">
        <f>_xlfn.LET(
    _xlpm.itemBuscado, B543,
    _xlpm.areaBuscada, C543,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TEXT(COUNTIF($C$2:C543, _xlpm.areaBuscada), "0000"),
    _xlpm.codItem &amp; "-" &amp; _xlpm.codArea &amp; "-" &amp; _xlpm.secuencia
)</f>
        <v>-SinArea-0000</v>
      </c>
      <c r="O543" s="77"/>
      <c r="P543" s="32"/>
      <c r="Q543" s="32"/>
      <c r="R543" s="32"/>
      <c r="S543" s="32"/>
    </row>
    <row r="544" spans="3:19" x14ac:dyDescent="0.3">
      <c r="C544" s="11"/>
      <c r="D544" s="32"/>
      <c r="E544" s="11"/>
      <c r="J544" s="15"/>
      <c r="K544" s="47"/>
      <c r="L544" s="76"/>
      <c r="M544" s="76"/>
      <c r="N544" s="78" t="str">
        <f>_xlfn.LET(
    _xlpm.itemBuscado, B544,
    _xlpm.areaBuscada, C544,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TEXT(COUNTIF($C$2:C544, _xlpm.areaBuscada), "0000"),
    _xlpm.codItem &amp; "-" &amp; _xlpm.codArea &amp; "-" &amp; _xlpm.secuencia
)</f>
        <v>-SinArea-0000</v>
      </c>
      <c r="O544" s="77"/>
      <c r="P544" s="32"/>
      <c r="Q544" s="32"/>
      <c r="R544" s="32"/>
      <c r="S544" s="32"/>
    </row>
    <row r="545" spans="3:19" x14ac:dyDescent="0.3">
      <c r="C545" s="11"/>
      <c r="D545" s="32"/>
      <c r="E545" s="11"/>
      <c r="J545" s="15"/>
      <c r="K545" s="47"/>
      <c r="L545" s="76"/>
      <c r="M545" s="76"/>
      <c r="N545" s="78" t="str">
        <f>_xlfn.LET(
    _xlpm.itemBuscado, B545,
    _xlpm.areaBuscada, C545,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TEXT(COUNTIF($C$2:C545, _xlpm.areaBuscada), "0000"),
    _xlpm.codItem &amp; "-" &amp; _xlpm.codArea &amp; "-" &amp; _xlpm.secuencia
)</f>
        <v>-SinArea-0000</v>
      </c>
      <c r="O545" s="77"/>
      <c r="P545" s="32"/>
      <c r="Q545" s="32"/>
      <c r="R545" s="32"/>
      <c r="S545" s="32"/>
    </row>
    <row r="546" spans="3:19" x14ac:dyDescent="0.3">
      <c r="C546" s="11"/>
      <c r="D546" s="32"/>
      <c r="E546" s="11"/>
      <c r="J546" s="15"/>
      <c r="K546" s="47"/>
      <c r="L546" s="76"/>
      <c r="M546" s="76"/>
      <c r="N546" s="78" t="str">
        <f>_xlfn.LET(
    _xlpm.itemBuscado, B546,
    _xlpm.areaBuscada, C546,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TEXT(COUNTIF($C$2:C546, _xlpm.areaBuscada), "0000"),
    _xlpm.codItem &amp; "-" &amp; _xlpm.codArea &amp; "-" &amp; _xlpm.secuencia
)</f>
        <v>-SinArea-0000</v>
      </c>
      <c r="O546" s="77"/>
      <c r="P546" s="32"/>
      <c r="Q546" s="32"/>
      <c r="R546" s="32"/>
      <c r="S546" s="32"/>
    </row>
    <row r="547" spans="3:19" x14ac:dyDescent="0.3">
      <c r="C547" s="11"/>
      <c r="D547" s="32"/>
      <c r="E547" s="11"/>
      <c r="J547" s="15"/>
      <c r="K547" s="47"/>
      <c r="L547" s="76"/>
      <c r="M547" s="76"/>
      <c r="N547" s="78" t="str">
        <f>_xlfn.LET(
    _xlpm.itemBuscado, B547,
    _xlpm.areaBuscada, C547,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TEXT(COUNTIF($C$2:C547, _xlpm.areaBuscada), "0000"),
    _xlpm.codItem &amp; "-" &amp; _xlpm.codArea &amp; "-" &amp; _xlpm.secuencia
)</f>
        <v>-SinArea-0000</v>
      </c>
      <c r="O547" s="77"/>
      <c r="P547" s="32"/>
      <c r="Q547" s="32"/>
      <c r="R547" s="32"/>
      <c r="S547" s="32"/>
    </row>
    <row r="548" spans="3:19" x14ac:dyDescent="0.3">
      <c r="C548" s="11"/>
      <c r="D548" s="32"/>
      <c r="E548" s="11"/>
      <c r="J548" s="15"/>
      <c r="K548" s="47"/>
      <c r="L548" s="76"/>
      <c r="M548" s="76"/>
      <c r="N548" s="78" t="str">
        <f>_xlfn.LET(
    _xlpm.itemBuscado, B548,
    _xlpm.areaBuscada, C548,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TEXT(COUNTIF($C$2:C548, _xlpm.areaBuscada), "0000"),
    _xlpm.codItem &amp; "-" &amp; _xlpm.codArea &amp; "-" &amp; _xlpm.secuencia
)</f>
        <v>-SinArea-0000</v>
      </c>
      <c r="O548" s="77"/>
      <c r="P548" s="32"/>
      <c r="Q548" s="32"/>
      <c r="R548" s="32"/>
      <c r="S548" s="32"/>
    </row>
    <row r="549" spans="3:19" x14ac:dyDescent="0.3">
      <c r="C549" s="11"/>
      <c r="D549" s="32"/>
      <c r="E549" s="11"/>
      <c r="J549" s="15"/>
      <c r="K549" s="47"/>
      <c r="L549" s="76"/>
      <c r="M549" s="76"/>
      <c r="N549" s="78" t="str">
        <f>_xlfn.LET(
    _xlpm.itemBuscado, B549,
    _xlpm.areaBuscada, C549,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TEXT(COUNTIF($C$2:C549, _xlpm.areaBuscada), "0000"),
    _xlpm.codItem &amp; "-" &amp; _xlpm.codArea &amp; "-" &amp; _xlpm.secuencia
)</f>
        <v>-SinArea-0000</v>
      </c>
      <c r="O549" s="77"/>
      <c r="P549" s="32"/>
      <c r="Q549" s="32"/>
      <c r="R549" s="32"/>
      <c r="S549" s="32"/>
    </row>
    <row r="550" spans="3:19" x14ac:dyDescent="0.3">
      <c r="C550" s="11"/>
      <c r="D550" s="32"/>
      <c r="E550" s="11"/>
      <c r="J550" s="15"/>
      <c r="K550" s="47"/>
      <c r="L550" s="76"/>
      <c r="M550" s="76"/>
      <c r="N550" s="78" t="str">
        <f>_xlfn.LET(
    _xlpm.itemBuscado, B550,
    _xlpm.areaBuscada, C550,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TEXT(COUNTIF($C$2:C550, _xlpm.areaBuscada), "0000"),
    _xlpm.codItem &amp; "-" &amp; _xlpm.codArea &amp; "-" &amp; _xlpm.secuencia
)</f>
        <v>-SinArea-0000</v>
      </c>
      <c r="O550" s="77"/>
      <c r="P550" s="32"/>
      <c r="Q550" s="32"/>
      <c r="R550" s="32"/>
      <c r="S550" s="32"/>
    </row>
    <row r="551" spans="3:19" x14ac:dyDescent="0.3">
      <c r="C551" s="11"/>
      <c r="D551" s="32"/>
      <c r="E551" s="11"/>
      <c r="J551" s="15"/>
      <c r="K551" s="47"/>
      <c r="L551" s="76"/>
      <c r="M551" s="76"/>
      <c r="N551" s="78" t="str">
        <f>_xlfn.LET(
    _xlpm.itemBuscado, B551,
    _xlpm.areaBuscada, C551,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TEXT(COUNTIF($C$2:C551, _xlpm.areaBuscada), "0000"),
    _xlpm.codItem &amp; "-" &amp; _xlpm.codArea &amp; "-" &amp; _xlpm.secuencia
)</f>
        <v>-SinArea-0000</v>
      </c>
      <c r="O551" s="77"/>
      <c r="P551" s="32"/>
      <c r="Q551" s="32"/>
      <c r="R551" s="32"/>
      <c r="S551" s="32"/>
    </row>
    <row r="552" spans="3:19" x14ac:dyDescent="0.3">
      <c r="C552" s="11"/>
      <c r="D552" s="32"/>
      <c r="E552" s="11"/>
      <c r="J552" s="15"/>
      <c r="K552" s="47"/>
      <c r="L552" s="76"/>
      <c r="M552" s="76"/>
      <c r="N552" s="78" t="str">
        <f>_xlfn.LET(
    _xlpm.itemBuscado, B552,
    _xlpm.areaBuscada, C552,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TEXT(COUNTIF($C$2:C552, _xlpm.areaBuscada), "0000"),
    _xlpm.codItem &amp; "-" &amp; _xlpm.codArea &amp; "-" &amp; _xlpm.secuencia
)</f>
        <v>-SinArea-0000</v>
      </c>
      <c r="O552" s="77"/>
      <c r="P552" s="32"/>
      <c r="Q552" s="32"/>
      <c r="R552" s="32"/>
      <c r="S552" s="32"/>
    </row>
    <row r="553" spans="3:19" x14ac:dyDescent="0.3">
      <c r="C553" s="11"/>
      <c r="D553" s="32"/>
      <c r="E553" s="11"/>
      <c r="J553" s="15"/>
      <c r="K553" s="47"/>
      <c r="L553" s="76"/>
      <c r="M553" s="76"/>
      <c r="N553" s="78" t="str">
        <f>_xlfn.LET(
    _xlpm.itemBuscado, B553,
    _xlpm.areaBuscada, C553,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TEXT(COUNTIF($C$2:C553, _xlpm.areaBuscada), "0000"),
    _xlpm.codItem &amp; "-" &amp; _xlpm.codArea &amp; "-" &amp; _xlpm.secuencia
)</f>
        <v>-SinArea-0000</v>
      </c>
      <c r="O553" s="77"/>
      <c r="P553" s="32"/>
      <c r="Q553" s="32"/>
      <c r="R553" s="32"/>
      <c r="S553" s="32"/>
    </row>
    <row r="554" spans="3:19" x14ac:dyDescent="0.3">
      <c r="C554" s="11"/>
      <c r="D554" s="32"/>
      <c r="E554" s="11"/>
      <c r="J554" s="15"/>
      <c r="K554" s="47"/>
      <c r="L554" s="76"/>
      <c r="M554" s="76"/>
      <c r="N554" s="78" t="str">
        <f>_xlfn.LET(
    _xlpm.itemBuscado, B554,
    _xlpm.areaBuscada, C554,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TEXT(COUNTIF($C$2:C554, _xlpm.areaBuscada), "0000"),
    _xlpm.codItem &amp; "-" &amp; _xlpm.codArea &amp; "-" &amp; _xlpm.secuencia
)</f>
        <v>-SinArea-0000</v>
      </c>
      <c r="O554" s="77"/>
      <c r="P554" s="32"/>
      <c r="Q554" s="32"/>
      <c r="R554" s="32"/>
      <c r="S554" s="32"/>
    </row>
    <row r="555" spans="3:19" x14ac:dyDescent="0.3">
      <c r="C555" s="11"/>
      <c r="D555" s="32"/>
      <c r="E555" s="11"/>
      <c r="J555" s="15"/>
      <c r="K555" s="47"/>
      <c r="L555" s="76"/>
      <c r="M555" s="76"/>
      <c r="N555" s="78" t="str">
        <f>_xlfn.LET(
    _xlpm.itemBuscado, B555,
    _xlpm.areaBuscada, C555,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TEXT(COUNTIF($C$2:C555, _xlpm.areaBuscada), "0000"),
    _xlpm.codItem &amp; "-" &amp; _xlpm.codArea &amp; "-" &amp; _xlpm.secuencia
)</f>
        <v>-SinArea-0000</v>
      </c>
      <c r="O555" s="77"/>
      <c r="P555" s="32"/>
      <c r="Q555" s="32"/>
      <c r="R555" s="32"/>
      <c r="S555" s="32"/>
    </row>
    <row r="556" spans="3:19" x14ac:dyDescent="0.3">
      <c r="C556" s="11"/>
      <c r="D556" s="32"/>
      <c r="E556" s="11"/>
      <c r="J556" s="15"/>
      <c r="K556" s="47"/>
      <c r="L556" s="76"/>
      <c r="M556" s="76"/>
      <c r="N556" s="78" t="str">
        <f>_xlfn.LET(
    _xlpm.itemBuscado, B556,
    _xlpm.areaBuscada, C556,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TEXT(COUNTIF($C$2:C556, _xlpm.areaBuscada), "0000"),
    _xlpm.codItem &amp; "-" &amp; _xlpm.codArea &amp; "-" &amp; _xlpm.secuencia
)</f>
        <v>-SinArea-0000</v>
      </c>
      <c r="O556" s="77"/>
      <c r="P556" s="32"/>
      <c r="Q556" s="32"/>
      <c r="R556" s="32"/>
      <c r="S556" s="32"/>
    </row>
    <row r="557" spans="3:19" x14ac:dyDescent="0.3">
      <c r="C557" s="11"/>
      <c r="D557" s="32"/>
      <c r="E557" s="11"/>
      <c r="J557" s="15"/>
      <c r="K557" s="47"/>
      <c r="L557" s="76"/>
      <c r="M557" s="76"/>
      <c r="N557" s="78" t="str">
        <f>_xlfn.LET(
    _xlpm.itemBuscado, B557,
    _xlpm.areaBuscada, C557,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TEXT(COUNTIF($C$2:C557, _xlpm.areaBuscada), "0000"),
    _xlpm.codItem &amp; "-" &amp; _xlpm.codArea &amp; "-" &amp; _xlpm.secuencia
)</f>
        <v>-SinArea-0000</v>
      </c>
      <c r="O557" s="77"/>
      <c r="P557" s="32"/>
      <c r="Q557" s="32"/>
      <c r="R557" s="32"/>
      <c r="S557" s="32"/>
    </row>
    <row r="558" spans="3:19" x14ac:dyDescent="0.3">
      <c r="C558" s="11"/>
      <c r="D558" s="32"/>
      <c r="E558" s="11"/>
      <c r="J558" s="15"/>
      <c r="K558" s="47"/>
      <c r="L558" s="76"/>
      <c r="M558" s="76"/>
      <c r="N558" s="78" t="str">
        <f>_xlfn.LET(
    _xlpm.itemBuscado, B558,
    _xlpm.areaBuscada, C558,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TEXT(COUNTIF($C$2:C558, _xlpm.areaBuscada), "0000"),
    _xlpm.codItem &amp; "-" &amp; _xlpm.codArea &amp; "-" &amp; _xlpm.secuencia
)</f>
        <v>-SinArea-0000</v>
      </c>
      <c r="O558" s="77"/>
      <c r="P558" s="32"/>
      <c r="Q558" s="32"/>
      <c r="R558" s="32"/>
      <c r="S558" s="32"/>
    </row>
    <row r="559" spans="3:19" x14ac:dyDescent="0.3">
      <c r="C559" s="11"/>
      <c r="D559" s="32"/>
      <c r="E559" s="11"/>
      <c r="J559" s="15"/>
      <c r="K559" s="47"/>
      <c r="L559" s="76"/>
      <c r="M559" s="76"/>
      <c r="N559" s="78" t="str">
        <f>_xlfn.LET(
    _xlpm.itemBuscado, B559,
    _xlpm.areaBuscada, C559,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TEXT(COUNTIF($C$2:C559, _xlpm.areaBuscada), "0000"),
    _xlpm.codItem &amp; "-" &amp; _xlpm.codArea &amp; "-" &amp; _xlpm.secuencia
)</f>
        <v>-SinArea-0000</v>
      </c>
      <c r="O559" s="77"/>
      <c r="P559" s="32"/>
      <c r="Q559" s="32"/>
      <c r="R559" s="32"/>
      <c r="S559" s="32"/>
    </row>
    <row r="560" spans="3:19" x14ac:dyDescent="0.3">
      <c r="C560" s="11"/>
      <c r="D560" s="32"/>
      <c r="E560" s="11"/>
      <c r="J560" s="15"/>
      <c r="K560" s="47"/>
      <c r="L560" s="76"/>
      <c r="M560" s="76"/>
      <c r="N560" s="78" t="str">
        <f>_xlfn.LET(
    _xlpm.itemBuscado, B560,
    _xlpm.areaBuscada, C560,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TEXT(COUNTIF($C$2:C560, _xlpm.areaBuscada), "0000"),
    _xlpm.codItem &amp; "-" &amp; _xlpm.codArea &amp; "-" &amp; _xlpm.secuencia
)</f>
        <v>-SinArea-0000</v>
      </c>
      <c r="O560" s="77"/>
      <c r="P560" s="32"/>
      <c r="Q560" s="32"/>
      <c r="R560" s="32"/>
      <c r="S560" s="32"/>
    </row>
    <row r="561" spans="3:19" x14ac:dyDescent="0.3">
      <c r="C561" s="11"/>
      <c r="D561" s="32"/>
      <c r="E561" s="11"/>
      <c r="J561" s="15"/>
      <c r="K561" s="47"/>
      <c r="L561" s="76"/>
      <c r="M561" s="76"/>
      <c r="N561" s="78" t="str">
        <f>_xlfn.LET(
    _xlpm.itemBuscado, B561,
    _xlpm.areaBuscada, C561,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TEXT(COUNTIF($C$2:C561, _xlpm.areaBuscada), "0000"),
    _xlpm.codItem &amp; "-" &amp; _xlpm.codArea &amp; "-" &amp; _xlpm.secuencia
)</f>
        <v>-SinArea-0000</v>
      </c>
      <c r="O561" s="77"/>
      <c r="P561" s="32"/>
      <c r="Q561" s="32"/>
      <c r="R561" s="32"/>
      <c r="S561" s="32"/>
    </row>
    <row r="562" spans="3:19" x14ac:dyDescent="0.3">
      <c r="C562" s="11"/>
      <c r="D562" s="32"/>
      <c r="E562" s="11"/>
      <c r="J562" s="15"/>
      <c r="K562" s="47"/>
      <c r="L562" s="76"/>
      <c r="M562" s="76"/>
      <c r="N562" s="78" t="str">
        <f>_xlfn.LET(
    _xlpm.itemBuscado, B562,
    _xlpm.areaBuscada, C562,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TEXT(COUNTIF($C$2:C562, _xlpm.areaBuscada), "0000"),
    _xlpm.codItem &amp; "-" &amp; _xlpm.codArea &amp; "-" &amp; _xlpm.secuencia
)</f>
        <v>-SinArea-0000</v>
      </c>
      <c r="O562" s="77"/>
      <c r="P562" s="32"/>
      <c r="Q562" s="32"/>
      <c r="R562" s="32"/>
      <c r="S562" s="32"/>
    </row>
    <row r="563" spans="3:19" x14ac:dyDescent="0.3">
      <c r="C563" s="11"/>
      <c r="D563" s="32"/>
      <c r="E563" s="11"/>
      <c r="J563" s="15"/>
      <c r="K563" s="47"/>
      <c r="L563" s="76"/>
      <c r="M563" s="76"/>
      <c r="N563" s="78" t="str">
        <f>_xlfn.LET(
    _xlpm.itemBuscado, B563,
    _xlpm.areaBuscada, C563,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TEXT(COUNTIF($C$2:C563, _xlpm.areaBuscada), "0000"),
    _xlpm.codItem &amp; "-" &amp; _xlpm.codArea &amp; "-" &amp; _xlpm.secuencia
)</f>
        <v>-SinArea-0000</v>
      </c>
      <c r="O563" s="77"/>
      <c r="P563" s="32"/>
      <c r="Q563" s="32"/>
      <c r="R563" s="32"/>
      <c r="S563" s="32"/>
    </row>
    <row r="564" spans="3:19" x14ac:dyDescent="0.3">
      <c r="C564" s="11"/>
      <c r="D564" s="32"/>
      <c r="E564" s="11"/>
      <c r="J564" s="15"/>
      <c r="K564" s="47"/>
      <c r="L564" s="76"/>
      <c r="M564" s="76"/>
      <c r="N564" s="78" t="str">
        <f>_xlfn.LET(
    _xlpm.itemBuscado, B564,
    _xlpm.areaBuscada, C564,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TEXT(COUNTIF($C$2:C564, _xlpm.areaBuscada), "0000"),
    _xlpm.codItem &amp; "-" &amp; _xlpm.codArea &amp; "-" &amp; _xlpm.secuencia
)</f>
        <v>-SinArea-0000</v>
      </c>
      <c r="O564" s="77"/>
      <c r="P564" s="32"/>
      <c r="Q564" s="32"/>
      <c r="R564" s="32"/>
      <c r="S564" s="32"/>
    </row>
    <row r="565" spans="3:19" x14ac:dyDescent="0.3">
      <c r="C565" s="11"/>
      <c r="D565" s="32"/>
      <c r="E565" s="11"/>
      <c r="J565" s="15"/>
      <c r="K565" s="47"/>
      <c r="L565" s="76"/>
      <c r="M565" s="76"/>
      <c r="N565" s="78" t="str">
        <f>_xlfn.LET(
    _xlpm.itemBuscado, B565,
    _xlpm.areaBuscada, C565,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TEXT(COUNTIF($C$2:C565, _xlpm.areaBuscada), "0000"),
    _xlpm.codItem &amp; "-" &amp; _xlpm.codArea &amp; "-" &amp; _xlpm.secuencia
)</f>
        <v>-SinArea-0000</v>
      </c>
      <c r="O565" s="77"/>
      <c r="P565" s="32"/>
      <c r="Q565" s="32"/>
      <c r="R565" s="32"/>
      <c r="S565" s="32"/>
    </row>
    <row r="566" spans="3:19" x14ac:dyDescent="0.3">
      <c r="C566" s="11"/>
      <c r="D566" s="32"/>
      <c r="E566" s="11"/>
      <c r="J566" s="15"/>
      <c r="K566" s="47"/>
      <c r="L566" s="76"/>
      <c r="M566" s="76"/>
      <c r="N566" s="78" t="str">
        <f>_xlfn.LET(
    _xlpm.itemBuscado, B566,
    _xlpm.areaBuscada, C566,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TEXT(COUNTIF($C$2:C566, _xlpm.areaBuscada), "0000"),
    _xlpm.codItem &amp; "-" &amp; _xlpm.codArea &amp; "-" &amp; _xlpm.secuencia
)</f>
        <v>-SinArea-0000</v>
      </c>
      <c r="O566" s="77"/>
      <c r="P566" s="32"/>
      <c r="Q566" s="32"/>
      <c r="R566" s="32"/>
      <c r="S566" s="32"/>
    </row>
    <row r="567" spans="3:19" x14ac:dyDescent="0.3">
      <c r="C567" s="11"/>
      <c r="D567" s="32"/>
      <c r="E567" s="11"/>
      <c r="J567" s="15"/>
      <c r="K567" s="47"/>
      <c r="L567" s="76"/>
      <c r="M567" s="76"/>
      <c r="N567" s="78" t="str">
        <f>_xlfn.LET(
    _xlpm.itemBuscado, B567,
    _xlpm.areaBuscada, C567,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TEXT(COUNTIF($C$2:C567, _xlpm.areaBuscada), "0000"),
    _xlpm.codItem &amp; "-" &amp; _xlpm.codArea &amp; "-" &amp; _xlpm.secuencia
)</f>
        <v>-SinArea-0000</v>
      </c>
      <c r="O567" s="77"/>
      <c r="P567" s="32"/>
      <c r="Q567" s="32"/>
      <c r="R567" s="32"/>
      <c r="S567" s="32"/>
    </row>
    <row r="568" spans="3:19" x14ac:dyDescent="0.3">
      <c r="C568" s="11"/>
      <c r="D568" s="32"/>
      <c r="E568" s="11"/>
      <c r="J568" s="15"/>
      <c r="K568" s="47"/>
      <c r="L568" s="76"/>
      <c r="M568" s="76"/>
      <c r="N568" s="78" t="str">
        <f>_xlfn.LET(
    _xlpm.itemBuscado, B568,
    _xlpm.areaBuscada, C568,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TEXT(COUNTIF($C$2:C568, _xlpm.areaBuscada), "0000"),
    _xlpm.codItem &amp; "-" &amp; _xlpm.codArea &amp; "-" &amp; _xlpm.secuencia
)</f>
        <v>-SinArea-0000</v>
      </c>
      <c r="O568" s="77"/>
      <c r="P568" s="32"/>
      <c r="Q568" s="32"/>
      <c r="R568" s="32"/>
      <c r="S568" s="32"/>
    </row>
    <row r="569" spans="3:19" x14ac:dyDescent="0.3">
      <c r="C569" s="11"/>
      <c r="D569" s="32"/>
      <c r="E569" s="11"/>
      <c r="J569" s="15"/>
      <c r="K569" s="47"/>
      <c r="L569" s="76"/>
      <c r="M569" s="76"/>
      <c r="N569" s="78" t="str">
        <f>_xlfn.LET(
    _xlpm.itemBuscado, B569,
    _xlpm.areaBuscada, C569,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TEXT(COUNTIF($C$2:C569, _xlpm.areaBuscada), "0000"),
    _xlpm.codItem &amp; "-" &amp; _xlpm.codArea &amp; "-" &amp; _xlpm.secuencia
)</f>
        <v>-SinArea-0000</v>
      </c>
      <c r="O569" s="77"/>
      <c r="P569" s="32"/>
      <c r="Q569" s="32"/>
      <c r="R569" s="32"/>
      <c r="S569" s="32"/>
    </row>
    <row r="570" spans="3:19" x14ac:dyDescent="0.3">
      <c r="C570" s="11"/>
      <c r="D570" s="32"/>
      <c r="E570" s="11"/>
      <c r="J570" s="15"/>
      <c r="K570" s="47"/>
      <c r="L570" s="76"/>
      <c r="M570" s="76"/>
      <c r="N570" s="78" t="str">
        <f>_xlfn.LET(
    _xlpm.itemBuscado, B570,
    _xlpm.areaBuscada, C570,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TEXT(COUNTIF($C$2:C570, _xlpm.areaBuscada), "0000"),
    _xlpm.codItem &amp; "-" &amp; _xlpm.codArea &amp; "-" &amp; _xlpm.secuencia
)</f>
        <v>-SinArea-0000</v>
      </c>
      <c r="O570" s="77"/>
      <c r="P570" s="32"/>
      <c r="Q570" s="32"/>
      <c r="R570" s="32"/>
      <c r="S570" s="32"/>
    </row>
    <row r="571" spans="3:19" x14ac:dyDescent="0.3">
      <c r="C571" s="11"/>
      <c r="D571" s="32"/>
      <c r="E571" s="11"/>
      <c r="J571" s="15"/>
      <c r="K571" s="47"/>
      <c r="L571" s="76"/>
      <c r="M571" s="76"/>
      <c r="N571" s="78" t="str">
        <f>_xlfn.LET(
    _xlpm.itemBuscado, B571,
    _xlpm.areaBuscada, C571,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TEXT(COUNTIF($C$2:C571, _xlpm.areaBuscada), "0000"),
    _xlpm.codItem &amp; "-" &amp; _xlpm.codArea &amp; "-" &amp; _xlpm.secuencia
)</f>
        <v>-SinArea-0000</v>
      </c>
      <c r="O571" s="77"/>
      <c r="P571" s="32"/>
      <c r="Q571" s="32"/>
      <c r="R571" s="32"/>
      <c r="S571" s="32"/>
    </row>
    <row r="572" spans="3:19" x14ac:dyDescent="0.3">
      <c r="C572" s="11"/>
      <c r="D572" s="32"/>
      <c r="E572" s="11"/>
      <c r="J572" s="15"/>
      <c r="K572" s="47"/>
      <c r="L572" s="76"/>
      <c r="M572" s="76"/>
      <c r="N572" s="78" t="str">
        <f>_xlfn.LET(
    _xlpm.itemBuscado, B572,
    _xlpm.areaBuscada, C572,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TEXT(COUNTIF($C$2:C572, _xlpm.areaBuscada), "0000"),
    _xlpm.codItem &amp; "-" &amp; _xlpm.codArea &amp; "-" &amp; _xlpm.secuencia
)</f>
        <v>-SinArea-0000</v>
      </c>
      <c r="O572" s="77"/>
      <c r="P572" s="32"/>
      <c r="Q572" s="32"/>
      <c r="R572" s="32"/>
      <c r="S572" s="32"/>
    </row>
    <row r="573" spans="3:19" x14ac:dyDescent="0.3">
      <c r="C573" s="11"/>
      <c r="D573" s="32"/>
      <c r="E573" s="11"/>
      <c r="J573" s="15"/>
      <c r="K573" s="47"/>
      <c r="L573" s="76"/>
      <c r="M573" s="76"/>
      <c r="N573" s="78" t="str">
        <f>_xlfn.LET(
    _xlpm.itemBuscado, B573,
    _xlpm.areaBuscada, C573,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TEXT(COUNTIF($C$2:C573, _xlpm.areaBuscada), "0000"),
    _xlpm.codItem &amp; "-" &amp; _xlpm.codArea &amp; "-" &amp; _xlpm.secuencia
)</f>
        <v>-SinArea-0000</v>
      </c>
      <c r="O573" s="77"/>
      <c r="P573" s="32"/>
      <c r="Q573" s="32"/>
      <c r="R573" s="32"/>
      <c r="S573" s="32"/>
    </row>
    <row r="574" spans="3:19" x14ac:dyDescent="0.3">
      <c r="C574" s="11"/>
      <c r="D574" s="32"/>
      <c r="E574" s="11"/>
      <c r="J574" s="15"/>
      <c r="K574" s="47"/>
      <c r="L574" s="76"/>
      <c r="M574" s="76"/>
      <c r="N574" s="78" t="str">
        <f>_xlfn.LET(
    _xlpm.itemBuscado, B574,
    _xlpm.areaBuscada, C574,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TEXT(COUNTIF($C$2:C574, _xlpm.areaBuscada), "0000"),
    _xlpm.codItem &amp; "-" &amp; _xlpm.codArea &amp; "-" &amp; _xlpm.secuencia
)</f>
        <v>-SinArea-0000</v>
      </c>
      <c r="O574" s="77"/>
      <c r="P574" s="32"/>
      <c r="Q574" s="32"/>
      <c r="R574" s="32"/>
      <c r="S574" s="32"/>
    </row>
    <row r="575" spans="3:19" x14ac:dyDescent="0.3">
      <c r="C575" s="11"/>
      <c r="D575" s="32"/>
      <c r="E575" s="11"/>
      <c r="J575" s="15"/>
      <c r="K575" s="47"/>
      <c r="L575" s="76"/>
      <c r="M575" s="76"/>
      <c r="N575" s="78" t="str">
        <f>_xlfn.LET(
    _xlpm.itemBuscado, B575,
    _xlpm.areaBuscada, C575,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TEXT(COUNTIF($C$2:C575, _xlpm.areaBuscada), "0000"),
    _xlpm.codItem &amp; "-" &amp; _xlpm.codArea &amp; "-" &amp; _xlpm.secuencia
)</f>
        <v>-SinArea-0000</v>
      </c>
      <c r="O575" s="77"/>
      <c r="P575" s="32"/>
      <c r="Q575" s="32"/>
      <c r="R575" s="32"/>
      <c r="S575" s="32"/>
    </row>
    <row r="576" spans="3:19" x14ac:dyDescent="0.3">
      <c r="C576" s="11"/>
      <c r="D576" s="32"/>
      <c r="E576" s="11"/>
      <c r="J576" s="15"/>
      <c r="K576" s="47"/>
      <c r="L576" s="76"/>
      <c r="M576" s="76"/>
      <c r="N576" s="78" t="str">
        <f>_xlfn.LET(
    _xlpm.itemBuscado, B576,
    _xlpm.areaBuscada, C576,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TEXT(COUNTIF($C$2:C576, _xlpm.areaBuscada), "0000"),
    _xlpm.codItem &amp; "-" &amp; _xlpm.codArea &amp; "-" &amp; _xlpm.secuencia
)</f>
        <v>-SinArea-0000</v>
      </c>
      <c r="O576" s="77"/>
      <c r="P576" s="32"/>
      <c r="Q576" s="32"/>
      <c r="R576" s="32"/>
      <c r="S576" s="32"/>
    </row>
    <row r="577" spans="3:19" x14ac:dyDescent="0.3">
      <c r="C577" s="11"/>
      <c r="D577" s="32"/>
      <c r="E577" s="11"/>
      <c r="J577" s="15"/>
      <c r="K577" s="47"/>
      <c r="L577" s="76"/>
      <c r="M577" s="76"/>
      <c r="N577" s="78" t="str">
        <f>_xlfn.LET(
    _xlpm.itemBuscado, B577,
    _xlpm.areaBuscada, C577,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TEXT(COUNTIF($C$2:C577, _xlpm.areaBuscada), "0000"),
    _xlpm.codItem &amp; "-" &amp; _xlpm.codArea &amp; "-" &amp; _xlpm.secuencia
)</f>
        <v>-SinArea-0000</v>
      </c>
      <c r="O577" s="77"/>
      <c r="P577" s="32"/>
      <c r="Q577" s="32"/>
      <c r="R577" s="32"/>
      <c r="S577" s="32"/>
    </row>
    <row r="578" spans="3:19" x14ac:dyDescent="0.3">
      <c r="C578" s="11"/>
      <c r="D578" s="32"/>
      <c r="E578" s="11"/>
      <c r="J578" s="15"/>
      <c r="K578" s="47"/>
      <c r="L578" s="76"/>
      <c r="M578" s="76"/>
      <c r="N578" s="78" t="str">
        <f>_xlfn.LET(
    _xlpm.itemBuscado, B578,
    _xlpm.areaBuscada, C578,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TEXT(COUNTIF($C$2:C578, _xlpm.areaBuscada), "0000"),
    _xlpm.codItem &amp; "-" &amp; _xlpm.codArea &amp; "-" &amp; _xlpm.secuencia
)</f>
        <v>-SinArea-0000</v>
      </c>
      <c r="O578" s="77"/>
      <c r="P578" s="32"/>
      <c r="Q578" s="32"/>
      <c r="R578" s="32"/>
      <c r="S578" s="32"/>
    </row>
    <row r="579" spans="3:19" x14ac:dyDescent="0.3">
      <c r="C579" s="11"/>
      <c r="D579" s="32"/>
      <c r="E579" s="11"/>
      <c r="J579" s="15"/>
      <c r="K579" s="47"/>
      <c r="L579" s="76"/>
      <c r="M579" s="76"/>
      <c r="N579" s="78" t="str">
        <f>_xlfn.LET(
    _xlpm.itemBuscado, B579,
    _xlpm.areaBuscada, C579,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TEXT(COUNTIF($C$2:C579, _xlpm.areaBuscada), "0000"),
    _xlpm.codItem &amp; "-" &amp; _xlpm.codArea &amp; "-" &amp; _xlpm.secuencia
)</f>
        <v>-SinArea-0000</v>
      </c>
      <c r="O579" s="77"/>
      <c r="P579" s="32"/>
      <c r="Q579" s="32"/>
      <c r="R579" s="32"/>
      <c r="S579" s="32"/>
    </row>
    <row r="580" spans="3:19" x14ac:dyDescent="0.3">
      <c r="C580" s="11"/>
      <c r="D580" s="32"/>
      <c r="E580" s="11"/>
      <c r="J580" s="15"/>
      <c r="K580" s="47"/>
      <c r="L580" s="76"/>
      <c r="M580" s="76"/>
      <c r="N580" s="78" t="str">
        <f>_xlfn.LET(
    _xlpm.itemBuscado, B580,
    _xlpm.areaBuscada, C580,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TEXT(COUNTIF($C$2:C580, _xlpm.areaBuscada), "0000"),
    _xlpm.codItem &amp; "-" &amp; _xlpm.codArea &amp; "-" &amp; _xlpm.secuencia
)</f>
        <v>-SinArea-0000</v>
      </c>
      <c r="O580" s="77"/>
      <c r="P580" s="32"/>
      <c r="Q580" s="32"/>
      <c r="R580" s="32"/>
      <c r="S580" s="32"/>
    </row>
    <row r="581" spans="3:19" x14ac:dyDescent="0.3">
      <c r="C581" s="11"/>
      <c r="D581" s="32"/>
      <c r="E581" s="11"/>
      <c r="J581" s="15"/>
      <c r="K581" s="47"/>
      <c r="L581" s="76"/>
      <c r="M581" s="76"/>
      <c r="N581" s="78" t="str">
        <f>_xlfn.LET(
    _xlpm.itemBuscado, B581,
    _xlpm.areaBuscada, C581,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TEXT(COUNTIF($C$2:C581, _xlpm.areaBuscada), "0000"),
    _xlpm.codItem &amp; "-" &amp; _xlpm.codArea &amp; "-" &amp; _xlpm.secuencia
)</f>
        <v>-SinArea-0000</v>
      </c>
      <c r="O581" s="77"/>
      <c r="P581" s="32"/>
      <c r="Q581" s="32"/>
      <c r="R581" s="32"/>
      <c r="S581" s="32"/>
    </row>
    <row r="582" spans="3:19" x14ac:dyDescent="0.3">
      <c r="C582" s="11"/>
      <c r="D582" s="32"/>
      <c r="E582" s="11"/>
      <c r="J582" s="15"/>
      <c r="K582" s="47"/>
      <c r="L582" s="76"/>
      <c r="M582" s="76"/>
      <c r="N582" s="78" t="str">
        <f>_xlfn.LET(
    _xlpm.itemBuscado, B582,
    _xlpm.areaBuscada, C582,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TEXT(COUNTIF($C$2:C582, _xlpm.areaBuscada), "0000"),
    _xlpm.codItem &amp; "-" &amp; _xlpm.codArea &amp; "-" &amp; _xlpm.secuencia
)</f>
        <v>-SinArea-0000</v>
      </c>
      <c r="O582" s="77"/>
      <c r="P582" s="32"/>
      <c r="Q582" s="32"/>
      <c r="R582" s="32"/>
      <c r="S582" s="32"/>
    </row>
    <row r="583" spans="3:19" x14ac:dyDescent="0.3">
      <c r="C583" s="11"/>
      <c r="D583" s="32"/>
      <c r="E583" s="11"/>
      <c r="J583" s="15"/>
      <c r="K583" s="47"/>
      <c r="L583" s="76"/>
      <c r="M583" s="76"/>
      <c r="N583" s="78" t="str">
        <f>_xlfn.LET(
    _xlpm.itemBuscado, B583,
    _xlpm.areaBuscada, C583,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TEXT(COUNTIF($C$2:C583, _xlpm.areaBuscada), "0000"),
    _xlpm.codItem &amp; "-" &amp; _xlpm.codArea &amp; "-" &amp; _xlpm.secuencia
)</f>
        <v>-SinArea-0000</v>
      </c>
      <c r="O583" s="77"/>
      <c r="P583" s="32"/>
      <c r="Q583" s="32"/>
      <c r="R583" s="32"/>
      <c r="S583" s="32"/>
    </row>
    <row r="584" spans="3:19" x14ac:dyDescent="0.3">
      <c r="C584" s="11"/>
      <c r="D584" s="32"/>
      <c r="E584" s="11"/>
      <c r="J584" s="15"/>
      <c r="K584" s="47"/>
      <c r="L584" s="76"/>
      <c r="M584" s="76"/>
      <c r="N584" s="78" t="str">
        <f>_xlfn.LET(
    _xlpm.itemBuscado, B584,
    _xlpm.areaBuscada, C584,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TEXT(COUNTIF($C$2:C584, _xlpm.areaBuscada), "0000"),
    _xlpm.codItem &amp; "-" &amp; _xlpm.codArea &amp; "-" &amp; _xlpm.secuencia
)</f>
        <v>-SinArea-0000</v>
      </c>
      <c r="O584" s="77"/>
      <c r="P584" s="32"/>
      <c r="Q584" s="32"/>
      <c r="R584" s="32"/>
      <c r="S584" s="32"/>
    </row>
    <row r="585" spans="3:19" x14ac:dyDescent="0.3">
      <c r="C585" s="11"/>
      <c r="D585" s="32"/>
      <c r="E585" s="11"/>
      <c r="J585" s="15"/>
      <c r="K585" s="47"/>
      <c r="L585" s="76"/>
      <c r="M585" s="76"/>
      <c r="N585" s="78" t="str">
        <f>_xlfn.LET(
    _xlpm.itemBuscado, B585,
    _xlpm.areaBuscada, C585,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TEXT(COUNTIF($C$2:C585, _xlpm.areaBuscada), "0000"),
    _xlpm.codItem &amp; "-" &amp; _xlpm.codArea &amp; "-" &amp; _xlpm.secuencia
)</f>
        <v>-SinArea-0000</v>
      </c>
      <c r="O585" s="77"/>
      <c r="P585" s="32"/>
      <c r="Q585" s="32"/>
      <c r="R585" s="32"/>
      <c r="S585" s="32"/>
    </row>
    <row r="586" spans="3:19" x14ac:dyDescent="0.3">
      <c r="C586" s="11"/>
      <c r="D586" s="32"/>
      <c r="E586" s="11"/>
      <c r="J586" s="15"/>
      <c r="K586" s="47"/>
      <c r="L586" s="76"/>
      <c r="M586" s="76"/>
      <c r="N586" s="78" t="str">
        <f>_xlfn.LET(
    _xlpm.itemBuscado, B586,
    _xlpm.areaBuscada, C586,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TEXT(COUNTIF($C$2:C586, _xlpm.areaBuscada), "0000"),
    _xlpm.codItem &amp; "-" &amp; _xlpm.codArea &amp; "-" &amp; _xlpm.secuencia
)</f>
        <v>-SinArea-0000</v>
      </c>
      <c r="O586" s="77"/>
      <c r="P586" s="32"/>
      <c r="Q586" s="32"/>
      <c r="R586" s="32"/>
      <c r="S586" s="32"/>
    </row>
    <row r="587" spans="3:19" x14ac:dyDescent="0.3">
      <c r="C587" s="11"/>
      <c r="D587" s="32"/>
      <c r="E587" s="11"/>
      <c r="J587" s="15"/>
      <c r="K587" s="47"/>
      <c r="L587" s="76"/>
      <c r="M587" s="76"/>
      <c r="N587" s="78" t="str">
        <f>_xlfn.LET(
    _xlpm.itemBuscado, B587,
    _xlpm.areaBuscada, C587,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TEXT(COUNTIF($C$2:C587, _xlpm.areaBuscada), "0000"),
    _xlpm.codItem &amp; "-" &amp; _xlpm.codArea &amp; "-" &amp; _xlpm.secuencia
)</f>
        <v>-SinArea-0000</v>
      </c>
      <c r="O587" s="77"/>
      <c r="P587" s="32"/>
      <c r="Q587" s="32"/>
      <c r="R587" s="32"/>
      <c r="S587" s="32"/>
    </row>
    <row r="588" spans="3:19" x14ac:dyDescent="0.3">
      <c r="C588" s="11"/>
      <c r="D588" s="32"/>
      <c r="E588" s="11"/>
      <c r="J588" s="15"/>
      <c r="K588" s="47"/>
      <c r="L588" s="76"/>
      <c r="M588" s="76"/>
      <c r="N588" s="78" t="str">
        <f>_xlfn.LET(
    _xlpm.itemBuscado, B588,
    _xlpm.areaBuscada, C588,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TEXT(COUNTIF($C$2:C588, _xlpm.areaBuscada), "0000"),
    _xlpm.codItem &amp; "-" &amp; _xlpm.codArea &amp; "-" &amp; _xlpm.secuencia
)</f>
        <v>-SinArea-0000</v>
      </c>
      <c r="O588" s="77"/>
      <c r="P588" s="32"/>
      <c r="Q588" s="32"/>
      <c r="R588" s="32"/>
      <c r="S588" s="32"/>
    </row>
    <row r="589" spans="3:19" x14ac:dyDescent="0.3">
      <c r="C589" s="11"/>
      <c r="D589" s="32"/>
      <c r="E589" s="11"/>
      <c r="J589" s="15"/>
      <c r="K589" s="47"/>
      <c r="L589" s="76"/>
      <c r="M589" s="76"/>
      <c r="N589" s="78" t="str">
        <f>_xlfn.LET(
    _xlpm.itemBuscado, B589,
    _xlpm.areaBuscada, C589,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TEXT(COUNTIF($C$2:C589, _xlpm.areaBuscada), "0000"),
    _xlpm.codItem &amp; "-" &amp; _xlpm.codArea &amp; "-" &amp; _xlpm.secuencia
)</f>
        <v>-SinArea-0000</v>
      </c>
      <c r="O589" s="77"/>
      <c r="P589" s="32"/>
      <c r="Q589" s="32"/>
      <c r="R589" s="32"/>
      <c r="S589" s="32"/>
    </row>
    <row r="590" spans="3:19" x14ac:dyDescent="0.3">
      <c r="C590" s="11"/>
      <c r="D590" s="32"/>
      <c r="E590" s="11"/>
      <c r="J590" s="15"/>
      <c r="K590" s="47"/>
      <c r="L590" s="76"/>
      <c r="M590" s="76"/>
      <c r="N590" s="78" t="str">
        <f>_xlfn.LET(
    _xlpm.itemBuscado, B590,
    _xlpm.areaBuscada, C590,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TEXT(COUNTIF($C$2:C590, _xlpm.areaBuscada), "0000"),
    _xlpm.codItem &amp; "-" &amp; _xlpm.codArea &amp; "-" &amp; _xlpm.secuencia
)</f>
        <v>-SinArea-0000</v>
      </c>
      <c r="O590" s="77"/>
      <c r="P590" s="32"/>
      <c r="Q590" s="32"/>
      <c r="R590" s="32"/>
      <c r="S590" s="32"/>
    </row>
    <row r="591" spans="3:19" x14ac:dyDescent="0.3">
      <c r="C591" s="11"/>
      <c r="D591" s="32"/>
      <c r="E591" s="11"/>
      <c r="J591" s="15"/>
      <c r="K591" s="47"/>
      <c r="L591" s="76"/>
      <c r="M591" s="76"/>
      <c r="N591" s="78" t="str">
        <f>_xlfn.LET(
    _xlpm.itemBuscado, B591,
    _xlpm.areaBuscada, C591,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TEXT(COUNTIF($C$2:C591, _xlpm.areaBuscada), "0000"),
    _xlpm.codItem &amp; "-" &amp; _xlpm.codArea &amp; "-" &amp; _xlpm.secuencia
)</f>
        <v>-SinArea-0000</v>
      </c>
      <c r="O591" s="77"/>
      <c r="P591" s="32"/>
      <c r="Q591" s="32"/>
      <c r="R591" s="32"/>
      <c r="S591" s="32"/>
    </row>
    <row r="592" spans="3:19" x14ac:dyDescent="0.3">
      <c r="C592" s="11"/>
      <c r="D592" s="32"/>
      <c r="E592" s="11"/>
      <c r="J592" s="15"/>
      <c r="K592" s="47"/>
      <c r="L592" s="76"/>
      <c r="M592" s="76"/>
      <c r="N592" s="78" t="str">
        <f>_xlfn.LET(
    _xlpm.itemBuscado, B592,
    _xlpm.areaBuscada, C592,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TEXT(COUNTIF($C$2:C592, _xlpm.areaBuscada), "0000"),
    _xlpm.codItem &amp; "-" &amp; _xlpm.codArea &amp; "-" &amp; _xlpm.secuencia
)</f>
        <v>-SinArea-0000</v>
      </c>
      <c r="O592" s="77"/>
      <c r="P592" s="32"/>
      <c r="Q592" s="32"/>
      <c r="R592" s="32"/>
      <c r="S592" s="32"/>
    </row>
    <row r="593" spans="3:19" x14ac:dyDescent="0.3">
      <c r="C593" s="11"/>
      <c r="D593" s="32"/>
      <c r="E593" s="11"/>
      <c r="J593" s="15"/>
      <c r="K593" s="47"/>
      <c r="L593" s="76"/>
      <c r="M593" s="76"/>
      <c r="N593" s="78" t="str">
        <f>_xlfn.LET(
    _xlpm.itemBuscado, B593,
    _xlpm.areaBuscada, C593,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TEXT(COUNTIF($C$2:C593, _xlpm.areaBuscada), "0000"),
    _xlpm.codItem &amp; "-" &amp; _xlpm.codArea &amp; "-" &amp; _xlpm.secuencia
)</f>
        <v>-SinArea-0000</v>
      </c>
      <c r="O593" s="77"/>
      <c r="P593" s="32"/>
      <c r="Q593" s="32"/>
      <c r="R593" s="32"/>
      <c r="S593" s="32"/>
    </row>
    <row r="594" spans="3:19" x14ac:dyDescent="0.3">
      <c r="C594" s="11"/>
      <c r="D594" s="32"/>
      <c r="E594" s="11"/>
      <c r="J594" s="15"/>
      <c r="K594" s="47"/>
      <c r="L594" s="76"/>
      <c r="M594" s="76"/>
      <c r="N594" s="78" t="str">
        <f>_xlfn.LET(
    _xlpm.itemBuscado, B594,
    _xlpm.areaBuscada, C594,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TEXT(COUNTIF($C$2:C594, _xlpm.areaBuscada), "0000"),
    _xlpm.codItem &amp; "-" &amp; _xlpm.codArea &amp; "-" &amp; _xlpm.secuencia
)</f>
        <v>-SinArea-0000</v>
      </c>
      <c r="O594" s="77"/>
      <c r="P594" s="32"/>
      <c r="Q594" s="32"/>
      <c r="R594" s="32"/>
      <c r="S594" s="32"/>
    </row>
    <row r="595" spans="3:19" x14ac:dyDescent="0.3">
      <c r="C595" s="11"/>
      <c r="D595" s="32"/>
      <c r="E595" s="11"/>
      <c r="J595" s="15"/>
      <c r="K595" s="47"/>
      <c r="L595" s="76"/>
      <c r="M595" s="76"/>
      <c r="N595" s="78" t="str">
        <f>_xlfn.LET(
    _xlpm.itemBuscado, B595,
    _xlpm.areaBuscada, C595,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TEXT(COUNTIF($C$2:C595, _xlpm.areaBuscada), "0000"),
    _xlpm.codItem &amp; "-" &amp; _xlpm.codArea &amp; "-" &amp; _xlpm.secuencia
)</f>
        <v>-SinArea-0000</v>
      </c>
      <c r="O595" s="77"/>
      <c r="P595" s="32"/>
      <c r="Q595" s="32"/>
      <c r="R595" s="32"/>
      <c r="S595" s="32"/>
    </row>
    <row r="596" spans="3:19" x14ac:dyDescent="0.3">
      <c r="C596" s="11"/>
      <c r="D596" s="32"/>
      <c r="E596" s="11"/>
      <c r="J596" s="15"/>
      <c r="K596" s="47"/>
      <c r="L596" s="76"/>
      <c r="M596" s="76"/>
      <c r="N596" s="78" t="str">
        <f>_xlfn.LET(
    _xlpm.itemBuscado, B596,
    _xlpm.areaBuscada, C596,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TEXT(COUNTIF($C$2:C596, _xlpm.areaBuscada), "0000"),
    _xlpm.codItem &amp; "-" &amp; _xlpm.codArea &amp; "-" &amp; _xlpm.secuencia
)</f>
        <v>-SinArea-0000</v>
      </c>
      <c r="O596" s="77"/>
      <c r="P596" s="32"/>
      <c r="Q596" s="32"/>
      <c r="R596" s="32"/>
      <c r="S596" s="32"/>
    </row>
    <row r="597" spans="3:19" x14ac:dyDescent="0.3">
      <c r="C597" s="11"/>
      <c r="D597" s="32"/>
      <c r="E597" s="11"/>
      <c r="J597" s="15"/>
      <c r="K597" s="47"/>
      <c r="L597" s="76"/>
      <c r="M597" s="76"/>
      <c r="N597" s="78" t="str">
        <f>_xlfn.LET(
    _xlpm.itemBuscado, B597,
    _xlpm.areaBuscada, C597,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TEXT(COUNTIF($C$2:C597, _xlpm.areaBuscada), "0000"),
    _xlpm.codItem &amp; "-" &amp; _xlpm.codArea &amp; "-" &amp; _xlpm.secuencia
)</f>
        <v>-SinArea-0000</v>
      </c>
      <c r="O597" s="77"/>
      <c r="P597" s="32"/>
      <c r="Q597" s="32"/>
      <c r="R597" s="32"/>
      <c r="S597" s="32"/>
    </row>
    <row r="598" spans="3:19" x14ac:dyDescent="0.3">
      <c r="C598" s="11"/>
      <c r="D598" s="32"/>
      <c r="E598" s="11"/>
      <c r="J598" s="15"/>
      <c r="K598" s="47"/>
      <c r="L598" s="76"/>
      <c r="M598" s="76"/>
      <c r="N598" s="78" t="str">
        <f>_xlfn.LET(
    _xlpm.itemBuscado, B598,
    _xlpm.areaBuscada, C598,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TEXT(COUNTIF($C$2:C598, _xlpm.areaBuscada), "0000"),
    _xlpm.codItem &amp; "-" &amp; _xlpm.codArea &amp; "-" &amp; _xlpm.secuencia
)</f>
        <v>-SinArea-0000</v>
      </c>
      <c r="O598" s="77"/>
      <c r="P598" s="32"/>
      <c r="Q598" s="32"/>
      <c r="R598" s="32"/>
      <c r="S598" s="32"/>
    </row>
    <row r="599" spans="3:19" x14ac:dyDescent="0.3">
      <c r="C599" s="11"/>
      <c r="D599" s="32"/>
      <c r="E599" s="11"/>
      <c r="J599" s="15"/>
      <c r="K599" s="47"/>
      <c r="L599" s="76"/>
      <c r="M599" s="76"/>
      <c r="N599" s="78" t="str">
        <f>_xlfn.LET(
    _xlpm.itemBuscado, B599,
    _xlpm.areaBuscada, C599,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TEXT(COUNTIF($C$2:C599, _xlpm.areaBuscada), "0000"),
    _xlpm.codItem &amp; "-" &amp; _xlpm.codArea &amp; "-" &amp; _xlpm.secuencia
)</f>
        <v>-SinArea-0000</v>
      </c>
      <c r="O599" s="77"/>
      <c r="P599" s="32"/>
      <c r="Q599" s="32"/>
      <c r="R599" s="32"/>
      <c r="S599" s="32"/>
    </row>
    <row r="600" spans="3:19" x14ac:dyDescent="0.3">
      <c r="C600" s="11"/>
      <c r="D600" s="32"/>
      <c r="E600" s="11"/>
      <c r="J600" s="15"/>
      <c r="K600" s="47"/>
      <c r="L600" s="76"/>
      <c r="M600" s="76"/>
      <c r="N600" s="78" t="str">
        <f>_xlfn.LET(
    _xlpm.itemBuscado, B600,
    _xlpm.areaBuscada, C600,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TEXT(COUNTIF($C$2:C600, _xlpm.areaBuscada), "0000"),
    _xlpm.codItem &amp; "-" &amp; _xlpm.codArea &amp; "-" &amp; _xlpm.secuencia
)</f>
        <v>-SinArea-0000</v>
      </c>
      <c r="O600" s="77"/>
      <c r="P600" s="32"/>
      <c r="Q600" s="32"/>
      <c r="R600" s="32"/>
      <c r="S600" s="32"/>
    </row>
    <row r="601" spans="3:19" x14ac:dyDescent="0.3">
      <c r="C601" s="11"/>
      <c r="D601" s="32"/>
      <c r="E601" s="11"/>
      <c r="J601" s="15"/>
      <c r="K601" s="47"/>
      <c r="L601" s="76"/>
      <c r="M601" s="76"/>
      <c r="N601" s="78" t="str">
        <f>_xlfn.LET(
    _xlpm.itemBuscado, B601,
    _xlpm.areaBuscada, C601,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TEXT(COUNTIF($C$2:C601, _xlpm.areaBuscada), "0000"),
    _xlpm.codItem &amp; "-" &amp; _xlpm.codArea &amp; "-" &amp; _xlpm.secuencia
)</f>
        <v>-SinArea-0000</v>
      </c>
      <c r="O601" s="77"/>
      <c r="P601" s="32"/>
      <c r="Q601" s="32"/>
      <c r="R601" s="32"/>
      <c r="S601" s="32"/>
    </row>
    <row r="602" spans="3:19" x14ac:dyDescent="0.3">
      <c r="C602" s="11"/>
      <c r="D602" s="32"/>
      <c r="E602" s="11"/>
      <c r="J602" s="15"/>
      <c r="K602" s="47"/>
      <c r="L602" s="76"/>
      <c r="M602" s="76"/>
      <c r="N602" s="78" t="str">
        <f>_xlfn.LET(
    _xlpm.itemBuscado, B602,
    _xlpm.areaBuscada, C602,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TEXT(COUNTIF($C$2:C602, _xlpm.areaBuscada), "0000"),
    _xlpm.codItem &amp; "-" &amp; _xlpm.codArea &amp; "-" &amp; _xlpm.secuencia
)</f>
        <v>-SinArea-0000</v>
      </c>
      <c r="O602" s="77"/>
      <c r="P602" s="32"/>
      <c r="Q602" s="32"/>
      <c r="R602" s="32"/>
      <c r="S602" s="32"/>
    </row>
    <row r="603" spans="3:19" x14ac:dyDescent="0.3">
      <c r="C603" s="11"/>
      <c r="D603" s="32"/>
      <c r="E603" s="11"/>
      <c r="J603" s="15"/>
      <c r="K603" s="47"/>
      <c r="L603" s="76"/>
      <c r="M603" s="76"/>
      <c r="N603" s="78" t="str">
        <f>_xlfn.LET(
    _xlpm.itemBuscado, B603,
    _xlpm.areaBuscada, C603,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TEXT(COUNTIF($C$2:C603, _xlpm.areaBuscada), "0000"),
    _xlpm.codItem &amp; "-" &amp; _xlpm.codArea &amp; "-" &amp; _xlpm.secuencia
)</f>
        <v>-SinArea-0000</v>
      </c>
      <c r="O603" s="77"/>
      <c r="P603" s="32"/>
      <c r="Q603" s="32"/>
      <c r="R603" s="32"/>
      <c r="S603" s="32"/>
    </row>
    <row r="604" spans="3:19" x14ac:dyDescent="0.3">
      <c r="C604" s="11"/>
      <c r="D604" s="32"/>
      <c r="E604" s="11"/>
      <c r="J604" s="15"/>
      <c r="K604" s="47"/>
      <c r="L604" s="76"/>
      <c r="M604" s="76"/>
      <c r="N604" s="78" t="str">
        <f>_xlfn.LET(
    _xlpm.itemBuscado, B604,
    _xlpm.areaBuscada, C604,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TEXT(COUNTIF($C$2:C604, _xlpm.areaBuscada), "0000"),
    _xlpm.codItem &amp; "-" &amp; _xlpm.codArea &amp; "-" &amp; _xlpm.secuencia
)</f>
        <v>-SinArea-0000</v>
      </c>
      <c r="O604" s="77"/>
      <c r="P604" s="32"/>
      <c r="Q604" s="32"/>
      <c r="R604" s="32"/>
      <c r="S604" s="32"/>
    </row>
    <row r="605" spans="3:19" x14ac:dyDescent="0.3">
      <c r="C605" s="11"/>
      <c r="D605" s="32"/>
      <c r="E605" s="11"/>
      <c r="J605" s="15"/>
      <c r="K605" s="47"/>
      <c r="L605" s="76"/>
      <c r="M605" s="76"/>
      <c r="N605" s="78" t="str">
        <f>_xlfn.LET(
    _xlpm.itemBuscado, B605,
    _xlpm.areaBuscada, C605,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TEXT(COUNTIF($C$2:C605, _xlpm.areaBuscada), "0000"),
    _xlpm.codItem &amp; "-" &amp; _xlpm.codArea &amp; "-" &amp; _xlpm.secuencia
)</f>
        <v>-SinArea-0000</v>
      </c>
      <c r="O605" s="77"/>
      <c r="P605" s="32"/>
      <c r="Q605" s="32"/>
      <c r="R605" s="32"/>
      <c r="S605" s="32"/>
    </row>
    <row r="606" spans="3:19" x14ac:dyDescent="0.3">
      <c r="C606" s="11"/>
      <c r="D606" s="32"/>
      <c r="E606" s="11"/>
      <c r="J606" s="15"/>
      <c r="K606" s="47"/>
      <c r="L606" s="76"/>
      <c r="M606" s="76"/>
      <c r="N606" s="78" t="str">
        <f>_xlfn.LET(
    _xlpm.itemBuscado, B606,
    _xlpm.areaBuscada, C606,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TEXT(COUNTIF($C$2:C606, _xlpm.areaBuscada), "0000"),
    _xlpm.codItem &amp; "-" &amp; _xlpm.codArea &amp; "-" &amp; _xlpm.secuencia
)</f>
        <v>-SinArea-0000</v>
      </c>
      <c r="O606" s="77"/>
      <c r="P606" s="32"/>
      <c r="Q606" s="32"/>
      <c r="R606" s="32"/>
      <c r="S606" s="32"/>
    </row>
    <row r="607" spans="3:19" x14ac:dyDescent="0.3">
      <c r="C607" s="11"/>
      <c r="D607" s="32"/>
      <c r="E607" s="11"/>
      <c r="J607" s="15"/>
      <c r="K607" s="47"/>
      <c r="L607" s="76"/>
      <c r="M607" s="76"/>
      <c r="N607" s="78" t="str">
        <f>_xlfn.LET(
    _xlpm.itemBuscado, B607,
    _xlpm.areaBuscada, C607,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TEXT(COUNTIF($C$2:C607, _xlpm.areaBuscada), "0000"),
    _xlpm.codItem &amp; "-" &amp; _xlpm.codArea &amp; "-" &amp; _xlpm.secuencia
)</f>
        <v>-SinArea-0000</v>
      </c>
      <c r="O607" s="77"/>
      <c r="P607" s="32"/>
      <c r="Q607" s="32"/>
      <c r="R607" s="32"/>
      <c r="S607" s="32"/>
    </row>
    <row r="608" spans="3:19" x14ac:dyDescent="0.3">
      <c r="C608" s="11"/>
      <c r="D608" s="32"/>
      <c r="E608" s="11"/>
      <c r="J608" s="15"/>
      <c r="K608" s="47"/>
      <c r="L608" s="76"/>
      <c r="M608" s="76"/>
      <c r="N608" s="78" t="str">
        <f>_xlfn.LET(
    _xlpm.itemBuscado, B608,
    _xlpm.areaBuscada, C608,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TEXT(COUNTIF($C$2:C608, _xlpm.areaBuscada), "0000"),
    _xlpm.codItem &amp; "-" &amp; _xlpm.codArea &amp; "-" &amp; _xlpm.secuencia
)</f>
        <v>-SinArea-0000</v>
      </c>
      <c r="O608" s="77"/>
      <c r="P608" s="32"/>
      <c r="Q608" s="32"/>
      <c r="R608" s="32"/>
      <c r="S608" s="32"/>
    </row>
    <row r="609" spans="3:19" x14ac:dyDescent="0.3">
      <c r="C609" s="11"/>
      <c r="D609" s="32"/>
      <c r="E609" s="11"/>
      <c r="J609" s="15"/>
      <c r="K609" s="47"/>
      <c r="L609" s="76"/>
      <c r="M609" s="76"/>
      <c r="N609" s="78" t="str">
        <f>_xlfn.LET(
    _xlpm.itemBuscado, B609,
    _xlpm.areaBuscada, C609,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TEXT(COUNTIF($C$2:C609, _xlpm.areaBuscada), "0000"),
    _xlpm.codItem &amp; "-" &amp; _xlpm.codArea &amp; "-" &amp; _xlpm.secuencia
)</f>
        <v>-SinArea-0000</v>
      </c>
      <c r="O609" s="77"/>
      <c r="P609" s="32"/>
      <c r="Q609" s="32"/>
      <c r="R609" s="32"/>
      <c r="S609" s="32"/>
    </row>
    <row r="610" spans="3:19" x14ac:dyDescent="0.3">
      <c r="C610" s="11"/>
      <c r="D610" s="32"/>
      <c r="E610" s="11"/>
      <c r="J610" s="15"/>
      <c r="K610" s="47"/>
      <c r="L610" s="76"/>
      <c r="M610" s="76"/>
      <c r="N610" s="78" t="str">
        <f>_xlfn.LET(
    _xlpm.itemBuscado, B610,
    _xlpm.areaBuscada, C610,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TEXT(COUNTIF($C$2:C610, _xlpm.areaBuscada), "0000"),
    _xlpm.codItem &amp; "-" &amp; _xlpm.codArea &amp; "-" &amp; _xlpm.secuencia
)</f>
        <v>-SinArea-0000</v>
      </c>
      <c r="O610" s="77"/>
      <c r="P610" s="32"/>
      <c r="Q610" s="32"/>
      <c r="R610" s="32"/>
      <c r="S610" s="32"/>
    </row>
    <row r="611" spans="3:19" x14ac:dyDescent="0.3">
      <c r="C611" s="11"/>
      <c r="D611" s="32"/>
      <c r="E611" s="11"/>
      <c r="J611" s="15"/>
      <c r="K611" s="47"/>
      <c r="L611" s="76"/>
      <c r="M611" s="76"/>
      <c r="N611" s="78" t="str">
        <f>_xlfn.LET(
    _xlpm.itemBuscado, B611,
    _xlpm.areaBuscada, C611,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TEXT(COUNTIF($C$2:C611, _xlpm.areaBuscada), "0000"),
    _xlpm.codItem &amp; "-" &amp; _xlpm.codArea &amp; "-" &amp; _xlpm.secuencia
)</f>
        <v>-SinArea-0000</v>
      </c>
      <c r="O611" s="77"/>
      <c r="P611" s="32"/>
      <c r="Q611" s="32"/>
      <c r="R611" s="32"/>
      <c r="S611" s="32"/>
    </row>
    <row r="612" spans="3:19" x14ac:dyDescent="0.3">
      <c r="C612" s="11"/>
    </row>
    <row r="613" spans="3:19" x14ac:dyDescent="0.3">
      <c r="C613" s="11"/>
    </row>
    <row r="614" spans="3:19" x14ac:dyDescent="0.3">
      <c r="C614" s="11"/>
    </row>
    <row r="615" spans="3:19" x14ac:dyDescent="0.3">
      <c r="C615" s="11"/>
    </row>
    <row r="616" spans="3:19" x14ac:dyDescent="0.3">
      <c r="C616" s="11"/>
    </row>
    <row r="617" spans="3:19" x14ac:dyDescent="0.3">
      <c r="C617" s="11"/>
    </row>
    <row r="618" spans="3:19" x14ac:dyDescent="0.3">
      <c r="C618" s="11"/>
    </row>
  </sheetData>
  <dataValidations count="9">
    <dataValidation type="list" allowBlank="1" showInputMessage="1" showErrorMessage="1" sqref="E2:E203" xr:uid="{B19C0DD8-B4D7-4512-8391-00C2E9156A21}">
      <formula1>$AE$1:$AL$1</formula1>
    </dataValidation>
    <dataValidation type="list" allowBlank="1" showInputMessage="1" showErrorMessage="1" sqref="R2:R611" xr:uid="{1F7DD2D5-BAFA-498D-87E5-953EB39E0C6C}">
      <formula1>$Y$2:$Y$4</formula1>
    </dataValidation>
    <dataValidation type="whole" allowBlank="1" showInputMessage="1" showErrorMessage="1" sqref="D2:D139" xr:uid="{0836D4B1-2275-43B5-8CC3-ED5AC912E875}">
      <formula1>1</formula1>
      <formula2>100</formula2>
    </dataValidation>
    <dataValidation type="list" allowBlank="1" showInputMessage="1" promptTitle="Guia" prompt="Si tiene dudas sobre que dato colocar consulte las siguientes tablas y no olvide revisar los comentarios_x000a__x000a_" sqref="F2:I139" xr:uid="{9FE9F094-E4A1-451E-9EDA-D55ED7BCA490}">
      <formula1>INDIRECT($E$2:$E$611)</formula1>
    </dataValidation>
    <dataValidation type="list" allowBlank="1" showInputMessage="1" showErrorMessage="1" sqref="Q2:Q611" xr:uid="{905FF36C-D1E6-480D-A3FD-6C3407A9AF85}">
      <formula1>$AA$10:$AA$12</formula1>
    </dataValidation>
    <dataValidation allowBlank="1" showInputMessage="1" showErrorMessage="1" sqref="D140:D618" xr:uid="{DEEF8528-E9D8-43FB-BADB-3EA3D7B157B2}"/>
    <dataValidation type="list" allowBlank="1" showInputMessage="1" promptTitle="Guia" prompt="puede realizar Las siguientes opciones_x000a_si eligio electricos tiene las siguientes opciones de una posible sublista_x000a_" sqref="F140:I613" xr:uid="{0B5BD6B6-C745-434D-B95A-603EEBFB5EFD}">
      <formula1>INDIRECT($E$2:$E$611)</formula1>
    </dataValidation>
    <dataValidation type="list" allowBlank="1" showInputMessage="1" showErrorMessage="1" sqref="C2:C618" xr:uid="{967406C6-301C-4BDA-B83A-A1ACA9316E44}">
      <formula1>$V$2:$V$12</formula1>
    </dataValidation>
    <dataValidation type="list" allowBlank="1" showInputMessage="1" showErrorMessage="1" sqref="E204:E615" xr:uid="{EC2C79D7-EBE6-41C8-83F3-0F888E620329}">
      <formula1>$AB$2:$AB$7</formula1>
    </dataValidation>
  </dataValidations>
  <pageMargins left="0.7" right="0.7" top="0.75" bottom="0.75" header="0.3" footer="0.3"/>
  <legacyDrawing r:id="rId1"/>
  <tableParts count="43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5A98948-190B-4505-80C8-1132E1AB5B23}">
          <x14:formula1>
            <xm:f>Hoja2!$B$3:$B$80</xm:f>
          </x14:formula1>
          <xm:sqref>B2:B34</xm:sqref>
        </x14:dataValidation>
        <x14:dataValidation type="list" allowBlank="1" showInputMessage="1" showErrorMessage="1" xr:uid="{7D3181EC-FB9A-4EAC-8032-9227DAE39320}">
          <x14:formula1>
            <xm:f>Hoja2!$B$3:$B$79</xm:f>
          </x14:formula1>
          <xm:sqref>B35:B611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4C42E-1D65-4E1C-BD24-2E378E85A40B}">
  <dimension ref="B1:BO618"/>
  <sheetViews>
    <sheetView topLeftCell="A71" zoomScale="85" zoomScaleNormal="85" workbookViewId="0">
      <pane xSplit="3" topLeftCell="F1" activePane="topRight" state="frozen"/>
      <selection pane="topRight" activeCell="I79" sqref="I79"/>
    </sheetView>
  </sheetViews>
  <sheetFormatPr baseColWidth="10" defaultColWidth="8.88671875" defaultRowHeight="14.4" x14ac:dyDescent="0.3"/>
  <cols>
    <col min="2" max="2" width="10.5546875" customWidth="1"/>
    <col min="3" max="3" width="14.6640625" customWidth="1"/>
    <col min="4" max="4" width="17.33203125" customWidth="1"/>
    <col min="5" max="5" width="25.44140625" customWidth="1"/>
    <col min="6" max="8" width="36.33203125" customWidth="1"/>
    <col min="9" max="9" width="18.88671875" customWidth="1"/>
    <col min="10" max="10" width="13.88671875" customWidth="1"/>
    <col min="11" max="11" width="15.109375" customWidth="1"/>
    <col min="12" max="12" width="22.6640625" customWidth="1"/>
    <col min="13" max="13" width="21.33203125" customWidth="1"/>
    <col min="14" max="14" width="23.109375" customWidth="1"/>
    <col min="15" max="15" width="17.44140625" customWidth="1"/>
    <col min="16" max="16" width="24.109375" customWidth="1"/>
    <col min="17" max="17" width="18.6640625" customWidth="1"/>
    <col min="18" max="18" width="43.6640625" customWidth="1"/>
    <col min="19" max="19" width="15.6640625" customWidth="1"/>
    <col min="20" max="20" width="11.6640625" customWidth="1"/>
    <col min="21" max="21" width="18.6640625" customWidth="1"/>
    <col min="24" max="24" width="11.33203125" customWidth="1"/>
    <col min="26" max="26" width="19.5546875" customWidth="1"/>
    <col min="27" max="27" width="23.44140625" bestFit="1" customWidth="1"/>
    <col min="28" max="28" width="21.33203125" customWidth="1"/>
    <col min="29" max="29" width="22.33203125" customWidth="1"/>
    <col min="30" max="30" width="24" customWidth="1"/>
    <col min="31" max="31" width="24.44140625" customWidth="1"/>
    <col min="32" max="32" width="26.109375" customWidth="1"/>
    <col min="33" max="33" width="23.6640625" customWidth="1"/>
    <col min="34" max="34" width="24" customWidth="1"/>
    <col min="35" max="35" width="21.33203125" customWidth="1"/>
    <col min="36" max="36" width="21.109375" customWidth="1"/>
    <col min="37" max="37" width="19.44140625" bestFit="1" customWidth="1"/>
    <col min="38" max="38" width="22.5546875" customWidth="1"/>
    <col min="39" max="39" width="29.6640625" customWidth="1"/>
    <col min="40" max="40" width="25" customWidth="1"/>
    <col min="41" max="41" width="26.6640625" customWidth="1"/>
    <col min="42" max="42" width="28.33203125" customWidth="1"/>
    <col min="43" max="43" width="27.109375" customWidth="1"/>
    <col min="44" max="46" width="33.6640625" customWidth="1"/>
    <col min="47" max="47" width="22.5546875" customWidth="1"/>
    <col min="48" max="48" width="26.109375" customWidth="1"/>
    <col min="49" max="49" width="25.33203125" customWidth="1"/>
    <col min="50" max="50" width="21.109375" customWidth="1"/>
    <col min="51" max="51" width="19" customWidth="1"/>
    <col min="52" max="52" width="15.5546875" customWidth="1"/>
    <col min="53" max="53" width="18.33203125" customWidth="1"/>
    <col min="54" max="54" width="18.109375" customWidth="1"/>
  </cols>
  <sheetData>
    <row r="1" spans="2:67" ht="21.6" customHeight="1" x14ac:dyDescent="0.3">
      <c r="B1" s="36" t="s">
        <v>200</v>
      </c>
      <c r="C1" s="36" t="s">
        <v>201</v>
      </c>
      <c r="D1" s="36" t="s">
        <v>202</v>
      </c>
      <c r="E1" s="36" t="s">
        <v>203</v>
      </c>
      <c r="F1" s="37" t="s">
        <v>204</v>
      </c>
      <c r="G1" s="37" t="s">
        <v>633</v>
      </c>
      <c r="H1" s="37" t="s">
        <v>632</v>
      </c>
      <c r="I1" s="36" t="s">
        <v>205</v>
      </c>
      <c r="J1" s="36" t="s">
        <v>206</v>
      </c>
      <c r="K1" s="36" t="s">
        <v>342</v>
      </c>
      <c r="L1" s="37" t="s">
        <v>207</v>
      </c>
      <c r="M1" s="37" t="s">
        <v>343</v>
      </c>
      <c r="N1" s="37" t="s">
        <v>208</v>
      </c>
      <c r="O1" s="37" t="s">
        <v>209</v>
      </c>
      <c r="P1" s="37" t="s">
        <v>210</v>
      </c>
      <c r="Q1" s="38" t="s">
        <v>211</v>
      </c>
      <c r="R1" s="37" t="s">
        <v>212</v>
      </c>
      <c r="S1" s="39"/>
      <c r="T1" s="40" t="s">
        <v>213</v>
      </c>
      <c r="U1" s="41" t="s">
        <v>201</v>
      </c>
      <c r="W1" s="42" t="s">
        <v>213</v>
      </c>
      <c r="X1" s="43" t="s">
        <v>211</v>
      </c>
      <c r="Z1" s="44" t="s">
        <v>213</v>
      </c>
      <c r="AA1" s="45" t="s">
        <v>214</v>
      </c>
      <c r="AC1" s="46"/>
      <c r="AD1" s="1" t="s">
        <v>4</v>
      </c>
      <c r="AE1" s="2" t="s">
        <v>5</v>
      </c>
      <c r="AF1" s="3" t="s">
        <v>6</v>
      </c>
      <c r="AG1" s="2" t="s">
        <v>7</v>
      </c>
      <c r="AH1" s="3" t="s">
        <v>8</v>
      </c>
      <c r="AI1" s="3" t="s">
        <v>160</v>
      </c>
      <c r="AJ1" s="2" t="s">
        <v>9</v>
      </c>
      <c r="AK1" s="4" t="s">
        <v>10</v>
      </c>
      <c r="AL1" t="s">
        <v>11</v>
      </c>
      <c r="AM1" t="s">
        <v>12</v>
      </c>
      <c r="AP1" t="s">
        <v>215</v>
      </c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</row>
    <row r="2" spans="2:67" ht="26.4" customHeight="1" x14ac:dyDescent="0.3">
      <c r="B2" t="s">
        <v>13</v>
      </c>
      <c r="C2" s="11" t="s">
        <v>177</v>
      </c>
      <c r="D2">
        <v>1</v>
      </c>
      <c r="E2" s="11" t="str" cm="1">
        <f t="array" ref="E2">_xlfn.IFS(
    COUNTIF(Herramientas_eléctricas1862106149[Herramientas_eléctricas], B2) &gt; 0, Herramientas_eléctricas1862106149[[#Headers],[Herramientas_eléctricas]],
    COUNTIF(Herramientas_neumáticas1963107150[Herramientas_neumáticas], B2) &gt; 0, Herramientas_neumáticas1963107150[[#Headers],[Herramientas_neumáticas]],
    COUNTIF(Herramientas_de_medición2064108151[Herramientas_de_medición], B2) &gt; 0, Herramientas_de_medición2064108151[[#Headers],[Herramientas_de_medición]],
    COUNTIF(Herrramientas_mecánicas2165109152[Herramientas_mecánicas], B2) &gt; 0, Herrramientas_mecánicas2165109152[[#Headers],[Herramientas_mecánicas]],
    COUNTIF(AH2:AH8, B2) &gt; 0, Herramientas_hidráulicas2266110153[[#Headers],[Herramientas_hidráulicas]],
    COUNTIF(EPP_2367111154[SPCC], B2) &gt; 0, EPP_2367111154[[#Headers],[SPCC]],
   COUNTIF(Herramientas_de_izaje2468112155[Herramientas_de_izaje], B2) &gt; 0, Herramientas_de_izaje2468112155[[#Headers],[Herramientas_de_izaje]],
COUNTIF(Tabla162670114157[Equipos], B2) &gt; 0, Tabla162670114157[[#Headers],[Equipos]],
    TRUE, "Sin clasificación"
)</f>
        <v>Herramientas_eléctricas</v>
      </c>
      <c r="F2" s="15"/>
      <c r="G2" s="15" t="s">
        <v>630</v>
      </c>
      <c r="H2" s="15" t="s">
        <v>631</v>
      </c>
      <c r="I2" s="15" t="s">
        <v>627</v>
      </c>
      <c r="J2" s="47" t="s">
        <v>629</v>
      </c>
      <c r="L2" s="47" t="s">
        <v>628</v>
      </c>
      <c r="M2" s="47" t="str">
        <f>_xlfn.LET(
    _xlpm.itemBuscado, B2,
    _xlpm.areaBuscada, C2,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TEXT(COUNTIF($C$2:C2, _xlpm.areaBuscada), "0000"),
    _xlpm.codItem &amp; "-" &amp; _xlpm.codArea &amp; "-" &amp; _xlpm.secuencia
)</f>
        <v>ZE-SO-INS-0001</v>
      </c>
      <c r="O2" s="15"/>
      <c r="Q2" s="48"/>
      <c r="T2" s="49">
        <v>1</v>
      </c>
      <c r="U2" s="50" t="s">
        <v>171</v>
      </c>
      <c r="W2" s="51">
        <v>1</v>
      </c>
      <c r="X2" s="52" t="s">
        <v>216</v>
      </c>
      <c r="Z2" s="51">
        <v>1</v>
      </c>
      <c r="AA2" s="52" t="s">
        <v>4</v>
      </c>
      <c r="AD2" s="5" t="s">
        <v>13</v>
      </c>
      <c r="AE2" t="s">
        <v>14</v>
      </c>
      <c r="AF2" t="s">
        <v>15</v>
      </c>
      <c r="AG2" t="s">
        <v>16</v>
      </c>
      <c r="AH2" s="6" t="s">
        <v>17</v>
      </c>
      <c r="AI2" t="s">
        <v>18</v>
      </c>
      <c r="AJ2" t="s">
        <v>19</v>
      </c>
      <c r="AK2" s="6" t="s">
        <v>20</v>
      </c>
      <c r="AL2" t="s">
        <v>21</v>
      </c>
      <c r="AM2" s="7" t="s">
        <v>22</v>
      </c>
      <c r="AP2" s="25" t="s">
        <v>217</v>
      </c>
      <c r="AQ2" t="s">
        <v>218</v>
      </c>
      <c r="AR2" t="s">
        <v>219</v>
      </c>
      <c r="AS2" s="25" t="s">
        <v>220</v>
      </c>
      <c r="AT2" t="s">
        <v>221</v>
      </c>
      <c r="AZ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</row>
    <row r="3" spans="2:67" ht="29.25" customHeight="1" x14ac:dyDescent="0.3">
      <c r="B3" t="s">
        <v>13</v>
      </c>
      <c r="C3" s="11" t="s">
        <v>177</v>
      </c>
      <c r="D3">
        <v>1</v>
      </c>
      <c r="E3" s="11" t="str" cm="1">
        <f t="array" ref="E3">_xlfn.IFS(
    COUNTIF(Herramientas_eléctricas1862106149[Herramientas_eléctricas], B3) &gt; 0, Herramientas_eléctricas1862106149[[#Headers],[Herramientas_eléctricas]],
    COUNTIF(Herramientas_neumáticas1963107150[Herramientas_neumáticas], B3) &gt; 0, Herramientas_neumáticas1963107150[[#Headers],[Herramientas_neumáticas]],
    COUNTIF(Herramientas_de_medición2064108151[Herramientas_de_medición], B3) &gt; 0, Herramientas_de_medición2064108151[[#Headers],[Herramientas_de_medición]],
    COUNTIF(Herrramientas_mecánicas2165109152[Herramientas_mecánicas], B3) &gt; 0, Herrramientas_mecánicas2165109152[[#Headers],[Herramientas_mecánicas]],
    COUNTIF(AH3:AH9, B3) &gt; 0, Herramientas_hidráulicas2266110153[[#Headers],[Herramientas_hidráulicas]],
    COUNTIF(EPP_2367111154[SPCC], B3) &gt; 0, EPP_2367111154[[#Headers],[SPCC]],
   COUNTIF(Herramientas_de_izaje2468112155[Herramientas_de_izaje], B3) &gt; 0, Herramientas_de_izaje2468112155[[#Headers],[Herramientas_de_izaje]],
COUNTIF(Tabla162670114157[Equipos], B3) &gt; 0, Tabla162670114157[[#Headers],[Equipos]],
    TRUE, "Sin clasificación"
)</f>
        <v>Herramientas_eléctricas</v>
      </c>
      <c r="F3" s="15"/>
      <c r="G3" s="15">
        <v>280</v>
      </c>
      <c r="H3" s="15">
        <v>31.2</v>
      </c>
      <c r="I3" s="15" t="s">
        <v>627</v>
      </c>
      <c r="J3" s="47" t="s">
        <v>635</v>
      </c>
      <c r="L3" s="47" t="s">
        <v>634</v>
      </c>
      <c r="M3" s="47" t="str">
        <f>_xlfn.LET(
    _xlpm.itemBuscado, B3,
    _xlpm.areaBuscada, C3,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TEXT(COUNTIF($C$2:C3, _xlpm.areaBuscada), "0000"),
    _xlpm.codItem &amp; "-" &amp; _xlpm.codArea &amp; "-" &amp; _xlpm.secuencia
)</f>
        <v>ZE-SO-INS-0002</v>
      </c>
      <c r="O3" s="15"/>
      <c r="Q3" s="48"/>
      <c r="T3" s="49">
        <v>2</v>
      </c>
      <c r="U3" s="50" t="s">
        <v>172</v>
      </c>
      <c r="W3" s="51">
        <v>2</v>
      </c>
      <c r="X3" s="52" t="s">
        <v>222</v>
      </c>
      <c r="Z3" s="51">
        <v>2</v>
      </c>
      <c r="AA3" s="53" t="s">
        <v>5</v>
      </c>
      <c r="AD3" s="6" t="s">
        <v>23</v>
      </c>
      <c r="AE3" t="s">
        <v>24</v>
      </c>
      <c r="AF3" t="s">
        <v>25</v>
      </c>
      <c r="AG3" t="s">
        <v>26</v>
      </c>
      <c r="AH3" s="6" t="s">
        <v>27</v>
      </c>
      <c r="AI3" t="s">
        <v>28</v>
      </c>
      <c r="AJ3" t="s">
        <v>29</v>
      </c>
      <c r="AL3" s="8" t="s">
        <v>30</v>
      </c>
      <c r="AM3" s="9" t="s">
        <v>31</v>
      </c>
      <c r="AP3" s="25" t="s">
        <v>223</v>
      </c>
      <c r="AQ3" t="s">
        <v>70</v>
      </c>
      <c r="AZ3" s="11"/>
      <c r="BA3" s="11"/>
      <c r="BB3" s="11"/>
      <c r="BC3" s="11"/>
      <c r="BD3" s="11"/>
      <c r="BE3" s="11"/>
      <c r="BF3" s="11"/>
      <c r="BG3" s="11"/>
      <c r="BH3" s="54"/>
      <c r="BI3" s="54"/>
      <c r="BJ3" s="11"/>
      <c r="BK3" s="11"/>
      <c r="BL3" s="11"/>
      <c r="BM3" s="11"/>
      <c r="BN3" s="11"/>
      <c r="BO3" s="11"/>
    </row>
    <row r="4" spans="2:67" ht="33" customHeight="1" x14ac:dyDescent="0.3">
      <c r="B4" t="s">
        <v>13</v>
      </c>
      <c r="C4" s="11" t="s">
        <v>177</v>
      </c>
      <c r="D4">
        <v>1</v>
      </c>
      <c r="E4" s="11" t="str" cm="1">
        <f t="array" ref="E4">_xlfn.IFS(
    COUNTIF(Herramientas_eléctricas1862106149[Herramientas_eléctricas], B4) &gt; 0, Herramientas_eléctricas1862106149[[#Headers],[Herramientas_eléctricas]],
    COUNTIF(Herramientas_neumáticas1963107150[Herramientas_neumáticas], B4) &gt; 0, Herramientas_neumáticas1963107150[[#Headers],[Herramientas_neumáticas]],
    COUNTIF(Herramientas_de_medición2064108151[Herramientas_de_medición], B4) &gt; 0, Herramientas_de_medición2064108151[[#Headers],[Herramientas_de_medición]],
    COUNTIF(Herrramientas_mecánicas2165109152[Herramientas_mecánicas], B4) &gt; 0, Herrramientas_mecánicas2165109152[[#Headers],[Herramientas_mecánicas]],
    COUNTIF(AH4:AH10, B4) &gt; 0, Herramientas_hidráulicas2266110153[[#Headers],[Herramientas_hidráulicas]],
    COUNTIF(EPP_2367111154[SPCC], B4) &gt; 0, EPP_2367111154[[#Headers],[SPCC]],
   COUNTIF(Herramientas_de_izaje2468112155[Herramientas_de_izaje], B4) &gt; 0, Herramientas_de_izaje2468112155[[#Headers],[Herramientas_de_izaje]],
COUNTIF(Tabla162670114157[Equipos], B4) &gt; 0, Tabla162670114157[[#Headers],[Equipos]],
    TRUE, "Sin clasificación"
)</f>
        <v>Herramientas_eléctricas</v>
      </c>
      <c r="F4" s="15"/>
      <c r="G4" s="15">
        <v>230</v>
      </c>
      <c r="H4" s="15">
        <v>21.7</v>
      </c>
      <c r="I4" s="15" t="s">
        <v>638</v>
      </c>
      <c r="J4" s="47" t="s">
        <v>637</v>
      </c>
      <c r="L4" s="47" t="s">
        <v>636</v>
      </c>
      <c r="M4" s="47" t="str">
        <f>_xlfn.LET(
    _xlpm.itemBuscado, B4,
    _xlpm.areaBuscada, C4,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TEXT(COUNTIF($C$2:C4, _xlpm.areaBuscada), "0000"),
    _xlpm.codItem &amp; "-" &amp; _xlpm.codArea &amp; "-" &amp; _xlpm.secuencia
)</f>
        <v>ZE-SO-INS-0003</v>
      </c>
      <c r="O4" s="15"/>
      <c r="Q4" s="48"/>
      <c r="T4" s="49">
        <v>3</v>
      </c>
      <c r="U4" s="50" t="s">
        <v>173</v>
      </c>
      <c r="W4" s="55">
        <v>3</v>
      </c>
      <c r="X4" s="56" t="s">
        <v>224</v>
      </c>
      <c r="Z4" s="51">
        <v>3</v>
      </c>
      <c r="AA4" s="53" t="s">
        <v>6</v>
      </c>
      <c r="AD4" s="10" t="s">
        <v>32</v>
      </c>
      <c r="AE4" t="s">
        <v>33</v>
      </c>
      <c r="AF4" t="s">
        <v>34</v>
      </c>
      <c r="AG4" t="s">
        <v>35</v>
      </c>
      <c r="AH4" s="5" t="s">
        <v>36</v>
      </c>
      <c r="AI4" s="11" t="s">
        <v>37</v>
      </c>
      <c r="AJ4" t="s">
        <v>38</v>
      </c>
      <c r="AL4" s="11" t="s">
        <v>39</v>
      </c>
      <c r="AM4" s="7" t="s">
        <v>40</v>
      </c>
      <c r="AP4" s="25" t="s">
        <v>225</v>
      </c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</row>
    <row r="5" spans="2:67" x14ac:dyDescent="0.3">
      <c r="B5" t="s">
        <v>13</v>
      </c>
      <c r="C5" s="11" t="s">
        <v>176</v>
      </c>
      <c r="D5">
        <v>1</v>
      </c>
      <c r="E5" s="11" t="str" cm="1">
        <f t="array" ref="E5">_xlfn.IFS(
    COUNTIF(Herramientas_eléctricas1862106149[Herramientas_eléctricas], B5) &gt; 0, Herramientas_eléctricas1862106149[[#Headers],[Herramientas_eléctricas]],
    COUNTIF(Herramientas_neumáticas1963107150[Herramientas_neumáticas], B5) &gt; 0, Herramientas_neumáticas1963107150[[#Headers],[Herramientas_neumáticas]],
    COUNTIF(Herramientas_de_medición2064108151[Herramientas_de_medición], B5) &gt; 0, Herramientas_de_medición2064108151[[#Headers],[Herramientas_de_medición]],
    COUNTIF(Herrramientas_mecánicas2165109152[Herramientas_mecánicas], B5) &gt; 0, Herrramientas_mecánicas2165109152[[#Headers],[Herramientas_mecánicas]],
    COUNTIF(AH5:AH11, B5) &gt; 0, Herramientas_hidráulicas2266110153[[#Headers],[Herramientas_hidráulicas]],
    COUNTIF(EPP_2367111154[SPCC], B5) &gt; 0, EPP_2367111154[[#Headers],[SPCC]],
   COUNTIF(Herramientas_de_izaje2468112155[Herramientas_de_izaje], B5) &gt; 0, Herramientas_de_izaje2468112155[[#Headers],[Herramientas_de_izaje]],
COUNTIF(Tabla162670114157[Equipos], B5) &gt; 0, Tabla162670114157[[#Headers],[Equipos]],
    TRUE, "Sin clasificación"
)</f>
        <v>Herramientas_eléctricas</v>
      </c>
      <c r="F5" s="15"/>
      <c r="G5" s="15" t="s">
        <v>693</v>
      </c>
      <c r="H5" s="15" t="s">
        <v>692</v>
      </c>
      <c r="I5" s="15" t="s">
        <v>627</v>
      </c>
      <c r="J5" s="47" t="s">
        <v>689</v>
      </c>
      <c r="K5" t="s">
        <v>690</v>
      </c>
      <c r="L5" s="47" t="s">
        <v>691</v>
      </c>
      <c r="M5" s="47" t="str">
        <f>_xlfn.LET(
    _xlpm.itemBuscado, B5,
    _xlpm.areaBuscada, C5,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TEXT(COUNTIF($C$2:C5, _xlpm.areaBuscada), "0000"),
    _xlpm.codItem &amp; "-" &amp; _xlpm.codArea &amp; "-" &amp; _xlpm.secuencia
)</f>
        <v>ZE-SO-ELT-0001</v>
      </c>
      <c r="O5" s="15"/>
      <c r="Q5" s="48"/>
      <c r="T5" s="49">
        <v>4</v>
      </c>
      <c r="U5" s="50" t="s">
        <v>174</v>
      </c>
      <c r="Z5" s="51">
        <v>4</v>
      </c>
      <c r="AA5" s="53" t="s">
        <v>7</v>
      </c>
      <c r="AD5" t="s">
        <v>41</v>
      </c>
      <c r="AE5" t="s">
        <v>42</v>
      </c>
      <c r="AF5" t="s">
        <v>43</v>
      </c>
      <c r="AG5" t="s">
        <v>44</v>
      </c>
      <c r="AH5" s="5" t="s">
        <v>45</v>
      </c>
      <c r="AJ5" t="s">
        <v>46</v>
      </c>
      <c r="AL5" s="12" t="s">
        <v>47</v>
      </c>
      <c r="AM5" s="9" t="s">
        <v>48</v>
      </c>
      <c r="AP5" s="25" t="s">
        <v>226</v>
      </c>
      <c r="AQ5" t="s">
        <v>80</v>
      </c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</row>
    <row r="6" spans="2:67" ht="30" customHeight="1" x14ac:dyDescent="0.3">
      <c r="B6" t="s">
        <v>13</v>
      </c>
      <c r="C6" s="11" t="s">
        <v>176</v>
      </c>
      <c r="D6">
        <v>1</v>
      </c>
      <c r="E6" s="11" t="str" cm="1">
        <f t="array" ref="E6">_xlfn.IFS(
    COUNTIF(Herramientas_eléctricas1862106149[Herramientas_eléctricas], B6) &gt; 0, Herramientas_eléctricas1862106149[[#Headers],[Herramientas_eléctricas]],
    COUNTIF(Herramientas_neumáticas1963107150[Herramientas_neumáticas], B6) &gt; 0, Herramientas_neumáticas1963107150[[#Headers],[Herramientas_neumáticas]],
    COUNTIF(Herramientas_de_medición2064108151[Herramientas_de_medición], B6) &gt; 0, Herramientas_de_medición2064108151[[#Headers],[Herramientas_de_medición]],
    COUNTIF(Herrramientas_mecánicas2165109152[Herramientas_mecánicas], B6) &gt; 0, Herrramientas_mecánicas2165109152[[#Headers],[Herramientas_mecánicas]],
    COUNTIF(AH6:AH12, B6) &gt; 0, Herramientas_hidráulicas2266110153[[#Headers],[Herramientas_hidráulicas]],
    COUNTIF(EPP_2367111154[SPCC], B6) &gt; 0, EPP_2367111154[[#Headers],[SPCC]],
   COUNTIF(Herramientas_de_izaje2468112155[Herramientas_de_izaje], B6) &gt; 0, Herramientas_de_izaje2468112155[[#Headers],[Herramientas_de_izaje]],
COUNTIF(Tabla162670114157[Equipos], B6) &gt; 0, Tabla162670114157[[#Headers],[Equipos]],
    TRUE, "Sin clasificación"
)</f>
        <v>Herramientas_eléctricas</v>
      </c>
      <c r="F6" s="15"/>
      <c r="G6" s="15">
        <v>230</v>
      </c>
      <c r="H6" s="15">
        <v>41</v>
      </c>
      <c r="I6" s="15" t="s">
        <v>627</v>
      </c>
      <c r="J6" s="47" t="s">
        <v>696</v>
      </c>
      <c r="K6" t="s">
        <v>697</v>
      </c>
      <c r="L6" s="47" t="s">
        <v>573</v>
      </c>
      <c r="M6" s="47" t="str">
        <f>_xlfn.LET(
    _xlpm.itemBuscado, B6,
    _xlpm.areaBuscada, C6,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TEXT(COUNTIF($C$2:C6, _xlpm.areaBuscada), "0000"),
    _xlpm.codItem &amp; "-" &amp; _xlpm.codArea &amp; "-" &amp; _xlpm.secuencia
)</f>
        <v>ZE-SO-ELT-0002</v>
      </c>
      <c r="O6" s="15"/>
      <c r="Q6" s="48"/>
      <c r="T6" s="49">
        <v>5</v>
      </c>
      <c r="U6" s="50" t="s">
        <v>175</v>
      </c>
      <c r="Z6" s="51">
        <v>5</v>
      </c>
      <c r="AA6" s="53" t="s">
        <v>8</v>
      </c>
      <c r="AD6" t="s">
        <v>49</v>
      </c>
      <c r="AE6" t="s">
        <v>36</v>
      </c>
      <c r="AF6" t="s">
        <v>50</v>
      </c>
      <c r="AG6" t="s">
        <v>51</v>
      </c>
      <c r="AH6" s="5" t="s">
        <v>52</v>
      </c>
      <c r="AL6" t="s">
        <v>53</v>
      </c>
      <c r="AM6" s="7" t="s">
        <v>54</v>
      </c>
      <c r="AP6" s="25" t="s">
        <v>227</v>
      </c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</row>
    <row r="7" spans="2:67" ht="30" customHeight="1" x14ac:dyDescent="0.3">
      <c r="B7" t="s">
        <v>13</v>
      </c>
      <c r="C7" s="11" t="s">
        <v>176</v>
      </c>
      <c r="D7">
        <v>1</v>
      </c>
      <c r="E7" s="11" t="str" cm="1">
        <f t="array" ref="E7">_xlfn.IFS(
    COUNTIF(Herramientas_eléctricas1862106149[Herramientas_eléctricas], B7) &gt; 0, Herramientas_eléctricas1862106149[[#Headers],[Herramientas_eléctricas]],
    COUNTIF(Herramientas_neumáticas1963107150[Herramientas_neumáticas], B7) &gt; 0, Herramientas_neumáticas1963107150[[#Headers],[Herramientas_neumáticas]],
    COUNTIF(Herramientas_de_medición2064108151[Herramientas_de_medición], B7) &gt; 0, Herramientas_de_medición2064108151[[#Headers],[Herramientas_de_medición]],
    COUNTIF(Herrramientas_mecánicas2165109152[Herramientas_mecánicas], B7) &gt; 0, Herrramientas_mecánicas2165109152[[#Headers],[Herramientas_mecánicas]],
    COUNTIF(AH7:AH13, B7) &gt; 0, Herramientas_hidráulicas2266110153[[#Headers],[Herramientas_hidráulicas]],
    COUNTIF(EPP_2367111154[SPCC], B7) &gt; 0, EPP_2367111154[[#Headers],[SPCC]],
   COUNTIF(Herramientas_de_izaje2468112155[Herramientas_de_izaje], B7) &gt; 0, Herramientas_de_izaje2468112155[[#Headers],[Herramientas_de_izaje]],
COUNTIF(Tabla162670114157[Equipos], B7) &gt; 0, Tabla162670114157[[#Headers],[Equipos]],
    TRUE, "Sin clasificación"
)</f>
        <v>Herramientas_eléctricas</v>
      </c>
      <c r="F7" s="15"/>
      <c r="G7" s="15">
        <v>350</v>
      </c>
      <c r="H7" s="15">
        <v>180</v>
      </c>
      <c r="I7" s="15" t="s">
        <v>627</v>
      </c>
      <c r="J7" s="47" t="s">
        <v>573</v>
      </c>
      <c r="K7" t="s">
        <v>699</v>
      </c>
      <c r="L7" s="47" t="s">
        <v>698</v>
      </c>
      <c r="M7" s="47" t="str">
        <f>_xlfn.LET(
    _xlpm.itemBuscado, B7,
    _xlpm.areaBuscada, C7,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TEXT(COUNTIF($C$2:C7, _xlpm.areaBuscada), "0000"),
    _xlpm.codItem &amp; "-" &amp; _xlpm.codArea &amp; "-" &amp; _xlpm.secuencia
)</f>
        <v>ZE-SO-ELT-0003</v>
      </c>
      <c r="O7" s="15"/>
      <c r="Q7" s="48"/>
      <c r="T7" s="49">
        <v>6</v>
      </c>
      <c r="U7" s="50" t="s">
        <v>176</v>
      </c>
      <c r="Z7" s="55">
        <v>6</v>
      </c>
      <c r="AA7" s="56" t="s">
        <v>10</v>
      </c>
      <c r="AD7" t="s">
        <v>55</v>
      </c>
      <c r="AF7" s="11" t="s">
        <v>56</v>
      </c>
      <c r="AG7" s="5" t="s">
        <v>57</v>
      </c>
      <c r="AH7" t="s">
        <v>58</v>
      </c>
      <c r="AM7" s="13" t="s">
        <v>59</v>
      </c>
      <c r="AP7" s="15" t="s">
        <v>228</v>
      </c>
      <c r="AQ7" s="15" t="s">
        <v>229</v>
      </c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</row>
    <row r="8" spans="2:67" ht="33.6" customHeight="1" x14ac:dyDescent="0.3">
      <c r="B8" t="s">
        <v>13</v>
      </c>
      <c r="C8" s="11" t="s">
        <v>175</v>
      </c>
      <c r="D8">
        <v>1</v>
      </c>
      <c r="E8" s="11" t="str" cm="1">
        <f t="array" ref="E8">_xlfn.IFS(
    COUNTIF(Herramientas_eléctricas1862106149[Herramientas_eléctricas], B8) &gt; 0, Herramientas_eléctricas1862106149[[#Headers],[Herramientas_eléctricas]],
    COUNTIF(Herramientas_neumáticas1963107150[Herramientas_neumáticas], B8) &gt; 0, Herramientas_neumáticas1963107150[[#Headers],[Herramientas_neumáticas]],
    COUNTIF(Herramientas_de_medición2064108151[Herramientas_de_medición], B8) &gt; 0, Herramientas_de_medición2064108151[[#Headers],[Herramientas_de_medición]],
    COUNTIF(Herrramientas_mecánicas2165109152[Herramientas_mecánicas], B8) &gt; 0, Herrramientas_mecánicas2165109152[[#Headers],[Herramientas_mecánicas]],
    COUNTIF(AH8:AH14, B8) &gt; 0, Herramientas_hidráulicas2266110153[[#Headers],[Herramientas_hidráulicas]],
    COUNTIF(EPP_2367111154[SPCC], B8) &gt; 0, EPP_2367111154[[#Headers],[SPCC]],
   COUNTIF(Herramientas_de_izaje2468112155[Herramientas_de_izaje], B8) &gt; 0, Herramientas_de_izaje2468112155[[#Headers],[Herramientas_de_izaje]],
COUNTIF(Tabla162670114157[Equipos], B8) &gt; 0, Tabla162670114157[[#Headers],[Equipos]],
    TRUE, "Sin clasificación"
)</f>
        <v>Herramientas_eléctricas</v>
      </c>
      <c r="F8" s="15"/>
      <c r="G8" s="15" t="s">
        <v>707</v>
      </c>
      <c r="H8" s="15" t="s">
        <v>708</v>
      </c>
      <c r="I8" s="15" t="s">
        <v>638</v>
      </c>
      <c r="J8" s="47" t="s">
        <v>635</v>
      </c>
      <c r="L8" s="47" t="s">
        <v>573</v>
      </c>
      <c r="M8" s="47" t="str">
        <f>_xlfn.LET(
    _xlpm.itemBuscado, B8,
    _xlpm.areaBuscada, C8,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TEXT(COUNTIF($C$2:C8, _xlpm.areaBuscada), "0000"),
    _xlpm.codItem &amp; "-" &amp; _xlpm.codArea &amp; "-" &amp; _xlpm.secuencia
)</f>
        <v>ZE-SO-LU-0001</v>
      </c>
      <c r="O8" s="15"/>
      <c r="Q8" s="48"/>
      <c r="T8" s="49">
        <v>7</v>
      </c>
      <c r="U8" s="50" t="s">
        <v>177</v>
      </c>
      <c r="AD8" t="s">
        <v>60</v>
      </c>
      <c r="AF8" s="11" t="s">
        <v>61</v>
      </c>
      <c r="AG8" t="s">
        <v>62</v>
      </c>
      <c r="AH8" t="s">
        <v>35</v>
      </c>
      <c r="AM8" s="14" t="s">
        <v>63</v>
      </c>
      <c r="AP8" s="25" t="s">
        <v>230</v>
      </c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</row>
    <row r="9" spans="2:67" ht="30" customHeight="1" x14ac:dyDescent="0.3">
      <c r="B9" t="s">
        <v>13</v>
      </c>
      <c r="C9" s="11" t="s">
        <v>175</v>
      </c>
      <c r="D9">
        <v>1</v>
      </c>
      <c r="E9" s="11" t="str" cm="1">
        <f t="array" ref="E9">_xlfn.IFS(
    COUNTIF(Herramientas_eléctricas1862106149[Herramientas_eléctricas], B9) &gt; 0, Herramientas_eléctricas1862106149[[#Headers],[Herramientas_eléctricas]],
    COUNTIF(Herramientas_neumáticas1963107150[Herramientas_neumáticas], B9) &gt; 0, Herramientas_neumáticas1963107150[[#Headers],[Herramientas_neumáticas]],
    COUNTIF(Herramientas_de_medición2064108151[Herramientas_de_medición], B9) &gt; 0, Herramientas_de_medición2064108151[[#Headers],[Herramientas_de_medición]],
    COUNTIF(Herrramientas_mecánicas2165109152[Herramientas_mecánicas], B9) &gt; 0, Herrramientas_mecánicas2165109152[[#Headers],[Herramientas_mecánicas]],
    COUNTIF(AH9:AH15, B9) &gt; 0, Herramientas_hidráulicas2266110153[[#Headers],[Herramientas_hidráulicas]],
    COUNTIF(EPP_2367111154[SPCC], B9) &gt; 0, EPP_2367111154[[#Headers],[SPCC]],
   COUNTIF(Herramientas_de_izaje2468112155[Herramientas_de_izaje], B9) &gt; 0, Herramientas_de_izaje2468112155[[#Headers],[Herramientas_de_izaje]],
COUNTIF(Tabla162670114157[Equipos], B9) &gt; 0, Tabla162670114157[[#Headers],[Equipos]],
    TRUE, "Sin clasificación"
)</f>
        <v>Herramientas_eléctricas</v>
      </c>
      <c r="F9" s="15"/>
      <c r="G9" s="15" t="s">
        <v>707</v>
      </c>
      <c r="H9" s="15" t="s">
        <v>708</v>
      </c>
      <c r="I9" s="15" t="s">
        <v>638</v>
      </c>
      <c r="J9" s="47" t="s">
        <v>635</v>
      </c>
      <c r="K9" t="s">
        <v>710</v>
      </c>
      <c r="L9" s="47" t="s">
        <v>709</v>
      </c>
      <c r="M9" s="47" t="str">
        <f>_xlfn.LET(
    _xlpm.itemBuscado, B9,
    _xlpm.areaBuscada, C9,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TEXT(COUNTIF($C$2:C9, _xlpm.areaBuscada), "0000"),
    _xlpm.codItem &amp; "-" &amp; _xlpm.codArea &amp; "-" &amp; _xlpm.secuencia
)</f>
        <v>ZE-SO-LU-0002</v>
      </c>
      <c r="O9" s="15"/>
      <c r="Q9" s="48"/>
      <c r="T9" s="49">
        <v>8</v>
      </c>
      <c r="U9" s="57" t="s">
        <v>178</v>
      </c>
      <c r="Z9" s="58" t="s">
        <v>210</v>
      </c>
      <c r="AD9" t="s">
        <v>64</v>
      </c>
      <c r="AF9" s="15" t="s">
        <v>65</v>
      </c>
      <c r="AG9" t="s">
        <v>66</v>
      </c>
      <c r="AH9" s="16"/>
      <c r="AM9" s="9" t="s">
        <v>67</v>
      </c>
      <c r="AP9" s="25" t="s">
        <v>231</v>
      </c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</row>
    <row r="10" spans="2:67" ht="26.4" customHeight="1" x14ac:dyDescent="0.3">
      <c r="B10" t="s">
        <v>13</v>
      </c>
      <c r="C10" s="11" t="s">
        <v>173</v>
      </c>
      <c r="D10">
        <v>1</v>
      </c>
      <c r="E10" s="11" t="str" cm="1">
        <f t="array" ref="E10">_xlfn.IFS(
    COUNTIF(Herramientas_eléctricas1862106149[Herramientas_eléctricas], B10) &gt; 0, Herramientas_eléctricas1862106149[[#Headers],[Herramientas_eléctricas]],
    COUNTIF(Herramientas_neumáticas1963107150[Herramientas_neumáticas], B10) &gt; 0, Herramientas_neumáticas1963107150[[#Headers],[Herramientas_neumáticas]],
    COUNTIF(Herramientas_de_medición2064108151[Herramientas_de_medición], B10) &gt; 0, Herramientas_de_medición2064108151[[#Headers],[Herramientas_de_medición]],
    COUNTIF(Herrramientas_mecánicas2165109152[Herramientas_mecánicas], B10) &gt; 0, Herrramientas_mecánicas2165109152[[#Headers],[Herramientas_mecánicas]],
    COUNTIF(AH10:AH16, B10) &gt; 0, Herramientas_hidráulicas2266110153[[#Headers],[Herramientas_hidráulicas]],
    COUNTIF(EPP_2367111154[SPCC], B10) &gt; 0, EPP_2367111154[[#Headers],[SPCC]],
   COUNTIF(Herramientas_de_izaje2468112155[Herramientas_de_izaje], B10) &gt; 0, Herramientas_de_izaje2468112155[[#Headers],[Herramientas_de_izaje]],
COUNTIF(Tabla162670114157[Equipos], B10) &gt; 0, Tabla162670114157[[#Headers],[Equipos]],
    TRUE, "Sin clasificación"
)</f>
        <v>Herramientas_eléctricas</v>
      </c>
      <c r="F10" s="15"/>
      <c r="G10" s="15" t="s">
        <v>717</v>
      </c>
      <c r="H10" s="15">
        <v>225</v>
      </c>
      <c r="I10" s="15" t="s">
        <v>638</v>
      </c>
      <c r="J10" s="47" t="s">
        <v>719</v>
      </c>
      <c r="K10" t="s">
        <v>720</v>
      </c>
      <c r="L10" s="47" t="s">
        <v>718</v>
      </c>
      <c r="M10" s="47" t="str">
        <f>_xlfn.LET(
    _xlpm.itemBuscado, B10,
    _xlpm.areaBuscada, C10,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TEXT(COUNTIF($C$2:C10, _xlpm.areaBuscada), "0000"),
    _xlpm.codItem &amp; "-" &amp; _xlpm.codArea &amp; "-" &amp; _xlpm.secuencia
)</f>
        <v>ZE-SO-FL-0001</v>
      </c>
      <c r="O10" s="15" t="s">
        <v>721</v>
      </c>
      <c r="Q10" s="48"/>
      <c r="T10" s="49">
        <v>9</v>
      </c>
      <c r="U10" s="57" t="s">
        <v>179</v>
      </c>
      <c r="Z10" s="59" t="s">
        <v>232</v>
      </c>
      <c r="AD10" s="17" t="s">
        <v>68</v>
      </c>
      <c r="AF10" s="15" t="s">
        <v>69</v>
      </c>
      <c r="AG10" t="s">
        <v>70</v>
      </c>
      <c r="AM10" s="18" t="s">
        <v>71</v>
      </c>
      <c r="AP10" s="15" t="s">
        <v>95</v>
      </c>
    </row>
    <row r="11" spans="2:67" ht="33.6" customHeight="1" x14ac:dyDescent="0.3">
      <c r="B11" t="s">
        <v>13</v>
      </c>
      <c r="C11" s="11" t="s">
        <v>173</v>
      </c>
      <c r="E11" s="11" t="str" cm="1">
        <f t="array" ref="E11">_xlfn.IFS(
    COUNTIF(Herramientas_eléctricas1862106149[Herramientas_eléctricas], B11) &gt; 0, Herramientas_eléctricas1862106149[[#Headers],[Herramientas_eléctricas]],
    COUNTIF(Herramientas_neumáticas1963107150[Herramientas_neumáticas], B11) &gt; 0, Herramientas_neumáticas1963107150[[#Headers],[Herramientas_neumáticas]],
    COUNTIF(Herramientas_de_medición2064108151[Herramientas_de_medición], B11) &gt; 0, Herramientas_de_medición2064108151[[#Headers],[Herramientas_de_medición]],
    COUNTIF(Herrramientas_mecánicas2165109152[Herramientas_mecánicas], B11) &gt; 0, Herrramientas_mecánicas2165109152[[#Headers],[Herramientas_mecánicas]],
    COUNTIF(AH11:AH17, B11) &gt; 0, Herramientas_hidráulicas2266110153[[#Headers],[Herramientas_hidráulicas]],
    COUNTIF(EPP_2367111154[SPCC], B11) &gt; 0, EPP_2367111154[[#Headers],[SPCC]],
   COUNTIF(Herramientas_de_izaje2468112155[Herramientas_de_izaje], B11) &gt; 0, Herramientas_de_izaje2468112155[[#Headers],[Herramientas_de_izaje]],
COUNTIF(Tabla162670114157[Equipos], B11) &gt; 0, Tabla162670114157[[#Headers],[Equipos]],
    TRUE, "Sin clasificación"
)</f>
        <v>Herramientas_eléctricas</v>
      </c>
      <c r="F11" s="15"/>
      <c r="G11" s="15" t="s">
        <v>723</v>
      </c>
      <c r="H11" s="15" t="s">
        <v>724</v>
      </c>
      <c r="I11" s="15" t="s">
        <v>638</v>
      </c>
      <c r="J11" s="85" t="s">
        <v>722</v>
      </c>
      <c r="L11" s="47"/>
      <c r="M11" s="47" t="str">
        <f>_xlfn.LET(
    _xlpm.itemBuscado, B11,
    _xlpm.areaBuscada, C11,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TEXT(COUNTIF($C$2:C11, _xlpm.areaBuscada), "0000"),
    _xlpm.codItem &amp; "-" &amp; _xlpm.codArea &amp; "-" &amp; _xlpm.secuencia
)</f>
        <v>ZE-SO-FL-0002</v>
      </c>
      <c r="O11" s="15"/>
      <c r="Q11" s="48"/>
      <c r="T11" s="60">
        <v>10</v>
      </c>
      <c r="U11" s="61" t="s">
        <v>180</v>
      </c>
      <c r="Z11" s="59" t="s">
        <v>233</v>
      </c>
      <c r="AD11" s="8" t="s">
        <v>72</v>
      </c>
      <c r="AF11" s="15" t="s">
        <v>73</v>
      </c>
      <c r="AG11" t="s">
        <v>74</v>
      </c>
      <c r="AM11" s="18" t="s">
        <v>75</v>
      </c>
      <c r="BA11" s="62"/>
    </row>
    <row r="12" spans="2:67" ht="28.8" x14ac:dyDescent="0.3">
      <c r="B12" t="s">
        <v>13</v>
      </c>
      <c r="C12" s="11" t="s">
        <v>173</v>
      </c>
      <c r="E12" s="11" t="str" cm="1">
        <f t="array" ref="E12">_xlfn.IFS(
    COUNTIF(Herramientas_eléctricas1862106149[Herramientas_eléctricas], B12) &gt; 0, Herramientas_eléctricas1862106149[[#Headers],[Herramientas_eléctricas]],
    COUNTIF(Herramientas_neumáticas1963107150[Herramientas_neumáticas], B12) &gt; 0, Herramientas_neumáticas1963107150[[#Headers],[Herramientas_neumáticas]],
    COUNTIF(Herramientas_de_medición2064108151[Herramientas_de_medición], B12) &gt; 0, Herramientas_de_medición2064108151[[#Headers],[Herramientas_de_medición]],
    COUNTIF(Herrramientas_mecánicas2165109152[Herramientas_mecánicas], B12) &gt; 0, Herrramientas_mecánicas2165109152[[#Headers],[Herramientas_mecánicas]],
    COUNTIF(AH12:AH18, B12) &gt; 0, Herramientas_hidráulicas2266110153[[#Headers],[Herramientas_hidráulicas]],
    COUNTIF(EPP_2367111154[SPCC], B12) &gt; 0, EPP_2367111154[[#Headers],[SPCC]],
   COUNTIF(Herramientas_de_izaje2468112155[Herramientas_de_izaje], B12) &gt; 0, Herramientas_de_izaje2468112155[[#Headers],[Herramientas_de_izaje]],
COUNTIF(Tabla162670114157[Equipos], B12) &gt; 0, Tabla162670114157[[#Headers],[Equipos]],
    TRUE, "Sin clasificación"
)</f>
        <v>Herramientas_eléctricas</v>
      </c>
      <c r="F12" s="15"/>
      <c r="G12" s="15">
        <v>230</v>
      </c>
      <c r="H12" s="15" t="s">
        <v>727</v>
      </c>
      <c r="I12" s="15" t="s">
        <v>627</v>
      </c>
      <c r="J12" s="47" t="s">
        <v>725</v>
      </c>
      <c r="K12" t="s">
        <v>726</v>
      </c>
      <c r="L12" s="47"/>
      <c r="M12" s="47" t="str">
        <f>_xlfn.LET(
    _xlpm.itemBuscado, B12,
    _xlpm.areaBuscada, C12,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TEXT(COUNTIF($C$2:C12, _xlpm.areaBuscada), "0000"),
    _xlpm.codItem &amp; "-" &amp; _xlpm.codArea &amp; "-" &amp; _xlpm.secuencia
)</f>
        <v>ZE-SO-FL-0003</v>
      </c>
      <c r="O12" s="15" t="s">
        <v>728</v>
      </c>
      <c r="Q12" s="48"/>
      <c r="T12" s="60">
        <v>11</v>
      </c>
      <c r="U12" s="61" t="s">
        <v>181</v>
      </c>
      <c r="Z12" s="33" t="s">
        <v>234</v>
      </c>
      <c r="AD12" t="s">
        <v>19</v>
      </c>
      <c r="AE12" t="s">
        <v>76</v>
      </c>
      <c r="AF12" s="15" t="s">
        <v>77</v>
      </c>
      <c r="AG12" t="s">
        <v>78</v>
      </c>
      <c r="AM12" s="19" t="s">
        <v>79</v>
      </c>
      <c r="AP12" s="11"/>
    </row>
    <row r="13" spans="2:67" x14ac:dyDescent="0.3">
      <c r="B13" t="s">
        <v>13</v>
      </c>
      <c r="C13" s="11" t="s">
        <v>173</v>
      </c>
      <c r="E13" s="11" t="str" cm="1">
        <f t="array" ref="E13">_xlfn.IFS(
    COUNTIF(Herramientas_eléctricas1862106149[Herramientas_eléctricas], B13) &gt; 0, Herramientas_eléctricas1862106149[[#Headers],[Herramientas_eléctricas]],
    COUNTIF(Herramientas_neumáticas1963107150[Herramientas_neumáticas], B13) &gt; 0, Herramientas_neumáticas1963107150[[#Headers],[Herramientas_neumáticas]],
    COUNTIF(Herramientas_de_medición2064108151[Herramientas_de_medición], B13) &gt; 0, Herramientas_de_medición2064108151[[#Headers],[Herramientas_de_medición]],
    COUNTIF(Herrramientas_mecánicas2165109152[Herramientas_mecánicas], B13) &gt; 0, Herrramientas_mecánicas2165109152[[#Headers],[Herramientas_mecánicas]],
    COUNTIF(AH13:AH19, B13) &gt; 0, Herramientas_hidráulicas2266110153[[#Headers],[Herramientas_hidráulicas]],
    COUNTIF(EPP_2367111154[SPCC], B13) &gt; 0, EPP_2367111154[[#Headers],[SPCC]],
   COUNTIF(Herramientas_de_izaje2468112155[Herramientas_de_izaje], B13) &gt; 0, Herramientas_de_izaje2468112155[[#Headers],[Herramientas_de_izaje]],
COUNTIF(Tabla162670114157[Equipos], B13) &gt; 0, Tabla162670114157[[#Headers],[Equipos]],
    TRUE, "Sin clasificación"
)</f>
        <v>Herramientas_eléctricas</v>
      </c>
      <c r="F13" s="15"/>
      <c r="G13" s="15"/>
      <c r="H13" s="15"/>
      <c r="I13" s="15" t="s">
        <v>627</v>
      </c>
      <c r="J13" s="47" t="s">
        <v>629</v>
      </c>
      <c r="L13" s="47"/>
      <c r="M13" s="47" t="str">
        <f>_xlfn.LET(
    _xlpm.itemBuscado, B13,
    _xlpm.areaBuscada, C13,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TEXT(COUNTIF($C$2:C13, _xlpm.areaBuscada), "0000"),
    _xlpm.codItem &amp; "-" &amp; _xlpm.codArea &amp; "-" &amp; _xlpm.secuencia
)</f>
        <v>ZE-SO-FL-0004</v>
      </c>
      <c r="O13" s="15"/>
      <c r="Q13" s="48"/>
      <c r="AD13" t="s">
        <v>80</v>
      </c>
      <c r="AF13" s="15" t="s">
        <v>81</v>
      </c>
      <c r="AG13" t="s">
        <v>82</v>
      </c>
      <c r="AM13" s="20" t="s">
        <v>83</v>
      </c>
      <c r="AP13" s="11"/>
      <c r="AU13" s="11"/>
    </row>
    <row r="14" spans="2:67" x14ac:dyDescent="0.3">
      <c r="B14" t="s">
        <v>13</v>
      </c>
      <c r="C14" s="11" t="s">
        <v>173</v>
      </c>
      <c r="E14" s="11" t="str" cm="1">
        <f t="array" ref="E14">_xlfn.IFS(
    COUNTIF(Herramientas_eléctricas1862106149[Herramientas_eléctricas], B14) &gt; 0, Herramientas_eléctricas1862106149[[#Headers],[Herramientas_eléctricas]],
    COUNTIF(Herramientas_neumáticas1963107150[Herramientas_neumáticas], B14) &gt; 0, Herramientas_neumáticas1963107150[[#Headers],[Herramientas_neumáticas]],
    COUNTIF(Herramientas_de_medición2064108151[Herramientas_de_medición], B14) &gt; 0, Herramientas_de_medición2064108151[[#Headers],[Herramientas_de_medición]],
    COUNTIF(Herrramientas_mecánicas2165109152[Herramientas_mecánicas], B14) &gt; 0, Herrramientas_mecánicas2165109152[[#Headers],[Herramientas_mecánicas]],
    COUNTIF(AH14:AH20, B14) &gt; 0, Herramientas_hidráulicas2266110153[[#Headers],[Herramientas_hidráulicas]],
    COUNTIF(EPP_2367111154[SPCC], B14) &gt; 0, EPP_2367111154[[#Headers],[SPCC]],
   COUNTIF(Herramientas_de_izaje2468112155[Herramientas_de_izaje], B14) &gt; 0, Herramientas_de_izaje2468112155[[#Headers],[Herramientas_de_izaje]],
COUNTIF(Tabla162670114157[Equipos], B14) &gt; 0, Tabla162670114157[[#Headers],[Equipos]],
    TRUE, "Sin clasificación"
)</f>
        <v>Herramientas_eléctricas</v>
      </c>
      <c r="F14" s="15"/>
      <c r="G14" s="15"/>
      <c r="H14" s="15"/>
      <c r="I14" s="15" t="s">
        <v>627</v>
      </c>
      <c r="J14" s="47" t="s">
        <v>729</v>
      </c>
      <c r="K14">
        <v>13070</v>
      </c>
      <c r="L14" s="47" t="s">
        <v>730</v>
      </c>
      <c r="M14" s="47" t="str">
        <f>_xlfn.LET(
    _xlpm.itemBuscado, B14,
    _xlpm.areaBuscada, C14,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TEXT(COUNTIF($C$2:C14, _xlpm.areaBuscada), "0000"),
    _xlpm.codItem &amp; "-" &amp; _xlpm.codArea &amp; "-" &amp; _xlpm.secuencia
)</f>
        <v>ZE-SO-FL-0005</v>
      </c>
      <c r="O14" s="15"/>
      <c r="Q14" s="48"/>
      <c r="AD14" t="s">
        <v>84</v>
      </c>
      <c r="AF14" s="15" t="s">
        <v>85</v>
      </c>
      <c r="AG14" t="s">
        <v>86</v>
      </c>
      <c r="AM14" s="18" t="s">
        <v>87</v>
      </c>
    </row>
    <row r="15" spans="2:67" ht="43.95" customHeight="1" x14ac:dyDescent="0.3">
      <c r="B15" t="s">
        <v>13</v>
      </c>
      <c r="C15" s="11" t="s">
        <v>173</v>
      </c>
      <c r="E15" s="11" t="str" cm="1">
        <f t="array" ref="E15">_xlfn.IFS(
    COUNTIF(Herramientas_eléctricas1862106149[Herramientas_eléctricas], B15) &gt; 0, Herramientas_eléctricas1862106149[[#Headers],[Herramientas_eléctricas]],
    COUNTIF(Herramientas_neumáticas1963107150[Herramientas_neumáticas], B15) &gt; 0, Herramientas_neumáticas1963107150[[#Headers],[Herramientas_neumáticas]],
    COUNTIF(Herramientas_de_medición2064108151[Herramientas_de_medición], B15) &gt; 0, Herramientas_de_medición2064108151[[#Headers],[Herramientas_de_medición]],
    COUNTIF(Herrramientas_mecánicas2165109152[Herramientas_mecánicas], B15) &gt; 0, Herrramientas_mecánicas2165109152[[#Headers],[Herramientas_mecánicas]],
    COUNTIF(AH15:AH21, B15) &gt; 0, Herramientas_hidráulicas2266110153[[#Headers],[Herramientas_hidráulicas]],
    COUNTIF(EPP_2367111154[SPCC], B15) &gt; 0, EPP_2367111154[[#Headers],[SPCC]],
   COUNTIF(Herramientas_de_izaje2468112155[Herramientas_de_izaje], B15) &gt; 0, Herramientas_de_izaje2468112155[[#Headers],[Herramientas_de_izaje]],
COUNTIF(Tabla162670114157[Equipos], B15) &gt; 0, Tabla162670114157[[#Headers],[Equipos]],
    TRUE, "Sin clasificación"
)</f>
        <v>Herramientas_eléctricas</v>
      </c>
      <c r="F15" s="15"/>
      <c r="G15" s="15" t="s">
        <v>616</v>
      </c>
      <c r="H15" s="15">
        <v>25</v>
      </c>
      <c r="I15" s="15" t="s">
        <v>731</v>
      </c>
      <c r="J15" s="47" t="s">
        <v>732</v>
      </c>
      <c r="K15">
        <v>250</v>
      </c>
      <c r="L15" s="47" t="s">
        <v>733</v>
      </c>
      <c r="M15" s="47" t="str">
        <f>_xlfn.LET(
    _xlpm.itemBuscado, B15,
    _xlpm.areaBuscada, C15,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TEXT(COUNTIF($C$2:C15, _xlpm.areaBuscada), "0000"),
    _xlpm.codItem &amp; "-" &amp; _xlpm.codArea &amp; "-" &amp; _xlpm.secuencia
)</f>
        <v>ZE-SO-FL-0006</v>
      </c>
      <c r="O15" s="15" t="s">
        <v>737</v>
      </c>
      <c r="Q15" s="48"/>
      <c r="AD15" t="s">
        <v>88</v>
      </c>
      <c r="AF15" t="s">
        <v>89</v>
      </c>
      <c r="AG15" t="s">
        <v>90</v>
      </c>
      <c r="AM15" s="21" t="s">
        <v>91</v>
      </c>
      <c r="AP15" s="11"/>
    </row>
    <row r="16" spans="2:67" x14ac:dyDescent="0.3">
      <c r="B16" t="s">
        <v>13</v>
      </c>
      <c r="C16" s="11" t="s">
        <v>173</v>
      </c>
      <c r="E16" s="11" t="str" cm="1">
        <f t="array" ref="E16">_xlfn.IFS(
    COUNTIF(Herramientas_eléctricas1862106149[Herramientas_eléctricas], B16) &gt; 0, Herramientas_eléctricas1862106149[[#Headers],[Herramientas_eléctricas]],
    COUNTIF(Herramientas_neumáticas1963107150[Herramientas_neumáticas], B16) &gt; 0, Herramientas_neumáticas1963107150[[#Headers],[Herramientas_neumáticas]],
    COUNTIF(Herramientas_de_medición2064108151[Herramientas_de_medición], B16) &gt; 0, Herramientas_de_medición2064108151[[#Headers],[Herramientas_de_medición]],
    COUNTIF(Herrramientas_mecánicas2165109152[Herramientas_mecánicas], B16) &gt; 0, Herrramientas_mecánicas2165109152[[#Headers],[Herramientas_mecánicas]],
    COUNTIF(AH16:AH22, B16) &gt; 0, Herramientas_hidráulicas2266110153[[#Headers],[Herramientas_hidráulicas]],
    COUNTIF(EPP_2367111154[SPCC], B16) &gt; 0, EPP_2367111154[[#Headers],[SPCC]],
   COUNTIF(Herramientas_de_izaje2468112155[Herramientas_de_izaje], B16) &gt; 0, Herramientas_de_izaje2468112155[[#Headers],[Herramientas_de_izaje]],
COUNTIF(Tabla162670114157[Equipos], B16) &gt; 0, Tabla162670114157[[#Headers],[Equipos]],
    TRUE, "Sin clasificación"
)</f>
        <v>Herramientas_eléctricas</v>
      </c>
      <c r="F16" s="15"/>
      <c r="G16" s="15"/>
      <c r="H16" s="15"/>
      <c r="I16" s="15" t="s">
        <v>734</v>
      </c>
      <c r="J16" s="47" t="s">
        <v>735</v>
      </c>
      <c r="L16" s="47" t="s">
        <v>736</v>
      </c>
      <c r="M16" s="47" t="str">
        <f>_xlfn.LET(
    _xlpm.itemBuscado, B16,
    _xlpm.areaBuscada, C16,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TEXT(COUNTIF($C$2:C16, _xlpm.areaBuscada), "0000"),
    _xlpm.codItem &amp; "-" &amp; _xlpm.codArea &amp; "-" &amp; _xlpm.secuencia
)</f>
        <v>ZE-SO-FL-0007</v>
      </c>
      <c r="O16" s="15"/>
      <c r="Q16" s="48"/>
      <c r="AD16" t="s">
        <v>41</v>
      </c>
      <c r="AF16" t="s">
        <v>62</v>
      </c>
      <c r="AG16" s="11" t="s">
        <v>92</v>
      </c>
      <c r="AH16" s="22"/>
      <c r="AM16" s="23" t="s">
        <v>93</v>
      </c>
    </row>
    <row r="17" spans="2:42" x14ac:dyDescent="0.3">
      <c r="B17" t="s">
        <v>13</v>
      </c>
      <c r="C17" s="11" t="s">
        <v>173</v>
      </c>
      <c r="E17" s="11" t="str" cm="1">
        <f t="array" ref="E17">_xlfn.IFS(
    COUNTIF(Herramientas_eléctricas1862106149[Herramientas_eléctricas], B17) &gt; 0, Herramientas_eléctricas1862106149[[#Headers],[Herramientas_eléctricas]],
    COUNTIF(Herramientas_neumáticas1963107150[Herramientas_neumáticas], B17) &gt; 0, Herramientas_neumáticas1963107150[[#Headers],[Herramientas_neumáticas]],
    COUNTIF(Herramientas_de_medición2064108151[Herramientas_de_medición], B17) &gt; 0, Herramientas_de_medición2064108151[[#Headers],[Herramientas_de_medición]],
    COUNTIF(Herrramientas_mecánicas2165109152[Herramientas_mecánicas], B17) &gt; 0, Herrramientas_mecánicas2165109152[[#Headers],[Herramientas_mecánicas]],
    COUNTIF(AH17:AH23, B17) &gt; 0, Herramientas_hidráulicas2266110153[[#Headers],[Herramientas_hidráulicas]],
    COUNTIF(EPP_2367111154[SPCC], B17) &gt; 0, EPP_2367111154[[#Headers],[SPCC]],
   COUNTIF(Herramientas_de_izaje2468112155[Herramientas_de_izaje], B17) &gt; 0, Herramientas_de_izaje2468112155[[#Headers],[Herramientas_de_izaje]],
COUNTIF(Tabla162670114157[Equipos], B17) &gt; 0, Tabla162670114157[[#Headers],[Equipos]],
    TRUE, "Sin clasificación"
)</f>
        <v>Herramientas_eléctricas</v>
      </c>
      <c r="F17" s="15"/>
      <c r="G17" s="15" t="s">
        <v>741</v>
      </c>
      <c r="H17" s="15" t="s">
        <v>740</v>
      </c>
      <c r="I17" s="15" t="s">
        <v>627</v>
      </c>
      <c r="J17" s="47" t="s">
        <v>738</v>
      </c>
      <c r="K17">
        <v>20</v>
      </c>
      <c r="L17" s="47" t="s">
        <v>739</v>
      </c>
      <c r="M17" s="47" t="str">
        <f>_xlfn.LET(
    _xlpm.itemBuscado, B17,
    _xlpm.areaBuscada, C17,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TEXT(COUNTIF($C$2:C17, _xlpm.areaBuscada), "0000"),
    _xlpm.codItem &amp; "-" &amp; _xlpm.codArea &amp; "-" &amp; _xlpm.secuencia
)</f>
        <v>ZE-SO-FL-0008</v>
      </c>
      <c r="O17" s="15"/>
      <c r="Q17" s="48"/>
      <c r="AD17" s="24" t="s">
        <v>94</v>
      </c>
      <c r="AG17" s="15" t="s">
        <v>95</v>
      </c>
      <c r="AH17" s="14"/>
      <c r="AM17" s="25" t="s">
        <v>96</v>
      </c>
      <c r="AP17" s="11"/>
    </row>
    <row r="18" spans="2:42" x14ac:dyDescent="0.3">
      <c r="B18" t="s">
        <v>13</v>
      </c>
      <c r="C18" s="11" t="s">
        <v>173</v>
      </c>
      <c r="E18" s="11" t="str" cm="1">
        <f t="array" ref="E18">_xlfn.IFS(
    COUNTIF(Herramientas_eléctricas1862106149[Herramientas_eléctricas], B18) &gt; 0, Herramientas_eléctricas1862106149[[#Headers],[Herramientas_eléctricas]],
    COUNTIF(Herramientas_neumáticas1963107150[Herramientas_neumáticas], B18) &gt; 0, Herramientas_neumáticas1963107150[[#Headers],[Herramientas_neumáticas]],
    COUNTIF(Herramientas_de_medición2064108151[Herramientas_de_medición], B18) &gt; 0, Herramientas_de_medición2064108151[[#Headers],[Herramientas_de_medición]],
    COUNTIF(Herrramientas_mecánicas2165109152[Herramientas_mecánicas], B18) &gt; 0, Herrramientas_mecánicas2165109152[[#Headers],[Herramientas_mecánicas]],
    COUNTIF(AH18:AH24, B18) &gt; 0, Herramientas_hidráulicas2266110153[[#Headers],[Herramientas_hidráulicas]],
    COUNTIF(EPP_2367111154[SPCC], B18) &gt; 0, EPP_2367111154[[#Headers],[SPCC]],
   COUNTIF(Herramientas_de_izaje2468112155[Herramientas_de_izaje], B18) &gt; 0, Herramientas_de_izaje2468112155[[#Headers],[Herramientas_de_izaje]],
COUNTIF(Tabla162670114157[Equipos], B18) &gt; 0, Tabla162670114157[[#Headers],[Equipos]],
    TRUE, "Sin clasificación"
)</f>
        <v>Herramientas_eléctricas</v>
      </c>
      <c r="F18" s="15"/>
      <c r="G18" s="15" t="s">
        <v>744</v>
      </c>
      <c r="H18" s="15" t="s">
        <v>745</v>
      </c>
      <c r="I18" s="15" t="s">
        <v>742</v>
      </c>
      <c r="J18" s="47" t="s">
        <v>743</v>
      </c>
      <c r="L18" s="47"/>
      <c r="M18" s="47" t="str">
        <f>_xlfn.LET(
    _xlpm.itemBuscado, B18,
    _xlpm.areaBuscada, C18,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TEXT(COUNTIF($C$2:C18, _xlpm.areaBuscada), "0000"),
    _xlpm.codItem &amp; "-" &amp; _xlpm.codArea &amp; "-" &amp; _xlpm.secuencia
)</f>
        <v>ZE-SO-FL-0009</v>
      </c>
      <c r="O18" s="15"/>
      <c r="Q18" s="48"/>
      <c r="AD18" t="s">
        <v>97</v>
      </c>
      <c r="AG18" t="s">
        <v>98</v>
      </c>
      <c r="AM18" s="25" t="s">
        <v>99</v>
      </c>
    </row>
    <row r="19" spans="2:42" x14ac:dyDescent="0.3">
      <c r="B19" t="s">
        <v>13</v>
      </c>
      <c r="C19" s="11" t="s">
        <v>173</v>
      </c>
      <c r="E19" s="11" t="str" cm="1">
        <f t="array" ref="E19">_xlfn.IFS(
    COUNTIF(Herramientas_eléctricas1862106149[Herramientas_eléctricas], B19) &gt; 0, Herramientas_eléctricas1862106149[[#Headers],[Herramientas_eléctricas]],
    COUNTIF(Herramientas_neumáticas1963107150[Herramientas_neumáticas], B19) &gt; 0, Herramientas_neumáticas1963107150[[#Headers],[Herramientas_neumáticas]],
    COUNTIF(Herramientas_de_medición2064108151[Herramientas_de_medición], B19) &gt; 0, Herramientas_de_medición2064108151[[#Headers],[Herramientas_de_medición]],
    COUNTIF(Herrramientas_mecánicas2165109152[Herramientas_mecánicas], B19) &gt; 0, Herrramientas_mecánicas2165109152[[#Headers],[Herramientas_mecánicas]],
    COUNTIF(AH19:AH25, B19) &gt; 0, Herramientas_hidráulicas2266110153[[#Headers],[Herramientas_hidráulicas]],
    COUNTIF(EPP_2367111154[SPCC], B19) &gt; 0, EPP_2367111154[[#Headers],[SPCC]],
   COUNTIF(Herramientas_de_izaje2468112155[Herramientas_de_izaje], B19) &gt; 0, Herramientas_de_izaje2468112155[[#Headers],[Herramientas_de_izaje]],
COUNTIF(Tabla162670114157[Equipos], B19) &gt; 0, Tabla162670114157[[#Headers],[Equipos]],
    TRUE, "Sin clasificación"
)</f>
        <v>Herramientas_eléctricas</v>
      </c>
      <c r="F19" s="15"/>
      <c r="G19" s="15" t="s">
        <v>744</v>
      </c>
      <c r="H19" s="15" t="s">
        <v>745</v>
      </c>
      <c r="I19" s="15" t="s">
        <v>742</v>
      </c>
      <c r="J19" s="47" t="s">
        <v>743</v>
      </c>
      <c r="L19" s="47"/>
      <c r="M19" s="47" t="str">
        <f>_xlfn.LET(
    _xlpm.itemBuscado, B19,
    _xlpm.areaBuscada, C19,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TEXT(COUNTIF($C$2:C19, _xlpm.areaBuscada), "0000"),
    _xlpm.codItem &amp; "-" &amp; _xlpm.codArea &amp; "-" &amp; _xlpm.secuencia
)</f>
        <v>ZE-SO-FL-0010</v>
      </c>
      <c r="O19" s="15"/>
      <c r="Q19" s="48"/>
      <c r="AD19" t="s">
        <v>42</v>
      </c>
      <c r="AG19" s="11" t="s">
        <v>41</v>
      </c>
      <c r="AM19" t="s">
        <v>100</v>
      </c>
    </row>
    <row r="20" spans="2:42" x14ac:dyDescent="0.3">
      <c r="B20" t="s">
        <v>13</v>
      </c>
      <c r="C20" s="11" t="s">
        <v>171</v>
      </c>
      <c r="E20" s="11" t="str" cm="1">
        <f t="array" ref="E20">_xlfn.IFS(
    COUNTIF(Herramientas_eléctricas1862106149[Herramientas_eléctricas], B20) &gt; 0, Herramientas_eléctricas1862106149[[#Headers],[Herramientas_eléctricas]],
    COUNTIF(Herramientas_neumáticas1963107150[Herramientas_neumáticas], B20) &gt; 0, Herramientas_neumáticas1963107150[[#Headers],[Herramientas_neumáticas]],
    COUNTIF(Herramientas_de_medición2064108151[Herramientas_de_medición], B20) &gt; 0, Herramientas_de_medición2064108151[[#Headers],[Herramientas_de_medición]],
    COUNTIF(Herrramientas_mecánicas2165109152[Herramientas_mecánicas], B20) &gt; 0, Herrramientas_mecánicas2165109152[[#Headers],[Herramientas_mecánicas]],
    COUNTIF(AH20:AH26, B20) &gt; 0, Herramientas_hidráulicas2266110153[[#Headers],[Herramientas_hidráulicas]],
    COUNTIF(EPP_2367111154[SPCC], B20) &gt; 0, EPP_2367111154[[#Headers],[SPCC]],
   COUNTIF(Herramientas_de_izaje2468112155[Herramientas_de_izaje], B20) &gt; 0, Herramientas_de_izaje2468112155[[#Headers],[Herramientas_de_izaje]],
COUNTIF(Tabla162670114157[Equipos], B20) &gt; 0, Tabla162670114157[[#Headers],[Equipos]],
    TRUE, "Sin clasificación"
)</f>
        <v>Herramientas_eléctricas</v>
      </c>
      <c r="F20" s="15"/>
      <c r="G20" s="15" t="s">
        <v>758</v>
      </c>
      <c r="H20" s="15" t="s">
        <v>759</v>
      </c>
      <c r="I20" s="15" t="s">
        <v>627</v>
      </c>
      <c r="J20" s="47" t="s">
        <v>756</v>
      </c>
      <c r="K20" t="s">
        <v>760</v>
      </c>
      <c r="L20" s="47" t="s">
        <v>757</v>
      </c>
      <c r="M20" s="47" t="str">
        <f>_xlfn.LET(
    _xlpm.itemBuscado, B20,
    _xlpm.areaBuscada, C20,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TEXT(COUNTIF($C$2:C20, _xlpm.areaBuscada), "0000"),
    _xlpm.codItem &amp; "-" &amp; _xlpm.codArea &amp; "-" &amp; _xlpm.secuencia
)</f>
        <v>ZE-SO-CH-0001</v>
      </c>
      <c r="O20" s="15"/>
      <c r="Q20" s="48" t="s">
        <v>224</v>
      </c>
      <c r="AD20" t="s">
        <v>101</v>
      </c>
      <c r="AG20" t="s">
        <v>102</v>
      </c>
      <c r="AM20" s="26" t="s">
        <v>103</v>
      </c>
    </row>
    <row r="21" spans="2:42" x14ac:dyDescent="0.3">
      <c r="B21" t="s">
        <v>13</v>
      </c>
      <c r="C21" s="11" t="s">
        <v>171</v>
      </c>
      <c r="E21" s="11" t="str" cm="1">
        <f t="array" ref="E21">_xlfn.IFS(
    COUNTIF(Herramientas_eléctricas1862106149[Herramientas_eléctricas], B21) &gt; 0, Herramientas_eléctricas1862106149[[#Headers],[Herramientas_eléctricas]],
    COUNTIF(Herramientas_neumáticas1963107150[Herramientas_neumáticas], B21) &gt; 0, Herramientas_neumáticas1963107150[[#Headers],[Herramientas_neumáticas]],
    COUNTIF(Herramientas_de_medición2064108151[Herramientas_de_medición], B21) &gt; 0, Herramientas_de_medición2064108151[[#Headers],[Herramientas_de_medición]],
    COUNTIF(Herrramientas_mecánicas2165109152[Herramientas_mecánicas], B21) &gt; 0, Herrramientas_mecánicas2165109152[[#Headers],[Herramientas_mecánicas]],
    COUNTIF(AH21:AH27, B21) &gt; 0, Herramientas_hidráulicas2266110153[[#Headers],[Herramientas_hidráulicas]],
    COUNTIF(EPP_2367111154[SPCC], B21) &gt; 0, EPP_2367111154[[#Headers],[SPCC]],
   COUNTIF(Herramientas_de_izaje2468112155[Herramientas_de_izaje], B21) &gt; 0, Herramientas_de_izaje2468112155[[#Headers],[Herramientas_de_izaje]],
COUNTIF(Tabla162670114157[Equipos], B21) &gt; 0, Tabla162670114157[[#Headers],[Equipos]],
    TRUE, "Sin clasificación"
)</f>
        <v>Herramientas_eléctricas</v>
      </c>
      <c r="F21" s="15"/>
      <c r="G21" s="15" t="s">
        <v>761</v>
      </c>
      <c r="H21" s="15" t="s">
        <v>762</v>
      </c>
      <c r="I21" s="15" t="s">
        <v>638</v>
      </c>
      <c r="J21" s="47" t="s">
        <v>763</v>
      </c>
      <c r="K21" t="s">
        <v>764</v>
      </c>
      <c r="L21" s="47"/>
      <c r="M21" s="47" t="str">
        <f>_xlfn.LET(
    _xlpm.itemBuscado, B21,
    _xlpm.areaBuscada, C21,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TEXT(COUNTIF($C$2:C21, _xlpm.areaBuscada), "0000"),
    _xlpm.codItem &amp; "-" &amp; _xlpm.codArea &amp; "-" &amp; _xlpm.secuencia
)</f>
        <v>ZE-SO-CH-0002</v>
      </c>
      <c r="O21" s="15"/>
      <c r="Q21" s="48"/>
      <c r="AD21" s="6"/>
      <c r="AG21" s="6" t="s">
        <v>20</v>
      </c>
    </row>
    <row r="22" spans="2:42" x14ac:dyDescent="0.3">
      <c r="B22" t="s">
        <v>13</v>
      </c>
      <c r="C22" s="11" t="s">
        <v>171</v>
      </c>
      <c r="E22" s="11" t="str" cm="1">
        <f t="array" ref="E22">_xlfn.IFS(
    COUNTIF(Herramientas_eléctricas1862106149[Herramientas_eléctricas], B22) &gt; 0, Herramientas_eléctricas1862106149[[#Headers],[Herramientas_eléctricas]],
    COUNTIF(Herramientas_neumáticas1963107150[Herramientas_neumáticas], B22) &gt; 0, Herramientas_neumáticas1963107150[[#Headers],[Herramientas_neumáticas]],
    COUNTIF(Herramientas_de_medición2064108151[Herramientas_de_medición], B22) &gt; 0, Herramientas_de_medición2064108151[[#Headers],[Herramientas_de_medición]],
    COUNTIF(Herrramientas_mecánicas2165109152[Herramientas_mecánicas], B22) &gt; 0, Herrramientas_mecánicas2165109152[[#Headers],[Herramientas_mecánicas]],
    COUNTIF(AH22:AH28, B22) &gt; 0, Herramientas_hidráulicas2266110153[[#Headers],[Herramientas_hidráulicas]],
    COUNTIF(EPP_2367111154[SPCC], B22) &gt; 0, EPP_2367111154[[#Headers],[SPCC]],
   COUNTIF(Herramientas_de_izaje2468112155[Herramientas_de_izaje], B22) &gt; 0, Herramientas_de_izaje2468112155[[#Headers],[Herramientas_de_izaje]],
COUNTIF(Tabla162670114157[Equipos], B22) &gt; 0, Tabla162670114157[[#Headers],[Equipos]],
    TRUE, "Sin clasificación"
)</f>
        <v>Herramientas_eléctricas</v>
      </c>
      <c r="F22" s="15"/>
      <c r="G22" s="15" t="s">
        <v>765</v>
      </c>
      <c r="H22" s="15" t="s">
        <v>766</v>
      </c>
      <c r="I22" s="15" t="s">
        <v>627</v>
      </c>
      <c r="J22" s="47" t="s">
        <v>729</v>
      </c>
      <c r="K22" t="s">
        <v>767</v>
      </c>
      <c r="L22" s="47"/>
      <c r="M22" s="47" t="str">
        <f>_xlfn.LET(
    _xlpm.itemBuscado, B22,
    _xlpm.areaBuscada, C22,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TEXT(COUNTIF($C$2:C22, _xlpm.areaBuscada), "0000"),
    _xlpm.codItem &amp; "-" &amp; _xlpm.codArea &amp; "-" &amp; _xlpm.secuencia
)</f>
        <v>ZE-SO-CH-0003</v>
      </c>
      <c r="O22" s="15"/>
      <c r="Q22" s="48"/>
    </row>
    <row r="23" spans="2:42" x14ac:dyDescent="0.3">
      <c r="B23" t="s">
        <v>13</v>
      </c>
      <c r="C23" s="11" t="s">
        <v>171</v>
      </c>
      <c r="E23" s="11" t="str" cm="1">
        <f t="array" ref="E23">_xlfn.IFS(
    COUNTIF(Herramientas_eléctricas1862106149[Herramientas_eléctricas], B23) &gt; 0, Herramientas_eléctricas1862106149[[#Headers],[Herramientas_eléctricas]],
    COUNTIF(Herramientas_neumáticas1963107150[Herramientas_neumáticas], B23) &gt; 0, Herramientas_neumáticas1963107150[[#Headers],[Herramientas_neumáticas]],
    COUNTIF(Herramientas_de_medición2064108151[Herramientas_de_medición], B23) &gt; 0, Herramientas_de_medición2064108151[[#Headers],[Herramientas_de_medición]],
    COUNTIF(Herrramientas_mecánicas2165109152[Herramientas_mecánicas], B23) &gt; 0, Herrramientas_mecánicas2165109152[[#Headers],[Herramientas_mecánicas]],
    COUNTIF(AH23:AH29, B23) &gt; 0, Herramientas_hidráulicas2266110153[[#Headers],[Herramientas_hidráulicas]],
    COUNTIF(EPP_2367111154[SPCC], B23) &gt; 0, EPP_2367111154[[#Headers],[SPCC]],
   COUNTIF(Herramientas_de_izaje2468112155[Herramientas_de_izaje], B23) &gt; 0, Herramientas_de_izaje2468112155[[#Headers],[Herramientas_de_izaje]],
COUNTIF(Tabla162670114157[Equipos], B23) &gt; 0, Tabla162670114157[[#Headers],[Equipos]],
    TRUE, "Sin clasificación"
)</f>
        <v>Herramientas_eléctricas</v>
      </c>
      <c r="F23" s="15"/>
      <c r="G23" s="15" t="s">
        <v>769</v>
      </c>
      <c r="H23" s="15" t="s">
        <v>770</v>
      </c>
      <c r="I23" s="15" t="s">
        <v>734</v>
      </c>
      <c r="J23" s="47" t="s">
        <v>768</v>
      </c>
      <c r="K23" t="s">
        <v>771</v>
      </c>
      <c r="L23" s="47"/>
      <c r="M23" s="47" t="str">
        <f>_xlfn.LET(
    _xlpm.itemBuscado, B23,
    _xlpm.areaBuscada, C23,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TEXT(COUNTIF($C$2:C23, _xlpm.areaBuscada), "0000"),
    _xlpm.codItem &amp; "-" &amp; _xlpm.codArea &amp; "-" &amp; _xlpm.secuencia
)</f>
        <v>ZE-SO-CH-0004</v>
      </c>
      <c r="O23" s="15"/>
      <c r="Q23" s="48"/>
    </row>
    <row r="24" spans="2:42" x14ac:dyDescent="0.3">
      <c r="B24" t="s">
        <v>13</v>
      </c>
      <c r="C24" s="11" t="s">
        <v>171</v>
      </c>
      <c r="E24" s="11" t="str" cm="1">
        <f t="array" ref="E24">_xlfn.IFS(
    COUNTIF(Herramientas_eléctricas1862106149[Herramientas_eléctricas], B24) &gt; 0, Herramientas_eléctricas1862106149[[#Headers],[Herramientas_eléctricas]],
    COUNTIF(Herramientas_neumáticas1963107150[Herramientas_neumáticas], B24) &gt; 0, Herramientas_neumáticas1963107150[[#Headers],[Herramientas_neumáticas]],
    COUNTIF(Herramientas_de_medición2064108151[Herramientas_de_medición], B24) &gt; 0, Herramientas_de_medición2064108151[[#Headers],[Herramientas_de_medición]],
    COUNTIF(Herrramientas_mecánicas2165109152[Herramientas_mecánicas], B24) &gt; 0, Herrramientas_mecánicas2165109152[[#Headers],[Herramientas_mecánicas]],
    COUNTIF(AH24:AH30, B24) &gt; 0, Herramientas_hidráulicas2266110153[[#Headers],[Herramientas_hidráulicas]],
    COUNTIF(EPP_2367111154[SPCC], B24) &gt; 0, EPP_2367111154[[#Headers],[SPCC]],
   COUNTIF(Herramientas_de_izaje2468112155[Herramientas_de_izaje], B24) &gt; 0, Herramientas_de_izaje2468112155[[#Headers],[Herramientas_de_izaje]],
COUNTIF(Tabla162670114157[Equipos], B24) &gt; 0, Tabla162670114157[[#Headers],[Equipos]],
    TRUE, "Sin clasificación"
)</f>
        <v>Herramientas_eléctricas</v>
      </c>
      <c r="F24" s="15"/>
      <c r="G24" s="15"/>
      <c r="H24" s="15"/>
      <c r="I24" s="15" t="s">
        <v>627</v>
      </c>
      <c r="J24" s="47" t="s">
        <v>772</v>
      </c>
      <c r="K24" t="s">
        <v>773</v>
      </c>
      <c r="L24" s="47"/>
      <c r="M24" s="47" t="str">
        <f>_xlfn.LET(
    _xlpm.itemBuscado, B24,
    _xlpm.areaBuscada, C24,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TEXT(COUNTIF($C$2:C24, _xlpm.areaBuscada), "0000"),
    _xlpm.codItem &amp; "-" &amp; _xlpm.codArea &amp; "-" &amp; _xlpm.secuencia
)</f>
        <v>ZE-SO-CH-0005</v>
      </c>
      <c r="O24" s="15"/>
      <c r="Q24" s="48" t="s">
        <v>224</v>
      </c>
      <c r="AN24" s="18"/>
    </row>
    <row r="25" spans="2:42" x14ac:dyDescent="0.3">
      <c r="B25" t="s">
        <v>13</v>
      </c>
      <c r="C25" s="11" t="s">
        <v>171</v>
      </c>
      <c r="E25" s="11" t="str" cm="1">
        <f t="array" ref="E25">_xlfn.IFS(
    COUNTIF(Herramientas_eléctricas1862106149[Herramientas_eléctricas], B25) &gt; 0, Herramientas_eléctricas1862106149[[#Headers],[Herramientas_eléctricas]],
    COUNTIF(Herramientas_neumáticas1963107150[Herramientas_neumáticas], B25) &gt; 0, Herramientas_neumáticas1963107150[[#Headers],[Herramientas_neumáticas]],
    COUNTIF(Herramientas_de_medición2064108151[Herramientas_de_medición], B25) &gt; 0, Herramientas_de_medición2064108151[[#Headers],[Herramientas_de_medición]],
    COUNTIF(Herrramientas_mecánicas2165109152[Herramientas_mecánicas], B25) &gt; 0, Herrramientas_mecánicas2165109152[[#Headers],[Herramientas_mecánicas]],
    COUNTIF(AH25:AH31, B25) &gt; 0, Herramientas_hidráulicas2266110153[[#Headers],[Herramientas_hidráulicas]],
    COUNTIF(EPP_2367111154[SPCC], B25) &gt; 0, EPP_2367111154[[#Headers],[SPCC]],
   COUNTIF(Herramientas_de_izaje2468112155[Herramientas_de_izaje], B25) &gt; 0, Herramientas_de_izaje2468112155[[#Headers],[Herramientas_de_izaje]],
COUNTIF(Tabla162670114157[Equipos], B25) &gt; 0, Tabla162670114157[[#Headers],[Equipos]],
    TRUE, "Sin clasificación"
)</f>
        <v>Herramientas_eléctricas</v>
      </c>
      <c r="F25" s="15"/>
      <c r="G25" s="15"/>
      <c r="H25" s="15"/>
      <c r="I25" s="15" t="s">
        <v>627</v>
      </c>
      <c r="J25" s="47" t="s">
        <v>772</v>
      </c>
      <c r="K25" t="s">
        <v>774</v>
      </c>
      <c r="L25" s="47"/>
      <c r="M25" s="47" t="str">
        <f>_xlfn.LET(
    _xlpm.itemBuscado, B25,
    _xlpm.areaBuscada, C25,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TEXT(COUNTIF($C$2:C25, _xlpm.areaBuscada), "0000"),
    _xlpm.codItem &amp; "-" &amp; _xlpm.codArea &amp; "-" &amp; _xlpm.secuencia
)</f>
        <v>ZE-SO-CH-0006</v>
      </c>
      <c r="O25" s="15"/>
      <c r="Q25" s="48"/>
      <c r="AN25" s="22"/>
    </row>
    <row r="26" spans="2:42" x14ac:dyDescent="0.3">
      <c r="B26" t="s">
        <v>13</v>
      </c>
      <c r="C26" s="11" t="s">
        <v>172</v>
      </c>
      <c r="E26" s="11" t="str" cm="1">
        <f t="array" ref="E26">_xlfn.IFS(
    COUNTIF(Herramientas_eléctricas1862106149[Herramientas_eléctricas], B26) &gt; 0, Herramientas_eléctricas1862106149[[#Headers],[Herramientas_eléctricas]],
    COUNTIF(Herramientas_neumáticas1963107150[Herramientas_neumáticas], B26) &gt; 0, Herramientas_neumáticas1963107150[[#Headers],[Herramientas_neumáticas]],
    COUNTIF(Herramientas_de_medición2064108151[Herramientas_de_medición], B26) &gt; 0, Herramientas_de_medición2064108151[[#Headers],[Herramientas_de_medición]],
    COUNTIF(Herrramientas_mecánicas2165109152[Herramientas_mecánicas], B26) &gt; 0, Herrramientas_mecánicas2165109152[[#Headers],[Herramientas_mecánicas]],
    COUNTIF(AH26:AH32, B26) &gt; 0, Herramientas_hidráulicas2266110153[[#Headers],[Herramientas_hidráulicas]],
    COUNTIF(EPP_2367111154[SPCC], B26) &gt; 0, EPP_2367111154[[#Headers],[SPCC]],
   COUNTIF(Herramientas_de_izaje2468112155[Herramientas_de_izaje], B26) &gt; 0, Herramientas_de_izaje2468112155[[#Headers],[Herramientas_de_izaje]],
COUNTIF(Tabla162670114157[Equipos], B26) &gt; 0, Tabla162670114157[[#Headers],[Equipos]],
    TRUE, "Sin clasificación"
)</f>
        <v>Herramientas_eléctricas</v>
      </c>
      <c r="F26" s="15"/>
      <c r="G26" s="15" t="s">
        <v>824</v>
      </c>
      <c r="H26" s="15" t="s">
        <v>823</v>
      </c>
      <c r="I26" s="15" t="s">
        <v>638</v>
      </c>
      <c r="J26" s="47" t="s">
        <v>821</v>
      </c>
      <c r="K26" t="s">
        <v>822</v>
      </c>
      <c r="L26" s="47"/>
      <c r="M26" s="47" t="str">
        <f>_xlfn.LET(
    _xlpm.itemBuscado, B26,
    _xlpm.areaBuscada, C26,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TEXT(COUNTIF($C$2:C26, _xlpm.areaBuscada), "0000"),
    _xlpm.codItem &amp; "-" &amp; _xlpm.codArea &amp; "-" &amp; _xlpm.secuencia
)</f>
        <v>ZE-SO-ML-0001</v>
      </c>
      <c r="O26" s="15"/>
      <c r="Q26" s="48" t="s">
        <v>224</v>
      </c>
      <c r="AE26" s="18"/>
      <c r="AO26" t="s">
        <v>235</v>
      </c>
    </row>
    <row r="27" spans="2:42" ht="28.8" x14ac:dyDescent="0.3">
      <c r="B27" t="s">
        <v>13</v>
      </c>
      <c r="C27" s="11" t="s">
        <v>172</v>
      </c>
      <c r="E27" s="11" t="str" cm="1">
        <f t="array" ref="E27">_xlfn.IFS(
    COUNTIF(Herramientas_eléctricas1862106149[Herramientas_eléctricas], B27) &gt; 0, Herramientas_eléctricas1862106149[[#Headers],[Herramientas_eléctricas]],
    COUNTIF(Herramientas_neumáticas1963107150[Herramientas_neumáticas], B27) &gt; 0, Herramientas_neumáticas1963107150[[#Headers],[Herramientas_neumáticas]],
    COUNTIF(Herramientas_de_medición2064108151[Herramientas_de_medición], B27) &gt; 0, Herramientas_de_medición2064108151[[#Headers],[Herramientas_de_medición]],
    COUNTIF(Herrramientas_mecánicas2165109152[Herramientas_mecánicas], B27) &gt; 0, Herrramientas_mecánicas2165109152[[#Headers],[Herramientas_mecánicas]],
    COUNTIF(AH27:AH33, B27) &gt; 0, Herramientas_hidráulicas2266110153[[#Headers],[Herramientas_hidráulicas]],
    COUNTIF(EPP_2367111154[SPCC], B27) &gt; 0, EPP_2367111154[[#Headers],[SPCC]],
   COUNTIF(Herramientas_de_izaje2468112155[Herramientas_de_izaje], B27) &gt; 0, Herramientas_de_izaje2468112155[[#Headers],[Herramientas_de_izaje]],
COUNTIF(Tabla162670114157[Equipos], B27) &gt; 0, Tabla162670114157[[#Headers],[Equipos]],
    TRUE, "Sin clasificación"
)</f>
        <v>Herramientas_eléctricas</v>
      </c>
      <c r="F27" s="15"/>
      <c r="G27" s="15" t="s">
        <v>825</v>
      </c>
      <c r="H27" s="15" t="s">
        <v>826</v>
      </c>
      <c r="I27" s="15" t="s">
        <v>638</v>
      </c>
      <c r="J27" s="47" t="s">
        <v>635</v>
      </c>
      <c r="K27">
        <v>20142</v>
      </c>
      <c r="L27" s="47" t="s">
        <v>827</v>
      </c>
      <c r="M27" s="47" t="str">
        <f>_xlfn.LET(
    _xlpm.itemBuscado, B27,
    _xlpm.areaBuscada, C27,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TEXT(COUNTIF($C$2:C27, _xlpm.areaBuscada), "0000"),
    _xlpm.codItem &amp; "-" &amp; _xlpm.codArea &amp; "-" &amp; _xlpm.secuencia
)</f>
        <v>ZE-SO-ML-0002</v>
      </c>
      <c r="O27" s="15"/>
      <c r="Q27" s="48"/>
      <c r="AD27" s="11" t="s">
        <v>236</v>
      </c>
      <c r="AE27" s="11" t="s">
        <v>237</v>
      </c>
      <c r="AF27" s="11" t="s">
        <v>238</v>
      </c>
      <c r="AG27" s="11" t="s">
        <v>239</v>
      </c>
      <c r="AH27" s="11" t="s">
        <v>240</v>
      </c>
      <c r="AI27" s="11" t="s">
        <v>241</v>
      </c>
      <c r="AJ27" s="11" t="s">
        <v>242</v>
      </c>
      <c r="AK27" s="11" t="s">
        <v>243</v>
      </c>
      <c r="AL27" s="11" t="s">
        <v>244</v>
      </c>
      <c r="AM27" s="11" t="s">
        <v>245</v>
      </c>
    </row>
    <row r="28" spans="2:42" x14ac:dyDescent="0.3">
      <c r="B28" t="s">
        <v>13</v>
      </c>
      <c r="C28" s="11" t="s">
        <v>172</v>
      </c>
      <c r="E28" s="11" t="str" cm="1">
        <f t="array" ref="E28">_xlfn.IFS(
    COUNTIF(Herramientas_eléctricas1862106149[Herramientas_eléctricas], B28) &gt; 0, Herramientas_eléctricas1862106149[[#Headers],[Herramientas_eléctricas]],
    COUNTIF(Herramientas_neumáticas1963107150[Herramientas_neumáticas], B28) &gt; 0, Herramientas_neumáticas1963107150[[#Headers],[Herramientas_neumáticas]],
    COUNTIF(Herramientas_de_medición2064108151[Herramientas_de_medición], B28) &gt; 0, Herramientas_de_medición2064108151[[#Headers],[Herramientas_de_medición]],
    COUNTIF(Herrramientas_mecánicas2165109152[Herramientas_mecánicas], B28) &gt; 0, Herrramientas_mecánicas2165109152[[#Headers],[Herramientas_mecánicas]],
    COUNTIF(AH28:AH34, B28) &gt; 0, Herramientas_hidráulicas2266110153[[#Headers],[Herramientas_hidráulicas]],
    COUNTIF(EPP_2367111154[SPCC], B28) &gt; 0, EPP_2367111154[[#Headers],[SPCC]],
   COUNTIF(Herramientas_de_izaje2468112155[Herramientas_de_izaje], B28) &gt; 0, Herramientas_de_izaje2468112155[[#Headers],[Herramientas_de_izaje]],
COUNTIF(Tabla162670114157[Equipos], B28) &gt; 0, Tabla162670114157[[#Headers],[Equipos]],
    TRUE, "Sin clasificación"
)</f>
        <v>Herramientas_eléctricas</v>
      </c>
      <c r="F28" s="15"/>
      <c r="G28" s="15" t="s">
        <v>824</v>
      </c>
      <c r="H28" s="15" t="s">
        <v>823</v>
      </c>
      <c r="I28" s="15" t="s">
        <v>638</v>
      </c>
      <c r="J28" s="47" t="s">
        <v>821</v>
      </c>
      <c r="K28" t="s">
        <v>829</v>
      </c>
      <c r="L28" s="47" t="s">
        <v>831</v>
      </c>
      <c r="M28" s="47" t="str">
        <f>_xlfn.LET(
    _xlpm.itemBuscado, B28,
    _xlpm.areaBuscada, C28,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TEXT(COUNTIF($C$2:C28, _xlpm.areaBuscada), "0000"),
    _xlpm.codItem &amp; "-" &amp; _xlpm.codArea &amp; "-" &amp; _xlpm.secuencia
)</f>
        <v>ZE-SO-ML-0003</v>
      </c>
      <c r="O28" s="15"/>
      <c r="Q28" s="48"/>
    </row>
    <row r="29" spans="2:42" x14ac:dyDescent="0.3">
      <c r="B29" t="s">
        <v>13</v>
      </c>
      <c r="C29" s="11" t="s">
        <v>172</v>
      </c>
      <c r="E29" s="11" t="str" cm="1">
        <f t="array" ref="E29">_xlfn.IFS(
    COUNTIF(Herramientas_eléctricas1862106149[Herramientas_eléctricas], B29) &gt; 0, Herramientas_eléctricas1862106149[[#Headers],[Herramientas_eléctricas]],
    COUNTIF(Herramientas_neumáticas1963107150[Herramientas_neumáticas], B29) &gt; 0, Herramientas_neumáticas1963107150[[#Headers],[Herramientas_neumáticas]],
    COUNTIF(Herramientas_de_medición2064108151[Herramientas_de_medición], B29) &gt; 0, Herramientas_de_medición2064108151[[#Headers],[Herramientas_de_medición]],
    COUNTIF(Herrramientas_mecánicas2165109152[Herramientas_mecánicas], B29) &gt; 0, Herrramientas_mecánicas2165109152[[#Headers],[Herramientas_mecánicas]],
    COUNTIF(AH29:AH35, B29) &gt; 0, Herramientas_hidráulicas2266110153[[#Headers],[Herramientas_hidráulicas]],
    COUNTIF(EPP_2367111154[SPCC], B29) &gt; 0, EPP_2367111154[[#Headers],[SPCC]],
   COUNTIF(Herramientas_de_izaje2468112155[Herramientas_de_izaje], B29) &gt; 0, Herramientas_de_izaje2468112155[[#Headers],[Herramientas_de_izaje]],
COUNTIF(Tabla162670114157[Equipos], B29) &gt; 0, Tabla162670114157[[#Headers],[Equipos]],
    TRUE, "Sin clasificación"
)</f>
        <v>Herramientas_eléctricas</v>
      </c>
      <c r="F29" s="15"/>
      <c r="G29" s="15" t="s">
        <v>832</v>
      </c>
      <c r="H29" s="15" t="s">
        <v>833</v>
      </c>
      <c r="I29" s="15" t="s">
        <v>638</v>
      </c>
      <c r="J29" s="47" t="s">
        <v>821</v>
      </c>
      <c r="K29" t="s">
        <v>830</v>
      </c>
      <c r="L29" s="47"/>
      <c r="M29" s="47" t="str">
        <f>_xlfn.LET(
    _xlpm.itemBuscado, B29,
    _xlpm.areaBuscada, C29,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TEXT(COUNTIF($C$2:C29, _xlpm.areaBuscada), "0000"),
    _xlpm.codItem &amp; "-" &amp; _xlpm.codArea &amp; "-" &amp; _xlpm.secuencia
)</f>
        <v>ZE-SO-ML-0004</v>
      </c>
      <c r="O29" s="15"/>
      <c r="Q29" s="48"/>
      <c r="AD29" t="s">
        <v>246</v>
      </c>
      <c r="AE29" t="s">
        <v>97</v>
      </c>
      <c r="AF29" t="s">
        <v>34</v>
      </c>
      <c r="AG29" t="s">
        <v>66</v>
      </c>
      <c r="AH29" s="63" t="s">
        <v>247</v>
      </c>
      <c r="AJ29" t="s">
        <v>19</v>
      </c>
      <c r="AM29" t="s">
        <v>75</v>
      </c>
    </row>
    <row r="30" spans="2:42" ht="28.8" x14ac:dyDescent="0.3">
      <c r="B30" t="s">
        <v>13</v>
      </c>
      <c r="C30" s="11" t="s">
        <v>172</v>
      </c>
      <c r="E30" s="11" t="str" cm="1">
        <f t="array" ref="E30">_xlfn.IFS(
    COUNTIF(Herramientas_eléctricas1862106149[Herramientas_eléctricas], B30) &gt; 0, Herramientas_eléctricas1862106149[[#Headers],[Herramientas_eléctricas]],
    COUNTIF(Herramientas_neumáticas1963107150[Herramientas_neumáticas], B30) &gt; 0, Herramientas_neumáticas1963107150[[#Headers],[Herramientas_neumáticas]],
    COUNTIF(Herramientas_de_medición2064108151[Herramientas_de_medición], B30) &gt; 0, Herramientas_de_medición2064108151[[#Headers],[Herramientas_de_medición]],
    COUNTIF(Herrramientas_mecánicas2165109152[Herramientas_mecánicas], B30) &gt; 0, Herrramientas_mecánicas2165109152[[#Headers],[Herramientas_mecánicas]],
    COUNTIF(AH30:AH36, B30) &gt; 0, Herramientas_hidráulicas2266110153[[#Headers],[Herramientas_hidráulicas]],
    COUNTIF(EPP_2367111154[SPCC], B30) &gt; 0, EPP_2367111154[[#Headers],[SPCC]],
   COUNTIF(Herramientas_de_izaje2468112155[Herramientas_de_izaje], B30) &gt; 0, Herramientas_de_izaje2468112155[[#Headers],[Herramientas_de_izaje]],
COUNTIF(Tabla162670114157[Equipos], B30) &gt; 0, Tabla162670114157[[#Headers],[Equipos]],
    TRUE, "Sin clasificación"
)</f>
        <v>Herramientas_eléctricas</v>
      </c>
      <c r="F30" s="15"/>
      <c r="G30" s="15" t="s">
        <v>825</v>
      </c>
      <c r="H30" s="15" t="s">
        <v>826</v>
      </c>
      <c r="I30" s="15" t="s">
        <v>638</v>
      </c>
      <c r="J30" s="47" t="s">
        <v>635</v>
      </c>
      <c r="K30" t="s">
        <v>834</v>
      </c>
      <c r="L30" s="47" t="s">
        <v>835</v>
      </c>
      <c r="M30" s="47" t="str">
        <f>_xlfn.LET(
    _xlpm.itemBuscado, B30,
    _xlpm.areaBuscada, C30,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TEXT(COUNTIF($C$2:C30, _xlpm.areaBuscada), "0000"),
    _xlpm.codItem &amp; "-" &amp; _xlpm.codArea &amp; "-" &amp; _xlpm.secuencia
)</f>
        <v>ZE-SO-ML-0005</v>
      </c>
      <c r="O30" s="15"/>
      <c r="Q30" s="48" t="s">
        <v>224</v>
      </c>
      <c r="AD30" s="22" t="s">
        <v>248</v>
      </c>
      <c r="AE30" t="s">
        <v>17</v>
      </c>
      <c r="AF30" s="18" t="s">
        <v>249</v>
      </c>
      <c r="AG30" t="s">
        <v>250</v>
      </c>
      <c r="AH30" s="64" t="s">
        <v>251</v>
      </c>
      <c r="AJ30" t="s">
        <v>252</v>
      </c>
      <c r="AM30" s="18" t="s">
        <v>253</v>
      </c>
    </row>
    <row r="31" spans="2:42" x14ac:dyDescent="0.3">
      <c r="B31" t="s">
        <v>13</v>
      </c>
      <c r="C31" s="11" t="s">
        <v>172</v>
      </c>
      <c r="E31" s="11" t="str" cm="1">
        <f t="array" ref="E31">_xlfn.IFS(
    COUNTIF(Herramientas_eléctricas1862106149[Herramientas_eléctricas], B31) &gt; 0, Herramientas_eléctricas1862106149[[#Headers],[Herramientas_eléctricas]],
    COUNTIF(Herramientas_neumáticas1963107150[Herramientas_neumáticas], B31) &gt; 0, Herramientas_neumáticas1963107150[[#Headers],[Herramientas_neumáticas]],
    COUNTIF(Herramientas_de_medición2064108151[Herramientas_de_medición], B31) &gt; 0, Herramientas_de_medición2064108151[[#Headers],[Herramientas_de_medición]],
    COUNTIF(Herrramientas_mecánicas2165109152[Herramientas_mecánicas], B31) &gt; 0, Herrramientas_mecánicas2165109152[[#Headers],[Herramientas_mecánicas]],
    COUNTIF(AH31:AH37, B31) &gt; 0, Herramientas_hidráulicas2266110153[[#Headers],[Herramientas_hidráulicas]],
    COUNTIF(EPP_2367111154[SPCC], B31) &gt; 0, EPP_2367111154[[#Headers],[SPCC]],
   COUNTIF(Herramientas_de_izaje2468112155[Herramientas_de_izaje], B31) &gt; 0, Herramientas_de_izaje2468112155[[#Headers],[Herramientas_de_izaje]],
COUNTIF(Tabla162670114157[Equipos], B31) &gt; 0, Tabla162670114157[[#Headers],[Equipos]],
    TRUE, "Sin clasificación"
)</f>
        <v>Herramientas_eléctricas</v>
      </c>
      <c r="F31" s="15"/>
      <c r="G31" s="15" t="s">
        <v>825</v>
      </c>
      <c r="H31" s="15" t="s">
        <v>826</v>
      </c>
      <c r="I31" s="15" t="s">
        <v>638</v>
      </c>
      <c r="J31" s="47" t="s">
        <v>635</v>
      </c>
      <c r="K31">
        <v>3</v>
      </c>
      <c r="L31" s="47" t="s">
        <v>836</v>
      </c>
      <c r="M31" s="47" t="str">
        <f>_xlfn.LET(
    _xlpm.itemBuscado, B31,
    _xlpm.areaBuscada, C31,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TEXT(COUNTIF($C$2:C31, _xlpm.areaBuscada), "0000"),
    _xlpm.codItem &amp; "-" &amp; _xlpm.codArea &amp; "-" &amp; _xlpm.secuencia
)</f>
        <v>ZE-SO-ML-0006</v>
      </c>
      <c r="O31" s="15"/>
      <c r="Q31" s="48"/>
      <c r="AD31" s="65" t="s">
        <v>254</v>
      </c>
      <c r="AF31" t="s">
        <v>255</v>
      </c>
      <c r="AM31" s="26" t="s">
        <v>256</v>
      </c>
    </row>
    <row r="32" spans="2:42" ht="28.5" customHeight="1" x14ac:dyDescent="0.3">
      <c r="B32" t="s">
        <v>13</v>
      </c>
      <c r="C32" s="11" t="s">
        <v>172</v>
      </c>
      <c r="E32" s="11" t="str" cm="1">
        <f t="array" ref="E32">_xlfn.IFS(
    COUNTIF(Herramientas_eléctricas1862106149[Herramientas_eléctricas], B32) &gt; 0, Herramientas_eléctricas1862106149[[#Headers],[Herramientas_eléctricas]],
    COUNTIF(Herramientas_neumáticas1963107150[Herramientas_neumáticas], B32) &gt; 0, Herramientas_neumáticas1963107150[[#Headers],[Herramientas_neumáticas]],
    COUNTIF(Herramientas_de_medición2064108151[Herramientas_de_medición], B32) &gt; 0, Herramientas_de_medición2064108151[[#Headers],[Herramientas_de_medición]],
    COUNTIF(Herrramientas_mecánicas2165109152[Herramientas_mecánicas], B32) &gt; 0, Herrramientas_mecánicas2165109152[[#Headers],[Herramientas_mecánicas]],
    COUNTIF(AH32:AH38, B32) &gt; 0, Herramientas_hidráulicas2266110153[[#Headers],[Herramientas_hidráulicas]],
    COUNTIF(EPP_2367111154[SPCC], B32) &gt; 0, EPP_2367111154[[#Headers],[SPCC]],
   COUNTIF(Herramientas_de_izaje2468112155[Herramientas_de_izaje], B32) &gt; 0, Herramientas_de_izaje2468112155[[#Headers],[Herramientas_de_izaje]],
COUNTIF(Tabla162670114157[Equipos], B32) &gt; 0, Tabla162670114157[[#Headers],[Equipos]],
    TRUE, "Sin clasificación"
)</f>
        <v>Herramientas_eléctricas</v>
      </c>
      <c r="F32" s="15"/>
      <c r="G32" s="15" t="s">
        <v>825</v>
      </c>
      <c r="H32" s="15" t="s">
        <v>826</v>
      </c>
      <c r="I32" s="15" t="s">
        <v>638</v>
      </c>
      <c r="J32" s="47" t="s">
        <v>635</v>
      </c>
      <c r="K32">
        <v>5</v>
      </c>
      <c r="L32" s="47" t="s">
        <v>837</v>
      </c>
      <c r="M32" s="47" t="str">
        <f>_xlfn.LET(
    _xlpm.itemBuscado, B32,
    _xlpm.areaBuscada, C32,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TEXT(COUNTIF($C$2:C32, _xlpm.areaBuscada), "0000"),
    _xlpm.codItem &amp; "-" &amp; _xlpm.codArea &amp; "-" &amp; _xlpm.secuencia
)</f>
        <v>ZE-SO-ML-0007</v>
      </c>
      <c r="O32" s="15"/>
      <c r="Q32" s="48"/>
    </row>
    <row r="33" spans="2:42" x14ac:dyDescent="0.3">
      <c r="B33" t="s">
        <v>13</v>
      </c>
      <c r="C33" s="11" t="s">
        <v>179</v>
      </c>
      <c r="E33" s="11" t="str" cm="1">
        <f t="array" ref="E33">_xlfn.IFS(
    COUNTIF(Herramientas_eléctricas1862106149[Herramientas_eléctricas], B33) &gt; 0, Herramientas_eléctricas1862106149[[#Headers],[Herramientas_eléctricas]],
    COUNTIF(Herramientas_neumáticas1963107150[Herramientas_neumáticas], B33) &gt; 0, Herramientas_neumáticas1963107150[[#Headers],[Herramientas_neumáticas]],
    COUNTIF(Herramientas_de_medición2064108151[Herramientas_de_medición], B33) &gt; 0, Herramientas_de_medición2064108151[[#Headers],[Herramientas_de_medición]],
    COUNTIF(Herrramientas_mecánicas2165109152[Herramientas_mecánicas], B33) &gt; 0, Herrramientas_mecánicas2165109152[[#Headers],[Herramientas_mecánicas]],
    COUNTIF(AH33:AH39, B33) &gt; 0, Herramientas_hidráulicas2266110153[[#Headers],[Herramientas_hidráulicas]],
    COUNTIF(EPP_2367111154[SPCC], B33) &gt; 0, EPP_2367111154[[#Headers],[SPCC]],
   COUNTIF(Herramientas_de_izaje2468112155[Herramientas_de_izaje], B33) &gt; 0, Herramientas_de_izaje2468112155[[#Headers],[Herramientas_de_izaje]],
COUNTIF(Tabla162670114157[Equipos], B33) &gt; 0, Tabla162670114157[[#Headers],[Equipos]],
    TRUE, "Sin clasificación"
)</f>
        <v>Herramientas_eléctricas</v>
      </c>
      <c r="F33" s="15"/>
      <c r="G33" s="15" t="s">
        <v>846</v>
      </c>
      <c r="H33" s="15" t="s">
        <v>826</v>
      </c>
      <c r="I33" s="15" t="s">
        <v>638</v>
      </c>
      <c r="J33" s="47" t="s">
        <v>635</v>
      </c>
      <c r="L33" s="47" t="s">
        <v>847</v>
      </c>
      <c r="M33" s="47" t="str">
        <f>_xlfn.LET(
    _xlpm.itemBuscado, B33,
    _xlpm.areaBuscada, C33,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TEXT(COUNTIF($C$2:C33, _xlpm.areaBuscada), "0000"),
    _xlpm.codItem &amp; "-" &amp; _xlpm.codArea &amp; "-" &amp; _xlpm.secuencia
)</f>
        <v>ZE-SO-GE-0001</v>
      </c>
      <c r="O33" s="15"/>
      <c r="Q33" s="48"/>
      <c r="AD33" t="s">
        <v>68</v>
      </c>
      <c r="AE33" t="s">
        <v>36</v>
      </c>
      <c r="AF33" t="s">
        <v>257</v>
      </c>
      <c r="AG33" t="s">
        <v>258</v>
      </c>
    </row>
    <row r="34" spans="2:42" x14ac:dyDescent="0.3">
      <c r="B34" t="s">
        <v>13</v>
      </c>
      <c r="C34" s="11" t="s">
        <v>174</v>
      </c>
      <c r="E34" s="11" t="str" cm="1">
        <f t="array" ref="E34">_xlfn.IFS(
    COUNTIF(Herramientas_eléctricas1862106149[Herramientas_eléctricas], B34) &gt; 0, Herramientas_eléctricas1862106149[[#Headers],[Herramientas_eléctricas]],
    COUNTIF(Herramientas_neumáticas1963107150[Herramientas_neumáticas], B34) &gt; 0, Herramientas_neumáticas1963107150[[#Headers],[Herramientas_neumáticas]],
    COUNTIF(Herramientas_de_medición2064108151[Herramientas_de_medición], B34) &gt; 0, Herramientas_de_medición2064108151[[#Headers],[Herramientas_de_medición]],
    COUNTIF(Herrramientas_mecánicas2165109152[Herramientas_mecánicas], B34) &gt; 0, Herrramientas_mecánicas2165109152[[#Headers],[Herramientas_mecánicas]],
    COUNTIF(AH34:AH40, B34) &gt; 0, Herramientas_hidráulicas2266110153[[#Headers],[Herramientas_hidráulicas]],
    COUNTIF(EPP_2367111154[SPCC], B34) &gt; 0, EPP_2367111154[[#Headers],[SPCC]],
   COUNTIF(Herramientas_de_izaje2468112155[Herramientas_de_izaje], B34) &gt; 0, Herramientas_de_izaje2468112155[[#Headers],[Herramientas_de_izaje]],
COUNTIF(Tabla162670114157[Equipos], B34) &gt; 0, Tabla162670114157[[#Headers],[Equipos]],
    TRUE, "Sin clasificación"
)</f>
        <v>Herramientas_eléctricas</v>
      </c>
      <c r="F34" s="15"/>
      <c r="G34" s="15" t="s">
        <v>864</v>
      </c>
      <c r="H34" s="15">
        <v>4.0599999999999996</v>
      </c>
      <c r="I34" s="15" t="s">
        <v>731</v>
      </c>
      <c r="J34" s="47" t="s">
        <v>862</v>
      </c>
      <c r="K34" t="s">
        <v>863</v>
      </c>
      <c r="L34" s="47">
        <v>31287650</v>
      </c>
      <c r="M34" s="47" t="str">
        <f>_xlfn.LET(
    _xlpm.itemBuscado, B34,
    _xlpm.areaBuscada, C34,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TEXT(COUNTIF($C$2:C34, _xlpm.areaBuscada), "0000"),
    _xlpm.codItem &amp; "-" &amp; _xlpm.codArea &amp; "-" &amp; _xlpm.secuencia
)</f>
        <v>ZE-SO-FI-0001</v>
      </c>
      <c r="O34" s="15"/>
      <c r="Q34" s="48"/>
      <c r="AD34" s="20" t="s">
        <v>259</v>
      </c>
      <c r="AE34" t="s">
        <v>260</v>
      </c>
      <c r="AF34" s="19" t="s">
        <v>261</v>
      </c>
      <c r="AG34" s="22" t="s">
        <v>262</v>
      </c>
    </row>
    <row r="35" spans="2:42" ht="28.8" x14ac:dyDescent="0.3">
      <c r="B35" t="s">
        <v>13</v>
      </c>
      <c r="C35" s="11" t="s">
        <v>174</v>
      </c>
      <c r="E35" s="11" t="str" cm="1">
        <f t="array" ref="E35">_xlfn.IFS(
    COUNTIF(Herramientas_eléctricas1862106149[Herramientas_eléctricas], B35) &gt; 0, Herramientas_eléctricas1862106149[[#Headers],[Herramientas_eléctricas]],
    COUNTIF(Herramientas_neumáticas1963107150[Herramientas_neumáticas], B35) &gt; 0, Herramientas_neumáticas1963107150[[#Headers],[Herramientas_neumáticas]],
    COUNTIF(Herramientas_de_medición2064108151[Herramientas_de_medición], B35) &gt; 0, Herramientas_de_medición2064108151[[#Headers],[Herramientas_de_medición]],
    COUNTIF(Herrramientas_mecánicas2165109152[Herramientas_mecánicas], B35) &gt; 0, Herrramientas_mecánicas2165109152[[#Headers],[Herramientas_mecánicas]],
    COUNTIF(AH35:AH41, B35) &gt; 0, Herramientas_hidráulicas2266110153[[#Headers],[Herramientas_hidráulicas]],
    COUNTIF(EPP_2367111154[SPCC], B35) &gt; 0, EPP_2367111154[[#Headers],[SPCC]],
   COUNTIF(Herramientas_de_izaje2468112155[Herramientas_de_izaje], B35) &gt; 0, Herramientas_de_izaje2468112155[[#Headers],[Herramientas_de_izaje]],
COUNTIF(Tabla162670114157[Equipos], B35) &gt; 0, Tabla162670114157[[#Headers],[Equipos]],
    TRUE, "Sin clasificación"
)</f>
        <v>Herramientas_eléctricas</v>
      </c>
      <c r="F35" s="15"/>
      <c r="G35" s="15" t="s">
        <v>864</v>
      </c>
      <c r="H35" s="15">
        <v>4.0599999999999996</v>
      </c>
      <c r="I35" s="15" t="s">
        <v>731</v>
      </c>
      <c r="J35" s="47" t="s">
        <v>866</v>
      </c>
      <c r="K35" t="s">
        <v>865</v>
      </c>
      <c r="L35" s="47">
        <v>3208616</v>
      </c>
      <c r="M35" s="47" t="str">
        <f>_xlfn.LET(
    _xlpm.itemBuscado, B35,
    _xlpm.areaBuscada, C35,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TEXT(COUNTIF($C$2:C35, _xlpm.areaBuscada), "0000"),
    _xlpm.codItem &amp; "-" &amp; _xlpm.codArea &amp; "-" &amp; _xlpm.secuencia
)</f>
        <v>ZE-SO-FI-0002</v>
      </c>
      <c r="O35" s="15"/>
      <c r="Q35" s="48"/>
      <c r="AD35" s="66" t="s">
        <v>263</v>
      </c>
      <c r="AF35" s="13" t="s">
        <v>264</v>
      </c>
      <c r="AG35" s="67" t="s">
        <v>265</v>
      </c>
    </row>
    <row r="36" spans="2:42" x14ac:dyDescent="0.3">
      <c r="B36" t="s">
        <v>13</v>
      </c>
      <c r="C36" s="11" t="s">
        <v>174</v>
      </c>
      <c r="E36" s="11" t="str" cm="1">
        <f t="array" ref="E36">_xlfn.IFS(
    COUNTIF(Herramientas_eléctricas1862106149[Herramientas_eléctricas], B36) &gt; 0, Herramientas_eléctricas1862106149[[#Headers],[Herramientas_eléctricas]],
    COUNTIF(Herramientas_neumáticas1963107150[Herramientas_neumáticas], B36) &gt; 0, Herramientas_neumáticas1963107150[[#Headers],[Herramientas_neumáticas]],
    COUNTIF(Herramientas_de_medición2064108151[Herramientas_de_medición], B36) &gt; 0, Herramientas_de_medición2064108151[[#Headers],[Herramientas_de_medición]],
    COUNTIF(Herrramientas_mecánicas2165109152[Herramientas_mecánicas], B36) &gt; 0, Herrramientas_mecánicas2165109152[[#Headers],[Herramientas_mecánicas]],
    COUNTIF(AH36:AH42, B36) &gt; 0, Herramientas_hidráulicas2266110153[[#Headers],[Herramientas_hidráulicas]],
    COUNTIF(EPP_2367111154[SPCC], B36) &gt; 0, EPP_2367111154[[#Headers],[SPCC]],
   COUNTIF(Herramientas_de_izaje2468112155[Herramientas_de_izaje], B36) &gt; 0, Herramientas_de_izaje2468112155[[#Headers],[Herramientas_de_izaje]],
COUNTIF(Tabla162670114157[Equipos], B36) &gt; 0, Tabla162670114157[[#Headers],[Equipos]],
    TRUE, "Sin clasificación"
)</f>
        <v>Herramientas_eléctricas</v>
      </c>
      <c r="F36" s="15"/>
      <c r="G36" s="15" t="s">
        <v>869</v>
      </c>
      <c r="H36" s="15" t="s">
        <v>826</v>
      </c>
      <c r="I36" s="15" t="s">
        <v>638</v>
      </c>
      <c r="J36" s="47" t="s">
        <v>635</v>
      </c>
      <c r="K36" t="s">
        <v>867</v>
      </c>
      <c r="L36" s="47" t="s">
        <v>868</v>
      </c>
      <c r="M36" s="47" t="str">
        <f>_xlfn.LET(
    _xlpm.itemBuscado, B36,
    _xlpm.areaBuscada, C36,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TEXT(COUNTIF($C$2:C36, _xlpm.areaBuscada), "0000"),
    _xlpm.codItem &amp; "-" &amp; _xlpm.codArea &amp; "-" &amp; _xlpm.secuencia
)</f>
        <v>ZE-SO-FI-0003</v>
      </c>
      <c r="O36" s="15"/>
      <c r="Q36" s="48"/>
      <c r="AF36" s="68" t="s">
        <v>266</v>
      </c>
      <c r="AG36" s="22" t="s">
        <v>267</v>
      </c>
    </row>
    <row r="37" spans="2:42" ht="43.2" x14ac:dyDescent="0.3">
      <c r="B37" t="s">
        <v>13</v>
      </c>
      <c r="C37" s="11" t="s">
        <v>181</v>
      </c>
      <c r="E37" s="11" t="str" cm="1">
        <f t="array" ref="E37">_xlfn.IFS(
    COUNTIF(Herramientas_eléctricas1862106149[Herramientas_eléctricas], B37) &gt; 0, Herramientas_eléctricas1862106149[[#Headers],[Herramientas_eléctricas]],
    COUNTIF(Herramientas_neumáticas1963107150[Herramientas_neumáticas], B37) &gt; 0, Herramientas_neumáticas1963107150[[#Headers],[Herramientas_neumáticas]],
    COUNTIF(Herramientas_de_medición2064108151[Herramientas_de_medición], B37) &gt; 0, Herramientas_de_medición2064108151[[#Headers],[Herramientas_de_medición]],
    COUNTIF(Herrramientas_mecánicas2165109152[Herramientas_mecánicas], B37) &gt; 0, Herrramientas_mecánicas2165109152[[#Headers],[Herramientas_mecánicas]],
    COUNTIF(AH37:AH43, B37) &gt; 0, Herramientas_hidráulicas2266110153[[#Headers],[Herramientas_hidráulicas]],
    COUNTIF(EPP_2367111154[SPCC], B37) &gt; 0, EPP_2367111154[[#Headers],[SPCC]],
   COUNTIF(Herramientas_de_izaje2468112155[Herramientas_de_izaje], B37) &gt; 0, Herramientas_de_izaje2468112155[[#Headers],[Herramientas_de_izaje]],
COUNTIF(Tabla162670114157[Equipos], B37) &gt; 0, Tabla162670114157[[#Headers],[Equipos]],
    TRUE, "Sin clasificación"
)</f>
        <v>Herramientas_eléctricas</v>
      </c>
      <c r="F37" s="15"/>
      <c r="G37" s="15" t="s">
        <v>884</v>
      </c>
      <c r="H37" s="15" t="s">
        <v>885</v>
      </c>
      <c r="I37" s="15" t="s">
        <v>627</v>
      </c>
      <c r="J37" s="47" t="s">
        <v>881</v>
      </c>
      <c r="K37" t="s">
        <v>882</v>
      </c>
      <c r="L37" s="47" t="s">
        <v>883</v>
      </c>
      <c r="M37" s="47" t="str">
        <f>_xlfn.LET(
    _xlpm.itemBuscado, B37,
    _xlpm.areaBuscada, C37,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TEXT(COUNTIF($C$2:C37, _xlpm.areaBuscada), "0000"),
    _xlpm.codItem &amp; "-" &amp; _xlpm.codArea &amp; "-" &amp; _xlpm.secuencia
)</f>
        <v>ZE-SO-RH-0001</v>
      </c>
      <c r="O37" s="15"/>
      <c r="Q37" s="48"/>
      <c r="AG37" s="18" t="s">
        <v>268</v>
      </c>
    </row>
    <row r="38" spans="2:42" ht="43.2" x14ac:dyDescent="0.3">
      <c r="B38" t="s">
        <v>13</v>
      </c>
      <c r="C38" s="11" t="s">
        <v>181</v>
      </c>
      <c r="E38" s="11" t="str" cm="1">
        <f t="array" ref="E38">_xlfn.IFS(
    COUNTIF(Herramientas_eléctricas1862106149[Herramientas_eléctricas], B38) &gt; 0, Herramientas_eléctricas1862106149[[#Headers],[Herramientas_eléctricas]],
    COUNTIF(Herramientas_neumáticas1963107150[Herramientas_neumáticas], B38) &gt; 0, Herramientas_neumáticas1963107150[[#Headers],[Herramientas_neumáticas]],
    COUNTIF(Herramientas_de_medición2064108151[Herramientas_de_medición], B38) &gt; 0, Herramientas_de_medición2064108151[[#Headers],[Herramientas_de_medición]],
    COUNTIF(Herrramientas_mecánicas2165109152[Herramientas_mecánicas], B38) &gt; 0, Herrramientas_mecánicas2165109152[[#Headers],[Herramientas_mecánicas]],
    COUNTIF(AH38:AH44, B38) &gt; 0, Herramientas_hidráulicas2266110153[[#Headers],[Herramientas_hidráulicas]],
    COUNTIF(EPP_2367111154[SPCC], B38) &gt; 0, EPP_2367111154[[#Headers],[SPCC]],
   COUNTIF(Herramientas_de_izaje2468112155[Herramientas_de_izaje], B38) &gt; 0, Herramientas_de_izaje2468112155[[#Headers],[Herramientas_de_izaje]],
COUNTIF(Tabla162670114157[Equipos], B38) &gt; 0, Tabla162670114157[[#Headers],[Equipos]],
    TRUE, "Sin clasificación"
)</f>
        <v>Herramientas_eléctricas</v>
      </c>
      <c r="F38" s="15"/>
      <c r="G38" s="15" t="s">
        <v>890</v>
      </c>
      <c r="H38" s="15" t="s">
        <v>889</v>
      </c>
      <c r="I38" s="15" t="s">
        <v>627</v>
      </c>
      <c r="J38" s="47" t="s">
        <v>886</v>
      </c>
      <c r="K38" t="s">
        <v>887</v>
      </c>
      <c r="L38" s="47" t="s">
        <v>888</v>
      </c>
      <c r="M38" s="47" t="str">
        <f>_xlfn.LET(
    _xlpm.itemBuscado, B38,
    _xlpm.areaBuscada, C38,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TEXT(COUNTIF($C$2:C38, _xlpm.areaBuscada), "0000"),
    _xlpm.codItem &amp; "-" &amp; _xlpm.codArea &amp; "-" &amp; _xlpm.secuencia
)</f>
        <v>ZE-SO-RH-0002</v>
      </c>
      <c r="O38" s="15"/>
      <c r="Q38" s="48"/>
      <c r="AD38" s="69" t="s">
        <v>24</v>
      </c>
      <c r="AF38" t="s">
        <v>269</v>
      </c>
      <c r="AG38" s="18" t="s">
        <v>270</v>
      </c>
    </row>
    <row r="39" spans="2:42" ht="28.8" x14ac:dyDescent="0.3">
      <c r="B39" t="s">
        <v>13</v>
      </c>
      <c r="C39" s="11" t="s">
        <v>178</v>
      </c>
      <c r="E39" s="11" t="str" cm="1">
        <f t="array" ref="E39">_xlfn.IFS(
    COUNTIF(Herramientas_eléctricas1862106149[Herramientas_eléctricas], B39) &gt; 0, Herramientas_eléctricas1862106149[[#Headers],[Herramientas_eléctricas]],
    COUNTIF(Herramientas_neumáticas1963107150[Herramientas_neumáticas], B39) &gt; 0, Herramientas_neumáticas1963107150[[#Headers],[Herramientas_neumáticas]],
    COUNTIF(Herramientas_de_medición2064108151[Herramientas_de_medición], B39) &gt; 0, Herramientas_de_medición2064108151[[#Headers],[Herramientas_de_medición]],
    COUNTIF(Herrramientas_mecánicas2165109152[Herramientas_mecánicas], B39) &gt; 0, Herrramientas_mecánicas2165109152[[#Headers],[Herramientas_mecánicas]],
    COUNTIF(AH39:AH45, B39) &gt; 0, Herramientas_hidráulicas2266110153[[#Headers],[Herramientas_hidráulicas]],
    COUNTIF(EPP_2367111154[SPCC], B39) &gt; 0, EPP_2367111154[[#Headers],[SPCC]],
   COUNTIF(Herramientas_de_izaje2468112155[Herramientas_de_izaje], B39) &gt; 0, Herramientas_de_izaje2468112155[[#Headers],[Herramientas_de_izaje]],
COUNTIF(Tabla162670114157[Equipos], B39) &gt; 0, Tabla162670114157[[#Headers],[Equipos]],
    TRUE, "Sin clasificación"
)</f>
        <v>Herramientas_eléctricas</v>
      </c>
      <c r="F39" s="15"/>
      <c r="G39" s="15" t="s">
        <v>924</v>
      </c>
      <c r="H39" s="15" t="s">
        <v>925</v>
      </c>
      <c r="I39" s="15" t="s">
        <v>638</v>
      </c>
      <c r="J39" s="47" t="s">
        <v>821</v>
      </c>
      <c r="K39" t="s">
        <v>936</v>
      </c>
      <c r="L39" t="s">
        <v>923</v>
      </c>
      <c r="M39" s="47" t="str">
        <f>_xlfn.LET(
    _xlpm.itemBuscado, B39,
    _xlpm.areaBuscada, C39,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TEXT(COUNTIF($C$2:C39, _xlpm.areaBuscada), "0000"),
    _xlpm.codItem &amp; "-" &amp; _xlpm.codArea &amp; "-" &amp; _xlpm.secuencia
)</f>
        <v>ZE-SO-TG-0001</v>
      </c>
      <c r="O39" s="15" t="s">
        <v>934</v>
      </c>
      <c r="Q39" s="48"/>
      <c r="AD39" s="62" t="s">
        <v>271</v>
      </c>
      <c r="AF39" s="68" t="s">
        <v>272</v>
      </c>
      <c r="AG39" s="22" t="s">
        <v>273</v>
      </c>
    </row>
    <row r="40" spans="2:42" ht="28.8" x14ac:dyDescent="0.3">
      <c r="B40" t="s">
        <v>13</v>
      </c>
      <c r="C40" s="11" t="s">
        <v>178</v>
      </c>
      <c r="E40" s="11" t="str" cm="1">
        <f t="array" ref="E40">_xlfn.IFS(
    COUNTIF(Herramientas_eléctricas1862106149[Herramientas_eléctricas], B40) &gt; 0, Herramientas_eléctricas1862106149[[#Headers],[Herramientas_eléctricas]],
    COUNTIF(Herramientas_neumáticas1963107150[Herramientas_neumáticas], B40) &gt; 0, Herramientas_neumáticas1963107150[[#Headers],[Herramientas_neumáticas]],
    COUNTIF(Herramientas_de_medición2064108151[Herramientas_de_medición], B40) &gt; 0, Herramientas_de_medición2064108151[[#Headers],[Herramientas_de_medición]],
    COUNTIF(Herrramientas_mecánicas2165109152[Herramientas_mecánicas], B40) &gt; 0, Herrramientas_mecánicas2165109152[[#Headers],[Herramientas_mecánicas]],
    COUNTIF(AH40:AH46, B40) &gt; 0, Herramientas_hidráulicas2266110153[[#Headers],[Herramientas_hidráulicas]],
    COUNTIF(EPP_2367111154[SPCC], B40) &gt; 0, EPP_2367111154[[#Headers],[SPCC]],
   COUNTIF(Herramientas_de_izaje2468112155[Herramientas_de_izaje], B40) &gt; 0, Herramientas_de_izaje2468112155[[#Headers],[Herramientas_de_izaje]],
COUNTIF(Tabla162670114157[Equipos], B40) &gt; 0, Tabla162670114157[[#Headers],[Equipos]],
    TRUE, "Sin clasificación"
)</f>
        <v>Herramientas_eléctricas</v>
      </c>
      <c r="F40" s="15"/>
      <c r="G40" s="15" t="s">
        <v>933</v>
      </c>
      <c r="H40" s="15" t="s">
        <v>932</v>
      </c>
      <c r="I40" s="15" t="s">
        <v>627</v>
      </c>
      <c r="J40" s="47" t="s">
        <v>931</v>
      </c>
      <c r="K40" t="s">
        <v>935</v>
      </c>
      <c r="L40" s="47">
        <v>609741</v>
      </c>
      <c r="M40" s="47" t="str">
        <f>_xlfn.LET(
    _xlpm.itemBuscado, B40,
    _xlpm.areaBuscada, C40,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TEXT(COUNTIF($C$2:C40, _xlpm.areaBuscada), "0000"),
    _xlpm.codItem &amp; "-" &amp; _xlpm.codArea &amp; "-" &amp; _xlpm.secuencia
)</f>
        <v>ZE-SO-TG-0002</v>
      </c>
      <c r="O40" s="15" t="s">
        <v>934</v>
      </c>
      <c r="Q40" s="48"/>
      <c r="AD40" s="70" t="s">
        <v>17</v>
      </c>
      <c r="AG40" t="s">
        <v>274</v>
      </c>
    </row>
    <row r="41" spans="2:42" ht="28.8" x14ac:dyDescent="0.3">
      <c r="B41" t="s">
        <v>13</v>
      </c>
      <c r="C41" s="11" t="s">
        <v>178</v>
      </c>
      <c r="E41" s="11" t="str" cm="1">
        <f t="array" ref="E41">_xlfn.IFS(
    COUNTIF(Herramientas_eléctricas1862106149[Herramientas_eléctricas], B41) &gt; 0, Herramientas_eléctricas1862106149[[#Headers],[Herramientas_eléctricas]],
    COUNTIF(Herramientas_neumáticas1963107150[Herramientas_neumáticas], B41) &gt; 0, Herramientas_neumáticas1963107150[[#Headers],[Herramientas_neumáticas]],
    COUNTIF(Herramientas_de_medición2064108151[Herramientas_de_medición], B41) &gt; 0, Herramientas_de_medición2064108151[[#Headers],[Herramientas_de_medición]],
    COUNTIF(Herrramientas_mecánicas2165109152[Herramientas_mecánicas], B41) &gt; 0, Herrramientas_mecánicas2165109152[[#Headers],[Herramientas_mecánicas]],
    COUNTIF(AH41:AH47, B41) &gt; 0, Herramientas_hidráulicas2266110153[[#Headers],[Herramientas_hidráulicas]],
    COUNTIF(EPP_2367111154[SPCC], B41) &gt; 0, EPP_2367111154[[#Headers],[SPCC]],
   COUNTIF(Herramientas_de_izaje2468112155[Herramientas_de_izaje], B41) &gt; 0, Herramientas_de_izaje2468112155[[#Headers],[Herramientas_de_izaje]],
COUNTIF(Tabla162670114157[Equipos], B41) &gt; 0, Tabla162670114157[[#Headers],[Equipos]],
    TRUE, "Sin clasificación"
)</f>
        <v>Herramientas_eléctricas</v>
      </c>
      <c r="F41" s="15"/>
      <c r="G41" s="15"/>
      <c r="H41" s="15"/>
      <c r="I41" s="15" t="s">
        <v>937</v>
      </c>
      <c r="J41" s="47" t="s">
        <v>938</v>
      </c>
      <c r="K41" t="s">
        <v>975</v>
      </c>
      <c r="L41" s="47">
        <v>36057</v>
      </c>
      <c r="M41" s="47" t="str">
        <f>_xlfn.LET(
    _xlpm.itemBuscado, B41,
    _xlpm.areaBuscada, C41,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TEXT(COUNTIF($C$2:C41, _xlpm.areaBuscada), "0000"),
    _xlpm.codItem &amp; "-" &amp; _xlpm.codArea &amp; "-" &amp; _xlpm.secuencia
)</f>
        <v>ZE-SO-TG-0003</v>
      </c>
      <c r="O41" s="15" t="s">
        <v>934</v>
      </c>
      <c r="Q41" s="48"/>
      <c r="AF41" t="s">
        <v>61</v>
      </c>
    </row>
    <row r="42" spans="2:42" ht="28.8" x14ac:dyDescent="0.3">
      <c r="B42" t="s">
        <v>13</v>
      </c>
      <c r="C42" s="11" t="s">
        <v>178</v>
      </c>
      <c r="E42" s="11" t="str" cm="1">
        <f t="array" ref="E42">_xlfn.IFS(
    COUNTIF(Herramientas_eléctricas1862106149[Herramientas_eléctricas], B42) &gt; 0, Herramientas_eléctricas1862106149[[#Headers],[Herramientas_eléctricas]],
    COUNTIF(Herramientas_neumáticas1963107150[Herramientas_neumáticas], B42) &gt; 0, Herramientas_neumáticas1963107150[[#Headers],[Herramientas_neumáticas]],
    COUNTIF(Herramientas_de_medición2064108151[Herramientas_de_medición], B42) &gt; 0, Herramientas_de_medición2064108151[[#Headers],[Herramientas_de_medición]],
    COUNTIF(Herrramientas_mecánicas2165109152[Herramientas_mecánicas], B42) &gt; 0, Herrramientas_mecánicas2165109152[[#Headers],[Herramientas_mecánicas]],
    COUNTIF(AH42:AH48, B42) &gt; 0, Herramientas_hidráulicas2266110153[[#Headers],[Herramientas_hidráulicas]],
    COUNTIF(EPP_2367111154[SPCC], B42) &gt; 0, EPP_2367111154[[#Headers],[SPCC]],
   COUNTIF(Herramientas_de_izaje2468112155[Herramientas_de_izaje], B42) &gt; 0, Herramientas_de_izaje2468112155[[#Headers],[Herramientas_de_izaje]],
COUNTIF(Tabla162670114157[Equipos], B42) &gt; 0, Tabla162670114157[[#Headers],[Equipos]],
    TRUE, "Sin clasificación"
)</f>
        <v>Herramientas_eléctricas</v>
      </c>
      <c r="F42" s="15"/>
      <c r="G42" s="15" t="s">
        <v>940</v>
      </c>
      <c r="H42" s="15" t="s">
        <v>941</v>
      </c>
      <c r="I42" s="15" t="s">
        <v>627</v>
      </c>
      <c r="J42" s="47" t="s">
        <v>939</v>
      </c>
      <c r="K42" t="s">
        <v>942</v>
      </c>
      <c r="L42" s="47">
        <v>2118601177</v>
      </c>
      <c r="M42" s="47" t="str">
        <f>_xlfn.LET(
    _xlpm.itemBuscado, B42,
    _xlpm.areaBuscada, C42,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TEXT(COUNTIF($C$2:C42, _xlpm.areaBuscada), "0000"),
    _xlpm.codItem &amp; "-" &amp; _xlpm.codArea &amp; "-" &amp; _xlpm.secuencia
)</f>
        <v>ZE-SO-TG-0004</v>
      </c>
      <c r="O42" s="15"/>
      <c r="Q42" s="48"/>
      <c r="AD42" s="71" t="s">
        <v>94</v>
      </c>
      <c r="AF42" t="s">
        <v>275</v>
      </c>
    </row>
    <row r="43" spans="2:42" ht="28.8" x14ac:dyDescent="0.3">
      <c r="B43" t="s">
        <v>13</v>
      </c>
      <c r="C43" s="11" t="s">
        <v>178</v>
      </c>
      <c r="E43" s="11" t="str" cm="1">
        <f t="array" ref="E43">_xlfn.IFS(
    COUNTIF(Herramientas_eléctricas1862106149[Herramientas_eléctricas], B43) &gt; 0, Herramientas_eléctricas1862106149[[#Headers],[Herramientas_eléctricas]],
    COUNTIF(Herramientas_neumáticas1963107150[Herramientas_neumáticas], B43) &gt; 0, Herramientas_neumáticas1963107150[[#Headers],[Herramientas_neumáticas]],
    COUNTIF(Herramientas_de_medición2064108151[Herramientas_de_medición], B43) &gt; 0, Herramientas_de_medición2064108151[[#Headers],[Herramientas_de_medición]],
    COUNTIF(Herrramientas_mecánicas2165109152[Herramientas_mecánicas], B43) &gt; 0, Herrramientas_mecánicas2165109152[[#Headers],[Herramientas_mecánicas]],
    COUNTIF(AH43:AH49, B43) &gt; 0, Herramientas_hidráulicas2266110153[[#Headers],[Herramientas_hidráulicas]],
    COUNTIF(EPP_2367111154[SPCC], B43) &gt; 0, EPP_2367111154[[#Headers],[SPCC]],
   COUNTIF(Herramientas_de_izaje2468112155[Herramientas_de_izaje], B43) &gt; 0, Herramientas_de_izaje2468112155[[#Headers],[Herramientas_de_izaje]],
COUNTIF(Tabla162670114157[Equipos], B43) &gt; 0, Tabla162670114157[[#Headers],[Equipos]],
    TRUE, "Sin clasificación"
)</f>
        <v>Herramientas_eléctricas</v>
      </c>
      <c r="F43" s="15"/>
      <c r="G43" s="15"/>
      <c r="H43" s="15"/>
      <c r="I43" s="15" t="s">
        <v>627</v>
      </c>
      <c r="J43" s="47" t="s">
        <v>947</v>
      </c>
      <c r="K43" t="s">
        <v>946</v>
      </c>
      <c r="L43" s="47"/>
      <c r="M43" s="47" t="str">
        <f>_xlfn.LET(
    _xlpm.itemBuscado, B43,
    _xlpm.areaBuscada, C43,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TEXT(COUNTIF($C$2:C43, _xlpm.areaBuscada), "0000"),
    _xlpm.codItem &amp; "-" &amp; _xlpm.codArea &amp; "-" &amp; _xlpm.secuencia
)</f>
        <v>ZE-SO-TG-0005</v>
      </c>
      <c r="O43" s="15"/>
      <c r="Q43" s="48"/>
      <c r="AD43" s="72" t="s">
        <v>276</v>
      </c>
      <c r="AF43" s="20" t="s">
        <v>277</v>
      </c>
      <c r="AG43" t="s">
        <v>98</v>
      </c>
    </row>
    <row r="44" spans="2:42" ht="28.8" x14ac:dyDescent="0.3">
      <c r="B44" t="s">
        <v>13</v>
      </c>
      <c r="C44" s="11" t="s">
        <v>178</v>
      </c>
      <c r="E44" s="11" t="str" cm="1">
        <f t="array" ref="E44">_xlfn.IFS(
    COUNTIF(Herramientas_eléctricas1862106149[Herramientas_eléctricas], B44) &gt; 0, Herramientas_eléctricas1862106149[[#Headers],[Herramientas_eléctricas]],
    COUNTIF(Herramientas_neumáticas1963107150[Herramientas_neumáticas], B44) &gt; 0, Herramientas_neumáticas1963107150[[#Headers],[Herramientas_neumáticas]],
    COUNTIF(Herramientas_de_medición2064108151[Herramientas_de_medición], B44) &gt; 0, Herramientas_de_medición2064108151[[#Headers],[Herramientas_de_medición]],
    COUNTIF(Herrramientas_mecánicas2165109152[Herramientas_mecánicas], B44) &gt; 0, Herrramientas_mecánicas2165109152[[#Headers],[Herramientas_mecánicas]],
    COUNTIF(AH44:AH50, B44) &gt; 0, Herramientas_hidráulicas2266110153[[#Headers],[Herramientas_hidráulicas]],
    COUNTIF(EPP_2367111154[SPCC], B44) &gt; 0, EPP_2367111154[[#Headers],[SPCC]],
   COUNTIF(Herramientas_de_izaje2468112155[Herramientas_de_izaje], B44) &gt; 0, Herramientas_de_izaje2468112155[[#Headers],[Herramientas_de_izaje]],
COUNTIF(Tabla162670114157[Equipos], B44) &gt; 0, Tabla162670114157[[#Headers],[Equipos]],
    TRUE, "Sin clasificación"
)</f>
        <v>Herramientas_eléctricas</v>
      </c>
      <c r="F44" s="15"/>
      <c r="G44" s="15" t="s">
        <v>761</v>
      </c>
      <c r="H44" s="15" t="s">
        <v>949</v>
      </c>
      <c r="I44" s="15" t="s">
        <v>638</v>
      </c>
      <c r="J44" s="47" t="s">
        <v>821</v>
      </c>
      <c r="K44" t="s">
        <v>950</v>
      </c>
      <c r="L44" s="47" t="s">
        <v>948</v>
      </c>
      <c r="M44" s="47" t="str">
        <f>_xlfn.LET(
    _xlpm.itemBuscado, B44,
    _xlpm.areaBuscada, C44,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TEXT(COUNTIF($C$2:C44, _xlpm.areaBuscada), "0000"),
    _xlpm.codItem &amp; "-" &amp; _xlpm.codArea &amp; "-" &amp; _xlpm.secuencia
)</f>
        <v>ZE-SO-TG-0006</v>
      </c>
      <c r="O44" s="15"/>
      <c r="Q44" s="48"/>
      <c r="AD44" s="73" t="s">
        <v>278</v>
      </c>
      <c r="AF44" s="18" t="s">
        <v>279</v>
      </c>
      <c r="AG44" s="26" t="s">
        <v>280</v>
      </c>
    </row>
    <row r="45" spans="2:42" ht="28.8" x14ac:dyDescent="0.3">
      <c r="B45" t="s">
        <v>13</v>
      </c>
      <c r="C45" s="11" t="s">
        <v>178</v>
      </c>
      <c r="E45" s="11" t="str" cm="1">
        <f t="array" ref="E45">_xlfn.IFS(
    COUNTIF(Herramientas_eléctricas1862106149[Herramientas_eléctricas], B45) &gt; 0, Herramientas_eléctricas1862106149[[#Headers],[Herramientas_eléctricas]],
    COUNTIF(Herramientas_neumáticas1963107150[Herramientas_neumáticas], B45) &gt; 0, Herramientas_neumáticas1963107150[[#Headers],[Herramientas_neumáticas]],
    COUNTIF(Herramientas_de_medición2064108151[Herramientas_de_medición], B45) &gt; 0, Herramientas_de_medición2064108151[[#Headers],[Herramientas_de_medición]],
    COUNTIF(Herrramientas_mecánicas2165109152[Herramientas_mecánicas], B45) &gt; 0, Herrramientas_mecánicas2165109152[[#Headers],[Herramientas_mecánicas]],
    COUNTIF(AH45:AH51, B45) &gt; 0, Herramientas_hidráulicas2266110153[[#Headers],[Herramientas_hidráulicas]],
    COUNTIF(EPP_2367111154[SPCC], B45) &gt; 0, EPP_2367111154[[#Headers],[SPCC]],
   COUNTIF(Herramientas_de_izaje2468112155[Herramientas_de_izaje], B45) &gt; 0, Herramientas_de_izaje2468112155[[#Headers],[Herramientas_de_izaje]],
COUNTIF(Tabla162670114157[Equipos], B45) &gt; 0, Tabla162670114157[[#Headers],[Equipos]],
    TRUE, "Sin clasificación"
)</f>
        <v>Herramientas_eléctricas</v>
      </c>
      <c r="F45" s="15"/>
      <c r="G45" s="15" t="s">
        <v>957</v>
      </c>
      <c r="H45" s="15" t="s">
        <v>949</v>
      </c>
      <c r="I45" s="15" t="s">
        <v>638</v>
      </c>
      <c r="J45" s="47" t="s">
        <v>821</v>
      </c>
      <c r="K45" t="s">
        <v>955</v>
      </c>
      <c r="L45" s="47" t="s">
        <v>956</v>
      </c>
      <c r="M45" s="47" t="str">
        <f>_xlfn.LET(
    _xlpm.itemBuscado, B45,
    _xlpm.areaBuscada, C45,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TEXT(COUNTIF($C$2:C45, _xlpm.areaBuscada), "0000"),
    _xlpm.codItem &amp; "-" &amp; _xlpm.codArea &amp; "-" &amp; _xlpm.secuencia
)</f>
        <v>ZE-SO-TG-0007</v>
      </c>
      <c r="O45" s="15"/>
      <c r="Q45" s="48"/>
      <c r="AD45" t="s">
        <v>42</v>
      </c>
      <c r="AF45" s="26" t="s">
        <v>281</v>
      </c>
    </row>
    <row r="46" spans="2:42" ht="28.8" x14ac:dyDescent="0.3">
      <c r="B46" t="s">
        <v>13</v>
      </c>
      <c r="C46" s="11" t="s">
        <v>178</v>
      </c>
      <c r="E46" s="11" t="str" cm="1">
        <f t="array" ref="E46">_xlfn.IFS(
    COUNTIF(Herramientas_eléctricas1862106149[Herramientas_eléctricas], B46) &gt; 0, Herramientas_eléctricas1862106149[[#Headers],[Herramientas_eléctricas]],
    COUNTIF(Herramientas_neumáticas1963107150[Herramientas_neumáticas], B46) &gt; 0, Herramientas_neumáticas1963107150[[#Headers],[Herramientas_neumáticas]],
    COUNTIF(Herramientas_de_medición2064108151[Herramientas_de_medición], B46) &gt; 0, Herramientas_de_medición2064108151[[#Headers],[Herramientas_de_medición]],
    COUNTIF(Herrramientas_mecánicas2165109152[Herramientas_mecánicas], B46) &gt; 0, Herrramientas_mecánicas2165109152[[#Headers],[Herramientas_mecánicas]],
    COUNTIF(AH46:AH52, B46) &gt; 0, Herramientas_hidráulicas2266110153[[#Headers],[Herramientas_hidráulicas]],
    COUNTIF(EPP_2367111154[SPCC], B46) &gt; 0, EPP_2367111154[[#Headers],[SPCC]],
   COUNTIF(Herramientas_de_izaje2468112155[Herramientas_de_izaje], B46) &gt; 0, Herramientas_de_izaje2468112155[[#Headers],[Herramientas_de_izaje]],
COUNTIF(Tabla162670114157[Equipos], B46) &gt; 0, Tabla162670114157[[#Headers],[Equipos]],
    TRUE, "Sin clasificación"
)</f>
        <v>Herramientas_eléctricas</v>
      </c>
      <c r="F46" s="15"/>
      <c r="G46" s="15" t="s">
        <v>957</v>
      </c>
      <c r="H46" s="15" t="s">
        <v>949</v>
      </c>
      <c r="I46" s="15" t="s">
        <v>638</v>
      </c>
      <c r="J46" s="47" t="s">
        <v>821</v>
      </c>
      <c r="K46" t="s">
        <v>958</v>
      </c>
      <c r="L46" s="47"/>
      <c r="M46" s="47" t="str">
        <f>_xlfn.LET(
    _xlpm.itemBuscado, B46,
    _xlpm.areaBuscada, C46,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TEXT(COUNTIF($C$2:C46, _xlpm.areaBuscada), "0000"),
    _xlpm.codItem &amp; "-" &amp; _xlpm.codArea &amp; "-" &amp; _xlpm.secuencia
)</f>
        <v>ZE-SO-TG-0008</v>
      </c>
      <c r="N46">
        <v>24482</v>
      </c>
      <c r="O46" s="15"/>
      <c r="Q46" s="48"/>
    </row>
    <row r="47" spans="2:42" ht="28.8" x14ac:dyDescent="0.3">
      <c r="B47" t="s">
        <v>13</v>
      </c>
      <c r="C47" s="11" t="s">
        <v>178</v>
      </c>
      <c r="E47" s="11" t="str" cm="1">
        <f t="array" ref="E47">_xlfn.IFS(
    COUNTIF(Herramientas_eléctricas1862106149[Herramientas_eléctricas], B47) &gt; 0, Herramientas_eléctricas1862106149[[#Headers],[Herramientas_eléctricas]],
    COUNTIF(Herramientas_neumáticas1963107150[Herramientas_neumáticas], B47) &gt; 0, Herramientas_neumáticas1963107150[[#Headers],[Herramientas_neumáticas]],
    COUNTIF(Herramientas_de_medición2064108151[Herramientas_de_medición], B47) &gt; 0, Herramientas_de_medición2064108151[[#Headers],[Herramientas_de_medición]],
    COUNTIF(Herrramientas_mecánicas2165109152[Herramientas_mecánicas], B47) &gt; 0, Herrramientas_mecánicas2165109152[[#Headers],[Herramientas_mecánicas]],
    COUNTIF(AH47:AH53, B47) &gt; 0, Herramientas_hidráulicas2266110153[[#Headers],[Herramientas_hidráulicas]],
    COUNTIF(EPP_2367111154[SPCC], B47) &gt; 0, EPP_2367111154[[#Headers],[SPCC]],
   COUNTIF(Herramientas_de_izaje2468112155[Herramientas_de_izaje], B47) &gt; 0, Herramientas_de_izaje2468112155[[#Headers],[Herramientas_de_izaje]],
COUNTIF(Tabla162670114157[Equipos], B47) &gt; 0, Tabla162670114157[[#Headers],[Equipos]],
    TRUE, "Sin clasificación"
)</f>
        <v>Herramientas_eléctricas</v>
      </c>
      <c r="F47" s="15"/>
      <c r="G47" s="15"/>
      <c r="H47" s="15"/>
      <c r="I47" s="15" t="s">
        <v>627</v>
      </c>
      <c r="J47" s="47" t="s">
        <v>960</v>
      </c>
      <c r="K47" t="s">
        <v>959</v>
      </c>
      <c r="L47" s="47" t="s">
        <v>961</v>
      </c>
      <c r="M47" s="47" t="str">
        <f>_xlfn.LET(
    _xlpm.itemBuscado, B47,
    _xlpm.areaBuscada, C47,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TEXT(COUNTIF($C$2:C47, _xlpm.areaBuscada), "0000"),
    _xlpm.codItem &amp; "-" &amp; _xlpm.codArea &amp; "-" &amp; _xlpm.secuencia
)</f>
        <v>ZE-SO-TG-0009</v>
      </c>
      <c r="O47" s="15"/>
      <c r="Q47" s="48"/>
      <c r="AD47" t="s">
        <v>41</v>
      </c>
      <c r="AG47" t="s">
        <v>282</v>
      </c>
    </row>
    <row r="48" spans="2:42" ht="28.8" x14ac:dyDescent="0.3">
      <c r="B48" t="s">
        <v>13</v>
      </c>
      <c r="C48" s="11" t="s">
        <v>178</v>
      </c>
      <c r="E48" s="11" t="str" cm="1">
        <f t="array" ref="E48">_xlfn.IFS(
    COUNTIF(Herramientas_eléctricas1862106149[Herramientas_eléctricas], B48) &gt; 0, Herramientas_eléctricas1862106149[[#Headers],[Herramientas_eléctricas]],
    COUNTIF(Herramientas_neumáticas1963107150[Herramientas_neumáticas], B48) &gt; 0, Herramientas_neumáticas1963107150[[#Headers],[Herramientas_neumáticas]],
    COUNTIF(Herramientas_de_medición2064108151[Herramientas_de_medición], B48) &gt; 0, Herramientas_de_medición2064108151[[#Headers],[Herramientas_de_medición]],
    COUNTIF(Herrramientas_mecánicas2165109152[Herramientas_mecánicas], B48) &gt; 0, Herrramientas_mecánicas2165109152[[#Headers],[Herramientas_mecánicas]],
    COUNTIF(AH48:AH54, B48) &gt; 0, Herramientas_hidráulicas2266110153[[#Headers],[Herramientas_hidráulicas]],
    COUNTIF(EPP_2367111154[SPCC], B48) &gt; 0, EPP_2367111154[[#Headers],[SPCC]],
   COUNTIF(Herramientas_de_izaje2468112155[Herramientas_de_izaje], B48) &gt; 0, Herramientas_de_izaje2468112155[[#Headers],[Herramientas_de_izaje]],
COUNTIF(Tabla162670114157[Equipos], B48) &gt; 0, Tabla162670114157[[#Headers],[Equipos]],
    TRUE, "Sin clasificación"
)</f>
        <v>Herramientas_eléctricas</v>
      </c>
      <c r="F48" s="15"/>
      <c r="G48" s="15"/>
      <c r="H48" s="15"/>
      <c r="I48" s="15" t="s">
        <v>638</v>
      </c>
      <c r="J48" s="47" t="s">
        <v>821</v>
      </c>
      <c r="K48" t="s">
        <v>962</v>
      </c>
      <c r="L48" s="47" t="s">
        <v>963</v>
      </c>
      <c r="M48" s="47" t="str">
        <f>_xlfn.LET(
    _xlpm.itemBuscado, B48,
    _xlpm.areaBuscada, C48,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TEXT(COUNTIF($C$2:C48, _xlpm.areaBuscada), "0000"),
    _xlpm.codItem &amp; "-" &amp; _xlpm.codArea &amp; "-" &amp; _xlpm.secuencia
)</f>
        <v>ZE-SO-TG-0010</v>
      </c>
      <c r="O48" s="15"/>
      <c r="Q48" s="48"/>
      <c r="AD48" t="s">
        <v>41</v>
      </c>
      <c r="AF48" t="s">
        <v>283</v>
      </c>
      <c r="AG48" s="74" t="s">
        <v>284</v>
      </c>
      <c r="AP48" t="s">
        <v>74</v>
      </c>
    </row>
    <row r="49" spans="2:42" ht="28.8" x14ac:dyDescent="0.3">
      <c r="B49" t="s">
        <v>13</v>
      </c>
      <c r="C49" s="11" t="s">
        <v>178</v>
      </c>
      <c r="E49" s="11" t="str" cm="1">
        <f t="array" ref="E49">_xlfn.IFS(
    COUNTIF(Herramientas_eléctricas1862106149[Herramientas_eléctricas], B49) &gt; 0, Herramientas_eléctricas1862106149[[#Headers],[Herramientas_eléctricas]],
    COUNTIF(Herramientas_neumáticas1963107150[Herramientas_neumáticas], B49) &gt; 0, Herramientas_neumáticas1963107150[[#Headers],[Herramientas_neumáticas]],
    COUNTIF(Herramientas_de_medición2064108151[Herramientas_de_medición], B49) &gt; 0, Herramientas_de_medición2064108151[[#Headers],[Herramientas_de_medición]],
    COUNTIF(Herrramientas_mecánicas2165109152[Herramientas_mecánicas], B49) &gt; 0, Herrramientas_mecánicas2165109152[[#Headers],[Herramientas_mecánicas]],
    COUNTIF(AH49:AH55, B49) &gt; 0, Herramientas_hidráulicas2266110153[[#Headers],[Herramientas_hidráulicas]],
    COUNTIF(EPP_2367111154[SPCC], B49) &gt; 0, EPP_2367111154[[#Headers],[SPCC]],
   COUNTIF(Herramientas_de_izaje2468112155[Herramientas_de_izaje], B49) &gt; 0, Herramientas_de_izaje2468112155[[#Headers],[Herramientas_de_izaje]],
COUNTIF(Tabla162670114157[Equipos], B49) &gt; 0, Tabla162670114157[[#Headers],[Equipos]],
    TRUE, "Sin clasificación"
)</f>
        <v>Herramientas_eléctricas</v>
      </c>
      <c r="F49" s="15"/>
      <c r="G49" s="15"/>
      <c r="H49" s="15"/>
      <c r="I49" s="15" t="s">
        <v>627</v>
      </c>
      <c r="J49" s="47" t="s">
        <v>881</v>
      </c>
      <c r="K49" t="s">
        <v>964</v>
      </c>
      <c r="L49" s="47" t="s">
        <v>965</v>
      </c>
      <c r="M49" s="47" t="str">
        <f>_xlfn.LET(
    _xlpm.itemBuscado, B49,
    _xlpm.areaBuscada, C49,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TEXT(COUNTIF($C$2:C49, _xlpm.areaBuscada), "0000"),
    _xlpm.codItem &amp; "-" &amp; _xlpm.codArea &amp; "-" &amp; _xlpm.secuencia
)</f>
        <v>ZE-SO-TG-0011</v>
      </c>
      <c r="O49" s="15"/>
      <c r="Q49" s="48"/>
      <c r="AD49" t="s">
        <v>285</v>
      </c>
      <c r="AF49" t="s">
        <v>286</v>
      </c>
      <c r="AP49" s="22" t="s">
        <v>74</v>
      </c>
    </row>
    <row r="50" spans="2:42" ht="28.8" x14ac:dyDescent="0.3">
      <c r="B50" t="s">
        <v>13</v>
      </c>
      <c r="C50" s="11" t="s">
        <v>178</v>
      </c>
      <c r="E50" s="11" t="str" cm="1">
        <f t="array" ref="E50">_xlfn.IFS(
    COUNTIF(Herramientas_eléctricas1862106149[Herramientas_eléctricas], B50) &gt; 0, Herramientas_eléctricas1862106149[[#Headers],[Herramientas_eléctricas]],
    COUNTIF(Herramientas_neumáticas1963107150[Herramientas_neumáticas], B50) &gt; 0, Herramientas_neumáticas1963107150[[#Headers],[Herramientas_neumáticas]],
    COUNTIF(Herramientas_de_medición2064108151[Herramientas_de_medición], B50) &gt; 0, Herramientas_de_medición2064108151[[#Headers],[Herramientas_de_medición]],
    COUNTIF(Herrramientas_mecánicas2165109152[Herramientas_mecánicas], B50) &gt; 0, Herrramientas_mecánicas2165109152[[#Headers],[Herramientas_mecánicas]],
    COUNTIF(AH50:AH56, B50) &gt; 0, Herramientas_hidráulicas2266110153[[#Headers],[Herramientas_hidráulicas]],
    COUNTIF(EPP_2367111154[SPCC], B50) &gt; 0, EPP_2367111154[[#Headers],[SPCC]],
   COUNTIF(Herramientas_de_izaje2468112155[Herramientas_de_izaje], B50) &gt; 0, Herramientas_de_izaje2468112155[[#Headers],[Herramientas_de_izaje]],
COUNTIF(Tabla162670114157[Equipos], B50) &gt; 0, Tabla162670114157[[#Headers],[Equipos]],
    TRUE, "Sin clasificación"
)</f>
        <v>Herramientas_eléctricas</v>
      </c>
      <c r="F50" s="15"/>
      <c r="G50" s="15" t="s">
        <v>967</v>
      </c>
      <c r="H50" s="15"/>
      <c r="I50" s="15" t="s">
        <v>638</v>
      </c>
      <c r="J50" s="47" t="s">
        <v>968</v>
      </c>
      <c r="K50" t="s">
        <v>804</v>
      </c>
      <c r="L50" s="47" t="s">
        <v>966</v>
      </c>
      <c r="M50" s="47" t="str">
        <f>_xlfn.LET(
    _xlpm.itemBuscado, B50,
    _xlpm.areaBuscada, C50,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TEXT(COUNTIF($C$2:C50, _xlpm.areaBuscada), "0000"),
    _xlpm.codItem &amp; "-" &amp; _xlpm.codArea &amp; "-" &amp; _xlpm.secuencia
)</f>
        <v>ZE-SO-TG-0012</v>
      </c>
      <c r="O50" s="15"/>
      <c r="Q50" s="48"/>
      <c r="AD50" t="s">
        <v>287</v>
      </c>
      <c r="AF50" t="s">
        <v>288</v>
      </c>
      <c r="AG50" t="s">
        <v>289</v>
      </c>
      <c r="AP50" s="18" t="s">
        <v>290</v>
      </c>
    </row>
    <row r="51" spans="2:42" ht="28.8" x14ac:dyDescent="0.3">
      <c r="B51" t="s">
        <v>13</v>
      </c>
      <c r="C51" s="11" t="s">
        <v>178</v>
      </c>
      <c r="E51" s="11" t="str" cm="1">
        <f t="array" ref="E51">_xlfn.IFS(
    COUNTIF(Herramientas_eléctricas1862106149[Herramientas_eléctricas], B51) &gt; 0, Herramientas_eléctricas1862106149[[#Headers],[Herramientas_eléctricas]],
    COUNTIF(Herramientas_neumáticas1963107150[Herramientas_neumáticas], B51) &gt; 0, Herramientas_neumáticas1963107150[[#Headers],[Herramientas_neumáticas]],
    COUNTIF(Herramientas_de_medición2064108151[Herramientas_de_medición], B51) &gt; 0, Herramientas_de_medición2064108151[[#Headers],[Herramientas_de_medición]],
    COUNTIF(Herrramientas_mecánicas2165109152[Herramientas_mecánicas], B51) &gt; 0, Herrramientas_mecánicas2165109152[[#Headers],[Herramientas_mecánicas]],
    COUNTIF(AH51:AH57, B51) &gt; 0, Herramientas_hidráulicas2266110153[[#Headers],[Herramientas_hidráulicas]],
    COUNTIF(EPP_2367111154[SPCC], B51) &gt; 0, EPP_2367111154[[#Headers],[SPCC]],
   COUNTIF(Herramientas_de_izaje2468112155[Herramientas_de_izaje], B51) &gt; 0, Herramientas_de_izaje2468112155[[#Headers],[Herramientas_de_izaje]],
COUNTIF(Tabla162670114157[Equipos], B51) &gt; 0, Tabla162670114157[[#Headers],[Equipos]],
    TRUE, "Sin clasificación"
)</f>
        <v>Herramientas_eléctricas</v>
      </c>
      <c r="F51" s="15"/>
      <c r="G51" s="15"/>
      <c r="H51" s="15" t="s">
        <v>970</v>
      </c>
      <c r="I51" s="15" t="s">
        <v>638</v>
      </c>
      <c r="J51" s="47" t="s">
        <v>969</v>
      </c>
      <c r="K51" t="s">
        <v>804</v>
      </c>
      <c r="L51" s="47"/>
      <c r="M51" s="47" t="str">
        <f>_xlfn.LET(
    _xlpm.itemBuscado, B51,
    _xlpm.areaBuscada, C51,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TEXT(COUNTIF($C$2:C51, _xlpm.areaBuscada), "0000"),
    _xlpm.codItem &amp; "-" &amp; _xlpm.codArea &amp; "-" &amp; _xlpm.secuencia
)</f>
        <v>ZE-SO-TG-0013</v>
      </c>
      <c r="O51" s="15"/>
      <c r="Q51" s="48"/>
      <c r="AG51" s="22" t="s">
        <v>291</v>
      </c>
    </row>
    <row r="52" spans="2:42" ht="28.8" x14ac:dyDescent="0.3">
      <c r="B52" t="s">
        <v>13</v>
      </c>
      <c r="C52" s="11" t="s">
        <v>178</v>
      </c>
      <c r="E52" s="11" t="str" cm="1">
        <f t="array" ref="E52">_xlfn.IFS(
    COUNTIF(Herramientas_eléctricas1862106149[Herramientas_eléctricas], B52) &gt; 0, Herramientas_eléctricas1862106149[[#Headers],[Herramientas_eléctricas]],
    COUNTIF(Herramientas_neumáticas1963107150[Herramientas_neumáticas], B52) &gt; 0, Herramientas_neumáticas1963107150[[#Headers],[Herramientas_neumáticas]],
    COUNTIF(Herramientas_de_medición2064108151[Herramientas_de_medición], B52) &gt; 0, Herramientas_de_medición2064108151[[#Headers],[Herramientas_de_medición]],
    COUNTIF(Herrramientas_mecánicas2165109152[Herramientas_mecánicas], B52) &gt; 0, Herrramientas_mecánicas2165109152[[#Headers],[Herramientas_mecánicas]],
    COUNTIF(AH52:AH58, B52) &gt; 0, Herramientas_hidráulicas2266110153[[#Headers],[Herramientas_hidráulicas]],
    COUNTIF(EPP_2367111154[SPCC], B52) &gt; 0, EPP_2367111154[[#Headers],[SPCC]],
   COUNTIF(Herramientas_de_izaje2468112155[Herramientas_de_izaje], B52) &gt; 0, Herramientas_de_izaje2468112155[[#Headers],[Herramientas_de_izaje]],
COUNTIF(Tabla162670114157[Equipos], B52) &gt; 0, Tabla162670114157[[#Headers],[Equipos]],
    TRUE, "Sin clasificación"
)</f>
        <v>Herramientas_eléctricas</v>
      </c>
      <c r="F52" s="15"/>
      <c r="G52" s="15"/>
      <c r="H52" s="15"/>
      <c r="I52" s="15" t="s">
        <v>627</v>
      </c>
      <c r="J52" s="47" t="s">
        <v>881</v>
      </c>
      <c r="K52" t="s">
        <v>971</v>
      </c>
      <c r="L52" s="47"/>
      <c r="M52" s="47" t="str">
        <f>_xlfn.LET(
    _xlpm.itemBuscado, B52,
    _xlpm.areaBuscada, C52,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TEXT(COUNTIF($C$2:C52, _xlpm.areaBuscada), "0000"),
    _xlpm.codItem &amp; "-" &amp; _xlpm.codArea &amp; "-" &amp; _xlpm.secuencia
)</f>
        <v>ZE-SO-TG-0014</v>
      </c>
      <c r="O52" s="15"/>
      <c r="Q52" s="48"/>
      <c r="AD52" t="s">
        <v>60</v>
      </c>
      <c r="AG52" s="67" t="s">
        <v>292</v>
      </c>
    </row>
    <row r="53" spans="2:42" ht="28.8" x14ac:dyDescent="0.3">
      <c r="B53" t="s">
        <v>13</v>
      </c>
      <c r="C53" s="11" t="s">
        <v>178</v>
      </c>
      <c r="E53" s="11" t="str" cm="1">
        <f t="array" ref="E53">_xlfn.IFS(
    COUNTIF(Herramientas_eléctricas1862106149[Herramientas_eléctricas], B53) &gt; 0, Herramientas_eléctricas1862106149[[#Headers],[Herramientas_eléctricas]],
    COUNTIF(Herramientas_neumáticas1963107150[Herramientas_neumáticas], B53) &gt; 0, Herramientas_neumáticas1963107150[[#Headers],[Herramientas_neumáticas]],
    COUNTIF(Herramientas_de_medición2064108151[Herramientas_de_medición], B53) &gt; 0, Herramientas_de_medición2064108151[[#Headers],[Herramientas_de_medición]],
    COUNTIF(Herrramientas_mecánicas2165109152[Herramientas_mecánicas], B53) &gt; 0, Herrramientas_mecánicas2165109152[[#Headers],[Herramientas_mecánicas]],
    COUNTIF(AH53:AH59, B53) &gt; 0, Herramientas_hidráulicas2266110153[[#Headers],[Herramientas_hidráulicas]],
    COUNTIF(EPP_2367111154[SPCC], B53) &gt; 0, EPP_2367111154[[#Headers],[SPCC]],
   COUNTIF(Herramientas_de_izaje2468112155[Herramientas_de_izaje], B53) &gt; 0, Herramientas_de_izaje2468112155[[#Headers],[Herramientas_de_izaje]],
COUNTIF(Tabla162670114157[Equipos], B53) &gt; 0, Tabla162670114157[[#Headers],[Equipos]],
    TRUE, "Sin clasificación"
)</f>
        <v>Herramientas_eléctricas</v>
      </c>
      <c r="F53" s="15"/>
      <c r="G53" s="15"/>
      <c r="H53" s="15"/>
      <c r="I53" s="15" t="s">
        <v>638</v>
      </c>
      <c r="J53" s="47" t="s">
        <v>821</v>
      </c>
      <c r="K53" t="s">
        <v>972</v>
      </c>
      <c r="L53" s="47" t="s">
        <v>973</v>
      </c>
      <c r="M53" s="47" t="str">
        <f>_xlfn.LET(
    _xlpm.itemBuscado, B53,
    _xlpm.areaBuscada, C53,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TEXT(COUNTIF($C$2:C53, _xlpm.areaBuscada), "0000"),
    _xlpm.codItem &amp; "-" &amp; _xlpm.codArea &amp; "-" &amp; _xlpm.secuencia
)</f>
        <v>ZE-SO-TG-0015</v>
      </c>
      <c r="O53" s="15"/>
      <c r="Q53" s="48"/>
      <c r="AD53" s="70" t="s">
        <v>293</v>
      </c>
      <c r="AG53" s="22" t="s">
        <v>294</v>
      </c>
    </row>
    <row r="54" spans="2:42" ht="28.8" x14ac:dyDescent="0.3">
      <c r="B54" t="s">
        <v>13</v>
      </c>
      <c r="C54" s="11" t="s">
        <v>178</v>
      </c>
      <c r="E54" s="11" t="str" cm="1">
        <f t="array" ref="E54">_xlfn.IFS(
    COUNTIF(Herramientas_eléctricas1862106149[Herramientas_eléctricas], B54) &gt; 0, Herramientas_eléctricas1862106149[[#Headers],[Herramientas_eléctricas]],
    COUNTIF(Herramientas_neumáticas1963107150[Herramientas_neumáticas], B54) &gt; 0, Herramientas_neumáticas1963107150[[#Headers],[Herramientas_neumáticas]],
    COUNTIF(Herramientas_de_medición2064108151[Herramientas_de_medición], B54) &gt; 0, Herramientas_de_medición2064108151[[#Headers],[Herramientas_de_medición]],
    COUNTIF(Herrramientas_mecánicas2165109152[Herramientas_mecánicas], B54) &gt; 0, Herrramientas_mecánicas2165109152[[#Headers],[Herramientas_mecánicas]],
    COUNTIF(AH54:AH60, B54) &gt; 0, Herramientas_hidráulicas2266110153[[#Headers],[Herramientas_hidráulicas]],
    COUNTIF(EPP_2367111154[SPCC], B54) &gt; 0, EPP_2367111154[[#Headers],[SPCC]],
   COUNTIF(Herramientas_de_izaje2468112155[Herramientas_de_izaje], B54) &gt; 0, Herramientas_de_izaje2468112155[[#Headers],[Herramientas_de_izaje]],
COUNTIF(Tabla162670114157[Equipos], B54) &gt; 0, Tabla162670114157[[#Headers],[Equipos]],
    TRUE, "Sin clasificación"
)</f>
        <v>Herramientas_eléctricas</v>
      </c>
      <c r="F54" s="15"/>
      <c r="G54" s="15"/>
      <c r="H54" s="15"/>
      <c r="I54" s="15" t="s">
        <v>638</v>
      </c>
      <c r="J54" s="47" t="s">
        <v>821</v>
      </c>
      <c r="K54" t="s">
        <v>922</v>
      </c>
      <c r="L54" s="47"/>
      <c r="M54" s="47" t="str">
        <f>_xlfn.LET(
    _xlpm.itemBuscado, B54,
    _xlpm.areaBuscada, C54,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TEXT(COUNTIF($C$2:C54, _xlpm.areaBuscada), "0000"),
    _xlpm.codItem &amp; "-" &amp; _xlpm.codArea &amp; "-" &amp; _xlpm.secuencia
)</f>
        <v>ZE-SO-TG-0016</v>
      </c>
      <c r="O54" s="15"/>
      <c r="Q54" s="48"/>
      <c r="AG54" s="22" t="s">
        <v>295</v>
      </c>
    </row>
    <row r="55" spans="2:42" ht="28.8" x14ac:dyDescent="0.3">
      <c r="B55" t="s">
        <v>13</v>
      </c>
      <c r="C55" s="11" t="s">
        <v>178</v>
      </c>
      <c r="E55" s="11" t="str" cm="1">
        <f t="array" ref="E55">_xlfn.IFS(
    COUNTIF(Herramientas_eléctricas1862106149[Herramientas_eléctricas], B55) &gt; 0, Herramientas_eléctricas1862106149[[#Headers],[Herramientas_eléctricas]],
    COUNTIF(Herramientas_neumáticas1963107150[Herramientas_neumáticas], B55) &gt; 0, Herramientas_neumáticas1963107150[[#Headers],[Herramientas_neumáticas]],
    COUNTIF(Herramientas_de_medición2064108151[Herramientas_de_medición], B55) &gt; 0, Herramientas_de_medición2064108151[[#Headers],[Herramientas_de_medición]],
    COUNTIF(Herrramientas_mecánicas2165109152[Herramientas_mecánicas], B55) &gt; 0, Herrramientas_mecánicas2165109152[[#Headers],[Herramientas_mecánicas]],
    COUNTIF(AH55:AH61, B55) &gt; 0, Herramientas_hidráulicas2266110153[[#Headers],[Herramientas_hidráulicas]],
    COUNTIF(EPP_2367111154[SPCC], B55) &gt; 0, EPP_2367111154[[#Headers],[SPCC]],
   COUNTIF(Herramientas_de_izaje2468112155[Herramientas_de_izaje], B55) &gt; 0, Herramientas_de_izaje2468112155[[#Headers],[Herramientas_de_izaje]],
COUNTIF(Tabla162670114157[Equipos], B55) &gt; 0, Tabla162670114157[[#Headers],[Equipos]],
    TRUE, "Sin clasificación"
)</f>
        <v>Herramientas_eléctricas</v>
      </c>
      <c r="F55" s="15"/>
      <c r="G55" s="15"/>
      <c r="H55" s="15"/>
      <c r="I55" s="15" t="s">
        <v>638</v>
      </c>
      <c r="J55" s="47" t="s">
        <v>974</v>
      </c>
      <c r="K55" t="s">
        <v>804</v>
      </c>
      <c r="L55" s="47">
        <v>217491</v>
      </c>
      <c r="M55" s="47" t="str">
        <f>_xlfn.LET(
    _xlpm.itemBuscado, B55,
    _xlpm.areaBuscada, C55,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TEXT(COUNTIF($C$2:C55, _xlpm.areaBuscada), "0000"),
    _xlpm.codItem &amp; "-" &amp; _xlpm.codArea &amp; "-" &amp; _xlpm.secuencia
)</f>
        <v>ZE-SO-TG-0017</v>
      </c>
      <c r="O55" s="15"/>
      <c r="Q55" s="48"/>
      <c r="AG55" s="22" t="s">
        <v>296</v>
      </c>
    </row>
    <row r="56" spans="2:42" ht="28.8" x14ac:dyDescent="0.3">
      <c r="B56" t="s">
        <v>13</v>
      </c>
      <c r="C56" s="11" t="s">
        <v>178</v>
      </c>
      <c r="E56" s="11" t="str" cm="1">
        <f t="array" ref="E56">_xlfn.IFS(
    COUNTIF(Herramientas_eléctricas1862106149[Herramientas_eléctricas], B56) &gt; 0, Herramientas_eléctricas1862106149[[#Headers],[Herramientas_eléctricas]],
    COUNTIF(Herramientas_neumáticas1963107150[Herramientas_neumáticas], B56) &gt; 0, Herramientas_neumáticas1963107150[[#Headers],[Herramientas_neumáticas]],
    COUNTIF(Herramientas_de_medición2064108151[Herramientas_de_medición], B56) &gt; 0, Herramientas_de_medición2064108151[[#Headers],[Herramientas_de_medición]],
    COUNTIF(Herrramientas_mecánicas2165109152[Herramientas_mecánicas], B56) &gt; 0, Herrramientas_mecánicas2165109152[[#Headers],[Herramientas_mecánicas]],
    COUNTIF(AH56:AH62, B56) &gt; 0, Herramientas_hidráulicas2266110153[[#Headers],[Herramientas_hidráulicas]],
    COUNTIF(EPP_2367111154[SPCC], B56) &gt; 0, EPP_2367111154[[#Headers],[SPCC]],
   COUNTIF(Herramientas_de_izaje2468112155[Herramientas_de_izaje], B56) &gt; 0, Herramientas_de_izaje2468112155[[#Headers],[Herramientas_de_izaje]],
COUNTIF(Tabla162670114157[Equipos], B56) &gt; 0, Tabla162670114157[[#Headers],[Equipos]],
    TRUE, "Sin clasificación"
)</f>
        <v>Herramientas_eléctricas</v>
      </c>
      <c r="F56" s="15"/>
      <c r="G56" s="15"/>
      <c r="H56" s="15"/>
      <c r="I56" s="15" t="s">
        <v>627</v>
      </c>
      <c r="J56" s="47" t="s">
        <v>986</v>
      </c>
      <c r="K56" t="s">
        <v>920</v>
      </c>
      <c r="L56" s="47"/>
      <c r="M56" s="47" t="str">
        <f>_xlfn.LET(
    _xlpm.itemBuscado, B56,
    _xlpm.areaBuscada, C56,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TEXT(COUNTIF($C$2:C56, _xlpm.areaBuscada), "0000"),
    _xlpm.codItem &amp; "-" &amp; _xlpm.codArea &amp; "-" &amp; _xlpm.secuencia
)</f>
        <v>ZE-SO-TG-0018</v>
      </c>
      <c r="O56" s="15"/>
      <c r="Q56" s="48"/>
      <c r="AF56" t="s">
        <v>297</v>
      </c>
      <c r="AG56" s="18" t="s">
        <v>298</v>
      </c>
    </row>
    <row r="57" spans="2:42" ht="28.8" x14ac:dyDescent="0.3">
      <c r="B57" t="s">
        <v>13</v>
      </c>
      <c r="C57" s="11" t="s">
        <v>178</v>
      </c>
      <c r="E57" s="11" t="str" cm="1">
        <f t="array" ref="E57">_xlfn.IFS(
    COUNTIF(Herramientas_eléctricas1862106149[Herramientas_eléctricas], B57) &gt; 0, Herramientas_eléctricas1862106149[[#Headers],[Herramientas_eléctricas]],
    COUNTIF(Herramientas_neumáticas1963107150[Herramientas_neumáticas], B57) &gt; 0, Herramientas_neumáticas1963107150[[#Headers],[Herramientas_neumáticas]],
    COUNTIF(Herramientas_de_medición2064108151[Herramientas_de_medición], B57) &gt; 0, Herramientas_de_medición2064108151[[#Headers],[Herramientas_de_medición]],
    COUNTIF(Herrramientas_mecánicas2165109152[Herramientas_mecánicas], B57) &gt; 0, Herrramientas_mecánicas2165109152[[#Headers],[Herramientas_mecánicas]],
    COUNTIF(AH57:AH63, B57) &gt; 0, Herramientas_hidráulicas2266110153[[#Headers],[Herramientas_hidráulicas]],
    COUNTIF(EPP_2367111154[SPCC], B57) &gt; 0, EPP_2367111154[[#Headers],[SPCC]],
   COUNTIF(Herramientas_de_izaje2468112155[Herramientas_de_izaje], B57) &gt; 0, Herramientas_de_izaje2468112155[[#Headers],[Herramientas_de_izaje]],
COUNTIF(Tabla162670114157[Equipos], B57) &gt; 0, Tabla162670114157[[#Headers],[Equipos]],
    TRUE, "Sin clasificación"
)</f>
        <v>Herramientas_eléctricas</v>
      </c>
      <c r="F57" s="15"/>
      <c r="G57" s="15"/>
      <c r="H57" s="15"/>
      <c r="I57" s="15" t="s">
        <v>638</v>
      </c>
      <c r="J57" s="47" t="s">
        <v>821</v>
      </c>
      <c r="K57" t="s">
        <v>987</v>
      </c>
      <c r="L57" s="47" t="s">
        <v>988</v>
      </c>
      <c r="M57" s="47" t="str">
        <f>_xlfn.LET(
    _xlpm.itemBuscado, B57,
    _xlpm.areaBuscada, C57,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TEXT(COUNTIF($C$2:C57, _xlpm.areaBuscada), "0000"),
    _xlpm.codItem &amp; "-" &amp; _xlpm.codArea &amp; "-" &amp; _xlpm.secuencia
)</f>
        <v>ZE-SO-TG-0019</v>
      </c>
      <c r="O57" s="15"/>
      <c r="Q57" s="48"/>
      <c r="AF57" t="s">
        <v>299</v>
      </c>
      <c r="AG57" s="22" t="s">
        <v>300</v>
      </c>
    </row>
    <row r="58" spans="2:42" ht="28.8" x14ac:dyDescent="0.3">
      <c r="B58" t="s">
        <v>13</v>
      </c>
      <c r="C58" s="11" t="s">
        <v>178</v>
      </c>
      <c r="E58" s="11" t="str" cm="1">
        <f t="array" ref="E58">_xlfn.IFS(
    COUNTIF(Herramientas_eléctricas1862106149[Herramientas_eléctricas], B58) &gt; 0, Herramientas_eléctricas1862106149[[#Headers],[Herramientas_eléctricas]],
    COUNTIF(Herramientas_neumáticas1963107150[Herramientas_neumáticas], B58) &gt; 0, Herramientas_neumáticas1963107150[[#Headers],[Herramientas_neumáticas]],
    COUNTIF(Herramientas_de_medición2064108151[Herramientas_de_medición], B58) &gt; 0, Herramientas_de_medición2064108151[[#Headers],[Herramientas_de_medición]],
    COUNTIF(Herrramientas_mecánicas2165109152[Herramientas_mecánicas], B58) &gt; 0, Herrramientas_mecánicas2165109152[[#Headers],[Herramientas_mecánicas]],
    COUNTIF(AH58:AH64, B58) &gt; 0, Herramientas_hidráulicas2266110153[[#Headers],[Herramientas_hidráulicas]],
    COUNTIF(EPP_2367111154[SPCC], B58) &gt; 0, EPP_2367111154[[#Headers],[SPCC]],
   COUNTIF(Herramientas_de_izaje2468112155[Herramientas_de_izaje], B58) &gt; 0, Herramientas_de_izaje2468112155[[#Headers],[Herramientas_de_izaje]],
COUNTIF(Tabla162670114157[Equipos], B58) &gt; 0, Tabla162670114157[[#Headers],[Equipos]],
    TRUE, "Sin clasificación"
)</f>
        <v>Herramientas_eléctricas</v>
      </c>
      <c r="F58" s="15"/>
      <c r="G58" s="15"/>
      <c r="H58" s="15"/>
      <c r="I58" s="15" t="s">
        <v>638</v>
      </c>
      <c r="J58" s="47" t="s">
        <v>821</v>
      </c>
      <c r="K58" t="s">
        <v>920</v>
      </c>
      <c r="L58" s="47" t="s">
        <v>989</v>
      </c>
      <c r="M58" s="47" t="str">
        <f>_xlfn.LET(
    _xlpm.itemBuscado, B58,
    _xlpm.areaBuscada, C58,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TEXT(COUNTIF($C$2:C58, _xlpm.areaBuscada), "0000"),
    _xlpm.codItem &amp; "-" &amp; _xlpm.codArea &amp; "-" &amp; _xlpm.secuencia
)</f>
        <v>ZE-SO-TG-0020</v>
      </c>
      <c r="O58" s="15"/>
      <c r="Q58" s="48"/>
      <c r="AD58" t="s">
        <v>23</v>
      </c>
      <c r="AG58" s="18" t="s">
        <v>301</v>
      </c>
    </row>
    <row r="59" spans="2:42" ht="28.8" x14ac:dyDescent="0.3">
      <c r="B59" t="s">
        <v>13</v>
      </c>
      <c r="C59" s="11" t="s">
        <v>178</v>
      </c>
      <c r="E59" s="11" t="str" cm="1">
        <f t="array" ref="E59">_xlfn.IFS(
    COUNTIF(Herramientas_eléctricas1862106149[Herramientas_eléctricas], B59) &gt; 0, Herramientas_eléctricas1862106149[[#Headers],[Herramientas_eléctricas]],
    COUNTIF(Herramientas_neumáticas1963107150[Herramientas_neumáticas], B59) &gt; 0, Herramientas_neumáticas1963107150[[#Headers],[Herramientas_neumáticas]],
    COUNTIF(Herramientas_de_medición2064108151[Herramientas_de_medición], B59) &gt; 0, Herramientas_de_medición2064108151[[#Headers],[Herramientas_de_medición]],
    COUNTIF(Herrramientas_mecánicas2165109152[Herramientas_mecánicas], B59) &gt; 0, Herrramientas_mecánicas2165109152[[#Headers],[Herramientas_mecánicas]],
    COUNTIF(AH59:AH65, B59) &gt; 0, Herramientas_hidráulicas2266110153[[#Headers],[Herramientas_hidráulicas]],
    COUNTIF(EPP_2367111154[SPCC], B59) &gt; 0, EPP_2367111154[[#Headers],[SPCC]],
   COUNTIF(Herramientas_de_izaje2468112155[Herramientas_de_izaje], B59) &gt; 0, Herramientas_de_izaje2468112155[[#Headers],[Herramientas_de_izaje]],
COUNTIF(Tabla162670114157[Equipos], B59) &gt; 0, Tabla162670114157[[#Headers],[Equipos]],
    TRUE, "Sin clasificación"
)</f>
        <v>Herramientas_eléctricas</v>
      </c>
      <c r="F59" s="15"/>
      <c r="G59" s="15"/>
      <c r="H59" s="15"/>
      <c r="I59" s="15" t="s">
        <v>627</v>
      </c>
      <c r="J59" s="47" t="s">
        <v>986</v>
      </c>
      <c r="K59" t="s">
        <v>990</v>
      </c>
      <c r="L59" s="47">
        <v>24060200169</v>
      </c>
      <c r="M59" s="47" t="str">
        <f>_xlfn.LET(
    _xlpm.itemBuscado, B59,
    _xlpm.areaBuscada, C59,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TEXT(COUNTIF($C$2:C59, _xlpm.areaBuscada), "0000"),
    _xlpm.codItem &amp; "-" &amp; _xlpm.codArea &amp; "-" &amp; _xlpm.secuencia
)</f>
        <v>ZE-SO-TG-0021</v>
      </c>
      <c r="O59" s="15"/>
      <c r="Q59" s="48"/>
      <c r="AD59" t="s">
        <v>302</v>
      </c>
      <c r="AG59" s="70" t="s">
        <v>303</v>
      </c>
    </row>
    <row r="60" spans="2:42" ht="28.8" x14ac:dyDescent="0.3">
      <c r="B60" t="s">
        <v>13</v>
      </c>
      <c r="C60" s="11" t="s">
        <v>178</v>
      </c>
      <c r="E60" s="11" t="str" cm="1">
        <f t="array" ref="E60">_xlfn.IFS(
    COUNTIF(Herramientas_eléctricas1862106149[Herramientas_eléctricas], B60) &gt; 0, Herramientas_eléctricas1862106149[[#Headers],[Herramientas_eléctricas]],
    COUNTIF(Herramientas_neumáticas1963107150[Herramientas_neumáticas], B60) &gt; 0, Herramientas_neumáticas1963107150[[#Headers],[Herramientas_neumáticas]],
    COUNTIF(Herramientas_de_medición2064108151[Herramientas_de_medición], B60) &gt; 0, Herramientas_de_medición2064108151[[#Headers],[Herramientas_de_medición]],
    COUNTIF(Herrramientas_mecánicas2165109152[Herramientas_mecánicas], B60) &gt; 0, Herrramientas_mecánicas2165109152[[#Headers],[Herramientas_mecánicas]],
    COUNTIF(AH60:AH66, B60) &gt; 0, Herramientas_hidráulicas2266110153[[#Headers],[Herramientas_hidráulicas]],
    COUNTIF(EPP_2367111154[SPCC], B60) &gt; 0, EPP_2367111154[[#Headers],[SPCC]],
   COUNTIF(Herramientas_de_izaje2468112155[Herramientas_de_izaje], B60) &gt; 0, Herramientas_de_izaje2468112155[[#Headers],[Herramientas_de_izaje]],
COUNTIF(Tabla162670114157[Equipos], B60) &gt; 0, Tabla162670114157[[#Headers],[Equipos]],
    TRUE, "Sin clasificación"
)</f>
        <v>Herramientas_eléctricas</v>
      </c>
      <c r="F60" s="15"/>
      <c r="G60" s="15"/>
      <c r="H60" s="15"/>
      <c r="I60" s="15" t="s">
        <v>627</v>
      </c>
      <c r="J60" s="47" t="s">
        <v>881</v>
      </c>
      <c r="K60" t="s">
        <v>991</v>
      </c>
      <c r="L60" s="47" t="s">
        <v>992</v>
      </c>
      <c r="M60" s="47" t="str">
        <f>_xlfn.LET(
    _xlpm.itemBuscado, B60,
    _xlpm.areaBuscada, C60,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TEXT(COUNTIF($C$2:C60, _xlpm.areaBuscada), "0000"),
    _xlpm.codItem &amp; "-" &amp; _xlpm.codArea &amp; "-" &amp; _xlpm.secuencia
)</f>
        <v>ZE-SO-TG-0022</v>
      </c>
      <c r="O60" s="15"/>
      <c r="Q60" s="48"/>
      <c r="AF60" t="s">
        <v>62</v>
      </c>
    </row>
    <row r="61" spans="2:42" ht="28.8" x14ac:dyDescent="0.3">
      <c r="B61" t="s">
        <v>13</v>
      </c>
      <c r="C61" s="11" t="s">
        <v>178</v>
      </c>
      <c r="E61" s="11" t="str" cm="1">
        <f t="array" ref="E61">_xlfn.IFS(
    COUNTIF(Herramientas_eléctricas1862106149[Herramientas_eléctricas], B61) &gt; 0, Herramientas_eléctricas1862106149[[#Headers],[Herramientas_eléctricas]],
    COUNTIF(Herramientas_neumáticas1963107150[Herramientas_neumáticas], B61) &gt; 0, Herramientas_neumáticas1963107150[[#Headers],[Herramientas_neumáticas]],
    COUNTIF(Herramientas_de_medición2064108151[Herramientas_de_medición], B61) &gt; 0, Herramientas_de_medición2064108151[[#Headers],[Herramientas_de_medición]],
    COUNTIF(Herrramientas_mecánicas2165109152[Herramientas_mecánicas], B61) &gt; 0, Herrramientas_mecánicas2165109152[[#Headers],[Herramientas_mecánicas]],
    COUNTIF(AH61:AH67, B61) &gt; 0, Herramientas_hidráulicas2266110153[[#Headers],[Herramientas_hidráulicas]],
    COUNTIF(EPP_2367111154[SPCC], B61) &gt; 0, EPP_2367111154[[#Headers],[SPCC]],
   COUNTIF(Herramientas_de_izaje2468112155[Herramientas_de_izaje], B61) &gt; 0, Herramientas_de_izaje2468112155[[#Headers],[Herramientas_de_izaje]],
COUNTIF(Tabla162670114157[Equipos], B61) &gt; 0, Tabla162670114157[[#Headers],[Equipos]],
    TRUE, "Sin clasificación"
)</f>
        <v>Herramientas_eléctricas</v>
      </c>
      <c r="F61" s="15"/>
      <c r="G61" s="15"/>
      <c r="H61" s="15"/>
      <c r="I61" s="15" t="s">
        <v>627</v>
      </c>
      <c r="J61" s="47" t="s">
        <v>881</v>
      </c>
      <c r="K61" t="s">
        <v>993</v>
      </c>
      <c r="L61" s="47"/>
      <c r="M61" s="47" t="str">
        <f>_xlfn.LET(
    _xlpm.itemBuscado, B61,
    _xlpm.areaBuscada, C61,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TEXT(COUNTIF($C$2:C61, _xlpm.areaBuscada), "0000"),
    _xlpm.codItem &amp; "-" &amp; _xlpm.codArea &amp; "-" &amp; _xlpm.secuencia
)</f>
        <v>ZE-SO-TG-0023</v>
      </c>
      <c r="O61" s="15"/>
      <c r="Q61" s="48"/>
      <c r="AF61" s="70" t="s">
        <v>304</v>
      </c>
      <c r="AG61" t="s">
        <v>305</v>
      </c>
    </row>
    <row r="62" spans="2:42" ht="28.8" x14ac:dyDescent="0.3">
      <c r="B62" t="s">
        <v>13</v>
      </c>
      <c r="C62" s="11" t="s">
        <v>178</v>
      </c>
      <c r="E62" s="11" t="str" cm="1">
        <f t="array" ref="E62">_xlfn.IFS(
    COUNTIF(Herramientas_eléctricas1862106149[Herramientas_eléctricas], B62) &gt; 0, Herramientas_eléctricas1862106149[[#Headers],[Herramientas_eléctricas]],
    COUNTIF(Herramientas_neumáticas1963107150[Herramientas_neumáticas], B62) &gt; 0, Herramientas_neumáticas1963107150[[#Headers],[Herramientas_neumáticas]],
    COUNTIF(Herramientas_de_medición2064108151[Herramientas_de_medición], B62) &gt; 0, Herramientas_de_medición2064108151[[#Headers],[Herramientas_de_medición]],
    COUNTIF(Herrramientas_mecánicas2165109152[Herramientas_mecánicas], B62) &gt; 0, Herrramientas_mecánicas2165109152[[#Headers],[Herramientas_mecánicas]],
    COUNTIF(AH62:AH68, B62) &gt; 0, Herramientas_hidráulicas2266110153[[#Headers],[Herramientas_hidráulicas]],
    COUNTIF(EPP_2367111154[SPCC], B62) &gt; 0, EPP_2367111154[[#Headers],[SPCC]],
   COUNTIF(Herramientas_de_izaje2468112155[Herramientas_de_izaje], B62) &gt; 0, Herramientas_de_izaje2468112155[[#Headers],[Herramientas_de_izaje]],
COUNTIF(Tabla162670114157[Equipos], B62) &gt; 0, Tabla162670114157[[#Headers],[Equipos]],
    TRUE, "Sin clasificación"
)</f>
        <v>Herramientas_eléctricas</v>
      </c>
      <c r="F62" s="15"/>
      <c r="G62" s="15"/>
      <c r="H62" s="15"/>
      <c r="I62" s="15" t="s">
        <v>638</v>
      </c>
      <c r="J62" s="47" t="s">
        <v>821</v>
      </c>
      <c r="K62" t="s">
        <v>916</v>
      </c>
      <c r="L62" s="47"/>
      <c r="M62" s="47" t="str">
        <f>_xlfn.LET(
    _xlpm.itemBuscado, B62,
    _xlpm.areaBuscada, C62,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TEXT(COUNTIF($C$2:C62, _xlpm.areaBuscada), "0000"),
    _xlpm.codItem &amp; "-" &amp; _xlpm.codArea &amp; "-" &amp; _xlpm.secuencia
)</f>
        <v>ZE-SO-TG-0024</v>
      </c>
      <c r="O62" s="15"/>
      <c r="Q62" s="48"/>
      <c r="AD62" t="s">
        <v>64</v>
      </c>
      <c r="AG62" t="s">
        <v>306</v>
      </c>
    </row>
    <row r="63" spans="2:42" ht="28.8" x14ac:dyDescent="0.3">
      <c r="B63" t="s">
        <v>13</v>
      </c>
      <c r="C63" s="11" t="s">
        <v>178</v>
      </c>
      <c r="E63" s="11" t="str" cm="1">
        <f t="array" ref="E63">_xlfn.IFS(
    COUNTIF(Herramientas_eléctricas1862106149[Herramientas_eléctricas], B63) &gt; 0, Herramientas_eléctricas1862106149[[#Headers],[Herramientas_eléctricas]],
    COUNTIF(Herramientas_neumáticas1963107150[Herramientas_neumáticas], B63) &gt; 0, Herramientas_neumáticas1963107150[[#Headers],[Herramientas_neumáticas]],
    COUNTIF(Herramientas_de_medición2064108151[Herramientas_de_medición], B63) &gt; 0, Herramientas_de_medición2064108151[[#Headers],[Herramientas_de_medición]],
    COUNTIF(Herrramientas_mecánicas2165109152[Herramientas_mecánicas], B63) &gt; 0, Herrramientas_mecánicas2165109152[[#Headers],[Herramientas_mecánicas]],
    COUNTIF(AH63:AH69, B63) &gt; 0, Herramientas_hidráulicas2266110153[[#Headers],[Herramientas_hidráulicas]],
    COUNTIF(EPP_2367111154[SPCC], B63) &gt; 0, EPP_2367111154[[#Headers],[SPCC]],
   COUNTIF(Herramientas_de_izaje2468112155[Herramientas_de_izaje], B63) &gt; 0, Herramientas_de_izaje2468112155[[#Headers],[Herramientas_de_izaje]],
COUNTIF(Tabla162670114157[Equipos], B63) &gt; 0, Tabla162670114157[[#Headers],[Equipos]],
    TRUE, "Sin clasificación"
)</f>
        <v>Herramientas_eléctricas</v>
      </c>
      <c r="F63" s="15"/>
      <c r="G63" s="15"/>
      <c r="H63" s="15"/>
      <c r="I63" s="15" t="s">
        <v>627</v>
      </c>
      <c r="J63" s="47" t="s">
        <v>881</v>
      </c>
      <c r="K63" t="s">
        <v>994</v>
      </c>
      <c r="L63" s="47" t="s">
        <v>995</v>
      </c>
      <c r="M63" s="47" t="str">
        <f>_xlfn.LET(
    _xlpm.itemBuscado, B63,
    _xlpm.areaBuscada, C63,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TEXT(COUNTIF($C$2:C63, _xlpm.areaBuscada), "0000"),
    _xlpm.codItem &amp; "-" &amp; _xlpm.codArea &amp; "-" &amp; _xlpm.secuencia
)</f>
        <v>ZE-SO-TG-0025</v>
      </c>
      <c r="O63" s="15"/>
      <c r="Q63" s="48"/>
      <c r="AD63" s="75" t="s">
        <v>307</v>
      </c>
      <c r="AF63" t="s">
        <v>89</v>
      </c>
    </row>
    <row r="64" spans="2:42" ht="28.8" x14ac:dyDescent="0.3">
      <c r="B64" t="s">
        <v>13</v>
      </c>
      <c r="C64" s="11" t="s">
        <v>178</v>
      </c>
      <c r="E64" s="11" t="str" cm="1">
        <f t="array" ref="E64">_xlfn.IFS(
    COUNTIF(Herramientas_eléctricas1862106149[Herramientas_eléctricas], B64) &gt; 0, Herramientas_eléctricas1862106149[[#Headers],[Herramientas_eléctricas]],
    COUNTIF(Herramientas_neumáticas1963107150[Herramientas_neumáticas], B64) &gt; 0, Herramientas_neumáticas1963107150[[#Headers],[Herramientas_neumáticas]],
    COUNTIF(Herramientas_de_medición2064108151[Herramientas_de_medición], B64) &gt; 0, Herramientas_de_medición2064108151[[#Headers],[Herramientas_de_medición]],
    COUNTIF(Herrramientas_mecánicas2165109152[Herramientas_mecánicas], B64) &gt; 0, Herrramientas_mecánicas2165109152[[#Headers],[Herramientas_mecánicas]],
    COUNTIF(AH64:AH70, B64) &gt; 0, Herramientas_hidráulicas2266110153[[#Headers],[Herramientas_hidráulicas]],
    COUNTIF(EPP_2367111154[SPCC], B64) &gt; 0, EPP_2367111154[[#Headers],[SPCC]],
   COUNTIF(Herramientas_de_izaje2468112155[Herramientas_de_izaje], B64) &gt; 0, Herramientas_de_izaje2468112155[[#Headers],[Herramientas_de_izaje]],
COUNTIF(Tabla162670114157[Equipos], B64) &gt; 0, Tabla162670114157[[#Headers],[Equipos]],
    TRUE, "Sin clasificación"
)</f>
        <v>Herramientas_eléctricas</v>
      </c>
      <c r="F64" s="15"/>
      <c r="G64" s="15"/>
      <c r="H64" s="15"/>
      <c r="I64" s="15" t="s">
        <v>627</v>
      </c>
      <c r="J64" s="47" t="s">
        <v>996</v>
      </c>
      <c r="K64" t="s">
        <v>916</v>
      </c>
      <c r="L64" s="47"/>
      <c r="M64" s="47" t="str">
        <f>_xlfn.LET(
    _xlpm.itemBuscado, B64,
    _xlpm.areaBuscada, C64,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TEXT(COUNTIF($C$2:C64, _xlpm.areaBuscada), "0000"),
    _xlpm.codItem &amp; "-" &amp; _xlpm.codArea &amp; "-" &amp; _xlpm.secuencia
)</f>
        <v>ZE-SO-TG-0026</v>
      </c>
      <c r="O64" s="15"/>
      <c r="Q64" s="48"/>
      <c r="AD64" s="70" t="s">
        <v>308</v>
      </c>
      <c r="AF64" s="12" t="s">
        <v>309</v>
      </c>
      <c r="AG64" t="s">
        <v>102</v>
      </c>
    </row>
    <row r="65" spans="2:33" ht="28.8" x14ac:dyDescent="0.3">
      <c r="B65" t="s">
        <v>13</v>
      </c>
      <c r="C65" s="11" t="s">
        <v>178</v>
      </c>
      <c r="E65" s="11" t="str" cm="1">
        <f t="array" ref="E65">_xlfn.IFS(
    COUNTIF(Herramientas_eléctricas1862106149[Herramientas_eléctricas], B65) &gt; 0, Herramientas_eléctricas1862106149[[#Headers],[Herramientas_eléctricas]],
    COUNTIF(Herramientas_neumáticas1963107150[Herramientas_neumáticas], B65) &gt; 0, Herramientas_neumáticas1963107150[[#Headers],[Herramientas_neumáticas]],
    COUNTIF(Herramientas_de_medición2064108151[Herramientas_de_medición], B65) &gt; 0, Herramientas_de_medición2064108151[[#Headers],[Herramientas_de_medición]],
    COUNTIF(Herrramientas_mecánicas2165109152[Herramientas_mecánicas], B65) &gt; 0, Herrramientas_mecánicas2165109152[[#Headers],[Herramientas_mecánicas]],
    COUNTIF(AH65:AH71, B65) &gt; 0, Herramientas_hidráulicas2266110153[[#Headers],[Herramientas_hidráulicas]],
    COUNTIF(EPP_2367111154[SPCC], B65) &gt; 0, EPP_2367111154[[#Headers],[SPCC]],
   COUNTIF(Herramientas_de_izaje2468112155[Herramientas_de_izaje], B65) &gt; 0, Herramientas_de_izaje2468112155[[#Headers],[Herramientas_de_izaje]],
COUNTIF(Tabla162670114157[Equipos], B65) &gt; 0, Tabla162670114157[[#Headers],[Equipos]],
    TRUE, "Sin clasificación"
)</f>
        <v>Herramientas_eléctricas</v>
      </c>
      <c r="F65" s="15"/>
      <c r="G65" s="15"/>
      <c r="H65" s="15"/>
      <c r="I65" s="15" t="s">
        <v>627</v>
      </c>
      <c r="J65" s="47" t="s">
        <v>881</v>
      </c>
      <c r="K65" t="s">
        <v>997</v>
      </c>
      <c r="L65" t="s">
        <v>965</v>
      </c>
      <c r="M65" s="47" t="str">
        <f>_xlfn.LET(
    _xlpm.itemBuscado, B65,
    _xlpm.areaBuscada, C65,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TEXT(COUNTIF($C$2:C65, _xlpm.areaBuscada), "0000"),
    _xlpm.codItem &amp; "-" &amp; _xlpm.codArea &amp; "-" &amp; _xlpm.secuencia
)</f>
        <v>ZE-SO-TG-0027</v>
      </c>
      <c r="O65" s="15"/>
      <c r="Q65" s="48"/>
      <c r="AG65" t="s">
        <v>310</v>
      </c>
    </row>
    <row r="66" spans="2:33" ht="28.8" x14ac:dyDescent="0.3">
      <c r="B66" t="s">
        <v>13</v>
      </c>
      <c r="C66" s="11" t="s">
        <v>178</v>
      </c>
      <c r="E66" s="11" t="str" cm="1">
        <f t="array" ref="E66">_xlfn.IFS(
    COUNTIF(Herramientas_eléctricas1862106149[Herramientas_eléctricas], B66) &gt; 0, Herramientas_eléctricas1862106149[[#Headers],[Herramientas_eléctricas]],
    COUNTIF(Herramientas_neumáticas1963107150[Herramientas_neumáticas], B66) &gt; 0, Herramientas_neumáticas1963107150[[#Headers],[Herramientas_neumáticas]],
    COUNTIF(Herramientas_de_medición2064108151[Herramientas_de_medición], B66) &gt; 0, Herramientas_de_medición2064108151[[#Headers],[Herramientas_de_medición]],
    COUNTIF(Herrramientas_mecánicas2165109152[Herramientas_mecánicas], B66) &gt; 0, Herrramientas_mecánicas2165109152[[#Headers],[Herramientas_mecánicas]],
    COUNTIF(AH66:AH72, B66) &gt; 0, Herramientas_hidráulicas2266110153[[#Headers],[Herramientas_hidráulicas]],
    COUNTIF(EPP_2367111154[SPCC], B66) &gt; 0, EPP_2367111154[[#Headers],[SPCC]],
   COUNTIF(Herramientas_de_izaje2468112155[Herramientas_de_izaje], B66) &gt; 0, Herramientas_de_izaje2468112155[[#Headers],[Herramientas_de_izaje]],
COUNTIF(Tabla162670114157[Equipos], B66) &gt; 0, Tabla162670114157[[#Headers],[Equipos]],
    TRUE, "Sin clasificación"
)</f>
        <v>Herramientas_eléctricas</v>
      </c>
      <c r="F66" s="15"/>
      <c r="G66" s="15"/>
      <c r="H66" s="15"/>
      <c r="I66" s="15" t="s">
        <v>627</v>
      </c>
      <c r="J66" s="47" t="s">
        <v>729</v>
      </c>
      <c r="K66" t="s">
        <v>959</v>
      </c>
      <c r="L66" s="47"/>
      <c r="M66" s="47" t="str">
        <f>_xlfn.LET(
    _xlpm.itemBuscado, B66,
    _xlpm.areaBuscada, C66,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TEXT(COUNTIF($C$2:C66, _xlpm.areaBuscada), "0000"),
    _xlpm.codItem &amp; "-" &amp; _xlpm.codArea &amp; "-" &amp; _xlpm.secuencia
)</f>
        <v>ZE-SO-TG-0028</v>
      </c>
      <c r="N66">
        <v>47844</v>
      </c>
      <c r="O66" s="15"/>
      <c r="Q66" s="48"/>
      <c r="AD66" t="s">
        <v>101</v>
      </c>
      <c r="AF66" s="34" t="s">
        <v>73</v>
      </c>
    </row>
    <row r="67" spans="2:33" ht="28.8" x14ac:dyDescent="0.3">
      <c r="B67" t="s">
        <v>13</v>
      </c>
      <c r="C67" s="11" t="s">
        <v>178</v>
      </c>
      <c r="E67" s="11" t="str" cm="1">
        <f t="array" ref="E67">_xlfn.IFS(
    COUNTIF(Herramientas_eléctricas1862106149[Herramientas_eléctricas], B67) &gt; 0, Herramientas_eléctricas1862106149[[#Headers],[Herramientas_eléctricas]],
    COUNTIF(Herramientas_neumáticas1963107150[Herramientas_neumáticas], B67) &gt; 0, Herramientas_neumáticas1963107150[[#Headers],[Herramientas_neumáticas]],
    COUNTIF(Herramientas_de_medición2064108151[Herramientas_de_medición], B67) &gt; 0, Herramientas_de_medición2064108151[[#Headers],[Herramientas_de_medición]],
    COUNTIF(Herrramientas_mecánicas2165109152[Herramientas_mecánicas], B67) &gt; 0, Herrramientas_mecánicas2165109152[[#Headers],[Herramientas_mecánicas]],
    COUNTIF(AH67:AH73, B67) &gt; 0, Herramientas_hidráulicas2266110153[[#Headers],[Herramientas_hidráulicas]],
    COUNTIF(EPP_2367111154[SPCC], B67) &gt; 0, EPP_2367111154[[#Headers],[SPCC]],
   COUNTIF(Herramientas_de_izaje2468112155[Herramientas_de_izaje], B67) &gt; 0, Herramientas_de_izaje2468112155[[#Headers],[Herramientas_de_izaje]],
COUNTIF(Tabla162670114157[Equipos], B67) &gt; 0, Tabla162670114157[[#Headers],[Equipos]],
    TRUE, "Sin clasificación"
)</f>
        <v>Herramientas_eléctricas</v>
      </c>
      <c r="F67" s="15"/>
      <c r="G67" s="15"/>
      <c r="H67" s="15"/>
      <c r="I67" s="15" t="s">
        <v>638</v>
      </c>
      <c r="J67" s="47" t="s">
        <v>821</v>
      </c>
      <c r="K67" t="s">
        <v>998</v>
      </c>
      <c r="L67" s="47"/>
      <c r="M67" s="47" t="str">
        <f>_xlfn.LET(
    _xlpm.itemBuscado, B67,
    _xlpm.areaBuscada, C67,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TEXT(COUNTIF($C$2:C67, _xlpm.areaBuscada), "0000"),
    _xlpm.codItem &amp; "-" &amp; _xlpm.codArea &amp; "-" &amp; _xlpm.secuencia
)</f>
        <v>ZE-SO-TG-0029</v>
      </c>
      <c r="O67" s="15"/>
      <c r="Q67" s="48"/>
      <c r="AD67" t="s">
        <v>311</v>
      </c>
      <c r="AF67" s="22" t="s">
        <v>312</v>
      </c>
      <c r="AG67" t="s">
        <v>313</v>
      </c>
    </row>
    <row r="68" spans="2:33" ht="28.8" x14ac:dyDescent="0.3">
      <c r="B68" t="s">
        <v>13</v>
      </c>
      <c r="C68" s="11" t="s">
        <v>178</v>
      </c>
      <c r="E68" s="11" t="str" cm="1">
        <f t="array" ref="E68">_xlfn.IFS(
    COUNTIF(Herramientas_eléctricas1862106149[Herramientas_eléctricas], B68) &gt; 0, Herramientas_eléctricas1862106149[[#Headers],[Herramientas_eléctricas]],
    COUNTIF(Herramientas_neumáticas1963107150[Herramientas_neumáticas], B68) &gt; 0, Herramientas_neumáticas1963107150[[#Headers],[Herramientas_neumáticas]],
    COUNTIF(Herramientas_de_medición2064108151[Herramientas_de_medición], B68) &gt; 0, Herramientas_de_medición2064108151[[#Headers],[Herramientas_de_medición]],
    COUNTIF(Herrramientas_mecánicas2165109152[Herramientas_mecánicas], B68) &gt; 0, Herrramientas_mecánicas2165109152[[#Headers],[Herramientas_mecánicas]],
    COUNTIF(AH68:AH74, B68) &gt; 0, Herramientas_hidráulicas2266110153[[#Headers],[Herramientas_hidráulicas]],
    COUNTIF(EPP_2367111154[SPCC], B68) &gt; 0, EPP_2367111154[[#Headers],[SPCC]],
   COUNTIF(Herramientas_de_izaje2468112155[Herramientas_de_izaje], B68) &gt; 0, Herramientas_de_izaje2468112155[[#Headers],[Herramientas_de_izaje]],
COUNTIF(Tabla162670114157[Equipos], B68) &gt; 0, Tabla162670114157[[#Headers],[Equipos]],
    TRUE, "Sin clasificación"
)</f>
        <v>Herramientas_eléctricas</v>
      </c>
      <c r="F68" s="15"/>
      <c r="G68" s="15"/>
      <c r="H68" s="15"/>
      <c r="I68" s="15" t="s">
        <v>627</v>
      </c>
      <c r="J68" s="47" t="s">
        <v>999</v>
      </c>
      <c r="K68" t="s">
        <v>998</v>
      </c>
      <c r="L68" s="47"/>
      <c r="M68" s="47" t="str">
        <f>_xlfn.LET(
    _xlpm.itemBuscado, B68,
    _xlpm.areaBuscada, C68,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TEXT(COUNTIF($C$2:C68, _xlpm.areaBuscada), "0000"),
    _xlpm.codItem &amp; "-" &amp; _xlpm.codArea &amp; "-" &amp; _xlpm.secuencia
)</f>
        <v>ZE-SO-TG-0030</v>
      </c>
      <c r="O68" s="15"/>
      <c r="Q68" s="48"/>
      <c r="AG68" s="21" t="s">
        <v>314</v>
      </c>
    </row>
    <row r="69" spans="2:33" ht="28.8" x14ac:dyDescent="0.3">
      <c r="B69" t="s">
        <v>13</v>
      </c>
      <c r="C69" s="11" t="s">
        <v>178</v>
      </c>
      <c r="E69" s="11" t="str" cm="1">
        <f t="array" ref="E69">_xlfn.IFS(
    COUNTIF(Herramientas_eléctricas1862106149[Herramientas_eléctricas], B69) &gt; 0, Herramientas_eléctricas1862106149[[#Headers],[Herramientas_eléctricas]],
    COUNTIF(Herramientas_neumáticas1963107150[Herramientas_neumáticas], B69) &gt; 0, Herramientas_neumáticas1963107150[[#Headers],[Herramientas_neumáticas]],
    COUNTIF(Herramientas_de_medición2064108151[Herramientas_de_medición], B69) &gt; 0, Herramientas_de_medición2064108151[[#Headers],[Herramientas_de_medición]],
    COUNTIF(Herrramientas_mecánicas2165109152[Herramientas_mecánicas], B69) &gt; 0, Herrramientas_mecánicas2165109152[[#Headers],[Herramientas_mecánicas]],
    COUNTIF(AH69:AH75, B69) &gt; 0, Herramientas_hidráulicas2266110153[[#Headers],[Herramientas_hidráulicas]],
    COUNTIF(EPP_2367111154[SPCC], B69) &gt; 0, EPP_2367111154[[#Headers],[SPCC]],
   COUNTIF(Herramientas_de_izaje2468112155[Herramientas_de_izaje], B69) &gt; 0, Herramientas_de_izaje2468112155[[#Headers],[Herramientas_de_izaje]],
COUNTIF(Tabla162670114157[Equipos], B69) &gt; 0, Tabla162670114157[[#Headers],[Equipos]],
    TRUE, "Sin clasificación"
)</f>
        <v>Herramientas_eléctricas</v>
      </c>
      <c r="F69" s="15"/>
      <c r="G69" s="15" t="s">
        <v>744</v>
      </c>
      <c r="H69" s="15" t="s">
        <v>1000</v>
      </c>
      <c r="I69" s="15" t="s">
        <v>742</v>
      </c>
      <c r="J69" s="47" t="s">
        <v>743</v>
      </c>
      <c r="L69" s="47"/>
      <c r="M69" s="47" t="str">
        <f>_xlfn.LET(
    _xlpm.itemBuscado, B69,
    _xlpm.areaBuscada, C69,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TEXT(COUNTIF($C$2:C69, _xlpm.areaBuscada), "0000"),
    _xlpm.codItem &amp; "-" &amp; _xlpm.codArea &amp; "-" &amp; _xlpm.secuencia
)</f>
        <v>ZE-SO-TG-0031</v>
      </c>
      <c r="O69" s="15"/>
      <c r="Q69" s="48"/>
      <c r="AG69" s="70" t="s">
        <v>315</v>
      </c>
    </row>
    <row r="70" spans="2:33" ht="28.8" x14ac:dyDescent="0.3">
      <c r="B70" t="s">
        <v>13</v>
      </c>
      <c r="C70" s="11" t="s">
        <v>178</v>
      </c>
      <c r="E70" s="11" t="str" cm="1">
        <f t="array" ref="E70">_xlfn.IFS(
    COUNTIF(Herramientas_eléctricas1862106149[Herramientas_eléctricas], B70) &gt; 0, Herramientas_eléctricas1862106149[[#Headers],[Herramientas_eléctricas]],
    COUNTIF(Herramientas_neumáticas1963107150[Herramientas_neumáticas], B70) &gt; 0, Herramientas_neumáticas1963107150[[#Headers],[Herramientas_neumáticas]],
    COUNTIF(Herramientas_de_medición2064108151[Herramientas_de_medición], B70) &gt; 0, Herramientas_de_medición2064108151[[#Headers],[Herramientas_de_medición]],
    COUNTIF(Herrramientas_mecánicas2165109152[Herramientas_mecánicas], B70) &gt; 0, Herrramientas_mecánicas2165109152[[#Headers],[Herramientas_mecánicas]],
    COUNTIF(AH70:AH76, B70) &gt; 0, Herramientas_hidráulicas2266110153[[#Headers],[Herramientas_hidráulicas]],
    COUNTIF(EPP_2367111154[SPCC], B70) &gt; 0, EPP_2367111154[[#Headers],[SPCC]],
   COUNTIF(Herramientas_de_izaje2468112155[Herramientas_de_izaje], B70) &gt; 0, Herramientas_de_izaje2468112155[[#Headers],[Herramientas_de_izaje]],
COUNTIF(Tabla162670114157[Equipos], B70) &gt; 0, Tabla162670114157[[#Headers],[Equipos]],
    TRUE, "Sin clasificación"
)</f>
        <v>Herramientas_eléctricas</v>
      </c>
      <c r="F70" s="15"/>
      <c r="G70" s="15" t="s">
        <v>744</v>
      </c>
      <c r="H70" s="15" t="s">
        <v>1000</v>
      </c>
      <c r="I70" s="15" t="s">
        <v>742</v>
      </c>
      <c r="J70" s="47" t="s">
        <v>743</v>
      </c>
      <c r="L70" s="47"/>
      <c r="M70" s="47" t="str">
        <f>_xlfn.LET(
    _xlpm.itemBuscado, B70,
    _xlpm.areaBuscada, C70,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TEXT(COUNTIF($C$2:C70, _xlpm.areaBuscada), "0000"),
    _xlpm.codItem &amp; "-" &amp; _xlpm.codArea &amp; "-" &amp; _xlpm.secuencia
)</f>
        <v>ZE-SO-TG-0032</v>
      </c>
      <c r="O70" s="15"/>
      <c r="Q70" s="48"/>
    </row>
    <row r="71" spans="2:33" ht="28.8" x14ac:dyDescent="0.3">
      <c r="B71" t="s">
        <v>13</v>
      </c>
      <c r="C71" s="11" t="s">
        <v>178</v>
      </c>
      <c r="E71" s="11" t="str" cm="1">
        <f t="array" ref="E71">_xlfn.IFS(
    COUNTIF(Herramientas_eléctricas1862106149[Herramientas_eléctricas], B71) &gt; 0, Herramientas_eléctricas1862106149[[#Headers],[Herramientas_eléctricas]],
    COUNTIF(Herramientas_neumáticas1963107150[Herramientas_neumáticas], B71) &gt; 0, Herramientas_neumáticas1963107150[[#Headers],[Herramientas_neumáticas]],
    COUNTIF(Herramientas_de_medición2064108151[Herramientas_de_medición], B71) &gt; 0, Herramientas_de_medición2064108151[[#Headers],[Herramientas_de_medición]],
    COUNTIF(Herrramientas_mecánicas2165109152[Herramientas_mecánicas], B71) &gt; 0, Herrramientas_mecánicas2165109152[[#Headers],[Herramientas_mecánicas]],
    COUNTIF(AH71:AH77, B71) &gt; 0, Herramientas_hidráulicas2266110153[[#Headers],[Herramientas_hidráulicas]],
    COUNTIF(EPP_2367111154[SPCC], B71) &gt; 0, EPP_2367111154[[#Headers],[SPCC]],
   COUNTIF(Herramientas_de_izaje2468112155[Herramientas_de_izaje], B71) &gt; 0, Herramientas_de_izaje2468112155[[#Headers],[Herramientas_de_izaje]],
COUNTIF(Tabla162670114157[Equipos], B71) &gt; 0, Tabla162670114157[[#Headers],[Equipos]],
    TRUE, "Sin clasificación"
)</f>
        <v>Herramientas_eléctricas</v>
      </c>
      <c r="F71" s="15"/>
      <c r="G71" s="15" t="s">
        <v>744</v>
      </c>
      <c r="H71" s="15" t="s">
        <v>1002</v>
      </c>
      <c r="I71" s="15" t="s">
        <v>742</v>
      </c>
      <c r="J71" s="47" t="s">
        <v>1001</v>
      </c>
      <c r="L71" s="47" t="s">
        <v>1003</v>
      </c>
      <c r="M71" s="47" t="str">
        <f>_xlfn.LET(
    _xlpm.itemBuscado, B71,
    _xlpm.areaBuscada, C71,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TEXT(COUNTIF($C$2:C71, _xlpm.areaBuscada), "0000"),
    _xlpm.codItem &amp; "-" &amp; _xlpm.codArea &amp; "-" &amp; _xlpm.secuencia
)</f>
        <v>ZE-SO-TG-0033</v>
      </c>
      <c r="O71" s="15"/>
      <c r="Q71" s="48"/>
    </row>
    <row r="72" spans="2:33" ht="28.8" x14ac:dyDescent="0.3">
      <c r="B72" t="s">
        <v>13</v>
      </c>
      <c r="C72" s="11" t="s">
        <v>178</v>
      </c>
      <c r="E72" s="11" t="str" cm="1">
        <f t="array" ref="E72">_xlfn.IFS(
    COUNTIF(Herramientas_eléctricas1862106149[Herramientas_eléctricas], B72) &gt; 0, Herramientas_eléctricas1862106149[[#Headers],[Herramientas_eléctricas]],
    COUNTIF(Herramientas_neumáticas1963107150[Herramientas_neumáticas], B72) &gt; 0, Herramientas_neumáticas1963107150[[#Headers],[Herramientas_neumáticas]],
    COUNTIF(Herramientas_de_medición2064108151[Herramientas_de_medición], B72) &gt; 0, Herramientas_de_medición2064108151[[#Headers],[Herramientas_de_medición]],
    COUNTIF(Herrramientas_mecánicas2165109152[Herramientas_mecánicas], B72) &gt; 0, Herrramientas_mecánicas2165109152[[#Headers],[Herramientas_mecánicas]],
    COUNTIF(AH72:AH78, B72) &gt; 0, Herramientas_hidráulicas2266110153[[#Headers],[Herramientas_hidráulicas]],
    COUNTIF(EPP_2367111154[SPCC], B72) &gt; 0, EPP_2367111154[[#Headers],[SPCC]],
   COUNTIF(Herramientas_de_izaje2468112155[Herramientas_de_izaje], B72) &gt; 0, Herramientas_de_izaje2468112155[[#Headers],[Herramientas_de_izaje]],
COUNTIF(Tabla162670114157[Equipos], B72) &gt; 0, Tabla162670114157[[#Headers],[Equipos]],
    TRUE, "Sin clasificación"
)</f>
        <v>Herramientas_eléctricas</v>
      </c>
      <c r="F72" s="15"/>
      <c r="G72" s="15" t="s">
        <v>744</v>
      </c>
      <c r="H72" s="15">
        <v>47.8</v>
      </c>
      <c r="I72" s="15" t="s">
        <v>742</v>
      </c>
      <c r="J72" s="47" t="s">
        <v>1004</v>
      </c>
      <c r="L72" s="47" t="s">
        <v>1005</v>
      </c>
      <c r="M72" s="47" t="str">
        <f>_xlfn.LET(
    _xlpm.itemBuscado, B72,
    _xlpm.areaBuscada, C72,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TEXT(COUNTIF($C$2:C72, _xlpm.areaBuscada), "0000"),
    _xlpm.codItem &amp; "-" &amp; _xlpm.codArea &amp; "-" &amp; _xlpm.secuencia
)</f>
        <v>ZE-SO-TG-0034</v>
      </c>
      <c r="O72" s="15"/>
      <c r="Q72" s="48"/>
    </row>
    <row r="73" spans="2:33" ht="28.8" x14ac:dyDescent="0.3">
      <c r="B73" t="s">
        <v>13</v>
      </c>
      <c r="C73" s="11" t="s">
        <v>178</v>
      </c>
      <c r="E73" s="11" t="str" cm="1">
        <f t="array" ref="E73">_xlfn.IFS(
    COUNTIF(Herramientas_eléctricas1862106149[Herramientas_eléctricas], B73) &gt; 0, Herramientas_eléctricas1862106149[[#Headers],[Herramientas_eléctricas]],
    COUNTIF(Herramientas_neumáticas1963107150[Herramientas_neumáticas], B73) &gt; 0, Herramientas_neumáticas1963107150[[#Headers],[Herramientas_neumáticas]],
    COUNTIF(Herramientas_de_medición2064108151[Herramientas_de_medición], B73) &gt; 0, Herramientas_de_medición2064108151[[#Headers],[Herramientas_de_medición]],
    COUNTIF(Herrramientas_mecánicas2165109152[Herramientas_mecánicas], B73) &gt; 0, Herrramientas_mecánicas2165109152[[#Headers],[Herramientas_mecánicas]],
    COUNTIF(AH73:AH79, B73) &gt; 0, Herramientas_hidráulicas2266110153[[#Headers],[Herramientas_hidráulicas]],
    COUNTIF(EPP_2367111154[SPCC], B73) &gt; 0, EPP_2367111154[[#Headers],[SPCC]],
   COUNTIF(Herramientas_de_izaje2468112155[Herramientas_de_izaje], B73) &gt; 0, Herramientas_de_izaje2468112155[[#Headers],[Herramientas_de_izaje]],
COUNTIF(Tabla162670114157[Equipos], B73) &gt; 0, Tabla162670114157[[#Headers],[Equipos]],
    TRUE, "Sin clasificación"
)</f>
        <v>Herramientas_eléctricas</v>
      </c>
      <c r="F73" s="15"/>
      <c r="G73" s="15"/>
      <c r="H73" s="15"/>
      <c r="I73" s="15" t="s">
        <v>627</v>
      </c>
      <c r="J73" s="47" t="s">
        <v>1006</v>
      </c>
      <c r="K73" t="s">
        <v>1007</v>
      </c>
      <c r="L73" s="47" t="s">
        <v>1008</v>
      </c>
      <c r="M73" s="47" t="str">
        <f>_xlfn.LET(
    _xlpm.itemBuscado, B73,
    _xlpm.areaBuscada, C73,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TEXT(COUNTIF($C$2:C73, _xlpm.areaBuscada), "0000"),
    _xlpm.codItem &amp; "-" &amp; _xlpm.codArea &amp; "-" &amp; _xlpm.secuencia
)</f>
        <v>ZE-SO-TG-0035</v>
      </c>
      <c r="O73" s="15"/>
      <c r="Q73" s="48"/>
    </row>
    <row r="74" spans="2:33" ht="28.8" x14ac:dyDescent="0.3">
      <c r="B74" t="s">
        <v>13</v>
      </c>
      <c r="C74" s="11" t="s">
        <v>178</v>
      </c>
      <c r="E74" s="11" t="str" cm="1">
        <f t="array" ref="E74">_xlfn.IFS(
    COUNTIF(Herramientas_eléctricas1862106149[Herramientas_eléctricas], B74) &gt; 0, Herramientas_eléctricas1862106149[[#Headers],[Herramientas_eléctricas]],
    COUNTIF(Herramientas_neumáticas1963107150[Herramientas_neumáticas], B74) &gt; 0, Herramientas_neumáticas1963107150[[#Headers],[Herramientas_neumáticas]],
    COUNTIF(Herramientas_de_medición2064108151[Herramientas_de_medición], B74) &gt; 0, Herramientas_de_medición2064108151[[#Headers],[Herramientas_de_medición]],
    COUNTIF(Herrramientas_mecánicas2165109152[Herramientas_mecánicas], B74) &gt; 0, Herrramientas_mecánicas2165109152[[#Headers],[Herramientas_mecánicas]],
    COUNTIF(AH74:AH80, B74) &gt; 0, Herramientas_hidráulicas2266110153[[#Headers],[Herramientas_hidráulicas]],
    COUNTIF(EPP_2367111154[SPCC], B74) &gt; 0, EPP_2367111154[[#Headers],[SPCC]],
   COUNTIF(Herramientas_de_izaje2468112155[Herramientas_de_izaje], B74) &gt; 0, Herramientas_de_izaje2468112155[[#Headers],[Herramientas_de_izaje]],
COUNTIF(Tabla162670114157[Equipos], B74) &gt; 0, Tabla162670114157[[#Headers],[Equipos]],
    TRUE, "Sin clasificación"
)</f>
        <v>Herramientas_eléctricas</v>
      </c>
      <c r="F74" s="15"/>
      <c r="G74" s="15"/>
      <c r="H74" s="15"/>
      <c r="I74" s="15" t="s">
        <v>627</v>
      </c>
      <c r="J74" s="47" t="s">
        <v>996</v>
      </c>
      <c r="K74" t="s">
        <v>1018</v>
      </c>
      <c r="L74" s="47"/>
      <c r="M74" s="47" t="str">
        <f>_xlfn.LET(
    _xlpm.itemBuscado, B74,
    _xlpm.areaBuscada, C74,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TEXT(COUNTIF($C$2:C74, _xlpm.areaBuscada), "0000"),
    _xlpm.codItem &amp; "-" &amp; _xlpm.codArea &amp; "-" &amp; _xlpm.secuencia
)</f>
        <v>ZE-SO-TG-0036</v>
      </c>
      <c r="O74" s="15"/>
      <c r="Q74" s="48"/>
    </row>
    <row r="75" spans="2:33" ht="57.6" x14ac:dyDescent="0.3">
      <c r="B75" t="s">
        <v>13</v>
      </c>
      <c r="C75" s="11" t="s">
        <v>178</v>
      </c>
      <c r="E75" s="11" t="str" cm="1">
        <f t="array" ref="E75">_xlfn.IFS(
    COUNTIF(Herramientas_eléctricas1862106149[Herramientas_eléctricas], B75) &gt; 0, Herramientas_eléctricas1862106149[[#Headers],[Herramientas_eléctricas]],
    COUNTIF(Herramientas_neumáticas1963107150[Herramientas_neumáticas], B75) &gt; 0, Herramientas_neumáticas1963107150[[#Headers],[Herramientas_neumáticas]],
    COUNTIF(Herramientas_de_medición2064108151[Herramientas_de_medición], B75) &gt; 0, Herramientas_de_medición2064108151[[#Headers],[Herramientas_de_medición]],
    COUNTIF(Herrramientas_mecánicas2165109152[Herramientas_mecánicas], B75) &gt; 0, Herrramientas_mecánicas2165109152[[#Headers],[Herramientas_mecánicas]],
    COUNTIF(AH75:AH81, B75) &gt; 0, Herramientas_hidráulicas2266110153[[#Headers],[Herramientas_hidráulicas]],
    COUNTIF(EPP_2367111154[SPCC], B75) &gt; 0, EPP_2367111154[[#Headers],[SPCC]],
   COUNTIF(Herramientas_de_izaje2468112155[Herramientas_de_izaje], B75) &gt; 0, Herramientas_de_izaje2468112155[[#Headers],[Herramientas_de_izaje]],
COUNTIF(Tabla162670114157[Equipos], B75) &gt; 0, Tabla162670114157[[#Headers],[Equipos]],
    TRUE, "Sin clasificación"
)</f>
        <v>Herramientas_eléctricas</v>
      </c>
      <c r="F75" s="15"/>
      <c r="G75" s="15"/>
      <c r="H75" s="15"/>
      <c r="I75" s="15" t="s">
        <v>627</v>
      </c>
      <c r="J75" s="47" t="s">
        <v>729</v>
      </c>
      <c r="K75" t="s">
        <v>1018</v>
      </c>
      <c r="L75" s="47" t="s">
        <v>1019</v>
      </c>
      <c r="M75" s="47" t="str">
        <f>_xlfn.LET(
    _xlpm.itemBuscado, B75,
    _xlpm.areaBuscada, C75,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TEXT(COUNTIF($C$2:C75, _xlpm.areaBuscada), "0000"),
    _xlpm.codItem &amp; "-" &amp; _xlpm.codArea &amp; "-" &amp; _xlpm.secuencia
)</f>
        <v>ZE-SO-TG-0037</v>
      </c>
      <c r="O75" s="15"/>
      <c r="Q75" s="48"/>
      <c r="AD75" s="11" t="s">
        <v>316</v>
      </c>
    </row>
    <row r="76" spans="2:33" ht="28.8" x14ac:dyDescent="0.3">
      <c r="B76" t="s">
        <v>13</v>
      </c>
      <c r="C76" s="11" t="s">
        <v>178</v>
      </c>
      <c r="E76" s="11" t="str" cm="1">
        <f t="array" ref="E76">_xlfn.IFS(
    COUNTIF(Herramientas_eléctricas1862106149[Herramientas_eléctricas], B76) &gt; 0, Herramientas_eléctricas1862106149[[#Headers],[Herramientas_eléctricas]],
    COUNTIF(Herramientas_neumáticas1963107150[Herramientas_neumáticas], B76) &gt; 0, Herramientas_neumáticas1963107150[[#Headers],[Herramientas_neumáticas]],
    COUNTIF(Herramientas_de_medición2064108151[Herramientas_de_medición], B76) &gt; 0, Herramientas_de_medición2064108151[[#Headers],[Herramientas_de_medición]],
    COUNTIF(Herrramientas_mecánicas2165109152[Herramientas_mecánicas], B76) &gt; 0, Herrramientas_mecánicas2165109152[[#Headers],[Herramientas_mecánicas]],
    COUNTIF(AH76:AH82, B76) &gt; 0, Herramientas_hidráulicas2266110153[[#Headers],[Herramientas_hidráulicas]],
    COUNTIF(EPP_2367111154[SPCC], B76) &gt; 0, EPP_2367111154[[#Headers],[SPCC]],
   COUNTIF(Herramientas_de_izaje2468112155[Herramientas_de_izaje], B76) &gt; 0, Herramientas_de_izaje2468112155[[#Headers],[Herramientas_de_izaje]],
COUNTIF(Tabla162670114157[Equipos], B76) &gt; 0, Tabla162670114157[[#Headers],[Equipos]],
    TRUE, "Sin clasificación"
)</f>
        <v>Herramientas_eléctricas</v>
      </c>
      <c r="F76" s="15"/>
      <c r="G76" s="15"/>
      <c r="H76" s="15"/>
      <c r="I76" s="15" t="s">
        <v>627</v>
      </c>
      <c r="J76" s="47" t="s">
        <v>881</v>
      </c>
      <c r="K76" t="s">
        <v>1025</v>
      </c>
      <c r="L76" s="47" t="s">
        <v>1026</v>
      </c>
      <c r="M76" s="47" t="str">
        <f>_xlfn.LET(
    _xlpm.itemBuscado, B76,
    _xlpm.areaBuscada, C76,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TEXT(COUNTIF($C$2:C76, _xlpm.areaBuscada), "0000"),
    _xlpm.codItem &amp; "-" &amp; _xlpm.codArea &amp; "-" &amp; _xlpm.secuencia
)</f>
        <v>ZE-SO-TG-0038</v>
      </c>
      <c r="O76" s="15"/>
      <c r="Q76" s="48"/>
    </row>
    <row r="77" spans="2:33" x14ac:dyDescent="0.3">
      <c r="B77" t="s">
        <v>13</v>
      </c>
      <c r="C77" s="11" t="s">
        <v>173</v>
      </c>
      <c r="E77" s="11" t="str" cm="1">
        <f t="array" ref="E77">_xlfn.IFS(
    COUNTIF(Herramientas_eléctricas1862106149[Herramientas_eléctricas], B77) &gt; 0, Herramientas_eléctricas1862106149[[#Headers],[Herramientas_eléctricas]],
    COUNTIF(Herramientas_neumáticas1963107150[Herramientas_neumáticas], B77) &gt; 0, Herramientas_neumáticas1963107150[[#Headers],[Herramientas_neumáticas]],
    COUNTIF(Herramientas_de_medición2064108151[Herramientas_de_medición], B77) &gt; 0, Herramientas_de_medición2064108151[[#Headers],[Herramientas_de_medición]],
    COUNTIF(Herrramientas_mecánicas2165109152[Herramientas_mecánicas], B77) &gt; 0, Herrramientas_mecánicas2165109152[[#Headers],[Herramientas_mecánicas]],
    COUNTIF(AH77:AH83, B77) &gt; 0, Herramientas_hidráulicas2266110153[[#Headers],[Herramientas_hidráulicas]],
    COUNTIF(EPP_2367111154[SPCC], B77) &gt; 0, EPP_2367111154[[#Headers],[SPCC]],
   COUNTIF(Herramientas_de_izaje2468112155[Herramientas_de_izaje], B77) &gt; 0, Herramientas_de_izaje2468112155[[#Headers],[Herramientas_de_izaje]],
COUNTIF(Tabla162670114157[Equipos], B77) &gt; 0, Tabla162670114157[[#Headers],[Equipos]],
    TRUE, "Sin clasificación"
)</f>
        <v>Herramientas_eléctricas</v>
      </c>
      <c r="F77" s="15"/>
      <c r="G77" s="15"/>
      <c r="H77" s="15"/>
      <c r="I77" s="15" t="s">
        <v>627</v>
      </c>
      <c r="J77" s="47" t="s">
        <v>629</v>
      </c>
      <c r="K77" t="s">
        <v>1030</v>
      </c>
      <c r="L77" s="47" t="s">
        <v>1031</v>
      </c>
      <c r="M77" s="47" t="str">
        <f>_xlfn.LET(
    _xlpm.itemBuscado, B77,
    _xlpm.areaBuscada, C77,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TEXT(COUNTIF($C$2:C77, _xlpm.areaBuscada), "0000"),
    _xlpm.codItem &amp; "-" &amp; _xlpm.codArea &amp; "-" &amp; _xlpm.secuencia
)</f>
        <v>ZE-SO-FL-0011</v>
      </c>
      <c r="O77" s="15" t="s">
        <v>1029</v>
      </c>
      <c r="Q77" s="48"/>
    </row>
    <row r="78" spans="2:33" ht="28.8" x14ac:dyDescent="0.3">
      <c r="B78" t="s">
        <v>13</v>
      </c>
      <c r="C78" s="11" t="s">
        <v>178</v>
      </c>
      <c r="E78" s="11" t="str" cm="1">
        <f t="array" ref="E78">_xlfn.IFS(
    COUNTIF(Herramientas_eléctricas1862106149[Herramientas_eléctricas], B78) &gt; 0, Herramientas_eléctricas1862106149[[#Headers],[Herramientas_eléctricas]],
    COUNTIF(Herramientas_neumáticas1963107150[Herramientas_neumáticas], B78) &gt; 0, Herramientas_neumáticas1963107150[[#Headers],[Herramientas_neumáticas]],
    COUNTIF(Herramientas_de_medición2064108151[Herramientas_de_medición], B78) &gt; 0, Herramientas_de_medición2064108151[[#Headers],[Herramientas_de_medición]],
    COUNTIF(Herrramientas_mecánicas2165109152[Herramientas_mecánicas], B78) &gt; 0, Herrramientas_mecánicas2165109152[[#Headers],[Herramientas_mecánicas]],
    COUNTIF(AH78:AH84, B78) &gt; 0, Herramientas_hidráulicas2266110153[[#Headers],[Herramientas_hidráulicas]],
    COUNTIF(EPP_2367111154[SPCC], B78) &gt; 0, EPP_2367111154[[#Headers],[SPCC]],
   COUNTIF(Herramientas_de_izaje2468112155[Herramientas_de_izaje], B78) &gt; 0, Herramientas_de_izaje2468112155[[#Headers],[Herramientas_de_izaje]],
COUNTIF(Tabla162670114157[Equipos], B78) &gt; 0, Tabla162670114157[[#Headers],[Equipos]],
    TRUE, "Sin clasificación"
)</f>
        <v>Herramientas_eléctricas</v>
      </c>
      <c r="F78" s="15" t="s">
        <v>1045</v>
      </c>
      <c r="G78" s="15"/>
      <c r="H78" s="15"/>
      <c r="I78" s="15" t="s">
        <v>638</v>
      </c>
      <c r="J78" s="47" t="s">
        <v>1044</v>
      </c>
      <c r="L78" s="47" t="s">
        <v>1046</v>
      </c>
      <c r="M78" s="47" t="str">
        <f>_xlfn.LET(
    _xlpm.itemBuscado, B78,
    _xlpm.areaBuscada, C78,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TEXT(COUNTIF($C$2:C78, _xlpm.areaBuscada), "0000"),
    _xlpm.codItem &amp; "-" &amp; _xlpm.codArea &amp; "-" &amp; _xlpm.secuencia
)</f>
        <v>ZE-SO-TG-0039</v>
      </c>
      <c r="O78" s="15"/>
      <c r="Q78" s="48" t="s">
        <v>224</v>
      </c>
    </row>
    <row r="79" spans="2:33" x14ac:dyDescent="0.3">
      <c r="C79" s="11"/>
      <c r="E79" s="11" t="str" cm="1">
        <f t="array" ref="E79">_xlfn.IFS(
    COUNTIF(Herramientas_eléctricas1862106149[Herramientas_eléctricas], B79) &gt; 0, Herramientas_eléctricas1862106149[[#Headers],[Herramientas_eléctricas]],
    COUNTIF(Herramientas_neumáticas1963107150[Herramientas_neumáticas], B79) &gt; 0, Herramientas_neumáticas1963107150[[#Headers],[Herramientas_neumáticas]],
    COUNTIF(Herramientas_de_medición2064108151[Herramientas_de_medición], B79) &gt; 0, Herramientas_de_medición2064108151[[#Headers],[Herramientas_de_medición]],
    COUNTIF(Herrramientas_mecánicas2165109152[Herramientas_mecánicas], B79) &gt; 0, Herrramientas_mecánicas2165109152[[#Headers],[Herramientas_mecánicas]],
    COUNTIF(AH79:AH85, B79) &gt; 0, Herramientas_hidráulicas2266110153[[#Headers],[Herramientas_hidráulicas]],
    COUNTIF(EPP_2367111154[SPCC], B79) &gt; 0, EPP_2367111154[[#Headers],[SPCC]],
   COUNTIF(Herramientas_de_izaje2468112155[Herramientas_de_izaje], B79) &gt; 0, Herramientas_de_izaje2468112155[[#Headers],[Herramientas_de_izaje]],
COUNTIF(Tabla162670114157[Equipos], B79) &gt; 0, Tabla162670114157[[#Headers],[Equipos]],
    TRUE, "Sin clasificación"
)</f>
        <v>Sin clasificación</v>
      </c>
      <c r="F79" s="15"/>
      <c r="G79" s="15"/>
      <c r="H79" s="15"/>
      <c r="I79" s="15"/>
      <c r="J79" s="47"/>
      <c r="L79" s="47"/>
      <c r="M79" s="47" t="str">
        <f>_xlfn.LET(
    _xlpm.itemBuscado, B79,
    _xlpm.areaBuscada, C79,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TEXT(COUNTIF($C$2:C79, _xlpm.areaBuscada), "0000"),
    _xlpm.codItem &amp; "-" &amp; _xlpm.codArea &amp; "-" &amp; _xlpm.secuencia
)</f>
        <v>-SinArea-0000</v>
      </c>
      <c r="O79" s="15"/>
      <c r="Q79" s="48"/>
    </row>
    <row r="80" spans="2:33" x14ac:dyDescent="0.3">
      <c r="C80" s="11"/>
      <c r="E80" s="11" t="str" cm="1">
        <f t="array" ref="E80">_xlfn.IFS(
    COUNTIF(Herramientas_eléctricas1862106149[Herramientas_eléctricas], B80) &gt; 0, Herramientas_eléctricas1862106149[[#Headers],[Herramientas_eléctricas]],
    COUNTIF(Herramientas_neumáticas1963107150[Herramientas_neumáticas], B80) &gt; 0, Herramientas_neumáticas1963107150[[#Headers],[Herramientas_neumáticas]],
    COUNTIF(Herramientas_de_medición2064108151[Herramientas_de_medición], B80) &gt; 0, Herramientas_de_medición2064108151[[#Headers],[Herramientas_de_medición]],
    COUNTIF(Herrramientas_mecánicas2165109152[Herramientas_mecánicas], B80) &gt; 0, Herrramientas_mecánicas2165109152[[#Headers],[Herramientas_mecánicas]],
    COUNTIF(AH80:AH86, B80) &gt; 0, Herramientas_hidráulicas2266110153[[#Headers],[Herramientas_hidráulicas]],
    COUNTIF(EPP_2367111154[SPCC], B80) &gt; 0, EPP_2367111154[[#Headers],[SPCC]],
   COUNTIF(Herramientas_de_izaje2468112155[Herramientas_de_izaje], B80) &gt; 0, Herramientas_de_izaje2468112155[[#Headers],[Herramientas_de_izaje]],
COUNTIF(Tabla162670114157[Equipos], B80) &gt; 0, Tabla162670114157[[#Headers],[Equipos]],
    TRUE, "Sin clasificación"
)</f>
        <v>Sin clasificación</v>
      </c>
      <c r="F80" s="15"/>
      <c r="G80" s="15"/>
      <c r="H80" s="15"/>
      <c r="I80" s="15"/>
      <c r="J80" s="47"/>
      <c r="L80" s="47"/>
      <c r="M80" s="47" t="str">
        <f>_xlfn.LET(
    _xlpm.itemBuscado, B80,
    _xlpm.areaBuscada, C80,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TEXT(COUNTIF($C$2:C80, _xlpm.areaBuscada), "0000"),
    _xlpm.codItem &amp; "-" &amp; _xlpm.codArea &amp; "-" &amp; _xlpm.secuencia
)</f>
        <v>-SinArea-0000</v>
      </c>
      <c r="O80" s="15"/>
      <c r="Q80" s="48"/>
    </row>
    <row r="81" spans="3:17" x14ac:dyDescent="0.3">
      <c r="C81" s="11"/>
      <c r="E81" s="11" t="str" cm="1">
        <f t="array" ref="E81">_xlfn.IFS(
    COUNTIF(Herramientas_eléctricas1862106149[Herramientas_eléctricas], B81) &gt; 0, Herramientas_eléctricas1862106149[[#Headers],[Herramientas_eléctricas]],
    COUNTIF(Herramientas_neumáticas1963107150[Herramientas_neumáticas], B81) &gt; 0, Herramientas_neumáticas1963107150[[#Headers],[Herramientas_neumáticas]],
    COUNTIF(Herramientas_de_medición2064108151[Herramientas_de_medición], B81) &gt; 0, Herramientas_de_medición2064108151[[#Headers],[Herramientas_de_medición]],
    COUNTIF(Herrramientas_mecánicas2165109152[Herramientas_mecánicas], B81) &gt; 0, Herrramientas_mecánicas2165109152[[#Headers],[Herramientas_mecánicas]],
    COUNTIF(AH81:AH87, B81) &gt; 0, Herramientas_hidráulicas2266110153[[#Headers],[Herramientas_hidráulicas]],
    COUNTIF(EPP_2367111154[SPCC], B81) &gt; 0, EPP_2367111154[[#Headers],[SPCC]],
   COUNTIF(Herramientas_de_izaje2468112155[Herramientas_de_izaje], B81) &gt; 0, Herramientas_de_izaje2468112155[[#Headers],[Herramientas_de_izaje]],
COUNTIF(Tabla162670114157[Equipos], B81) &gt; 0, Tabla162670114157[[#Headers],[Equipos]],
    TRUE, "Sin clasificación"
)</f>
        <v>Sin clasificación</v>
      </c>
      <c r="F81" s="15"/>
      <c r="G81" s="15"/>
      <c r="H81" s="15"/>
      <c r="I81" s="15"/>
      <c r="J81" s="47"/>
      <c r="L81" s="47"/>
      <c r="M81" s="47" t="str">
        <f>_xlfn.LET(
    _xlpm.itemBuscado, B81,
    _xlpm.areaBuscada, C81,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TEXT(COUNTIF($C$2:C81, _xlpm.areaBuscada), "0000"),
    _xlpm.codItem &amp; "-" &amp; _xlpm.codArea &amp; "-" &amp; _xlpm.secuencia
)</f>
        <v>-SinArea-0000</v>
      </c>
      <c r="O81" s="15"/>
      <c r="Q81" s="48"/>
    </row>
    <row r="82" spans="3:17" x14ac:dyDescent="0.3">
      <c r="C82" s="11"/>
      <c r="E82" s="11" t="str" cm="1">
        <f t="array" ref="E82">_xlfn.IFS(
    COUNTIF(Herramientas_eléctricas1862106149[Herramientas_eléctricas], B82) &gt; 0, Herramientas_eléctricas1862106149[[#Headers],[Herramientas_eléctricas]],
    COUNTIF(Herramientas_neumáticas1963107150[Herramientas_neumáticas], B82) &gt; 0, Herramientas_neumáticas1963107150[[#Headers],[Herramientas_neumáticas]],
    COUNTIF(Herramientas_de_medición2064108151[Herramientas_de_medición], B82) &gt; 0, Herramientas_de_medición2064108151[[#Headers],[Herramientas_de_medición]],
    COUNTIF(Herrramientas_mecánicas2165109152[Herramientas_mecánicas], B82) &gt; 0, Herrramientas_mecánicas2165109152[[#Headers],[Herramientas_mecánicas]],
    COUNTIF(AH82:AH88, B82) &gt; 0, Herramientas_hidráulicas2266110153[[#Headers],[Herramientas_hidráulicas]],
    COUNTIF(EPP_2367111154[SPCC], B82) &gt; 0, EPP_2367111154[[#Headers],[SPCC]],
   COUNTIF(Herramientas_de_izaje2468112155[Herramientas_de_izaje], B82) &gt; 0, Herramientas_de_izaje2468112155[[#Headers],[Herramientas_de_izaje]],
COUNTIF(Tabla162670114157[Equipos], B82) &gt; 0, Tabla162670114157[[#Headers],[Equipos]],
    TRUE, "Sin clasificación"
)</f>
        <v>Sin clasificación</v>
      </c>
      <c r="F82" s="15"/>
      <c r="G82" s="15"/>
      <c r="H82" s="15"/>
      <c r="I82" s="15"/>
      <c r="J82" s="47"/>
      <c r="L82" s="47"/>
      <c r="M82" s="47" t="str">
        <f>_xlfn.LET(
    _xlpm.itemBuscado, B82,
    _xlpm.areaBuscada, C82,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TEXT(COUNTIF($C$2:C82, _xlpm.areaBuscada), "0000"),
    _xlpm.codItem &amp; "-" &amp; _xlpm.codArea &amp; "-" &amp; _xlpm.secuencia
)</f>
        <v>-SinArea-0000</v>
      </c>
      <c r="O82" s="15"/>
      <c r="Q82" s="48"/>
    </row>
    <row r="83" spans="3:17" x14ac:dyDescent="0.3">
      <c r="C83" s="11"/>
      <c r="E83" s="11" t="str" cm="1">
        <f t="array" ref="E83">_xlfn.IFS(
    COUNTIF(Herramientas_eléctricas1862106149[Herramientas_eléctricas], B83) &gt; 0, Herramientas_eléctricas1862106149[[#Headers],[Herramientas_eléctricas]],
    COUNTIF(Herramientas_neumáticas1963107150[Herramientas_neumáticas], B83) &gt; 0, Herramientas_neumáticas1963107150[[#Headers],[Herramientas_neumáticas]],
    COUNTIF(Herramientas_de_medición2064108151[Herramientas_de_medición], B83) &gt; 0, Herramientas_de_medición2064108151[[#Headers],[Herramientas_de_medición]],
    COUNTIF(Herrramientas_mecánicas2165109152[Herramientas_mecánicas], B83) &gt; 0, Herrramientas_mecánicas2165109152[[#Headers],[Herramientas_mecánicas]],
    COUNTIF(AH83:AH89, B83) &gt; 0, Herramientas_hidráulicas2266110153[[#Headers],[Herramientas_hidráulicas]],
    COUNTIF(EPP_2367111154[SPCC], B83) &gt; 0, EPP_2367111154[[#Headers],[SPCC]],
   COUNTIF(Herramientas_de_izaje2468112155[Herramientas_de_izaje], B83) &gt; 0, Herramientas_de_izaje2468112155[[#Headers],[Herramientas_de_izaje]],
COUNTIF(Tabla162670114157[Equipos], B83) &gt; 0, Tabla162670114157[[#Headers],[Equipos]],
    TRUE, "Sin clasificación"
)</f>
        <v>Sin clasificación</v>
      </c>
      <c r="F83" s="15"/>
      <c r="G83" s="15"/>
      <c r="H83" s="15"/>
      <c r="I83" s="15"/>
      <c r="J83" s="47"/>
      <c r="L83" s="47"/>
      <c r="M83" s="47" t="str">
        <f>_xlfn.LET(
    _xlpm.itemBuscado, B83,
    _xlpm.areaBuscada, C83,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TEXT(COUNTIF($C$2:C83, _xlpm.areaBuscada), "0000"),
    _xlpm.codItem &amp; "-" &amp; _xlpm.codArea &amp; "-" &amp; _xlpm.secuencia
)</f>
        <v>-SinArea-0000</v>
      </c>
      <c r="O83" s="15"/>
      <c r="Q83" s="48"/>
    </row>
    <row r="84" spans="3:17" x14ac:dyDescent="0.3">
      <c r="C84" s="11"/>
      <c r="E84" s="11" t="str" cm="1">
        <f t="array" ref="E84">_xlfn.IFS(
    COUNTIF(Herramientas_eléctricas1862106149[Herramientas_eléctricas], B84) &gt; 0, Herramientas_eléctricas1862106149[[#Headers],[Herramientas_eléctricas]],
    COUNTIF(Herramientas_neumáticas1963107150[Herramientas_neumáticas], B84) &gt; 0, Herramientas_neumáticas1963107150[[#Headers],[Herramientas_neumáticas]],
    COUNTIF(Herramientas_de_medición2064108151[Herramientas_de_medición], B84) &gt; 0, Herramientas_de_medición2064108151[[#Headers],[Herramientas_de_medición]],
    COUNTIF(Herrramientas_mecánicas2165109152[Herramientas_mecánicas], B84) &gt; 0, Herrramientas_mecánicas2165109152[[#Headers],[Herramientas_mecánicas]],
    COUNTIF(AH84:AH90, B84) &gt; 0, Herramientas_hidráulicas2266110153[[#Headers],[Herramientas_hidráulicas]],
    COUNTIF(EPP_2367111154[SPCC], B84) &gt; 0, EPP_2367111154[[#Headers],[SPCC]],
   COUNTIF(Herramientas_de_izaje2468112155[Herramientas_de_izaje], B84) &gt; 0, Herramientas_de_izaje2468112155[[#Headers],[Herramientas_de_izaje]],
COUNTIF(Tabla162670114157[Equipos], B84) &gt; 0, Tabla162670114157[[#Headers],[Equipos]],
    TRUE, "Sin clasificación"
)</f>
        <v>Sin clasificación</v>
      </c>
      <c r="F84" s="15"/>
      <c r="G84" s="15"/>
      <c r="H84" s="15"/>
      <c r="I84" s="15"/>
      <c r="J84" s="47"/>
      <c r="L84" s="47"/>
      <c r="M84" s="47" t="str">
        <f>_xlfn.LET(
    _xlpm.itemBuscado, B84,
    _xlpm.areaBuscada, C84,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TEXT(COUNTIF($C$2:C84, _xlpm.areaBuscada), "0000"),
    _xlpm.codItem &amp; "-" &amp; _xlpm.codArea &amp; "-" &amp; _xlpm.secuencia
)</f>
        <v>-SinArea-0000</v>
      </c>
      <c r="O84" s="15"/>
      <c r="Q84" s="48"/>
    </row>
    <row r="85" spans="3:17" x14ac:dyDescent="0.3">
      <c r="C85" s="11"/>
      <c r="E85" s="11" t="str" cm="1">
        <f t="array" ref="E85">_xlfn.IFS(
    COUNTIF(Herramientas_eléctricas1862106149[Herramientas_eléctricas], B85) &gt; 0, Herramientas_eléctricas1862106149[[#Headers],[Herramientas_eléctricas]],
    COUNTIF(Herramientas_neumáticas1963107150[Herramientas_neumáticas], B85) &gt; 0, Herramientas_neumáticas1963107150[[#Headers],[Herramientas_neumáticas]],
    COUNTIF(Herramientas_de_medición2064108151[Herramientas_de_medición], B85) &gt; 0, Herramientas_de_medición2064108151[[#Headers],[Herramientas_de_medición]],
    COUNTIF(Herrramientas_mecánicas2165109152[Herramientas_mecánicas], B85) &gt; 0, Herrramientas_mecánicas2165109152[[#Headers],[Herramientas_mecánicas]],
    COUNTIF(AH85:AH91, B85) &gt; 0, Herramientas_hidráulicas2266110153[[#Headers],[Herramientas_hidráulicas]],
    COUNTIF(EPP_2367111154[SPCC], B85) &gt; 0, EPP_2367111154[[#Headers],[SPCC]],
   COUNTIF(Herramientas_de_izaje2468112155[Herramientas_de_izaje], B85) &gt; 0, Herramientas_de_izaje2468112155[[#Headers],[Herramientas_de_izaje]],
COUNTIF(Tabla162670114157[Equipos], B85) &gt; 0, Tabla162670114157[[#Headers],[Equipos]],
    TRUE, "Sin clasificación"
)</f>
        <v>Sin clasificación</v>
      </c>
      <c r="F85" s="15"/>
      <c r="G85" s="15"/>
      <c r="H85" s="15"/>
      <c r="I85" s="15"/>
      <c r="J85" s="47"/>
      <c r="L85" s="47"/>
      <c r="M85" s="47" t="str">
        <f>_xlfn.LET(
    _xlpm.itemBuscado, B85,
    _xlpm.areaBuscada, C85,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TEXT(COUNTIF($C$2:C85, _xlpm.areaBuscada), "0000"),
    _xlpm.codItem &amp; "-" &amp; _xlpm.codArea &amp; "-" &amp; _xlpm.secuencia
)</f>
        <v>-SinArea-0000</v>
      </c>
      <c r="O85" s="15"/>
      <c r="Q85" s="48"/>
    </row>
    <row r="86" spans="3:17" x14ac:dyDescent="0.3">
      <c r="C86" s="11"/>
      <c r="E86" s="11" t="str" cm="1">
        <f t="array" ref="E86">_xlfn.IFS(
    COUNTIF(Herramientas_eléctricas1862106149[Herramientas_eléctricas], B86) &gt; 0, Herramientas_eléctricas1862106149[[#Headers],[Herramientas_eléctricas]],
    COUNTIF(Herramientas_neumáticas1963107150[Herramientas_neumáticas], B86) &gt; 0, Herramientas_neumáticas1963107150[[#Headers],[Herramientas_neumáticas]],
    COUNTIF(Herramientas_de_medición2064108151[Herramientas_de_medición], B86) &gt; 0, Herramientas_de_medición2064108151[[#Headers],[Herramientas_de_medición]],
    COUNTIF(Herrramientas_mecánicas2165109152[Herramientas_mecánicas], B86) &gt; 0, Herrramientas_mecánicas2165109152[[#Headers],[Herramientas_mecánicas]],
    COUNTIF(AH86:AH92, B86) &gt; 0, Herramientas_hidráulicas2266110153[[#Headers],[Herramientas_hidráulicas]],
    COUNTIF(EPP_2367111154[SPCC], B86) &gt; 0, EPP_2367111154[[#Headers],[SPCC]],
   COUNTIF(Herramientas_de_izaje2468112155[Herramientas_de_izaje], B86) &gt; 0, Herramientas_de_izaje2468112155[[#Headers],[Herramientas_de_izaje]],
COUNTIF(Tabla162670114157[Equipos], B86) &gt; 0, Tabla162670114157[[#Headers],[Equipos]],
    TRUE, "Sin clasificación"
)</f>
        <v>Sin clasificación</v>
      </c>
      <c r="F86" s="15"/>
      <c r="G86" s="15"/>
      <c r="H86" s="15"/>
      <c r="I86" s="15"/>
      <c r="J86" s="47"/>
      <c r="L86" s="47"/>
      <c r="M86" s="47" t="str">
        <f>_xlfn.LET(
    _xlpm.itemBuscado, B86,
    _xlpm.areaBuscada, C86,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TEXT(COUNTIF($C$2:C86, _xlpm.areaBuscada), "0000"),
    _xlpm.codItem &amp; "-" &amp; _xlpm.codArea &amp; "-" &amp; _xlpm.secuencia
)</f>
        <v>-SinArea-0000</v>
      </c>
      <c r="O86" s="15"/>
      <c r="Q86" s="48"/>
    </row>
    <row r="87" spans="3:17" x14ac:dyDescent="0.3">
      <c r="C87" s="11"/>
      <c r="E87" s="11" t="str" cm="1">
        <f t="array" ref="E87">_xlfn.IFS(
    COUNTIF(Herramientas_eléctricas1862106149[Herramientas_eléctricas], B87) &gt; 0, Herramientas_eléctricas1862106149[[#Headers],[Herramientas_eléctricas]],
    COUNTIF(Herramientas_neumáticas1963107150[Herramientas_neumáticas], B87) &gt; 0, Herramientas_neumáticas1963107150[[#Headers],[Herramientas_neumáticas]],
    COUNTIF(Herramientas_de_medición2064108151[Herramientas_de_medición], B87) &gt; 0, Herramientas_de_medición2064108151[[#Headers],[Herramientas_de_medición]],
    COUNTIF(Herrramientas_mecánicas2165109152[Herramientas_mecánicas], B87) &gt; 0, Herrramientas_mecánicas2165109152[[#Headers],[Herramientas_mecánicas]],
    COUNTIF(AH87:AH93, B87) &gt; 0, Herramientas_hidráulicas2266110153[[#Headers],[Herramientas_hidráulicas]],
    COUNTIF(EPP_2367111154[SPCC], B87) &gt; 0, EPP_2367111154[[#Headers],[SPCC]],
   COUNTIF(Herramientas_de_izaje2468112155[Herramientas_de_izaje], B87) &gt; 0, Herramientas_de_izaje2468112155[[#Headers],[Herramientas_de_izaje]],
COUNTIF(Tabla162670114157[Equipos], B87) &gt; 0, Tabla162670114157[[#Headers],[Equipos]],
    TRUE, "Sin clasificación"
)</f>
        <v>Sin clasificación</v>
      </c>
      <c r="F87" s="15"/>
      <c r="G87" s="15"/>
      <c r="H87" s="15"/>
      <c r="I87" s="15"/>
      <c r="J87" s="47"/>
      <c r="L87" s="47"/>
      <c r="M87" s="47" t="str">
        <f>_xlfn.LET(
    _xlpm.itemBuscado, B87,
    _xlpm.areaBuscada, C87,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TEXT(COUNTIF($C$2:C87, _xlpm.areaBuscada), "0000"),
    _xlpm.codItem &amp; "-" &amp; _xlpm.codArea &amp; "-" &amp; _xlpm.secuencia
)</f>
        <v>-SinArea-0000</v>
      </c>
      <c r="O87" s="15"/>
      <c r="Q87" s="48"/>
    </row>
    <row r="88" spans="3:17" x14ac:dyDescent="0.3">
      <c r="C88" s="11"/>
      <c r="E88" s="11" t="str" cm="1">
        <f t="array" ref="E88">_xlfn.IFS(
    COUNTIF(Herramientas_eléctricas1862106149[Herramientas_eléctricas], B88) &gt; 0, Herramientas_eléctricas1862106149[[#Headers],[Herramientas_eléctricas]],
    COUNTIF(Herramientas_neumáticas1963107150[Herramientas_neumáticas], B88) &gt; 0, Herramientas_neumáticas1963107150[[#Headers],[Herramientas_neumáticas]],
    COUNTIF(Herramientas_de_medición2064108151[Herramientas_de_medición], B88) &gt; 0, Herramientas_de_medición2064108151[[#Headers],[Herramientas_de_medición]],
    COUNTIF(Herrramientas_mecánicas2165109152[Herramientas_mecánicas], B88) &gt; 0, Herrramientas_mecánicas2165109152[[#Headers],[Herramientas_mecánicas]],
    COUNTIF(AH88:AH94, B88) &gt; 0, Herramientas_hidráulicas2266110153[[#Headers],[Herramientas_hidráulicas]],
    COUNTIF(EPP_2367111154[SPCC], B88) &gt; 0, EPP_2367111154[[#Headers],[SPCC]],
   COUNTIF(Herramientas_de_izaje2468112155[Herramientas_de_izaje], B88) &gt; 0, Herramientas_de_izaje2468112155[[#Headers],[Herramientas_de_izaje]],
COUNTIF(Tabla162670114157[Equipos], B88) &gt; 0, Tabla162670114157[[#Headers],[Equipos]],
    TRUE, "Sin clasificación"
)</f>
        <v>Sin clasificación</v>
      </c>
      <c r="F88" s="15"/>
      <c r="G88" s="15"/>
      <c r="H88" s="15"/>
      <c r="I88" s="15"/>
      <c r="J88" s="47"/>
      <c r="L88" s="47"/>
      <c r="M88" s="47" t="str">
        <f>_xlfn.LET(
    _xlpm.itemBuscado, B88,
    _xlpm.areaBuscada, C88,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TEXT(COUNTIF($C$2:C88, _xlpm.areaBuscada), "0000"),
    _xlpm.codItem &amp; "-" &amp; _xlpm.codArea &amp; "-" &amp; _xlpm.secuencia
)</f>
        <v>-SinArea-0000</v>
      </c>
      <c r="O88" s="15"/>
      <c r="Q88" s="48"/>
    </row>
    <row r="89" spans="3:17" x14ac:dyDescent="0.3">
      <c r="C89" s="11"/>
      <c r="E89" s="11" t="str" cm="1">
        <f t="array" ref="E89">_xlfn.IFS(
    COUNTIF(Herramientas_eléctricas1862106149[Herramientas_eléctricas], B89) &gt; 0, Herramientas_eléctricas1862106149[[#Headers],[Herramientas_eléctricas]],
    COUNTIF(Herramientas_neumáticas1963107150[Herramientas_neumáticas], B89) &gt; 0, Herramientas_neumáticas1963107150[[#Headers],[Herramientas_neumáticas]],
    COUNTIF(Herramientas_de_medición2064108151[Herramientas_de_medición], B89) &gt; 0, Herramientas_de_medición2064108151[[#Headers],[Herramientas_de_medición]],
    COUNTIF(Herrramientas_mecánicas2165109152[Herramientas_mecánicas], B89) &gt; 0, Herrramientas_mecánicas2165109152[[#Headers],[Herramientas_mecánicas]],
    COUNTIF(AH89:AH95, B89) &gt; 0, Herramientas_hidráulicas2266110153[[#Headers],[Herramientas_hidráulicas]],
    COUNTIF(EPP_2367111154[SPCC], B89) &gt; 0, EPP_2367111154[[#Headers],[SPCC]],
   COUNTIF(Herramientas_de_izaje2468112155[Herramientas_de_izaje], B89) &gt; 0, Herramientas_de_izaje2468112155[[#Headers],[Herramientas_de_izaje]],
COUNTIF(Tabla162670114157[Equipos], B89) &gt; 0, Tabla162670114157[[#Headers],[Equipos]],
    TRUE, "Sin clasificación"
)</f>
        <v>Sin clasificación</v>
      </c>
      <c r="F89" s="15"/>
      <c r="G89" s="15"/>
      <c r="H89" s="15"/>
      <c r="I89" s="15"/>
      <c r="J89" s="47"/>
      <c r="L89" s="47"/>
      <c r="M89" s="47" t="str">
        <f>_xlfn.LET(
    _xlpm.itemBuscado, B89,
    _xlpm.areaBuscada, C89,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TEXT(COUNTIF($C$2:C89, _xlpm.areaBuscada), "0000"),
    _xlpm.codItem &amp; "-" &amp; _xlpm.codArea &amp; "-" &amp; _xlpm.secuencia
)</f>
        <v>-SinArea-0000</v>
      </c>
      <c r="O89" s="15"/>
      <c r="Q89" s="48"/>
    </row>
    <row r="90" spans="3:17" x14ac:dyDescent="0.3">
      <c r="C90" s="11"/>
      <c r="E90" s="11" t="str" cm="1">
        <f t="array" ref="E90">_xlfn.IFS(
    COUNTIF(Herramientas_eléctricas1862106149[Herramientas_eléctricas], B90) &gt; 0, Herramientas_eléctricas1862106149[[#Headers],[Herramientas_eléctricas]],
    COUNTIF(Herramientas_neumáticas1963107150[Herramientas_neumáticas], B90) &gt; 0, Herramientas_neumáticas1963107150[[#Headers],[Herramientas_neumáticas]],
    COUNTIF(Herramientas_de_medición2064108151[Herramientas_de_medición], B90) &gt; 0, Herramientas_de_medición2064108151[[#Headers],[Herramientas_de_medición]],
    COUNTIF(Herrramientas_mecánicas2165109152[Herramientas_mecánicas], B90) &gt; 0, Herrramientas_mecánicas2165109152[[#Headers],[Herramientas_mecánicas]],
    COUNTIF(AH90:AH96, B90) &gt; 0, Herramientas_hidráulicas2266110153[[#Headers],[Herramientas_hidráulicas]],
    COUNTIF(EPP_2367111154[SPCC], B90) &gt; 0, EPP_2367111154[[#Headers],[SPCC]],
   COUNTIF(Herramientas_de_izaje2468112155[Herramientas_de_izaje], B90) &gt; 0, Herramientas_de_izaje2468112155[[#Headers],[Herramientas_de_izaje]],
COUNTIF(Tabla162670114157[Equipos], B90) &gt; 0, Tabla162670114157[[#Headers],[Equipos]],
    TRUE, "Sin clasificación"
)</f>
        <v>Sin clasificación</v>
      </c>
      <c r="F90" s="15"/>
      <c r="G90" s="15"/>
      <c r="H90" s="15"/>
      <c r="I90" s="15"/>
      <c r="J90" s="47"/>
      <c r="L90" s="47"/>
      <c r="M90" s="47" t="str">
        <f>_xlfn.LET(
    _xlpm.itemBuscado, B90,
    _xlpm.areaBuscada, C90,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TEXT(COUNTIF($C$2:C90, _xlpm.areaBuscada), "0000"),
    _xlpm.codItem &amp; "-" &amp; _xlpm.codArea &amp; "-" &amp; _xlpm.secuencia
)</f>
        <v>-SinArea-0000</v>
      </c>
      <c r="O90" s="15"/>
      <c r="Q90" s="48"/>
    </row>
    <row r="91" spans="3:17" x14ac:dyDescent="0.3">
      <c r="C91" s="11"/>
      <c r="E91" s="11" t="str" cm="1">
        <f t="array" ref="E91">_xlfn.IFS(
    COUNTIF(Herramientas_eléctricas1862106149[Herramientas_eléctricas], B91) &gt; 0, Herramientas_eléctricas1862106149[[#Headers],[Herramientas_eléctricas]],
    COUNTIF(Herramientas_neumáticas1963107150[Herramientas_neumáticas], B91) &gt; 0, Herramientas_neumáticas1963107150[[#Headers],[Herramientas_neumáticas]],
    COUNTIF(Herramientas_de_medición2064108151[Herramientas_de_medición], B91) &gt; 0, Herramientas_de_medición2064108151[[#Headers],[Herramientas_de_medición]],
    COUNTIF(Herrramientas_mecánicas2165109152[Herramientas_mecánicas], B91) &gt; 0, Herrramientas_mecánicas2165109152[[#Headers],[Herramientas_mecánicas]],
    COUNTIF(AH91:AH97, B91) &gt; 0, Herramientas_hidráulicas2266110153[[#Headers],[Herramientas_hidráulicas]],
    COUNTIF(EPP_2367111154[SPCC], B91) &gt; 0, EPP_2367111154[[#Headers],[SPCC]],
   COUNTIF(Herramientas_de_izaje2468112155[Herramientas_de_izaje], B91) &gt; 0, Herramientas_de_izaje2468112155[[#Headers],[Herramientas_de_izaje]],
COUNTIF(Tabla162670114157[Equipos], B91) &gt; 0, Tabla162670114157[[#Headers],[Equipos]],
    TRUE, "Sin clasificación"
)</f>
        <v>Sin clasificación</v>
      </c>
      <c r="F91" s="15"/>
      <c r="G91" s="15"/>
      <c r="H91" s="15"/>
      <c r="I91" s="15"/>
      <c r="J91" s="47"/>
      <c r="L91" s="47"/>
      <c r="M91" s="47" t="str">
        <f>_xlfn.LET(
    _xlpm.itemBuscado, B91,
    _xlpm.areaBuscada, C91,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TEXT(COUNTIF($C$2:C91, _xlpm.areaBuscada), "0000"),
    _xlpm.codItem &amp; "-" &amp; _xlpm.codArea &amp; "-" &amp; _xlpm.secuencia
)</f>
        <v>-SinArea-0000</v>
      </c>
      <c r="O91" s="15"/>
      <c r="Q91" s="48"/>
    </row>
    <row r="92" spans="3:17" x14ac:dyDescent="0.3">
      <c r="C92" s="11"/>
      <c r="E92" s="11" t="str" cm="1">
        <f t="array" ref="E92">_xlfn.IFS(
    COUNTIF(Herramientas_eléctricas1862106149[Herramientas_eléctricas], B92) &gt; 0, Herramientas_eléctricas1862106149[[#Headers],[Herramientas_eléctricas]],
    COUNTIF(Herramientas_neumáticas1963107150[Herramientas_neumáticas], B92) &gt; 0, Herramientas_neumáticas1963107150[[#Headers],[Herramientas_neumáticas]],
    COUNTIF(Herramientas_de_medición2064108151[Herramientas_de_medición], B92) &gt; 0, Herramientas_de_medición2064108151[[#Headers],[Herramientas_de_medición]],
    COUNTIF(Herrramientas_mecánicas2165109152[Herramientas_mecánicas], B92) &gt; 0, Herrramientas_mecánicas2165109152[[#Headers],[Herramientas_mecánicas]],
    COUNTIF(AH92:AH98, B92) &gt; 0, Herramientas_hidráulicas2266110153[[#Headers],[Herramientas_hidráulicas]],
    COUNTIF(EPP_2367111154[SPCC], B92) &gt; 0, EPP_2367111154[[#Headers],[SPCC]],
   COUNTIF(Herramientas_de_izaje2468112155[Herramientas_de_izaje], B92) &gt; 0, Herramientas_de_izaje2468112155[[#Headers],[Herramientas_de_izaje]],
COUNTIF(Tabla162670114157[Equipos], B92) &gt; 0, Tabla162670114157[[#Headers],[Equipos]],
    TRUE, "Sin clasificación"
)</f>
        <v>Sin clasificación</v>
      </c>
      <c r="F92" s="15"/>
      <c r="G92" s="15"/>
      <c r="H92" s="15"/>
      <c r="I92" s="15"/>
      <c r="J92" s="47"/>
      <c r="L92" s="47"/>
      <c r="M92" s="47" t="str">
        <f>_xlfn.LET(
    _xlpm.itemBuscado, B92,
    _xlpm.areaBuscada, C92,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TEXT(COUNTIF($C$2:C92, _xlpm.areaBuscada), "0000"),
    _xlpm.codItem &amp; "-" &amp; _xlpm.codArea &amp; "-" &amp; _xlpm.secuencia
)</f>
        <v>-SinArea-0000</v>
      </c>
      <c r="O92" s="15"/>
      <c r="Q92" s="48"/>
    </row>
    <row r="93" spans="3:17" x14ac:dyDescent="0.3">
      <c r="C93" s="11"/>
      <c r="E93" s="11" t="str" cm="1">
        <f t="array" ref="E93">_xlfn.IFS(
    COUNTIF(Herramientas_eléctricas1862106149[Herramientas_eléctricas], B93) &gt; 0, Herramientas_eléctricas1862106149[[#Headers],[Herramientas_eléctricas]],
    COUNTIF(Herramientas_neumáticas1963107150[Herramientas_neumáticas], B93) &gt; 0, Herramientas_neumáticas1963107150[[#Headers],[Herramientas_neumáticas]],
    COUNTIF(Herramientas_de_medición2064108151[Herramientas_de_medición], B93) &gt; 0, Herramientas_de_medición2064108151[[#Headers],[Herramientas_de_medición]],
    COUNTIF(Herrramientas_mecánicas2165109152[Herramientas_mecánicas], B93) &gt; 0, Herrramientas_mecánicas2165109152[[#Headers],[Herramientas_mecánicas]],
    COUNTIF(AH93:AH99, B93) &gt; 0, Herramientas_hidráulicas2266110153[[#Headers],[Herramientas_hidráulicas]],
    COUNTIF(EPP_2367111154[SPCC], B93) &gt; 0, EPP_2367111154[[#Headers],[SPCC]],
   COUNTIF(Herramientas_de_izaje2468112155[Herramientas_de_izaje], B93) &gt; 0, Herramientas_de_izaje2468112155[[#Headers],[Herramientas_de_izaje]],
COUNTIF(Tabla162670114157[Equipos], B93) &gt; 0, Tabla162670114157[[#Headers],[Equipos]],
    TRUE, "Sin clasificación"
)</f>
        <v>Sin clasificación</v>
      </c>
      <c r="F93" s="15"/>
      <c r="G93" s="15"/>
      <c r="H93" s="15"/>
      <c r="I93" s="15"/>
      <c r="J93" s="47"/>
      <c r="L93" s="47"/>
      <c r="M93" s="47" t="str">
        <f>_xlfn.LET(
    _xlpm.itemBuscado, B93,
    _xlpm.areaBuscada, C93,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TEXT(COUNTIF($C$2:C93, _xlpm.areaBuscada), "0000"),
    _xlpm.codItem &amp; "-" &amp; _xlpm.codArea &amp; "-" &amp; _xlpm.secuencia
)</f>
        <v>-SinArea-0000</v>
      </c>
      <c r="O93" s="15"/>
      <c r="Q93" s="48"/>
    </row>
    <row r="94" spans="3:17" x14ac:dyDescent="0.3">
      <c r="C94" s="11"/>
      <c r="E94" s="11" t="str" cm="1">
        <f t="array" ref="E94">_xlfn.IFS(
    COUNTIF(Herramientas_eléctricas1862106149[Herramientas_eléctricas], B94) &gt; 0, Herramientas_eléctricas1862106149[[#Headers],[Herramientas_eléctricas]],
    COUNTIF(Herramientas_neumáticas1963107150[Herramientas_neumáticas], B94) &gt; 0, Herramientas_neumáticas1963107150[[#Headers],[Herramientas_neumáticas]],
    COUNTIF(Herramientas_de_medición2064108151[Herramientas_de_medición], B94) &gt; 0, Herramientas_de_medición2064108151[[#Headers],[Herramientas_de_medición]],
    COUNTIF(Herrramientas_mecánicas2165109152[Herramientas_mecánicas], B94) &gt; 0, Herrramientas_mecánicas2165109152[[#Headers],[Herramientas_mecánicas]],
    COUNTIF(AH94:AH100, B94) &gt; 0, Herramientas_hidráulicas2266110153[[#Headers],[Herramientas_hidráulicas]],
    COUNTIF(EPP_2367111154[SPCC], B94) &gt; 0, EPP_2367111154[[#Headers],[SPCC]],
   COUNTIF(Herramientas_de_izaje2468112155[Herramientas_de_izaje], B94) &gt; 0, Herramientas_de_izaje2468112155[[#Headers],[Herramientas_de_izaje]],
COUNTIF(Tabla162670114157[Equipos], B94) &gt; 0, Tabla162670114157[[#Headers],[Equipos]],
    TRUE, "Sin clasificación"
)</f>
        <v>Sin clasificación</v>
      </c>
      <c r="F94" s="15"/>
      <c r="G94" s="15"/>
      <c r="H94" s="15"/>
      <c r="I94" s="15"/>
      <c r="J94" s="47"/>
      <c r="L94" s="47"/>
      <c r="M94" s="47" t="str">
        <f>_xlfn.LET(
    _xlpm.itemBuscado, B94,
    _xlpm.areaBuscada, C94,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TEXT(COUNTIF($C$2:C94, _xlpm.areaBuscada), "0000"),
    _xlpm.codItem &amp; "-" &amp; _xlpm.codArea &amp; "-" &amp; _xlpm.secuencia
)</f>
        <v>-SinArea-0000</v>
      </c>
      <c r="O94" s="15"/>
      <c r="Q94" s="48"/>
    </row>
    <row r="95" spans="3:17" x14ac:dyDescent="0.3">
      <c r="C95" s="11"/>
      <c r="E95" s="11" t="str" cm="1">
        <f t="array" ref="E95">_xlfn.IFS(
    COUNTIF(Herramientas_eléctricas1862106149[Herramientas_eléctricas], B95) &gt; 0, Herramientas_eléctricas1862106149[[#Headers],[Herramientas_eléctricas]],
    COUNTIF(Herramientas_neumáticas1963107150[Herramientas_neumáticas], B95) &gt; 0, Herramientas_neumáticas1963107150[[#Headers],[Herramientas_neumáticas]],
    COUNTIF(Herramientas_de_medición2064108151[Herramientas_de_medición], B95) &gt; 0, Herramientas_de_medición2064108151[[#Headers],[Herramientas_de_medición]],
    COUNTIF(Herrramientas_mecánicas2165109152[Herramientas_mecánicas], B95) &gt; 0, Herrramientas_mecánicas2165109152[[#Headers],[Herramientas_mecánicas]],
    COUNTIF(AH95:AH101, B95) &gt; 0, Herramientas_hidráulicas2266110153[[#Headers],[Herramientas_hidráulicas]],
    COUNTIF(EPP_2367111154[SPCC], B95) &gt; 0, EPP_2367111154[[#Headers],[SPCC]],
   COUNTIF(Herramientas_de_izaje2468112155[Herramientas_de_izaje], B95) &gt; 0, Herramientas_de_izaje2468112155[[#Headers],[Herramientas_de_izaje]],
COUNTIF(Tabla162670114157[Equipos], B95) &gt; 0, Tabla162670114157[[#Headers],[Equipos]],
    TRUE, "Sin clasificación"
)</f>
        <v>Sin clasificación</v>
      </c>
      <c r="F95" s="15"/>
      <c r="G95" s="15"/>
      <c r="H95" s="15"/>
      <c r="I95" s="15"/>
      <c r="J95" s="47"/>
      <c r="L95" s="47"/>
      <c r="M95" s="47" t="str">
        <f>_xlfn.LET(
    _xlpm.itemBuscado, B95,
    _xlpm.areaBuscada, C95,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TEXT(COUNTIF($C$2:C95, _xlpm.areaBuscada), "0000"),
    _xlpm.codItem &amp; "-" &amp; _xlpm.codArea &amp; "-" &amp; _xlpm.secuencia
)</f>
        <v>-SinArea-0000</v>
      </c>
      <c r="O95" s="15"/>
      <c r="Q95" s="48"/>
    </row>
    <row r="96" spans="3:17" x14ac:dyDescent="0.3">
      <c r="C96" s="11"/>
      <c r="E96" s="11" t="str" cm="1">
        <f t="array" ref="E96">_xlfn.IFS(
    COUNTIF(Herramientas_eléctricas1862106149[Herramientas_eléctricas], B96) &gt; 0, Herramientas_eléctricas1862106149[[#Headers],[Herramientas_eléctricas]],
    COUNTIF(Herramientas_neumáticas1963107150[Herramientas_neumáticas], B96) &gt; 0, Herramientas_neumáticas1963107150[[#Headers],[Herramientas_neumáticas]],
    COUNTIF(Herramientas_de_medición2064108151[Herramientas_de_medición], B96) &gt; 0, Herramientas_de_medición2064108151[[#Headers],[Herramientas_de_medición]],
    COUNTIF(Herrramientas_mecánicas2165109152[Herramientas_mecánicas], B96) &gt; 0, Herrramientas_mecánicas2165109152[[#Headers],[Herramientas_mecánicas]],
    COUNTIF(AH96:AH102, B96) &gt; 0, Herramientas_hidráulicas2266110153[[#Headers],[Herramientas_hidráulicas]],
    COUNTIF(EPP_2367111154[SPCC], B96) &gt; 0, EPP_2367111154[[#Headers],[SPCC]],
   COUNTIF(Herramientas_de_izaje2468112155[Herramientas_de_izaje], B96) &gt; 0, Herramientas_de_izaje2468112155[[#Headers],[Herramientas_de_izaje]],
COUNTIF(Tabla162670114157[Equipos], B96) &gt; 0, Tabla162670114157[[#Headers],[Equipos]],
    TRUE, "Sin clasificación"
)</f>
        <v>Sin clasificación</v>
      </c>
      <c r="F96" s="15"/>
      <c r="G96" s="15"/>
      <c r="H96" s="15"/>
      <c r="I96" s="15"/>
      <c r="J96" s="47"/>
      <c r="L96" s="47"/>
      <c r="M96" s="47" t="str">
        <f>_xlfn.LET(
    _xlpm.itemBuscado, B96,
    _xlpm.areaBuscada, C96,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TEXT(COUNTIF($C$2:C96, _xlpm.areaBuscada), "0000"),
    _xlpm.codItem &amp; "-" &amp; _xlpm.codArea &amp; "-" &amp; _xlpm.secuencia
)</f>
        <v>-SinArea-0000</v>
      </c>
      <c r="O96" s="15"/>
      <c r="Q96" s="48"/>
    </row>
    <row r="97" spans="3:17" x14ac:dyDescent="0.3">
      <c r="C97" s="11"/>
      <c r="E97" s="11" t="str" cm="1">
        <f t="array" ref="E97">_xlfn.IFS(
    COUNTIF(Herramientas_eléctricas1862106149[Herramientas_eléctricas], B97) &gt; 0, Herramientas_eléctricas1862106149[[#Headers],[Herramientas_eléctricas]],
    COUNTIF(Herramientas_neumáticas1963107150[Herramientas_neumáticas], B97) &gt; 0, Herramientas_neumáticas1963107150[[#Headers],[Herramientas_neumáticas]],
    COUNTIF(Herramientas_de_medición2064108151[Herramientas_de_medición], B97) &gt; 0, Herramientas_de_medición2064108151[[#Headers],[Herramientas_de_medición]],
    COUNTIF(Herrramientas_mecánicas2165109152[Herramientas_mecánicas], B97) &gt; 0, Herrramientas_mecánicas2165109152[[#Headers],[Herramientas_mecánicas]],
    COUNTIF(AH97:AH103, B97) &gt; 0, Herramientas_hidráulicas2266110153[[#Headers],[Herramientas_hidráulicas]],
    COUNTIF(EPP_2367111154[SPCC], B97) &gt; 0, EPP_2367111154[[#Headers],[SPCC]],
   COUNTIF(Herramientas_de_izaje2468112155[Herramientas_de_izaje], B97) &gt; 0, Herramientas_de_izaje2468112155[[#Headers],[Herramientas_de_izaje]],
COUNTIF(Tabla162670114157[Equipos], B97) &gt; 0, Tabla162670114157[[#Headers],[Equipos]],
    TRUE, "Sin clasificación"
)</f>
        <v>Sin clasificación</v>
      </c>
      <c r="F97" s="15"/>
      <c r="G97" s="15"/>
      <c r="H97" s="15"/>
      <c r="I97" s="15"/>
      <c r="J97" s="47"/>
      <c r="L97" s="47"/>
      <c r="M97" s="47" t="str">
        <f>_xlfn.LET(
    _xlpm.itemBuscado, B97,
    _xlpm.areaBuscada, C97,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TEXT(COUNTIF($C$2:C97, _xlpm.areaBuscada), "0000"),
    _xlpm.codItem &amp; "-" &amp; _xlpm.codArea &amp; "-" &amp; _xlpm.secuencia
)</f>
        <v>-SinArea-0000</v>
      </c>
      <c r="O97" s="15"/>
      <c r="Q97" s="48"/>
    </row>
    <row r="98" spans="3:17" x14ac:dyDescent="0.3">
      <c r="C98" s="11"/>
      <c r="E98" s="11" t="str" cm="1">
        <f t="array" ref="E98">_xlfn.IFS(
    COUNTIF(Herramientas_eléctricas1862106149[Herramientas_eléctricas], B98) &gt; 0, Herramientas_eléctricas1862106149[[#Headers],[Herramientas_eléctricas]],
    COUNTIF(Herramientas_neumáticas1963107150[Herramientas_neumáticas], B98) &gt; 0, Herramientas_neumáticas1963107150[[#Headers],[Herramientas_neumáticas]],
    COUNTIF(Herramientas_de_medición2064108151[Herramientas_de_medición], B98) &gt; 0, Herramientas_de_medición2064108151[[#Headers],[Herramientas_de_medición]],
    COUNTIF(Herrramientas_mecánicas2165109152[Herramientas_mecánicas], B98) &gt; 0, Herrramientas_mecánicas2165109152[[#Headers],[Herramientas_mecánicas]],
    COUNTIF(AH98:AH104, B98) &gt; 0, Herramientas_hidráulicas2266110153[[#Headers],[Herramientas_hidráulicas]],
    COUNTIF(EPP_2367111154[SPCC], B98) &gt; 0, EPP_2367111154[[#Headers],[SPCC]],
   COUNTIF(Herramientas_de_izaje2468112155[Herramientas_de_izaje], B98) &gt; 0, Herramientas_de_izaje2468112155[[#Headers],[Herramientas_de_izaje]],
COUNTIF(Tabla162670114157[Equipos], B98) &gt; 0, Tabla162670114157[[#Headers],[Equipos]],
    TRUE, "Sin clasificación"
)</f>
        <v>Sin clasificación</v>
      </c>
      <c r="F98" s="15"/>
      <c r="G98" s="15"/>
      <c r="H98" s="15"/>
      <c r="I98" s="15"/>
      <c r="J98" s="47"/>
      <c r="L98" s="47"/>
      <c r="M98" s="47" t="str">
        <f>_xlfn.LET(
    _xlpm.itemBuscado, B98,
    _xlpm.areaBuscada, C98,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TEXT(COUNTIF($C$2:C98, _xlpm.areaBuscada), "0000"),
    _xlpm.codItem &amp; "-" &amp; _xlpm.codArea &amp; "-" &amp; _xlpm.secuencia
)</f>
        <v>-SinArea-0000</v>
      </c>
      <c r="O98" s="15"/>
      <c r="Q98" s="48"/>
    </row>
    <row r="99" spans="3:17" x14ac:dyDescent="0.3">
      <c r="C99" s="11"/>
      <c r="E99" s="11" t="str" cm="1">
        <f t="array" ref="E99">_xlfn.IFS(
    COUNTIF(Herramientas_eléctricas1862106149[Herramientas_eléctricas], B99) &gt; 0, Herramientas_eléctricas1862106149[[#Headers],[Herramientas_eléctricas]],
    COUNTIF(Herramientas_neumáticas1963107150[Herramientas_neumáticas], B99) &gt; 0, Herramientas_neumáticas1963107150[[#Headers],[Herramientas_neumáticas]],
    COUNTIF(Herramientas_de_medición2064108151[Herramientas_de_medición], B99) &gt; 0, Herramientas_de_medición2064108151[[#Headers],[Herramientas_de_medición]],
    COUNTIF(Herrramientas_mecánicas2165109152[Herramientas_mecánicas], B99) &gt; 0, Herrramientas_mecánicas2165109152[[#Headers],[Herramientas_mecánicas]],
    COUNTIF(AH99:AH105, B99) &gt; 0, Herramientas_hidráulicas2266110153[[#Headers],[Herramientas_hidráulicas]],
    COUNTIF(EPP_2367111154[SPCC], B99) &gt; 0, EPP_2367111154[[#Headers],[SPCC]],
   COUNTIF(Herramientas_de_izaje2468112155[Herramientas_de_izaje], B99) &gt; 0, Herramientas_de_izaje2468112155[[#Headers],[Herramientas_de_izaje]],
COUNTIF(Tabla162670114157[Equipos], B99) &gt; 0, Tabla162670114157[[#Headers],[Equipos]],
    TRUE, "Sin clasificación"
)</f>
        <v>Sin clasificación</v>
      </c>
      <c r="F99" s="15"/>
      <c r="G99" s="15"/>
      <c r="H99" s="15"/>
      <c r="I99" s="15"/>
      <c r="J99" s="47"/>
      <c r="L99" s="47"/>
      <c r="M99" s="47" t="str">
        <f>_xlfn.LET(
    _xlpm.itemBuscado, B99,
    _xlpm.areaBuscada, C99,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TEXT(COUNTIF($C$2:C99, _xlpm.areaBuscada), "0000"),
    _xlpm.codItem &amp; "-" &amp; _xlpm.codArea &amp; "-" &amp; _xlpm.secuencia
)</f>
        <v>-SinArea-0000</v>
      </c>
      <c r="O99" s="15"/>
      <c r="Q99" s="48"/>
    </row>
    <row r="100" spans="3:17" x14ac:dyDescent="0.3">
      <c r="C100" s="11"/>
      <c r="E100" s="11" t="str" cm="1">
        <f t="array" ref="E100">_xlfn.IFS(
    COUNTIF(Herramientas_eléctricas1862106149[Herramientas_eléctricas], B100) &gt; 0, Herramientas_eléctricas1862106149[[#Headers],[Herramientas_eléctricas]],
    COUNTIF(Herramientas_neumáticas1963107150[Herramientas_neumáticas], B100) &gt; 0, Herramientas_neumáticas1963107150[[#Headers],[Herramientas_neumáticas]],
    COUNTIF(Herramientas_de_medición2064108151[Herramientas_de_medición], B100) &gt; 0, Herramientas_de_medición2064108151[[#Headers],[Herramientas_de_medición]],
    COUNTIF(Herrramientas_mecánicas2165109152[Herramientas_mecánicas], B100) &gt; 0, Herrramientas_mecánicas2165109152[[#Headers],[Herramientas_mecánicas]],
    COUNTIF(AH100:AH106, B100) &gt; 0, Herramientas_hidráulicas2266110153[[#Headers],[Herramientas_hidráulicas]],
    COUNTIF(EPP_2367111154[SPCC], B100) &gt; 0, EPP_2367111154[[#Headers],[SPCC]],
   COUNTIF(Herramientas_de_izaje2468112155[Herramientas_de_izaje], B100) &gt; 0, Herramientas_de_izaje2468112155[[#Headers],[Herramientas_de_izaje]],
COUNTIF(Tabla162670114157[Equipos], B100) &gt; 0, Tabla162670114157[[#Headers],[Equipos]],
    TRUE, "Sin clasificación"
)</f>
        <v>Sin clasificación</v>
      </c>
      <c r="F100" s="15"/>
      <c r="G100" s="15"/>
      <c r="H100" s="15"/>
      <c r="I100" s="15"/>
      <c r="J100" s="47"/>
      <c r="L100" s="47"/>
      <c r="M100" s="47" t="str">
        <f>_xlfn.LET(
    _xlpm.itemBuscado, B100,
    _xlpm.areaBuscada, C100,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TEXT(COUNTIF($C$2:C100, _xlpm.areaBuscada), "0000"),
    _xlpm.codItem &amp; "-" &amp; _xlpm.codArea &amp; "-" &amp; _xlpm.secuencia
)</f>
        <v>-SinArea-0000</v>
      </c>
      <c r="O100" s="15"/>
      <c r="Q100" s="48"/>
    </row>
    <row r="101" spans="3:17" x14ac:dyDescent="0.3">
      <c r="C101" s="11"/>
      <c r="E101" s="11" t="str" cm="1">
        <f t="array" ref="E101">_xlfn.IFS(
    COUNTIF(Herramientas_eléctricas1862106149[Herramientas_eléctricas], B101) &gt; 0, Herramientas_eléctricas1862106149[[#Headers],[Herramientas_eléctricas]],
    COUNTIF(Herramientas_neumáticas1963107150[Herramientas_neumáticas], B101) &gt; 0, Herramientas_neumáticas1963107150[[#Headers],[Herramientas_neumáticas]],
    COUNTIF(Herramientas_de_medición2064108151[Herramientas_de_medición], B101) &gt; 0, Herramientas_de_medición2064108151[[#Headers],[Herramientas_de_medición]],
    COUNTIF(Herrramientas_mecánicas2165109152[Herramientas_mecánicas], B101) &gt; 0, Herrramientas_mecánicas2165109152[[#Headers],[Herramientas_mecánicas]],
    COUNTIF(AH101:AH107, B101) &gt; 0, Herramientas_hidráulicas2266110153[[#Headers],[Herramientas_hidráulicas]],
    COUNTIF(EPP_2367111154[SPCC], B101) &gt; 0, EPP_2367111154[[#Headers],[SPCC]],
   COUNTIF(Herramientas_de_izaje2468112155[Herramientas_de_izaje], B101) &gt; 0, Herramientas_de_izaje2468112155[[#Headers],[Herramientas_de_izaje]],
COUNTIF(Tabla162670114157[Equipos], B101) &gt; 0, Tabla162670114157[[#Headers],[Equipos]],
    TRUE, "Sin clasificación"
)</f>
        <v>Sin clasificación</v>
      </c>
      <c r="F101" s="15"/>
      <c r="G101" s="15"/>
      <c r="H101" s="15"/>
      <c r="I101" s="15"/>
      <c r="J101" s="47"/>
      <c r="L101" s="47"/>
      <c r="M101" s="47" t="str">
        <f>_xlfn.LET(
    _xlpm.itemBuscado, B101,
    _xlpm.areaBuscada, C101,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TEXT(COUNTIF($C$2:C101, _xlpm.areaBuscada), "0000"),
    _xlpm.codItem &amp; "-" &amp; _xlpm.codArea &amp; "-" &amp; _xlpm.secuencia
)</f>
        <v>-SinArea-0000</v>
      </c>
      <c r="O101" s="15"/>
      <c r="Q101" s="48"/>
    </row>
    <row r="102" spans="3:17" x14ac:dyDescent="0.3">
      <c r="C102" s="11"/>
      <c r="E102" s="11" t="str" cm="1">
        <f t="array" ref="E102">_xlfn.IFS(
    COUNTIF(Herramientas_eléctricas1862106149[Herramientas_eléctricas], B102) &gt; 0, Herramientas_eléctricas1862106149[[#Headers],[Herramientas_eléctricas]],
    COUNTIF(Herramientas_neumáticas1963107150[Herramientas_neumáticas], B102) &gt; 0, Herramientas_neumáticas1963107150[[#Headers],[Herramientas_neumáticas]],
    COUNTIF(Herramientas_de_medición2064108151[Herramientas_de_medición], B102) &gt; 0, Herramientas_de_medición2064108151[[#Headers],[Herramientas_de_medición]],
    COUNTIF(Herrramientas_mecánicas2165109152[Herramientas_mecánicas], B102) &gt; 0, Herrramientas_mecánicas2165109152[[#Headers],[Herramientas_mecánicas]],
    COUNTIF(AH102:AH108, B102) &gt; 0, Herramientas_hidráulicas2266110153[[#Headers],[Herramientas_hidráulicas]],
    COUNTIF(EPP_2367111154[SPCC], B102) &gt; 0, EPP_2367111154[[#Headers],[SPCC]],
   COUNTIF(Herramientas_de_izaje2468112155[Herramientas_de_izaje], B102) &gt; 0, Herramientas_de_izaje2468112155[[#Headers],[Herramientas_de_izaje]],
COUNTIF(Tabla162670114157[Equipos], B102) &gt; 0, Tabla162670114157[[#Headers],[Equipos]],
    TRUE, "Sin clasificación"
)</f>
        <v>Sin clasificación</v>
      </c>
      <c r="F102" s="15"/>
      <c r="G102" s="15"/>
      <c r="H102" s="15"/>
      <c r="I102" s="15"/>
      <c r="J102" s="47"/>
      <c r="L102" s="47"/>
      <c r="M102" s="47" t="str">
        <f>_xlfn.LET(
    _xlpm.itemBuscado, B102,
    _xlpm.areaBuscada, C102,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TEXT(COUNTIF($C$2:C102, _xlpm.areaBuscada), "0000"),
    _xlpm.codItem &amp; "-" &amp; _xlpm.codArea &amp; "-" &amp; _xlpm.secuencia
)</f>
        <v>-SinArea-0000</v>
      </c>
      <c r="O102" s="15"/>
      <c r="Q102" s="48"/>
    </row>
    <row r="103" spans="3:17" x14ac:dyDescent="0.3">
      <c r="C103" s="11"/>
      <c r="E103" s="11" t="str" cm="1">
        <f t="array" ref="E103">_xlfn.IFS(
    COUNTIF(Herramientas_eléctricas1862106149[Herramientas_eléctricas], B103) &gt; 0, Herramientas_eléctricas1862106149[[#Headers],[Herramientas_eléctricas]],
    COUNTIF(Herramientas_neumáticas1963107150[Herramientas_neumáticas], B103) &gt; 0, Herramientas_neumáticas1963107150[[#Headers],[Herramientas_neumáticas]],
    COUNTIF(Herramientas_de_medición2064108151[Herramientas_de_medición], B103) &gt; 0, Herramientas_de_medición2064108151[[#Headers],[Herramientas_de_medición]],
    COUNTIF(Herrramientas_mecánicas2165109152[Herramientas_mecánicas], B103) &gt; 0, Herrramientas_mecánicas2165109152[[#Headers],[Herramientas_mecánicas]],
    COUNTIF(AH103:AH109, B103) &gt; 0, Herramientas_hidráulicas2266110153[[#Headers],[Herramientas_hidráulicas]],
    COUNTIF(EPP_2367111154[SPCC], B103) &gt; 0, EPP_2367111154[[#Headers],[SPCC]],
   COUNTIF(Herramientas_de_izaje2468112155[Herramientas_de_izaje], B103) &gt; 0, Herramientas_de_izaje2468112155[[#Headers],[Herramientas_de_izaje]],
COUNTIF(Tabla162670114157[Equipos], B103) &gt; 0, Tabla162670114157[[#Headers],[Equipos]],
    TRUE, "Sin clasificación"
)</f>
        <v>Sin clasificación</v>
      </c>
      <c r="F103" s="15"/>
      <c r="G103" s="15"/>
      <c r="H103" s="15"/>
      <c r="I103" s="15"/>
      <c r="J103" s="47"/>
      <c r="L103" s="47"/>
      <c r="M103" s="47" t="str">
        <f>_xlfn.LET(
    _xlpm.itemBuscado, B103,
    _xlpm.areaBuscada, C103,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TEXT(COUNTIF($C$2:C103, _xlpm.areaBuscada), "0000"),
    _xlpm.codItem &amp; "-" &amp; _xlpm.codArea &amp; "-" &amp; _xlpm.secuencia
)</f>
        <v>-SinArea-0000</v>
      </c>
      <c r="O103" s="15"/>
      <c r="Q103" s="48"/>
    </row>
    <row r="104" spans="3:17" x14ac:dyDescent="0.3">
      <c r="C104" s="11"/>
      <c r="E104" s="11" t="str" cm="1">
        <f t="array" ref="E104">_xlfn.IFS(
    COUNTIF(Herramientas_eléctricas1862106149[Herramientas_eléctricas], B104) &gt; 0, Herramientas_eléctricas1862106149[[#Headers],[Herramientas_eléctricas]],
    COUNTIF(Herramientas_neumáticas1963107150[Herramientas_neumáticas], B104) &gt; 0, Herramientas_neumáticas1963107150[[#Headers],[Herramientas_neumáticas]],
    COUNTIF(Herramientas_de_medición2064108151[Herramientas_de_medición], B104) &gt; 0, Herramientas_de_medición2064108151[[#Headers],[Herramientas_de_medición]],
    COUNTIF(Herrramientas_mecánicas2165109152[Herramientas_mecánicas], B104) &gt; 0, Herrramientas_mecánicas2165109152[[#Headers],[Herramientas_mecánicas]],
    COUNTIF(AH104:AH110, B104) &gt; 0, Herramientas_hidráulicas2266110153[[#Headers],[Herramientas_hidráulicas]],
    COUNTIF(EPP_2367111154[SPCC], B104) &gt; 0, EPP_2367111154[[#Headers],[SPCC]],
   COUNTIF(Herramientas_de_izaje2468112155[Herramientas_de_izaje], B104) &gt; 0, Herramientas_de_izaje2468112155[[#Headers],[Herramientas_de_izaje]],
COUNTIF(Tabla162670114157[Equipos], B104) &gt; 0, Tabla162670114157[[#Headers],[Equipos]],
    TRUE, "Sin clasificación"
)</f>
        <v>Sin clasificación</v>
      </c>
      <c r="F104" s="15"/>
      <c r="G104" s="15"/>
      <c r="H104" s="15"/>
      <c r="I104" s="15"/>
      <c r="J104" s="47"/>
      <c r="L104" s="47"/>
      <c r="M104" s="47" t="str">
        <f>_xlfn.LET(
    _xlpm.itemBuscado, B104,
    _xlpm.areaBuscada, C104,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TEXT(COUNTIF($C$2:C104, _xlpm.areaBuscada), "0000"),
    _xlpm.codItem &amp; "-" &amp; _xlpm.codArea &amp; "-" &amp; _xlpm.secuencia
)</f>
        <v>-SinArea-0000</v>
      </c>
      <c r="O104" s="15"/>
      <c r="Q104" s="48"/>
    </row>
    <row r="105" spans="3:17" x14ac:dyDescent="0.3">
      <c r="C105" s="11"/>
      <c r="E105" s="11" t="str" cm="1">
        <f t="array" ref="E105">_xlfn.IFS(
    COUNTIF(Herramientas_eléctricas1862106149[Herramientas_eléctricas], B105) &gt; 0, Herramientas_eléctricas1862106149[[#Headers],[Herramientas_eléctricas]],
    COUNTIF(Herramientas_neumáticas1963107150[Herramientas_neumáticas], B105) &gt; 0, Herramientas_neumáticas1963107150[[#Headers],[Herramientas_neumáticas]],
    COUNTIF(Herramientas_de_medición2064108151[Herramientas_de_medición], B105) &gt; 0, Herramientas_de_medición2064108151[[#Headers],[Herramientas_de_medición]],
    COUNTIF(Herrramientas_mecánicas2165109152[Herramientas_mecánicas], B105) &gt; 0, Herrramientas_mecánicas2165109152[[#Headers],[Herramientas_mecánicas]],
    COUNTIF(AH105:AH111, B105) &gt; 0, Herramientas_hidráulicas2266110153[[#Headers],[Herramientas_hidráulicas]],
    COUNTIF(EPP_2367111154[SPCC], B105) &gt; 0, EPP_2367111154[[#Headers],[SPCC]],
   COUNTIF(Herramientas_de_izaje2468112155[Herramientas_de_izaje], B105) &gt; 0, Herramientas_de_izaje2468112155[[#Headers],[Herramientas_de_izaje]],
COUNTIF(Tabla162670114157[Equipos], B105) &gt; 0, Tabla162670114157[[#Headers],[Equipos]],
    TRUE, "Sin clasificación"
)</f>
        <v>Sin clasificación</v>
      </c>
      <c r="F105" s="15"/>
      <c r="G105" s="15"/>
      <c r="H105" s="15"/>
      <c r="I105" s="15"/>
      <c r="J105" s="47"/>
      <c r="L105" s="47"/>
      <c r="M105" s="47" t="str">
        <f>_xlfn.LET(
    _xlpm.itemBuscado, B105,
    _xlpm.areaBuscada, C105,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TEXT(COUNTIF($C$2:C105, _xlpm.areaBuscada), "0000"),
    _xlpm.codItem &amp; "-" &amp; _xlpm.codArea &amp; "-" &amp; _xlpm.secuencia
)</f>
        <v>-SinArea-0000</v>
      </c>
      <c r="O105" s="15"/>
      <c r="Q105" s="48"/>
    </row>
    <row r="106" spans="3:17" x14ac:dyDescent="0.3">
      <c r="C106" s="11"/>
      <c r="E106" s="11" t="str" cm="1">
        <f t="array" ref="E106">_xlfn.IFS(
    COUNTIF(Herramientas_eléctricas1862106149[Herramientas_eléctricas], B106) &gt; 0, Herramientas_eléctricas1862106149[[#Headers],[Herramientas_eléctricas]],
    COUNTIF(Herramientas_neumáticas1963107150[Herramientas_neumáticas], B106) &gt; 0, Herramientas_neumáticas1963107150[[#Headers],[Herramientas_neumáticas]],
    COUNTIF(Herramientas_de_medición2064108151[Herramientas_de_medición], B106) &gt; 0, Herramientas_de_medición2064108151[[#Headers],[Herramientas_de_medición]],
    COUNTIF(Herrramientas_mecánicas2165109152[Herramientas_mecánicas], B106) &gt; 0, Herrramientas_mecánicas2165109152[[#Headers],[Herramientas_mecánicas]],
    COUNTIF(AH106:AH112, B106) &gt; 0, Herramientas_hidráulicas2266110153[[#Headers],[Herramientas_hidráulicas]],
    COUNTIF(EPP_2367111154[SPCC], B106) &gt; 0, EPP_2367111154[[#Headers],[SPCC]],
   COUNTIF(Herramientas_de_izaje2468112155[Herramientas_de_izaje], B106) &gt; 0, Herramientas_de_izaje2468112155[[#Headers],[Herramientas_de_izaje]],
COUNTIF(Tabla162670114157[Equipos], B106) &gt; 0, Tabla162670114157[[#Headers],[Equipos]],
    TRUE, "Sin clasificación"
)</f>
        <v>Sin clasificación</v>
      </c>
      <c r="F106" s="15"/>
      <c r="G106" s="15"/>
      <c r="H106" s="15"/>
      <c r="I106" s="15"/>
      <c r="J106" s="47"/>
      <c r="L106" s="47"/>
      <c r="M106" s="47" t="str">
        <f>_xlfn.LET(
    _xlpm.itemBuscado, B106,
    _xlpm.areaBuscada, C106,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TEXT(COUNTIF($C$2:C106, _xlpm.areaBuscada), "0000"),
    _xlpm.codItem &amp; "-" &amp; _xlpm.codArea &amp; "-" &amp; _xlpm.secuencia
)</f>
        <v>-SinArea-0000</v>
      </c>
      <c r="O106" s="15"/>
      <c r="Q106" s="48"/>
    </row>
    <row r="107" spans="3:17" x14ac:dyDescent="0.3">
      <c r="C107" s="11"/>
      <c r="E107" s="11" t="str" cm="1">
        <f t="array" ref="E107">_xlfn.IFS(
    COUNTIF(Herramientas_eléctricas1862106149[Herramientas_eléctricas], B107) &gt; 0, Herramientas_eléctricas1862106149[[#Headers],[Herramientas_eléctricas]],
    COUNTIF(Herramientas_neumáticas1963107150[Herramientas_neumáticas], B107) &gt; 0, Herramientas_neumáticas1963107150[[#Headers],[Herramientas_neumáticas]],
    COUNTIF(Herramientas_de_medición2064108151[Herramientas_de_medición], B107) &gt; 0, Herramientas_de_medición2064108151[[#Headers],[Herramientas_de_medición]],
    COUNTIF(Herrramientas_mecánicas2165109152[Herramientas_mecánicas], B107) &gt; 0, Herrramientas_mecánicas2165109152[[#Headers],[Herramientas_mecánicas]],
    COUNTIF(AH107:AH113, B107) &gt; 0, Herramientas_hidráulicas2266110153[[#Headers],[Herramientas_hidráulicas]],
    COUNTIF(EPP_2367111154[SPCC], B107) &gt; 0, EPP_2367111154[[#Headers],[SPCC]],
   COUNTIF(Herramientas_de_izaje2468112155[Herramientas_de_izaje], B107) &gt; 0, Herramientas_de_izaje2468112155[[#Headers],[Herramientas_de_izaje]],
COUNTIF(Tabla162670114157[Equipos], B107) &gt; 0, Tabla162670114157[[#Headers],[Equipos]],
    TRUE, "Sin clasificación"
)</f>
        <v>Sin clasificación</v>
      </c>
      <c r="F107" s="15"/>
      <c r="G107" s="15"/>
      <c r="H107" s="15"/>
      <c r="I107" s="15"/>
      <c r="J107" s="47"/>
      <c r="L107" s="47"/>
      <c r="M107" s="47" t="str">
        <f>_xlfn.LET(
    _xlpm.itemBuscado, B107,
    _xlpm.areaBuscada, C107,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TEXT(COUNTIF($C$2:C107, _xlpm.areaBuscada), "0000"),
    _xlpm.codItem &amp; "-" &amp; _xlpm.codArea &amp; "-" &amp; _xlpm.secuencia
)</f>
        <v>-SinArea-0000</v>
      </c>
      <c r="O107" s="15"/>
      <c r="Q107" s="48"/>
    </row>
    <row r="108" spans="3:17" x14ac:dyDescent="0.3">
      <c r="C108" s="11"/>
      <c r="E108" s="11" t="str" cm="1">
        <f t="array" ref="E108">_xlfn.IFS(
    COUNTIF(Herramientas_eléctricas1862106149[Herramientas_eléctricas], B108) &gt; 0, Herramientas_eléctricas1862106149[[#Headers],[Herramientas_eléctricas]],
    COUNTIF(Herramientas_neumáticas1963107150[Herramientas_neumáticas], B108) &gt; 0, Herramientas_neumáticas1963107150[[#Headers],[Herramientas_neumáticas]],
    COUNTIF(Herramientas_de_medición2064108151[Herramientas_de_medición], B108) &gt; 0, Herramientas_de_medición2064108151[[#Headers],[Herramientas_de_medición]],
    COUNTIF(Herrramientas_mecánicas2165109152[Herramientas_mecánicas], B108) &gt; 0, Herrramientas_mecánicas2165109152[[#Headers],[Herramientas_mecánicas]],
    COUNTIF(AH108:AH114, B108) &gt; 0, Herramientas_hidráulicas2266110153[[#Headers],[Herramientas_hidráulicas]],
    COUNTIF(EPP_2367111154[SPCC], B108) &gt; 0, EPP_2367111154[[#Headers],[SPCC]],
   COUNTIF(Herramientas_de_izaje2468112155[Herramientas_de_izaje], B108) &gt; 0, Herramientas_de_izaje2468112155[[#Headers],[Herramientas_de_izaje]],
COUNTIF(Tabla162670114157[Equipos], B108) &gt; 0, Tabla162670114157[[#Headers],[Equipos]],
    TRUE, "Sin clasificación"
)</f>
        <v>Sin clasificación</v>
      </c>
      <c r="F108" s="15"/>
      <c r="G108" s="15"/>
      <c r="H108" s="15"/>
      <c r="I108" s="15"/>
      <c r="J108" s="47"/>
      <c r="L108" s="47"/>
      <c r="M108" s="47" t="str">
        <f>_xlfn.LET(
    _xlpm.itemBuscado, B108,
    _xlpm.areaBuscada, C108,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TEXT(COUNTIF($C$2:C108, _xlpm.areaBuscada), "0000"),
    _xlpm.codItem &amp; "-" &amp; _xlpm.codArea &amp; "-" &amp; _xlpm.secuencia
)</f>
        <v>-SinArea-0000</v>
      </c>
      <c r="O108" s="15"/>
      <c r="Q108" s="48"/>
    </row>
    <row r="109" spans="3:17" x14ac:dyDescent="0.3">
      <c r="C109" s="11"/>
      <c r="E109" s="11" t="str" cm="1">
        <f t="array" ref="E109">_xlfn.IFS(
    COUNTIF(Herramientas_eléctricas1862106149[Herramientas_eléctricas], B109) &gt; 0, Herramientas_eléctricas1862106149[[#Headers],[Herramientas_eléctricas]],
    COUNTIF(Herramientas_neumáticas1963107150[Herramientas_neumáticas], B109) &gt; 0, Herramientas_neumáticas1963107150[[#Headers],[Herramientas_neumáticas]],
    COUNTIF(Herramientas_de_medición2064108151[Herramientas_de_medición], B109) &gt; 0, Herramientas_de_medición2064108151[[#Headers],[Herramientas_de_medición]],
    COUNTIF(Herrramientas_mecánicas2165109152[Herramientas_mecánicas], B109) &gt; 0, Herrramientas_mecánicas2165109152[[#Headers],[Herramientas_mecánicas]],
    COUNTIF(AH109:AH115, B109) &gt; 0, Herramientas_hidráulicas2266110153[[#Headers],[Herramientas_hidráulicas]],
    COUNTIF(EPP_2367111154[SPCC], B109) &gt; 0, EPP_2367111154[[#Headers],[SPCC]],
   COUNTIF(Herramientas_de_izaje2468112155[Herramientas_de_izaje], B109) &gt; 0, Herramientas_de_izaje2468112155[[#Headers],[Herramientas_de_izaje]],
COUNTIF(Tabla162670114157[Equipos], B109) &gt; 0, Tabla162670114157[[#Headers],[Equipos]],
    TRUE, "Sin clasificación"
)</f>
        <v>Sin clasificación</v>
      </c>
      <c r="F109" s="15"/>
      <c r="G109" s="15"/>
      <c r="H109" s="15"/>
      <c r="I109" s="15"/>
      <c r="J109" s="47"/>
      <c r="L109" s="47"/>
      <c r="M109" s="47" t="str">
        <f>_xlfn.LET(
    _xlpm.itemBuscado, B109,
    _xlpm.areaBuscada, C109,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TEXT(COUNTIF($C$2:C109, _xlpm.areaBuscada), "0000"),
    _xlpm.codItem &amp; "-" &amp; _xlpm.codArea &amp; "-" &amp; _xlpm.secuencia
)</f>
        <v>-SinArea-0000</v>
      </c>
      <c r="O109" s="15"/>
      <c r="Q109" s="48"/>
    </row>
    <row r="110" spans="3:17" x14ac:dyDescent="0.3">
      <c r="C110" s="11"/>
      <c r="E110" s="11" t="str" cm="1">
        <f t="array" ref="E110">_xlfn.IFS(
    COUNTIF(Herramientas_eléctricas1862106149[Herramientas_eléctricas], B110) &gt; 0, Herramientas_eléctricas1862106149[[#Headers],[Herramientas_eléctricas]],
    COUNTIF(Herramientas_neumáticas1963107150[Herramientas_neumáticas], B110) &gt; 0, Herramientas_neumáticas1963107150[[#Headers],[Herramientas_neumáticas]],
    COUNTIF(Herramientas_de_medición2064108151[Herramientas_de_medición], B110) &gt; 0, Herramientas_de_medición2064108151[[#Headers],[Herramientas_de_medición]],
    COUNTIF(Herrramientas_mecánicas2165109152[Herramientas_mecánicas], B110) &gt; 0, Herrramientas_mecánicas2165109152[[#Headers],[Herramientas_mecánicas]],
    COUNTIF(AH110:AH116, B110) &gt; 0, Herramientas_hidráulicas2266110153[[#Headers],[Herramientas_hidráulicas]],
    COUNTIF(EPP_2367111154[SPCC], B110) &gt; 0, EPP_2367111154[[#Headers],[SPCC]],
   COUNTIF(Herramientas_de_izaje2468112155[Herramientas_de_izaje], B110) &gt; 0, Herramientas_de_izaje2468112155[[#Headers],[Herramientas_de_izaje]],
COUNTIF(Tabla162670114157[Equipos], B110) &gt; 0, Tabla162670114157[[#Headers],[Equipos]],
    TRUE, "Sin clasificación"
)</f>
        <v>Sin clasificación</v>
      </c>
      <c r="F110" s="15"/>
      <c r="G110" s="15"/>
      <c r="H110" s="15"/>
      <c r="I110" s="15"/>
      <c r="J110" s="47"/>
      <c r="L110" s="47"/>
      <c r="M110" s="47" t="str">
        <f>_xlfn.LET(
    _xlpm.itemBuscado, B110,
    _xlpm.areaBuscada, C110,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TEXT(COUNTIF($C$2:C110, _xlpm.areaBuscada), "0000"),
    _xlpm.codItem &amp; "-" &amp; _xlpm.codArea &amp; "-" &amp; _xlpm.secuencia
)</f>
        <v>-SinArea-0000</v>
      </c>
      <c r="O110" s="15"/>
      <c r="Q110" s="48"/>
    </row>
    <row r="111" spans="3:17" x14ac:dyDescent="0.3">
      <c r="C111" s="11"/>
      <c r="E111" s="11" t="str" cm="1">
        <f t="array" ref="E111">_xlfn.IFS(
    COUNTIF(Herramientas_eléctricas1862106149[Herramientas_eléctricas], B111) &gt; 0, Herramientas_eléctricas1862106149[[#Headers],[Herramientas_eléctricas]],
    COUNTIF(Herramientas_neumáticas1963107150[Herramientas_neumáticas], B111) &gt; 0, Herramientas_neumáticas1963107150[[#Headers],[Herramientas_neumáticas]],
    COUNTIF(Herramientas_de_medición2064108151[Herramientas_de_medición], B111) &gt; 0, Herramientas_de_medición2064108151[[#Headers],[Herramientas_de_medición]],
    COUNTIF(Herrramientas_mecánicas2165109152[Herramientas_mecánicas], B111) &gt; 0, Herrramientas_mecánicas2165109152[[#Headers],[Herramientas_mecánicas]],
    COUNTIF(AH111:AH117, B111) &gt; 0, Herramientas_hidráulicas2266110153[[#Headers],[Herramientas_hidráulicas]],
    COUNTIF(EPP_2367111154[SPCC], B111) &gt; 0, EPP_2367111154[[#Headers],[SPCC]],
   COUNTIF(Herramientas_de_izaje2468112155[Herramientas_de_izaje], B111) &gt; 0, Herramientas_de_izaje2468112155[[#Headers],[Herramientas_de_izaje]],
COUNTIF(Tabla162670114157[Equipos], B111) &gt; 0, Tabla162670114157[[#Headers],[Equipos]],
    TRUE, "Sin clasificación"
)</f>
        <v>Sin clasificación</v>
      </c>
      <c r="F111" s="15"/>
      <c r="G111" s="15"/>
      <c r="H111" s="15"/>
      <c r="I111" s="15"/>
      <c r="J111" s="47"/>
      <c r="L111" s="47"/>
      <c r="M111" s="47" t="str">
        <f>_xlfn.LET(
    _xlpm.itemBuscado, B111,
    _xlpm.areaBuscada, C111,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TEXT(COUNTIF($C$2:C111, _xlpm.areaBuscada), "0000"),
    _xlpm.codItem &amp; "-" &amp; _xlpm.codArea &amp; "-" &amp; _xlpm.secuencia
)</f>
        <v>-SinArea-0000</v>
      </c>
      <c r="O111" s="15"/>
      <c r="Q111" s="48"/>
    </row>
    <row r="112" spans="3:17" x14ac:dyDescent="0.3">
      <c r="C112" s="11"/>
      <c r="E112" s="11" t="str" cm="1">
        <f t="array" ref="E112">_xlfn.IFS(
    COUNTIF(Herramientas_eléctricas1862106149[Herramientas_eléctricas], B112) &gt; 0, Herramientas_eléctricas1862106149[[#Headers],[Herramientas_eléctricas]],
    COUNTIF(Herramientas_neumáticas1963107150[Herramientas_neumáticas], B112) &gt; 0, Herramientas_neumáticas1963107150[[#Headers],[Herramientas_neumáticas]],
    COUNTIF(Herramientas_de_medición2064108151[Herramientas_de_medición], B112) &gt; 0, Herramientas_de_medición2064108151[[#Headers],[Herramientas_de_medición]],
    COUNTIF(Herrramientas_mecánicas2165109152[Herramientas_mecánicas], B112) &gt; 0, Herrramientas_mecánicas2165109152[[#Headers],[Herramientas_mecánicas]],
    COUNTIF(AH112:AH118, B112) &gt; 0, Herramientas_hidráulicas2266110153[[#Headers],[Herramientas_hidráulicas]],
    COUNTIF(EPP_2367111154[SPCC], B112) &gt; 0, EPP_2367111154[[#Headers],[SPCC]],
   COUNTIF(Herramientas_de_izaje2468112155[Herramientas_de_izaje], B112) &gt; 0, Herramientas_de_izaje2468112155[[#Headers],[Herramientas_de_izaje]],
COUNTIF(Tabla162670114157[Equipos], B112) &gt; 0, Tabla162670114157[[#Headers],[Equipos]],
    TRUE, "Sin clasificación"
)</f>
        <v>Sin clasificación</v>
      </c>
      <c r="F112" s="15"/>
      <c r="G112" s="15"/>
      <c r="H112" s="15"/>
      <c r="I112" s="15"/>
      <c r="J112" s="47"/>
      <c r="L112" s="47"/>
      <c r="M112" s="47" t="str">
        <f>_xlfn.LET(
    _xlpm.itemBuscado, B112,
    _xlpm.areaBuscada, C112,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TEXT(COUNTIF($C$2:C112, _xlpm.areaBuscada), "0000"),
    _xlpm.codItem &amp; "-" &amp; _xlpm.codArea &amp; "-" &amp; _xlpm.secuencia
)</f>
        <v>-SinArea-0000</v>
      </c>
      <c r="O112" s="15"/>
      <c r="Q112" s="48"/>
    </row>
    <row r="113" spans="3:17" x14ac:dyDescent="0.3">
      <c r="C113" s="11"/>
      <c r="E113" s="11" t="str" cm="1">
        <f t="array" ref="E113">_xlfn.IFS(
    COUNTIF(Herramientas_eléctricas1862106149[Herramientas_eléctricas], B113) &gt; 0, Herramientas_eléctricas1862106149[[#Headers],[Herramientas_eléctricas]],
    COUNTIF(Herramientas_neumáticas1963107150[Herramientas_neumáticas], B113) &gt; 0, Herramientas_neumáticas1963107150[[#Headers],[Herramientas_neumáticas]],
    COUNTIF(Herramientas_de_medición2064108151[Herramientas_de_medición], B113) &gt; 0, Herramientas_de_medición2064108151[[#Headers],[Herramientas_de_medición]],
    COUNTIF(Herrramientas_mecánicas2165109152[Herramientas_mecánicas], B113) &gt; 0, Herrramientas_mecánicas2165109152[[#Headers],[Herramientas_mecánicas]],
    COUNTIF(AH113:AH119, B113) &gt; 0, Herramientas_hidráulicas2266110153[[#Headers],[Herramientas_hidráulicas]],
    COUNTIF(EPP_2367111154[SPCC], B113) &gt; 0, EPP_2367111154[[#Headers],[SPCC]],
   COUNTIF(Herramientas_de_izaje2468112155[Herramientas_de_izaje], B113) &gt; 0, Herramientas_de_izaje2468112155[[#Headers],[Herramientas_de_izaje]],
COUNTIF(Tabla162670114157[Equipos], B113) &gt; 0, Tabla162670114157[[#Headers],[Equipos]],
    TRUE, "Sin clasificación"
)</f>
        <v>Sin clasificación</v>
      </c>
      <c r="F113" s="15"/>
      <c r="G113" s="15"/>
      <c r="H113" s="15"/>
      <c r="I113" s="15"/>
      <c r="J113" s="47"/>
      <c r="L113" s="47"/>
      <c r="M113" s="47" t="str">
        <f>_xlfn.LET(
    _xlpm.itemBuscado, B113,
    _xlpm.areaBuscada, C113,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TEXT(COUNTIF($C$2:C113, _xlpm.areaBuscada), "0000"),
    _xlpm.codItem &amp; "-" &amp; _xlpm.codArea &amp; "-" &amp; _xlpm.secuencia
)</f>
        <v>-SinArea-0000</v>
      </c>
      <c r="O113" s="15"/>
      <c r="Q113" s="48"/>
    </row>
    <row r="114" spans="3:17" x14ac:dyDescent="0.3">
      <c r="C114" s="11"/>
      <c r="E114" s="11" t="str" cm="1">
        <f t="array" ref="E114">_xlfn.IFS(
    COUNTIF(Herramientas_eléctricas1862106149[Herramientas_eléctricas], B114) &gt; 0, Herramientas_eléctricas1862106149[[#Headers],[Herramientas_eléctricas]],
    COUNTIF(Herramientas_neumáticas1963107150[Herramientas_neumáticas], B114) &gt; 0, Herramientas_neumáticas1963107150[[#Headers],[Herramientas_neumáticas]],
    COUNTIF(Herramientas_de_medición2064108151[Herramientas_de_medición], B114) &gt; 0, Herramientas_de_medición2064108151[[#Headers],[Herramientas_de_medición]],
    COUNTIF(Herrramientas_mecánicas2165109152[Herramientas_mecánicas], B114) &gt; 0, Herrramientas_mecánicas2165109152[[#Headers],[Herramientas_mecánicas]],
    COUNTIF(AH114:AH120, B114) &gt; 0, Herramientas_hidráulicas2266110153[[#Headers],[Herramientas_hidráulicas]],
    COUNTIF(EPP_2367111154[SPCC], B114) &gt; 0, EPP_2367111154[[#Headers],[SPCC]],
   COUNTIF(Herramientas_de_izaje2468112155[Herramientas_de_izaje], B114) &gt; 0, Herramientas_de_izaje2468112155[[#Headers],[Herramientas_de_izaje]],
COUNTIF(Tabla162670114157[Equipos], B114) &gt; 0, Tabla162670114157[[#Headers],[Equipos]],
    TRUE, "Sin clasificación"
)</f>
        <v>Sin clasificación</v>
      </c>
      <c r="F114" s="15"/>
      <c r="G114" s="15"/>
      <c r="H114" s="15"/>
      <c r="I114" s="15"/>
      <c r="J114" s="47"/>
      <c r="L114" s="47"/>
      <c r="M114" s="47" t="str">
        <f>_xlfn.LET(
    _xlpm.itemBuscado, B114,
    _xlpm.areaBuscada, C114,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TEXT(COUNTIF($C$2:C114, _xlpm.areaBuscada), "0000"),
    _xlpm.codItem &amp; "-" &amp; _xlpm.codArea &amp; "-" &amp; _xlpm.secuencia
)</f>
        <v>-SinArea-0000</v>
      </c>
      <c r="O114" s="15"/>
      <c r="Q114" s="48"/>
    </row>
    <row r="115" spans="3:17" x14ac:dyDescent="0.3">
      <c r="C115" s="11"/>
      <c r="E115" s="11" t="str" cm="1">
        <f t="array" ref="E115">_xlfn.IFS(
    COUNTIF(Herramientas_eléctricas1862106149[Herramientas_eléctricas], B115) &gt; 0, Herramientas_eléctricas1862106149[[#Headers],[Herramientas_eléctricas]],
    COUNTIF(Herramientas_neumáticas1963107150[Herramientas_neumáticas], B115) &gt; 0, Herramientas_neumáticas1963107150[[#Headers],[Herramientas_neumáticas]],
    COUNTIF(Herramientas_de_medición2064108151[Herramientas_de_medición], B115) &gt; 0, Herramientas_de_medición2064108151[[#Headers],[Herramientas_de_medición]],
    COUNTIF(Herrramientas_mecánicas2165109152[Herramientas_mecánicas], B115) &gt; 0, Herrramientas_mecánicas2165109152[[#Headers],[Herramientas_mecánicas]],
    COUNTIF(AH115:AH121, B115) &gt; 0, Herramientas_hidráulicas2266110153[[#Headers],[Herramientas_hidráulicas]],
    COUNTIF(EPP_2367111154[SPCC], B115) &gt; 0, EPP_2367111154[[#Headers],[SPCC]],
   COUNTIF(Herramientas_de_izaje2468112155[Herramientas_de_izaje], B115) &gt; 0, Herramientas_de_izaje2468112155[[#Headers],[Herramientas_de_izaje]],
COUNTIF(Tabla162670114157[Equipos], B115) &gt; 0, Tabla162670114157[[#Headers],[Equipos]],
    TRUE, "Sin clasificación"
)</f>
        <v>Sin clasificación</v>
      </c>
      <c r="F115" s="15"/>
      <c r="G115" s="15"/>
      <c r="H115" s="15"/>
      <c r="I115" s="15"/>
      <c r="J115" s="47"/>
      <c r="L115" s="47"/>
      <c r="M115" s="47" t="str">
        <f>_xlfn.LET(
    _xlpm.itemBuscado, B115,
    _xlpm.areaBuscada, C115,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TEXT(COUNTIF($C$2:C115, _xlpm.areaBuscada), "0000"),
    _xlpm.codItem &amp; "-" &amp; _xlpm.codArea &amp; "-" &amp; _xlpm.secuencia
)</f>
        <v>-SinArea-0000</v>
      </c>
      <c r="O115" s="15"/>
      <c r="Q115" s="48"/>
    </row>
    <row r="116" spans="3:17" x14ac:dyDescent="0.3">
      <c r="C116" s="11"/>
      <c r="E116" s="11" t="str" cm="1">
        <f t="array" ref="E116">_xlfn.IFS(
    COUNTIF(Herramientas_eléctricas1862106149[Herramientas_eléctricas], B116) &gt; 0, Herramientas_eléctricas1862106149[[#Headers],[Herramientas_eléctricas]],
    COUNTIF(Herramientas_neumáticas1963107150[Herramientas_neumáticas], B116) &gt; 0, Herramientas_neumáticas1963107150[[#Headers],[Herramientas_neumáticas]],
    COUNTIF(Herramientas_de_medición2064108151[Herramientas_de_medición], B116) &gt; 0, Herramientas_de_medición2064108151[[#Headers],[Herramientas_de_medición]],
    COUNTIF(Herrramientas_mecánicas2165109152[Herramientas_mecánicas], B116) &gt; 0, Herrramientas_mecánicas2165109152[[#Headers],[Herramientas_mecánicas]],
    COUNTIF(AH116:AH122, B116) &gt; 0, Herramientas_hidráulicas2266110153[[#Headers],[Herramientas_hidráulicas]],
    COUNTIF(EPP_2367111154[SPCC], B116) &gt; 0, EPP_2367111154[[#Headers],[SPCC]],
   COUNTIF(Herramientas_de_izaje2468112155[Herramientas_de_izaje], B116) &gt; 0, Herramientas_de_izaje2468112155[[#Headers],[Herramientas_de_izaje]],
COUNTIF(Tabla162670114157[Equipos], B116) &gt; 0, Tabla162670114157[[#Headers],[Equipos]],
    TRUE, "Sin clasificación"
)</f>
        <v>Sin clasificación</v>
      </c>
      <c r="F116" s="15"/>
      <c r="G116" s="15"/>
      <c r="H116" s="15"/>
      <c r="I116" s="15"/>
      <c r="J116" s="47"/>
      <c r="L116" s="47"/>
      <c r="M116" s="47" t="str">
        <f>_xlfn.LET(
    _xlpm.itemBuscado, B116,
    _xlpm.areaBuscada, C116,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TEXT(COUNTIF($C$2:C116, _xlpm.areaBuscada), "0000"),
    _xlpm.codItem &amp; "-" &amp; _xlpm.codArea &amp; "-" &amp; _xlpm.secuencia
)</f>
        <v>-SinArea-0000</v>
      </c>
      <c r="O116" s="15"/>
      <c r="Q116" s="48"/>
    </row>
    <row r="117" spans="3:17" x14ac:dyDescent="0.3">
      <c r="C117" s="11"/>
      <c r="E117" s="11" t="str" cm="1">
        <f t="array" ref="E117">_xlfn.IFS(
    COUNTIF(Herramientas_eléctricas1862106149[Herramientas_eléctricas], B117) &gt; 0, Herramientas_eléctricas1862106149[[#Headers],[Herramientas_eléctricas]],
    COUNTIF(Herramientas_neumáticas1963107150[Herramientas_neumáticas], B117) &gt; 0, Herramientas_neumáticas1963107150[[#Headers],[Herramientas_neumáticas]],
    COUNTIF(Herramientas_de_medición2064108151[Herramientas_de_medición], B117) &gt; 0, Herramientas_de_medición2064108151[[#Headers],[Herramientas_de_medición]],
    COUNTIF(Herrramientas_mecánicas2165109152[Herramientas_mecánicas], B117) &gt; 0, Herrramientas_mecánicas2165109152[[#Headers],[Herramientas_mecánicas]],
    COUNTIF(AH117:AH123, B117) &gt; 0, Herramientas_hidráulicas2266110153[[#Headers],[Herramientas_hidráulicas]],
    COUNTIF(EPP_2367111154[SPCC], B117) &gt; 0, EPP_2367111154[[#Headers],[SPCC]],
   COUNTIF(Herramientas_de_izaje2468112155[Herramientas_de_izaje], B117) &gt; 0, Herramientas_de_izaje2468112155[[#Headers],[Herramientas_de_izaje]],
COUNTIF(Tabla162670114157[Equipos], B117) &gt; 0, Tabla162670114157[[#Headers],[Equipos]],
    TRUE, "Sin clasificación"
)</f>
        <v>Sin clasificación</v>
      </c>
      <c r="F117" s="15"/>
      <c r="G117" s="15"/>
      <c r="H117" s="15"/>
      <c r="I117" s="15"/>
      <c r="J117" s="47"/>
      <c r="L117" s="47"/>
      <c r="M117" s="47" t="str">
        <f>_xlfn.LET(
    _xlpm.itemBuscado, B117,
    _xlpm.areaBuscada, C117,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TEXT(COUNTIF($C$2:C117, _xlpm.areaBuscada), "0000"),
    _xlpm.codItem &amp; "-" &amp; _xlpm.codArea &amp; "-" &amp; _xlpm.secuencia
)</f>
        <v>-SinArea-0000</v>
      </c>
      <c r="O117" s="15"/>
      <c r="Q117" s="48"/>
    </row>
    <row r="118" spans="3:17" x14ac:dyDescent="0.3">
      <c r="C118" s="11"/>
      <c r="E118" s="11" t="str" cm="1">
        <f t="array" ref="E118">_xlfn.IFS(
    COUNTIF(Herramientas_eléctricas1862106149[Herramientas_eléctricas], B118) &gt; 0, Herramientas_eléctricas1862106149[[#Headers],[Herramientas_eléctricas]],
    COUNTIF(Herramientas_neumáticas1963107150[Herramientas_neumáticas], B118) &gt; 0, Herramientas_neumáticas1963107150[[#Headers],[Herramientas_neumáticas]],
    COUNTIF(Herramientas_de_medición2064108151[Herramientas_de_medición], B118) &gt; 0, Herramientas_de_medición2064108151[[#Headers],[Herramientas_de_medición]],
    COUNTIF(Herrramientas_mecánicas2165109152[Herramientas_mecánicas], B118) &gt; 0, Herrramientas_mecánicas2165109152[[#Headers],[Herramientas_mecánicas]],
    COUNTIF(AH118:AH124, B118) &gt; 0, Herramientas_hidráulicas2266110153[[#Headers],[Herramientas_hidráulicas]],
    COUNTIF(EPP_2367111154[SPCC], B118) &gt; 0, EPP_2367111154[[#Headers],[SPCC]],
   COUNTIF(Herramientas_de_izaje2468112155[Herramientas_de_izaje], B118) &gt; 0, Herramientas_de_izaje2468112155[[#Headers],[Herramientas_de_izaje]],
COUNTIF(Tabla162670114157[Equipos], B118) &gt; 0, Tabla162670114157[[#Headers],[Equipos]],
    TRUE, "Sin clasificación"
)</f>
        <v>Sin clasificación</v>
      </c>
      <c r="F118" s="15"/>
      <c r="G118" s="15"/>
      <c r="H118" s="15"/>
      <c r="I118" s="15"/>
      <c r="J118" s="47"/>
      <c r="L118" s="47"/>
      <c r="M118" s="47" t="str">
        <f>_xlfn.LET(
    _xlpm.itemBuscado, B118,
    _xlpm.areaBuscada, C118,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TEXT(COUNTIF($C$2:C118, _xlpm.areaBuscada), "0000"),
    _xlpm.codItem &amp; "-" &amp; _xlpm.codArea &amp; "-" &amp; _xlpm.secuencia
)</f>
        <v>-SinArea-0000</v>
      </c>
      <c r="O118" s="15"/>
      <c r="Q118" s="48"/>
    </row>
    <row r="119" spans="3:17" x14ac:dyDescent="0.3">
      <c r="C119" s="11"/>
      <c r="E119" s="11" t="str" cm="1">
        <f t="array" ref="E119">_xlfn.IFS(
    COUNTIF(Herramientas_eléctricas1862106149[Herramientas_eléctricas], B119) &gt; 0, Herramientas_eléctricas1862106149[[#Headers],[Herramientas_eléctricas]],
    COUNTIF(Herramientas_neumáticas1963107150[Herramientas_neumáticas], B119) &gt; 0, Herramientas_neumáticas1963107150[[#Headers],[Herramientas_neumáticas]],
    COUNTIF(Herramientas_de_medición2064108151[Herramientas_de_medición], B119) &gt; 0, Herramientas_de_medición2064108151[[#Headers],[Herramientas_de_medición]],
    COUNTIF(Herrramientas_mecánicas2165109152[Herramientas_mecánicas], B119) &gt; 0, Herrramientas_mecánicas2165109152[[#Headers],[Herramientas_mecánicas]],
    COUNTIF(AH119:AH125, B119) &gt; 0, Herramientas_hidráulicas2266110153[[#Headers],[Herramientas_hidráulicas]],
    COUNTIF(EPP_2367111154[SPCC], B119) &gt; 0, EPP_2367111154[[#Headers],[SPCC]],
   COUNTIF(Herramientas_de_izaje2468112155[Herramientas_de_izaje], B119) &gt; 0, Herramientas_de_izaje2468112155[[#Headers],[Herramientas_de_izaje]],
COUNTIF(Tabla162670114157[Equipos], B119) &gt; 0, Tabla162670114157[[#Headers],[Equipos]],
    TRUE, "Sin clasificación"
)</f>
        <v>Sin clasificación</v>
      </c>
      <c r="F119" s="15"/>
      <c r="G119" s="15"/>
      <c r="H119" s="15"/>
      <c r="I119" s="15"/>
      <c r="J119" s="47"/>
      <c r="L119" s="47"/>
      <c r="M119" s="47" t="str">
        <f>_xlfn.LET(
    _xlpm.itemBuscado, B119,
    _xlpm.areaBuscada, C119,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TEXT(COUNTIF($C$2:C119, _xlpm.areaBuscada), "0000"),
    _xlpm.codItem &amp; "-" &amp; _xlpm.codArea &amp; "-" &amp; _xlpm.secuencia
)</f>
        <v>-SinArea-0000</v>
      </c>
      <c r="O119" s="15"/>
      <c r="Q119" s="48"/>
    </row>
    <row r="120" spans="3:17" x14ac:dyDescent="0.3">
      <c r="C120" s="11"/>
      <c r="E120" s="11" t="str" cm="1">
        <f t="array" ref="E120">_xlfn.IFS(
    COUNTIF(Herramientas_eléctricas1862106149[Herramientas_eléctricas], B120) &gt; 0, Herramientas_eléctricas1862106149[[#Headers],[Herramientas_eléctricas]],
    COUNTIF(Herramientas_neumáticas1963107150[Herramientas_neumáticas], B120) &gt; 0, Herramientas_neumáticas1963107150[[#Headers],[Herramientas_neumáticas]],
    COUNTIF(Herramientas_de_medición2064108151[Herramientas_de_medición], B120) &gt; 0, Herramientas_de_medición2064108151[[#Headers],[Herramientas_de_medición]],
    COUNTIF(Herrramientas_mecánicas2165109152[Herramientas_mecánicas], B120) &gt; 0, Herrramientas_mecánicas2165109152[[#Headers],[Herramientas_mecánicas]],
    COUNTIF(AH120:AH126, B120) &gt; 0, Herramientas_hidráulicas2266110153[[#Headers],[Herramientas_hidráulicas]],
    COUNTIF(EPP_2367111154[SPCC], B120) &gt; 0, EPP_2367111154[[#Headers],[SPCC]],
   COUNTIF(Herramientas_de_izaje2468112155[Herramientas_de_izaje], B120) &gt; 0, Herramientas_de_izaje2468112155[[#Headers],[Herramientas_de_izaje]],
COUNTIF(Tabla162670114157[Equipos], B120) &gt; 0, Tabla162670114157[[#Headers],[Equipos]],
    TRUE, "Sin clasificación"
)</f>
        <v>Sin clasificación</v>
      </c>
      <c r="F120" s="15"/>
      <c r="G120" s="15"/>
      <c r="H120" s="15"/>
      <c r="I120" s="15"/>
      <c r="J120" s="47"/>
      <c r="L120" s="47"/>
      <c r="M120" s="47" t="str">
        <f>_xlfn.LET(
    _xlpm.itemBuscado, B120,
    _xlpm.areaBuscada, C120,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TEXT(COUNTIF($C$2:C120, _xlpm.areaBuscada), "0000"),
    _xlpm.codItem &amp; "-" &amp; _xlpm.codArea &amp; "-" &amp; _xlpm.secuencia
)</f>
        <v>-SinArea-0000</v>
      </c>
      <c r="O120" s="15"/>
      <c r="Q120" s="48"/>
    </row>
    <row r="121" spans="3:17" x14ac:dyDescent="0.3">
      <c r="C121" s="11"/>
      <c r="E121" s="11" t="str" cm="1">
        <f t="array" ref="E121">_xlfn.IFS(
    COUNTIF(Herramientas_eléctricas1862106149[Herramientas_eléctricas], B121) &gt; 0, Herramientas_eléctricas1862106149[[#Headers],[Herramientas_eléctricas]],
    COUNTIF(Herramientas_neumáticas1963107150[Herramientas_neumáticas], B121) &gt; 0, Herramientas_neumáticas1963107150[[#Headers],[Herramientas_neumáticas]],
    COUNTIF(Herramientas_de_medición2064108151[Herramientas_de_medición], B121) &gt; 0, Herramientas_de_medición2064108151[[#Headers],[Herramientas_de_medición]],
    COUNTIF(Herrramientas_mecánicas2165109152[Herramientas_mecánicas], B121) &gt; 0, Herrramientas_mecánicas2165109152[[#Headers],[Herramientas_mecánicas]],
    COUNTIF(AH121:AH127, B121) &gt; 0, Herramientas_hidráulicas2266110153[[#Headers],[Herramientas_hidráulicas]],
    COUNTIF(EPP_2367111154[SPCC], B121) &gt; 0, EPP_2367111154[[#Headers],[SPCC]],
   COUNTIF(Herramientas_de_izaje2468112155[Herramientas_de_izaje], B121) &gt; 0, Herramientas_de_izaje2468112155[[#Headers],[Herramientas_de_izaje]],
COUNTIF(Tabla162670114157[Equipos], B121) &gt; 0, Tabla162670114157[[#Headers],[Equipos]],
    TRUE, "Sin clasificación"
)</f>
        <v>Sin clasificación</v>
      </c>
      <c r="F121" s="15"/>
      <c r="G121" s="15"/>
      <c r="H121" s="15"/>
      <c r="I121" s="15"/>
      <c r="J121" s="47"/>
      <c r="L121" s="47"/>
      <c r="M121" s="47" t="str">
        <f>_xlfn.LET(
    _xlpm.itemBuscado, B121,
    _xlpm.areaBuscada, C121,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TEXT(COUNTIF($C$2:C121, _xlpm.areaBuscada), "0000"),
    _xlpm.codItem &amp; "-" &amp; _xlpm.codArea &amp; "-" &amp; _xlpm.secuencia
)</f>
        <v>-SinArea-0000</v>
      </c>
      <c r="O121" s="15"/>
      <c r="Q121" s="48"/>
    </row>
    <row r="122" spans="3:17" x14ac:dyDescent="0.3">
      <c r="C122" s="11"/>
      <c r="E122" s="11" t="str" cm="1">
        <f t="array" ref="E122">_xlfn.IFS(
    COUNTIF(Herramientas_eléctricas1862106149[Herramientas_eléctricas], B122) &gt; 0, Herramientas_eléctricas1862106149[[#Headers],[Herramientas_eléctricas]],
    COUNTIF(Herramientas_neumáticas1963107150[Herramientas_neumáticas], B122) &gt; 0, Herramientas_neumáticas1963107150[[#Headers],[Herramientas_neumáticas]],
    COUNTIF(Herramientas_de_medición2064108151[Herramientas_de_medición], B122) &gt; 0, Herramientas_de_medición2064108151[[#Headers],[Herramientas_de_medición]],
    COUNTIF(Herrramientas_mecánicas2165109152[Herramientas_mecánicas], B122) &gt; 0, Herrramientas_mecánicas2165109152[[#Headers],[Herramientas_mecánicas]],
    COUNTIF(AH122:AH128, B122) &gt; 0, Herramientas_hidráulicas2266110153[[#Headers],[Herramientas_hidráulicas]],
    COUNTIF(EPP_2367111154[SPCC], B122) &gt; 0, EPP_2367111154[[#Headers],[SPCC]],
   COUNTIF(Herramientas_de_izaje2468112155[Herramientas_de_izaje], B122) &gt; 0, Herramientas_de_izaje2468112155[[#Headers],[Herramientas_de_izaje]],
COUNTIF(Tabla162670114157[Equipos], B122) &gt; 0, Tabla162670114157[[#Headers],[Equipos]],
    TRUE, "Sin clasificación"
)</f>
        <v>Sin clasificación</v>
      </c>
      <c r="F122" s="15"/>
      <c r="G122" s="15"/>
      <c r="H122" s="15"/>
      <c r="I122" s="15"/>
      <c r="J122" s="47"/>
      <c r="L122" s="47"/>
      <c r="M122" s="47" t="str">
        <f>_xlfn.LET(
    _xlpm.itemBuscado, B122,
    _xlpm.areaBuscada, C122,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TEXT(COUNTIF($C$2:C122, _xlpm.areaBuscada), "0000"),
    _xlpm.codItem &amp; "-" &amp; _xlpm.codArea &amp; "-" &amp; _xlpm.secuencia
)</f>
        <v>-SinArea-0000</v>
      </c>
      <c r="O122" s="15"/>
      <c r="Q122" s="48"/>
    </row>
    <row r="123" spans="3:17" x14ac:dyDescent="0.3">
      <c r="C123" s="11"/>
      <c r="E123" s="11" t="str" cm="1">
        <f t="array" ref="E123">_xlfn.IFS(
    COUNTIF(Herramientas_eléctricas1862106149[Herramientas_eléctricas], B123) &gt; 0, Herramientas_eléctricas1862106149[[#Headers],[Herramientas_eléctricas]],
    COUNTIF(Herramientas_neumáticas1963107150[Herramientas_neumáticas], B123) &gt; 0, Herramientas_neumáticas1963107150[[#Headers],[Herramientas_neumáticas]],
    COUNTIF(Herramientas_de_medición2064108151[Herramientas_de_medición], B123) &gt; 0, Herramientas_de_medición2064108151[[#Headers],[Herramientas_de_medición]],
    COUNTIF(Herrramientas_mecánicas2165109152[Herramientas_mecánicas], B123) &gt; 0, Herrramientas_mecánicas2165109152[[#Headers],[Herramientas_mecánicas]],
    COUNTIF(AH123:AH129, B123) &gt; 0, Herramientas_hidráulicas2266110153[[#Headers],[Herramientas_hidráulicas]],
    COUNTIF(EPP_2367111154[SPCC], B123) &gt; 0, EPP_2367111154[[#Headers],[SPCC]],
   COUNTIF(Herramientas_de_izaje2468112155[Herramientas_de_izaje], B123) &gt; 0, Herramientas_de_izaje2468112155[[#Headers],[Herramientas_de_izaje]],
COUNTIF(Tabla162670114157[Equipos], B123) &gt; 0, Tabla162670114157[[#Headers],[Equipos]],
    TRUE, "Sin clasificación"
)</f>
        <v>Sin clasificación</v>
      </c>
      <c r="F123" s="15"/>
      <c r="G123" s="15"/>
      <c r="H123" s="15"/>
      <c r="I123" s="15"/>
      <c r="J123" s="47"/>
      <c r="L123" s="47"/>
      <c r="M123" s="47" t="str">
        <f>_xlfn.LET(
    _xlpm.itemBuscado, B123,
    _xlpm.areaBuscada, C123,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TEXT(COUNTIF($C$2:C123, _xlpm.areaBuscada), "0000"),
    _xlpm.codItem &amp; "-" &amp; _xlpm.codArea &amp; "-" &amp; _xlpm.secuencia
)</f>
        <v>-SinArea-0000</v>
      </c>
      <c r="O123" s="15"/>
      <c r="Q123" s="48"/>
    </row>
    <row r="124" spans="3:17" x14ac:dyDescent="0.3">
      <c r="C124" s="11"/>
      <c r="E124" s="11" t="str" cm="1">
        <f t="array" ref="E124">_xlfn.IFS(
    COUNTIF(Herramientas_eléctricas1862106149[Herramientas_eléctricas], B124) &gt; 0, Herramientas_eléctricas1862106149[[#Headers],[Herramientas_eléctricas]],
    COUNTIF(Herramientas_neumáticas1963107150[Herramientas_neumáticas], B124) &gt; 0, Herramientas_neumáticas1963107150[[#Headers],[Herramientas_neumáticas]],
    COUNTIF(Herramientas_de_medición2064108151[Herramientas_de_medición], B124) &gt; 0, Herramientas_de_medición2064108151[[#Headers],[Herramientas_de_medición]],
    COUNTIF(Herrramientas_mecánicas2165109152[Herramientas_mecánicas], B124) &gt; 0, Herrramientas_mecánicas2165109152[[#Headers],[Herramientas_mecánicas]],
    COUNTIF(AH124:AH130, B124) &gt; 0, Herramientas_hidráulicas2266110153[[#Headers],[Herramientas_hidráulicas]],
    COUNTIF(EPP_2367111154[SPCC], B124) &gt; 0, EPP_2367111154[[#Headers],[SPCC]],
   COUNTIF(Herramientas_de_izaje2468112155[Herramientas_de_izaje], B124) &gt; 0, Herramientas_de_izaje2468112155[[#Headers],[Herramientas_de_izaje]],
COUNTIF(Tabla162670114157[Equipos], B124) &gt; 0, Tabla162670114157[[#Headers],[Equipos]],
    TRUE, "Sin clasificación"
)</f>
        <v>Sin clasificación</v>
      </c>
      <c r="F124" s="15"/>
      <c r="G124" s="15"/>
      <c r="H124" s="15"/>
      <c r="I124" s="15"/>
      <c r="J124" s="47"/>
      <c r="L124" s="47"/>
      <c r="M124" s="47" t="str">
        <f>_xlfn.LET(
    _xlpm.itemBuscado, B124,
    _xlpm.areaBuscada, C124,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TEXT(COUNTIF($C$2:C124, _xlpm.areaBuscada), "0000"),
    _xlpm.codItem &amp; "-" &amp; _xlpm.codArea &amp; "-" &amp; _xlpm.secuencia
)</f>
        <v>-SinArea-0000</v>
      </c>
      <c r="O124" s="15"/>
      <c r="Q124" s="48"/>
    </row>
    <row r="125" spans="3:17" x14ac:dyDescent="0.3">
      <c r="C125" s="11"/>
      <c r="E125" s="11" t="str" cm="1">
        <f t="array" ref="E125">_xlfn.IFS(
    COUNTIF(Herramientas_eléctricas1862106149[Herramientas_eléctricas], B125) &gt; 0, Herramientas_eléctricas1862106149[[#Headers],[Herramientas_eléctricas]],
    COUNTIF(Herramientas_neumáticas1963107150[Herramientas_neumáticas], B125) &gt; 0, Herramientas_neumáticas1963107150[[#Headers],[Herramientas_neumáticas]],
    COUNTIF(Herramientas_de_medición2064108151[Herramientas_de_medición], B125) &gt; 0, Herramientas_de_medición2064108151[[#Headers],[Herramientas_de_medición]],
    COUNTIF(Herrramientas_mecánicas2165109152[Herramientas_mecánicas], B125) &gt; 0, Herrramientas_mecánicas2165109152[[#Headers],[Herramientas_mecánicas]],
    COUNTIF(AH125:AH131, B125) &gt; 0, Herramientas_hidráulicas2266110153[[#Headers],[Herramientas_hidráulicas]],
    COUNTIF(EPP_2367111154[SPCC], B125) &gt; 0, EPP_2367111154[[#Headers],[SPCC]],
   COUNTIF(Herramientas_de_izaje2468112155[Herramientas_de_izaje], B125) &gt; 0, Herramientas_de_izaje2468112155[[#Headers],[Herramientas_de_izaje]],
COUNTIF(Tabla162670114157[Equipos], B125) &gt; 0, Tabla162670114157[[#Headers],[Equipos]],
    TRUE, "Sin clasificación"
)</f>
        <v>Sin clasificación</v>
      </c>
      <c r="F125" s="15"/>
      <c r="G125" s="15"/>
      <c r="H125" s="15"/>
      <c r="I125" s="15"/>
      <c r="J125" s="47"/>
      <c r="L125" s="47"/>
      <c r="M125" s="47" t="str">
        <f>_xlfn.LET(
    _xlpm.itemBuscado, B125,
    _xlpm.areaBuscada, C125,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TEXT(COUNTIF($C$2:C125, _xlpm.areaBuscada), "0000"),
    _xlpm.codItem &amp; "-" &amp; _xlpm.codArea &amp; "-" &amp; _xlpm.secuencia
)</f>
        <v>-SinArea-0000</v>
      </c>
      <c r="O125" s="15"/>
      <c r="Q125" s="48"/>
    </row>
    <row r="126" spans="3:17" x14ac:dyDescent="0.3">
      <c r="C126" s="11"/>
      <c r="E126" s="11" t="str" cm="1">
        <f t="array" ref="E126">_xlfn.IFS(
    COUNTIF(Herramientas_eléctricas1862106149[Herramientas_eléctricas], B126) &gt; 0, Herramientas_eléctricas1862106149[[#Headers],[Herramientas_eléctricas]],
    COUNTIF(Herramientas_neumáticas1963107150[Herramientas_neumáticas], B126) &gt; 0, Herramientas_neumáticas1963107150[[#Headers],[Herramientas_neumáticas]],
    COUNTIF(Herramientas_de_medición2064108151[Herramientas_de_medición], B126) &gt; 0, Herramientas_de_medición2064108151[[#Headers],[Herramientas_de_medición]],
    COUNTIF(Herrramientas_mecánicas2165109152[Herramientas_mecánicas], B126) &gt; 0, Herrramientas_mecánicas2165109152[[#Headers],[Herramientas_mecánicas]],
    COUNTIF(AH126:AH132, B126) &gt; 0, Herramientas_hidráulicas2266110153[[#Headers],[Herramientas_hidráulicas]],
    COUNTIF(EPP_2367111154[SPCC], B126) &gt; 0, EPP_2367111154[[#Headers],[SPCC]],
   COUNTIF(Herramientas_de_izaje2468112155[Herramientas_de_izaje], B126) &gt; 0, Herramientas_de_izaje2468112155[[#Headers],[Herramientas_de_izaje]],
COUNTIF(Tabla162670114157[Equipos], B126) &gt; 0, Tabla162670114157[[#Headers],[Equipos]],
    TRUE, "Sin clasificación"
)</f>
        <v>Sin clasificación</v>
      </c>
      <c r="F126" s="15"/>
      <c r="G126" s="15"/>
      <c r="H126" s="15"/>
      <c r="I126" s="15"/>
      <c r="J126" s="47"/>
      <c r="L126" s="47"/>
      <c r="M126" s="47" t="str">
        <f>_xlfn.LET(
    _xlpm.itemBuscado, B126,
    _xlpm.areaBuscada, C126,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TEXT(COUNTIF($C$2:C126, _xlpm.areaBuscada), "0000"),
    _xlpm.codItem &amp; "-" &amp; _xlpm.codArea &amp; "-" &amp; _xlpm.secuencia
)</f>
        <v>-SinArea-0000</v>
      </c>
      <c r="O126" s="15"/>
      <c r="Q126" s="48"/>
    </row>
    <row r="127" spans="3:17" x14ac:dyDescent="0.3">
      <c r="C127" s="11"/>
      <c r="E127" s="11" t="str" cm="1">
        <f t="array" ref="E127">_xlfn.IFS(
    COUNTIF(Herramientas_eléctricas1862106149[Herramientas_eléctricas], B127) &gt; 0, Herramientas_eléctricas1862106149[[#Headers],[Herramientas_eléctricas]],
    COUNTIF(Herramientas_neumáticas1963107150[Herramientas_neumáticas], B127) &gt; 0, Herramientas_neumáticas1963107150[[#Headers],[Herramientas_neumáticas]],
    COUNTIF(Herramientas_de_medición2064108151[Herramientas_de_medición], B127) &gt; 0, Herramientas_de_medición2064108151[[#Headers],[Herramientas_de_medición]],
    COUNTIF(Herrramientas_mecánicas2165109152[Herramientas_mecánicas], B127) &gt; 0, Herrramientas_mecánicas2165109152[[#Headers],[Herramientas_mecánicas]],
    COUNTIF(AH127:AH133, B127) &gt; 0, Herramientas_hidráulicas2266110153[[#Headers],[Herramientas_hidráulicas]],
    COUNTIF(EPP_2367111154[SPCC], B127) &gt; 0, EPP_2367111154[[#Headers],[SPCC]],
   COUNTIF(Herramientas_de_izaje2468112155[Herramientas_de_izaje], B127) &gt; 0, Herramientas_de_izaje2468112155[[#Headers],[Herramientas_de_izaje]],
COUNTIF(Tabla162670114157[Equipos], B127) &gt; 0, Tabla162670114157[[#Headers],[Equipos]],
    TRUE, "Sin clasificación"
)</f>
        <v>Sin clasificación</v>
      </c>
      <c r="F127" s="15"/>
      <c r="G127" s="15"/>
      <c r="H127" s="15"/>
      <c r="I127" s="15"/>
      <c r="J127" s="47"/>
      <c r="L127" s="47"/>
      <c r="M127" s="47" t="str">
        <f>_xlfn.LET(
    _xlpm.itemBuscado, B127,
    _xlpm.areaBuscada, C127,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TEXT(COUNTIF($C$2:C127, _xlpm.areaBuscada), "0000"),
    _xlpm.codItem &amp; "-" &amp; _xlpm.codArea &amp; "-" &amp; _xlpm.secuencia
)</f>
        <v>-SinArea-0000</v>
      </c>
      <c r="O127" s="15"/>
      <c r="Q127" s="48"/>
    </row>
    <row r="128" spans="3:17" x14ac:dyDescent="0.3">
      <c r="C128" s="11"/>
      <c r="E128" s="11" t="str" cm="1">
        <f t="array" ref="E128">_xlfn.IFS(
    COUNTIF(Herramientas_eléctricas1862106149[Herramientas_eléctricas], B128) &gt; 0, Herramientas_eléctricas1862106149[[#Headers],[Herramientas_eléctricas]],
    COUNTIF(Herramientas_neumáticas1963107150[Herramientas_neumáticas], B128) &gt; 0, Herramientas_neumáticas1963107150[[#Headers],[Herramientas_neumáticas]],
    COUNTIF(Herramientas_de_medición2064108151[Herramientas_de_medición], B128) &gt; 0, Herramientas_de_medición2064108151[[#Headers],[Herramientas_de_medición]],
    COUNTIF(Herrramientas_mecánicas2165109152[Herramientas_mecánicas], B128) &gt; 0, Herrramientas_mecánicas2165109152[[#Headers],[Herramientas_mecánicas]],
    COUNTIF(AH128:AH134, B128) &gt; 0, Herramientas_hidráulicas2266110153[[#Headers],[Herramientas_hidráulicas]],
    COUNTIF(EPP_2367111154[SPCC], B128) &gt; 0, EPP_2367111154[[#Headers],[SPCC]],
   COUNTIF(Herramientas_de_izaje2468112155[Herramientas_de_izaje], B128) &gt; 0, Herramientas_de_izaje2468112155[[#Headers],[Herramientas_de_izaje]],
COUNTIF(Tabla162670114157[Equipos], B128) &gt; 0, Tabla162670114157[[#Headers],[Equipos]],
    TRUE, "Sin clasificación"
)</f>
        <v>Sin clasificación</v>
      </c>
      <c r="F128" s="15"/>
      <c r="G128" s="15"/>
      <c r="H128" s="15"/>
      <c r="I128" s="15"/>
      <c r="J128" s="47"/>
      <c r="L128" s="47"/>
      <c r="M128" s="47" t="str">
        <f>_xlfn.LET(
    _xlpm.itemBuscado, B128,
    _xlpm.areaBuscada, C128,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TEXT(COUNTIF($C$2:C128, _xlpm.areaBuscada), "0000"),
    _xlpm.codItem &amp; "-" &amp; _xlpm.codArea &amp; "-" &amp; _xlpm.secuencia
)</f>
        <v>-SinArea-0000</v>
      </c>
      <c r="O128" s="15"/>
      <c r="Q128" s="48"/>
    </row>
    <row r="129" spans="3:18" x14ac:dyDescent="0.3">
      <c r="C129" s="11"/>
      <c r="E129" s="11" t="str" cm="1">
        <f t="array" ref="E129">_xlfn.IFS(
    COUNTIF(Herramientas_eléctricas1862106149[Herramientas_eléctricas], B129) &gt; 0, Herramientas_eléctricas1862106149[[#Headers],[Herramientas_eléctricas]],
    COUNTIF(Herramientas_neumáticas1963107150[Herramientas_neumáticas], B129) &gt; 0, Herramientas_neumáticas1963107150[[#Headers],[Herramientas_neumáticas]],
    COUNTIF(Herramientas_de_medición2064108151[Herramientas_de_medición], B129) &gt; 0, Herramientas_de_medición2064108151[[#Headers],[Herramientas_de_medición]],
    COUNTIF(Herrramientas_mecánicas2165109152[Herramientas_mecánicas], B129) &gt; 0, Herrramientas_mecánicas2165109152[[#Headers],[Herramientas_mecánicas]],
    COUNTIF(AH129:AH135, B129) &gt; 0, Herramientas_hidráulicas2266110153[[#Headers],[Herramientas_hidráulicas]],
    COUNTIF(EPP_2367111154[SPCC], B129) &gt; 0, EPP_2367111154[[#Headers],[SPCC]],
   COUNTIF(Herramientas_de_izaje2468112155[Herramientas_de_izaje], B129) &gt; 0, Herramientas_de_izaje2468112155[[#Headers],[Herramientas_de_izaje]],
COUNTIF(Tabla162670114157[Equipos], B129) &gt; 0, Tabla162670114157[[#Headers],[Equipos]],
    TRUE, "Sin clasificación"
)</f>
        <v>Sin clasificación</v>
      </c>
      <c r="F129" s="15"/>
      <c r="G129" s="15"/>
      <c r="H129" s="15"/>
      <c r="I129" s="15"/>
      <c r="J129" s="47"/>
      <c r="L129" s="47"/>
      <c r="M129" s="47" t="str">
        <f>_xlfn.LET(
    _xlpm.itemBuscado, B129,
    _xlpm.areaBuscada, C129,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TEXT(COUNTIF($C$2:C129, _xlpm.areaBuscada), "0000"),
    _xlpm.codItem &amp; "-" &amp; _xlpm.codArea &amp; "-" &amp; _xlpm.secuencia
)</f>
        <v>-SinArea-0000</v>
      </c>
      <c r="O129" s="15"/>
      <c r="Q129" s="48"/>
    </row>
    <row r="130" spans="3:18" x14ac:dyDescent="0.3">
      <c r="C130" s="11"/>
      <c r="E130" s="11" t="str" cm="1">
        <f t="array" ref="E130">_xlfn.IFS(
    COUNTIF(Herramientas_eléctricas1862106149[Herramientas_eléctricas], B130) &gt; 0, Herramientas_eléctricas1862106149[[#Headers],[Herramientas_eléctricas]],
    COUNTIF(Herramientas_neumáticas1963107150[Herramientas_neumáticas], B130) &gt; 0, Herramientas_neumáticas1963107150[[#Headers],[Herramientas_neumáticas]],
    COUNTIF(Herramientas_de_medición2064108151[Herramientas_de_medición], B130) &gt; 0, Herramientas_de_medición2064108151[[#Headers],[Herramientas_de_medición]],
    COUNTIF(Herrramientas_mecánicas2165109152[Herramientas_mecánicas], B130) &gt; 0, Herrramientas_mecánicas2165109152[[#Headers],[Herramientas_mecánicas]],
    COUNTIF(AH130:AH136, B130) &gt; 0, Herramientas_hidráulicas2266110153[[#Headers],[Herramientas_hidráulicas]],
    COUNTIF(EPP_2367111154[SPCC], B130) &gt; 0, EPP_2367111154[[#Headers],[SPCC]],
   COUNTIF(Herramientas_de_izaje2468112155[Herramientas_de_izaje], B130) &gt; 0, Herramientas_de_izaje2468112155[[#Headers],[Herramientas_de_izaje]],
COUNTIF(Tabla162670114157[Equipos], B130) &gt; 0, Tabla162670114157[[#Headers],[Equipos]],
    TRUE, "Sin clasificación"
)</f>
        <v>Sin clasificación</v>
      </c>
      <c r="F130" s="15"/>
      <c r="G130" s="15"/>
      <c r="H130" s="15"/>
      <c r="I130" s="15"/>
      <c r="J130" s="47"/>
      <c r="L130" s="47"/>
      <c r="M130" s="47" t="str">
        <f>_xlfn.LET(
    _xlpm.itemBuscado, B130,
    _xlpm.areaBuscada, C130,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TEXT(COUNTIF($C$2:C130, _xlpm.areaBuscada), "0000"),
    _xlpm.codItem &amp; "-" &amp; _xlpm.codArea &amp; "-" &amp; _xlpm.secuencia
)</f>
        <v>-SinArea-0000</v>
      </c>
      <c r="O130" s="15"/>
      <c r="Q130" s="48"/>
    </row>
    <row r="131" spans="3:18" x14ac:dyDescent="0.3">
      <c r="C131" s="11"/>
      <c r="E131" s="11" t="str" cm="1">
        <f t="array" ref="E131">_xlfn.IFS(
    COUNTIF(Herramientas_eléctricas1862106149[Herramientas_eléctricas], B131) &gt; 0, Herramientas_eléctricas1862106149[[#Headers],[Herramientas_eléctricas]],
    COUNTIF(Herramientas_neumáticas1963107150[Herramientas_neumáticas], B131) &gt; 0, Herramientas_neumáticas1963107150[[#Headers],[Herramientas_neumáticas]],
    COUNTIF(Herramientas_de_medición2064108151[Herramientas_de_medición], B131) &gt; 0, Herramientas_de_medición2064108151[[#Headers],[Herramientas_de_medición]],
    COUNTIF(Herrramientas_mecánicas2165109152[Herramientas_mecánicas], B131) &gt; 0, Herrramientas_mecánicas2165109152[[#Headers],[Herramientas_mecánicas]],
    COUNTIF(AH131:AH137, B131) &gt; 0, Herramientas_hidráulicas2266110153[[#Headers],[Herramientas_hidráulicas]],
    COUNTIF(EPP_2367111154[SPCC], B131) &gt; 0, EPP_2367111154[[#Headers],[SPCC]],
   COUNTIF(Herramientas_de_izaje2468112155[Herramientas_de_izaje], B131) &gt; 0, Herramientas_de_izaje2468112155[[#Headers],[Herramientas_de_izaje]],
COUNTIF(Tabla162670114157[Equipos], B131) &gt; 0, Tabla162670114157[[#Headers],[Equipos]],
    TRUE, "Sin clasificación"
)</f>
        <v>Sin clasificación</v>
      </c>
      <c r="F131" s="15"/>
      <c r="G131" s="15"/>
      <c r="H131" s="15"/>
      <c r="I131" s="15"/>
      <c r="J131" s="47"/>
      <c r="L131" s="47"/>
      <c r="M131" s="47" t="str">
        <f>_xlfn.LET(
    _xlpm.itemBuscado, B131,
    _xlpm.areaBuscada, C131,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TEXT(COUNTIF($C$2:C131, _xlpm.areaBuscada), "0000"),
    _xlpm.codItem &amp; "-" &amp; _xlpm.codArea &amp; "-" &amp; _xlpm.secuencia
)</f>
        <v>-SinArea-0000</v>
      </c>
      <c r="O131" s="15"/>
      <c r="Q131" s="48"/>
    </row>
    <row r="132" spans="3:18" x14ac:dyDescent="0.3">
      <c r="C132" s="11"/>
      <c r="E132" s="11" t="str" cm="1">
        <f t="array" ref="E132">_xlfn.IFS(
    COUNTIF(Herramientas_eléctricas1862106149[Herramientas_eléctricas], B132) &gt; 0, Herramientas_eléctricas1862106149[[#Headers],[Herramientas_eléctricas]],
    COUNTIF(Herramientas_neumáticas1963107150[Herramientas_neumáticas], B132) &gt; 0, Herramientas_neumáticas1963107150[[#Headers],[Herramientas_neumáticas]],
    COUNTIF(Herramientas_de_medición2064108151[Herramientas_de_medición], B132) &gt; 0, Herramientas_de_medición2064108151[[#Headers],[Herramientas_de_medición]],
    COUNTIF(Herrramientas_mecánicas2165109152[Herramientas_mecánicas], B132) &gt; 0, Herrramientas_mecánicas2165109152[[#Headers],[Herramientas_mecánicas]],
    COUNTIF(AH132:AH138, B132) &gt; 0, Herramientas_hidráulicas2266110153[[#Headers],[Herramientas_hidráulicas]],
    COUNTIF(EPP_2367111154[SPCC], B132) &gt; 0, EPP_2367111154[[#Headers],[SPCC]],
   COUNTIF(Herramientas_de_izaje2468112155[Herramientas_de_izaje], B132) &gt; 0, Herramientas_de_izaje2468112155[[#Headers],[Herramientas_de_izaje]],
COUNTIF(Tabla162670114157[Equipos], B132) &gt; 0, Tabla162670114157[[#Headers],[Equipos]],
    TRUE, "Sin clasificación"
)</f>
        <v>Sin clasificación</v>
      </c>
      <c r="F132" s="15"/>
      <c r="G132" s="15"/>
      <c r="H132" s="15"/>
      <c r="I132" s="15"/>
      <c r="J132" s="47"/>
      <c r="L132" s="47"/>
      <c r="M132" s="47" t="str">
        <f>_xlfn.LET(
    _xlpm.itemBuscado, B132,
    _xlpm.areaBuscada, C132,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TEXT(COUNTIF($C$2:C132, _xlpm.areaBuscada), "0000"),
    _xlpm.codItem &amp; "-" &amp; _xlpm.codArea &amp; "-" &amp; _xlpm.secuencia
)</f>
        <v>-SinArea-0000</v>
      </c>
      <c r="O132" s="15"/>
      <c r="Q132" s="48"/>
    </row>
    <row r="133" spans="3:18" x14ac:dyDescent="0.3">
      <c r="C133" s="11"/>
      <c r="E133" s="11" t="str" cm="1">
        <f t="array" ref="E133">_xlfn.IFS(
    COUNTIF(Herramientas_eléctricas1862106149[Herramientas_eléctricas], B133) &gt; 0, Herramientas_eléctricas1862106149[[#Headers],[Herramientas_eléctricas]],
    COUNTIF(Herramientas_neumáticas1963107150[Herramientas_neumáticas], B133) &gt; 0, Herramientas_neumáticas1963107150[[#Headers],[Herramientas_neumáticas]],
    COUNTIF(Herramientas_de_medición2064108151[Herramientas_de_medición], B133) &gt; 0, Herramientas_de_medición2064108151[[#Headers],[Herramientas_de_medición]],
    COUNTIF(Herrramientas_mecánicas2165109152[Herramientas_mecánicas], B133) &gt; 0, Herrramientas_mecánicas2165109152[[#Headers],[Herramientas_mecánicas]],
    COUNTIF(AH133:AH139, B133) &gt; 0, Herramientas_hidráulicas2266110153[[#Headers],[Herramientas_hidráulicas]],
    COUNTIF(EPP_2367111154[SPCC], B133) &gt; 0, EPP_2367111154[[#Headers],[SPCC]],
   COUNTIF(Herramientas_de_izaje2468112155[Herramientas_de_izaje], B133) &gt; 0, Herramientas_de_izaje2468112155[[#Headers],[Herramientas_de_izaje]],
COUNTIF(Tabla162670114157[Equipos], B133) &gt; 0, Tabla162670114157[[#Headers],[Equipos]],
    TRUE, "Sin clasificación"
)</f>
        <v>Sin clasificación</v>
      </c>
      <c r="F133" s="15"/>
      <c r="G133" s="15"/>
      <c r="H133" s="15"/>
      <c r="I133" s="15"/>
      <c r="J133" s="47"/>
      <c r="L133" s="47"/>
      <c r="M133" s="47" t="str">
        <f>_xlfn.LET(
    _xlpm.itemBuscado, B133,
    _xlpm.areaBuscada, C133,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TEXT(COUNTIF($C$2:C133, _xlpm.areaBuscada), "0000"),
    _xlpm.codItem &amp; "-" &amp; _xlpm.codArea &amp; "-" &amp; _xlpm.secuencia
)</f>
        <v>-SinArea-0000</v>
      </c>
      <c r="O133" s="15"/>
      <c r="Q133" s="48"/>
    </row>
    <row r="134" spans="3:18" x14ac:dyDescent="0.3">
      <c r="C134" s="11"/>
      <c r="E134" s="11" t="str" cm="1">
        <f t="array" ref="E134">_xlfn.IFS(
    COUNTIF(Herramientas_eléctricas1862106149[Herramientas_eléctricas], B134) &gt; 0, Herramientas_eléctricas1862106149[[#Headers],[Herramientas_eléctricas]],
    COUNTIF(Herramientas_neumáticas1963107150[Herramientas_neumáticas], B134) &gt; 0, Herramientas_neumáticas1963107150[[#Headers],[Herramientas_neumáticas]],
    COUNTIF(Herramientas_de_medición2064108151[Herramientas_de_medición], B134) &gt; 0, Herramientas_de_medición2064108151[[#Headers],[Herramientas_de_medición]],
    COUNTIF(Herrramientas_mecánicas2165109152[Herramientas_mecánicas], B134) &gt; 0, Herrramientas_mecánicas2165109152[[#Headers],[Herramientas_mecánicas]],
    COUNTIF(AH134:AH140, B134) &gt; 0, Herramientas_hidráulicas2266110153[[#Headers],[Herramientas_hidráulicas]],
    COUNTIF(EPP_2367111154[SPCC], B134) &gt; 0, EPP_2367111154[[#Headers],[SPCC]],
   COUNTIF(Herramientas_de_izaje2468112155[Herramientas_de_izaje], B134) &gt; 0, Herramientas_de_izaje2468112155[[#Headers],[Herramientas_de_izaje]],
COUNTIF(Tabla162670114157[Equipos], B134) &gt; 0, Tabla162670114157[[#Headers],[Equipos]],
    TRUE, "Sin clasificación"
)</f>
        <v>Sin clasificación</v>
      </c>
      <c r="F134" s="15"/>
      <c r="G134" s="15"/>
      <c r="H134" s="15"/>
      <c r="I134" s="15"/>
      <c r="J134" s="47"/>
      <c r="L134" s="47"/>
      <c r="M134" s="47" t="str">
        <f>_xlfn.LET(
    _xlpm.itemBuscado, B134,
    _xlpm.areaBuscada, C134,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TEXT(COUNTIF($C$2:C134, _xlpm.areaBuscada), "0000"),
    _xlpm.codItem &amp; "-" &amp; _xlpm.codArea &amp; "-" &amp; _xlpm.secuencia
)</f>
        <v>-SinArea-0000</v>
      </c>
      <c r="O134" s="15"/>
      <c r="Q134" s="48"/>
    </row>
    <row r="135" spans="3:18" x14ac:dyDescent="0.3">
      <c r="C135" s="11"/>
      <c r="E135" s="11" t="str" cm="1">
        <f t="array" ref="E135">_xlfn.IFS(
    COUNTIF(Herramientas_eléctricas1862106149[Herramientas_eléctricas], B135) &gt; 0, Herramientas_eléctricas1862106149[[#Headers],[Herramientas_eléctricas]],
    COUNTIF(Herramientas_neumáticas1963107150[Herramientas_neumáticas], B135) &gt; 0, Herramientas_neumáticas1963107150[[#Headers],[Herramientas_neumáticas]],
    COUNTIF(Herramientas_de_medición2064108151[Herramientas_de_medición], B135) &gt; 0, Herramientas_de_medición2064108151[[#Headers],[Herramientas_de_medición]],
    COUNTIF(Herrramientas_mecánicas2165109152[Herramientas_mecánicas], B135) &gt; 0, Herrramientas_mecánicas2165109152[[#Headers],[Herramientas_mecánicas]],
    COUNTIF(AH135:AH141, B135) &gt; 0, Herramientas_hidráulicas2266110153[[#Headers],[Herramientas_hidráulicas]],
    COUNTIF(EPP_2367111154[SPCC], B135) &gt; 0, EPP_2367111154[[#Headers],[SPCC]],
   COUNTIF(Herramientas_de_izaje2468112155[Herramientas_de_izaje], B135) &gt; 0, Herramientas_de_izaje2468112155[[#Headers],[Herramientas_de_izaje]],
COUNTIF(Tabla162670114157[Equipos], B135) &gt; 0, Tabla162670114157[[#Headers],[Equipos]],
    TRUE, "Sin clasificación"
)</f>
        <v>Sin clasificación</v>
      </c>
      <c r="F135" s="15"/>
      <c r="G135" s="15"/>
      <c r="H135" s="15"/>
      <c r="I135" s="15"/>
      <c r="J135" s="47"/>
      <c r="L135" s="47"/>
      <c r="M135" s="47" t="str">
        <f>_xlfn.LET(
    _xlpm.itemBuscado, B135,
    _xlpm.areaBuscada, C135,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TEXT(COUNTIF($C$2:C135, _xlpm.areaBuscada), "0000"),
    _xlpm.codItem &amp; "-" &amp; _xlpm.codArea &amp; "-" &amp; _xlpm.secuencia
)</f>
        <v>-SinArea-0000</v>
      </c>
      <c r="O135" s="15"/>
      <c r="Q135" s="48"/>
    </row>
    <row r="136" spans="3:18" x14ac:dyDescent="0.3">
      <c r="C136" s="11"/>
      <c r="E136" s="11" t="str" cm="1">
        <f t="array" ref="E136">_xlfn.IFS(
    COUNTIF(Herramientas_eléctricas1862106149[Herramientas_eléctricas], B136) &gt; 0, Herramientas_eléctricas1862106149[[#Headers],[Herramientas_eléctricas]],
    COUNTIF(Herramientas_neumáticas1963107150[Herramientas_neumáticas], B136) &gt; 0, Herramientas_neumáticas1963107150[[#Headers],[Herramientas_neumáticas]],
    COUNTIF(Herramientas_de_medición2064108151[Herramientas_de_medición], B136) &gt; 0, Herramientas_de_medición2064108151[[#Headers],[Herramientas_de_medición]],
    COUNTIF(Herrramientas_mecánicas2165109152[Herramientas_mecánicas], B136) &gt; 0, Herrramientas_mecánicas2165109152[[#Headers],[Herramientas_mecánicas]],
    COUNTIF(AH136:AH142, B136) &gt; 0, Herramientas_hidráulicas2266110153[[#Headers],[Herramientas_hidráulicas]],
    COUNTIF(EPP_2367111154[SPCC], B136) &gt; 0, EPP_2367111154[[#Headers],[SPCC]],
   COUNTIF(Herramientas_de_izaje2468112155[Herramientas_de_izaje], B136) &gt; 0, Herramientas_de_izaje2468112155[[#Headers],[Herramientas_de_izaje]],
COUNTIF(Tabla162670114157[Equipos], B136) &gt; 0, Tabla162670114157[[#Headers],[Equipos]],
    TRUE, "Sin clasificación"
)</f>
        <v>Sin clasificación</v>
      </c>
      <c r="F136" s="15"/>
      <c r="G136" s="15"/>
      <c r="H136" s="15"/>
      <c r="I136" s="15"/>
      <c r="J136" s="47"/>
      <c r="L136" s="47"/>
      <c r="M136" s="47" t="str">
        <f>_xlfn.LET(
    _xlpm.itemBuscado, B136,
    _xlpm.areaBuscada, C136,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TEXT(COUNTIF($C$2:C136, _xlpm.areaBuscada), "0000"),
    _xlpm.codItem &amp; "-" &amp; _xlpm.codArea &amp; "-" &amp; _xlpm.secuencia
)</f>
        <v>-SinArea-0000</v>
      </c>
      <c r="O136" s="15"/>
      <c r="Q136" s="48"/>
    </row>
    <row r="137" spans="3:18" x14ac:dyDescent="0.3">
      <c r="C137" s="11"/>
      <c r="E137" s="11" t="str" cm="1">
        <f t="array" ref="E137">_xlfn.IFS(
    COUNTIF(Herramientas_eléctricas1862106149[Herramientas_eléctricas], B137) &gt; 0, Herramientas_eléctricas1862106149[[#Headers],[Herramientas_eléctricas]],
    COUNTIF(Herramientas_neumáticas1963107150[Herramientas_neumáticas], B137) &gt; 0, Herramientas_neumáticas1963107150[[#Headers],[Herramientas_neumáticas]],
    COUNTIF(Herramientas_de_medición2064108151[Herramientas_de_medición], B137) &gt; 0, Herramientas_de_medición2064108151[[#Headers],[Herramientas_de_medición]],
    COUNTIF(Herrramientas_mecánicas2165109152[Herramientas_mecánicas], B137) &gt; 0, Herrramientas_mecánicas2165109152[[#Headers],[Herramientas_mecánicas]],
    COUNTIF(AH137:AH143, B137) &gt; 0, Herramientas_hidráulicas2266110153[[#Headers],[Herramientas_hidráulicas]],
    COUNTIF(EPP_2367111154[SPCC], B137) &gt; 0, EPP_2367111154[[#Headers],[SPCC]],
   COUNTIF(Herramientas_de_izaje2468112155[Herramientas_de_izaje], B137) &gt; 0, Herramientas_de_izaje2468112155[[#Headers],[Herramientas_de_izaje]],
COUNTIF(Tabla162670114157[Equipos], B137) &gt; 0, Tabla162670114157[[#Headers],[Equipos]],
    TRUE, "Sin clasificación"
)</f>
        <v>Sin clasificación</v>
      </c>
      <c r="F137" s="15"/>
      <c r="G137" s="15"/>
      <c r="H137" s="15"/>
      <c r="I137" s="15"/>
      <c r="J137" s="47"/>
      <c r="L137" s="47"/>
      <c r="M137" s="47" t="str">
        <f>_xlfn.LET(
    _xlpm.itemBuscado, B137,
    _xlpm.areaBuscada, C137,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TEXT(COUNTIF($C$2:C137, _xlpm.areaBuscada), "0000"),
    _xlpm.codItem &amp; "-" &amp; _xlpm.codArea &amp; "-" &amp; _xlpm.secuencia
)</f>
        <v>-SinArea-0000</v>
      </c>
      <c r="O137" s="15"/>
      <c r="Q137" s="48"/>
    </row>
    <row r="138" spans="3:18" x14ac:dyDescent="0.3">
      <c r="C138" s="11"/>
      <c r="E138" s="11" t="str" cm="1">
        <f t="array" ref="E138">_xlfn.IFS(
    COUNTIF(Herramientas_eléctricas1862106149[Herramientas_eléctricas], B138) &gt; 0, Herramientas_eléctricas1862106149[[#Headers],[Herramientas_eléctricas]],
    COUNTIF(Herramientas_neumáticas1963107150[Herramientas_neumáticas], B138) &gt; 0, Herramientas_neumáticas1963107150[[#Headers],[Herramientas_neumáticas]],
    COUNTIF(Herramientas_de_medición2064108151[Herramientas_de_medición], B138) &gt; 0, Herramientas_de_medición2064108151[[#Headers],[Herramientas_de_medición]],
    COUNTIF(Herrramientas_mecánicas2165109152[Herramientas_mecánicas], B138) &gt; 0, Herrramientas_mecánicas2165109152[[#Headers],[Herramientas_mecánicas]],
    COUNTIF(AH138:AH144, B138) &gt; 0, Herramientas_hidráulicas2266110153[[#Headers],[Herramientas_hidráulicas]],
    COUNTIF(EPP_2367111154[SPCC], B138) &gt; 0, EPP_2367111154[[#Headers],[SPCC]],
   COUNTIF(Herramientas_de_izaje2468112155[Herramientas_de_izaje], B138) &gt; 0, Herramientas_de_izaje2468112155[[#Headers],[Herramientas_de_izaje]],
COUNTIF(Tabla162670114157[Equipos], B138) &gt; 0, Tabla162670114157[[#Headers],[Equipos]],
    TRUE, "Sin clasificación"
)</f>
        <v>Sin clasificación</v>
      </c>
      <c r="F138" s="15"/>
      <c r="G138" s="15"/>
      <c r="H138" s="15"/>
      <c r="I138" s="15"/>
      <c r="J138" s="47"/>
      <c r="L138" s="47"/>
      <c r="M138" s="47" t="str">
        <f>_xlfn.LET(
    _xlpm.itemBuscado, B138,
    _xlpm.areaBuscada, C138,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TEXT(COUNTIF($C$2:C138, _xlpm.areaBuscada), "0000"),
    _xlpm.codItem &amp; "-" &amp; _xlpm.codArea &amp; "-" &amp; _xlpm.secuencia
)</f>
        <v>-SinArea-0000</v>
      </c>
      <c r="O138" s="15"/>
      <c r="Q138" s="48"/>
    </row>
    <row r="139" spans="3:18" x14ac:dyDescent="0.3">
      <c r="C139" s="11"/>
      <c r="E139" s="11" t="str" cm="1">
        <f t="array" ref="E139">_xlfn.IFS(
    COUNTIF(Herramientas_eléctricas1862106149[Herramientas_eléctricas], B139) &gt; 0, Herramientas_eléctricas1862106149[[#Headers],[Herramientas_eléctricas]],
    COUNTIF(Herramientas_neumáticas1963107150[Herramientas_neumáticas], B139) &gt; 0, Herramientas_neumáticas1963107150[[#Headers],[Herramientas_neumáticas]],
    COUNTIF(Herramientas_de_medición2064108151[Herramientas_de_medición], B139) &gt; 0, Herramientas_de_medición2064108151[[#Headers],[Herramientas_de_medición]],
    COUNTIF(Herrramientas_mecánicas2165109152[Herramientas_mecánicas], B139) &gt; 0, Herrramientas_mecánicas2165109152[[#Headers],[Herramientas_mecánicas]],
    COUNTIF(AH139:AH145, B139) &gt; 0, Herramientas_hidráulicas2266110153[[#Headers],[Herramientas_hidráulicas]],
    COUNTIF(EPP_2367111154[SPCC], B139) &gt; 0, EPP_2367111154[[#Headers],[SPCC]],
   COUNTIF(Herramientas_de_izaje2468112155[Herramientas_de_izaje], B139) &gt; 0, Herramientas_de_izaje2468112155[[#Headers],[Herramientas_de_izaje]],
COUNTIF(Tabla162670114157[Equipos], B139) &gt; 0, Tabla162670114157[[#Headers],[Equipos]],
    TRUE, "Sin clasificación"
)</f>
        <v>Sin clasificación</v>
      </c>
      <c r="F139" s="15"/>
      <c r="G139" s="15"/>
      <c r="H139" s="15"/>
      <c r="I139" s="15"/>
      <c r="J139" s="47"/>
      <c r="L139" s="47"/>
      <c r="M139" s="47" t="str">
        <f>_xlfn.LET(
    _xlpm.itemBuscado, B139,
    _xlpm.areaBuscada, C139,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TEXT(COUNTIF($C$2:C139, _xlpm.areaBuscada), "0000"),
    _xlpm.codItem &amp; "-" &amp; _xlpm.codArea &amp; "-" &amp; _xlpm.secuencia
)</f>
        <v>-SinArea-0000</v>
      </c>
      <c r="O139" s="15"/>
      <c r="Q139" s="48"/>
    </row>
    <row r="140" spans="3:18" x14ac:dyDescent="0.3">
      <c r="C140" s="11"/>
      <c r="D140" s="32"/>
      <c r="E140" s="11" t="str" cm="1">
        <f t="array" ref="E140">_xlfn.IFS(
    COUNTIF(Herramientas_eléctricas1862106149[Herramientas_eléctricas], B140) &gt; 0, Herramientas_eléctricas1862106149[[#Headers],[Herramientas_eléctricas]],
    COUNTIF(Herramientas_neumáticas1963107150[Herramientas_neumáticas], B140) &gt; 0, Herramientas_neumáticas1963107150[[#Headers],[Herramientas_neumáticas]],
    COUNTIF(Herramientas_de_medición2064108151[Herramientas_de_medición], B140) &gt; 0, Herramientas_de_medición2064108151[[#Headers],[Herramientas_de_medición]],
    COUNTIF(Herrramientas_mecánicas2165109152[Herramientas_mecánicas], B140) &gt; 0, Herrramientas_mecánicas2165109152[[#Headers],[Herramientas_mecánicas]],
    COUNTIF(AH140:AH146, B140) &gt; 0, Herramientas_hidráulicas2266110153[[#Headers],[Herramientas_hidráulicas]],
    COUNTIF(EPP_2367111154[SPCC], B140) &gt; 0, EPP_2367111154[[#Headers],[SPCC]],
   COUNTIF(Herramientas_de_izaje2468112155[Herramientas_de_izaje], B140) &gt; 0, Herramientas_de_izaje2468112155[[#Headers],[Herramientas_de_izaje]],
COUNTIF(Tabla162670114157[Equipos], B140) &gt; 0, Tabla162670114157[[#Headers],[Equipos]],
    TRUE, "Sin clasificación"
)</f>
        <v>Sin clasificación</v>
      </c>
      <c r="F140" s="15"/>
      <c r="G140" s="15"/>
      <c r="H140" s="15"/>
      <c r="I140" s="15"/>
      <c r="J140" s="47"/>
      <c r="K140" s="76"/>
      <c r="L140" s="47"/>
      <c r="M140" s="47" t="str">
        <f>_xlfn.LET(
    _xlpm.itemBuscado, B140,
    _xlpm.areaBuscada, C140,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TEXT(COUNTIF($C$2:C140, _xlpm.areaBuscada), "0000"),
    _xlpm.codItem &amp; "-" &amp; _xlpm.codArea &amp; "-" &amp; _xlpm.secuencia
)</f>
        <v>-SinArea-0000</v>
      </c>
      <c r="N140" s="77"/>
      <c r="O140" s="15"/>
      <c r="P140" s="32"/>
      <c r="Q140" s="48"/>
    </row>
    <row r="141" spans="3:18" x14ac:dyDescent="0.3">
      <c r="C141" s="11"/>
      <c r="D141" s="32"/>
      <c r="E141" s="11" t="str" cm="1">
        <f t="array" ref="E141">_xlfn.IFS(
    COUNTIF(Herramientas_eléctricas1862106149[Herramientas_eléctricas], B141) &gt; 0, Herramientas_eléctricas1862106149[[#Headers],[Herramientas_eléctricas]],
    COUNTIF(Herramientas_neumáticas1963107150[Herramientas_neumáticas], B141) &gt; 0, Herramientas_neumáticas1963107150[[#Headers],[Herramientas_neumáticas]],
    COUNTIF(Herramientas_de_medición2064108151[Herramientas_de_medición], B141) &gt; 0, Herramientas_de_medición2064108151[[#Headers],[Herramientas_de_medición]],
    COUNTIF(Herrramientas_mecánicas2165109152[Herramientas_mecánicas], B141) &gt; 0, Herrramientas_mecánicas2165109152[[#Headers],[Herramientas_mecánicas]],
    COUNTIF(AH141:AH147, B141) &gt; 0, Herramientas_hidráulicas2266110153[[#Headers],[Herramientas_hidráulicas]],
    COUNTIF(EPP_2367111154[SPCC], B141) &gt; 0, EPP_2367111154[[#Headers],[SPCC]],
   COUNTIF(Herramientas_de_izaje2468112155[Herramientas_de_izaje], B141) &gt; 0, Herramientas_de_izaje2468112155[[#Headers],[Herramientas_de_izaje]],
COUNTIF(Tabla162670114157[Equipos], B141) &gt; 0, Tabla162670114157[[#Headers],[Equipos]],
    TRUE, "Sin clasificación"
)</f>
        <v>Sin clasificación</v>
      </c>
      <c r="I141" s="15"/>
      <c r="J141" s="47"/>
      <c r="K141" s="76"/>
      <c r="L141" s="76"/>
      <c r="M141" s="78" t="str">
        <f>_xlfn.LET(
    _xlpm.itemBuscado, B141,
    _xlpm.areaBuscada, C141,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TEXT(COUNTIF($C$2:C141, _xlpm.areaBuscada), "0000"),
    _xlpm.codItem &amp; "-" &amp; _xlpm.codArea &amp; "-" &amp; _xlpm.secuencia
)</f>
        <v>-SinArea-0000</v>
      </c>
      <c r="N141" s="77"/>
      <c r="O141" s="32"/>
      <c r="P141" s="32"/>
      <c r="Q141" s="32"/>
      <c r="R141" s="32"/>
    </row>
    <row r="142" spans="3:18" x14ac:dyDescent="0.3">
      <c r="C142" s="11"/>
      <c r="D142" s="32"/>
      <c r="E142" s="11" t="str" cm="1">
        <f t="array" ref="E142">_xlfn.IFS(
    COUNTIF(Herramientas_eléctricas1862106149[Herramientas_eléctricas], B142) &gt; 0, Herramientas_eléctricas1862106149[[#Headers],[Herramientas_eléctricas]],
    COUNTIF(Herramientas_neumáticas1963107150[Herramientas_neumáticas], B142) &gt; 0, Herramientas_neumáticas1963107150[[#Headers],[Herramientas_neumáticas]],
    COUNTIF(Herramientas_de_medición2064108151[Herramientas_de_medición], B142) &gt; 0, Herramientas_de_medición2064108151[[#Headers],[Herramientas_de_medición]],
    COUNTIF(Herrramientas_mecánicas2165109152[Herramientas_mecánicas], B142) &gt; 0, Herrramientas_mecánicas2165109152[[#Headers],[Herramientas_mecánicas]],
    COUNTIF(AH142:AH148, B142) &gt; 0, Herramientas_hidráulicas2266110153[[#Headers],[Herramientas_hidráulicas]],
    COUNTIF(EPP_2367111154[SPCC], B142) &gt; 0, EPP_2367111154[[#Headers],[SPCC]],
   COUNTIF(Herramientas_de_izaje2468112155[Herramientas_de_izaje], B142) &gt; 0, Herramientas_de_izaje2468112155[[#Headers],[Herramientas_de_izaje]],
COUNTIF(Tabla162670114157[Equipos], B142) &gt; 0, Tabla162670114157[[#Headers],[Equipos]],
    TRUE, "Sin clasificación"
)</f>
        <v>Sin clasificación</v>
      </c>
      <c r="I142" s="15"/>
      <c r="J142" s="47"/>
      <c r="K142" s="76"/>
      <c r="L142" s="76"/>
      <c r="M142" s="78" t="str">
        <f>_xlfn.LET(
    _xlpm.itemBuscado, B142,
    _xlpm.areaBuscada, C142,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TEXT(COUNTIF($C$2:C142, _xlpm.areaBuscada), "0000"),
    _xlpm.codItem &amp; "-" &amp; _xlpm.codArea &amp; "-" &amp; _xlpm.secuencia
)</f>
        <v>-SinArea-0000</v>
      </c>
      <c r="N142" s="77"/>
      <c r="O142" s="32"/>
      <c r="P142" s="32"/>
      <c r="Q142" s="32"/>
      <c r="R142" s="32"/>
    </row>
    <row r="143" spans="3:18" x14ac:dyDescent="0.3">
      <c r="C143" s="11"/>
      <c r="D143" s="32"/>
      <c r="E143" s="11" t="str" cm="1">
        <f t="array" ref="E143">_xlfn.IFS(
    COUNTIF(Herramientas_eléctricas1862106149[Herramientas_eléctricas], B143) &gt; 0, Herramientas_eléctricas1862106149[[#Headers],[Herramientas_eléctricas]],
    COUNTIF(Herramientas_neumáticas1963107150[Herramientas_neumáticas], B143) &gt; 0, Herramientas_neumáticas1963107150[[#Headers],[Herramientas_neumáticas]],
    COUNTIF(Herramientas_de_medición2064108151[Herramientas_de_medición], B143) &gt; 0, Herramientas_de_medición2064108151[[#Headers],[Herramientas_de_medición]],
    COUNTIF(Herrramientas_mecánicas2165109152[Herramientas_mecánicas], B143) &gt; 0, Herrramientas_mecánicas2165109152[[#Headers],[Herramientas_mecánicas]],
    COUNTIF(AH143:AH149, B143) &gt; 0, Herramientas_hidráulicas2266110153[[#Headers],[Herramientas_hidráulicas]],
    COUNTIF(EPP_2367111154[SPCC], B143) &gt; 0, EPP_2367111154[[#Headers],[SPCC]],
   COUNTIF(Herramientas_de_izaje2468112155[Herramientas_de_izaje], B143) &gt; 0, Herramientas_de_izaje2468112155[[#Headers],[Herramientas_de_izaje]],
COUNTIF(Tabla162670114157[Equipos], B143) &gt; 0, Tabla162670114157[[#Headers],[Equipos]],
    TRUE, "Sin clasificación"
)</f>
        <v>Sin clasificación</v>
      </c>
      <c r="I143" s="15"/>
      <c r="J143" s="47"/>
      <c r="K143" s="76"/>
      <c r="L143" s="76"/>
      <c r="M143" s="78" t="str">
        <f>_xlfn.LET(
    _xlpm.itemBuscado, B143,
    _xlpm.areaBuscada, C143,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TEXT(COUNTIF($C$2:C143, _xlpm.areaBuscada), "0000"),
    _xlpm.codItem &amp; "-" &amp; _xlpm.codArea &amp; "-" &amp; _xlpm.secuencia
)</f>
        <v>-SinArea-0000</v>
      </c>
      <c r="N143" s="77"/>
      <c r="O143" s="32"/>
      <c r="P143" s="32"/>
      <c r="Q143" s="32"/>
      <c r="R143" s="32"/>
    </row>
    <row r="144" spans="3:18" x14ac:dyDescent="0.3">
      <c r="C144" s="11"/>
      <c r="D144" s="32"/>
      <c r="E144" s="11" t="str" cm="1">
        <f t="array" ref="E144">_xlfn.IFS(
    COUNTIF(Herramientas_eléctricas1862106149[Herramientas_eléctricas], B144) &gt; 0, Herramientas_eléctricas1862106149[[#Headers],[Herramientas_eléctricas]],
    COUNTIF(Herramientas_neumáticas1963107150[Herramientas_neumáticas], B144) &gt; 0, Herramientas_neumáticas1963107150[[#Headers],[Herramientas_neumáticas]],
    COUNTIF(Herramientas_de_medición2064108151[Herramientas_de_medición], B144) &gt; 0, Herramientas_de_medición2064108151[[#Headers],[Herramientas_de_medición]],
    COUNTIF(Herrramientas_mecánicas2165109152[Herramientas_mecánicas], B144) &gt; 0, Herrramientas_mecánicas2165109152[[#Headers],[Herramientas_mecánicas]],
    COUNTIF(AH144:AH150, B144) &gt; 0, Herramientas_hidráulicas2266110153[[#Headers],[Herramientas_hidráulicas]],
    COUNTIF(EPP_2367111154[SPCC], B144) &gt; 0, EPP_2367111154[[#Headers],[SPCC]],
   COUNTIF(Herramientas_de_izaje2468112155[Herramientas_de_izaje], B144) &gt; 0, Herramientas_de_izaje2468112155[[#Headers],[Herramientas_de_izaje]],
COUNTIF(Tabla162670114157[Equipos], B144) &gt; 0, Tabla162670114157[[#Headers],[Equipos]],
    TRUE, "Sin clasificación"
)</f>
        <v>Sin clasificación</v>
      </c>
      <c r="I144" s="15"/>
      <c r="J144" s="47"/>
      <c r="K144" s="76"/>
      <c r="L144" s="76"/>
      <c r="M144" s="78" t="str">
        <f>_xlfn.LET(
    _xlpm.itemBuscado, B144,
    _xlpm.areaBuscada, C144,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TEXT(COUNTIF($C$2:C144, _xlpm.areaBuscada), "0000"),
    _xlpm.codItem &amp; "-" &amp; _xlpm.codArea &amp; "-" &amp; _xlpm.secuencia
)</f>
        <v>-SinArea-0000</v>
      </c>
      <c r="N144" s="77"/>
      <c r="O144" s="32"/>
      <c r="P144" s="32"/>
      <c r="Q144" s="32"/>
      <c r="R144" s="32"/>
    </row>
    <row r="145" spans="3:18" x14ac:dyDescent="0.3">
      <c r="C145" s="11"/>
      <c r="D145" s="32"/>
      <c r="E145" s="11" t="str" cm="1">
        <f t="array" ref="E145">_xlfn.IFS(
    COUNTIF(Herramientas_eléctricas1862106149[Herramientas_eléctricas], B145) &gt; 0, Herramientas_eléctricas1862106149[[#Headers],[Herramientas_eléctricas]],
    COUNTIF(Herramientas_neumáticas1963107150[Herramientas_neumáticas], B145) &gt; 0, Herramientas_neumáticas1963107150[[#Headers],[Herramientas_neumáticas]],
    COUNTIF(Herramientas_de_medición2064108151[Herramientas_de_medición], B145) &gt; 0, Herramientas_de_medición2064108151[[#Headers],[Herramientas_de_medición]],
    COUNTIF(Herrramientas_mecánicas2165109152[Herramientas_mecánicas], B145) &gt; 0, Herrramientas_mecánicas2165109152[[#Headers],[Herramientas_mecánicas]],
    COUNTIF(AH145:AH151, B145) &gt; 0, Herramientas_hidráulicas2266110153[[#Headers],[Herramientas_hidráulicas]],
    COUNTIF(EPP_2367111154[SPCC], B145) &gt; 0, EPP_2367111154[[#Headers],[SPCC]],
   COUNTIF(Herramientas_de_izaje2468112155[Herramientas_de_izaje], B145) &gt; 0, Herramientas_de_izaje2468112155[[#Headers],[Herramientas_de_izaje]],
COUNTIF(Tabla162670114157[Equipos], B145) &gt; 0, Tabla162670114157[[#Headers],[Equipos]],
    TRUE, "Sin clasificación"
)</f>
        <v>Sin clasificación</v>
      </c>
      <c r="I145" s="15"/>
      <c r="J145" s="47"/>
      <c r="K145" s="76"/>
      <c r="L145" s="76"/>
      <c r="M145" s="78" t="str">
        <f>_xlfn.LET(
    _xlpm.itemBuscado, B145,
    _xlpm.areaBuscada, C145,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TEXT(COUNTIF($C$2:C145, _xlpm.areaBuscada), "0000"),
    _xlpm.codItem &amp; "-" &amp; _xlpm.codArea &amp; "-" &amp; _xlpm.secuencia
)</f>
        <v>-SinArea-0000</v>
      </c>
      <c r="N145" s="77"/>
      <c r="O145" s="32"/>
      <c r="P145" s="32"/>
      <c r="Q145" s="32"/>
      <c r="R145" s="32"/>
    </row>
    <row r="146" spans="3:18" x14ac:dyDescent="0.3">
      <c r="C146" s="11"/>
      <c r="D146" s="32"/>
      <c r="E146" s="11" t="str" cm="1">
        <f t="array" ref="E146">_xlfn.IFS(
    COUNTIF(Herramientas_eléctricas1862106149[Herramientas_eléctricas], B146) &gt; 0, Herramientas_eléctricas1862106149[[#Headers],[Herramientas_eléctricas]],
    COUNTIF(Herramientas_neumáticas1963107150[Herramientas_neumáticas], B146) &gt; 0, Herramientas_neumáticas1963107150[[#Headers],[Herramientas_neumáticas]],
    COUNTIF(Herramientas_de_medición2064108151[Herramientas_de_medición], B146) &gt; 0, Herramientas_de_medición2064108151[[#Headers],[Herramientas_de_medición]],
    COUNTIF(Herrramientas_mecánicas2165109152[Herramientas_mecánicas], B146) &gt; 0, Herrramientas_mecánicas2165109152[[#Headers],[Herramientas_mecánicas]],
    COUNTIF(AH146:AH152, B146) &gt; 0, Herramientas_hidráulicas2266110153[[#Headers],[Herramientas_hidráulicas]],
    COUNTIF(EPP_2367111154[SPCC], B146) &gt; 0, EPP_2367111154[[#Headers],[SPCC]],
   COUNTIF(Herramientas_de_izaje2468112155[Herramientas_de_izaje], B146) &gt; 0, Herramientas_de_izaje2468112155[[#Headers],[Herramientas_de_izaje]],
COUNTIF(Tabla162670114157[Equipos], B146) &gt; 0, Tabla162670114157[[#Headers],[Equipos]],
    TRUE, "Sin clasificación"
)</f>
        <v>Sin clasificación</v>
      </c>
      <c r="I146" s="15"/>
      <c r="J146" s="47"/>
      <c r="K146" s="76"/>
      <c r="L146" s="76"/>
      <c r="M146" s="78" t="str">
        <f>_xlfn.LET(
    _xlpm.itemBuscado, B146,
    _xlpm.areaBuscada, C146,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TEXT(COUNTIF($C$2:C146, _xlpm.areaBuscada), "0000"),
    _xlpm.codItem &amp; "-" &amp; _xlpm.codArea &amp; "-" &amp; _xlpm.secuencia
)</f>
        <v>-SinArea-0000</v>
      </c>
      <c r="N146" s="77"/>
      <c r="O146" s="32"/>
      <c r="P146" s="32"/>
      <c r="Q146" s="32"/>
      <c r="R146" s="32"/>
    </row>
    <row r="147" spans="3:18" x14ac:dyDescent="0.3">
      <c r="C147" s="11"/>
      <c r="D147" s="32"/>
      <c r="E147" s="11" t="str" cm="1">
        <f t="array" ref="E147">_xlfn.IFS(
    COUNTIF(Herramientas_eléctricas1862106149[Herramientas_eléctricas], B147) &gt; 0, Herramientas_eléctricas1862106149[[#Headers],[Herramientas_eléctricas]],
    COUNTIF(Herramientas_neumáticas1963107150[Herramientas_neumáticas], B147) &gt; 0, Herramientas_neumáticas1963107150[[#Headers],[Herramientas_neumáticas]],
    COUNTIF(Herramientas_de_medición2064108151[Herramientas_de_medición], B147) &gt; 0, Herramientas_de_medición2064108151[[#Headers],[Herramientas_de_medición]],
    COUNTIF(Herrramientas_mecánicas2165109152[Herramientas_mecánicas], B147) &gt; 0, Herrramientas_mecánicas2165109152[[#Headers],[Herramientas_mecánicas]],
    COUNTIF(AH147:AH153, B147) &gt; 0, Herramientas_hidráulicas2266110153[[#Headers],[Herramientas_hidráulicas]],
    COUNTIF(EPP_2367111154[SPCC], B147) &gt; 0, EPP_2367111154[[#Headers],[SPCC]],
   COUNTIF(Herramientas_de_izaje2468112155[Herramientas_de_izaje], B147) &gt; 0, Herramientas_de_izaje2468112155[[#Headers],[Herramientas_de_izaje]],
COUNTIF(Tabla162670114157[Equipos], B147) &gt; 0, Tabla162670114157[[#Headers],[Equipos]],
    TRUE, "Sin clasificación"
)</f>
        <v>Sin clasificación</v>
      </c>
      <c r="I147" s="15"/>
      <c r="J147" s="47"/>
      <c r="K147" s="76"/>
      <c r="L147" s="76"/>
      <c r="M147" s="78" t="str">
        <f>_xlfn.LET(
    _xlpm.itemBuscado, B147,
    _xlpm.areaBuscada, C147,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TEXT(COUNTIF($C$2:C147, _xlpm.areaBuscada), "0000"),
    _xlpm.codItem &amp; "-" &amp; _xlpm.codArea &amp; "-" &amp; _xlpm.secuencia
)</f>
        <v>-SinArea-0000</v>
      </c>
      <c r="N147" s="77"/>
      <c r="O147" s="32"/>
      <c r="P147" s="32"/>
      <c r="Q147" s="32"/>
      <c r="R147" s="32"/>
    </row>
    <row r="148" spans="3:18" x14ac:dyDescent="0.3">
      <c r="C148" s="11"/>
      <c r="D148" s="32"/>
      <c r="E148" s="11" t="str" cm="1">
        <f t="array" ref="E148">_xlfn.IFS(
    COUNTIF(Herramientas_eléctricas1862106149[Herramientas_eléctricas], B148) &gt; 0, Herramientas_eléctricas1862106149[[#Headers],[Herramientas_eléctricas]],
    COUNTIF(Herramientas_neumáticas1963107150[Herramientas_neumáticas], B148) &gt; 0, Herramientas_neumáticas1963107150[[#Headers],[Herramientas_neumáticas]],
    COUNTIF(Herramientas_de_medición2064108151[Herramientas_de_medición], B148) &gt; 0, Herramientas_de_medición2064108151[[#Headers],[Herramientas_de_medición]],
    COUNTIF(Herrramientas_mecánicas2165109152[Herramientas_mecánicas], B148) &gt; 0, Herrramientas_mecánicas2165109152[[#Headers],[Herramientas_mecánicas]],
    COUNTIF(AH148:AH154, B148) &gt; 0, Herramientas_hidráulicas2266110153[[#Headers],[Herramientas_hidráulicas]],
    COUNTIF(EPP_2367111154[SPCC], B148) &gt; 0, EPP_2367111154[[#Headers],[SPCC]],
   COUNTIF(Herramientas_de_izaje2468112155[Herramientas_de_izaje], B148) &gt; 0, Herramientas_de_izaje2468112155[[#Headers],[Herramientas_de_izaje]],
COUNTIF(Tabla162670114157[Equipos], B148) &gt; 0, Tabla162670114157[[#Headers],[Equipos]],
    TRUE, "Sin clasificación"
)</f>
        <v>Sin clasificación</v>
      </c>
      <c r="I148" s="15"/>
      <c r="J148" s="47"/>
      <c r="K148" s="76"/>
      <c r="L148" s="76"/>
      <c r="M148" s="78" t="str">
        <f>_xlfn.LET(
    _xlpm.itemBuscado, B148,
    _xlpm.areaBuscada, C148,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TEXT(COUNTIF($C$2:C148, _xlpm.areaBuscada), "0000"),
    _xlpm.codItem &amp; "-" &amp; _xlpm.codArea &amp; "-" &amp; _xlpm.secuencia
)</f>
        <v>-SinArea-0000</v>
      </c>
      <c r="N148" s="77"/>
      <c r="O148" s="32"/>
      <c r="P148" s="32"/>
      <c r="Q148" s="32"/>
      <c r="R148" s="32"/>
    </row>
    <row r="149" spans="3:18" x14ac:dyDescent="0.3">
      <c r="C149" s="11"/>
      <c r="D149" s="32"/>
      <c r="E149" s="11" t="str" cm="1">
        <f t="array" ref="E149">_xlfn.IFS(
    COUNTIF(Herramientas_eléctricas1862106149[Herramientas_eléctricas], B149) &gt; 0, Herramientas_eléctricas1862106149[[#Headers],[Herramientas_eléctricas]],
    COUNTIF(Herramientas_neumáticas1963107150[Herramientas_neumáticas], B149) &gt; 0, Herramientas_neumáticas1963107150[[#Headers],[Herramientas_neumáticas]],
    COUNTIF(Herramientas_de_medición2064108151[Herramientas_de_medición], B149) &gt; 0, Herramientas_de_medición2064108151[[#Headers],[Herramientas_de_medición]],
    COUNTIF(Herrramientas_mecánicas2165109152[Herramientas_mecánicas], B149) &gt; 0, Herrramientas_mecánicas2165109152[[#Headers],[Herramientas_mecánicas]],
    COUNTIF(AH149:AH155, B149) &gt; 0, Herramientas_hidráulicas2266110153[[#Headers],[Herramientas_hidráulicas]],
    COUNTIF(EPP_2367111154[SPCC], B149) &gt; 0, EPP_2367111154[[#Headers],[SPCC]],
   COUNTIF(Herramientas_de_izaje2468112155[Herramientas_de_izaje], B149) &gt; 0, Herramientas_de_izaje2468112155[[#Headers],[Herramientas_de_izaje]],
COUNTIF(Tabla162670114157[Equipos], B149) &gt; 0, Tabla162670114157[[#Headers],[Equipos]],
    TRUE, "Sin clasificación"
)</f>
        <v>Sin clasificación</v>
      </c>
      <c r="I149" s="15"/>
      <c r="J149" s="47"/>
      <c r="K149" s="76"/>
      <c r="L149" s="76"/>
      <c r="M149" s="78" t="str">
        <f>_xlfn.LET(
    _xlpm.itemBuscado, B149,
    _xlpm.areaBuscada, C149,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TEXT(COUNTIF($C$2:C149, _xlpm.areaBuscada), "0000"),
    _xlpm.codItem &amp; "-" &amp; _xlpm.codArea &amp; "-" &amp; _xlpm.secuencia
)</f>
        <v>-SinArea-0000</v>
      </c>
      <c r="N149" s="77"/>
      <c r="O149" s="32"/>
      <c r="P149" s="32"/>
      <c r="Q149" s="32"/>
      <c r="R149" s="32"/>
    </row>
    <row r="150" spans="3:18" x14ac:dyDescent="0.3">
      <c r="C150" s="11"/>
      <c r="D150" s="32"/>
      <c r="E150" s="11" t="str" cm="1">
        <f t="array" ref="E150">_xlfn.IFS(
    COUNTIF(Herramientas_eléctricas1862106149[Herramientas_eléctricas], B150) &gt; 0, Herramientas_eléctricas1862106149[[#Headers],[Herramientas_eléctricas]],
    COUNTIF(Herramientas_neumáticas1963107150[Herramientas_neumáticas], B150) &gt; 0, Herramientas_neumáticas1963107150[[#Headers],[Herramientas_neumáticas]],
    COUNTIF(Herramientas_de_medición2064108151[Herramientas_de_medición], B150) &gt; 0, Herramientas_de_medición2064108151[[#Headers],[Herramientas_de_medición]],
    COUNTIF(Herrramientas_mecánicas2165109152[Herramientas_mecánicas], B150) &gt; 0, Herrramientas_mecánicas2165109152[[#Headers],[Herramientas_mecánicas]],
    COUNTIF(AH150:AH156, B150) &gt; 0, Herramientas_hidráulicas2266110153[[#Headers],[Herramientas_hidráulicas]],
    COUNTIF(EPP_2367111154[SPCC], B150) &gt; 0, EPP_2367111154[[#Headers],[SPCC]],
   COUNTIF(Herramientas_de_izaje2468112155[Herramientas_de_izaje], B150) &gt; 0, Herramientas_de_izaje2468112155[[#Headers],[Herramientas_de_izaje]],
COUNTIF(Tabla162670114157[Equipos], B150) &gt; 0, Tabla162670114157[[#Headers],[Equipos]],
    TRUE, "Sin clasificación"
)</f>
        <v>Sin clasificación</v>
      </c>
      <c r="I150" s="15"/>
      <c r="J150" s="47"/>
      <c r="K150" s="76"/>
      <c r="L150" s="76"/>
      <c r="M150" s="78" t="str">
        <f>_xlfn.LET(
    _xlpm.itemBuscado, B150,
    _xlpm.areaBuscada, C150,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TEXT(COUNTIF($C$2:C150, _xlpm.areaBuscada), "0000"),
    _xlpm.codItem &amp; "-" &amp; _xlpm.codArea &amp; "-" &amp; _xlpm.secuencia
)</f>
        <v>-SinArea-0000</v>
      </c>
      <c r="N150" s="77"/>
      <c r="O150" s="32"/>
      <c r="P150" s="32"/>
      <c r="Q150" s="32"/>
      <c r="R150" s="32"/>
    </row>
    <row r="151" spans="3:18" x14ac:dyDescent="0.3">
      <c r="C151" s="11"/>
      <c r="D151" s="32"/>
      <c r="E151" s="11" t="str" cm="1">
        <f t="array" ref="E151">_xlfn.IFS(
    COUNTIF(Herramientas_eléctricas1862106149[Herramientas_eléctricas], B151) &gt; 0, Herramientas_eléctricas1862106149[[#Headers],[Herramientas_eléctricas]],
    COUNTIF(Herramientas_neumáticas1963107150[Herramientas_neumáticas], B151) &gt; 0, Herramientas_neumáticas1963107150[[#Headers],[Herramientas_neumáticas]],
    COUNTIF(Herramientas_de_medición2064108151[Herramientas_de_medición], B151) &gt; 0, Herramientas_de_medición2064108151[[#Headers],[Herramientas_de_medición]],
    COUNTIF(Herrramientas_mecánicas2165109152[Herramientas_mecánicas], B151) &gt; 0, Herrramientas_mecánicas2165109152[[#Headers],[Herramientas_mecánicas]],
    COUNTIF(AH151:AH157, B151) &gt; 0, Herramientas_hidráulicas2266110153[[#Headers],[Herramientas_hidráulicas]],
    COUNTIF(EPP_2367111154[SPCC], B151) &gt; 0, EPP_2367111154[[#Headers],[SPCC]],
   COUNTIF(Herramientas_de_izaje2468112155[Herramientas_de_izaje], B151) &gt; 0, Herramientas_de_izaje2468112155[[#Headers],[Herramientas_de_izaje]],
COUNTIF(Tabla162670114157[Equipos], B151) &gt; 0, Tabla162670114157[[#Headers],[Equipos]],
    TRUE, "Sin clasificación"
)</f>
        <v>Sin clasificación</v>
      </c>
      <c r="I151" s="15"/>
      <c r="J151" s="47"/>
      <c r="K151" s="76"/>
      <c r="L151" s="76"/>
      <c r="M151" s="78" t="str">
        <f>_xlfn.LET(
    _xlpm.itemBuscado, B151,
    _xlpm.areaBuscada, C151,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TEXT(COUNTIF($C$2:C151, _xlpm.areaBuscada), "0000"),
    _xlpm.codItem &amp; "-" &amp; _xlpm.codArea &amp; "-" &amp; _xlpm.secuencia
)</f>
        <v>-SinArea-0000</v>
      </c>
      <c r="N151" s="77"/>
      <c r="O151" s="32"/>
      <c r="P151" s="32"/>
      <c r="Q151" s="32"/>
      <c r="R151" s="32"/>
    </row>
    <row r="152" spans="3:18" x14ac:dyDescent="0.3">
      <c r="C152" s="11"/>
      <c r="D152" s="32"/>
      <c r="E152" s="11" t="str" cm="1">
        <f t="array" ref="E152">_xlfn.IFS(
    COUNTIF(Herramientas_eléctricas1862106149[Herramientas_eléctricas], B152) &gt; 0, Herramientas_eléctricas1862106149[[#Headers],[Herramientas_eléctricas]],
    COUNTIF(Herramientas_neumáticas1963107150[Herramientas_neumáticas], B152) &gt; 0, Herramientas_neumáticas1963107150[[#Headers],[Herramientas_neumáticas]],
    COUNTIF(Herramientas_de_medición2064108151[Herramientas_de_medición], B152) &gt; 0, Herramientas_de_medición2064108151[[#Headers],[Herramientas_de_medición]],
    COUNTIF(Herrramientas_mecánicas2165109152[Herramientas_mecánicas], B152) &gt; 0, Herrramientas_mecánicas2165109152[[#Headers],[Herramientas_mecánicas]],
    COUNTIF(AH152:AH158, B152) &gt; 0, Herramientas_hidráulicas2266110153[[#Headers],[Herramientas_hidráulicas]],
    COUNTIF(EPP_2367111154[SPCC], B152) &gt; 0, EPP_2367111154[[#Headers],[SPCC]],
   COUNTIF(Herramientas_de_izaje2468112155[Herramientas_de_izaje], B152) &gt; 0, Herramientas_de_izaje2468112155[[#Headers],[Herramientas_de_izaje]],
COUNTIF(Tabla162670114157[Equipos], B152) &gt; 0, Tabla162670114157[[#Headers],[Equipos]],
    TRUE, "Sin clasificación"
)</f>
        <v>Sin clasificación</v>
      </c>
      <c r="I152" s="15"/>
      <c r="J152" s="47"/>
      <c r="K152" s="76"/>
      <c r="L152" s="76"/>
      <c r="M152" s="78" t="str">
        <f>_xlfn.LET(
    _xlpm.itemBuscado, B152,
    _xlpm.areaBuscada, C152,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TEXT(COUNTIF($C$2:C152, _xlpm.areaBuscada), "0000"),
    _xlpm.codItem &amp; "-" &amp; _xlpm.codArea &amp; "-" &amp; _xlpm.secuencia
)</f>
        <v>-SinArea-0000</v>
      </c>
      <c r="N152" s="77"/>
      <c r="O152" s="32"/>
      <c r="P152" s="32"/>
      <c r="Q152" s="32"/>
      <c r="R152" s="32"/>
    </row>
    <row r="153" spans="3:18" x14ac:dyDescent="0.3">
      <c r="C153" s="11"/>
      <c r="D153" s="32"/>
      <c r="E153" s="11" t="str" cm="1">
        <f t="array" ref="E153">_xlfn.IFS(
    COUNTIF(Herramientas_eléctricas1862106149[Herramientas_eléctricas], B153) &gt; 0, Herramientas_eléctricas1862106149[[#Headers],[Herramientas_eléctricas]],
    COUNTIF(Herramientas_neumáticas1963107150[Herramientas_neumáticas], B153) &gt; 0, Herramientas_neumáticas1963107150[[#Headers],[Herramientas_neumáticas]],
    COUNTIF(Herramientas_de_medición2064108151[Herramientas_de_medición], B153) &gt; 0, Herramientas_de_medición2064108151[[#Headers],[Herramientas_de_medición]],
    COUNTIF(Herrramientas_mecánicas2165109152[Herramientas_mecánicas], B153) &gt; 0, Herrramientas_mecánicas2165109152[[#Headers],[Herramientas_mecánicas]],
    COUNTIF(AH153:AH159, B153) &gt; 0, Herramientas_hidráulicas2266110153[[#Headers],[Herramientas_hidráulicas]],
    COUNTIF(EPP_2367111154[SPCC], B153) &gt; 0, EPP_2367111154[[#Headers],[SPCC]],
   COUNTIF(Herramientas_de_izaje2468112155[Herramientas_de_izaje], B153) &gt; 0, Herramientas_de_izaje2468112155[[#Headers],[Herramientas_de_izaje]],
COUNTIF(Tabla162670114157[Equipos], B153) &gt; 0, Tabla162670114157[[#Headers],[Equipos]],
    TRUE, "Sin clasificación"
)</f>
        <v>Sin clasificación</v>
      </c>
      <c r="I153" s="15"/>
      <c r="J153" s="47"/>
      <c r="K153" s="76"/>
      <c r="L153" s="76"/>
      <c r="M153" s="78" t="str">
        <f>_xlfn.LET(
    _xlpm.itemBuscado, B153,
    _xlpm.areaBuscada, C153,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TEXT(COUNTIF($C$2:C153, _xlpm.areaBuscada), "0000"),
    _xlpm.codItem &amp; "-" &amp; _xlpm.codArea &amp; "-" &amp; _xlpm.secuencia
)</f>
        <v>-SinArea-0000</v>
      </c>
      <c r="N153" s="77"/>
      <c r="O153" s="32"/>
      <c r="P153" s="32"/>
      <c r="Q153" s="32"/>
      <c r="R153" s="32"/>
    </row>
    <row r="154" spans="3:18" x14ac:dyDescent="0.3">
      <c r="C154" s="11"/>
      <c r="D154" s="32"/>
      <c r="E154" s="11" t="str" cm="1">
        <f t="array" ref="E154">_xlfn.IFS(
    COUNTIF(Herramientas_eléctricas1862106149[Herramientas_eléctricas], B154) &gt; 0, Herramientas_eléctricas1862106149[[#Headers],[Herramientas_eléctricas]],
    COUNTIF(Herramientas_neumáticas1963107150[Herramientas_neumáticas], B154) &gt; 0, Herramientas_neumáticas1963107150[[#Headers],[Herramientas_neumáticas]],
    COUNTIF(Herramientas_de_medición2064108151[Herramientas_de_medición], B154) &gt; 0, Herramientas_de_medición2064108151[[#Headers],[Herramientas_de_medición]],
    COUNTIF(Herrramientas_mecánicas2165109152[Herramientas_mecánicas], B154) &gt; 0, Herrramientas_mecánicas2165109152[[#Headers],[Herramientas_mecánicas]],
    COUNTIF(AH154:AH160, B154) &gt; 0, Herramientas_hidráulicas2266110153[[#Headers],[Herramientas_hidráulicas]],
    COUNTIF(EPP_2367111154[SPCC], B154) &gt; 0, EPP_2367111154[[#Headers],[SPCC]],
   COUNTIF(Herramientas_de_izaje2468112155[Herramientas_de_izaje], B154) &gt; 0, Herramientas_de_izaje2468112155[[#Headers],[Herramientas_de_izaje]],
COUNTIF(Tabla162670114157[Equipos], B154) &gt; 0, Tabla162670114157[[#Headers],[Equipos]],
    TRUE, "Sin clasificación"
)</f>
        <v>Sin clasificación</v>
      </c>
      <c r="I154" s="15"/>
      <c r="J154" s="47"/>
      <c r="K154" s="76"/>
      <c r="L154" s="76"/>
      <c r="M154" s="78" t="str">
        <f>_xlfn.LET(
    _xlpm.itemBuscado, B154,
    _xlpm.areaBuscada, C154,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TEXT(COUNTIF($C$2:C154, _xlpm.areaBuscada), "0000"),
    _xlpm.codItem &amp; "-" &amp; _xlpm.codArea &amp; "-" &amp; _xlpm.secuencia
)</f>
        <v>-SinArea-0000</v>
      </c>
      <c r="N154" s="77"/>
      <c r="O154" s="32"/>
      <c r="P154" s="32"/>
      <c r="Q154" s="32"/>
      <c r="R154" s="32"/>
    </row>
    <row r="155" spans="3:18" x14ac:dyDescent="0.3">
      <c r="C155" s="11"/>
      <c r="D155" s="32"/>
      <c r="E155" s="11" t="str" cm="1">
        <f t="array" ref="E155">_xlfn.IFS(
    COUNTIF(Herramientas_eléctricas1862106149[Herramientas_eléctricas], B155) &gt; 0, Herramientas_eléctricas1862106149[[#Headers],[Herramientas_eléctricas]],
    COUNTIF(Herramientas_neumáticas1963107150[Herramientas_neumáticas], B155) &gt; 0, Herramientas_neumáticas1963107150[[#Headers],[Herramientas_neumáticas]],
    COUNTIF(Herramientas_de_medición2064108151[Herramientas_de_medición], B155) &gt; 0, Herramientas_de_medición2064108151[[#Headers],[Herramientas_de_medición]],
    COUNTIF(Herrramientas_mecánicas2165109152[Herramientas_mecánicas], B155) &gt; 0, Herrramientas_mecánicas2165109152[[#Headers],[Herramientas_mecánicas]],
    COUNTIF(AH155:AH161, B155) &gt; 0, Herramientas_hidráulicas2266110153[[#Headers],[Herramientas_hidráulicas]],
    COUNTIF(EPP_2367111154[SPCC], B155) &gt; 0, EPP_2367111154[[#Headers],[SPCC]],
   COUNTIF(Herramientas_de_izaje2468112155[Herramientas_de_izaje], B155) &gt; 0, Herramientas_de_izaje2468112155[[#Headers],[Herramientas_de_izaje]],
COUNTIF(Tabla162670114157[Equipos], B155) &gt; 0, Tabla162670114157[[#Headers],[Equipos]],
    TRUE, "Sin clasificación"
)</f>
        <v>Sin clasificación</v>
      </c>
      <c r="I155" s="15"/>
      <c r="J155" s="47"/>
      <c r="K155" s="76"/>
      <c r="L155" s="76"/>
      <c r="M155" s="78" t="str">
        <f>_xlfn.LET(
    _xlpm.itemBuscado, B155,
    _xlpm.areaBuscada, C155,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TEXT(COUNTIF($C$2:C155, _xlpm.areaBuscada), "0000"),
    _xlpm.codItem &amp; "-" &amp; _xlpm.codArea &amp; "-" &amp; _xlpm.secuencia
)</f>
        <v>-SinArea-0000</v>
      </c>
      <c r="N155" s="77"/>
      <c r="O155" s="32"/>
      <c r="P155" s="32"/>
      <c r="Q155" s="32"/>
      <c r="R155" s="32"/>
    </row>
    <row r="156" spans="3:18" x14ac:dyDescent="0.3">
      <c r="C156" s="11"/>
      <c r="D156" s="32"/>
      <c r="E156" s="11" t="str" cm="1">
        <f t="array" ref="E156">_xlfn.IFS(
    COUNTIF(Herramientas_eléctricas1862106149[Herramientas_eléctricas], B156) &gt; 0, Herramientas_eléctricas1862106149[[#Headers],[Herramientas_eléctricas]],
    COUNTIF(Herramientas_neumáticas1963107150[Herramientas_neumáticas], B156) &gt; 0, Herramientas_neumáticas1963107150[[#Headers],[Herramientas_neumáticas]],
    COUNTIF(Herramientas_de_medición2064108151[Herramientas_de_medición], B156) &gt; 0, Herramientas_de_medición2064108151[[#Headers],[Herramientas_de_medición]],
    COUNTIF(Herrramientas_mecánicas2165109152[Herramientas_mecánicas], B156) &gt; 0, Herrramientas_mecánicas2165109152[[#Headers],[Herramientas_mecánicas]],
    COUNTIF(AH156:AH162, B156) &gt; 0, Herramientas_hidráulicas2266110153[[#Headers],[Herramientas_hidráulicas]],
    COUNTIF(EPP_2367111154[SPCC], B156) &gt; 0, EPP_2367111154[[#Headers],[SPCC]],
   COUNTIF(Herramientas_de_izaje2468112155[Herramientas_de_izaje], B156) &gt; 0, Herramientas_de_izaje2468112155[[#Headers],[Herramientas_de_izaje]],
COUNTIF(Tabla162670114157[Equipos], B156) &gt; 0, Tabla162670114157[[#Headers],[Equipos]],
    TRUE, "Sin clasificación"
)</f>
        <v>Sin clasificación</v>
      </c>
      <c r="I156" s="15"/>
      <c r="J156" s="47"/>
      <c r="K156" s="76"/>
      <c r="L156" s="76"/>
      <c r="M156" s="78" t="str">
        <f>_xlfn.LET(
    _xlpm.itemBuscado, B156,
    _xlpm.areaBuscada, C156,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TEXT(COUNTIF($C$2:C156, _xlpm.areaBuscada), "0000"),
    _xlpm.codItem &amp; "-" &amp; _xlpm.codArea &amp; "-" &amp; _xlpm.secuencia
)</f>
        <v>-SinArea-0000</v>
      </c>
      <c r="N156" s="77"/>
      <c r="O156" s="32"/>
      <c r="P156" s="32"/>
      <c r="Q156" s="32"/>
      <c r="R156" s="32"/>
    </row>
    <row r="157" spans="3:18" x14ac:dyDescent="0.3">
      <c r="C157" s="11"/>
      <c r="D157" s="32"/>
      <c r="E157" s="11" t="str" cm="1">
        <f t="array" ref="E157">_xlfn.IFS(
    COUNTIF(Herramientas_eléctricas1862106149[Herramientas_eléctricas], B157) &gt; 0, Herramientas_eléctricas1862106149[[#Headers],[Herramientas_eléctricas]],
    COUNTIF(Herramientas_neumáticas1963107150[Herramientas_neumáticas], B157) &gt; 0, Herramientas_neumáticas1963107150[[#Headers],[Herramientas_neumáticas]],
    COUNTIF(Herramientas_de_medición2064108151[Herramientas_de_medición], B157) &gt; 0, Herramientas_de_medición2064108151[[#Headers],[Herramientas_de_medición]],
    COUNTIF(Herrramientas_mecánicas2165109152[Herramientas_mecánicas], B157) &gt; 0, Herrramientas_mecánicas2165109152[[#Headers],[Herramientas_mecánicas]],
    COUNTIF(AH157:AH163, B157) &gt; 0, Herramientas_hidráulicas2266110153[[#Headers],[Herramientas_hidráulicas]],
    COUNTIF(EPP_2367111154[SPCC], B157) &gt; 0, EPP_2367111154[[#Headers],[SPCC]],
   COUNTIF(Herramientas_de_izaje2468112155[Herramientas_de_izaje], B157) &gt; 0, Herramientas_de_izaje2468112155[[#Headers],[Herramientas_de_izaje]],
COUNTIF(Tabla162670114157[Equipos], B157) &gt; 0, Tabla162670114157[[#Headers],[Equipos]],
    TRUE, "Sin clasificación"
)</f>
        <v>Sin clasificación</v>
      </c>
      <c r="I157" s="15"/>
      <c r="J157" s="47"/>
      <c r="K157" s="76"/>
      <c r="L157" s="76"/>
      <c r="M157" s="78" t="str">
        <f>_xlfn.LET(
    _xlpm.itemBuscado, B157,
    _xlpm.areaBuscada, C157,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TEXT(COUNTIF($C$2:C157, _xlpm.areaBuscada), "0000"),
    _xlpm.codItem &amp; "-" &amp; _xlpm.codArea &amp; "-" &amp; _xlpm.secuencia
)</f>
        <v>-SinArea-0000</v>
      </c>
      <c r="N157" s="77"/>
      <c r="O157" s="32"/>
      <c r="P157" s="32"/>
      <c r="Q157" s="32"/>
      <c r="R157" s="32"/>
    </row>
    <row r="158" spans="3:18" x14ac:dyDescent="0.3">
      <c r="C158" s="11"/>
      <c r="D158" s="32"/>
      <c r="E158" s="11" t="str" cm="1">
        <f t="array" ref="E158">_xlfn.IFS(
    COUNTIF(Herramientas_eléctricas1862106149[Herramientas_eléctricas], B158) &gt; 0, Herramientas_eléctricas1862106149[[#Headers],[Herramientas_eléctricas]],
    COUNTIF(Herramientas_neumáticas1963107150[Herramientas_neumáticas], B158) &gt; 0, Herramientas_neumáticas1963107150[[#Headers],[Herramientas_neumáticas]],
    COUNTIF(Herramientas_de_medición2064108151[Herramientas_de_medición], B158) &gt; 0, Herramientas_de_medición2064108151[[#Headers],[Herramientas_de_medición]],
    COUNTIF(Herrramientas_mecánicas2165109152[Herramientas_mecánicas], B158) &gt; 0, Herrramientas_mecánicas2165109152[[#Headers],[Herramientas_mecánicas]],
    COUNTIF(AH158:AH164, B158) &gt; 0, Herramientas_hidráulicas2266110153[[#Headers],[Herramientas_hidráulicas]],
    COUNTIF(EPP_2367111154[SPCC], B158) &gt; 0, EPP_2367111154[[#Headers],[SPCC]],
   COUNTIF(Herramientas_de_izaje2468112155[Herramientas_de_izaje], B158) &gt; 0, Herramientas_de_izaje2468112155[[#Headers],[Herramientas_de_izaje]],
COUNTIF(Tabla162670114157[Equipos], B158) &gt; 0, Tabla162670114157[[#Headers],[Equipos]],
    TRUE, "Sin clasificación"
)</f>
        <v>Sin clasificación</v>
      </c>
      <c r="I158" s="15"/>
      <c r="J158" s="47"/>
      <c r="K158" s="76"/>
      <c r="L158" s="76"/>
      <c r="M158" s="78" t="str">
        <f>_xlfn.LET(
    _xlpm.itemBuscado, B158,
    _xlpm.areaBuscada, C158,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TEXT(COUNTIF($C$2:C158, _xlpm.areaBuscada), "0000"),
    _xlpm.codItem &amp; "-" &amp; _xlpm.codArea &amp; "-" &amp; _xlpm.secuencia
)</f>
        <v>-SinArea-0000</v>
      </c>
      <c r="N158" s="77"/>
      <c r="O158" s="32"/>
      <c r="P158" s="32"/>
      <c r="Q158" s="32"/>
      <c r="R158" s="32"/>
    </row>
    <row r="159" spans="3:18" x14ac:dyDescent="0.3">
      <c r="C159" s="11"/>
      <c r="D159" s="32"/>
      <c r="E159" s="11" t="str" cm="1">
        <f t="array" ref="E159">_xlfn.IFS(
    COUNTIF(Herramientas_eléctricas1862106149[Herramientas_eléctricas], B159) &gt; 0, Herramientas_eléctricas1862106149[[#Headers],[Herramientas_eléctricas]],
    COUNTIF(Herramientas_neumáticas1963107150[Herramientas_neumáticas], B159) &gt; 0, Herramientas_neumáticas1963107150[[#Headers],[Herramientas_neumáticas]],
    COUNTIF(Herramientas_de_medición2064108151[Herramientas_de_medición], B159) &gt; 0, Herramientas_de_medición2064108151[[#Headers],[Herramientas_de_medición]],
    COUNTIF(Herrramientas_mecánicas2165109152[Herramientas_mecánicas], B159) &gt; 0, Herrramientas_mecánicas2165109152[[#Headers],[Herramientas_mecánicas]],
    COUNTIF(AH159:AH165, B159) &gt; 0, Herramientas_hidráulicas2266110153[[#Headers],[Herramientas_hidráulicas]],
    COUNTIF(EPP_2367111154[SPCC], B159) &gt; 0, EPP_2367111154[[#Headers],[SPCC]],
   COUNTIF(Herramientas_de_izaje2468112155[Herramientas_de_izaje], B159) &gt; 0, Herramientas_de_izaje2468112155[[#Headers],[Herramientas_de_izaje]],
COUNTIF(Tabla162670114157[Equipos], B159) &gt; 0, Tabla162670114157[[#Headers],[Equipos]],
    TRUE, "Sin clasificación"
)</f>
        <v>Sin clasificación</v>
      </c>
      <c r="I159" s="15"/>
      <c r="J159" s="47"/>
      <c r="K159" s="76"/>
      <c r="L159" s="76"/>
      <c r="M159" s="78" t="str">
        <f>_xlfn.LET(
    _xlpm.itemBuscado, B159,
    _xlpm.areaBuscada, C159,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TEXT(COUNTIF($C$2:C159, _xlpm.areaBuscada), "0000"),
    _xlpm.codItem &amp; "-" &amp; _xlpm.codArea &amp; "-" &amp; _xlpm.secuencia
)</f>
        <v>-SinArea-0000</v>
      </c>
      <c r="N159" s="77"/>
      <c r="O159" s="32"/>
      <c r="P159" s="32"/>
      <c r="Q159" s="32"/>
      <c r="R159" s="32"/>
    </row>
    <row r="160" spans="3:18" x14ac:dyDescent="0.3">
      <c r="C160" s="11"/>
      <c r="D160" s="32"/>
      <c r="E160" s="11" t="str" cm="1">
        <f t="array" ref="E160">_xlfn.IFS(
    COUNTIF(Herramientas_eléctricas1862106149[Herramientas_eléctricas], B160) &gt; 0, Herramientas_eléctricas1862106149[[#Headers],[Herramientas_eléctricas]],
    COUNTIF(Herramientas_neumáticas1963107150[Herramientas_neumáticas], B160) &gt; 0, Herramientas_neumáticas1963107150[[#Headers],[Herramientas_neumáticas]],
    COUNTIF(Herramientas_de_medición2064108151[Herramientas_de_medición], B160) &gt; 0, Herramientas_de_medición2064108151[[#Headers],[Herramientas_de_medición]],
    COUNTIF(Herrramientas_mecánicas2165109152[Herramientas_mecánicas], B160) &gt; 0, Herrramientas_mecánicas2165109152[[#Headers],[Herramientas_mecánicas]],
    COUNTIF(AH160:AH166, B160) &gt; 0, Herramientas_hidráulicas2266110153[[#Headers],[Herramientas_hidráulicas]],
    COUNTIF(EPP_2367111154[SPCC], B160) &gt; 0, EPP_2367111154[[#Headers],[SPCC]],
   COUNTIF(Herramientas_de_izaje2468112155[Herramientas_de_izaje], B160) &gt; 0, Herramientas_de_izaje2468112155[[#Headers],[Herramientas_de_izaje]],
COUNTIF(Tabla162670114157[Equipos], B160) &gt; 0, Tabla162670114157[[#Headers],[Equipos]],
    TRUE, "Sin clasificación"
)</f>
        <v>Sin clasificación</v>
      </c>
      <c r="I160" s="15"/>
      <c r="J160" s="47"/>
      <c r="K160" s="76"/>
      <c r="L160" s="76"/>
      <c r="M160" s="78" t="str">
        <f>_xlfn.LET(
    _xlpm.itemBuscado, B160,
    _xlpm.areaBuscada, C160,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TEXT(COUNTIF($C$2:C160, _xlpm.areaBuscada), "0000"),
    _xlpm.codItem &amp; "-" &amp; _xlpm.codArea &amp; "-" &amp; _xlpm.secuencia
)</f>
        <v>-SinArea-0000</v>
      </c>
      <c r="N160" s="77"/>
      <c r="O160" s="32"/>
      <c r="P160" s="32"/>
      <c r="Q160" s="32"/>
      <c r="R160" s="32"/>
    </row>
    <row r="161" spans="3:18" x14ac:dyDescent="0.3">
      <c r="C161" s="11"/>
      <c r="D161" s="32"/>
      <c r="E161" s="11" t="str" cm="1">
        <f t="array" ref="E161">_xlfn.IFS(
    COUNTIF(Herramientas_eléctricas1862106149[Herramientas_eléctricas], B161) &gt; 0, Herramientas_eléctricas1862106149[[#Headers],[Herramientas_eléctricas]],
    COUNTIF(Herramientas_neumáticas1963107150[Herramientas_neumáticas], B161) &gt; 0, Herramientas_neumáticas1963107150[[#Headers],[Herramientas_neumáticas]],
    COUNTIF(Herramientas_de_medición2064108151[Herramientas_de_medición], B161) &gt; 0, Herramientas_de_medición2064108151[[#Headers],[Herramientas_de_medición]],
    COUNTIF(Herrramientas_mecánicas2165109152[Herramientas_mecánicas], B161) &gt; 0, Herrramientas_mecánicas2165109152[[#Headers],[Herramientas_mecánicas]],
    COUNTIF(AH161:AH167, B161) &gt; 0, Herramientas_hidráulicas2266110153[[#Headers],[Herramientas_hidráulicas]],
    COUNTIF(EPP_2367111154[SPCC], B161) &gt; 0, EPP_2367111154[[#Headers],[SPCC]],
   COUNTIF(Herramientas_de_izaje2468112155[Herramientas_de_izaje], B161) &gt; 0, Herramientas_de_izaje2468112155[[#Headers],[Herramientas_de_izaje]],
COUNTIF(Tabla162670114157[Equipos], B161) &gt; 0, Tabla162670114157[[#Headers],[Equipos]],
    TRUE, "Sin clasificación"
)</f>
        <v>Sin clasificación</v>
      </c>
      <c r="I161" s="15"/>
      <c r="J161" s="47"/>
      <c r="K161" s="76"/>
      <c r="L161" s="76"/>
      <c r="M161" s="78" t="str">
        <f>_xlfn.LET(
    _xlpm.itemBuscado, B161,
    _xlpm.areaBuscada, C161,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TEXT(COUNTIF($C$2:C161, _xlpm.areaBuscada), "0000"),
    _xlpm.codItem &amp; "-" &amp; _xlpm.codArea &amp; "-" &amp; _xlpm.secuencia
)</f>
        <v>-SinArea-0000</v>
      </c>
      <c r="N161" s="77"/>
      <c r="O161" s="32"/>
      <c r="P161" s="32"/>
      <c r="Q161" s="32"/>
      <c r="R161" s="32"/>
    </row>
    <row r="162" spans="3:18" x14ac:dyDescent="0.3">
      <c r="C162" s="11"/>
      <c r="D162" s="32"/>
      <c r="E162" s="11" t="str" cm="1">
        <f t="array" ref="E162">_xlfn.IFS(
    COUNTIF(Herramientas_eléctricas1862106149[Herramientas_eléctricas], B162) &gt; 0, Herramientas_eléctricas1862106149[[#Headers],[Herramientas_eléctricas]],
    COUNTIF(Herramientas_neumáticas1963107150[Herramientas_neumáticas], B162) &gt; 0, Herramientas_neumáticas1963107150[[#Headers],[Herramientas_neumáticas]],
    COUNTIF(Herramientas_de_medición2064108151[Herramientas_de_medición], B162) &gt; 0, Herramientas_de_medición2064108151[[#Headers],[Herramientas_de_medición]],
    COUNTIF(Herrramientas_mecánicas2165109152[Herramientas_mecánicas], B162) &gt; 0, Herrramientas_mecánicas2165109152[[#Headers],[Herramientas_mecánicas]],
    COUNTIF(AH162:AH168, B162) &gt; 0, Herramientas_hidráulicas2266110153[[#Headers],[Herramientas_hidráulicas]],
    COUNTIF(EPP_2367111154[SPCC], B162) &gt; 0, EPP_2367111154[[#Headers],[SPCC]],
   COUNTIF(Herramientas_de_izaje2468112155[Herramientas_de_izaje], B162) &gt; 0, Herramientas_de_izaje2468112155[[#Headers],[Herramientas_de_izaje]],
COUNTIF(Tabla162670114157[Equipos], B162) &gt; 0, Tabla162670114157[[#Headers],[Equipos]],
    TRUE, "Sin clasificación"
)</f>
        <v>Sin clasificación</v>
      </c>
      <c r="I162" s="15"/>
      <c r="J162" s="47"/>
      <c r="K162" s="76"/>
      <c r="L162" s="76"/>
      <c r="M162" s="78" t="str">
        <f>_xlfn.LET(
    _xlpm.itemBuscado, B162,
    _xlpm.areaBuscada, C162,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TEXT(COUNTIF($C$2:C162, _xlpm.areaBuscada), "0000"),
    _xlpm.codItem &amp; "-" &amp; _xlpm.codArea &amp; "-" &amp; _xlpm.secuencia
)</f>
        <v>-SinArea-0000</v>
      </c>
      <c r="N162" s="77"/>
      <c r="O162" s="32"/>
      <c r="P162" s="32"/>
      <c r="Q162" s="32"/>
      <c r="R162" s="32"/>
    </row>
    <row r="163" spans="3:18" x14ac:dyDescent="0.3">
      <c r="C163" s="11"/>
      <c r="D163" s="32"/>
      <c r="E163" s="11" t="str" cm="1">
        <f t="array" ref="E163">_xlfn.IFS(
    COUNTIF(Herramientas_eléctricas1862106149[Herramientas_eléctricas], B163) &gt; 0, Herramientas_eléctricas1862106149[[#Headers],[Herramientas_eléctricas]],
    COUNTIF(Herramientas_neumáticas1963107150[Herramientas_neumáticas], B163) &gt; 0, Herramientas_neumáticas1963107150[[#Headers],[Herramientas_neumáticas]],
    COUNTIF(Herramientas_de_medición2064108151[Herramientas_de_medición], B163) &gt; 0, Herramientas_de_medición2064108151[[#Headers],[Herramientas_de_medición]],
    COUNTIF(Herrramientas_mecánicas2165109152[Herramientas_mecánicas], B163) &gt; 0, Herrramientas_mecánicas2165109152[[#Headers],[Herramientas_mecánicas]],
    COUNTIF(AH163:AH169, B163) &gt; 0, Herramientas_hidráulicas2266110153[[#Headers],[Herramientas_hidráulicas]],
    COUNTIF(EPP_2367111154[SPCC], B163) &gt; 0, EPP_2367111154[[#Headers],[SPCC]],
   COUNTIF(Herramientas_de_izaje2468112155[Herramientas_de_izaje], B163) &gt; 0, Herramientas_de_izaje2468112155[[#Headers],[Herramientas_de_izaje]],
COUNTIF(Tabla162670114157[Equipos], B163) &gt; 0, Tabla162670114157[[#Headers],[Equipos]],
    TRUE, "Sin clasificación"
)</f>
        <v>Sin clasificación</v>
      </c>
      <c r="I163" s="15"/>
      <c r="J163" s="47"/>
      <c r="K163" s="76"/>
      <c r="L163" s="76"/>
      <c r="M163" s="78" t="str">
        <f>_xlfn.LET(
    _xlpm.itemBuscado, B163,
    _xlpm.areaBuscada, C163,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TEXT(COUNTIF($C$2:C163, _xlpm.areaBuscada), "0000"),
    _xlpm.codItem &amp; "-" &amp; _xlpm.codArea &amp; "-" &amp; _xlpm.secuencia
)</f>
        <v>-SinArea-0000</v>
      </c>
      <c r="N163" s="77"/>
      <c r="O163" s="32"/>
      <c r="P163" s="32"/>
      <c r="Q163" s="32"/>
      <c r="R163" s="32"/>
    </row>
    <row r="164" spans="3:18" x14ac:dyDescent="0.3">
      <c r="C164" s="11"/>
      <c r="D164" s="32"/>
      <c r="E164" s="11" t="str" cm="1">
        <f t="array" ref="E164">_xlfn.IFS(
    COUNTIF(Herramientas_eléctricas1862106149[Herramientas_eléctricas], B164) &gt; 0, Herramientas_eléctricas1862106149[[#Headers],[Herramientas_eléctricas]],
    COUNTIF(Herramientas_neumáticas1963107150[Herramientas_neumáticas], B164) &gt; 0, Herramientas_neumáticas1963107150[[#Headers],[Herramientas_neumáticas]],
    COUNTIF(Herramientas_de_medición2064108151[Herramientas_de_medición], B164) &gt; 0, Herramientas_de_medición2064108151[[#Headers],[Herramientas_de_medición]],
    COUNTIF(Herrramientas_mecánicas2165109152[Herramientas_mecánicas], B164) &gt; 0, Herrramientas_mecánicas2165109152[[#Headers],[Herramientas_mecánicas]],
    COUNTIF(AH164:AH170, B164) &gt; 0, Herramientas_hidráulicas2266110153[[#Headers],[Herramientas_hidráulicas]],
    COUNTIF(EPP_2367111154[SPCC], B164) &gt; 0, EPP_2367111154[[#Headers],[SPCC]],
   COUNTIF(Herramientas_de_izaje2468112155[Herramientas_de_izaje], B164) &gt; 0, Herramientas_de_izaje2468112155[[#Headers],[Herramientas_de_izaje]],
COUNTIF(Tabla162670114157[Equipos], B164) &gt; 0, Tabla162670114157[[#Headers],[Equipos]],
    TRUE, "Sin clasificación"
)</f>
        <v>Sin clasificación</v>
      </c>
      <c r="I164" s="15"/>
      <c r="J164" s="47"/>
      <c r="K164" s="76"/>
      <c r="L164" s="76"/>
      <c r="M164" s="78" t="str">
        <f>_xlfn.LET(
    _xlpm.itemBuscado, B164,
    _xlpm.areaBuscada, C164,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TEXT(COUNTIF($C$2:C164, _xlpm.areaBuscada), "0000"),
    _xlpm.codItem &amp; "-" &amp; _xlpm.codArea &amp; "-" &amp; _xlpm.secuencia
)</f>
        <v>-SinArea-0000</v>
      </c>
      <c r="N164" s="77"/>
      <c r="O164" s="32"/>
      <c r="P164" s="32"/>
      <c r="Q164" s="32"/>
      <c r="R164" s="32"/>
    </row>
    <row r="165" spans="3:18" x14ac:dyDescent="0.3">
      <c r="C165" s="11"/>
      <c r="D165" s="32"/>
      <c r="E165" s="11" t="str" cm="1">
        <f t="array" ref="E165">_xlfn.IFS(
    COUNTIF(Herramientas_eléctricas1862106149[Herramientas_eléctricas], B165) &gt; 0, Herramientas_eléctricas1862106149[[#Headers],[Herramientas_eléctricas]],
    COUNTIF(Herramientas_neumáticas1963107150[Herramientas_neumáticas], B165) &gt; 0, Herramientas_neumáticas1963107150[[#Headers],[Herramientas_neumáticas]],
    COUNTIF(Herramientas_de_medición2064108151[Herramientas_de_medición], B165) &gt; 0, Herramientas_de_medición2064108151[[#Headers],[Herramientas_de_medición]],
    COUNTIF(Herrramientas_mecánicas2165109152[Herramientas_mecánicas], B165) &gt; 0, Herrramientas_mecánicas2165109152[[#Headers],[Herramientas_mecánicas]],
    COUNTIF(AH165:AH171, B165) &gt; 0, Herramientas_hidráulicas2266110153[[#Headers],[Herramientas_hidráulicas]],
    COUNTIF(EPP_2367111154[SPCC], B165) &gt; 0, EPP_2367111154[[#Headers],[SPCC]],
   COUNTIF(Herramientas_de_izaje2468112155[Herramientas_de_izaje], B165) &gt; 0, Herramientas_de_izaje2468112155[[#Headers],[Herramientas_de_izaje]],
COUNTIF(Tabla162670114157[Equipos], B165) &gt; 0, Tabla162670114157[[#Headers],[Equipos]],
    TRUE, "Sin clasificación"
)</f>
        <v>Sin clasificación</v>
      </c>
      <c r="I165" s="15"/>
      <c r="J165" s="47"/>
      <c r="K165" s="76"/>
      <c r="L165" s="76"/>
      <c r="M165" s="78" t="str">
        <f>_xlfn.LET(
    _xlpm.itemBuscado, B165,
    _xlpm.areaBuscada, C165,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TEXT(COUNTIF($C$2:C165, _xlpm.areaBuscada), "0000"),
    _xlpm.codItem &amp; "-" &amp; _xlpm.codArea &amp; "-" &amp; _xlpm.secuencia
)</f>
        <v>-SinArea-0000</v>
      </c>
      <c r="N165" s="77"/>
      <c r="O165" s="32"/>
      <c r="P165" s="32"/>
      <c r="Q165" s="32"/>
      <c r="R165" s="32"/>
    </row>
    <row r="166" spans="3:18" x14ac:dyDescent="0.3">
      <c r="C166" s="11"/>
      <c r="D166" s="32"/>
      <c r="E166" s="11" t="str" cm="1">
        <f t="array" ref="E166">_xlfn.IFS(
    COUNTIF(Herramientas_eléctricas1862106149[Herramientas_eléctricas], B166) &gt; 0, Herramientas_eléctricas1862106149[[#Headers],[Herramientas_eléctricas]],
    COUNTIF(Herramientas_neumáticas1963107150[Herramientas_neumáticas], B166) &gt; 0, Herramientas_neumáticas1963107150[[#Headers],[Herramientas_neumáticas]],
    COUNTIF(Herramientas_de_medición2064108151[Herramientas_de_medición], B166) &gt; 0, Herramientas_de_medición2064108151[[#Headers],[Herramientas_de_medición]],
    COUNTIF(Herrramientas_mecánicas2165109152[Herramientas_mecánicas], B166) &gt; 0, Herrramientas_mecánicas2165109152[[#Headers],[Herramientas_mecánicas]],
    COUNTIF(AH166:AH172, B166) &gt; 0, Herramientas_hidráulicas2266110153[[#Headers],[Herramientas_hidráulicas]],
    COUNTIF(EPP_2367111154[SPCC], B166) &gt; 0, EPP_2367111154[[#Headers],[SPCC]],
   COUNTIF(Herramientas_de_izaje2468112155[Herramientas_de_izaje], B166) &gt; 0, Herramientas_de_izaje2468112155[[#Headers],[Herramientas_de_izaje]],
COUNTIF(Tabla162670114157[Equipos], B166) &gt; 0, Tabla162670114157[[#Headers],[Equipos]],
    TRUE, "Sin clasificación"
)</f>
        <v>Sin clasificación</v>
      </c>
      <c r="I166" s="15"/>
      <c r="J166" s="47"/>
      <c r="K166" s="76"/>
      <c r="L166" s="76"/>
      <c r="M166" s="78" t="str">
        <f>_xlfn.LET(
    _xlpm.itemBuscado, B166,
    _xlpm.areaBuscada, C166,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TEXT(COUNTIF($C$2:C166, _xlpm.areaBuscada), "0000"),
    _xlpm.codItem &amp; "-" &amp; _xlpm.codArea &amp; "-" &amp; _xlpm.secuencia
)</f>
        <v>-SinArea-0000</v>
      </c>
      <c r="N166" s="77"/>
      <c r="O166" s="32"/>
      <c r="P166" s="32"/>
      <c r="Q166" s="32"/>
      <c r="R166" s="32"/>
    </row>
    <row r="167" spans="3:18" x14ac:dyDescent="0.3">
      <c r="C167" s="11"/>
      <c r="D167" s="32"/>
      <c r="E167" s="11" t="str" cm="1">
        <f t="array" ref="E167">_xlfn.IFS(
    COUNTIF(Herramientas_eléctricas1862106149[Herramientas_eléctricas], B167) &gt; 0, Herramientas_eléctricas1862106149[[#Headers],[Herramientas_eléctricas]],
    COUNTIF(Herramientas_neumáticas1963107150[Herramientas_neumáticas], B167) &gt; 0, Herramientas_neumáticas1963107150[[#Headers],[Herramientas_neumáticas]],
    COUNTIF(Herramientas_de_medición2064108151[Herramientas_de_medición], B167) &gt; 0, Herramientas_de_medición2064108151[[#Headers],[Herramientas_de_medición]],
    COUNTIF(Herrramientas_mecánicas2165109152[Herramientas_mecánicas], B167) &gt; 0, Herrramientas_mecánicas2165109152[[#Headers],[Herramientas_mecánicas]],
    COUNTIF(AH167:AH173, B167) &gt; 0, Herramientas_hidráulicas2266110153[[#Headers],[Herramientas_hidráulicas]],
    COUNTIF(EPP_2367111154[SPCC], B167) &gt; 0, EPP_2367111154[[#Headers],[SPCC]],
   COUNTIF(Herramientas_de_izaje2468112155[Herramientas_de_izaje], B167) &gt; 0, Herramientas_de_izaje2468112155[[#Headers],[Herramientas_de_izaje]],
COUNTIF(Tabla162670114157[Equipos], B167) &gt; 0, Tabla162670114157[[#Headers],[Equipos]],
    TRUE, "Sin clasificación"
)</f>
        <v>Sin clasificación</v>
      </c>
      <c r="I167" s="15"/>
      <c r="J167" s="47"/>
      <c r="K167" s="76"/>
      <c r="L167" s="76"/>
      <c r="M167" s="78" t="str">
        <f>_xlfn.LET(
    _xlpm.itemBuscado, B167,
    _xlpm.areaBuscada, C167,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TEXT(COUNTIF($C$2:C167, _xlpm.areaBuscada), "0000"),
    _xlpm.codItem &amp; "-" &amp; _xlpm.codArea &amp; "-" &amp; _xlpm.secuencia
)</f>
        <v>-SinArea-0000</v>
      </c>
      <c r="N167" s="77"/>
      <c r="O167" s="32"/>
      <c r="P167" s="32"/>
      <c r="Q167" s="32"/>
      <c r="R167" s="32"/>
    </row>
    <row r="168" spans="3:18" x14ac:dyDescent="0.3">
      <c r="C168" s="11"/>
      <c r="D168" s="32"/>
      <c r="E168" s="11" t="str" cm="1">
        <f t="array" ref="E168">_xlfn.IFS(
    COUNTIF(Herramientas_eléctricas1862106149[Herramientas_eléctricas], B168) &gt; 0, Herramientas_eléctricas1862106149[[#Headers],[Herramientas_eléctricas]],
    COUNTIF(Herramientas_neumáticas1963107150[Herramientas_neumáticas], B168) &gt; 0, Herramientas_neumáticas1963107150[[#Headers],[Herramientas_neumáticas]],
    COUNTIF(Herramientas_de_medición2064108151[Herramientas_de_medición], B168) &gt; 0, Herramientas_de_medición2064108151[[#Headers],[Herramientas_de_medición]],
    COUNTIF(Herrramientas_mecánicas2165109152[Herramientas_mecánicas], B168) &gt; 0, Herrramientas_mecánicas2165109152[[#Headers],[Herramientas_mecánicas]],
    COUNTIF(AH168:AH174, B168) &gt; 0, Herramientas_hidráulicas2266110153[[#Headers],[Herramientas_hidráulicas]],
    COUNTIF(EPP_2367111154[SPCC], B168) &gt; 0, EPP_2367111154[[#Headers],[SPCC]],
   COUNTIF(Herramientas_de_izaje2468112155[Herramientas_de_izaje], B168) &gt; 0, Herramientas_de_izaje2468112155[[#Headers],[Herramientas_de_izaje]],
COUNTIF(Tabla162670114157[Equipos], B168) &gt; 0, Tabla162670114157[[#Headers],[Equipos]],
    TRUE, "Sin clasificación"
)</f>
        <v>Sin clasificación</v>
      </c>
      <c r="I168" s="15"/>
      <c r="J168" s="47"/>
      <c r="K168" s="76"/>
      <c r="L168" s="76"/>
      <c r="M168" s="78" t="str">
        <f>_xlfn.LET(
    _xlpm.itemBuscado, B168,
    _xlpm.areaBuscada, C168,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TEXT(COUNTIF($C$2:C168, _xlpm.areaBuscada), "0000"),
    _xlpm.codItem &amp; "-" &amp; _xlpm.codArea &amp; "-" &amp; _xlpm.secuencia
)</f>
        <v>-SinArea-0000</v>
      </c>
      <c r="N168" s="77"/>
      <c r="O168" s="32"/>
      <c r="P168" s="32"/>
      <c r="Q168" s="32"/>
      <c r="R168" s="32"/>
    </row>
    <row r="169" spans="3:18" x14ac:dyDescent="0.3">
      <c r="C169" s="11"/>
      <c r="D169" s="32"/>
      <c r="E169" s="11" t="str" cm="1">
        <f t="array" ref="E169">_xlfn.IFS(
    COUNTIF(Herramientas_eléctricas1862106149[Herramientas_eléctricas], B169) &gt; 0, Herramientas_eléctricas1862106149[[#Headers],[Herramientas_eléctricas]],
    COUNTIF(Herramientas_neumáticas1963107150[Herramientas_neumáticas], B169) &gt; 0, Herramientas_neumáticas1963107150[[#Headers],[Herramientas_neumáticas]],
    COUNTIF(Herramientas_de_medición2064108151[Herramientas_de_medición], B169) &gt; 0, Herramientas_de_medición2064108151[[#Headers],[Herramientas_de_medición]],
    COUNTIF(Herrramientas_mecánicas2165109152[Herramientas_mecánicas], B169) &gt; 0, Herrramientas_mecánicas2165109152[[#Headers],[Herramientas_mecánicas]],
    COUNTIF(AH169:AH175, B169) &gt; 0, Herramientas_hidráulicas2266110153[[#Headers],[Herramientas_hidráulicas]],
    COUNTIF(EPP_2367111154[SPCC], B169) &gt; 0, EPP_2367111154[[#Headers],[SPCC]],
   COUNTIF(Herramientas_de_izaje2468112155[Herramientas_de_izaje], B169) &gt; 0, Herramientas_de_izaje2468112155[[#Headers],[Herramientas_de_izaje]],
COUNTIF(Tabla162670114157[Equipos], B169) &gt; 0, Tabla162670114157[[#Headers],[Equipos]],
    TRUE, "Sin clasificación"
)</f>
        <v>Sin clasificación</v>
      </c>
      <c r="I169" s="15"/>
      <c r="J169" s="47"/>
      <c r="K169" s="76"/>
      <c r="L169" s="76"/>
      <c r="M169" s="78" t="str">
        <f>_xlfn.LET(
    _xlpm.itemBuscado, B169,
    _xlpm.areaBuscada, C169,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TEXT(COUNTIF($C$2:C169, _xlpm.areaBuscada), "0000"),
    _xlpm.codItem &amp; "-" &amp; _xlpm.codArea &amp; "-" &amp; _xlpm.secuencia
)</f>
        <v>-SinArea-0000</v>
      </c>
      <c r="N169" s="77"/>
      <c r="O169" s="32"/>
      <c r="P169" s="32"/>
      <c r="Q169" s="32"/>
      <c r="R169" s="32"/>
    </row>
    <row r="170" spans="3:18" x14ac:dyDescent="0.3">
      <c r="C170" s="11"/>
      <c r="D170" s="32"/>
      <c r="E170" s="11" t="str" cm="1">
        <f t="array" ref="E170">_xlfn.IFS(
    COUNTIF(Herramientas_eléctricas1862106149[Herramientas_eléctricas], B170) &gt; 0, Herramientas_eléctricas1862106149[[#Headers],[Herramientas_eléctricas]],
    COUNTIF(Herramientas_neumáticas1963107150[Herramientas_neumáticas], B170) &gt; 0, Herramientas_neumáticas1963107150[[#Headers],[Herramientas_neumáticas]],
    COUNTIF(Herramientas_de_medición2064108151[Herramientas_de_medición], B170) &gt; 0, Herramientas_de_medición2064108151[[#Headers],[Herramientas_de_medición]],
    COUNTIF(Herrramientas_mecánicas2165109152[Herramientas_mecánicas], B170) &gt; 0, Herrramientas_mecánicas2165109152[[#Headers],[Herramientas_mecánicas]],
    COUNTIF(AH170:AH176, B170) &gt; 0, Herramientas_hidráulicas2266110153[[#Headers],[Herramientas_hidráulicas]],
    COUNTIF(EPP_2367111154[SPCC], B170) &gt; 0, EPP_2367111154[[#Headers],[SPCC]],
   COUNTIF(Herramientas_de_izaje2468112155[Herramientas_de_izaje], B170) &gt; 0, Herramientas_de_izaje2468112155[[#Headers],[Herramientas_de_izaje]],
COUNTIF(Tabla162670114157[Equipos], B170) &gt; 0, Tabla162670114157[[#Headers],[Equipos]],
    TRUE, "Sin clasificación"
)</f>
        <v>Sin clasificación</v>
      </c>
      <c r="I170" s="15"/>
      <c r="J170" s="47"/>
      <c r="K170" s="76"/>
      <c r="L170" s="76"/>
      <c r="M170" s="78" t="str">
        <f>_xlfn.LET(
    _xlpm.itemBuscado, B170,
    _xlpm.areaBuscada, C170,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TEXT(COUNTIF($C$2:C170, _xlpm.areaBuscada), "0000"),
    _xlpm.codItem &amp; "-" &amp; _xlpm.codArea &amp; "-" &amp; _xlpm.secuencia
)</f>
        <v>-SinArea-0000</v>
      </c>
      <c r="N170" s="77"/>
      <c r="O170" s="32"/>
      <c r="P170" s="32"/>
      <c r="Q170" s="32"/>
      <c r="R170" s="32"/>
    </row>
    <row r="171" spans="3:18" x14ac:dyDescent="0.3">
      <c r="C171" s="11"/>
      <c r="D171" s="32"/>
      <c r="E171" s="11" t="str" cm="1">
        <f t="array" ref="E171">_xlfn.IFS(
    COUNTIF(Herramientas_eléctricas1862106149[Herramientas_eléctricas], B171) &gt; 0, Herramientas_eléctricas1862106149[[#Headers],[Herramientas_eléctricas]],
    COUNTIF(Herramientas_neumáticas1963107150[Herramientas_neumáticas], B171) &gt; 0, Herramientas_neumáticas1963107150[[#Headers],[Herramientas_neumáticas]],
    COUNTIF(Herramientas_de_medición2064108151[Herramientas_de_medición], B171) &gt; 0, Herramientas_de_medición2064108151[[#Headers],[Herramientas_de_medición]],
    COUNTIF(Herrramientas_mecánicas2165109152[Herramientas_mecánicas], B171) &gt; 0, Herrramientas_mecánicas2165109152[[#Headers],[Herramientas_mecánicas]],
    COUNTIF(AH171:AH177, B171) &gt; 0, Herramientas_hidráulicas2266110153[[#Headers],[Herramientas_hidráulicas]],
    COUNTIF(EPP_2367111154[SPCC], B171) &gt; 0, EPP_2367111154[[#Headers],[SPCC]],
   COUNTIF(Herramientas_de_izaje2468112155[Herramientas_de_izaje], B171) &gt; 0, Herramientas_de_izaje2468112155[[#Headers],[Herramientas_de_izaje]],
COUNTIF(Tabla162670114157[Equipos], B171) &gt; 0, Tabla162670114157[[#Headers],[Equipos]],
    TRUE, "Sin clasificación"
)</f>
        <v>Sin clasificación</v>
      </c>
      <c r="I171" s="15"/>
      <c r="J171" s="47"/>
      <c r="K171" s="76"/>
      <c r="L171" s="76"/>
      <c r="M171" s="78" t="str">
        <f>_xlfn.LET(
    _xlpm.itemBuscado, B171,
    _xlpm.areaBuscada, C171,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TEXT(COUNTIF($C$2:C171, _xlpm.areaBuscada), "0000"),
    _xlpm.codItem &amp; "-" &amp; _xlpm.codArea &amp; "-" &amp; _xlpm.secuencia
)</f>
        <v>-SinArea-0000</v>
      </c>
      <c r="N171" s="77"/>
      <c r="O171" s="32"/>
      <c r="P171" s="32"/>
      <c r="Q171" s="32"/>
      <c r="R171" s="32"/>
    </row>
    <row r="172" spans="3:18" x14ac:dyDescent="0.3">
      <c r="C172" s="11"/>
      <c r="D172" s="32"/>
      <c r="E172" s="11" t="str" cm="1">
        <f t="array" ref="E172">_xlfn.IFS(
    COUNTIF(Herramientas_eléctricas1862106149[Herramientas_eléctricas], B172) &gt; 0, Herramientas_eléctricas1862106149[[#Headers],[Herramientas_eléctricas]],
    COUNTIF(Herramientas_neumáticas1963107150[Herramientas_neumáticas], B172) &gt; 0, Herramientas_neumáticas1963107150[[#Headers],[Herramientas_neumáticas]],
    COUNTIF(Herramientas_de_medición2064108151[Herramientas_de_medición], B172) &gt; 0, Herramientas_de_medición2064108151[[#Headers],[Herramientas_de_medición]],
    COUNTIF(Herrramientas_mecánicas2165109152[Herramientas_mecánicas], B172) &gt; 0, Herrramientas_mecánicas2165109152[[#Headers],[Herramientas_mecánicas]],
    COUNTIF(AH172:AH178, B172) &gt; 0, Herramientas_hidráulicas2266110153[[#Headers],[Herramientas_hidráulicas]],
    COUNTIF(EPP_2367111154[SPCC], B172) &gt; 0, EPP_2367111154[[#Headers],[SPCC]],
   COUNTIF(Herramientas_de_izaje2468112155[Herramientas_de_izaje], B172) &gt; 0, Herramientas_de_izaje2468112155[[#Headers],[Herramientas_de_izaje]],
COUNTIF(Tabla162670114157[Equipos], B172) &gt; 0, Tabla162670114157[[#Headers],[Equipos]],
    TRUE, "Sin clasificación"
)</f>
        <v>Sin clasificación</v>
      </c>
      <c r="I172" s="15"/>
      <c r="J172" s="47"/>
      <c r="K172" s="76"/>
      <c r="L172" s="76"/>
      <c r="M172" s="78" t="str">
        <f>_xlfn.LET(
    _xlpm.itemBuscado, B172,
    _xlpm.areaBuscada, C172,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TEXT(COUNTIF($C$2:C172, _xlpm.areaBuscada), "0000"),
    _xlpm.codItem &amp; "-" &amp; _xlpm.codArea &amp; "-" &amp; _xlpm.secuencia
)</f>
        <v>-SinArea-0000</v>
      </c>
      <c r="N172" s="77"/>
      <c r="O172" s="32"/>
      <c r="P172" s="32"/>
      <c r="Q172" s="32"/>
      <c r="R172" s="32"/>
    </row>
    <row r="173" spans="3:18" x14ac:dyDescent="0.3">
      <c r="C173" s="11"/>
      <c r="D173" s="32"/>
      <c r="E173" s="11" t="str" cm="1">
        <f t="array" ref="E173">_xlfn.IFS(
    COUNTIF(Herramientas_eléctricas1862106149[Herramientas_eléctricas], B173) &gt; 0, Herramientas_eléctricas1862106149[[#Headers],[Herramientas_eléctricas]],
    COUNTIF(Herramientas_neumáticas1963107150[Herramientas_neumáticas], B173) &gt; 0, Herramientas_neumáticas1963107150[[#Headers],[Herramientas_neumáticas]],
    COUNTIF(Herramientas_de_medición2064108151[Herramientas_de_medición], B173) &gt; 0, Herramientas_de_medición2064108151[[#Headers],[Herramientas_de_medición]],
    COUNTIF(Herrramientas_mecánicas2165109152[Herramientas_mecánicas], B173) &gt; 0, Herrramientas_mecánicas2165109152[[#Headers],[Herramientas_mecánicas]],
    COUNTIF(AH173:AH179, B173) &gt; 0, Herramientas_hidráulicas2266110153[[#Headers],[Herramientas_hidráulicas]],
    COUNTIF(EPP_2367111154[SPCC], B173) &gt; 0, EPP_2367111154[[#Headers],[SPCC]],
   COUNTIF(Herramientas_de_izaje2468112155[Herramientas_de_izaje], B173) &gt; 0, Herramientas_de_izaje2468112155[[#Headers],[Herramientas_de_izaje]],
COUNTIF(Tabla162670114157[Equipos], B173) &gt; 0, Tabla162670114157[[#Headers],[Equipos]],
    TRUE, "Sin clasificación"
)</f>
        <v>Sin clasificación</v>
      </c>
      <c r="I173" s="15"/>
      <c r="J173" s="47"/>
      <c r="K173" s="76"/>
      <c r="L173" s="76"/>
      <c r="M173" s="78" t="str">
        <f>_xlfn.LET(
    _xlpm.itemBuscado, B173,
    _xlpm.areaBuscada, C173,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TEXT(COUNTIF($C$2:C173, _xlpm.areaBuscada), "0000"),
    _xlpm.codItem &amp; "-" &amp; _xlpm.codArea &amp; "-" &amp; _xlpm.secuencia
)</f>
        <v>-SinArea-0000</v>
      </c>
      <c r="N173" s="77"/>
      <c r="O173" s="32"/>
      <c r="P173" s="32"/>
      <c r="Q173" s="32"/>
      <c r="R173" s="32"/>
    </row>
    <row r="174" spans="3:18" x14ac:dyDescent="0.3">
      <c r="C174" s="11"/>
      <c r="D174" s="32"/>
      <c r="E174" s="11" t="str" cm="1">
        <f t="array" ref="E174">_xlfn.IFS(
    COUNTIF(Herramientas_eléctricas1862106149[Herramientas_eléctricas], B174) &gt; 0, Herramientas_eléctricas1862106149[[#Headers],[Herramientas_eléctricas]],
    COUNTIF(Herramientas_neumáticas1963107150[Herramientas_neumáticas], B174) &gt; 0, Herramientas_neumáticas1963107150[[#Headers],[Herramientas_neumáticas]],
    COUNTIF(Herramientas_de_medición2064108151[Herramientas_de_medición], B174) &gt; 0, Herramientas_de_medición2064108151[[#Headers],[Herramientas_de_medición]],
    COUNTIF(Herrramientas_mecánicas2165109152[Herramientas_mecánicas], B174) &gt; 0, Herrramientas_mecánicas2165109152[[#Headers],[Herramientas_mecánicas]],
    COUNTIF(AH174:AH180, B174) &gt; 0, Herramientas_hidráulicas2266110153[[#Headers],[Herramientas_hidráulicas]],
    COUNTIF(EPP_2367111154[SPCC], B174) &gt; 0, EPP_2367111154[[#Headers],[SPCC]],
   COUNTIF(Herramientas_de_izaje2468112155[Herramientas_de_izaje], B174) &gt; 0, Herramientas_de_izaje2468112155[[#Headers],[Herramientas_de_izaje]],
COUNTIF(Tabla162670114157[Equipos], B174) &gt; 0, Tabla162670114157[[#Headers],[Equipos]],
    TRUE, "Sin clasificación"
)</f>
        <v>Sin clasificación</v>
      </c>
      <c r="I174" s="15"/>
      <c r="J174" s="47"/>
      <c r="K174" s="76"/>
      <c r="L174" s="76"/>
      <c r="M174" s="78" t="str">
        <f>_xlfn.LET(
    _xlpm.itemBuscado, B174,
    _xlpm.areaBuscada, C174,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TEXT(COUNTIF($C$2:C174, _xlpm.areaBuscada), "0000"),
    _xlpm.codItem &amp; "-" &amp; _xlpm.codArea &amp; "-" &amp; _xlpm.secuencia
)</f>
        <v>-SinArea-0000</v>
      </c>
      <c r="N174" s="77"/>
      <c r="O174" s="32"/>
      <c r="P174" s="32"/>
      <c r="Q174" s="32"/>
      <c r="R174" s="32"/>
    </row>
    <row r="175" spans="3:18" x14ac:dyDescent="0.3">
      <c r="C175" s="11"/>
      <c r="D175" s="32"/>
      <c r="E175" s="11" t="str" cm="1">
        <f t="array" ref="E175">_xlfn.IFS(
    COUNTIF(Herramientas_eléctricas1862106149[Herramientas_eléctricas], B175) &gt; 0, Herramientas_eléctricas1862106149[[#Headers],[Herramientas_eléctricas]],
    COUNTIF(Herramientas_neumáticas1963107150[Herramientas_neumáticas], B175) &gt; 0, Herramientas_neumáticas1963107150[[#Headers],[Herramientas_neumáticas]],
    COUNTIF(Herramientas_de_medición2064108151[Herramientas_de_medición], B175) &gt; 0, Herramientas_de_medición2064108151[[#Headers],[Herramientas_de_medición]],
    COUNTIF(Herrramientas_mecánicas2165109152[Herramientas_mecánicas], B175) &gt; 0, Herrramientas_mecánicas2165109152[[#Headers],[Herramientas_mecánicas]],
    COUNTIF(AH175:AH181, B175) &gt; 0, Herramientas_hidráulicas2266110153[[#Headers],[Herramientas_hidráulicas]],
    COUNTIF(EPP_2367111154[SPCC], B175) &gt; 0, EPP_2367111154[[#Headers],[SPCC]],
   COUNTIF(Herramientas_de_izaje2468112155[Herramientas_de_izaje], B175) &gt; 0, Herramientas_de_izaje2468112155[[#Headers],[Herramientas_de_izaje]],
COUNTIF(Tabla162670114157[Equipos], B175) &gt; 0, Tabla162670114157[[#Headers],[Equipos]],
    TRUE, "Sin clasificación"
)</f>
        <v>Sin clasificación</v>
      </c>
      <c r="I175" s="15"/>
      <c r="J175" s="47"/>
      <c r="K175" s="76"/>
      <c r="L175" s="76"/>
      <c r="M175" s="78" t="str">
        <f>_xlfn.LET(
    _xlpm.itemBuscado, B175,
    _xlpm.areaBuscada, C175,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TEXT(COUNTIF($C$2:C175, _xlpm.areaBuscada), "0000"),
    _xlpm.codItem &amp; "-" &amp; _xlpm.codArea &amp; "-" &amp; _xlpm.secuencia
)</f>
        <v>-SinArea-0000</v>
      </c>
      <c r="N175" s="77"/>
      <c r="O175" s="32"/>
      <c r="P175" s="32"/>
      <c r="Q175" s="32"/>
      <c r="R175" s="32"/>
    </row>
    <row r="176" spans="3:18" x14ac:dyDescent="0.3">
      <c r="C176" s="11"/>
      <c r="D176" s="32"/>
      <c r="E176" s="11" t="str" cm="1">
        <f t="array" ref="E176">_xlfn.IFS(
    COUNTIF(Herramientas_eléctricas1862106149[Herramientas_eléctricas], B176) &gt; 0, Herramientas_eléctricas1862106149[[#Headers],[Herramientas_eléctricas]],
    COUNTIF(Herramientas_neumáticas1963107150[Herramientas_neumáticas], B176) &gt; 0, Herramientas_neumáticas1963107150[[#Headers],[Herramientas_neumáticas]],
    COUNTIF(Herramientas_de_medición2064108151[Herramientas_de_medición], B176) &gt; 0, Herramientas_de_medición2064108151[[#Headers],[Herramientas_de_medición]],
    COUNTIF(Herrramientas_mecánicas2165109152[Herramientas_mecánicas], B176) &gt; 0, Herrramientas_mecánicas2165109152[[#Headers],[Herramientas_mecánicas]],
    COUNTIF(AH176:AH182, B176) &gt; 0, Herramientas_hidráulicas2266110153[[#Headers],[Herramientas_hidráulicas]],
    COUNTIF(EPP_2367111154[SPCC], B176) &gt; 0, EPP_2367111154[[#Headers],[SPCC]],
   COUNTIF(Herramientas_de_izaje2468112155[Herramientas_de_izaje], B176) &gt; 0, Herramientas_de_izaje2468112155[[#Headers],[Herramientas_de_izaje]],
COUNTIF(Tabla162670114157[Equipos], B176) &gt; 0, Tabla162670114157[[#Headers],[Equipos]],
    TRUE, "Sin clasificación"
)</f>
        <v>Sin clasificación</v>
      </c>
      <c r="I176" s="15"/>
      <c r="J176" s="47"/>
      <c r="K176" s="76"/>
      <c r="L176" s="76"/>
      <c r="M176" s="78" t="str">
        <f>_xlfn.LET(
    _xlpm.itemBuscado, B176,
    _xlpm.areaBuscada, C176,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TEXT(COUNTIF($C$2:C176, _xlpm.areaBuscada), "0000"),
    _xlpm.codItem &amp; "-" &amp; _xlpm.codArea &amp; "-" &amp; _xlpm.secuencia
)</f>
        <v>-SinArea-0000</v>
      </c>
      <c r="N176" s="77"/>
      <c r="O176" s="32"/>
      <c r="P176" s="32"/>
      <c r="Q176" s="32"/>
      <c r="R176" s="32"/>
    </row>
    <row r="177" spans="3:18" x14ac:dyDescent="0.3">
      <c r="C177" s="11"/>
      <c r="D177" s="32"/>
      <c r="E177" s="11" t="str" cm="1">
        <f t="array" ref="E177">_xlfn.IFS(
    COUNTIF(Herramientas_eléctricas1862106149[Herramientas_eléctricas], B177) &gt; 0, Herramientas_eléctricas1862106149[[#Headers],[Herramientas_eléctricas]],
    COUNTIF(Herramientas_neumáticas1963107150[Herramientas_neumáticas], B177) &gt; 0, Herramientas_neumáticas1963107150[[#Headers],[Herramientas_neumáticas]],
    COUNTIF(Herramientas_de_medición2064108151[Herramientas_de_medición], B177) &gt; 0, Herramientas_de_medición2064108151[[#Headers],[Herramientas_de_medición]],
    COUNTIF(Herrramientas_mecánicas2165109152[Herramientas_mecánicas], B177) &gt; 0, Herrramientas_mecánicas2165109152[[#Headers],[Herramientas_mecánicas]],
    COUNTIF(AH177:AH183, B177) &gt; 0, Herramientas_hidráulicas2266110153[[#Headers],[Herramientas_hidráulicas]],
    COUNTIF(EPP_2367111154[SPCC], B177) &gt; 0, EPP_2367111154[[#Headers],[SPCC]],
   COUNTIF(Herramientas_de_izaje2468112155[Herramientas_de_izaje], B177) &gt; 0, Herramientas_de_izaje2468112155[[#Headers],[Herramientas_de_izaje]],
COUNTIF(Tabla162670114157[Equipos], B177) &gt; 0, Tabla162670114157[[#Headers],[Equipos]],
    TRUE, "Sin clasificación"
)</f>
        <v>Sin clasificación</v>
      </c>
      <c r="I177" s="15"/>
      <c r="J177" s="47"/>
      <c r="K177" s="76"/>
      <c r="L177" s="76"/>
      <c r="M177" s="78" t="str">
        <f>_xlfn.LET(
    _xlpm.itemBuscado, B177,
    _xlpm.areaBuscada, C177,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TEXT(COUNTIF($C$2:C177, _xlpm.areaBuscada), "0000"),
    _xlpm.codItem &amp; "-" &amp; _xlpm.codArea &amp; "-" &amp; _xlpm.secuencia
)</f>
        <v>-SinArea-0000</v>
      </c>
      <c r="N177" s="77"/>
      <c r="O177" s="32"/>
      <c r="P177" s="32"/>
      <c r="Q177" s="32"/>
      <c r="R177" s="32"/>
    </row>
    <row r="178" spans="3:18" x14ac:dyDescent="0.3">
      <c r="C178" s="11"/>
      <c r="D178" s="32"/>
      <c r="E178" s="11" t="str" cm="1">
        <f t="array" ref="E178">_xlfn.IFS(
    COUNTIF(Herramientas_eléctricas1862106149[Herramientas_eléctricas], B178) &gt; 0, Herramientas_eléctricas1862106149[[#Headers],[Herramientas_eléctricas]],
    COUNTIF(Herramientas_neumáticas1963107150[Herramientas_neumáticas], B178) &gt; 0, Herramientas_neumáticas1963107150[[#Headers],[Herramientas_neumáticas]],
    COUNTIF(Herramientas_de_medición2064108151[Herramientas_de_medición], B178) &gt; 0, Herramientas_de_medición2064108151[[#Headers],[Herramientas_de_medición]],
    COUNTIF(Herrramientas_mecánicas2165109152[Herramientas_mecánicas], B178) &gt; 0, Herrramientas_mecánicas2165109152[[#Headers],[Herramientas_mecánicas]],
    COUNTIF(AH178:AH184, B178) &gt; 0, Herramientas_hidráulicas2266110153[[#Headers],[Herramientas_hidráulicas]],
    COUNTIF(EPP_2367111154[SPCC], B178) &gt; 0, EPP_2367111154[[#Headers],[SPCC]],
   COUNTIF(Herramientas_de_izaje2468112155[Herramientas_de_izaje], B178) &gt; 0, Herramientas_de_izaje2468112155[[#Headers],[Herramientas_de_izaje]],
COUNTIF(Tabla162670114157[Equipos], B178) &gt; 0, Tabla162670114157[[#Headers],[Equipos]],
    TRUE, "Sin clasificación"
)</f>
        <v>Sin clasificación</v>
      </c>
      <c r="I178" s="15"/>
      <c r="J178" s="47"/>
      <c r="K178" s="76"/>
      <c r="L178" s="76"/>
      <c r="M178" s="78" t="str">
        <f>_xlfn.LET(
    _xlpm.itemBuscado, B178,
    _xlpm.areaBuscada, C178,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TEXT(COUNTIF($C$2:C178, _xlpm.areaBuscada), "0000"),
    _xlpm.codItem &amp; "-" &amp; _xlpm.codArea &amp; "-" &amp; _xlpm.secuencia
)</f>
        <v>-SinArea-0000</v>
      </c>
      <c r="N178" s="77"/>
      <c r="O178" s="32"/>
      <c r="P178" s="32"/>
      <c r="Q178" s="32"/>
      <c r="R178" s="32"/>
    </row>
    <row r="179" spans="3:18" x14ac:dyDescent="0.3">
      <c r="C179" s="11"/>
      <c r="D179" s="32"/>
      <c r="E179" s="11" t="str" cm="1">
        <f t="array" ref="E179">_xlfn.IFS(
    COUNTIF(Herramientas_eléctricas1862106149[Herramientas_eléctricas], B179) &gt; 0, Herramientas_eléctricas1862106149[[#Headers],[Herramientas_eléctricas]],
    COUNTIF(Herramientas_neumáticas1963107150[Herramientas_neumáticas], B179) &gt; 0, Herramientas_neumáticas1963107150[[#Headers],[Herramientas_neumáticas]],
    COUNTIF(Herramientas_de_medición2064108151[Herramientas_de_medición], B179) &gt; 0, Herramientas_de_medición2064108151[[#Headers],[Herramientas_de_medición]],
    COUNTIF(Herrramientas_mecánicas2165109152[Herramientas_mecánicas], B179) &gt; 0, Herrramientas_mecánicas2165109152[[#Headers],[Herramientas_mecánicas]],
    COUNTIF(AH179:AH185, B179) &gt; 0, Herramientas_hidráulicas2266110153[[#Headers],[Herramientas_hidráulicas]],
    COUNTIF(EPP_2367111154[SPCC], B179) &gt; 0, EPP_2367111154[[#Headers],[SPCC]],
   COUNTIF(Herramientas_de_izaje2468112155[Herramientas_de_izaje], B179) &gt; 0, Herramientas_de_izaje2468112155[[#Headers],[Herramientas_de_izaje]],
COUNTIF(Tabla162670114157[Equipos], B179) &gt; 0, Tabla162670114157[[#Headers],[Equipos]],
    TRUE, "Sin clasificación"
)</f>
        <v>Sin clasificación</v>
      </c>
      <c r="I179" s="15"/>
      <c r="J179" s="47"/>
      <c r="K179" s="76"/>
      <c r="L179" s="76"/>
      <c r="M179" s="78" t="str">
        <f>_xlfn.LET(
    _xlpm.itemBuscado, B179,
    _xlpm.areaBuscada, C179,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TEXT(COUNTIF($C$2:C179, _xlpm.areaBuscada), "0000"),
    _xlpm.codItem &amp; "-" &amp; _xlpm.codArea &amp; "-" &amp; _xlpm.secuencia
)</f>
        <v>-SinArea-0000</v>
      </c>
      <c r="N179" s="77"/>
      <c r="O179" s="32"/>
      <c r="P179" s="32"/>
      <c r="Q179" s="32"/>
      <c r="R179" s="32"/>
    </row>
    <row r="180" spans="3:18" x14ac:dyDescent="0.3">
      <c r="C180" s="11"/>
      <c r="D180" s="32"/>
      <c r="E180" s="11" t="str" cm="1">
        <f t="array" ref="E180">_xlfn.IFS(
    COUNTIF(Herramientas_eléctricas1862106149[Herramientas_eléctricas], B180) &gt; 0, Herramientas_eléctricas1862106149[[#Headers],[Herramientas_eléctricas]],
    COUNTIF(Herramientas_neumáticas1963107150[Herramientas_neumáticas], B180) &gt; 0, Herramientas_neumáticas1963107150[[#Headers],[Herramientas_neumáticas]],
    COUNTIF(Herramientas_de_medición2064108151[Herramientas_de_medición], B180) &gt; 0, Herramientas_de_medición2064108151[[#Headers],[Herramientas_de_medición]],
    COUNTIF(Herrramientas_mecánicas2165109152[Herramientas_mecánicas], B180) &gt; 0, Herrramientas_mecánicas2165109152[[#Headers],[Herramientas_mecánicas]],
    COUNTIF(AH180:AH186, B180) &gt; 0, Herramientas_hidráulicas2266110153[[#Headers],[Herramientas_hidráulicas]],
    COUNTIF(EPP_2367111154[SPCC], B180) &gt; 0, EPP_2367111154[[#Headers],[SPCC]],
   COUNTIF(Herramientas_de_izaje2468112155[Herramientas_de_izaje], B180) &gt; 0, Herramientas_de_izaje2468112155[[#Headers],[Herramientas_de_izaje]],
COUNTIF(Tabla162670114157[Equipos], B180) &gt; 0, Tabla162670114157[[#Headers],[Equipos]],
    TRUE, "Sin clasificación"
)</f>
        <v>Sin clasificación</v>
      </c>
      <c r="I180" s="15"/>
      <c r="J180" s="47"/>
      <c r="K180" s="76"/>
      <c r="L180" s="76"/>
      <c r="M180" s="78" t="str">
        <f>_xlfn.LET(
    _xlpm.itemBuscado, B180,
    _xlpm.areaBuscada, C180,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TEXT(COUNTIF($C$2:C180, _xlpm.areaBuscada), "0000"),
    _xlpm.codItem &amp; "-" &amp; _xlpm.codArea &amp; "-" &amp; _xlpm.secuencia
)</f>
        <v>-SinArea-0000</v>
      </c>
      <c r="N180" s="77"/>
      <c r="O180" s="32"/>
      <c r="P180" s="32"/>
      <c r="Q180" s="32"/>
      <c r="R180" s="32"/>
    </row>
    <row r="181" spans="3:18" x14ac:dyDescent="0.3">
      <c r="C181" s="11"/>
      <c r="D181" s="32"/>
      <c r="E181" s="11" t="str" cm="1">
        <f t="array" ref="E181">_xlfn.IFS(
    COUNTIF(Herramientas_eléctricas1862106149[Herramientas_eléctricas], B181) &gt; 0, Herramientas_eléctricas1862106149[[#Headers],[Herramientas_eléctricas]],
    COUNTIF(Herramientas_neumáticas1963107150[Herramientas_neumáticas], B181) &gt; 0, Herramientas_neumáticas1963107150[[#Headers],[Herramientas_neumáticas]],
    COUNTIF(Herramientas_de_medición2064108151[Herramientas_de_medición], B181) &gt; 0, Herramientas_de_medición2064108151[[#Headers],[Herramientas_de_medición]],
    COUNTIF(Herrramientas_mecánicas2165109152[Herramientas_mecánicas], B181) &gt; 0, Herrramientas_mecánicas2165109152[[#Headers],[Herramientas_mecánicas]],
    COUNTIF(AH181:AH187, B181) &gt; 0, Herramientas_hidráulicas2266110153[[#Headers],[Herramientas_hidráulicas]],
    COUNTIF(EPP_2367111154[SPCC], B181) &gt; 0, EPP_2367111154[[#Headers],[SPCC]],
   COUNTIF(Herramientas_de_izaje2468112155[Herramientas_de_izaje], B181) &gt; 0, Herramientas_de_izaje2468112155[[#Headers],[Herramientas_de_izaje]],
COUNTIF(Tabla162670114157[Equipos], B181) &gt; 0, Tabla162670114157[[#Headers],[Equipos]],
    TRUE, "Sin clasificación"
)</f>
        <v>Sin clasificación</v>
      </c>
      <c r="I181" s="15"/>
      <c r="J181" s="47"/>
      <c r="K181" s="76"/>
      <c r="L181" s="76"/>
      <c r="M181" s="78" t="str">
        <f>_xlfn.LET(
    _xlpm.itemBuscado, B181,
    _xlpm.areaBuscada, C181,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TEXT(COUNTIF($C$2:C181, _xlpm.areaBuscada), "0000"),
    _xlpm.codItem &amp; "-" &amp; _xlpm.codArea &amp; "-" &amp; _xlpm.secuencia
)</f>
        <v>-SinArea-0000</v>
      </c>
      <c r="N181" s="77"/>
      <c r="O181" s="32"/>
      <c r="P181" s="32"/>
      <c r="Q181" s="32"/>
      <c r="R181" s="32"/>
    </row>
    <row r="182" spans="3:18" x14ac:dyDescent="0.3">
      <c r="C182" s="11"/>
      <c r="D182" s="32"/>
      <c r="E182" s="11" t="str" cm="1">
        <f t="array" ref="E182">_xlfn.IFS(
    COUNTIF(Herramientas_eléctricas1862106149[Herramientas_eléctricas], B182) &gt; 0, Herramientas_eléctricas1862106149[[#Headers],[Herramientas_eléctricas]],
    COUNTIF(Herramientas_neumáticas1963107150[Herramientas_neumáticas], B182) &gt; 0, Herramientas_neumáticas1963107150[[#Headers],[Herramientas_neumáticas]],
    COUNTIF(Herramientas_de_medición2064108151[Herramientas_de_medición], B182) &gt; 0, Herramientas_de_medición2064108151[[#Headers],[Herramientas_de_medición]],
    COUNTIF(Herrramientas_mecánicas2165109152[Herramientas_mecánicas], B182) &gt; 0, Herrramientas_mecánicas2165109152[[#Headers],[Herramientas_mecánicas]],
    COUNTIF(AH182:AH188, B182) &gt; 0, Herramientas_hidráulicas2266110153[[#Headers],[Herramientas_hidráulicas]],
    COUNTIF(EPP_2367111154[SPCC], B182) &gt; 0, EPP_2367111154[[#Headers],[SPCC]],
   COUNTIF(Herramientas_de_izaje2468112155[Herramientas_de_izaje], B182) &gt; 0, Herramientas_de_izaje2468112155[[#Headers],[Herramientas_de_izaje]],
COUNTIF(Tabla162670114157[Equipos], B182) &gt; 0, Tabla162670114157[[#Headers],[Equipos]],
    TRUE, "Sin clasificación"
)</f>
        <v>Sin clasificación</v>
      </c>
      <c r="I182" s="15"/>
      <c r="J182" s="47"/>
      <c r="K182" s="76"/>
      <c r="L182" s="76"/>
      <c r="M182" s="78" t="str">
        <f>_xlfn.LET(
    _xlpm.itemBuscado, B182,
    _xlpm.areaBuscada, C182,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TEXT(COUNTIF($C$2:C182, _xlpm.areaBuscada), "0000"),
    _xlpm.codItem &amp; "-" &amp; _xlpm.codArea &amp; "-" &amp; _xlpm.secuencia
)</f>
        <v>-SinArea-0000</v>
      </c>
      <c r="N182" s="77"/>
      <c r="O182" s="32"/>
      <c r="P182" s="32"/>
      <c r="Q182" s="32"/>
      <c r="R182" s="32"/>
    </row>
    <row r="183" spans="3:18" x14ac:dyDescent="0.3">
      <c r="C183" s="11"/>
      <c r="D183" s="32"/>
      <c r="E183" s="11" t="str" cm="1">
        <f t="array" ref="E183">_xlfn.IFS(
    COUNTIF(Herramientas_eléctricas1862106149[Herramientas_eléctricas], B183) &gt; 0, Herramientas_eléctricas1862106149[[#Headers],[Herramientas_eléctricas]],
    COUNTIF(Herramientas_neumáticas1963107150[Herramientas_neumáticas], B183) &gt; 0, Herramientas_neumáticas1963107150[[#Headers],[Herramientas_neumáticas]],
    COUNTIF(Herramientas_de_medición2064108151[Herramientas_de_medición], B183) &gt; 0, Herramientas_de_medición2064108151[[#Headers],[Herramientas_de_medición]],
    COUNTIF(Herrramientas_mecánicas2165109152[Herramientas_mecánicas], B183) &gt; 0, Herrramientas_mecánicas2165109152[[#Headers],[Herramientas_mecánicas]],
    COUNTIF(AH183:AH189, B183) &gt; 0, Herramientas_hidráulicas2266110153[[#Headers],[Herramientas_hidráulicas]],
    COUNTIF(EPP_2367111154[SPCC], B183) &gt; 0, EPP_2367111154[[#Headers],[SPCC]],
   COUNTIF(Herramientas_de_izaje2468112155[Herramientas_de_izaje], B183) &gt; 0, Herramientas_de_izaje2468112155[[#Headers],[Herramientas_de_izaje]],
COUNTIF(Tabla162670114157[Equipos], B183) &gt; 0, Tabla162670114157[[#Headers],[Equipos]],
    TRUE, "Sin clasificación"
)</f>
        <v>Sin clasificación</v>
      </c>
      <c r="I183" s="15"/>
      <c r="J183" s="47"/>
      <c r="K183" s="76"/>
      <c r="L183" s="76"/>
      <c r="M183" s="78" t="str">
        <f>_xlfn.LET(
    _xlpm.itemBuscado, B183,
    _xlpm.areaBuscada, C183,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TEXT(COUNTIF($C$2:C183, _xlpm.areaBuscada), "0000"),
    _xlpm.codItem &amp; "-" &amp; _xlpm.codArea &amp; "-" &amp; _xlpm.secuencia
)</f>
        <v>-SinArea-0000</v>
      </c>
      <c r="N183" s="77"/>
      <c r="O183" s="32"/>
      <c r="P183" s="32"/>
      <c r="Q183" s="32"/>
      <c r="R183" s="32"/>
    </row>
    <row r="184" spans="3:18" x14ac:dyDescent="0.3">
      <c r="C184" s="11"/>
      <c r="D184" s="32"/>
      <c r="E184" s="11" t="str" cm="1">
        <f t="array" ref="E184">_xlfn.IFS(
    COUNTIF(Herramientas_eléctricas1862106149[Herramientas_eléctricas], B184) &gt; 0, Herramientas_eléctricas1862106149[[#Headers],[Herramientas_eléctricas]],
    COUNTIF(Herramientas_neumáticas1963107150[Herramientas_neumáticas], B184) &gt; 0, Herramientas_neumáticas1963107150[[#Headers],[Herramientas_neumáticas]],
    COUNTIF(Herramientas_de_medición2064108151[Herramientas_de_medición], B184) &gt; 0, Herramientas_de_medición2064108151[[#Headers],[Herramientas_de_medición]],
    COUNTIF(Herrramientas_mecánicas2165109152[Herramientas_mecánicas], B184) &gt; 0, Herrramientas_mecánicas2165109152[[#Headers],[Herramientas_mecánicas]],
    COUNTIF(AH184:AH190, B184) &gt; 0, Herramientas_hidráulicas2266110153[[#Headers],[Herramientas_hidráulicas]],
    COUNTIF(EPP_2367111154[SPCC], B184) &gt; 0, EPP_2367111154[[#Headers],[SPCC]],
   COUNTIF(Herramientas_de_izaje2468112155[Herramientas_de_izaje], B184) &gt; 0, Herramientas_de_izaje2468112155[[#Headers],[Herramientas_de_izaje]],
COUNTIF(Tabla162670114157[Equipos], B184) &gt; 0, Tabla162670114157[[#Headers],[Equipos]],
    TRUE, "Sin clasificación"
)</f>
        <v>Sin clasificación</v>
      </c>
      <c r="I184" s="15"/>
      <c r="J184" s="47"/>
      <c r="K184" s="76"/>
      <c r="L184" s="76"/>
      <c r="M184" s="78" t="str">
        <f>_xlfn.LET(
    _xlpm.itemBuscado, B184,
    _xlpm.areaBuscada, C184,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TEXT(COUNTIF($C$2:C184, _xlpm.areaBuscada), "0000"),
    _xlpm.codItem &amp; "-" &amp; _xlpm.codArea &amp; "-" &amp; _xlpm.secuencia
)</f>
        <v>-SinArea-0000</v>
      </c>
      <c r="N184" s="77"/>
      <c r="O184" s="32"/>
      <c r="P184" s="32"/>
      <c r="Q184" s="32"/>
      <c r="R184" s="32"/>
    </row>
    <row r="185" spans="3:18" x14ac:dyDescent="0.3">
      <c r="C185" s="11"/>
      <c r="D185" s="32"/>
      <c r="E185" s="11" t="str" cm="1">
        <f t="array" ref="E185">_xlfn.IFS(
    COUNTIF(Herramientas_eléctricas1862106149[Herramientas_eléctricas], B185) &gt; 0, Herramientas_eléctricas1862106149[[#Headers],[Herramientas_eléctricas]],
    COUNTIF(Herramientas_neumáticas1963107150[Herramientas_neumáticas], B185) &gt; 0, Herramientas_neumáticas1963107150[[#Headers],[Herramientas_neumáticas]],
    COUNTIF(Herramientas_de_medición2064108151[Herramientas_de_medición], B185) &gt; 0, Herramientas_de_medición2064108151[[#Headers],[Herramientas_de_medición]],
    COUNTIF(Herrramientas_mecánicas2165109152[Herramientas_mecánicas], B185) &gt; 0, Herrramientas_mecánicas2165109152[[#Headers],[Herramientas_mecánicas]],
    COUNTIF(AH185:AH191, B185) &gt; 0, Herramientas_hidráulicas2266110153[[#Headers],[Herramientas_hidráulicas]],
    COUNTIF(EPP_2367111154[SPCC], B185) &gt; 0, EPP_2367111154[[#Headers],[SPCC]],
   COUNTIF(Herramientas_de_izaje2468112155[Herramientas_de_izaje], B185) &gt; 0, Herramientas_de_izaje2468112155[[#Headers],[Herramientas_de_izaje]],
COUNTIF(Tabla162670114157[Equipos], B185) &gt; 0, Tabla162670114157[[#Headers],[Equipos]],
    TRUE, "Sin clasificación"
)</f>
        <v>Sin clasificación</v>
      </c>
      <c r="I185" s="15"/>
      <c r="J185" s="47"/>
      <c r="K185" s="76"/>
      <c r="L185" s="76"/>
      <c r="M185" s="78" t="str">
        <f>_xlfn.LET(
    _xlpm.itemBuscado, B185,
    _xlpm.areaBuscada, C185,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TEXT(COUNTIF($C$2:C185, _xlpm.areaBuscada), "0000"),
    _xlpm.codItem &amp; "-" &amp; _xlpm.codArea &amp; "-" &amp; _xlpm.secuencia
)</f>
        <v>-SinArea-0000</v>
      </c>
      <c r="N185" s="77"/>
      <c r="O185" s="32"/>
      <c r="P185" s="32"/>
      <c r="Q185" s="32"/>
      <c r="R185" s="32"/>
    </row>
    <row r="186" spans="3:18" x14ac:dyDescent="0.3">
      <c r="C186" s="11"/>
      <c r="D186" s="32"/>
      <c r="E186" s="11" t="str" cm="1">
        <f t="array" ref="E186">_xlfn.IFS(
    COUNTIF(Herramientas_eléctricas1862106149[Herramientas_eléctricas], B186) &gt; 0, Herramientas_eléctricas1862106149[[#Headers],[Herramientas_eléctricas]],
    COUNTIF(Herramientas_neumáticas1963107150[Herramientas_neumáticas], B186) &gt; 0, Herramientas_neumáticas1963107150[[#Headers],[Herramientas_neumáticas]],
    COUNTIF(Herramientas_de_medición2064108151[Herramientas_de_medición], B186) &gt; 0, Herramientas_de_medición2064108151[[#Headers],[Herramientas_de_medición]],
    COUNTIF(Herrramientas_mecánicas2165109152[Herramientas_mecánicas], B186) &gt; 0, Herrramientas_mecánicas2165109152[[#Headers],[Herramientas_mecánicas]],
    COUNTIF(AH186:AH192, B186) &gt; 0, Herramientas_hidráulicas2266110153[[#Headers],[Herramientas_hidráulicas]],
    COUNTIF(EPP_2367111154[SPCC], B186) &gt; 0, EPP_2367111154[[#Headers],[SPCC]],
   COUNTIF(Herramientas_de_izaje2468112155[Herramientas_de_izaje], B186) &gt; 0, Herramientas_de_izaje2468112155[[#Headers],[Herramientas_de_izaje]],
COUNTIF(Tabla162670114157[Equipos], B186) &gt; 0, Tabla162670114157[[#Headers],[Equipos]],
    TRUE, "Sin clasificación"
)</f>
        <v>Sin clasificación</v>
      </c>
      <c r="I186" s="15"/>
      <c r="J186" s="47"/>
      <c r="K186" s="76"/>
      <c r="L186" s="76"/>
      <c r="M186" s="78" t="str">
        <f>_xlfn.LET(
    _xlpm.itemBuscado, B186,
    _xlpm.areaBuscada, C186,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TEXT(COUNTIF($C$2:C186, _xlpm.areaBuscada), "0000"),
    _xlpm.codItem &amp; "-" &amp; _xlpm.codArea &amp; "-" &amp; _xlpm.secuencia
)</f>
        <v>-SinArea-0000</v>
      </c>
      <c r="N186" s="77"/>
      <c r="O186" s="32"/>
      <c r="P186" s="32"/>
      <c r="Q186" s="32"/>
      <c r="R186" s="32"/>
    </row>
    <row r="187" spans="3:18" x14ac:dyDescent="0.3">
      <c r="C187" s="11"/>
      <c r="D187" s="32"/>
      <c r="E187" s="11" t="str" cm="1">
        <f t="array" ref="E187">_xlfn.IFS(
    COUNTIF(Herramientas_eléctricas1862106149[Herramientas_eléctricas], B187) &gt; 0, Herramientas_eléctricas1862106149[[#Headers],[Herramientas_eléctricas]],
    COUNTIF(Herramientas_neumáticas1963107150[Herramientas_neumáticas], B187) &gt; 0, Herramientas_neumáticas1963107150[[#Headers],[Herramientas_neumáticas]],
    COUNTIF(Herramientas_de_medición2064108151[Herramientas_de_medición], B187) &gt; 0, Herramientas_de_medición2064108151[[#Headers],[Herramientas_de_medición]],
    COUNTIF(Herrramientas_mecánicas2165109152[Herramientas_mecánicas], B187) &gt; 0, Herrramientas_mecánicas2165109152[[#Headers],[Herramientas_mecánicas]],
    COUNTIF(AH187:AH193, B187) &gt; 0, Herramientas_hidráulicas2266110153[[#Headers],[Herramientas_hidráulicas]],
    COUNTIF(EPP_2367111154[SPCC], B187) &gt; 0, EPP_2367111154[[#Headers],[SPCC]],
   COUNTIF(Herramientas_de_izaje2468112155[Herramientas_de_izaje], B187) &gt; 0, Herramientas_de_izaje2468112155[[#Headers],[Herramientas_de_izaje]],
COUNTIF(Tabla162670114157[Equipos], B187) &gt; 0, Tabla162670114157[[#Headers],[Equipos]],
    TRUE, "Sin clasificación"
)</f>
        <v>Sin clasificación</v>
      </c>
      <c r="I187" s="15"/>
      <c r="J187" s="47"/>
      <c r="K187" s="76"/>
      <c r="L187" s="76"/>
      <c r="M187" s="78" t="str">
        <f>_xlfn.LET(
    _xlpm.itemBuscado, B187,
    _xlpm.areaBuscada, C187,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TEXT(COUNTIF($C$2:C187, _xlpm.areaBuscada), "0000"),
    _xlpm.codItem &amp; "-" &amp; _xlpm.codArea &amp; "-" &amp; _xlpm.secuencia
)</f>
        <v>-SinArea-0000</v>
      </c>
      <c r="N187" s="77"/>
      <c r="O187" s="32"/>
      <c r="P187" s="32"/>
      <c r="Q187" s="32"/>
      <c r="R187" s="32"/>
    </row>
    <row r="188" spans="3:18" x14ac:dyDescent="0.3">
      <c r="C188" s="11"/>
      <c r="D188" s="32"/>
      <c r="E188" s="11" t="str" cm="1">
        <f t="array" ref="E188">_xlfn.IFS(
    COUNTIF(Herramientas_eléctricas1862106149[Herramientas_eléctricas], B188) &gt; 0, Herramientas_eléctricas1862106149[[#Headers],[Herramientas_eléctricas]],
    COUNTIF(Herramientas_neumáticas1963107150[Herramientas_neumáticas], B188) &gt; 0, Herramientas_neumáticas1963107150[[#Headers],[Herramientas_neumáticas]],
    COUNTIF(Herramientas_de_medición2064108151[Herramientas_de_medición], B188) &gt; 0, Herramientas_de_medición2064108151[[#Headers],[Herramientas_de_medición]],
    COUNTIF(Herrramientas_mecánicas2165109152[Herramientas_mecánicas], B188) &gt; 0, Herrramientas_mecánicas2165109152[[#Headers],[Herramientas_mecánicas]],
    COUNTIF(AH188:AH194, B188) &gt; 0, Herramientas_hidráulicas2266110153[[#Headers],[Herramientas_hidráulicas]],
    COUNTIF(EPP_2367111154[SPCC], B188) &gt; 0, EPP_2367111154[[#Headers],[SPCC]],
   COUNTIF(Herramientas_de_izaje2468112155[Herramientas_de_izaje], B188) &gt; 0, Herramientas_de_izaje2468112155[[#Headers],[Herramientas_de_izaje]],
COUNTIF(Tabla162670114157[Equipos], B188) &gt; 0, Tabla162670114157[[#Headers],[Equipos]],
    TRUE, "Sin clasificación"
)</f>
        <v>Sin clasificación</v>
      </c>
      <c r="I188" s="15"/>
      <c r="J188" s="47"/>
      <c r="K188" s="76"/>
      <c r="L188" s="76"/>
      <c r="M188" s="78" t="str">
        <f>_xlfn.LET(
    _xlpm.itemBuscado, B188,
    _xlpm.areaBuscada, C188,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TEXT(COUNTIF($C$2:C188, _xlpm.areaBuscada), "0000"),
    _xlpm.codItem &amp; "-" &amp; _xlpm.codArea &amp; "-" &amp; _xlpm.secuencia
)</f>
        <v>-SinArea-0000</v>
      </c>
      <c r="N188" s="77"/>
      <c r="O188" s="32"/>
      <c r="P188" s="32"/>
      <c r="Q188" s="32"/>
      <c r="R188" s="32"/>
    </row>
    <row r="189" spans="3:18" x14ac:dyDescent="0.3">
      <c r="C189" s="11"/>
      <c r="D189" s="32"/>
      <c r="E189" s="11" t="str" cm="1">
        <f t="array" ref="E189">_xlfn.IFS(
    COUNTIF(Herramientas_eléctricas1862106149[Herramientas_eléctricas], B189) &gt; 0, Herramientas_eléctricas1862106149[[#Headers],[Herramientas_eléctricas]],
    COUNTIF(Herramientas_neumáticas1963107150[Herramientas_neumáticas], B189) &gt; 0, Herramientas_neumáticas1963107150[[#Headers],[Herramientas_neumáticas]],
    COUNTIF(Herramientas_de_medición2064108151[Herramientas_de_medición], B189) &gt; 0, Herramientas_de_medición2064108151[[#Headers],[Herramientas_de_medición]],
    COUNTIF(Herrramientas_mecánicas2165109152[Herramientas_mecánicas], B189) &gt; 0, Herrramientas_mecánicas2165109152[[#Headers],[Herramientas_mecánicas]],
    COUNTIF(AH189:AH195, B189) &gt; 0, Herramientas_hidráulicas2266110153[[#Headers],[Herramientas_hidráulicas]],
    COUNTIF(EPP_2367111154[SPCC], B189) &gt; 0, EPP_2367111154[[#Headers],[SPCC]],
   COUNTIF(Herramientas_de_izaje2468112155[Herramientas_de_izaje], B189) &gt; 0, Herramientas_de_izaje2468112155[[#Headers],[Herramientas_de_izaje]],
COUNTIF(Tabla162670114157[Equipos], B189) &gt; 0, Tabla162670114157[[#Headers],[Equipos]],
    TRUE, "Sin clasificación"
)</f>
        <v>Sin clasificación</v>
      </c>
      <c r="I189" s="15"/>
      <c r="J189" s="47"/>
      <c r="K189" s="76"/>
      <c r="L189" s="76"/>
      <c r="M189" s="78" t="str">
        <f>_xlfn.LET(
    _xlpm.itemBuscado, B189,
    _xlpm.areaBuscada, C189,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TEXT(COUNTIF($C$2:C189, _xlpm.areaBuscada), "0000"),
    _xlpm.codItem &amp; "-" &amp; _xlpm.codArea &amp; "-" &amp; _xlpm.secuencia
)</f>
        <v>-SinArea-0000</v>
      </c>
      <c r="N189" s="77"/>
      <c r="O189" s="32"/>
      <c r="P189" s="32"/>
      <c r="Q189" s="32"/>
      <c r="R189" s="32"/>
    </row>
    <row r="190" spans="3:18" x14ac:dyDescent="0.3">
      <c r="C190" s="11"/>
      <c r="D190" s="32"/>
      <c r="E190" s="11" t="str" cm="1">
        <f t="array" ref="E190">_xlfn.IFS(
    COUNTIF(Herramientas_eléctricas1862106149[Herramientas_eléctricas], B190) &gt; 0, Herramientas_eléctricas1862106149[[#Headers],[Herramientas_eléctricas]],
    COUNTIF(Herramientas_neumáticas1963107150[Herramientas_neumáticas], B190) &gt; 0, Herramientas_neumáticas1963107150[[#Headers],[Herramientas_neumáticas]],
    COUNTIF(Herramientas_de_medición2064108151[Herramientas_de_medición], B190) &gt; 0, Herramientas_de_medición2064108151[[#Headers],[Herramientas_de_medición]],
    COUNTIF(Herrramientas_mecánicas2165109152[Herramientas_mecánicas], B190) &gt; 0, Herrramientas_mecánicas2165109152[[#Headers],[Herramientas_mecánicas]],
    COUNTIF(AH190:AH196, B190) &gt; 0, Herramientas_hidráulicas2266110153[[#Headers],[Herramientas_hidráulicas]],
    COUNTIF(EPP_2367111154[SPCC], B190) &gt; 0, EPP_2367111154[[#Headers],[SPCC]],
   COUNTIF(Herramientas_de_izaje2468112155[Herramientas_de_izaje], B190) &gt; 0, Herramientas_de_izaje2468112155[[#Headers],[Herramientas_de_izaje]],
COUNTIF(Tabla162670114157[Equipos], B190) &gt; 0, Tabla162670114157[[#Headers],[Equipos]],
    TRUE, "Sin clasificación"
)</f>
        <v>Sin clasificación</v>
      </c>
      <c r="I190" s="15"/>
      <c r="J190" s="47"/>
      <c r="K190" s="76"/>
      <c r="L190" s="76"/>
      <c r="M190" s="78" t="str">
        <f>_xlfn.LET(
    _xlpm.itemBuscado, B190,
    _xlpm.areaBuscada, C190,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TEXT(COUNTIF($C$2:C190, _xlpm.areaBuscada), "0000"),
    _xlpm.codItem &amp; "-" &amp; _xlpm.codArea &amp; "-" &amp; _xlpm.secuencia
)</f>
        <v>-SinArea-0000</v>
      </c>
      <c r="N190" s="77"/>
      <c r="O190" s="32"/>
      <c r="P190" s="32"/>
      <c r="Q190" s="32"/>
      <c r="R190" s="32"/>
    </row>
    <row r="191" spans="3:18" x14ac:dyDescent="0.3">
      <c r="C191" s="11"/>
      <c r="D191" s="32"/>
      <c r="E191" s="11" t="str" cm="1">
        <f t="array" ref="E191">_xlfn.IFS(
    COUNTIF(Herramientas_eléctricas1862106149[Herramientas_eléctricas], B191) &gt; 0, Herramientas_eléctricas1862106149[[#Headers],[Herramientas_eléctricas]],
    COUNTIF(Herramientas_neumáticas1963107150[Herramientas_neumáticas], B191) &gt; 0, Herramientas_neumáticas1963107150[[#Headers],[Herramientas_neumáticas]],
    COUNTIF(Herramientas_de_medición2064108151[Herramientas_de_medición], B191) &gt; 0, Herramientas_de_medición2064108151[[#Headers],[Herramientas_de_medición]],
    COUNTIF(Herrramientas_mecánicas2165109152[Herramientas_mecánicas], B191) &gt; 0, Herrramientas_mecánicas2165109152[[#Headers],[Herramientas_mecánicas]],
    COUNTIF(AH191:AH197, B191) &gt; 0, Herramientas_hidráulicas2266110153[[#Headers],[Herramientas_hidráulicas]],
    COUNTIF(EPP_2367111154[SPCC], B191) &gt; 0, EPP_2367111154[[#Headers],[SPCC]],
   COUNTIF(Herramientas_de_izaje2468112155[Herramientas_de_izaje], B191) &gt; 0, Herramientas_de_izaje2468112155[[#Headers],[Herramientas_de_izaje]],
COUNTIF(Tabla162670114157[Equipos], B191) &gt; 0, Tabla162670114157[[#Headers],[Equipos]],
    TRUE, "Sin clasificación"
)</f>
        <v>Sin clasificación</v>
      </c>
      <c r="I191" s="15"/>
      <c r="J191" s="47"/>
      <c r="K191" s="76"/>
      <c r="L191" s="76"/>
      <c r="M191" s="78" t="str">
        <f>_xlfn.LET(
    _xlpm.itemBuscado, B191,
    _xlpm.areaBuscada, C191,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TEXT(COUNTIF($C$2:C191, _xlpm.areaBuscada), "0000"),
    _xlpm.codItem &amp; "-" &amp; _xlpm.codArea &amp; "-" &amp; _xlpm.secuencia
)</f>
        <v>-SinArea-0000</v>
      </c>
      <c r="N191" s="77"/>
      <c r="O191" s="32"/>
      <c r="P191" s="32"/>
      <c r="Q191" s="32"/>
      <c r="R191" s="32"/>
    </row>
    <row r="192" spans="3:18" x14ac:dyDescent="0.3">
      <c r="C192" s="11"/>
      <c r="D192" s="32"/>
      <c r="E192" s="11" t="str" cm="1">
        <f t="array" ref="E192">_xlfn.IFS(
    COUNTIF(Herramientas_eléctricas1862106149[Herramientas_eléctricas], B192) &gt; 0, Herramientas_eléctricas1862106149[[#Headers],[Herramientas_eléctricas]],
    COUNTIF(Herramientas_neumáticas1963107150[Herramientas_neumáticas], B192) &gt; 0, Herramientas_neumáticas1963107150[[#Headers],[Herramientas_neumáticas]],
    COUNTIF(Herramientas_de_medición2064108151[Herramientas_de_medición], B192) &gt; 0, Herramientas_de_medición2064108151[[#Headers],[Herramientas_de_medición]],
    COUNTIF(Herrramientas_mecánicas2165109152[Herramientas_mecánicas], B192) &gt; 0, Herrramientas_mecánicas2165109152[[#Headers],[Herramientas_mecánicas]],
    COUNTIF(AH192:AH198, B192) &gt; 0, Herramientas_hidráulicas2266110153[[#Headers],[Herramientas_hidráulicas]],
    COUNTIF(EPP_2367111154[SPCC], B192) &gt; 0, EPP_2367111154[[#Headers],[SPCC]],
   COUNTIF(Herramientas_de_izaje2468112155[Herramientas_de_izaje], B192) &gt; 0, Herramientas_de_izaje2468112155[[#Headers],[Herramientas_de_izaje]],
COUNTIF(Tabla162670114157[Equipos], B192) &gt; 0, Tabla162670114157[[#Headers],[Equipos]],
    TRUE, "Sin clasificación"
)</f>
        <v>Sin clasificación</v>
      </c>
      <c r="I192" s="15"/>
      <c r="J192" s="47"/>
      <c r="K192" s="76"/>
      <c r="L192" s="76"/>
      <c r="M192" s="78" t="str">
        <f>_xlfn.LET(
    _xlpm.itemBuscado, B192,
    _xlpm.areaBuscada, C192,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TEXT(COUNTIF($C$2:C192, _xlpm.areaBuscada), "0000"),
    _xlpm.codItem &amp; "-" &amp; _xlpm.codArea &amp; "-" &amp; _xlpm.secuencia
)</f>
        <v>-SinArea-0000</v>
      </c>
      <c r="N192" s="77"/>
      <c r="O192" s="32"/>
      <c r="P192" s="32"/>
      <c r="Q192" s="32"/>
      <c r="R192" s="32"/>
    </row>
    <row r="193" spans="3:18" x14ac:dyDescent="0.3">
      <c r="C193" s="11"/>
      <c r="D193" s="32"/>
      <c r="E193" s="11" t="str" cm="1">
        <f t="array" ref="E193">_xlfn.IFS(
    COUNTIF(Herramientas_eléctricas1862106149[Herramientas_eléctricas], B193) &gt; 0, Herramientas_eléctricas1862106149[[#Headers],[Herramientas_eléctricas]],
    COUNTIF(Herramientas_neumáticas1963107150[Herramientas_neumáticas], B193) &gt; 0, Herramientas_neumáticas1963107150[[#Headers],[Herramientas_neumáticas]],
    COUNTIF(Herramientas_de_medición2064108151[Herramientas_de_medición], B193) &gt; 0, Herramientas_de_medición2064108151[[#Headers],[Herramientas_de_medición]],
    COUNTIF(Herrramientas_mecánicas2165109152[Herramientas_mecánicas], B193) &gt; 0, Herrramientas_mecánicas2165109152[[#Headers],[Herramientas_mecánicas]],
    COUNTIF(AH193:AH199, B193) &gt; 0, Herramientas_hidráulicas2266110153[[#Headers],[Herramientas_hidráulicas]],
    COUNTIF(EPP_2367111154[SPCC], B193) &gt; 0, EPP_2367111154[[#Headers],[SPCC]],
   COUNTIF(Herramientas_de_izaje2468112155[Herramientas_de_izaje], B193) &gt; 0, Herramientas_de_izaje2468112155[[#Headers],[Herramientas_de_izaje]],
COUNTIF(Tabla162670114157[Equipos], B193) &gt; 0, Tabla162670114157[[#Headers],[Equipos]],
    TRUE, "Sin clasificación"
)</f>
        <v>Sin clasificación</v>
      </c>
      <c r="I193" s="15"/>
      <c r="J193" s="47"/>
      <c r="K193" s="76"/>
      <c r="L193" s="76"/>
      <c r="M193" s="78" t="str">
        <f>_xlfn.LET(
    _xlpm.itemBuscado, B193,
    _xlpm.areaBuscada, C193,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TEXT(COUNTIF($C$2:C193, _xlpm.areaBuscada), "0000"),
    _xlpm.codItem &amp; "-" &amp; _xlpm.codArea &amp; "-" &amp; _xlpm.secuencia
)</f>
        <v>-SinArea-0000</v>
      </c>
      <c r="N193" s="77"/>
      <c r="O193" s="32"/>
      <c r="P193" s="32"/>
      <c r="Q193" s="32"/>
      <c r="R193" s="32"/>
    </row>
    <row r="194" spans="3:18" x14ac:dyDescent="0.3">
      <c r="C194" s="11"/>
      <c r="D194" s="32"/>
      <c r="E194" s="11" t="str" cm="1">
        <f t="array" ref="E194">_xlfn.IFS(
    COUNTIF(Herramientas_eléctricas1862106149[Herramientas_eléctricas], B194) &gt; 0, Herramientas_eléctricas1862106149[[#Headers],[Herramientas_eléctricas]],
    COUNTIF(Herramientas_neumáticas1963107150[Herramientas_neumáticas], B194) &gt; 0, Herramientas_neumáticas1963107150[[#Headers],[Herramientas_neumáticas]],
    COUNTIF(Herramientas_de_medición2064108151[Herramientas_de_medición], B194) &gt; 0, Herramientas_de_medición2064108151[[#Headers],[Herramientas_de_medición]],
    COUNTIF(Herrramientas_mecánicas2165109152[Herramientas_mecánicas], B194) &gt; 0, Herrramientas_mecánicas2165109152[[#Headers],[Herramientas_mecánicas]],
    COUNTIF(AH194:AH200, B194) &gt; 0, Herramientas_hidráulicas2266110153[[#Headers],[Herramientas_hidráulicas]],
    COUNTIF(EPP_2367111154[SPCC], B194) &gt; 0, EPP_2367111154[[#Headers],[SPCC]],
   COUNTIF(Herramientas_de_izaje2468112155[Herramientas_de_izaje], B194) &gt; 0, Herramientas_de_izaje2468112155[[#Headers],[Herramientas_de_izaje]],
COUNTIF(Tabla162670114157[Equipos], B194) &gt; 0, Tabla162670114157[[#Headers],[Equipos]],
    TRUE, "Sin clasificación"
)</f>
        <v>Sin clasificación</v>
      </c>
      <c r="I194" s="15"/>
      <c r="J194" s="47"/>
      <c r="K194" s="76"/>
      <c r="L194" s="76"/>
      <c r="M194" s="78" t="str">
        <f>_xlfn.LET(
    _xlpm.itemBuscado, B194,
    _xlpm.areaBuscada, C194,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TEXT(COUNTIF($C$2:C194, _xlpm.areaBuscada), "0000"),
    _xlpm.codItem &amp; "-" &amp; _xlpm.codArea &amp; "-" &amp; _xlpm.secuencia
)</f>
        <v>-SinArea-0000</v>
      </c>
      <c r="N194" s="77"/>
      <c r="O194" s="32"/>
      <c r="P194" s="32"/>
      <c r="Q194" s="32"/>
      <c r="R194" s="32"/>
    </row>
    <row r="195" spans="3:18" x14ac:dyDescent="0.3">
      <c r="C195" s="11"/>
      <c r="D195" s="32"/>
      <c r="E195" s="11" t="str" cm="1">
        <f t="array" ref="E195">_xlfn.IFS(
    COUNTIF(Herramientas_eléctricas1862106149[Herramientas_eléctricas], B195) &gt; 0, Herramientas_eléctricas1862106149[[#Headers],[Herramientas_eléctricas]],
    COUNTIF(Herramientas_neumáticas1963107150[Herramientas_neumáticas], B195) &gt; 0, Herramientas_neumáticas1963107150[[#Headers],[Herramientas_neumáticas]],
    COUNTIF(Herramientas_de_medición2064108151[Herramientas_de_medición], B195) &gt; 0, Herramientas_de_medición2064108151[[#Headers],[Herramientas_de_medición]],
    COUNTIF(Herrramientas_mecánicas2165109152[Herramientas_mecánicas], B195) &gt; 0, Herrramientas_mecánicas2165109152[[#Headers],[Herramientas_mecánicas]],
    COUNTIF(AH195:AH201, B195) &gt; 0, Herramientas_hidráulicas2266110153[[#Headers],[Herramientas_hidráulicas]],
    COUNTIF(EPP_2367111154[SPCC], B195) &gt; 0, EPP_2367111154[[#Headers],[SPCC]],
   COUNTIF(Herramientas_de_izaje2468112155[Herramientas_de_izaje], B195) &gt; 0, Herramientas_de_izaje2468112155[[#Headers],[Herramientas_de_izaje]],
COUNTIF(Tabla162670114157[Equipos], B195) &gt; 0, Tabla162670114157[[#Headers],[Equipos]],
    TRUE, "Sin clasificación"
)</f>
        <v>Sin clasificación</v>
      </c>
      <c r="I195" s="15"/>
      <c r="J195" s="47"/>
      <c r="K195" s="76"/>
      <c r="L195" s="76"/>
      <c r="M195" s="78" t="str">
        <f>_xlfn.LET(
    _xlpm.itemBuscado, B195,
    _xlpm.areaBuscada, C195,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TEXT(COUNTIF($C$2:C195, _xlpm.areaBuscada), "0000"),
    _xlpm.codItem &amp; "-" &amp; _xlpm.codArea &amp; "-" &amp; _xlpm.secuencia
)</f>
        <v>-SinArea-0000</v>
      </c>
      <c r="N195" s="77"/>
      <c r="O195" s="32"/>
      <c r="P195" s="32"/>
      <c r="Q195" s="32"/>
      <c r="R195" s="32"/>
    </row>
    <row r="196" spans="3:18" x14ac:dyDescent="0.3">
      <c r="C196" s="11"/>
      <c r="D196" s="32"/>
      <c r="E196" s="11" t="str" cm="1">
        <f t="array" ref="E196">_xlfn.IFS(
    COUNTIF(Herramientas_eléctricas1862106149[Herramientas_eléctricas], B196) &gt; 0, Herramientas_eléctricas1862106149[[#Headers],[Herramientas_eléctricas]],
    COUNTIF(Herramientas_neumáticas1963107150[Herramientas_neumáticas], B196) &gt; 0, Herramientas_neumáticas1963107150[[#Headers],[Herramientas_neumáticas]],
    COUNTIF(Herramientas_de_medición2064108151[Herramientas_de_medición], B196) &gt; 0, Herramientas_de_medición2064108151[[#Headers],[Herramientas_de_medición]],
    COUNTIF(Herrramientas_mecánicas2165109152[Herramientas_mecánicas], B196) &gt; 0, Herrramientas_mecánicas2165109152[[#Headers],[Herramientas_mecánicas]],
    COUNTIF(AH196:AH202, B196) &gt; 0, Herramientas_hidráulicas2266110153[[#Headers],[Herramientas_hidráulicas]],
    COUNTIF(EPP_2367111154[SPCC], B196) &gt; 0, EPP_2367111154[[#Headers],[SPCC]],
   COUNTIF(Herramientas_de_izaje2468112155[Herramientas_de_izaje], B196) &gt; 0, Herramientas_de_izaje2468112155[[#Headers],[Herramientas_de_izaje]],
COUNTIF(Tabla162670114157[Equipos], B196) &gt; 0, Tabla162670114157[[#Headers],[Equipos]],
    TRUE, "Sin clasificación"
)</f>
        <v>Sin clasificación</v>
      </c>
      <c r="I196" s="15"/>
      <c r="J196" s="47"/>
      <c r="K196" s="76"/>
      <c r="L196" s="76"/>
      <c r="M196" s="78" t="str">
        <f>_xlfn.LET(
    _xlpm.itemBuscado, B196,
    _xlpm.areaBuscada, C196,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TEXT(COUNTIF($C$2:C196, _xlpm.areaBuscada), "0000"),
    _xlpm.codItem &amp; "-" &amp; _xlpm.codArea &amp; "-" &amp; _xlpm.secuencia
)</f>
        <v>-SinArea-0000</v>
      </c>
      <c r="N196" s="77"/>
      <c r="O196" s="32"/>
      <c r="P196" s="32"/>
      <c r="Q196" s="32"/>
      <c r="R196" s="32"/>
    </row>
    <row r="197" spans="3:18" x14ac:dyDescent="0.3">
      <c r="C197" s="11"/>
      <c r="D197" s="32"/>
      <c r="E197" s="11" t="str" cm="1">
        <f t="array" ref="E197">_xlfn.IFS(
    COUNTIF(Herramientas_eléctricas1862106149[Herramientas_eléctricas], B197) &gt; 0, Herramientas_eléctricas1862106149[[#Headers],[Herramientas_eléctricas]],
    COUNTIF(Herramientas_neumáticas1963107150[Herramientas_neumáticas], B197) &gt; 0, Herramientas_neumáticas1963107150[[#Headers],[Herramientas_neumáticas]],
    COUNTIF(Herramientas_de_medición2064108151[Herramientas_de_medición], B197) &gt; 0, Herramientas_de_medición2064108151[[#Headers],[Herramientas_de_medición]],
    COUNTIF(Herrramientas_mecánicas2165109152[Herramientas_mecánicas], B197) &gt; 0, Herrramientas_mecánicas2165109152[[#Headers],[Herramientas_mecánicas]],
    COUNTIF(AH197:AH203, B197) &gt; 0, Herramientas_hidráulicas2266110153[[#Headers],[Herramientas_hidráulicas]],
    COUNTIF(EPP_2367111154[SPCC], B197) &gt; 0, EPP_2367111154[[#Headers],[SPCC]],
   COUNTIF(Herramientas_de_izaje2468112155[Herramientas_de_izaje], B197) &gt; 0, Herramientas_de_izaje2468112155[[#Headers],[Herramientas_de_izaje]],
COUNTIF(Tabla162670114157[Equipos], B197) &gt; 0, Tabla162670114157[[#Headers],[Equipos]],
    TRUE, "Sin clasificación"
)</f>
        <v>Sin clasificación</v>
      </c>
      <c r="I197" s="15"/>
      <c r="J197" s="47"/>
      <c r="K197" s="76"/>
      <c r="L197" s="76"/>
      <c r="M197" s="78" t="str">
        <f>_xlfn.LET(
    _xlpm.itemBuscado, B197,
    _xlpm.areaBuscada, C197,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TEXT(COUNTIF($C$2:C197, _xlpm.areaBuscada), "0000"),
    _xlpm.codItem &amp; "-" &amp; _xlpm.codArea &amp; "-" &amp; _xlpm.secuencia
)</f>
        <v>-SinArea-0000</v>
      </c>
      <c r="N197" s="77"/>
      <c r="O197" s="32"/>
      <c r="P197" s="32"/>
      <c r="Q197" s="32"/>
      <c r="R197" s="32"/>
    </row>
    <row r="198" spans="3:18" x14ac:dyDescent="0.3">
      <c r="C198" s="11"/>
      <c r="D198" s="32"/>
      <c r="E198" s="11" t="str" cm="1">
        <f t="array" ref="E198">_xlfn.IFS(
    COUNTIF(Herramientas_eléctricas1862106149[Herramientas_eléctricas], B198) &gt; 0, Herramientas_eléctricas1862106149[[#Headers],[Herramientas_eléctricas]],
    COUNTIF(Herramientas_neumáticas1963107150[Herramientas_neumáticas], B198) &gt; 0, Herramientas_neumáticas1963107150[[#Headers],[Herramientas_neumáticas]],
    COUNTIF(Herramientas_de_medición2064108151[Herramientas_de_medición], B198) &gt; 0, Herramientas_de_medición2064108151[[#Headers],[Herramientas_de_medición]],
    COUNTIF(Herrramientas_mecánicas2165109152[Herramientas_mecánicas], B198) &gt; 0, Herrramientas_mecánicas2165109152[[#Headers],[Herramientas_mecánicas]],
    COUNTIF(AH198:AH204, B198) &gt; 0, Herramientas_hidráulicas2266110153[[#Headers],[Herramientas_hidráulicas]],
    COUNTIF(EPP_2367111154[SPCC], B198) &gt; 0, EPP_2367111154[[#Headers],[SPCC]],
   COUNTIF(Herramientas_de_izaje2468112155[Herramientas_de_izaje], B198) &gt; 0, Herramientas_de_izaje2468112155[[#Headers],[Herramientas_de_izaje]],
COUNTIF(Tabla162670114157[Equipos], B198) &gt; 0, Tabla162670114157[[#Headers],[Equipos]],
    TRUE, "Sin clasificación"
)</f>
        <v>Sin clasificación</v>
      </c>
      <c r="I198" s="15"/>
      <c r="J198" s="47"/>
      <c r="K198" s="76"/>
      <c r="L198" s="76"/>
      <c r="M198" s="78" t="str">
        <f>_xlfn.LET(
    _xlpm.itemBuscado, B198,
    _xlpm.areaBuscada, C198,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TEXT(COUNTIF($C$2:C198, _xlpm.areaBuscada), "0000"),
    _xlpm.codItem &amp; "-" &amp; _xlpm.codArea &amp; "-" &amp; _xlpm.secuencia
)</f>
        <v>-SinArea-0000</v>
      </c>
      <c r="N198" s="77"/>
      <c r="O198" s="32"/>
      <c r="P198" s="32"/>
      <c r="Q198" s="32"/>
      <c r="R198" s="32"/>
    </row>
    <row r="199" spans="3:18" x14ac:dyDescent="0.3">
      <c r="C199" s="11"/>
      <c r="D199" s="32"/>
      <c r="E199" s="11" t="str" cm="1">
        <f t="array" ref="E199">_xlfn.IFS(
    COUNTIF(Herramientas_eléctricas1862106149[Herramientas_eléctricas], B199) &gt; 0, Herramientas_eléctricas1862106149[[#Headers],[Herramientas_eléctricas]],
    COUNTIF(Herramientas_neumáticas1963107150[Herramientas_neumáticas], B199) &gt; 0, Herramientas_neumáticas1963107150[[#Headers],[Herramientas_neumáticas]],
    COUNTIF(Herramientas_de_medición2064108151[Herramientas_de_medición], B199) &gt; 0, Herramientas_de_medición2064108151[[#Headers],[Herramientas_de_medición]],
    COUNTIF(Herrramientas_mecánicas2165109152[Herramientas_mecánicas], B199) &gt; 0, Herrramientas_mecánicas2165109152[[#Headers],[Herramientas_mecánicas]],
    COUNTIF(AH199:AH205, B199) &gt; 0, Herramientas_hidráulicas2266110153[[#Headers],[Herramientas_hidráulicas]],
    COUNTIF(EPP_2367111154[SPCC], B199) &gt; 0, EPP_2367111154[[#Headers],[SPCC]],
   COUNTIF(Herramientas_de_izaje2468112155[Herramientas_de_izaje], B199) &gt; 0, Herramientas_de_izaje2468112155[[#Headers],[Herramientas_de_izaje]],
COUNTIF(Tabla162670114157[Equipos], B199) &gt; 0, Tabla162670114157[[#Headers],[Equipos]],
    TRUE, "Sin clasificación"
)</f>
        <v>Sin clasificación</v>
      </c>
      <c r="I199" s="15"/>
      <c r="J199" s="47"/>
      <c r="K199" s="76"/>
      <c r="L199" s="76"/>
      <c r="M199" s="78" t="str">
        <f>_xlfn.LET(
    _xlpm.itemBuscado, B199,
    _xlpm.areaBuscada, C199,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TEXT(COUNTIF($C$2:C199, _xlpm.areaBuscada), "0000"),
    _xlpm.codItem &amp; "-" &amp; _xlpm.codArea &amp; "-" &amp; _xlpm.secuencia
)</f>
        <v>-SinArea-0000</v>
      </c>
      <c r="N199" s="77"/>
      <c r="O199" s="32"/>
      <c r="P199" s="32"/>
      <c r="Q199" s="32"/>
      <c r="R199" s="32"/>
    </row>
    <row r="200" spans="3:18" x14ac:dyDescent="0.3">
      <c r="C200" s="11"/>
      <c r="D200" s="32"/>
      <c r="E200" s="11" t="str" cm="1">
        <f t="array" ref="E200">_xlfn.IFS(
    COUNTIF(Herramientas_eléctricas1862106149[Herramientas_eléctricas], B200) &gt; 0, Herramientas_eléctricas1862106149[[#Headers],[Herramientas_eléctricas]],
    COUNTIF(Herramientas_neumáticas1963107150[Herramientas_neumáticas], B200) &gt; 0, Herramientas_neumáticas1963107150[[#Headers],[Herramientas_neumáticas]],
    COUNTIF(Herramientas_de_medición2064108151[Herramientas_de_medición], B200) &gt; 0, Herramientas_de_medición2064108151[[#Headers],[Herramientas_de_medición]],
    COUNTIF(Herrramientas_mecánicas2165109152[Herramientas_mecánicas], B200) &gt; 0, Herrramientas_mecánicas2165109152[[#Headers],[Herramientas_mecánicas]],
    COUNTIF(AH200:AH206, B200) &gt; 0, Herramientas_hidráulicas2266110153[[#Headers],[Herramientas_hidráulicas]],
    COUNTIF(EPP_2367111154[SPCC], B200) &gt; 0, EPP_2367111154[[#Headers],[SPCC]],
   COUNTIF(Herramientas_de_izaje2468112155[Herramientas_de_izaje], B200) &gt; 0, Herramientas_de_izaje2468112155[[#Headers],[Herramientas_de_izaje]],
COUNTIF(Tabla162670114157[Equipos], B200) &gt; 0, Tabla162670114157[[#Headers],[Equipos]],
    TRUE, "Sin clasificación"
)</f>
        <v>Sin clasificación</v>
      </c>
      <c r="I200" s="15"/>
      <c r="J200" s="47"/>
      <c r="K200" s="76"/>
      <c r="L200" s="76"/>
      <c r="M200" s="78" t="str">
        <f>_xlfn.LET(
    _xlpm.itemBuscado, B200,
    _xlpm.areaBuscada, C200,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TEXT(COUNTIF($C$2:C200, _xlpm.areaBuscada), "0000"),
    _xlpm.codItem &amp; "-" &amp; _xlpm.codArea &amp; "-" &amp; _xlpm.secuencia
)</f>
        <v>-SinArea-0000</v>
      </c>
      <c r="N200" s="77"/>
      <c r="O200" s="32"/>
      <c r="P200" s="32"/>
      <c r="Q200" s="32"/>
      <c r="R200" s="32"/>
    </row>
    <row r="201" spans="3:18" x14ac:dyDescent="0.3">
      <c r="C201" s="11"/>
      <c r="D201" s="32"/>
      <c r="E201" s="11" t="str" cm="1">
        <f t="array" ref="E201">_xlfn.IFS(
    COUNTIF(Herramientas_eléctricas1862106149[Herramientas_eléctricas], B201) &gt; 0, Herramientas_eléctricas1862106149[[#Headers],[Herramientas_eléctricas]],
    COUNTIF(Herramientas_neumáticas1963107150[Herramientas_neumáticas], B201) &gt; 0, Herramientas_neumáticas1963107150[[#Headers],[Herramientas_neumáticas]],
    COUNTIF(Herramientas_de_medición2064108151[Herramientas_de_medición], B201) &gt; 0, Herramientas_de_medición2064108151[[#Headers],[Herramientas_de_medición]],
    COUNTIF(Herrramientas_mecánicas2165109152[Herramientas_mecánicas], B201) &gt; 0, Herrramientas_mecánicas2165109152[[#Headers],[Herramientas_mecánicas]],
    COUNTIF(AH201:AH207, B201) &gt; 0, Herramientas_hidráulicas2266110153[[#Headers],[Herramientas_hidráulicas]],
    COUNTIF(EPP_2367111154[SPCC], B201) &gt; 0, EPP_2367111154[[#Headers],[SPCC]],
   COUNTIF(Herramientas_de_izaje2468112155[Herramientas_de_izaje], B201) &gt; 0, Herramientas_de_izaje2468112155[[#Headers],[Herramientas_de_izaje]],
COUNTIF(Tabla162670114157[Equipos], B201) &gt; 0, Tabla162670114157[[#Headers],[Equipos]],
    TRUE, "Sin clasificación"
)</f>
        <v>Sin clasificación</v>
      </c>
      <c r="I201" s="15"/>
      <c r="J201" s="47"/>
      <c r="K201" s="76"/>
      <c r="L201" s="76"/>
      <c r="M201" s="78" t="str">
        <f>_xlfn.LET(
    _xlpm.itemBuscado, B201,
    _xlpm.areaBuscada, C201,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TEXT(COUNTIF($C$2:C201, _xlpm.areaBuscada), "0000"),
    _xlpm.codItem &amp; "-" &amp; _xlpm.codArea &amp; "-" &amp; _xlpm.secuencia
)</f>
        <v>-SinArea-0000</v>
      </c>
      <c r="N201" s="77"/>
      <c r="O201" s="32"/>
      <c r="P201" s="32"/>
      <c r="Q201" s="32"/>
      <c r="R201" s="32"/>
    </row>
    <row r="202" spans="3:18" x14ac:dyDescent="0.3">
      <c r="C202" s="11"/>
      <c r="D202" s="32"/>
      <c r="E202" s="11" t="str" cm="1">
        <f t="array" ref="E202">_xlfn.IFS(
    COUNTIF(Herramientas_eléctricas1862106149[Herramientas_eléctricas], B202) &gt; 0, Herramientas_eléctricas1862106149[[#Headers],[Herramientas_eléctricas]],
    COUNTIF(Herramientas_neumáticas1963107150[Herramientas_neumáticas], B202) &gt; 0, Herramientas_neumáticas1963107150[[#Headers],[Herramientas_neumáticas]],
    COUNTIF(Herramientas_de_medición2064108151[Herramientas_de_medición], B202) &gt; 0, Herramientas_de_medición2064108151[[#Headers],[Herramientas_de_medición]],
    COUNTIF(Herrramientas_mecánicas2165109152[Herramientas_mecánicas], B202) &gt; 0, Herrramientas_mecánicas2165109152[[#Headers],[Herramientas_mecánicas]],
    COUNTIF(AH202:AH208, B202) &gt; 0, Herramientas_hidráulicas2266110153[[#Headers],[Herramientas_hidráulicas]],
    COUNTIF(EPP_2367111154[SPCC], B202) &gt; 0, EPP_2367111154[[#Headers],[SPCC]],
   COUNTIF(Herramientas_de_izaje2468112155[Herramientas_de_izaje], B202) &gt; 0, Herramientas_de_izaje2468112155[[#Headers],[Herramientas_de_izaje]],
COUNTIF(Tabla162670114157[Equipos], B202) &gt; 0, Tabla162670114157[[#Headers],[Equipos]],
    TRUE, "Sin clasificación"
)</f>
        <v>Sin clasificación</v>
      </c>
      <c r="I202" s="15"/>
      <c r="J202" s="47"/>
      <c r="K202" s="76"/>
      <c r="L202" s="76"/>
      <c r="M202" s="78" t="str">
        <f>_xlfn.LET(
    _xlpm.itemBuscado, B202,
    _xlpm.areaBuscada, C202,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TEXT(COUNTIF($C$2:C202, _xlpm.areaBuscada), "0000"),
    _xlpm.codItem &amp; "-" &amp; _xlpm.codArea &amp; "-" &amp; _xlpm.secuencia
)</f>
        <v>-SinArea-0000</v>
      </c>
      <c r="N202" s="77"/>
      <c r="O202" s="32"/>
      <c r="P202" s="32"/>
      <c r="Q202" s="32"/>
      <c r="R202" s="32"/>
    </row>
    <row r="203" spans="3:18" x14ac:dyDescent="0.3">
      <c r="C203" s="11"/>
      <c r="D203" s="32"/>
      <c r="E203" s="11" t="str" cm="1">
        <f t="array" ref="E203">_xlfn.IFS(
    COUNTIF(Herramientas_eléctricas1862106149[Herramientas_eléctricas], B203) &gt; 0, Herramientas_eléctricas1862106149[[#Headers],[Herramientas_eléctricas]],
    COUNTIF(Herramientas_neumáticas1963107150[Herramientas_neumáticas], B203) &gt; 0, Herramientas_neumáticas1963107150[[#Headers],[Herramientas_neumáticas]],
    COUNTIF(Herramientas_de_medición2064108151[Herramientas_de_medición], B203) &gt; 0, Herramientas_de_medición2064108151[[#Headers],[Herramientas_de_medición]],
    COUNTIF(Herrramientas_mecánicas2165109152[Herramientas_mecánicas], B203) &gt; 0, Herrramientas_mecánicas2165109152[[#Headers],[Herramientas_mecánicas]],
    COUNTIF(AH203:AH209, B203) &gt; 0, Herramientas_hidráulicas2266110153[[#Headers],[Herramientas_hidráulicas]],
    COUNTIF(EPP_2367111154[SPCC], B203) &gt; 0, EPP_2367111154[[#Headers],[SPCC]],
   COUNTIF(Herramientas_de_izaje2468112155[Herramientas_de_izaje], B203) &gt; 0, Herramientas_de_izaje2468112155[[#Headers],[Herramientas_de_izaje]],
COUNTIF(Tabla162670114157[Equipos], B203) &gt; 0, Tabla162670114157[[#Headers],[Equipos]],
    TRUE, "Sin clasificación"
)</f>
        <v>Sin clasificación</v>
      </c>
      <c r="I203" s="15"/>
      <c r="J203" s="47"/>
      <c r="K203" s="76"/>
      <c r="L203" s="76"/>
      <c r="M203" s="78" t="str">
        <f>_xlfn.LET(
    _xlpm.itemBuscado, B203,
    _xlpm.areaBuscada, C203,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TEXT(COUNTIF($C$2:C203, _xlpm.areaBuscada), "0000"),
    _xlpm.codItem &amp; "-" &amp; _xlpm.codArea &amp; "-" &amp; _xlpm.secuencia
)</f>
        <v>-SinArea-0000</v>
      </c>
      <c r="N203" s="77"/>
      <c r="O203" s="32"/>
      <c r="P203" s="32"/>
      <c r="Q203" s="32"/>
      <c r="R203" s="32"/>
    </row>
    <row r="204" spans="3:18" x14ac:dyDescent="0.3">
      <c r="C204" s="11"/>
      <c r="D204" s="32"/>
      <c r="E204" s="11" t="str" cm="1">
        <f t="array" ref="E204">_xlfn.IFS(
    COUNTIF(Herramientas_eléctricas1862106149[Herramientas_eléctricas], B204) &gt; 0, Herramientas_eléctricas1862106149[[#Headers],[Herramientas_eléctricas]],
    COUNTIF(Herramientas_neumáticas1963107150[Herramientas_neumáticas], B204) &gt; 0, Herramientas_neumáticas1963107150[[#Headers],[Herramientas_neumáticas]],
    COUNTIF(Herramientas_de_medición2064108151[Herramientas_de_medición], B204) &gt; 0, Herramientas_de_medición2064108151[[#Headers],[Herramientas_de_medición]],
    COUNTIF(Herrramientas_mecánicas2165109152[Herramientas_mecánicas], B204) &gt; 0, Herrramientas_mecánicas2165109152[[#Headers],[Herramientas_mecánicas]],
    COUNTIF(AH204:AH210, B204) &gt; 0, Herramientas_hidráulicas2266110153[[#Headers],[Herramientas_hidráulicas]],
    COUNTIF(EPP_2367111154[SPCC], B204) &gt; 0, EPP_2367111154[[#Headers],[SPCC]],
   COUNTIF(Herramientas_de_izaje2468112155[Herramientas_de_izaje], B204) &gt; 0, Herramientas_de_izaje2468112155[[#Headers],[Herramientas_de_izaje]],
COUNTIF(Tabla162670114157[Equipos], B204) &gt; 0, Tabla162670114157[[#Headers],[Equipos]],
    TRUE, "Sin clasificación"
)</f>
        <v>Sin clasificación</v>
      </c>
      <c r="I204" s="15"/>
      <c r="J204" s="47"/>
      <c r="K204" s="76"/>
      <c r="L204" s="76"/>
      <c r="M204" s="78" t="str">
        <f>_xlfn.LET(
    _xlpm.itemBuscado, B204,
    _xlpm.areaBuscada, C204,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TEXT(COUNTIF($C$2:C204, _xlpm.areaBuscada), "0000"),
    _xlpm.codItem &amp; "-" &amp; _xlpm.codArea &amp; "-" &amp; _xlpm.secuencia
)</f>
        <v>-SinArea-0000</v>
      </c>
      <c r="N204" s="77"/>
      <c r="O204" s="32"/>
      <c r="P204" s="32"/>
      <c r="Q204" s="32"/>
      <c r="R204" s="32"/>
    </row>
    <row r="205" spans="3:18" x14ac:dyDescent="0.3">
      <c r="C205" s="11"/>
      <c r="D205" s="32"/>
      <c r="E205" s="11" t="str" cm="1">
        <f t="array" ref="E205">_xlfn.IFS(
    COUNTIF(Herramientas_eléctricas1862106149[Herramientas_eléctricas], B205) &gt; 0, Herramientas_eléctricas1862106149[[#Headers],[Herramientas_eléctricas]],
    COUNTIF(Herramientas_neumáticas1963107150[Herramientas_neumáticas], B205) &gt; 0, Herramientas_neumáticas1963107150[[#Headers],[Herramientas_neumáticas]],
    COUNTIF(Herramientas_de_medición2064108151[Herramientas_de_medición], B205) &gt; 0, Herramientas_de_medición2064108151[[#Headers],[Herramientas_de_medición]],
    COUNTIF(Herrramientas_mecánicas2165109152[Herramientas_mecánicas], B205) &gt; 0, Herrramientas_mecánicas2165109152[[#Headers],[Herramientas_mecánicas]],
    COUNTIF(AH205:AH211, B205) &gt; 0, Herramientas_hidráulicas2266110153[[#Headers],[Herramientas_hidráulicas]],
    COUNTIF(EPP_2367111154[SPCC], B205) &gt; 0, EPP_2367111154[[#Headers],[SPCC]],
   COUNTIF(Herramientas_de_izaje2468112155[Herramientas_de_izaje], B205) &gt; 0, Herramientas_de_izaje2468112155[[#Headers],[Herramientas_de_izaje]],
COUNTIF(Tabla162670114157[Equipos], B205) &gt; 0, Tabla162670114157[[#Headers],[Equipos]],
    TRUE, "Sin clasificación"
)</f>
        <v>Sin clasificación</v>
      </c>
      <c r="I205" s="15"/>
      <c r="J205" s="47"/>
      <c r="K205" s="76"/>
      <c r="L205" s="76"/>
      <c r="M205" s="78" t="str">
        <f>_xlfn.LET(
    _xlpm.itemBuscado, B205,
    _xlpm.areaBuscada, C205,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TEXT(COUNTIF($C$2:C205, _xlpm.areaBuscada), "0000"),
    _xlpm.codItem &amp; "-" &amp; _xlpm.codArea &amp; "-" &amp; _xlpm.secuencia
)</f>
        <v>-SinArea-0000</v>
      </c>
      <c r="N205" s="77"/>
      <c r="O205" s="32"/>
      <c r="P205" s="32"/>
      <c r="Q205" s="32"/>
      <c r="R205" s="32"/>
    </row>
    <row r="206" spans="3:18" x14ac:dyDescent="0.3">
      <c r="C206" s="11"/>
      <c r="D206" s="32"/>
      <c r="E206" s="11" t="str" cm="1">
        <f t="array" ref="E206">_xlfn.IFS(
    COUNTIF(Herramientas_eléctricas1862106149[Herramientas_eléctricas], B206) &gt; 0, Herramientas_eléctricas1862106149[[#Headers],[Herramientas_eléctricas]],
    COUNTIF(Herramientas_neumáticas1963107150[Herramientas_neumáticas], B206) &gt; 0, Herramientas_neumáticas1963107150[[#Headers],[Herramientas_neumáticas]],
    COUNTIF(Herramientas_de_medición2064108151[Herramientas_de_medición], B206) &gt; 0, Herramientas_de_medición2064108151[[#Headers],[Herramientas_de_medición]],
    COUNTIF(Herrramientas_mecánicas2165109152[Herramientas_mecánicas], B206) &gt; 0, Herrramientas_mecánicas2165109152[[#Headers],[Herramientas_mecánicas]],
    COUNTIF(AH206:AH212, B206) &gt; 0, Herramientas_hidráulicas2266110153[[#Headers],[Herramientas_hidráulicas]],
    COUNTIF(EPP_2367111154[SPCC], B206) &gt; 0, EPP_2367111154[[#Headers],[SPCC]],
   COUNTIF(Herramientas_de_izaje2468112155[Herramientas_de_izaje], B206) &gt; 0, Herramientas_de_izaje2468112155[[#Headers],[Herramientas_de_izaje]],
COUNTIF(Tabla162670114157[Equipos], B206) &gt; 0, Tabla162670114157[[#Headers],[Equipos]],
    TRUE, "Sin clasificación"
)</f>
        <v>Sin clasificación</v>
      </c>
      <c r="I206" s="15"/>
      <c r="J206" s="47"/>
      <c r="K206" s="76"/>
      <c r="L206" s="76"/>
      <c r="M206" s="78" t="str">
        <f>_xlfn.LET(
    _xlpm.itemBuscado, B206,
    _xlpm.areaBuscada, C206,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TEXT(COUNTIF($C$2:C206, _xlpm.areaBuscada), "0000"),
    _xlpm.codItem &amp; "-" &amp; _xlpm.codArea &amp; "-" &amp; _xlpm.secuencia
)</f>
        <v>-SinArea-0000</v>
      </c>
      <c r="N206" s="77"/>
      <c r="O206" s="32"/>
      <c r="P206" s="32"/>
      <c r="Q206" s="32"/>
      <c r="R206" s="32"/>
    </row>
    <row r="207" spans="3:18" x14ac:dyDescent="0.3">
      <c r="C207" s="11"/>
      <c r="D207" s="32"/>
      <c r="E207" s="11" t="str" cm="1">
        <f t="array" ref="E207">_xlfn.IFS(
    COUNTIF(Herramientas_eléctricas1862106149[Herramientas_eléctricas], B207) &gt; 0, Herramientas_eléctricas1862106149[[#Headers],[Herramientas_eléctricas]],
    COUNTIF(Herramientas_neumáticas1963107150[Herramientas_neumáticas], B207) &gt; 0, Herramientas_neumáticas1963107150[[#Headers],[Herramientas_neumáticas]],
    COUNTIF(Herramientas_de_medición2064108151[Herramientas_de_medición], B207) &gt; 0, Herramientas_de_medición2064108151[[#Headers],[Herramientas_de_medición]],
    COUNTIF(Herrramientas_mecánicas2165109152[Herramientas_mecánicas], B207) &gt; 0, Herrramientas_mecánicas2165109152[[#Headers],[Herramientas_mecánicas]],
    COUNTIF(AH207:AH213, B207) &gt; 0, Herramientas_hidráulicas2266110153[[#Headers],[Herramientas_hidráulicas]],
    COUNTIF(EPP_2367111154[SPCC], B207) &gt; 0, EPP_2367111154[[#Headers],[SPCC]],
   COUNTIF(Herramientas_de_izaje2468112155[Herramientas_de_izaje], B207) &gt; 0, Herramientas_de_izaje2468112155[[#Headers],[Herramientas_de_izaje]],
COUNTIF(Tabla162670114157[Equipos], B207) &gt; 0, Tabla162670114157[[#Headers],[Equipos]],
    TRUE, "Sin clasificación"
)</f>
        <v>Sin clasificación</v>
      </c>
      <c r="I207" s="15"/>
      <c r="J207" s="47"/>
      <c r="K207" s="76"/>
      <c r="L207" s="76"/>
      <c r="M207" s="78" t="str">
        <f>_xlfn.LET(
    _xlpm.itemBuscado, B207,
    _xlpm.areaBuscada, C207,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TEXT(COUNTIF($C$2:C207, _xlpm.areaBuscada), "0000"),
    _xlpm.codItem &amp; "-" &amp; _xlpm.codArea &amp; "-" &amp; _xlpm.secuencia
)</f>
        <v>-SinArea-0000</v>
      </c>
      <c r="N207" s="77"/>
      <c r="O207" s="32"/>
      <c r="P207" s="32"/>
      <c r="Q207" s="32"/>
      <c r="R207" s="32"/>
    </row>
    <row r="208" spans="3:18" x14ac:dyDescent="0.3">
      <c r="C208" s="11"/>
      <c r="D208" s="32"/>
      <c r="E208" s="11" t="str" cm="1">
        <f t="array" ref="E208">_xlfn.IFS(
    COUNTIF(Herramientas_eléctricas1862106149[Herramientas_eléctricas], B208) &gt; 0, Herramientas_eléctricas1862106149[[#Headers],[Herramientas_eléctricas]],
    COUNTIF(Herramientas_neumáticas1963107150[Herramientas_neumáticas], B208) &gt; 0, Herramientas_neumáticas1963107150[[#Headers],[Herramientas_neumáticas]],
    COUNTIF(Herramientas_de_medición2064108151[Herramientas_de_medición], B208) &gt; 0, Herramientas_de_medición2064108151[[#Headers],[Herramientas_de_medición]],
    COUNTIF(Herrramientas_mecánicas2165109152[Herramientas_mecánicas], B208) &gt; 0, Herrramientas_mecánicas2165109152[[#Headers],[Herramientas_mecánicas]],
    COUNTIF(AH208:AH214, B208) &gt; 0, Herramientas_hidráulicas2266110153[[#Headers],[Herramientas_hidráulicas]],
    COUNTIF(EPP_2367111154[SPCC], B208) &gt; 0, EPP_2367111154[[#Headers],[SPCC]],
   COUNTIF(Herramientas_de_izaje2468112155[Herramientas_de_izaje], B208) &gt; 0, Herramientas_de_izaje2468112155[[#Headers],[Herramientas_de_izaje]],
COUNTIF(Tabla162670114157[Equipos], B208) &gt; 0, Tabla162670114157[[#Headers],[Equipos]],
    TRUE, "Sin clasificación"
)</f>
        <v>Sin clasificación</v>
      </c>
      <c r="I208" s="15"/>
      <c r="J208" s="47"/>
      <c r="K208" s="76"/>
      <c r="L208" s="76"/>
      <c r="M208" s="78" t="str">
        <f>_xlfn.LET(
    _xlpm.itemBuscado, B208,
    _xlpm.areaBuscada, C208,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TEXT(COUNTIF($C$2:C208, _xlpm.areaBuscada), "0000"),
    _xlpm.codItem &amp; "-" &amp; _xlpm.codArea &amp; "-" &amp; _xlpm.secuencia
)</f>
        <v>-SinArea-0000</v>
      </c>
      <c r="N208" s="77"/>
      <c r="O208" s="32"/>
      <c r="P208" s="32"/>
      <c r="Q208" s="32"/>
      <c r="R208" s="32"/>
    </row>
    <row r="209" spans="3:18" x14ac:dyDescent="0.3">
      <c r="C209" s="11"/>
      <c r="D209" s="32"/>
      <c r="E209" s="11" t="str" cm="1">
        <f t="array" ref="E209">_xlfn.IFS(
    COUNTIF(Herramientas_eléctricas1862106149[Herramientas_eléctricas], B209) &gt; 0, Herramientas_eléctricas1862106149[[#Headers],[Herramientas_eléctricas]],
    COUNTIF(Herramientas_neumáticas1963107150[Herramientas_neumáticas], B209) &gt; 0, Herramientas_neumáticas1963107150[[#Headers],[Herramientas_neumáticas]],
    COUNTIF(Herramientas_de_medición2064108151[Herramientas_de_medición], B209) &gt; 0, Herramientas_de_medición2064108151[[#Headers],[Herramientas_de_medición]],
    COUNTIF(Herrramientas_mecánicas2165109152[Herramientas_mecánicas], B209) &gt; 0, Herrramientas_mecánicas2165109152[[#Headers],[Herramientas_mecánicas]],
    COUNTIF(AH209:AH215, B209) &gt; 0, Herramientas_hidráulicas2266110153[[#Headers],[Herramientas_hidráulicas]],
    COUNTIF(EPP_2367111154[SPCC], B209) &gt; 0, EPP_2367111154[[#Headers],[SPCC]],
   COUNTIF(Herramientas_de_izaje2468112155[Herramientas_de_izaje], B209) &gt; 0, Herramientas_de_izaje2468112155[[#Headers],[Herramientas_de_izaje]],
COUNTIF(Tabla162670114157[Equipos], B209) &gt; 0, Tabla162670114157[[#Headers],[Equipos]],
    TRUE, "Sin clasificación"
)</f>
        <v>Sin clasificación</v>
      </c>
      <c r="I209" s="15"/>
      <c r="J209" s="47"/>
      <c r="K209" s="76"/>
      <c r="L209" s="76"/>
      <c r="M209" s="78" t="str">
        <f>_xlfn.LET(
    _xlpm.itemBuscado, B209,
    _xlpm.areaBuscada, C209,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TEXT(COUNTIF($C$2:C209, _xlpm.areaBuscada), "0000"),
    _xlpm.codItem &amp; "-" &amp; _xlpm.codArea &amp; "-" &amp; _xlpm.secuencia
)</f>
        <v>-SinArea-0000</v>
      </c>
      <c r="N209" s="77"/>
      <c r="O209" s="32"/>
      <c r="P209" s="32"/>
      <c r="Q209" s="32"/>
      <c r="R209" s="32"/>
    </row>
    <row r="210" spans="3:18" x14ac:dyDescent="0.3">
      <c r="C210" s="11"/>
      <c r="D210" s="32"/>
      <c r="E210" s="11" t="str" cm="1">
        <f t="array" ref="E210">_xlfn.IFS(
    COUNTIF(Herramientas_eléctricas1862106149[Herramientas_eléctricas], B210) &gt; 0, Herramientas_eléctricas1862106149[[#Headers],[Herramientas_eléctricas]],
    COUNTIF(Herramientas_neumáticas1963107150[Herramientas_neumáticas], B210) &gt; 0, Herramientas_neumáticas1963107150[[#Headers],[Herramientas_neumáticas]],
    COUNTIF(Herramientas_de_medición2064108151[Herramientas_de_medición], B210) &gt; 0, Herramientas_de_medición2064108151[[#Headers],[Herramientas_de_medición]],
    COUNTIF(Herrramientas_mecánicas2165109152[Herramientas_mecánicas], B210) &gt; 0, Herrramientas_mecánicas2165109152[[#Headers],[Herramientas_mecánicas]],
    COUNTIF(AH210:AH216, B210) &gt; 0, Herramientas_hidráulicas2266110153[[#Headers],[Herramientas_hidráulicas]],
    COUNTIF(EPP_2367111154[SPCC], B210) &gt; 0, EPP_2367111154[[#Headers],[SPCC]],
   COUNTIF(Herramientas_de_izaje2468112155[Herramientas_de_izaje], B210) &gt; 0, Herramientas_de_izaje2468112155[[#Headers],[Herramientas_de_izaje]],
COUNTIF(Tabla162670114157[Equipos], B210) &gt; 0, Tabla162670114157[[#Headers],[Equipos]],
    TRUE, "Sin clasificación"
)</f>
        <v>Sin clasificación</v>
      </c>
      <c r="I210" s="15"/>
      <c r="J210" s="47"/>
      <c r="K210" s="76"/>
      <c r="L210" s="76"/>
      <c r="M210" s="78" t="str">
        <f>_xlfn.LET(
    _xlpm.itemBuscado, B210,
    _xlpm.areaBuscada, C210,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TEXT(COUNTIF($C$2:C210, _xlpm.areaBuscada), "0000"),
    _xlpm.codItem &amp; "-" &amp; _xlpm.codArea &amp; "-" &amp; _xlpm.secuencia
)</f>
        <v>-SinArea-0000</v>
      </c>
      <c r="N210" s="77"/>
      <c r="O210" s="32"/>
      <c r="P210" s="32"/>
      <c r="Q210" s="32"/>
      <c r="R210" s="32"/>
    </row>
    <row r="211" spans="3:18" x14ac:dyDescent="0.3">
      <c r="C211" s="11"/>
      <c r="D211" s="32"/>
      <c r="E211" s="11" t="str" cm="1">
        <f t="array" ref="E211">_xlfn.IFS(
    COUNTIF(Herramientas_eléctricas1862106149[Herramientas_eléctricas], B211) &gt; 0, Herramientas_eléctricas1862106149[[#Headers],[Herramientas_eléctricas]],
    COUNTIF(Herramientas_neumáticas1963107150[Herramientas_neumáticas], B211) &gt; 0, Herramientas_neumáticas1963107150[[#Headers],[Herramientas_neumáticas]],
    COUNTIF(Herramientas_de_medición2064108151[Herramientas_de_medición], B211) &gt; 0, Herramientas_de_medición2064108151[[#Headers],[Herramientas_de_medición]],
    COUNTIF(Herrramientas_mecánicas2165109152[Herramientas_mecánicas], B211) &gt; 0, Herrramientas_mecánicas2165109152[[#Headers],[Herramientas_mecánicas]],
    COUNTIF(AH211:AH217, B211) &gt; 0, Herramientas_hidráulicas2266110153[[#Headers],[Herramientas_hidráulicas]],
    COUNTIF(EPP_2367111154[SPCC], B211) &gt; 0, EPP_2367111154[[#Headers],[SPCC]],
   COUNTIF(Herramientas_de_izaje2468112155[Herramientas_de_izaje], B211) &gt; 0, Herramientas_de_izaje2468112155[[#Headers],[Herramientas_de_izaje]],
COUNTIF(Tabla162670114157[Equipos], B211) &gt; 0, Tabla162670114157[[#Headers],[Equipos]],
    TRUE, "Sin clasificación"
)</f>
        <v>Sin clasificación</v>
      </c>
      <c r="I211" s="15"/>
      <c r="J211" s="47"/>
      <c r="K211" s="76"/>
      <c r="L211" s="76"/>
      <c r="M211" s="78" t="str">
        <f>_xlfn.LET(
    _xlpm.itemBuscado, B211,
    _xlpm.areaBuscada, C211,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TEXT(COUNTIF($C$2:C211, _xlpm.areaBuscada), "0000"),
    _xlpm.codItem &amp; "-" &amp; _xlpm.codArea &amp; "-" &amp; _xlpm.secuencia
)</f>
        <v>-SinArea-0000</v>
      </c>
      <c r="N211" s="77"/>
      <c r="O211" s="32"/>
      <c r="P211" s="32"/>
      <c r="Q211" s="32"/>
      <c r="R211" s="32"/>
    </row>
    <row r="212" spans="3:18" x14ac:dyDescent="0.3">
      <c r="C212" s="11"/>
      <c r="D212" s="32"/>
      <c r="E212" s="11" t="str" cm="1">
        <f t="array" ref="E212">_xlfn.IFS(
    COUNTIF(Herramientas_eléctricas1862106149[Herramientas_eléctricas], B212) &gt; 0, Herramientas_eléctricas1862106149[[#Headers],[Herramientas_eléctricas]],
    COUNTIF(Herramientas_neumáticas1963107150[Herramientas_neumáticas], B212) &gt; 0, Herramientas_neumáticas1963107150[[#Headers],[Herramientas_neumáticas]],
    COUNTIF(Herramientas_de_medición2064108151[Herramientas_de_medición], B212) &gt; 0, Herramientas_de_medición2064108151[[#Headers],[Herramientas_de_medición]],
    COUNTIF(Herrramientas_mecánicas2165109152[Herramientas_mecánicas], B212) &gt; 0, Herrramientas_mecánicas2165109152[[#Headers],[Herramientas_mecánicas]],
    COUNTIF(AH212:AH218, B212) &gt; 0, Herramientas_hidráulicas2266110153[[#Headers],[Herramientas_hidráulicas]],
    COUNTIF(EPP_2367111154[SPCC], B212) &gt; 0, EPP_2367111154[[#Headers],[SPCC]],
   COUNTIF(Herramientas_de_izaje2468112155[Herramientas_de_izaje], B212) &gt; 0, Herramientas_de_izaje2468112155[[#Headers],[Herramientas_de_izaje]],
COUNTIF(Tabla162670114157[Equipos], B212) &gt; 0, Tabla162670114157[[#Headers],[Equipos]],
    TRUE, "Sin clasificación"
)</f>
        <v>Sin clasificación</v>
      </c>
      <c r="I212" s="15"/>
      <c r="J212" s="47"/>
      <c r="K212" s="76"/>
      <c r="L212" s="76"/>
      <c r="M212" s="78" t="str">
        <f>_xlfn.LET(
    _xlpm.itemBuscado, B212,
    _xlpm.areaBuscada, C212,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TEXT(COUNTIF($C$2:C212, _xlpm.areaBuscada), "0000"),
    _xlpm.codItem &amp; "-" &amp; _xlpm.codArea &amp; "-" &amp; _xlpm.secuencia
)</f>
        <v>-SinArea-0000</v>
      </c>
      <c r="N212" s="77"/>
      <c r="O212" s="32"/>
      <c r="P212" s="32"/>
      <c r="Q212" s="32"/>
      <c r="R212" s="32"/>
    </row>
    <row r="213" spans="3:18" x14ac:dyDescent="0.3">
      <c r="C213" s="11"/>
      <c r="D213" s="32"/>
      <c r="E213" s="11" t="str" cm="1">
        <f t="array" ref="E213">_xlfn.IFS(
    COUNTIF(Herramientas_eléctricas1862106149[Herramientas_eléctricas], B213) &gt; 0, Herramientas_eléctricas1862106149[[#Headers],[Herramientas_eléctricas]],
    COUNTIF(Herramientas_neumáticas1963107150[Herramientas_neumáticas], B213) &gt; 0, Herramientas_neumáticas1963107150[[#Headers],[Herramientas_neumáticas]],
    COUNTIF(Herramientas_de_medición2064108151[Herramientas_de_medición], B213) &gt; 0, Herramientas_de_medición2064108151[[#Headers],[Herramientas_de_medición]],
    COUNTIF(Herrramientas_mecánicas2165109152[Herramientas_mecánicas], B213) &gt; 0, Herrramientas_mecánicas2165109152[[#Headers],[Herramientas_mecánicas]],
    COUNTIF(AH213:AH219, B213) &gt; 0, Herramientas_hidráulicas2266110153[[#Headers],[Herramientas_hidráulicas]],
    COUNTIF(EPP_2367111154[SPCC], B213) &gt; 0, EPP_2367111154[[#Headers],[SPCC]],
   COUNTIF(Herramientas_de_izaje2468112155[Herramientas_de_izaje], B213) &gt; 0, Herramientas_de_izaje2468112155[[#Headers],[Herramientas_de_izaje]],
COUNTIF(Tabla162670114157[Equipos], B213) &gt; 0, Tabla162670114157[[#Headers],[Equipos]],
    TRUE, "Sin clasificación"
)</f>
        <v>Sin clasificación</v>
      </c>
      <c r="I213" s="15"/>
      <c r="J213" s="47"/>
      <c r="K213" s="76"/>
      <c r="L213" s="76"/>
      <c r="M213" s="78" t="str">
        <f>_xlfn.LET(
    _xlpm.itemBuscado, B213,
    _xlpm.areaBuscada, C213,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TEXT(COUNTIF($C$2:C213, _xlpm.areaBuscada), "0000"),
    _xlpm.codItem &amp; "-" &amp; _xlpm.codArea &amp; "-" &amp; _xlpm.secuencia
)</f>
        <v>-SinArea-0000</v>
      </c>
      <c r="N213" s="77"/>
      <c r="O213" s="32"/>
      <c r="P213" s="32"/>
      <c r="Q213" s="32"/>
      <c r="R213" s="32"/>
    </row>
    <row r="214" spans="3:18" x14ac:dyDescent="0.3">
      <c r="C214" s="11"/>
      <c r="D214" s="32"/>
      <c r="E214" s="11" t="str" cm="1">
        <f t="array" ref="E214">_xlfn.IFS(
    COUNTIF(Herramientas_eléctricas1862106149[Herramientas_eléctricas], B214) &gt; 0, Herramientas_eléctricas1862106149[[#Headers],[Herramientas_eléctricas]],
    COUNTIF(Herramientas_neumáticas1963107150[Herramientas_neumáticas], B214) &gt; 0, Herramientas_neumáticas1963107150[[#Headers],[Herramientas_neumáticas]],
    COUNTIF(Herramientas_de_medición2064108151[Herramientas_de_medición], B214) &gt; 0, Herramientas_de_medición2064108151[[#Headers],[Herramientas_de_medición]],
    COUNTIF(Herrramientas_mecánicas2165109152[Herramientas_mecánicas], B214) &gt; 0, Herrramientas_mecánicas2165109152[[#Headers],[Herramientas_mecánicas]],
    COUNTIF(AH214:AH220, B214) &gt; 0, Herramientas_hidráulicas2266110153[[#Headers],[Herramientas_hidráulicas]],
    COUNTIF(EPP_2367111154[SPCC], B214) &gt; 0, EPP_2367111154[[#Headers],[SPCC]],
   COUNTIF(Herramientas_de_izaje2468112155[Herramientas_de_izaje], B214) &gt; 0, Herramientas_de_izaje2468112155[[#Headers],[Herramientas_de_izaje]],
COUNTIF(Tabla162670114157[Equipos], B214) &gt; 0, Tabla162670114157[[#Headers],[Equipos]],
    TRUE, "Sin clasificación"
)</f>
        <v>Sin clasificación</v>
      </c>
      <c r="I214" s="15"/>
      <c r="J214" s="47"/>
      <c r="K214" s="76"/>
      <c r="L214" s="76"/>
      <c r="M214" s="78" t="str">
        <f>_xlfn.LET(
    _xlpm.itemBuscado, B214,
    _xlpm.areaBuscada, C214,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TEXT(COUNTIF($C$2:C214, _xlpm.areaBuscada), "0000"),
    _xlpm.codItem &amp; "-" &amp; _xlpm.codArea &amp; "-" &amp; _xlpm.secuencia
)</f>
        <v>-SinArea-0000</v>
      </c>
      <c r="N214" s="77"/>
      <c r="O214" s="32"/>
      <c r="P214" s="32"/>
      <c r="Q214" s="32"/>
      <c r="R214" s="32"/>
    </row>
    <row r="215" spans="3:18" x14ac:dyDescent="0.3">
      <c r="C215" s="11"/>
      <c r="D215" s="32"/>
      <c r="E215" s="11" t="str" cm="1">
        <f t="array" ref="E215">_xlfn.IFS(
    COUNTIF(Herramientas_eléctricas1862106149[Herramientas_eléctricas], B215) &gt; 0, Herramientas_eléctricas1862106149[[#Headers],[Herramientas_eléctricas]],
    COUNTIF(Herramientas_neumáticas1963107150[Herramientas_neumáticas], B215) &gt; 0, Herramientas_neumáticas1963107150[[#Headers],[Herramientas_neumáticas]],
    COUNTIF(Herramientas_de_medición2064108151[Herramientas_de_medición], B215) &gt; 0, Herramientas_de_medición2064108151[[#Headers],[Herramientas_de_medición]],
    COUNTIF(Herrramientas_mecánicas2165109152[Herramientas_mecánicas], B215) &gt; 0, Herrramientas_mecánicas2165109152[[#Headers],[Herramientas_mecánicas]],
    COUNTIF(AH215:AH221, B215) &gt; 0, Herramientas_hidráulicas2266110153[[#Headers],[Herramientas_hidráulicas]],
    COUNTIF(EPP_2367111154[SPCC], B215) &gt; 0, EPP_2367111154[[#Headers],[SPCC]],
   COUNTIF(Herramientas_de_izaje2468112155[Herramientas_de_izaje], B215) &gt; 0, Herramientas_de_izaje2468112155[[#Headers],[Herramientas_de_izaje]],
COUNTIF(Tabla162670114157[Equipos], B215) &gt; 0, Tabla162670114157[[#Headers],[Equipos]],
    TRUE, "Sin clasificación"
)</f>
        <v>Sin clasificación</v>
      </c>
      <c r="I215" s="15"/>
      <c r="J215" s="47"/>
      <c r="K215" s="76"/>
      <c r="L215" s="76"/>
      <c r="M215" s="78" t="str">
        <f>_xlfn.LET(
    _xlpm.itemBuscado, B215,
    _xlpm.areaBuscada, C215,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TEXT(COUNTIF($C$2:C215, _xlpm.areaBuscada), "0000"),
    _xlpm.codItem &amp; "-" &amp; _xlpm.codArea &amp; "-" &amp; _xlpm.secuencia
)</f>
        <v>-SinArea-0000</v>
      </c>
      <c r="N215" s="77"/>
      <c r="O215" s="32"/>
      <c r="P215" s="32"/>
      <c r="Q215" s="32"/>
      <c r="R215" s="32"/>
    </row>
    <row r="216" spans="3:18" x14ac:dyDescent="0.3">
      <c r="C216" s="11"/>
      <c r="D216" s="32"/>
      <c r="E216" s="11" t="str" cm="1">
        <f t="array" ref="E216">_xlfn.IFS(
    COUNTIF(Herramientas_eléctricas1862106149[Herramientas_eléctricas], B216) &gt; 0, Herramientas_eléctricas1862106149[[#Headers],[Herramientas_eléctricas]],
    COUNTIF(Herramientas_neumáticas1963107150[Herramientas_neumáticas], B216) &gt; 0, Herramientas_neumáticas1963107150[[#Headers],[Herramientas_neumáticas]],
    COUNTIF(Herramientas_de_medición2064108151[Herramientas_de_medición], B216) &gt; 0, Herramientas_de_medición2064108151[[#Headers],[Herramientas_de_medición]],
    COUNTIF(Herrramientas_mecánicas2165109152[Herramientas_mecánicas], B216) &gt; 0, Herrramientas_mecánicas2165109152[[#Headers],[Herramientas_mecánicas]],
    COUNTIF(AH216:AH222, B216) &gt; 0, Herramientas_hidráulicas2266110153[[#Headers],[Herramientas_hidráulicas]],
    COUNTIF(EPP_2367111154[SPCC], B216) &gt; 0, EPP_2367111154[[#Headers],[SPCC]],
   COUNTIF(Herramientas_de_izaje2468112155[Herramientas_de_izaje], B216) &gt; 0, Herramientas_de_izaje2468112155[[#Headers],[Herramientas_de_izaje]],
COUNTIF(Tabla162670114157[Equipos], B216) &gt; 0, Tabla162670114157[[#Headers],[Equipos]],
    TRUE, "Sin clasificación"
)</f>
        <v>Sin clasificación</v>
      </c>
      <c r="I216" s="15"/>
      <c r="J216" s="47"/>
      <c r="K216" s="76"/>
      <c r="L216" s="76"/>
      <c r="M216" s="78" t="str">
        <f>_xlfn.LET(
    _xlpm.itemBuscado, B216,
    _xlpm.areaBuscada, C216,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TEXT(COUNTIF($C$2:C216, _xlpm.areaBuscada), "0000"),
    _xlpm.codItem &amp; "-" &amp; _xlpm.codArea &amp; "-" &amp; _xlpm.secuencia
)</f>
        <v>-SinArea-0000</v>
      </c>
      <c r="N216" s="77"/>
      <c r="O216" s="32"/>
      <c r="P216" s="32"/>
      <c r="Q216" s="32"/>
      <c r="R216" s="32"/>
    </row>
    <row r="217" spans="3:18" x14ac:dyDescent="0.3">
      <c r="C217" s="11"/>
      <c r="D217" s="32"/>
      <c r="E217" s="11" t="str" cm="1">
        <f t="array" ref="E217">_xlfn.IFS(
    COUNTIF(Herramientas_eléctricas1862106149[Herramientas_eléctricas], B217) &gt; 0, Herramientas_eléctricas1862106149[[#Headers],[Herramientas_eléctricas]],
    COUNTIF(Herramientas_neumáticas1963107150[Herramientas_neumáticas], B217) &gt; 0, Herramientas_neumáticas1963107150[[#Headers],[Herramientas_neumáticas]],
    COUNTIF(Herramientas_de_medición2064108151[Herramientas_de_medición], B217) &gt; 0, Herramientas_de_medición2064108151[[#Headers],[Herramientas_de_medición]],
    COUNTIF(Herrramientas_mecánicas2165109152[Herramientas_mecánicas], B217) &gt; 0, Herrramientas_mecánicas2165109152[[#Headers],[Herramientas_mecánicas]],
    COUNTIF(AH217:AH223, B217) &gt; 0, Herramientas_hidráulicas2266110153[[#Headers],[Herramientas_hidráulicas]],
    COUNTIF(EPP_2367111154[SPCC], B217) &gt; 0, EPP_2367111154[[#Headers],[SPCC]],
   COUNTIF(Herramientas_de_izaje2468112155[Herramientas_de_izaje], B217) &gt; 0, Herramientas_de_izaje2468112155[[#Headers],[Herramientas_de_izaje]],
COUNTIF(Tabla162670114157[Equipos], B217) &gt; 0, Tabla162670114157[[#Headers],[Equipos]],
    TRUE, "Sin clasificación"
)</f>
        <v>Sin clasificación</v>
      </c>
      <c r="I217" s="15"/>
      <c r="J217" s="47"/>
      <c r="K217" s="76"/>
      <c r="L217" s="76"/>
      <c r="M217" s="78" t="str">
        <f>_xlfn.LET(
    _xlpm.itemBuscado, B217,
    _xlpm.areaBuscada, C217,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TEXT(COUNTIF($C$2:C217, _xlpm.areaBuscada), "0000"),
    _xlpm.codItem &amp; "-" &amp; _xlpm.codArea &amp; "-" &amp; _xlpm.secuencia
)</f>
        <v>-SinArea-0000</v>
      </c>
      <c r="N217" s="77"/>
      <c r="O217" s="32"/>
      <c r="P217" s="32"/>
      <c r="Q217" s="32"/>
      <c r="R217" s="32"/>
    </row>
    <row r="218" spans="3:18" x14ac:dyDescent="0.3">
      <c r="C218" s="11"/>
      <c r="D218" s="32"/>
      <c r="E218" s="11" t="str" cm="1">
        <f t="array" ref="E218">_xlfn.IFS(
    COUNTIF(Herramientas_eléctricas1862106149[Herramientas_eléctricas], B218) &gt; 0, Herramientas_eléctricas1862106149[[#Headers],[Herramientas_eléctricas]],
    COUNTIF(Herramientas_neumáticas1963107150[Herramientas_neumáticas], B218) &gt; 0, Herramientas_neumáticas1963107150[[#Headers],[Herramientas_neumáticas]],
    COUNTIF(Herramientas_de_medición2064108151[Herramientas_de_medición], B218) &gt; 0, Herramientas_de_medición2064108151[[#Headers],[Herramientas_de_medición]],
    COUNTIF(Herrramientas_mecánicas2165109152[Herramientas_mecánicas], B218) &gt; 0, Herrramientas_mecánicas2165109152[[#Headers],[Herramientas_mecánicas]],
    COUNTIF(AH218:AH224, B218) &gt; 0, Herramientas_hidráulicas2266110153[[#Headers],[Herramientas_hidráulicas]],
    COUNTIF(EPP_2367111154[SPCC], B218) &gt; 0, EPP_2367111154[[#Headers],[SPCC]],
   COUNTIF(Herramientas_de_izaje2468112155[Herramientas_de_izaje], B218) &gt; 0, Herramientas_de_izaje2468112155[[#Headers],[Herramientas_de_izaje]],
COUNTIF(Tabla162670114157[Equipos], B218) &gt; 0, Tabla162670114157[[#Headers],[Equipos]],
    TRUE, "Sin clasificación"
)</f>
        <v>Sin clasificación</v>
      </c>
      <c r="I218" s="15"/>
      <c r="J218" s="47"/>
      <c r="K218" s="76"/>
      <c r="L218" s="76"/>
      <c r="M218" s="78" t="str">
        <f>_xlfn.LET(
    _xlpm.itemBuscado, B218,
    _xlpm.areaBuscada, C218,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TEXT(COUNTIF($C$2:C218, _xlpm.areaBuscada), "0000"),
    _xlpm.codItem &amp; "-" &amp; _xlpm.codArea &amp; "-" &amp; _xlpm.secuencia
)</f>
        <v>-SinArea-0000</v>
      </c>
      <c r="N218" s="77"/>
      <c r="O218" s="32"/>
      <c r="P218" s="32"/>
      <c r="Q218" s="32"/>
      <c r="R218" s="32"/>
    </row>
    <row r="219" spans="3:18" x14ac:dyDescent="0.3">
      <c r="C219" s="11"/>
      <c r="D219" s="32"/>
      <c r="E219" s="11" t="str" cm="1">
        <f t="array" ref="E219">_xlfn.IFS(
    COUNTIF(Herramientas_eléctricas1862106149[Herramientas_eléctricas], B219) &gt; 0, Herramientas_eléctricas1862106149[[#Headers],[Herramientas_eléctricas]],
    COUNTIF(Herramientas_neumáticas1963107150[Herramientas_neumáticas], B219) &gt; 0, Herramientas_neumáticas1963107150[[#Headers],[Herramientas_neumáticas]],
    COUNTIF(Herramientas_de_medición2064108151[Herramientas_de_medición], B219) &gt; 0, Herramientas_de_medición2064108151[[#Headers],[Herramientas_de_medición]],
    COUNTIF(Herrramientas_mecánicas2165109152[Herramientas_mecánicas], B219) &gt; 0, Herrramientas_mecánicas2165109152[[#Headers],[Herramientas_mecánicas]],
    COUNTIF(AH219:AH225, B219) &gt; 0, Herramientas_hidráulicas2266110153[[#Headers],[Herramientas_hidráulicas]],
    COUNTIF(EPP_2367111154[SPCC], B219) &gt; 0, EPP_2367111154[[#Headers],[SPCC]],
   COUNTIF(Herramientas_de_izaje2468112155[Herramientas_de_izaje], B219) &gt; 0, Herramientas_de_izaje2468112155[[#Headers],[Herramientas_de_izaje]],
COUNTIF(Tabla162670114157[Equipos], B219) &gt; 0, Tabla162670114157[[#Headers],[Equipos]],
    TRUE, "Sin clasificación"
)</f>
        <v>Sin clasificación</v>
      </c>
      <c r="I219" s="15"/>
      <c r="J219" s="47"/>
      <c r="K219" s="76"/>
      <c r="L219" s="76"/>
      <c r="M219" s="78" t="str">
        <f>_xlfn.LET(
    _xlpm.itemBuscado, B219,
    _xlpm.areaBuscada, C219,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TEXT(COUNTIF($C$2:C219, _xlpm.areaBuscada), "0000"),
    _xlpm.codItem &amp; "-" &amp; _xlpm.codArea &amp; "-" &amp; _xlpm.secuencia
)</f>
        <v>-SinArea-0000</v>
      </c>
      <c r="N219" s="77"/>
      <c r="O219" s="32"/>
      <c r="P219" s="32"/>
      <c r="Q219" s="32"/>
      <c r="R219" s="32"/>
    </row>
    <row r="220" spans="3:18" x14ac:dyDescent="0.3">
      <c r="C220" s="11"/>
      <c r="D220" s="32"/>
      <c r="E220" s="11" t="str" cm="1">
        <f t="array" ref="E220">_xlfn.IFS(
    COUNTIF(Herramientas_eléctricas1862106149[Herramientas_eléctricas], B220) &gt; 0, Herramientas_eléctricas1862106149[[#Headers],[Herramientas_eléctricas]],
    COUNTIF(Herramientas_neumáticas1963107150[Herramientas_neumáticas], B220) &gt; 0, Herramientas_neumáticas1963107150[[#Headers],[Herramientas_neumáticas]],
    COUNTIF(Herramientas_de_medición2064108151[Herramientas_de_medición], B220) &gt; 0, Herramientas_de_medición2064108151[[#Headers],[Herramientas_de_medición]],
    COUNTIF(Herrramientas_mecánicas2165109152[Herramientas_mecánicas], B220) &gt; 0, Herrramientas_mecánicas2165109152[[#Headers],[Herramientas_mecánicas]],
    COUNTIF(AH220:AH226, B220) &gt; 0, Herramientas_hidráulicas2266110153[[#Headers],[Herramientas_hidráulicas]],
    COUNTIF(EPP_2367111154[SPCC], B220) &gt; 0, EPP_2367111154[[#Headers],[SPCC]],
   COUNTIF(Herramientas_de_izaje2468112155[Herramientas_de_izaje], B220) &gt; 0, Herramientas_de_izaje2468112155[[#Headers],[Herramientas_de_izaje]],
COUNTIF(Tabla162670114157[Equipos], B220) &gt; 0, Tabla162670114157[[#Headers],[Equipos]],
    TRUE, "Sin clasificación"
)</f>
        <v>Sin clasificación</v>
      </c>
      <c r="I220" s="15"/>
      <c r="J220" s="47"/>
      <c r="K220" s="76"/>
      <c r="L220" s="76"/>
      <c r="M220" s="78" t="str">
        <f>_xlfn.LET(
    _xlpm.itemBuscado, B220,
    _xlpm.areaBuscada, C220,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TEXT(COUNTIF($C$2:C220, _xlpm.areaBuscada), "0000"),
    _xlpm.codItem &amp; "-" &amp; _xlpm.codArea &amp; "-" &amp; _xlpm.secuencia
)</f>
        <v>-SinArea-0000</v>
      </c>
      <c r="N220" s="77"/>
      <c r="O220" s="32"/>
      <c r="P220" s="32"/>
      <c r="Q220" s="32"/>
      <c r="R220" s="32"/>
    </row>
    <row r="221" spans="3:18" x14ac:dyDescent="0.3">
      <c r="C221" s="11"/>
      <c r="D221" s="32"/>
      <c r="E221" s="11" t="str" cm="1">
        <f t="array" ref="E221">_xlfn.IFS(
    COUNTIF(Herramientas_eléctricas1862106149[Herramientas_eléctricas], B221) &gt; 0, Herramientas_eléctricas1862106149[[#Headers],[Herramientas_eléctricas]],
    COUNTIF(Herramientas_neumáticas1963107150[Herramientas_neumáticas], B221) &gt; 0, Herramientas_neumáticas1963107150[[#Headers],[Herramientas_neumáticas]],
    COUNTIF(Herramientas_de_medición2064108151[Herramientas_de_medición], B221) &gt; 0, Herramientas_de_medición2064108151[[#Headers],[Herramientas_de_medición]],
    COUNTIF(Herrramientas_mecánicas2165109152[Herramientas_mecánicas], B221) &gt; 0, Herrramientas_mecánicas2165109152[[#Headers],[Herramientas_mecánicas]],
    COUNTIF(AH221:AH227, B221) &gt; 0, Herramientas_hidráulicas2266110153[[#Headers],[Herramientas_hidráulicas]],
    COUNTIF(EPP_2367111154[SPCC], B221) &gt; 0, EPP_2367111154[[#Headers],[SPCC]],
   COUNTIF(Herramientas_de_izaje2468112155[Herramientas_de_izaje], B221) &gt; 0, Herramientas_de_izaje2468112155[[#Headers],[Herramientas_de_izaje]],
COUNTIF(Tabla162670114157[Equipos], B221) &gt; 0, Tabla162670114157[[#Headers],[Equipos]],
    TRUE, "Sin clasificación"
)</f>
        <v>Sin clasificación</v>
      </c>
      <c r="I221" s="15"/>
      <c r="J221" s="47"/>
      <c r="K221" s="76"/>
      <c r="L221" s="76"/>
      <c r="M221" s="78" t="str">
        <f>_xlfn.LET(
    _xlpm.itemBuscado, B221,
    _xlpm.areaBuscada, C221,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TEXT(COUNTIF($C$2:C221, _xlpm.areaBuscada), "0000"),
    _xlpm.codItem &amp; "-" &amp; _xlpm.codArea &amp; "-" &amp; _xlpm.secuencia
)</f>
        <v>-SinArea-0000</v>
      </c>
      <c r="N221" s="77"/>
      <c r="O221" s="32"/>
      <c r="P221" s="32"/>
      <c r="Q221" s="32"/>
      <c r="R221" s="32"/>
    </row>
    <row r="222" spans="3:18" x14ac:dyDescent="0.3">
      <c r="C222" s="11"/>
      <c r="D222" s="32"/>
      <c r="E222" s="11" t="str" cm="1">
        <f t="array" ref="E222">_xlfn.IFS(
    COUNTIF(Herramientas_eléctricas1862106149[Herramientas_eléctricas], B222) &gt; 0, Herramientas_eléctricas1862106149[[#Headers],[Herramientas_eléctricas]],
    COUNTIF(Herramientas_neumáticas1963107150[Herramientas_neumáticas], B222) &gt; 0, Herramientas_neumáticas1963107150[[#Headers],[Herramientas_neumáticas]],
    COUNTIF(Herramientas_de_medición2064108151[Herramientas_de_medición], B222) &gt; 0, Herramientas_de_medición2064108151[[#Headers],[Herramientas_de_medición]],
    COUNTIF(Herrramientas_mecánicas2165109152[Herramientas_mecánicas], B222) &gt; 0, Herrramientas_mecánicas2165109152[[#Headers],[Herramientas_mecánicas]],
    COUNTIF(AH222:AH228, B222) &gt; 0, Herramientas_hidráulicas2266110153[[#Headers],[Herramientas_hidráulicas]],
    COUNTIF(EPP_2367111154[SPCC], B222) &gt; 0, EPP_2367111154[[#Headers],[SPCC]],
   COUNTIF(Herramientas_de_izaje2468112155[Herramientas_de_izaje], B222) &gt; 0, Herramientas_de_izaje2468112155[[#Headers],[Herramientas_de_izaje]],
COUNTIF(Tabla162670114157[Equipos], B222) &gt; 0, Tabla162670114157[[#Headers],[Equipos]],
    TRUE, "Sin clasificación"
)</f>
        <v>Sin clasificación</v>
      </c>
      <c r="I222" s="15"/>
      <c r="J222" s="47"/>
      <c r="K222" s="76"/>
      <c r="L222" s="76"/>
      <c r="M222" s="78" t="str">
        <f>_xlfn.LET(
    _xlpm.itemBuscado, B222,
    _xlpm.areaBuscada, C222,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TEXT(COUNTIF($C$2:C222, _xlpm.areaBuscada), "0000"),
    _xlpm.codItem &amp; "-" &amp; _xlpm.codArea &amp; "-" &amp; _xlpm.secuencia
)</f>
        <v>-SinArea-0000</v>
      </c>
      <c r="N222" s="77"/>
      <c r="O222" s="32"/>
      <c r="P222" s="32"/>
      <c r="Q222" s="32"/>
      <c r="R222" s="32"/>
    </row>
    <row r="223" spans="3:18" x14ac:dyDescent="0.3">
      <c r="C223" s="11"/>
      <c r="D223" s="32"/>
      <c r="E223" s="11" t="str" cm="1">
        <f t="array" ref="E223">_xlfn.IFS(
    COUNTIF(Herramientas_eléctricas1862106149[Herramientas_eléctricas], B223) &gt; 0, Herramientas_eléctricas1862106149[[#Headers],[Herramientas_eléctricas]],
    COUNTIF(Herramientas_neumáticas1963107150[Herramientas_neumáticas], B223) &gt; 0, Herramientas_neumáticas1963107150[[#Headers],[Herramientas_neumáticas]],
    COUNTIF(Herramientas_de_medición2064108151[Herramientas_de_medición], B223) &gt; 0, Herramientas_de_medición2064108151[[#Headers],[Herramientas_de_medición]],
    COUNTIF(Herrramientas_mecánicas2165109152[Herramientas_mecánicas], B223) &gt; 0, Herrramientas_mecánicas2165109152[[#Headers],[Herramientas_mecánicas]],
    COUNTIF(AH223:AH229, B223) &gt; 0, Herramientas_hidráulicas2266110153[[#Headers],[Herramientas_hidráulicas]],
    COUNTIF(EPP_2367111154[SPCC], B223) &gt; 0, EPP_2367111154[[#Headers],[SPCC]],
   COUNTIF(Herramientas_de_izaje2468112155[Herramientas_de_izaje], B223) &gt; 0, Herramientas_de_izaje2468112155[[#Headers],[Herramientas_de_izaje]],
COUNTIF(Tabla162670114157[Equipos], B223) &gt; 0, Tabla162670114157[[#Headers],[Equipos]],
    TRUE, "Sin clasificación"
)</f>
        <v>Sin clasificación</v>
      </c>
      <c r="I223" s="15"/>
      <c r="J223" s="47"/>
      <c r="K223" s="76"/>
      <c r="L223" s="76"/>
      <c r="M223" s="78" t="str">
        <f>_xlfn.LET(
    _xlpm.itemBuscado, B223,
    _xlpm.areaBuscada, C223,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TEXT(COUNTIF($C$2:C223, _xlpm.areaBuscada), "0000"),
    _xlpm.codItem &amp; "-" &amp; _xlpm.codArea &amp; "-" &amp; _xlpm.secuencia
)</f>
        <v>-SinArea-0000</v>
      </c>
      <c r="N223" s="77"/>
      <c r="O223" s="32"/>
      <c r="P223" s="32"/>
      <c r="Q223" s="32"/>
      <c r="R223" s="32"/>
    </row>
    <row r="224" spans="3:18" x14ac:dyDescent="0.3">
      <c r="C224" s="11"/>
      <c r="D224" s="32"/>
      <c r="E224" s="11" t="str" cm="1">
        <f t="array" ref="E224">_xlfn.IFS(
    COUNTIF(Herramientas_eléctricas1862106149[Herramientas_eléctricas], B224) &gt; 0, Herramientas_eléctricas1862106149[[#Headers],[Herramientas_eléctricas]],
    COUNTIF(Herramientas_neumáticas1963107150[Herramientas_neumáticas], B224) &gt; 0, Herramientas_neumáticas1963107150[[#Headers],[Herramientas_neumáticas]],
    COUNTIF(Herramientas_de_medición2064108151[Herramientas_de_medición], B224) &gt; 0, Herramientas_de_medición2064108151[[#Headers],[Herramientas_de_medición]],
    COUNTIF(Herrramientas_mecánicas2165109152[Herramientas_mecánicas], B224) &gt; 0, Herrramientas_mecánicas2165109152[[#Headers],[Herramientas_mecánicas]],
    COUNTIF(AH224:AH230, B224) &gt; 0, Herramientas_hidráulicas2266110153[[#Headers],[Herramientas_hidráulicas]],
    COUNTIF(EPP_2367111154[SPCC], B224) &gt; 0, EPP_2367111154[[#Headers],[SPCC]],
   COUNTIF(Herramientas_de_izaje2468112155[Herramientas_de_izaje], B224) &gt; 0, Herramientas_de_izaje2468112155[[#Headers],[Herramientas_de_izaje]],
COUNTIF(Tabla162670114157[Equipos], B224) &gt; 0, Tabla162670114157[[#Headers],[Equipos]],
    TRUE, "Sin clasificación"
)</f>
        <v>Sin clasificación</v>
      </c>
      <c r="I224" s="15"/>
      <c r="J224" s="47"/>
      <c r="K224" s="76"/>
      <c r="L224" s="76"/>
      <c r="M224" s="78" t="str">
        <f>_xlfn.LET(
    _xlpm.itemBuscado, B224,
    _xlpm.areaBuscada, C224,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TEXT(COUNTIF($C$2:C224, _xlpm.areaBuscada), "0000"),
    _xlpm.codItem &amp; "-" &amp; _xlpm.codArea &amp; "-" &amp; _xlpm.secuencia
)</f>
        <v>-SinArea-0000</v>
      </c>
      <c r="N224" s="77"/>
      <c r="O224" s="32"/>
      <c r="P224" s="32"/>
      <c r="Q224" s="32"/>
      <c r="R224" s="32"/>
    </row>
    <row r="225" spans="3:18" x14ac:dyDescent="0.3">
      <c r="C225" s="11"/>
      <c r="D225" s="32"/>
      <c r="E225" s="11" t="str" cm="1">
        <f t="array" ref="E225">_xlfn.IFS(
    COUNTIF(Herramientas_eléctricas1862106149[Herramientas_eléctricas], B225) &gt; 0, Herramientas_eléctricas1862106149[[#Headers],[Herramientas_eléctricas]],
    COUNTIF(Herramientas_neumáticas1963107150[Herramientas_neumáticas], B225) &gt; 0, Herramientas_neumáticas1963107150[[#Headers],[Herramientas_neumáticas]],
    COUNTIF(Herramientas_de_medición2064108151[Herramientas_de_medición], B225) &gt; 0, Herramientas_de_medición2064108151[[#Headers],[Herramientas_de_medición]],
    COUNTIF(Herrramientas_mecánicas2165109152[Herramientas_mecánicas], B225) &gt; 0, Herrramientas_mecánicas2165109152[[#Headers],[Herramientas_mecánicas]],
    COUNTIF(AH225:AH231, B225) &gt; 0, Herramientas_hidráulicas2266110153[[#Headers],[Herramientas_hidráulicas]],
    COUNTIF(EPP_2367111154[SPCC], B225) &gt; 0, EPP_2367111154[[#Headers],[SPCC]],
   COUNTIF(Herramientas_de_izaje2468112155[Herramientas_de_izaje], B225) &gt; 0, Herramientas_de_izaje2468112155[[#Headers],[Herramientas_de_izaje]],
COUNTIF(Tabla162670114157[Equipos], B225) &gt; 0, Tabla162670114157[[#Headers],[Equipos]],
    TRUE, "Sin clasificación"
)</f>
        <v>Sin clasificación</v>
      </c>
      <c r="I225" s="15"/>
      <c r="J225" s="47"/>
      <c r="K225" s="76"/>
      <c r="L225" s="76"/>
      <c r="M225" s="78" t="str">
        <f>_xlfn.LET(
    _xlpm.itemBuscado, B225,
    _xlpm.areaBuscada, C225,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TEXT(COUNTIF($C$2:C225, _xlpm.areaBuscada), "0000"),
    _xlpm.codItem &amp; "-" &amp; _xlpm.codArea &amp; "-" &amp; _xlpm.secuencia
)</f>
        <v>-SinArea-0000</v>
      </c>
      <c r="N225" s="77"/>
      <c r="O225" s="32"/>
      <c r="P225" s="32"/>
      <c r="Q225" s="32"/>
      <c r="R225" s="32"/>
    </row>
    <row r="226" spans="3:18" x14ac:dyDescent="0.3">
      <c r="C226" s="11"/>
      <c r="D226" s="32"/>
      <c r="E226" s="11" t="str" cm="1">
        <f t="array" ref="E226">_xlfn.IFS(
    COUNTIF(Herramientas_eléctricas1862106149[Herramientas_eléctricas], B226) &gt; 0, Herramientas_eléctricas1862106149[[#Headers],[Herramientas_eléctricas]],
    COUNTIF(Herramientas_neumáticas1963107150[Herramientas_neumáticas], B226) &gt; 0, Herramientas_neumáticas1963107150[[#Headers],[Herramientas_neumáticas]],
    COUNTIF(Herramientas_de_medición2064108151[Herramientas_de_medición], B226) &gt; 0, Herramientas_de_medición2064108151[[#Headers],[Herramientas_de_medición]],
    COUNTIF(Herrramientas_mecánicas2165109152[Herramientas_mecánicas], B226) &gt; 0, Herrramientas_mecánicas2165109152[[#Headers],[Herramientas_mecánicas]],
    COUNTIF(AH226:AH232, B226) &gt; 0, Herramientas_hidráulicas2266110153[[#Headers],[Herramientas_hidráulicas]],
    COUNTIF(EPP_2367111154[SPCC], B226) &gt; 0, EPP_2367111154[[#Headers],[SPCC]],
   COUNTIF(Herramientas_de_izaje2468112155[Herramientas_de_izaje], B226) &gt; 0, Herramientas_de_izaje2468112155[[#Headers],[Herramientas_de_izaje]],
COUNTIF(Tabla162670114157[Equipos], B226) &gt; 0, Tabla162670114157[[#Headers],[Equipos]],
    TRUE, "Sin clasificación"
)</f>
        <v>Sin clasificación</v>
      </c>
      <c r="I226" s="15"/>
      <c r="J226" s="47"/>
      <c r="K226" s="76"/>
      <c r="L226" s="76"/>
      <c r="M226" s="78" t="str">
        <f>_xlfn.LET(
    _xlpm.itemBuscado, B226,
    _xlpm.areaBuscada, C226,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TEXT(COUNTIF($C$2:C226, _xlpm.areaBuscada), "0000"),
    _xlpm.codItem &amp; "-" &amp; _xlpm.codArea &amp; "-" &amp; _xlpm.secuencia
)</f>
        <v>-SinArea-0000</v>
      </c>
      <c r="N226" s="77"/>
      <c r="O226" s="32"/>
      <c r="P226" s="32"/>
      <c r="Q226" s="32"/>
      <c r="R226" s="32"/>
    </row>
    <row r="227" spans="3:18" x14ac:dyDescent="0.3">
      <c r="C227" s="11"/>
      <c r="D227" s="32"/>
      <c r="E227" s="11" t="str" cm="1">
        <f t="array" ref="E227">_xlfn.IFS(
    COUNTIF(Herramientas_eléctricas1862106149[Herramientas_eléctricas], B227) &gt; 0, Herramientas_eléctricas1862106149[[#Headers],[Herramientas_eléctricas]],
    COUNTIF(Herramientas_neumáticas1963107150[Herramientas_neumáticas], B227) &gt; 0, Herramientas_neumáticas1963107150[[#Headers],[Herramientas_neumáticas]],
    COUNTIF(Herramientas_de_medición2064108151[Herramientas_de_medición], B227) &gt; 0, Herramientas_de_medición2064108151[[#Headers],[Herramientas_de_medición]],
    COUNTIF(Herrramientas_mecánicas2165109152[Herramientas_mecánicas], B227) &gt; 0, Herrramientas_mecánicas2165109152[[#Headers],[Herramientas_mecánicas]],
    COUNTIF(AH227:AH233, B227) &gt; 0, Herramientas_hidráulicas2266110153[[#Headers],[Herramientas_hidráulicas]],
    COUNTIF(EPP_2367111154[SPCC], B227) &gt; 0, EPP_2367111154[[#Headers],[SPCC]],
   COUNTIF(Herramientas_de_izaje2468112155[Herramientas_de_izaje], B227) &gt; 0, Herramientas_de_izaje2468112155[[#Headers],[Herramientas_de_izaje]],
COUNTIF(Tabla162670114157[Equipos], B227) &gt; 0, Tabla162670114157[[#Headers],[Equipos]],
    TRUE, "Sin clasificación"
)</f>
        <v>Sin clasificación</v>
      </c>
      <c r="I227" s="15"/>
      <c r="J227" s="47"/>
      <c r="K227" s="76"/>
      <c r="L227" s="76"/>
      <c r="M227" s="78" t="str">
        <f>_xlfn.LET(
    _xlpm.itemBuscado, B227,
    _xlpm.areaBuscada, C227,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TEXT(COUNTIF($C$2:C227, _xlpm.areaBuscada), "0000"),
    _xlpm.codItem &amp; "-" &amp; _xlpm.codArea &amp; "-" &amp; _xlpm.secuencia
)</f>
        <v>-SinArea-0000</v>
      </c>
      <c r="N227" s="77"/>
      <c r="O227" s="32"/>
      <c r="P227" s="32"/>
      <c r="Q227" s="32"/>
      <c r="R227" s="32"/>
    </row>
    <row r="228" spans="3:18" x14ac:dyDescent="0.3">
      <c r="C228" s="11"/>
      <c r="D228" s="32"/>
      <c r="E228" s="11" t="str" cm="1">
        <f t="array" ref="E228">_xlfn.IFS(
    COUNTIF(Herramientas_eléctricas1862106149[Herramientas_eléctricas], B228) &gt; 0, Herramientas_eléctricas1862106149[[#Headers],[Herramientas_eléctricas]],
    COUNTIF(Herramientas_neumáticas1963107150[Herramientas_neumáticas], B228) &gt; 0, Herramientas_neumáticas1963107150[[#Headers],[Herramientas_neumáticas]],
    COUNTIF(Herramientas_de_medición2064108151[Herramientas_de_medición], B228) &gt; 0, Herramientas_de_medición2064108151[[#Headers],[Herramientas_de_medición]],
    COUNTIF(Herrramientas_mecánicas2165109152[Herramientas_mecánicas], B228) &gt; 0, Herrramientas_mecánicas2165109152[[#Headers],[Herramientas_mecánicas]],
    COUNTIF(AH228:AH234, B228) &gt; 0, Herramientas_hidráulicas2266110153[[#Headers],[Herramientas_hidráulicas]],
    COUNTIF(EPP_2367111154[SPCC], B228) &gt; 0, EPP_2367111154[[#Headers],[SPCC]],
   COUNTIF(Herramientas_de_izaje2468112155[Herramientas_de_izaje], B228) &gt; 0, Herramientas_de_izaje2468112155[[#Headers],[Herramientas_de_izaje]],
COUNTIF(Tabla162670114157[Equipos], B228) &gt; 0, Tabla162670114157[[#Headers],[Equipos]],
    TRUE, "Sin clasificación"
)</f>
        <v>Sin clasificación</v>
      </c>
      <c r="I228" s="15"/>
      <c r="J228" s="47"/>
      <c r="K228" s="76"/>
      <c r="L228" s="76"/>
      <c r="M228" s="78" t="str">
        <f>_xlfn.LET(
    _xlpm.itemBuscado, B228,
    _xlpm.areaBuscada, C228,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TEXT(COUNTIF($C$2:C228, _xlpm.areaBuscada), "0000"),
    _xlpm.codItem &amp; "-" &amp; _xlpm.codArea &amp; "-" &amp; _xlpm.secuencia
)</f>
        <v>-SinArea-0000</v>
      </c>
      <c r="N228" s="77"/>
      <c r="O228" s="32"/>
      <c r="P228" s="32"/>
      <c r="Q228" s="32"/>
      <c r="R228" s="32"/>
    </row>
    <row r="229" spans="3:18" x14ac:dyDescent="0.3">
      <c r="C229" s="11"/>
      <c r="D229" s="32"/>
      <c r="E229" s="11" t="str" cm="1">
        <f t="array" ref="E229">_xlfn.IFS(
    COUNTIF(Herramientas_eléctricas1862106149[Herramientas_eléctricas], B229) &gt; 0, Herramientas_eléctricas1862106149[[#Headers],[Herramientas_eléctricas]],
    COUNTIF(Herramientas_neumáticas1963107150[Herramientas_neumáticas], B229) &gt; 0, Herramientas_neumáticas1963107150[[#Headers],[Herramientas_neumáticas]],
    COUNTIF(Herramientas_de_medición2064108151[Herramientas_de_medición], B229) &gt; 0, Herramientas_de_medición2064108151[[#Headers],[Herramientas_de_medición]],
    COUNTIF(Herrramientas_mecánicas2165109152[Herramientas_mecánicas], B229) &gt; 0, Herrramientas_mecánicas2165109152[[#Headers],[Herramientas_mecánicas]],
    COUNTIF(AH229:AH235, B229) &gt; 0, Herramientas_hidráulicas2266110153[[#Headers],[Herramientas_hidráulicas]],
    COUNTIF(EPP_2367111154[SPCC], B229) &gt; 0, EPP_2367111154[[#Headers],[SPCC]],
   COUNTIF(Herramientas_de_izaje2468112155[Herramientas_de_izaje], B229) &gt; 0, Herramientas_de_izaje2468112155[[#Headers],[Herramientas_de_izaje]],
COUNTIF(Tabla162670114157[Equipos], B229) &gt; 0, Tabla162670114157[[#Headers],[Equipos]],
    TRUE, "Sin clasificación"
)</f>
        <v>Sin clasificación</v>
      </c>
      <c r="I229" s="15"/>
      <c r="J229" s="47"/>
      <c r="K229" s="76"/>
      <c r="L229" s="76"/>
      <c r="M229" s="78" t="str">
        <f>_xlfn.LET(
    _xlpm.itemBuscado, B229,
    _xlpm.areaBuscada, C229,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TEXT(COUNTIF($C$2:C229, _xlpm.areaBuscada), "0000"),
    _xlpm.codItem &amp; "-" &amp; _xlpm.codArea &amp; "-" &amp; _xlpm.secuencia
)</f>
        <v>-SinArea-0000</v>
      </c>
      <c r="N229" s="77"/>
      <c r="O229" s="32"/>
      <c r="P229" s="32"/>
      <c r="Q229" s="32"/>
      <c r="R229" s="32"/>
    </row>
    <row r="230" spans="3:18" x14ac:dyDescent="0.3">
      <c r="C230" s="11"/>
      <c r="D230" s="32"/>
      <c r="E230" s="11" t="str" cm="1">
        <f t="array" ref="E230">_xlfn.IFS(
    COUNTIF(Herramientas_eléctricas1862106149[Herramientas_eléctricas], B230) &gt; 0, Herramientas_eléctricas1862106149[[#Headers],[Herramientas_eléctricas]],
    COUNTIF(Herramientas_neumáticas1963107150[Herramientas_neumáticas], B230) &gt; 0, Herramientas_neumáticas1963107150[[#Headers],[Herramientas_neumáticas]],
    COUNTIF(Herramientas_de_medición2064108151[Herramientas_de_medición], B230) &gt; 0, Herramientas_de_medición2064108151[[#Headers],[Herramientas_de_medición]],
    COUNTIF(Herrramientas_mecánicas2165109152[Herramientas_mecánicas], B230) &gt; 0, Herrramientas_mecánicas2165109152[[#Headers],[Herramientas_mecánicas]],
    COUNTIF(AH230:AH236, B230) &gt; 0, Herramientas_hidráulicas2266110153[[#Headers],[Herramientas_hidráulicas]],
    COUNTIF(EPP_2367111154[SPCC], B230) &gt; 0, EPP_2367111154[[#Headers],[SPCC]],
   COUNTIF(Herramientas_de_izaje2468112155[Herramientas_de_izaje], B230) &gt; 0, Herramientas_de_izaje2468112155[[#Headers],[Herramientas_de_izaje]],
COUNTIF(Tabla162670114157[Equipos], B230) &gt; 0, Tabla162670114157[[#Headers],[Equipos]],
    TRUE, "Sin clasificación"
)</f>
        <v>Sin clasificación</v>
      </c>
      <c r="I230" s="15"/>
      <c r="J230" s="47"/>
      <c r="K230" s="76"/>
      <c r="L230" s="76"/>
      <c r="M230" s="78" t="str">
        <f>_xlfn.LET(
    _xlpm.itemBuscado, B230,
    _xlpm.areaBuscada, C230,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TEXT(COUNTIF($C$2:C230, _xlpm.areaBuscada), "0000"),
    _xlpm.codItem &amp; "-" &amp; _xlpm.codArea &amp; "-" &amp; _xlpm.secuencia
)</f>
        <v>-SinArea-0000</v>
      </c>
      <c r="N230" s="77"/>
      <c r="O230" s="32"/>
      <c r="P230" s="32"/>
      <c r="Q230" s="32"/>
      <c r="R230" s="32"/>
    </row>
    <row r="231" spans="3:18" x14ac:dyDescent="0.3">
      <c r="C231" s="11"/>
      <c r="D231" s="32"/>
      <c r="E231" s="11" t="str" cm="1">
        <f t="array" ref="E231">_xlfn.IFS(
    COUNTIF(Herramientas_eléctricas1862106149[Herramientas_eléctricas], B231) &gt; 0, Herramientas_eléctricas1862106149[[#Headers],[Herramientas_eléctricas]],
    COUNTIF(Herramientas_neumáticas1963107150[Herramientas_neumáticas], B231) &gt; 0, Herramientas_neumáticas1963107150[[#Headers],[Herramientas_neumáticas]],
    COUNTIF(Herramientas_de_medición2064108151[Herramientas_de_medición], B231) &gt; 0, Herramientas_de_medición2064108151[[#Headers],[Herramientas_de_medición]],
    COUNTIF(Herrramientas_mecánicas2165109152[Herramientas_mecánicas], B231) &gt; 0, Herrramientas_mecánicas2165109152[[#Headers],[Herramientas_mecánicas]],
    COUNTIF(AH231:AH237, B231) &gt; 0, Herramientas_hidráulicas2266110153[[#Headers],[Herramientas_hidráulicas]],
    COUNTIF(EPP_2367111154[SPCC], B231) &gt; 0, EPP_2367111154[[#Headers],[SPCC]],
   COUNTIF(Herramientas_de_izaje2468112155[Herramientas_de_izaje], B231) &gt; 0, Herramientas_de_izaje2468112155[[#Headers],[Herramientas_de_izaje]],
COUNTIF(Tabla162670114157[Equipos], B231) &gt; 0, Tabla162670114157[[#Headers],[Equipos]],
    TRUE, "Sin clasificación"
)</f>
        <v>Sin clasificación</v>
      </c>
      <c r="I231" s="15"/>
      <c r="J231" s="47"/>
      <c r="K231" s="76"/>
      <c r="L231" s="76"/>
      <c r="M231" s="78" t="str">
        <f>_xlfn.LET(
    _xlpm.itemBuscado, B231,
    _xlpm.areaBuscada, C231,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TEXT(COUNTIF($C$2:C231, _xlpm.areaBuscada), "0000"),
    _xlpm.codItem &amp; "-" &amp; _xlpm.codArea &amp; "-" &amp; _xlpm.secuencia
)</f>
        <v>-SinArea-0000</v>
      </c>
      <c r="N231" s="77"/>
      <c r="O231" s="32"/>
      <c r="P231" s="32"/>
      <c r="Q231" s="32"/>
      <c r="R231" s="32"/>
    </row>
    <row r="232" spans="3:18" x14ac:dyDescent="0.3">
      <c r="C232" s="11"/>
      <c r="D232" s="32"/>
      <c r="E232" s="11" t="str" cm="1">
        <f t="array" ref="E232">_xlfn.IFS(
    COUNTIF(Herramientas_eléctricas1862106149[Herramientas_eléctricas], B232) &gt; 0, Herramientas_eléctricas1862106149[[#Headers],[Herramientas_eléctricas]],
    COUNTIF(Herramientas_neumáticas1963107150[Herramientas_neumáticas], B232) &gt; 0, Herramientas_neumáticas1963107150[[#Headers],[Herramientas_neumáticas]],
    COUNTIF(Herramientas_de_medición2064108151[Herramientas_de_medición], B232) &gt; 0, Herramientas_de_medición2064108151[[#Headers],[Herramientas_de_medición]],
    COUNTIF(Herrramientas_mecánicas2165109152[Herramientas_mecánicas], B232) &gt; 0, Herrramientas_mecánicas2165109152[[#Headers],[Herramientas_mecánicas]],
    COUNTIF(AH232:AH238, B232) &gt; 0, Herramientas_hidráulicas2266110153[[#Headers],[Herramientas_hidráulicas]],
    COUNTIF(EPP_2367111154[SPCC], B232) &gt; 0, EPP_2367111154[[#Headers],[SPCC]],
   COUNTIF(Herramientas_de_izaje2468112155[Herramientas_de_izaje], B232) &gt; 0, Herramientas_de_izaje2468112155[[#Headers],[Herramientas_de_izaje]],
COUNTIF(Tabla162670114157[Equipos], B232) &gt; 0, Tabla162670114157[[#Headers],[Equipos]],
    TRUE, "Sin clasificación"
)</f>
        <v>Sin clasificación</v>
      </c>
      <c r="I232" s="15"/>
      <c r="J232" s="47"/>
      <c r="K232" s="76"/>
      <c r="L232" s="76"/>
      <c r="M232" s="78" t="str">
        <f>_xlfn.LET(
    _xlpm.itemBuscado, B232,
    _xlpm.areaBuscada, C232,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TEXT(COUNTIF($C$2:C232, _xlpm.areaBuscada), "0000"),
    _xlpm.codItem &amp; "-" &amp; _xlpm.codArea &amp; "-" &amp; _xlpm.secuencia
)</f>
        <v>-SinArea-0000</v>
      </c>
      <c r="N232" s="77"/>
      <c r="O232" s="32"/>
      <c r="P232" s="32"/>
      <c r="Q232" s="32"/>
      <c r="R232" s="32"/>
    </row>
    <row r="233" spans="3:18" x14ac:dyDescent="0.3">
      <c r="C233" s="11"/>
      <c r="D233" s="32"/>
      <c r="E233" s="11" t="str" cm="1">
        <f t="array" ref="E233">_xlfn.IFS(
    COUNTIF(Herramientas_eléctricas1862106149[Herramientas_eléctricas], B233) &gt; 0, Herramientas_eléctricas1862106149[[#Headers],[Herramientas_eléctricas]],
    COUNTIF(Herramientas_neumáticas1963107150[Herramientas_neumáticas], B233) &gt; 0, Herramientas_neumáticas1963107150[[#Headers],[Herramientas_neumáticas]],
    COUNTIF(Herramientas_de_medición2064108151[Herramientas_de_medición], B233) &gt; 0, Herramientas_de_medición2064108151[[#Headers],[Herramientas_de_medición]],
    COUNTIF(Herrramientas_mecánicas2165109152[Herramientas_mecánicas], B233) &gt; 0, Herrramientas_mecánicas2165109152[[#Headers],[Herramientas_mecánicas]],
    COUNTIF(AH233:AH239, B233) &gt; 0, Herramientas_hidráulicas2266110153[[#Headers],[Herramientas_hidráulicas]],
    COUNTIF(EPP_2367111154[SPCC], B233) &gt; 0, EPP_2367111154[[#Headers],[SPCC]],
   COUNTIF(Herramientas_de_izaje2468112155[Herramientas_de_izaje], B233) &gt; 0, Herramientas_de_izaje2468112155[[#Headers],[Herramientas_de_izaje]],
COUNTIF(Tabla162670114157[Equipos], B233) &gt; 0, Tabla162670114157[[#Headers],[Equipos]],
    TRUE, "Sin clasificación"
)</f>
        <v>Sin clasificación</v>
      </c>
      <c r="I233" s="15"/>
      <c r="J233" s="47"/>
      <c r="K233" s="76"/>
      <c r="L233" s="76"/>
      <c r="M233" s="78" t="str">
        <f>_xlfn.LET(
    _xlpm.itemBuscado, B233,
    _xlpm.areaBuscada, C233,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TEXT(COUNTIF($C$2:C233, _xlpm.areaBuscada), "0000"),
    _xlpm.codItem &amp; "-" &amp; _xlpm.codArea &amp; "-" &amp; _xlpm.secuencia
)</f>
        <v>-SinArea-0000</v>
      </c>
      <c r="N233" s="77"/>
      <c r="O233" s="32"/>
      <c r="P233" s="32"/>
      <c r="Q233" s="32"/>
      <c r="R233" s="32"/>
    </row>
    <row r="234" spans="3:18" x14ac:dyDescent="0.3">
      <c r="C234" s="11"/>
      <c r="D234" s="32"/>
      <c r="E234" s="11" t="str" cm="1">
        <f t="array" ref="E234">_xlfn.IFS(
    COUNTIF(Herramientas_eléctricas1862106149[Herramientas_eléctricas], B234) &gt; 0, Herramientas_eléctricas1862106149[[#Headers],[Herramientas_eléctricas]],
    COUNTIF(Herramientas_neumáticas1963107150[Herramientas_neumáticas], B234) &gt; 0, Herramientas_neumáticas1963107150[[#Headers],[Herramientas_neumáticas]],
    COUNTIF(Herramientas_de_medición2064108151[Herramientas_de_medición], B234) &gt; 0, Herramientas_de_medición2064108151[[#Headers],[Herramientas_de_medición]],
    COUNTIF(Herrramientas_mecánicas2165109152[Herramientas_mecánicas], B234) &gt; 0, Herrramientas_mecánicas2165109152[[#Headers],[Herramientas_mecánicas]],
    COUNTIF(AH234:AH240, B234) &gt; 0, Herramientas_hidráulicas2266110153[[#Headers],[Herramientas_hidráulicas]],
    COUNTIF(EPP_2367111154[SPCC], B234) &gt; 0, EPP_2367111154[[#Headers],[SPCC]],
   COUNTIF(Herramientas_de_izaje2468112155[Herramientas_de_izaje], B234) &gt; 0, Herramientas_de_izaje2468112155[[#Headers],[Herramientas_de_izaje]],
COUNTIF(Tabla162670114157[Equipos], B234) &gt; 0, Tabla162670114157[[#Headers],[Equipos]],
    TRUE, "Sin clasificación"
)</f>
        <v>Sin clasificación</v>
      </c>
      <c r="I234" s="15"/>
      <c r="J234" s="47"/>
      <c r="K234" s="76"/>
      <c r="L234" s="76"/>
      <c r="M234" s="78" t="str">
        <f>_xlfn.LET(
    _xlpm.itemBuscado, B234,
    _xlpm.areaBuscada, C234,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TEXT(COUNTIF($C$2:C234, _xlpm.areaBuscada), "0000"),
    _xlpm.codItem &amp; "-" &amp; _xlpm.codArea &amp; "-" &amp; _xlpm.secuencia
)</f>
        <v>-SinArea-0000</v>
      </c>
      <c r="N234" s="77"/>
      <c r="O234" s="32"/>
      <c r="P234" s="32"/>
      <c r="Q234" s="32"/>
      <c r="R234" s="32"/>
    </row>
    <row r="235" spans="3:18" x14ac:dyDescent="0.3">
      <c r="C235" s="11"/>
      <c r="D235" s="32"/>
      <c r="E235" s="11" t="str" cm="1">
        <f t="array" ref="E235">_xlfn.IFS(
    COUNTIF(Herramientas_eléctricas1862106149[Herramientas_eléctricas], B235) &gt; 0, Herramientas_eléctricas1862106149[[#Headers],[Herramientas_eléctricas]],
    COUNTIF(Herramientas_neumáticas1963107150[Herramientas_neumáticas], B235) &gt; 0, Herramientas_neumáticas1963107150[[#Headers],[Herramientas_neumáticas]],
    COUNTIF(Herramientas_de_medición2064108151[Herramientas_de_medición], B235) &gt; 0, Herramientas_de_medición2064108151[[#Headers],[Herramientas_de_medición]],
    COUNTIF(Herrramientas_mecánicas2165109152[Herramientas_mecánicas], B235) &gt; 0, Herrramientas_mecánicas2165109152[[#Headers],[Herramientas_mecánicas]],
    COUNTIF(AH235:AH241, B235) &gt; 0, Herramientas_hidráulicas2266110153[[#Headers],[Herramientas_hidráulicas]],
    COUNTIF(EPP_2367111154[SPCC], B235) &gt; 0, EPP_2367111154[[#Headers],[SPCC]],
   COUNTIF(Herramientas_de_izaje2468112155[Herramientas_de_izaje], B235) &gt; 0, Herramientas_de_izaje2468112155[[#Headers],[Herramientas_de_izaje]],
COUNTIF(Tabla162670114157[Equipos], B235) &gt; 0, Tabla162670114157[[#Headers],[Equipos]],
    TRUE, "Sin clasificación"
)</f>
        <v>Sin clasificación</v>
      </c>
      <c r="I235" s="15"/>
      <c r="J235" s="47"/>
      <c r="K235" s="76"/>
      <c r="L235" s="76"/>
      <c r="M235" s="78" t="str">
        <f>_xlfn.LET(
    _xlpm.itemBuscado, B235,
    _xlpm.areaBuscada, C235,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TEXT(COUNTIF($C$2:C235, _xlpm.areaBuscada), "0000"),
    _xlpm.codItem &amp; "-" &amp; _xlpm.codArea &amp; "-" &amp; _xlpm.secuencia
)</f>
        <v>-SinArea-0000</v>
      </c>
      <c r="N235" s="77"/>
      <c r="O235" s="32"/>
      <c r="P235" s="32"/>
      <c r="Q235" s="32"/>
      <c r="R235" s="32"/>
    </row>
    <row r="236" spans="3:18" x14ac:dyDescent="0.3">
      <c r="C236" s="11"/>
      <c r="D236" s="32"/>
      <c r="E236" s="11" t="str" cm="1">
        <f t="array" ref="E236">_xlfn.IFS(
    COUNTIF(Herramientas_eléctricas1862106149[Herramientas_eléctricas], B236) &gt; 0, Herramientas_eléctricas1862106149[[#Headers],[Herramientas_eléctricas]],
    COUNTIF(Herramientas_neumáticas1963107150[Herramientas_neumáticas], B236) &gt; 0, Herramientas_neumáticas1963107150[[#Headers],[Herramientas_neumáticas]],
    COUNTIF(Herramientas_de_medición2064108151[Herramientas_de_medición], B236) &gt; 0, Herramientas_de_medición2064108151[[#Headers],[Herramientas_de_medición]],
    COUNTIF(Herrramientas_mecánicas2165109152[Herramientas_mecánicas], B236) &gt; 0, Herrramientas_mecánicas2165109152[[#Headers],[Herramientas_mecánicas]],
    COUNTIF(AH236:AH242, B236) &gt; 0, Herramientas_hidráulicas2266110153[[#Headers],[Herramientas_hidráulicas]],
    COUNTIF(EPP_2367111154[SPCC], B236) &gt; 0, EPP_2367111154[[#Headers],[SPCC]],
   COUNTIF(Herramientas_de_izaje2468112155[Herramientas_de_izaje], B236) &gt; 0, Herramientas_de_izaje2468112155[[#Headers],[Herramientas_de_izaje]],
COUNTIF(Tabla162670114157[Equipos], B236) &gt; 0, Tabla162670114157[[#Headers],[Equipos]],
    TRUE, "Sin clasificación"
)</f>
        <v>Sin clasificación</v>
      </c>
      <c r="I236" s="15"/>
      <c r="J236" s="47"/>
      <c r="K236" s="76"/>
      <c r="L236" s="76"/>
      <c r="M236" s="78" t="str">
        <f>_xlfn.LET(
    _xlpm.itemBuscado, B236,
    _xlpm.areaBuscada, C236,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TEXT(COUNTIF($C$2:C236, _xlpm.areaBuscada), "0000"),
    _xlpm.codItem &amp; "-" &amp; _xlpm.codArea &amp; "-" &amp; _xlpm.secuencia
)</f>
        <v>-SinArea-0000</v>
      </c>
      <c r="N236" s="77"/>
      <c r="O236" s="32"/>
      <c r="P236" s="32"/>
      <c r="Q236" s="32"/>
      <c r="R236" s="32"/>
    </row>
    <row r="237" spans="3:18" x14ac:dyDescent="0.3">
      <c r="C237" s="11"/>
      <c r="D237" s="32"/>
      <c r="E237" s="11" t="str" cm="1">
        <f t="array" ref="E237">_xlfn.IFS(
    COUNTIF(Herramientas_eléctricas1862106149[Herramientas_eléctricas], B237) &gt; 0, Herramientas_eléctricas1862106149[[#Headers],[Herramientas_eléctricas]],
    COUNTIF(Herramientas_neumáticas1963107150[Herramientas_neumáticas], B237) &gt; 0, Herramientas_neumáticas1963107150[[#Headers],[Herramientas_neumáticas]],
    COUNTIF(Herramientas_de_medición2064108151[Herramientas_de_medición], B237) &gt; 0, Herramientas_de_medición2064108151[[#Headers],[Herramientas_de_medición]],
    COUNTIF(Herrramientas_mecánicas2165109152[Herramientas_mecánicas], B237) &gt; 0, Herrramientas_mecánicas2165109152[[#Headers],[Herramientas_mecánicas]],
    COUNTIF(AH237:AH243, B237) &gt; 0, Herramientas_hidráulicas2266110153[[#Headers],[Herramientas_hidráulicas]],
    COUNTIF(EPP_2367111154[SPCC], B237) &gt; 0, EPP_2367111154[[#Headers],[SPCC]],
   COUNTIF(Herramientas_de_izaje2468112155[Herramientas_de_izaje], B237) &gt; 0, Herramientas_de_izaje2468112155[[#Headers],[Herramientas_de_izaje]],
COUNTIF(Tabla162670114157[Equipos], B237) &gt; 0, Tabla162670114157[[#Headers],[Equipos]],
    TRUE, "Sin clasificación"
)</f>
        <v>Sin clasificación</v>
      </c>
      <c r="I237" s="15"/>
      <c r="J237" s="47"/>
      <c r="K237" s="76"/>
      <c r="L237" s="76"/>
      <c r="M237" s="78" t="str">
        <f>_xlfn.LET(
    _xlpm.itemBuscado, B237,
    _xlpm.areaBuscada, C237,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TEXT(COUNTIF($C$2:C237, _xlpm.areaBuscada), "0000"),
    _xlpm.codItem &amp; "-" &amp; _xlpm.codArea &amp; "-" &amp; _xlpm.secuencia
)</f>
        <v>-SinArea-0000</v>
      </c>
      <c r="N237" s="77"/>
      <c r="O237" s="32"/>
      <c r="P237" s="32"/>
      <c r="Q237" s="32"/>
      <c r="R237" s="32"/>
    </row>
    <row r="238" spans="3:18" x14ac:dyDescent="0.3">
      <c r="C238" s="11"/>
      <c r="D238" s="32"/>
      <c r="E238" s="11" t="str" cm="1">
        <f t="array" ref="E238">_xlfn.IFS(
    COUNTIF(Herramientas_eléctricas1862106149[Herramientas_eléctricas], B238) &gt; 0, Herramientas_eléctricas1862106149[[#Headers],[Herramientas_eléctricas]],
    COUNTIF(Herramientas_neumáticas1963107150[Herramientas_neumáticas], B238) &gt; 0, Herramientas_neumáticas1963107150[[#Headers],[Herramientas_neumáticas]],
    COUNTIF(Herramientas_de_medición2064108151[Herramientas_de_medición], B238) &gt; 0, Herramientas_de_medición2064108151[[#Headers],[Herramientas_de_medición]],
    COUNTIF(Herrramientas_mecánicas2165109152[Herramientas_mecánicas], B238) &gt; 0, Herrramientas_mecánicas2165109152[[#Headers],[Herramientas_mecánicas]],
    COUNTIF(AH238:AH244, B238) &gt; 0, Herramientas_hidráulicas2266110153[[#Headers],[Herramientas_hidráulicas]],
    COUNTIF(EPP_2367111154[SPCC], B238) &gt; 0, EPP_2367111154[[#Headers],[SPCC]],
   COUNTIF(Herramientas_de_izaje2468112155[Herramientas_de_izaje], B238) &gt; 0, Herramientas_de_izaje2468112155[[#Headers],[Herramientas_de_izaje]],
COUNTIF(Tabla162670114157[Equipos], B238) &gt; 0, Tabla162670114157[[#Headers],[Equipos]],
    TRUE, "Sin clasificación"
)</f>
        <v>Sin clasificación</v>
      </c>
      <c r="I238" s="15"/>
      <c r="J238" s="47"/>
      <c r="K238" s="76"/>
      <c r="L238" s="76"/>
      <c r="M238" s="78" t="str">
        <f>_xlfn.LET(
    _xlpm.itemBuscado, B238,
    _xlpm.areaBuscada, C238,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TEXT(COUNTIF($C$2:C238, _xlpm.areaBuscada), "0000"),
    _xlpm.codItem &amp; "-" &amp; _xlpm.codArea &amp; "-" &amp; _xlpm.secuencia
)</f>
        <v>-SinArea-0000</v>
      </c>
      <c r="N238" s="77"/>
      <c r="O238" s="32"/>
      <c r="P238" s="32"/>
      <c r="Q238" s="32"/>
      <c r="R238" s="32"/>
    </row>
    <row r="239" spans="3:18" x14ac:dyDescent="0.3">
      <c r="C239" s="11"/>
      <c r="D239" s="32"/>
      <c r="E239" s="11" t="str" cm="1">
        <f t="array" ref="E239">_xlfn.IFS(
    COUNTIF(Herramientas_eléctricas1862106149[Herramientas_eléctricas], B239) &gt; 0, Herramientas_eléctricas1862106149[[#Headers],[Herramientas_eléctricas]],
    COUNTIF(Herramientas_neumáticas1963107150[Herramientas_neumáticas], B239) &gt; 0, Herramientas_neumáticas1963107150[[#Headers],[Herramientas_neumáticas]],
    COUNTIF(Herramientas_de_medición2064108151[Herramientas_de_medición], B239) &gt; 0, Herramientas_de_medición2064108151[[#Headers],[Herramientas_de_medición]],
    COUNTIF(Herrramientas_mecánicas2165109152[Herramientas_mecánicas], B239) &gt; 0, Herrramientas_mecánicas2165109152[[#Headers],[Herramientas_mecánicas]],
    COUNTIF(AH239:AH245, B239) &gt; 0, Herramientas_hidráulicas2266110153[[#Headers],[Herramientas_hidráulicas]],
    COUNTIF(EPP_2367111154[SPCC], B239) &gt; 0, EPP_2367111154[[#Headers],[SPCC]],
   COUNTIF(Herramientas_de_izaje2468112155[Herramientas_de_izaje], B239) &gt; 0, Herramientas_de_izaje2468112155[[#Headers],[Herramientas_de_izaje]],
COUNTIF(Tabla162670114157[Equipos], B239) &gt; 0, Tabla162670114157[[#Headers],[Equipos]],
    TRUE, "Sin clasificación"
)</f>
        <v>Sin clasificación</v>
      </c>
      <c r="I239" s="15"/>
      <c r="J239" s="47"/>
      <c r="K239" s="76"/>
      <c r="L239" s="76"/>
      <c r="M239" s="78" t="str">
        <f>_xlfn.LET(
    _xlpm.itemBuscado, B239,
    _xlpm.areaBuscada, C239,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TEXT(COUNTIF($C$2:C239, _xlpm.areaBuscada), "0000"),
    _xlpm.codItem &amp; "-" &amp; _xlpm.codArea &amp; "-" &amp; _xlpm.secuencia
)</f>
        <v>-SinArea-0000</v>
      </c>
      <c r="N239" s="77"/>
      <c r="O239" s="32"/>
      <c r="P239" s="32"/>
      <c r="Q239" s="32"/>
      <c r="R239" s="32"/>
    </row>
    <row r="240" spans="3:18" x14ac:dyDescent="0.3">
      <c r="C240" s="11"/>
      <c r="D240" s="32"/>
      <c r="E240" s="11" t="str" cm="1">
        <f t="array" ref="E240">_xlfn.IFS(
    COUNTIF(Herramientas_eléctricas1862106149[Herramientas_eléctricas], B240) &gt; 0, Herramientas_eléctricas1862106149[[#Headers],[Herramientas_eléctricas]],
    COUNTIF(Herramientas_neumáticas1963107150[Herramientas_neumáticas], B240) &gt; 0, Herramientas_neumáticas1963107150[[#Headers],[Herramientas_neumáticas]],
    COUNTIF(Herramientas_de_medición2064108151[Herramientas_de_medición], B240) &gt; 0, Herramientas_de_medición2064108151[[#Headers],[Herramientas_de_medición]],
    COUNTIF(Herrramientas_mecánicas2165109152[Herramientas_mecánicas], B240) &gt; 0, Herrramientas_mecánicas2165109152[[#Headers],[Herramientas_mecánicas]],
    COUNTIF(AH240:AH246, B240) &gt; 0, Herramientas_hidráulicas2266110153[[#Headers],[Herramientas_hidráulicas]],
    COUNTIF(EPP_2367111154[SPCC], B240) &gt; 0, EPP_2367111154[[#Headers],[SPCC]],
   COUNTIF(Herramientas_de_izaje2468112155[Herramientas_de_izaje], B240) &gt; 0, Herramientas_de_izaje2468112155[[#Headers],[Herramientas_de_izaje]],
COUNTIF(Tabla162670114157[Equipos], B240) &gt; 0, Tabla162670114157[[#Headers],[Equipos]],
    TRUE, "Sin clasificación"
)</f>
        <v>Sin clasificación</v>
      </c>
      <c r="I240" s="15"/>
      <c r="J240" s="47"/>
      <c r="K240" s="76"/>
      <c r="L240" s="76"/>
      <c r="M240" s="78" t="str">
        <f>_xlfn.LET(
    _xlpm.itemBuscado, B240,
    _xlpm.areaBuscada, C240,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TEXT(COUNTIF($C$2:C240, _xlpm.areaBuscada), "0000"),
    _xlpm.codItem &amp; "-" &amp; _xlpm.codArea &amp; "-" &amp; _xlpm.secuencia
)</f>
        <v>-SinArea-0000</v>
      </c>
      <c r="N240" s="77"/>
      <c r="O240" s="32"/>
      <c r="P240" s="32"/>
      <c r="Q240" s="32"/>
      <c r="R240" s="32"/>
    </row>
    <row r="241" spans="3:18" x14ac:dyDescent="0.3">
      <c r="C241" s="11"/>
      <c r="D241" s="32"/>
      <c r="E241" s="11" t="str" cm="1">
        <f t="array" ref="E241">_xlfn.IFS(
    COUNTIF(Herramientas_eléctricas1862106149[Herramientas_eléctricas], B241) &gt; 0, Herramientas_eléctricas1862106149[[#Headers],[Herramientas_eléctricas]],
    COUNTIF(Herramientas_neumáticas1963107150[Herramientas_neumáticas], B241) &gt; 0, Herramientas_neumáticas1963107150[[#Headers],[Herramientas_neumáticas]],
    COUNTIF(Herramientas_de_medición2064108151[Herramientas_de_medición], B241) &gt; 0, Herramientas_de_medición2064108151[[#Headers],[Herramientas_de_medición]],
    COUNTIF(Herrramientas_mecánicas2165109152[Herramientas_mecánicas], B241) &gt; 0, Herrramientas_mecánicas2165109152[[#Headers],[Herramientas_mecánicas]],
    COUNTIF(AH241:AH247, B241) &gt; 0, Herramientas_hidráulicas2266110153[[#Headers],[Herramientas_hidráulicas]],
    COUNTIF(EPP_2367111154[SPCC], B241) &gt; 0, EPP_2367111154[[#Headers],[SPCC]],
   COUNTIF(Herramientas_de_izaje2468112155[Herramientas_de_izaje], B241) &gt; 0, Herramientas_de_izaje2468112155[[#Headers],[Herramientas_de_izaje]],
COUNTIF(Tabla162670114157[Equipos], B241) &gt; 0, Tabla162670114157[[#Headers],[Equipos]],
    TRUE, "Sin clasificación"
)</f>
        <v>Sin clasificación</v>
      </c>
      <c r="I241" s="15"/>
      <c r="J241" s="47"/>
      <c r="K241" s="76"/>
      <c r="L241" s="76"/>
      <c r="M241" s="78" t="str">
        <f>_xlfn.LET(
    _xlpm.itemBuscado, B241,
    _xlpm.areaBuscada, C241,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TEXT(COUNTIF($C$2:C241, _xlpm.areaBuscada), "0000"),
    _xlpm.codItem &amp; "-" &amp; _xlpm.codArea &amp; "-" &amp; _xlpm.secuencia
)</f>
        <v>-SinArea-0000</v>
      </c>
      <c r="N241" s="77"/>
      <c r="O241" s="32"/>
      <c r="P241" s="32"/>
      <c r="Q241" s="32"/>
      <c r="R241" s="32"/>
    </row>
    <row r="242" spans="3:18" x14ac:dyDescent="0.3">
      <c r="C242" s="11"/>
      <c r="D242" s="32"/>
      <c r="E242" s="11" t="str" cm="1">
        <f t="array" ref="E242">_xlfn.IFS(
    COUNTIF(Herramientas_eléctricas1862106149[Herramientas_eléctricas], B242) &gt; 0, Herramientas_eléctricas1862106149[[#Headers],[Herramientas_eléctricas]],
    COUNTIF(Herramientas_neumáticas1963107150[Herramientas_neumáticas], B242) &gt; 0, Herramientas_neumáticas1963107150[[#Headers],[Herramientas_neumáticas]],
    COUNTIF(Herramientas_de_medición2064108151[Herramientas_de_medición], B242) &gt; 0, Herramientas_de_medición2064108151[[#Headers],[Herramientas_de_medición]],
    COUNTIF(Herrramientas_mecánicas2165109152[Herramientas_mecánicas], B242) &gt; 0, Herrramientas_mecánicas2165109152[[#Headers],[Herramientas_mecánicas]],
    COUNTIF(AH242:AH248, B242) &gt; 0, Herramientas_hidráulicas2266110153[[#Headers],[Herramientas_hidráulicas]],
    COUNTIF(EPP_2367111154[SPCC], B242) &gt; 0, EPP_2367111154[[#Headers],[SPCC]],
   COUNTIF(Herramientas_de_izaje2468112155[Herramientas_de_izaje], B242) &gt; 0, Herramientas_de_izaje2468112155[[#Headers],[Herramientas_de_izaje]],
COUNTIF(Tabla162670114157[Equipos], B242) &gt; 0, Tabla162670114157[[#Headers],[Equipos]],
    TRUE, "Sin clasificación"
)</f>
        <v>Sin clasificación</v>
      </c>
      <c r="I242" s="15"/>
      <c r="J242" s="47"/>
      <c r="K242" s="76"/>
      <c r="L242" s="76"/>
      <c r="M242" s="78" t="str">
        <f>_xlfn.LET(
    _xlpm.itemBuscado, B242,
    _xlpm.areaBuscada, C242,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TEXT(COUNTIF($C$2:C242, _xlpm.areaBuscada), "0000"),
    _xlpm.codItem &amp; "-" &amp; _xlpm.codArea &amp; "-" &amp; _xlpm.secuencia
)</f>
        <v>-SinArea-0000</v>
      </c>
      <c r="N242" s="77"/>
      <c r="O242" s="32"/>
      <c r="P242" s="32"/>
      <c r="Q242" s="32"/>
      <c r="R242" s="32"/>
    </row>
    <row r="243" spans="3:18" x14ac:dyDescent="0.3">
      <c r="C243" s="11"/>
      <c r="D243" s="32"/>
      <c r="E243" s="11" t="str" cm="1">
        <f t="array" ref="E243">_xlfn.IFS(
    COUNTIF(Herramientas_eléctricas1862106149[Herramientas_eléctricas], B243) &gt; 0, Herramientas_eléctricas1862106149[[#Headers],[Herramientas_eléctricas]],
    COUNTIF(Herramientas_neumáticas1963107150[Herramientas_neumáticas], B243) &gt; 0, Herramientas_neumáticas1963107150[[#Headers],[Herramientas_neumáticas]],
    COUNTIF(Herramientas_de_medición2064108151[Herramientas_de_medición], B243) &gt; 0, Herramientas_de_medición2064108151[[#Headers],[Herramientas_de_medición]],
    COUNTIF(Herrramientas_mecánicas2165109152[Herramientas_mecánicas], B243) &gt; 0, Herrramientas_mecánicas2165109152[[#Headers],[Herramientas_mecánicas]],
    COUNTIF(AH243:AH249, B243) &gt; 0, Herramientas_hidráulicas2266110153[[#Headers],[Herramientas_hidráulicas]],
    COUNTIF(EPP_2367111154[SPCC], B243) &gt; 0, EPP_2367111154[[#Headers],[SPCC]],
   COUNTIF(Herramientas_de_izaje2468112155[Herramientas_de_izaje], B243) &gt; 0, Herramientas_de_izaje2468112155[[#Headers],[Herramientas_de_izaje]],
COUNTIF(Tabla162670114157[Equipos], B243) &gt; 0, Tabla162670114157[[#Headers],[Equipos]],
    TRUE, "Sin clasificación"
)</f>
        <v>Sin clasificación</v>
      </c>
      <c r="I243" s="15"/>
      <c r="J243" s="47"/>
      <c r="K243" s="76"/>
      <c r="L243" s="76"/>
      <c r="M243" s="78" t="str">
        <f>_xlfn.LET(
    _xlpm.itemBuscado, B243,
    _xlpm.areaBuscada, C243,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TEXT(COUNTIF($C$2:C243, _xlpm.areaBuscada), "0000"),
    _xlpm.codItem &amp; "-" &amp; _xlpm.codArea &amp; "-" &amp; _xlpm.secuencia
)</f>
        <v>-SinArea-0000</v>
      </c>
      <c r="N243" s="77"/>
      <c r="O243" s="32"/>
      <c r="P243" s="32"/>
      <c r="Q243" s="32"/>
      <c r="R243" s="32"/>
    </row>
    <row r="244" spans="3:18" x14ac:dyDescent="0.3">
      <c r="C244" s="11"/>
      <c r="D244" s="32"/>
      <c r="E244" s="11" t="str" cm="1">
        <f t="array" ref="E244">_xlfn.IFS(
    COUNTIF(Herramientas_eléctricas1862106149[Herramientas_eléctricas], B244) &gt; 0, Herramientas_eléctricas1862106149[[#Headers],[Herramientas_eléctricas]],
    COUNTIF(Herramientas_neumáticas1963107150[Herramientas_neumáticas], B244) &gt; 0, Herramientas_neumáticas1963107150[[#Headers],[Herramientas_neumáticas]],
    COUNTIF(Herramientas_de_medición2064108151[Herramientas_de_medición], B244) &gt; 0, Herramientas_de_medición2064108151[[#Headers],[Herramientas_de_medición]],
    COUNTIF(Herrramientas_mecánicas2165109152[Herramientas_mecánicas], B244) &gt; 0, Herrramientas_mecánicas2165109152[[#Headers],[Herramientas_mecánicas]],
    COUNTIF(AH244:AH250, B244) &gt; 0, Herramientas_hidráulicas2266110153[[#Headers],[Herramientas_hidráulicas]],
    COUNTIF(EPP_2367111154[SPCC], B244) &gt; 0, EPP_2367111154[[#Headers],[SPCC]],
   COUNTIF(Herramientas_de_izaje2468112155[Herramientas_de_izaje], B244) &gt; 0, Herramientas_de_izaje2468112155[[#Headers],[Herramientas_de_izaje]],
COUNTIF(Tabla162670114157[Equipos], B244) &gt; 0, Tabla162670114157[[#Headers],[Equipos]],
    TRUE, "Sin clasificación"
)</f>
        <v>Sin clasificación</v>
      </c>
      <c r="I244" s="15"/>
      <c r="J244" s="47"/>
      <c r="K244" s="76"/>
      <c r="L244" s="76"/>
      <c r="M244" s="78" t="str">
        <f>_xlfn.LET(
    _xlpm.itemBuscado, B244,
    _xlpm.areaBuscada, C244,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TEXT(COUNTIF($C$2:C244, _xlpm.areaBuscada), "0000"),
    _xlpm.codItem &amp; "-" &amp; _xlpm.codArea &amp; "-" &amp; _xlpm.secuencia
)</f>
        <v>-SinArea-0000</v>
      </c>
      <c r="N244" s="77"/>
      <c r="O244" s="32"/>
      <c r="P244" s="32"/>
      <c r="Q244" s="32"/>
      <c r="R244" s="32"/>
    </row>
    <row r="245" spans="3:18" x14ac:dyDescent="0.3">
      <c r="C245" s="11"/>
      <c r="D245" s="32"/>
      <c r="E245" s="11" t="str" cm="1">
        <f t="array" ref="E245">_xlfn.IFS(
    COUNTIF(Herramientas_eléctricas1862106149[Herramientas_eléctricas], B245) &gt; 0, Herramientas_eléctricas1862106149[[#Headers],[Herramientas_eléctricas]],
    COUNTIF(Herramientas_neumáticas1963107150[Herramientas_neumáticas], B245) &gt; 0, Herramientas_neumáticas1963107150[[#Headers],[Herramientas_neumáticas]],
    COUNTIF(Herramientas_de_medición2064108151[Herramientas_de_medición], B245) &gt; 0, Herramientas_de_medición2064108151[[#Headers],[Herramientas_de_medición]],
    COUNTIF(Herrramientas_mecánicas2165109152[Herramientas_mecánicas], B245) &gt; 0, Herrramientas_mecánicas2165109152[[#Headers],[Herramientas_mecánicas]],
    COUNTIF(AH245:AH251, B245) &gt; 0, Herramientas_hidráulicas2266110153[[#Headers],[Herramientas_hidráulicas]],
    COUNTIF(EPP_2367111154[SPCC], B245) &gt; 0, EPP_2367111154[[#Headers],[SPCC]],
   COUNTIF(Herramientas_de_izaje2468112155[Herramientas_de_izaje], B245) &gt; 0, Herramientas_de_izaje2468112155[[#Headers],[Herramientas_de_izaje]],
COUNTIF(Tabla162670114157[Equipos], B245) &gt; 0, Tabla162670114157[[#Headers],[Equipos]],
    TRUE, "Sin clasificación"
)</f>
        <v>Sin clasificación</v>
      </c>
      <c r="I245" s="15"/>
      <c r="J245" s="47"/>
      <c r="K245" s="76"/>
      <c r="L245" s="76"/>
      <c r="M245" s="78" t="str">
        <f>_xlfn.LET(
    _xlpm.itemBuscado, B245,
    _xlpm.areaBuscada, C245,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TEXT(COUNTIF($C$2:C245, _xlpm.areaBuscada), "0000"),
    _xlpm.codItem &amp; "-" &amp; _xlpm.codArea &amp; "-" &amp; _xlpm.secuencia
)</f>
        <v>-SinArea-0000</v>
      </c>
      <c r="N245" s="77"/>
      <c r="O245" s="32"/>
      <c r="P245" s="32"/>
      <c r="Q245" s="32"/>
      <c r="R245" s="32"/>
    </row>
    <row r="246" spans="3:18" x14ac:dyDescent="0.3">
      <c r="C246" s="11"/>
      <c r="D246" s="32"/>
      <c r="E246" s="11" t="str" cm="1">
        <f t="array" ref="E246">_xlfn.IFS(
    COUNTIF(Herramientas_eléctricas1862106149[Herramientas_eléctricas], B246) &gt; 0, Herramientas_eléctricas1862106149[[#Headers],[Herramientas_eléctricas]],
    COUNTIF(Herramientas_neumáticas1963107150[Herramientas_neumáticas], B246) &gt; 0, Herramientas_neumáticas1963107150[[#Headers],[Herramientas_neumáticas]],
    COUNTIF(Herramientas_de_medición2064108151[Herramientas_de_medición], B246) &gt; 0, Herramientas_de_medición2064108151[[#Headers],[Herramientas_de_medición]],
    COUNTIF(Herrramientas_mecánicas2165109152[Herramientas_mecánicas], B246) &gt; 0, Herrramientas_mecánicas2165109152[[#Headers],[Herramientas_mecánicas]],
    COUNTIF(AH246:AH252, B246) &gt; 0, Herramientas_hidráulicas2266110153[[#Headers],[Herramientas_hidráulicas]],
    COUNTIF(EPP_2367111154[SPCC], B246) &gt; 0, EPP_2367111154[[#Headers],[SPCC]],
   COUNTIF(Herramientas_de_izaje2468112155[Herramientas_de_izaje], B246) &gt; 0, Herramientas_de_izaje2468112155[[#Headers],[Herramientas_de_izaje]],
COUNTIF(Tabla162670114157[Equipos], B246) &gt; 0, Tabla162670114157[[#Headers],[Equipos]],
    TRUE, "Sin clasificación"
)</f>
        <v>Sin clasificación</v>
      </c>
      <c r="I246" s="15"/>
      <c r="J246" s="47"/>
      <c r="K246" s="76"/>
      <c r="L246" s="76"/>
      <c r="M246" s="78" t="str">
        <f>_xlfn.LET(
    _xlpm.itemBuscado, B246,
    _xlpm.areaBuscada, C246,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TEXT(COUNTIF($C$2:C246, _xlpm.areaBuscada), "0000"),
    _xlpm.codItem &amp; "-" &amp; _xlpm.codArea &amp; "-" &amp; _xlpm.secuencia
)</f>
        <v>-SinArea-0000</v>
      </c>
      <c r="N246" s="77"/>
      <c r="O246" s="32"/>
      <c r="P246" s="32"/>
      <c r="Q246" s="32"/>
      <c r="R246" s="32"/>
    </row>
    <row r="247" spans="3:18" x14ac:dyDescent="0.3">
      <c r="C247" s="11"/>
      <c r="D247" s="32"/>
      <c r="E247" s="11" t="str" cm="1">
        <f t="array" ref="E247">_xlfn.IFS(
    COUNTIF(Herramientas_eléctricas1862106149[Herramientas_eléctricas], B247) &gt; 0, Herramientas_eléctricas1862106149[[#Headers],[Herramientas_eléctricas]],
    COUNTIF(Herramientas_neumáticas1963107150[Herramientas_neumáticas], B247) &gt; 0, Herramientas_neumáticas1963107150[[#Headers],[Herramientas_neumáticas]],
    COUNTIF(Herramientas_de_medición2064108151[Herramientas_de_medición], B247) &gt; 0, Herramientas_de_medición2064108151[[#Headers],[Herramientas_de_medición]],
    COUNTIF(Herrramientas_mecánicas2165109152[Herramientas_mecánicas], B247) &gt; 0, Herrramientas_mecánicas2165109152[[#Headers],[Herramientas_mecánicas]],
    COUNTIF(AH247:AH253, B247) &gt; 0, Herramientas_hidráulicas2266110153[[#Headers],[Herramientas_hidráulicas]],
    COUNTIF(EPP_2367111154[SPCC], B247) &gt; 0, EPP_2367111154[[#Headers],[SPCC]],
   COUNTIF(Herramientas_de_izaje2468112155[Herramientas_de_izaje], B247) &gt; 0, Herramientas_de_izaje2468112155[[#Headers],[Herramientas_de_izaje]],
COUNTIF(Tabla162670114157[Equipos], B247) &gt; 0, Tabla162670114157[[#Headers],[Equipos]],
    TRUE, "Sin clasificación"
)</f>
        <v>Sin clasificación</v>
      </c>
      <c r="I247" s="15"/>
      <c r="J247" s="47"/>
      <c r="K247" s="76"/>
      <c r="L247" s="76"/>
      <c r="M247" s="78" t="str">
        <f>_xlfn.LET(
    _xlpm.itemBuscado, B247,
    _xlpm.areaBuscada, C247,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TEXT(COUNTIF($C$2:C247, _xlpm.areaBuscada), "0000"),
    _xlpm.codItem &amp; "-" &amp; _xlpm.codArea &amp; "-" &amp; _xlpm.secuencia
)</f>
        <v>-SinArea-0000</v>
      </c>
      <c r="N247" s="77"/>
      <c r="O247" s="32"/>
      <c r="P247" s="32"/>
      <c r="Q247" s="32"/>
      <c r="R247" s="32"/>
    </row>
    <row r="248" spans="3:18" x14ac:dyDescent="0.3">
      <c r="C248" s="11"/>
      <c r="D248" s="32"/>
      <c r="E248" s="11" t="str" cm="1">
        <f t="array" ref="E248">_xlfn.IFS(
    COUNTIF(Herramientas_eléctricas1862106149[Herramientas_eléctricas], B248) &gt; 0, Herramientas_eléctricas1862106149[[#Headers],[Herramientas_eléctricas]],
    COUNTIF(Herramientas_neumáticas1963107150[Herramientas_neumáticas], B248) &gt; 0, Herramientas_neumáticas1963107150[[#Headers],[Herramientas_neumáticas]],
    COUNTIF(Herramientas_de_medición2064108151[Herramientas_de_medición], B248) &gt; 0, Herramientas_de_medición2064108151[[#Headers],[Herramientas_de_medición]],
    COUNTIF(Herrramientas_mecánicas2165109152[Herramientas_mecánicas], B248) &gt; 0, Herrramientas_mecánicas2165109152[[#Headers],[Herramientas_mecánicas]],
    COUNTIF(AH248:AH254, B248) &gt; 0, Herramientas_hidráulicas2266110153[[#Headers],[Herramientas_hidráulicas]],
    COUNTIF(EPP_2367111154[SPCC], B248) &gt; 0, EPP_2367111154[[#Headers],[SPCC]],
   COUNTIF(Herramientas_de_izaje2468112155[Herramientas_de_izaje], B248) &gt; 0, Herramientas_de_izaje2468112155[[#Headers],[Herramientas_de_izaje]],
COUNTIF(Tabla162670114157[Equipos], B248) &gt; 0, Tabla162670114157[[#Headers],[Equipos]],
    TRUE, "Sin clasificación"
)</f>
        <v>Sin clasificación</v>
      </c>
      <c r="I248" s="15"/>
      <c r="J248" s="47"/>
      <c r="K248" s="76"/>
      <c r="L248" s="76"/>
      <c r="M248" s="78" t="str">
        <f>_xlfn.LET(
    _xlpm.itemBuscado, B248,
    _xlpm.areaBuscada, C248,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TEXT(COUNTIF($C$2:C248, _xlpm.areaBuscada), "0000"),
    _xlpm.codItem &amp; "-" &amp; _xlpm.codArea &amp; "-" &amp; _xlpm.secuencia
)</f>
        <v>-SinArea-0000</v>
      </c>
      <c r="N248" s="77"/>
      <c r="O248" s="32"/>
      <c r="P248" s="32"/>
      <c r="Q248" s="32"/>
      <c r="R248" s="32"/>
    </row>
    <row r="249" spans="3:18" x14ac:dyDescent="0.3">
      <c r="C249" s="11"/>
      <c r="D249" s="32"/>
      <c r="E249" s="11" t="str" cm="1">
        <f t="array" ref="E249">_xlfn.IFS(
    COUNTIF(Herramientas_eléctricas1862106149[Herramientas_eléctricas], B249) &gt; 0, Herramientas_eléctricas1862106149[[#Headers],[Herramientas_eléctricas]],
    COUNTIF(Herramientas_neumáticas1963107150[Herramientas_neumáticas], B249) &gt; 0, Herramientas_neumáticas1963107150[[#Headers],[Herramientas_neumáticas]],
    COUNTIF(Herramientas_de_medición2064108151[Herramientas_de_medición], B249) &gt; 0, Herramientas_de_medición2064108151[[#Headers],[Herramientas_de_medición]],
    COUNTIF(Herrramientas_mecánicas2165109152[Herramientas_mecánicas], B249) &gt; 0, Herrramientas_mecánicas2165109152[[#Headers],[Herramientas_mecánicas]],
    COUNTIF(AH249:AH255, B249) &gt; 0, Herramientas_hidráulicas2266110153[[#Headers],[Herramientas_hidráulicas]],
    COUNTIF(EPP_2367111154[SPCC], B249) &gt; 0, EPP_2367111154[[#Headers],[SPCC]],
   COUNTIF(Herramientas_de_izaje2468112155[Herramientas_de_izaje], B249) &gt; 0, Herramientas_de_izaje2468112155[[#Headers],[Herramientas_de_izaje]],
COUNTIF(Tabla162670114157[Equipos], B249) &gt; 0, Tabla162670114157[[#Headers],[Equipos]],
    TRUE, "Sin clasificación"
)</f>
        <v>Sin clasificación</v>
      </c>
      <c r="I249" s="15"/>
      <c r="J249" s="47"/>
      <c r="K249" s="76"/>
      <c r="L249" s="76"/>
      <c r="M249" s="78" t="str">
        <f>_xlfn.LET(
    _xlpm.itemBuscado, B249,
    _xlpm.areaBuscada, C249,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TEXT(COUNTIF($C$2:C249, _xlpm.areaBuscada), "0000"),
    _xlpm.codItem &amp; "-" &amp; _xlpm.codArea &amp; "-" &amp; _xlpm.secuencia
)</f>
        <v>-SinArea-0000</v>
      </c>
      <c r="N249" s="77"/>
      <c r="O249" s="32"/>
      <c r="P249" s="32"/>
      <c r="Q249" s="32"/>
      <c r="R249" s="32"/>
    </row>
    <row r="250" spans="3:18" x14ac:dyDescent="0.3">
      <c r="C250" s="11"/>
      <c r="D250" s="32"/>
      <c r="E250" s="11" t="str" cm="1">
        <f t="array" ref="E250">_xlfn.IFS(
    COUNTIF(Herramientas_eléctricas1862106149[Herramientas_eléctricas], B250) &gt; 0, Herramientas_eléctricas1862106149[[#Headers],[Herramientas_eléctricas]],
    COUNTIF(Herramientas_neumáticas1963107150[Herramientas_neumáticas], B250) &gt; 0, Herramientas_neumáticas1963107150[[#Headers],[Herramientas_neumáticas]],
    COUNTIF(Herramientas_de_medición2064108151[Herramientas_de_medición], B250) &gt; 0, Herramientas_de_medición2064108151[[#Headers],[Herramientas_de_medición]],
    COUNTIF(Herrramientas_mecánicas2165109152[Herramientas_mecánicas], B250) &gt; 0, Herrramientas_mecánicas2165109152[[#Headers],[Herramientas_mecánicas]],
    COUNTIF(AH250:AH256, B250) &gt; 0, Herramientas_hidráulicas2266110153[[#Headers],[Herramientas_hidráulicas]],
    COUNTIF(EPP_2367111154[SPCC], B250) &gt; 0, EPP_2367111154[[#Headers],[SPCC]],
   COUNTIF(Herramientas_de_izaje2468112155[Herramientas_de_izaje], B250) &gt; 0, Herramientas_de_izaje2468112155[[#Headers],[Herramientas_de_izaje]],
COUNTIF(Tabla162670114157[Equipos], B250) &gt; 0, Tabla162670114157[[#Headers],[Equipos]],
    TRUE, "Sin clasificación"
)</f>
        <v>Sin clasificación</v>
      </c>
      <c r="I250" s="15"/>
      <c r="J250" s="47"/>
      <c r="K250" s="76"/>
      <c r="L250" s="76"/>
      <c r="M250" s="78" t="str">
        <f>_xlfn.LET(
    _xlpm.itemBuscado, B250,
    _xlpm.areaBuscada, C250,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TEXT(COUNTIF($C$2:C250, _xlpm.areaBuscada), "0000"),
    _xlpm.codItem &amp; "-" &amp; _xlpm.codArea &amp; "-" &amp; _xlpm.secuencia
)</f>
        <v>-SinArea-0000</v>
      </c>
      <c r="N250" s="77"/>
      <c r="O250" s="32"/>
      <c r="P250" s="32"/>
      <c r="Q250" s="32"/>
      <c r="R250" s="32"/>
    </row>
    <row r="251" spans="3:18" x14ac:dyDescent="0.3">
      <c r="C251" s="11"/>
      <c r="D251" s="32"/>
      <c r="E251" s="11" t="str" cm="1">
        <f t="array" ref="E251">_xlfn.IFS(
    COUNTIF(Herramientas_eléctricas1862106149[Herramientas_eléctricas], B251) &gt; 0, Herramientas_eléctricas1862106149[[#Headers],[Herramientas_eléctricas]],
    COUNTIF(Herramientas_neumáticas1963107150[Herramientas_neumáticas], B251) &gt; 0, Herramientas_neumáticas1963107150[[#Headers],[Herramientas_neumáticas]],
    COUNTIF(Herramientas_de_medición2064108151[Herramientas_de_medición], B251) &gt; 0, Herramientas_de_medición2064108151[[#Headers],[Herramientas_de_medición]],
    COUNTIF(Herrramientas_mecánicas2165109152[Herramientas_mecánicas], B251) &gt; 0, Herrramientas_mecánicas2165109152[[#Headers],[Herramientas_mecánicas]],
    COUNTIF(AH251:AH257, B251) &gt; 0, Herramientas_hidráulicas2266110153[[#Headers],[Herramientas_hidráulicas]],
    COUNTIF(EPP_2367111154[SPCC], B251) &gt; 0, EPP_2367111154[[#Headers],[SPCC]],
   COUNTIF(Herramientas_de_izaje2468112155[Herramientas_de_izaje], B251) &gt; 0, Herramientas_de_izaje2468112155[[#Headers],[Herramientas_de_izaje]],
COUNTIF(Tabla162670114157[Equipos], B251) &gt; 0, Tabla162670114157[[#Headers],[Equipos]],
    TRUE, "Sin clasificación"
)</f>
        <v>Sin clasificación</v>
      </c>
      <c r="I251" s="15"/>
      <c r="J251" s="47"/>
      <c r="K251" s="76"/>
      <c r="L251" s="76"/>
      <c r="M251" s="78" t="str">
        <f>_xlfn.LET(
    _xlpm.itemBuscado, B251,
    _xlpm.areaBuscada, C251,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TEXT(COUNTIF($C$2:C251, _xlpm.areaBuscada), "0000"),
    _xlpm.codItem &amp; "-" &amp; _xlpm.codArea &amp; "-" &amp; _xlpm.secuencia
)</f>
        <v>-SinArea-0000</v>
      </c>
      <c r="N251" s="77"/>
      <c r="O251" s="32"/>
      <c r="P251" s="32"/>
      <c r="Q251" s="32"/>
      <c r="R251" s="32"/>
    </row>
    <row r="252" spans="3:18" x14ac:dyDescent="0.3">
      <c r="C252" s="11"/>
      <c r="D252" s="32"/>
      <c r="E252" s="11" t="str" cm="1">
        <f t="array" ref="E252">_xlfn.IFS(
    COUNTIF(Herramientas_eléctricas1862106149[Herramientas_eléctricas], B252) &gt; 0, Herramientas_eléctricas1862106149[[#Headers],[Herramientas_eléctricas]],
    COUNTIF(Herramientas_neumáticas1963107150[Herramientas_neumáticas], B252) &gt; 0, Herramientas_neumáticas1963107150[[#Headers],[Herramientas_neumáticas]],
    COUNTIF(Herramientas_de_medición2064108151[Herramientas_de_medición], B252) &gt; 0, Herramientas_de_medición2064108151[[#Headers],[Herramientas_de_medición]],
    COUNTIF(Herrramientas_mecánicas2165109152[Herramientas_mecánicas], B252) &gt; 0, Herrramientas_mecánicas2165109152[[#Headers],[Herramientas_mecánicas]],
    COUNTIF(AH252:AH258, B252) &gt; 0, Herramientas_hidráulicas2266110153[[#Headers],[Herramientas_hidráulicas]],
    COUNTIF(EPP_2367111154[SPCC], B252) &gt; 0, EPP_2367111154[[#Headers],[SPCC]],
   COUNTIF(Herramientas_de_izaje2468112155[Herramientas_de_izaje], B252) &gt; 0, Herramientas_de_izaje2468112155[[#Headers],[Herramientas_de_izaje]],
COUNTIF(Tabla162670114157[Equipos], B252) &gt; 0, Tabla162670114157[[#Headers],[Equipos]],
    TRUE, "Sin clasificación"
)</f>
        <v>Sin clasificación</v>
      </c>
      <c r="I252" s="15"/>
      <c r="J252" s="47"/>
      <c r="K252" s="76"/>
      <c r="L252" s="76"/>
      <c r="M252" s="78" t="str">
        <f>_xlfn.LET(
    _xlpm.itemBuscado, B252,
    _xlpm.areaBuscada, C252,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TEXT(COUNTIF($C$2:C252, _xlpm.areaBuscada), "0000"),
    _xlpm.codItem &amp; "-" &amp; _xlpm.codArea &amp; "-" &amp; _xlpm.secuencia
)</f>
        <v>-SinArea-0000</v>
      </c>
      <c r="N252" s="77"/>
      <c r="O252" s="32"/>
      <c r="P252" s="32"/>
      <c r="Q252" s="32"/>
      <c r="R252" s="32"/>
    </row>
    <row r="253" spans="3:18" x14ac:dyDescent="0.3">
      <c r="C253" s="11"/>
      <c r="D253" s="32"/>
      <c r="E253" s="11" t="str" cm="1">
        <f t="array" ref="E253">_xlfn.IFS(
    COUNTIF(Herramientas_eléctricas1862106149[Herramientas_eléctricas], B253) &gt; 0, Herramientas_eléctricas1862106149[[#Headers],[Herramientas_eléctricas]],
    COUNTIF(Herramientas_neumáticas1963107150[Herramientas_neumáticas], B253) &gt; 0, Herramientas_neumáticas1963107150[[#Headers],[Herramientas_neumáticas]],
    COUNTIF(Herramientas_de_medición2064108151[Herramientas_de_medición], B253) &gt; 0, Herramientas_de_medición2064108151[[#Headers],[Herramientas_de_medición]],
    COUNTIF(Herrramientas_mecánicas2165109152[Herramientas_mecánicas], B253) &gt; 0, Herrramientas_mecánicas2165109152[[#Headers],[Herramientas_mecánicas]],
    COUNTIF(AH253:AH259, B253) &gt; 0, Herramientas_hidráulicas2266110153[[#Headers],[Herramientas_hidráulicas]],
    COUNTIF(EPP_2367111154[SPCC], B253) &gt; 0, EPP_2367111154[[#Headers],[SPCC]],
   COUNTIF(Herramientas_de_izaje2468112155[Herramientas_de_izaje], B253) &gt; 0, Herramientas_de_izaje2468112155[[#Headers],[Herramientas_de_izaje]],
COUNTIF(Tabla162670114157[Equipos], B253) &gt; 0, Tabla162670114157[[#Headers],[Equipos]],
    TRUE, "Sin clasificación"
)</f>
        <v>Sin clasificación</v>
      </c>
      <c r="I253" s="15"/>
      <c r="J253" s="47"/>
      <c r="K253" s="76"/>
      <c r="L253" s="76"/>
      <c r="M253" s="78" t="str">
        <f>_xlfn.LET(
    _xlpm.itemBuscado, B253,
    _xlpm.areaBuscada, C253,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TEXT(COUNTIF($C$2:C253, _xlpm.areaBuscada), "0000"),
    _xlpm.codItem &amp; "-" &amp; _xlpm.codArea &amp; "-" &amp; _xlpm.secuencia
)</f>
        <v>-SinArea-0000</v>
      </c>
      <c r="N253" s="77"/>
      <c r="O253" s="32"/>
      <c r="P253" s="32"/>
      <c r="Q253" s="32"/>
      <c r="R253" s="32"/>
    </row>
    <row r="254" spans="3:18" x14ac:dyDescent="0.3">
      <c r="C254" s="11"/>
      <c r="D254" s="32"/>
      <c r="E254" s="11" t="str" cm="1">
        <f t="array" ref="E254">_xlfn.IFS(
    COUNTIF(Herramientas_eléctricas1862106149[Herramientas_eléctricas], B254) &gt; 0, Herramientas_eléctricas1862106149[[#Headers],[Herramientas_eléctricas]],
    COUNTIF(Herramientas_neumáticas1963107150[Herramientas_neumáticas], B254) &gt; 0, Herramientas_neumáticas1963107150[[#Headers],[Herramientas_neumáticas]],
    COUNTIF(Herramientas_de_medición2064108151[Herramientas_de_medición], B254) &gt; 0, Herramientas_de_medición2064108151[[#Headers],[Herramientas_de_medición]],
    COUNTIF(Herrramientas_mecánicas2165109152[Herramientas_mecánicas], B254) &gt; 0, Herrramientas_mecánicas2165109152[[#Headers],[Herramientas_mecánicas]],
    COUNTIF(AH254:AH260, B254) &gt; 0, Herramientas_hidráulicas2266110153[[#Headers],[Herramientas_hidráulicas]],
    COUNTIF(EPP_2367111154[SPCC], B254) &gt; 0, EPP_2367111154[[#Headers],[SPCC]],
   COUNTIF(Herramientas_de_izaje2468112155[Herramientas_de_izaje], B254) &gt; 0, Herramientas_de_izaje2468112155[[#Headers],[Herramientas_de_izaje]],
COUNTIF(Tabla162670114157[Equipos], B254) &gt; 0, Tabla162670114157[[#Headers],[Equipos]],
    TRUE, "Sin clasificación"
)</f>
        <v>Sin clasificación</v>
      </c>
      <c r="I254" s="15"/>
      <c r="J254" s="47"/>
      <c r="K254" s="76"/>
      <c r="L254" s="76"/>
      <c r="M254" s="78" t="str">
        <f>_xlfn.LET(
    _xlpm.itemBuscado, B254,
    _xlpm.areaBuscada, C254,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TEXT(COUNTIF($C$2:C254, _xlpm.areaBuscada), "0000"),
    _xlpm.codItem &amp; "-" &amp; _xlpm.codArea &amp; "-" &amp; _xlpm.secuencia
)</f>
        <v>-SinArea-0000</v>
      </c>
      <c r="N254" s="77"/>
      <c r="O254" s="32"/>
      <c r="P254" s="32"/>
      <c r="Q254" s="32"/>
      <c r="R254" s="32"/>
    </row>
    <row r="255" spans="3:18" x14ac:dyDescent="0.3">
      <c r="C255" s="11"/>
      <c r="D255" s="32"/>
      <c r="E255" s="11" t="str" cm="1">
        <f t="array" ref="E255">_xlfn.IFS(
    COUNTIF(Herramientas_eléctricas1862106149[Herramientas_eléctricas], B255) &gt; 0, Herramientas_eléctricas1862106149[[#Headers],[Herramientas_eléctricas]],
    COUNTIF(Herramientas_neumáticas1963107150[Herramientas_neumáticas], B255) &gt; 0, Herramientas_neumáticas1963107150[[#Headers],[Herramientas_neumáticas]],
    COUNTIF(Herramientas_de_medición2064108151[Herramientas_de_medición], B255) &gt; 0, Herramientas_de_medición2064108151[[#Headers],[Herramientas_de_medición]],
    COUNTIF(Herrramientas_mecánicas2165109152[Herramientas_mecánicas], B255) &gt; 0, Herrramientas_mecánicas2165109152[[#Headers],[Herramientas_mecánicas]],
    COUNTIF(AH255:AH261, B255) &gt; 0, Herramientas_hidráulicas2266110153[[#Headers],[Herramientas_hidráulicas]],
    COUNTIF(EPP_2367111154[SPCC], B255) &gt; 0, EPP_2367111154[[#Headers],[SPCC]],
   COUNTIF(Herramientas_de_izaje2468112155[Herramientas_de_izaje], B255) &gt; 0, Herramientas_de_izaje2468112155[[#Headers],[Herramientas_de_izaje]],
COUNTIF(Tabla162670114157[Equipos], B255) &gt; 0, Tabla162670114157[[#Headers],[Equipos]],
    TRUE, "Sin clasificación"
)</f>
        <v>Sin clasificación</v>
      </c>
      <c r="I255" s="15"/>
      <c r="J255" s="47"/>
      <c r="K255" s="76"/>
      <c r="L255" s="76"/>
      <c r="M255" s="78" t="str">
        <f>_xlfn.LET(
    _xlpm.itemBuscado, B255,
    _xlpm.areaBuscada, C255,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TEXT(COUNTIF($C$2:C255, _xlpm.areaBuscada), "0000"),
    _xlpm.codItem &amp; "-" &amp; _xlpm.codArea &amp; "-" &amp; _xlpm.secuencia
)</f>
        <v>-SinArea-0000</v>
      </c>
      <c r="N255" s="77"/>
      <c r="O255" s="32"/>
      <c r="P255" s="32"/>
      <c r="Q255" s="32"/>
      <c r="R255" s="32"/>
    </row>
    <row r="256" spans="3:18" x14ac:dyDescent="0.3">
      <c r="C256" s="11"/>
      <c r="D256" s="32"/>
      <c r="E256" s="11" t="str" cm="1">
        <f t="array" ref="E256">_xlfn.IFS(
    COUNTIF(Herramientas_eléctricas1862106149[Herramientas_eléctricas], B256) &gt; 0, Herramientas_eléctricas1862106149[[#Headers],[Herramientas_eléctricas]],
    COUNTIF(Herramientas_neumáticas1963107150[Herramientas_neumáticas], B256) &gt; 0, Herramientas_neumáticas1963107150[[#Headers],[Herramientas_neumáticas]],
    COUNTIF(Herramientas_de_medición2064108151[Herramientas_de_medición], B256) &gt; 0, Herramientas_de_medición2064108151[[#Headers],[Herramientas_de_medición]],
    COUNTIF(Herrramientas_mecánicas2165109152[Herramientas_mecánicas], B256) &gt; 0, Herrramientas_mecánicas2165109152[[#Headers],[Herramientas_mecánicas]],
    COUNTIF(AH256:AH262, B256) &gt; 0, Herramientas_hidráulicas2266110153[[#Headers],[Herramientas_hidráulicas]],
    COUNTIF(EPP_2367111154[SPCC], B256) &gt; 0, EPP_2367111154[[#Headers],[SPCC]],
   COUNTIF(Herramientas_de_izaje2468112155[Herramientas_de_izaje], B256) &gt; 0, Herramientas_de_izaje2468112155[[#Headers],[Herramientas_de_izaje]],
COUNTIF(Tabla162670114157[Equipos], B256) &gt; 0, Tabla162670114157[[#Headers],[Equipos]],
    TRUE, "Sin clasificación"
)</f>
        <v>Sin clasificación</v>
      </c>
      <c r="I256" s="15"/>
      <c r="J256" s="47"/>
      <c r="K256" s="76"/>
      <c r="L256" s="76"/>
      <c r="M256" s="78" t="str">
        <f>_xlfn.LET(
    _xlpm.itemBuscado, B256,
    _xlpm.areaBuscada, C256,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TEXT(COUNTIF($C$2:C256, _xlpm.areaBuscada), "0000"),
    _xlpm.codItem &amp; "-" &amp; _xlpm.codArea &amp; "-" &amp; _xlpm.secuencia
)</f>
        <v>-SinArea-0000</v>
      </c>
      <c r="N256" s="77"/>
      <c r="O256" s="32"/>
      <c r="P256" s="32"/>
      <c r="Q256" s="32"/>
      <c r="R256" s="32"/>
    </row>
    <row r="257" spans="3:18" x14ac:dyDescent="0.3">
      <c r="C257" s="11"/>
      <c r="D257" s="32"/>
      <c r="E257" s="11" t="str" cm="1">
        <f t="array" ref="E257">_xlfn.IFS(
    COUNTIF(Herramientas_eléctricas1862106149[Herramientas_eléctricas], B257) &gt; 0, Herramientas_eléctricas1862106149[[#Headers],[Herramientas_eléctricas]],
    COUNTIF(Herramientas_neumáticas1963107150[Herramientas_neumáticas], B257) &gt; 0, Herramientas_neumáticas1963107150[[#Headers],[Herramientas_neumáticas]],
    COUNTIF(Herramientas_de_medición2064108151[Herramientas_de_medición], B257) &gt; 0, Herramientas_de_medición2064108151[[#Headers],[Herramientas_de_medición]],
    COUNTIF(Herrramientas_mecánicas2165109152[Herramientas_mecánicas], B257) &gt; 0, Herrramientas_mecánicas2165109152[[#Headers],[Herramientas_mecánicas]],
    COUNTIF(AH257:AH263, B257) &gt; 0, Herramientas_hidráulicas2266110153[[#Headers],[Herramientas_hidráulicas]],
    COUNTIF(EPP_2367111154[SPCC], B257) &gt; 0, EPP_2367111154[[#Headers],[SPCC]],
   COUNTIF(Herramientas_de_izaje2468112155[Herramientas_de_izaje], B257) &gt; 0, Herramientas_de_izaje2468112155[[#Headers],[Herramientas_de_izaje]],
COUNTIF(Tabla162670114157[Equipos], B257) &gt; 0, Tabla162670114157[[#Headers],[Equipos]],
    TRUE, "Sin clasificación"
)</f>
        <v>Sin clasificación</v>
      </c>
      <c r="I257" s="15"/>
      <c r="J257" s="47"/>
      <c r="K257" s="76"/>
      <c r="L257" s="76"/>
      <c r="M257" s="78" t="str">
        <f>_xlfn.LET(
    _xlpm.itemBuscado, B257,
    _xlpm.areaBuscada, C257,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TEXT(COUNTIF($C$2:C257, _xlpm.areaBuscada), "0000"),
    _xlpm.codItem &amp; "-" &amp; _xlpm.codArea &amp; "-" &amp; _xlpm.secuencia
)</f>
        <v>-SinArea-0000</v>
      </c>
      <c r="N257" s="77"/>
      <c r="O257" s="32"/>
      <c r="P257" s="32"/>
      <c r="Q257" s="32"/>
      <c r="R257" s="32"/>
    </row>
    <row r="258" spans="3:18" x14ac:dyDescent="0.3">
      <c r="C258" s="11"/>
      <c r="D258" s="32"/>
      <c r="E258" s="11" t="str" cm="1">
        <f t="array" ref="E258">_xlfn.IFS(
    COUNTIF(Herramientas_eléctricas1862106149[Herramientas_eléctricas], B258) &gt; 0, Herramientas_eléctricas1862106149[[#Headers],[Herramientas_eléctricas]],
    COUNTIF(Herramientas_neumáticas1963107150[Herramientas_neumáticas], B258) &gt; 0, Herramientas_neumáticas1963107150[[#Headers],[Herramientas_neumáticas]],
    COUNTIF(Herramientas_de_medición2064108151[Herramientas_de_medición], B258) &gt; 0, Herramientas_de_medición2064108151[[#Headers],[Herramientas_de_medición]],
    COUNTIF(Herrramientas_mecánicas2165109152[Herramientas_mecánicas], B258) &gt; 0, Herrramientas_mecánicas2165109152[[#Headers],[Herramientas_mecánicas]],
    COUNTIF(AH258:AH264, B258) &gt; 0, Herramientas_hidráulicas2266110153[[#Headers],[Herramientas_hidráulicas]],
    COUNTIF(EPP_2367111154[SPCC], B258) &gt; 0, EPP_2367111154[[#Headers],[SPCC]],
   COUNTIF(Herramientas_de_izaje2468112155[Herramientas_de_izaje], B258) &gt; 0, Herramientas_de_izaje2468112155[[#Headers],[Herramientas_de_izaje]],
COUNTIF(Tabla162670114157[Equipos], B258) &gt; 0, Tabla162670114157[[#Headers],[Equipos]],
    TRUE, "Sin clasificación"
)</f>
        <v>Sin clasificación</v>
      </c>
      <c r="I258" s="15"/>
      <c r="J258" s="47"/>
      <c r="K258" s="76"/>
      <c r="L258" s="76"/>
      <c r="M258" s="78" t="str">
        <f>_xlfn.LET(
    _xlpm.itemBuscado, B258,
    _xlpm.areaBuscada, C258,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TEXT(COUNTIF($C$2:C258, _xlpm.areaBuscada), "0000"),
    _xlpm.codItem &amp; "-" &amp; _xlpm.codArea &amp; "-" &amp; _xlpm.secuencia
)</f>
        <v>-SinArea-0000</v>
      </c>
      <c r="N258" s="77"/>
      <c r="O258" s="32"/>
      <c r="P258" s="32"/>
      <c r="Q258" s="32"/>
      <c r="R258" s="32"/>
    </row>
    <row r="259" spans="3:18" x14ac:dyDescent="0.3">
      <c r="C259" s="11"/>
      <c r="D259" s="32"/>
      <c r="E259" s="11" t="str" cm="1">
        <f t="array" ref="E259">_xlfn.IFS(
    COUNTIF(Herramientas_eléctricas1862106149[Herramientas_eléctricas], B259) &gt; 0, Herramientas_eléctricas1862106149[[#Headers],[Herramientas_eléctricas]],
    COUNTIF(Herramientas_neumáticas1963107150[Herramientas_neumáticas], B259) &gt; 0, Herramientas_neumáticas1963107150[[#Headers],[Herramientas_neumáticas]],
    COUNTIF(Herramientas_de_medición2064108151[Herramientas_de_medición], B259) &gt; 0, Herramientas_de_medición2064108151[[#Headers],[Herramientas_de_medición]],
    COUNTIF(Herrramientas_mecánicas2165109152[Herramientas_mecánicas], B259) &gt; 0, Herrramientas_mecánicas2165109152[[#Headers],[Herramientas_mecánicas]],
    COUNTIF(AH259:AH265, B259) &gt; 0, Herramientas_hidráulicas2266110153[[#Headers],[Herramientas_hidráulicas]],
    COUNTIF(EPP_2367111154[SPCC], B259) &gt; 0, EPP_2367111154[[#Headers],[SPCC]],
   COUNTIF(Herramientas_de_izaje2468112155[Herramientas_de_izaje], B259) &gt; 0, Herramientas_de_izaje2468112155[[#Headers],[Herramientas_de_izaje]],
COUNTIF(Tabla162670114157[Equipos], B259) &gt; 0, Tabla162670114157[[#Headers],[Equipos]],
    TRUE, "Sin clasificación"
)</f>
        <v>Sin clasificación</v>
      </c>
      <c r="I259" s="15"/>
      <c r="J259" s="47"/>
      <c r="K259" s="76"/>
      <c r="L259" s="76"/>
      <c r="M259" s="78" t="str">
        <f>_xlfn.LET(
    _xlpm.itemBuscado, B259,
    _xlpm.areaBuscada, C259,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TEXT(COUNTIF($C$2:C259, _xlpm.areaBuscada), "0000"),
    _xlpm.codItem &amp; "-" &amp; _xlpm.codArea &amp; "-" &amp; _xlpm.secuencia
)</f>
        <v>-SinArea-0000</v>
      </c>
      <c r="N259" s="77"/>
      <c r="O259" s="32"/>
      <c r="P259" s="32"/>
      <c r="Q259" s="32"/>
      <c r="R259" s="32"/>
    </row>
    <row r="260" spans="3:18" x14ac:dyDescent="0.3">
      <c r="C260" s="11"/>
      <c r="D260" s="32"/>
      <c r="E260" s="11" t="str" cm="1">
        <f t="array" ref="E260">_xlfn.IFS(
    COUNTIF(Herramientas_eléctricas1862106149[Herramientas_eléctricas], B260) &gt; 0, Herramientas_eléctricas1862106149[[#Headers],[Herramientas_eléctricas]],
    COUNTIF(Herramientas_neumáticas1963107150[Herramientas_neumáticas], B260) &gt; 0, Herramientas_neumáticas1963107150[[#Headers],[Herramientas_neumáticas]],
    COUNTIF(Herramientas_de_medición2064108151[Herramientas_de_medición], B260) &gt; 0, Herramientas_de_medición2064108151[[#Headers],[Herramientas_de_medición]],
    COUNTIF(Herrramientas_mecánicas2165109152[Herramientas_mecánicas], B260) &gt; 0, Herrramientas_mecánicas2165109152[[#Headers],[Herramientas_mecánicas]],
    COUNTIF(AH260:AH266, B260) &gt; 0, Herramientas_hidráulicas2266110153[[#Headers],[Herramientas_hidráulicas]],
    COUNTIF(EPP_2367111154[SPCC], B260) &gt; 0, EPP_2367111154[[#Headers],[SPCC]],
   COUNTIF(Herramientas_de_izaje2468112155[Herramientas_de_izaje], B260) &gt; 0, Herramientas_de_izaje2468112155[[#Headers],[Herramientas_de_izaje]],
COUNTIF(Tabla162670114157[Equipos], B260) &gt; 0, Tabla162670114157[[#Headers],[Equipos]],
    TRUE, "Sin clasificación"
)</f>
        <v>Sin clasificación</v>
      </c>
      <c r="I260" s="15"/>
      <c r="J260" s="47"/>
      <c r="K260" s="76"/>
      <c r="L260" s="76"/>
      <c r="M260" s="78" t="str">
        <f>_xlfn.LET(
    _xlpm.itemBuscado, B260,
    _xlpm.areaBuscada, C260,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TEXT(COUNTIF($C$2:C260, _xlpm.areaBuscada), "0000"),
    _xlpm.codItem &amp; "-" &amp; _xlpm.codArea &amp; "-" &amp; _xlpm.secuencia
)</f>
        <v>-SinArea-0000</v>
      </c>
      <c r="N260" s="77"/>
      <c r="O260" s="32"/>
      <c r="P260" s="32"/>
      <c r="Q260" s="32"/>
      <c r="R260" s="32"/>
    </row>
    <row r="261" spans="3:18" x14ac:dyDescent="0.3">
      <c r="C261" s="11"/>
      <c r="D261" s="32"/>
      <c r="E261" s="11" t="str" cm="1">
        <f t="array" ref="E261">_xlfn.IFS(
    COUNTIF(Herramientas_eléctricas1862106149[Herramientas_eléctricas], B261) &gt; 0, Herramientas_eléctricas1862106149[[#Headers],[Herramientas_eléctricas]],
    COUNTIF(Herramientas_neumáticas1963107150[Herramientas_neumáticas], B261) &gt; 0, Herramientas_neumáticas1963107150[[#Headers],[Herramientas_neumáticas]],
    COUNTIF(Herramientas_de_medición2064108151[Herramientas_de_medición], B261) &gt; 0, Herramientas_de_medición2064108151[[#Headers],[Herramientas_de_medición]],
    COUNTIF(Herrramientas_mecánicas2165109152[Herramientas_mecánicas], B261) &gt; 0, Herrramientas_mecánicas2165109152[[#Headers],[Herramientas_mecánicas]],
    COUNTIF(AH261:AH267, B261) &gt; 0, Herramientas_hidráulicas2266110153[[#Headers],[Herramientas_hidráulicas]],
    COUNTIF(EPP_2367111154[SPCC], B261) &gt; 0, EPP_2367111154[[#Headers],[SPCC]],
   COUNTIF(Herramientas_de_izaje2468112155[Herramientas_de_izaje], B261) &gt; 0, Herramientas_de_izaje2468112155[[#Headers],[Herramientas_de_izaje]],
COUNTIF(Tabla162670114157[Equipos], B261) &gt; 0, Tabla162670114157[[#Headers],[Equipos]],
    TRUE, "Sin clasificación"
)</f>
        <v>Sin clasificación</v>
      </c>
      <c r="I261" s="15"/>
      <c r="J261" s="47"/>
      <c r="K261" s="76"/>
      <c r="L261" s="76"/>
      <c r="M261" s="78" t="str">
        <f>_xlfn.LET(
    _xlpm.itemBuscado, B261,
    _xlpm.areaBuscada, C261,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TEXT(COUNTIF($C$2:C261, _xlpm.areaBuscada), "0000"),
    _xlpm.codItem &amp; "-" &amp; _xlpm.codArea &amp; "-" &amp; _xlpm.secuencia
)</f>
        <v>-SinArea-0000</v>
      </c>
      <c r="N261" s="77"/>
      <c r="O261" s="32"/>
      <c r="P261" s="32"/>
      <c r="Q261" s="32"/>
      <c r="R261" s="32"/>
    </row>
    <row r="262" spans="3:18" x14ac:dyDescent="0.3">
      <c r="C262" s="11"/>
      <c r="D262" s="32"/>
      <c r="E262" s="11" t="str" cm="1">
        <f t="array" ref="E262">_xlfn.IFS(
    COUNTIF(Herramientas_eléctricas1862106149[Herramientas_eléctricas], B262) &gt; 0, Herramientas_eléctricas1862106149[[#Headers],[Herramientas_eléctricas]],
    COUNTIF(Herramientas_neumáticas1963107150[Herramientas_neumáticas], B262) &gt; 0, Herramientas_neumáticas1963107150[[#Headers],[Herramientas_neumáticas]],
    COUNTIF(Herramientas_de_medición2064108151[Herramientas_de_medición], B262) &gt; 0, Herramientas_de_medición2064108151[[#Headers],[Herramientas_de_medición]],
    COUNTIF(Herrramientas_mecánicas2165109152[Herramientas_mecánicas], B262) &gt; 0, Herrramientas_mecánicas2165109152[[#Headers],[Herramientas_mecánicas]],
    COUNTIF(AH262:AH268, B262) &gt; 0, Herramientas_hidráulicas2266110153[[#Headers],[Herramientas_hidráulicas]],
    COUNTIF(EPP_2367111154[SPCC], B262) &gt; 0, EPP_2367111154[[#Headers],[SPCC]],
   COUNTIF(Herramientas_de_izaje2468112155[Herramientas_de_izaje], B262) &gt; 0, Herramientas_de_izaje2468112155[[#Headers],[Herramientas_de_izaje]],
COUNTIF(Tabla162670114157[Equipos], B262) &gt; 0, Tabla162670114157[[#Headers],[Equipos]],
    TRUE, "Sin clasificación"
)</f>
        <v>Sin clasificación</v>
      </c>
      <c r="I262" s="15"/>
      <c r="J262" s="47"/>
      <c r="K262" s="76"/>
      <c r="L262" s="76"/>
      <c r="M262" s="78" t="str">
        <f>_xlfn.LET(
    _xlpm.itemBuscado, B262,
    _xlpm.areaBuscada, C262,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TEXT(COUNTIF($C$2:C262, _xlpm.areaBuscada), "0000"),
    _xlpm.codItem &amp; "-" &amp; _xlpm.codArea &amp; "-" &amp; _xlpm.secuencia
)</f>
        <v>-SinArea-0000</v>
      </c>
      <c r="N262" s="77"/>
      <c r="O262" s="32"/>
      <c r="P262" s="32"/>
      <c r="Q262" s="32"/>
      <c r="R262" s="32"/>
    </row>
    <row r="263" spans="3:18" x14ac:dyDescent="0.3">
      <c r="C263" s="11"/>
      <c r="D263" s="32"/>
      <c r="E263" s="11" t="str" cm="1">
        <f t="array" ref="E263">_xlfn.IFS(
    COUNTIF(Herramientas_eléctricas1862106149[Herramientas_eléctricas], B263) &gt; 0, Herramientas_eléctricas1862106149[[#Headers],[Herramientas_eléctricas]],
    COUNTIF(Herramientas_neumáticas1963107150[Herramientas_neumáticas], B263) &gt; 0, Herramientas_neumáticas1963107150[[#Headers],[Herramientas_neumáticas]],
    COUNTIF(Herramientas_de_medición2064108151[Herramientas_de_medición], B263) &gt; 0, Herramientas_de_medición2064108151[[#Headers],[Herramientas_de_medición]],
    COUNTIF(Herrramientas_mecánicas2165109152[Herramientas_mecánicas], B263) &gt; 0, Herrramientas_mecánicas2165109152[[#Headers],[Herramientas_mecánicas]],
    COUNTIF(AH263:AH269, B263) &gt; 0, Herramientas_hidráulicas2266110153[[#Headers],[Herramientas_hidráulicas]],
    COUNTIF(EPP_2367111154[SPCC], B263) &gt; 0, EPP_2367111154[[#Headers],[SPCC]],
   COUNTIF(Herramientas_de_izaje2468112155[Herramientas_de_izaje], B263) &gt; 0, Herramientas_de_izaje2468112155[[#Headers],[Herramientas_de_izaje]],
COUNTIF(Tabla162670114157[Equipos], B263) &gt; 0, Tabla162670114157[[#Headers],[Equipos]],
    TRUE, "Sin clasificación"
)</f>
        <v>Sin clasificación</v>
      </c>
      <c r="I263" s="15"/>
      <c r="J263" s="47"/>
      <c r="K263" s="76"/>
      <c r="L263" s="76"/>
      <c r="M263" s="78" t="str">
        <f>_xlfn.LET(
    _xlpm.itemBuscado, B263,
    _xlpm.areaBuscada, C263,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TEXT(COUNTIF($C$2:C263, _xlpm.areaBuscada), "0000"),
    _xlpm.codItem &amp; "-" &amp; _xlpm.codArea &amp; "-" &amp; _xlpm.secuencia
)</f>
        <v>-SinArea-0000</v>
      </c>
      <c r="N263" s="77"/>
      <c r="O263" s="32"/>
      <c r="P263" s="32"/>
      <c r="Q263" s="32"/>
      <c r="R263" s="32"/>
    </row>
    <row r="264" spans="3:18" x14ac:dyDescent="0.3">
      <c r="C264" s="11"/>
      <c r="D264" s="32"/>
      <c r="E264" s="11" t="str" cm="1">
        <f t="array" ref="E264">_xlfn.IFS(
    COUNTIF(Herramientas_eléctricas1862106149[Herramientas_eléctricas], B264) &gt; 0, Herramientas_eléctricas1862106149[[#Headers],[Herramientas_eléctricas]],
    COUNTIF(Herramientas_neumáticas1963107150[Herramientas_neumáticas], B264) &gt; 0, Herramientas_neumáticas1963107150[[#Headers],[Herramientas_neumáticas]],
    COUNTIF(Herramientas_de_medición2064108151[Herramientas_de_medición], B264) &gt; 0, Herramientas_de_medición2064108151[[#Headers],[Herramientas_de_medición]],
    COUNTIF(Herrramientas_mecánicas2165109152[Herramientas_mecánicas], B264) &gt; 0, Herrramientas_mecánicas2165109152[[#Headers],[Herramientas_mecánicas]],
    COUNTIF(AH264:AH270, B264) &gt; 0, Herramientas_hidráulicas2266110153[[#Headers],[Herramientas_hidráulicas]],
    COUNTIF(EPP_2367111154[SPCC], B264) &gt; 0, EPP_2367111154[[#Headers],[SPCC]],
   COUNTIF(Herramientas_de_izaje2468112155[Herramientas_de_izaje], B264) &gt; 0, Herramientas_de_izaje2468112155[[#Headers],[Herramientas_de_izaje]],
COUNTIF(Tabla162670114157[Equipos], B264) &gt; 0, Tabla162670114157[[#Headers],[Equipos]],
    TRUE, "Sin clasificación"
)</f>
        <v>Sin clasificación</v>
      </c>
      <c r="I264" s="15"/>
      <c r="J264" s="47"/>
      <c r="K264" s="76"/>
      <c r="L264" s="76"/>
      <c r="M264" s="78" t="str">
        <f>_xlfn.LET(
    _xlpm.itemBuscado, B264,
    _xlpm.areaBuscada, C264,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TEXT(COUNTIF($C$2:C264, _xlpm.areaBuscada), "0000"),
    _xlpm.codItem &amp; "-" &amp; _xlpm.codArea &amp; "-" &amp; _xlpm.secuencia
)</f>
        <v>-SinArea-0000</v>
      </c>
      <c r="N264" s="77"/>
      <c r="O264" s="32"/>
      <c r="P264" s="32"/>
      <c r="Q264" s="32"/>
      <c r="R264" s="32"/>
    </row>
    <row r="265" spans="3:18" x14ac:dyDescent="0.3">
      <c r="C265" s="11"/>
      <c r="D265" s="32"/>
      <c r="E265" s="11" t="str" cm="1">
        <f t="array" ref="E265">_xlfn.IFS(
    COUNTIF(Herramientas_eléctricas1862106149[Herramientas_eléctricas], B265) &gt; 0, Herramientas_eléctricas1862106149[[#Headers],[Herramientas_eléctricas]],
    COUNTIF(Herramientas_neumáticas1963107150[Herramientas_neumáticas], B265) &gt; 0, Herramientas_neumáticas1963107150[[#Headers],[Herramientas_neumáticas]],
    COUNTIF(Herramientas_de_medición2064108151[Herramientas_de_medición], B265) &gt; 0, Herramientas_de_medición2064108151[[#Headers],[Herramientas_de_medición]],
    COUNTIF(Herrramientas_mecánicas2165109152[Herramientas_mecánicas], B265) &gt; 0, Herrramientas_mecánicas2165109152[[#Headers],[Herramientas_mecánicas]],
    COUNTIF(AH265:AH271, B265) &gt; 0, Herramientas_hidráulicas2266110153[[#Headers],[Herramientas_hidráulicas]],
    COUNTIF(EPP_2367111154[SPCC], B265) &gt; 0, EPP_2367111154[[#Headers],[SPCC]],
   COUNTIF(Herramientas_de_izaje2468112155[Herramientas_de_izaje], B265) &gt; 0, Herramientas_de_izaje2468112155[[#Headers],[Herramientas_de_izaje]],
COUNTIF(Tabla162670114157[Equipos], B265) &gt; 0, Tabla162670114157[[#Headers],[Equipos]],
    TRUE, "Sin clasificación"
)</f>
        <v>Sin clasificación</v>
      </c>
      <c r="I265" s="15"/>
      <c r="J265" s="47"/>
      <c r="K265" s="76"/>
      <c r="L265" s="76"/>
      <c r="M265" s="78" t="str">
        <f>_xlfn.LET(
    _xlpm.itemBuscado, B265,
    _xlpm.areaBuscada, C265,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TEXT(COUNTIF($C$2:C265, _xlpm.areaBuscada), "0000"),
    _xlpm.codItem &amp; "-" &amp; _xlpm.codArea &amp; "-" &amp; _xlpm.secuencia
)</f>
        <v>-SinArea-0000</v>
      </c>
      <c r="N265" s="77"/>
      <c r="O265" s="32"/>
      <c r="P265" s="32"/>
      <c r="Q265" s="32"/>
      <c r="R265" s="32"/>
    </row>
    <row r="266" spans="3:18" x14ac:dyDescent="0.3">
      <c r="C266" s="11"/>
      <c r="D266" s="32"/>
      <c r="E266" s="11" t="str" cm="1">
        <f t="array" ref="E266">_xlfn.IFS(
    COUNTIF(Herramientas_eléctricas1862106149[Herramientas_eléctricas], B266) &gt; 0, Herramientas_eléctricas1862106149[[#Headers],[Herramientas_eléctricas]],
    COUNTIF(Herramientas_neumáticas1963107150[Herramientas_neumáticas], B266) &gt; 0, Herramientas_neumáticas1963107150[[#Headers],[Herramientas_neumáticas]],
    COUNTIF(Herramientas_de_medición2064108151[Herramientas_de_medición], B266) &gt; 0, Herramientas_de_medición2064108151[[#Headers],[Herramientas_de_medición]],
    COUNTIF(Herrramientas_mecánicas2165109152[Herramientas_mecánicas], B266) &gt; 0, Herrramientas_mecánicas2165109152[[#Headers],[Herramientas_mecánicas]],
    COUNTIF(AH266:AH272, B266) &gt; 0, Herramientas_hidráulicas2266110153[[#Headers],[Herramientas_hidráulicas]],
    COUNTIF(EPP_2367111154[SPCC], B266) &gt; 0, EPP_2367111154[[#Headers],[SPCC]],
   COUNTIF(Herramientas_de_izaje2468112155[Herramientas_de_izaje], B266) &gt; 0, Herramientas_de_izaje2468112155[[#Headers],[Herramientas_de_izaje]],
COUNTIF(Tabla162670114157[Equipos], B266) &gt; 0, Tabla162670114157[[#Headers],[Equipos]],
    TRUE, "Sin clasificación"
)</f>
        <v>Sin clasificación</v>
      </c>
      <c r="I266" s="15"/>
      <c r="J266" s="47"/>
      <c r="K266" s="76"/>
      <c r="L266" s="76"/>
      <c r="M266" s="78" t="str">
        <f>_xlfn.LET(
    _xlpm.itemBuscado, B266,
    _xlpm.areaBuscada, C266,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TEXT(COUNTIF($C$2:C266, _xlpm.areaBuscada), "0000"),
    _xlpm.codItem &amp; "-" &amp; _xlpm.codArea &amp; "-" &amp; _xlpm.secuencia
)</f>
        <v>-SinArea-0000</v>
      </c>
      <c r="N266" s="77"/>
      <c r="O266" s="32"/>
      <c r="P266" s="32"/>
      <c r="Q266" s="32"/>
      <c r="R266" s="32"/>
    </row>
    <row r="267" spans="3:18" x14ac:dyDescent="0.3">
      <c r="C267" s="11"/>
      <c r="D267" s="32"/>
      <c r="E267" s="11" t="str" cm="1">
        <f t="array" ref="E267">_xlfn.IFS(
    COUNTIF(Herramientas_eléctricas1862106149[Herramientas_eléctricas], B267) &gt; 0, Herramientas_eléctricas1862106149[[#Headers],[Herramientas_eléctricas]],
    COUNTIF(Herramientas_neumáticas1963107150[Herramientas_neumáticas], B267) &gt; 0, Herramientas_neumáticas1963107150[[#Headers],[Herramientas_neumáticas]],
    COUNTIF(Herramientas_de_medición2064108151[Herramientas_de_medición], B267) &gt; 0, Herramientas_de_medición2064108151[[#Headers],[Herramientas_de_medición]],
    COUNTIF(Herrramientas_mecánicas2165109152[Herramientas_mecánicas], B267) &gt; 0, Herrramientas_mecánicas2165109152[[#Headers],[Herramientas_mecánicas]],
    COUNTIF(AH267:AH273, B267) &gt; 0, Herramientas_hidráulicas2266110153[[#Headers],[Herramientas_hidráulicas]],
    COUNTIF(EPP_2367111154[SPCC], B267) &gt; 0, EPP_2367111154[[#Headers],[SPCC]],
   COUNTIF(Herramientas_de_izaje2468112155[Herramientas_de_izaje], B267) &gt; 0, Herramientas_de_izaje2468112155[[#Headers],[Herramientas_de_izaje]],
COUNTIF(Tabla162670114157[Equipos], B267) &gt; 0, Tabla162670114157[[#Headers],[Equipos]],
    TRUE, "Sin clasificación"
)</f>
        <v>Sin clasificación</v>
      </c>
      <c r="I267" s="15"/>
      <c r="J267" s="47"/>
      <c r="K267" s="76"/>
      <c r="L267" s="76"/>
      <c r="M267" s="78" t="str">
        <f>_xlfn.LET(
    _xlpm.itemBuscado, B267,
    _xlpm.areaBuscada, C267,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TEXT(COUNTIF($C$2:C267, _xlpm.areaBuscada), "0000"),
    _xlpm.codItem &amp; "-" &amp; _xlpm.codArea &amp; "-" &amp; _xlpm.secuencia
)</f>
        <v>-SinArea-0000</v>
      </c>
      <c r="N267" s="77"/>
      <c r="O267" s="32"/>
      <c r="P267" s="32"/>
      <c r="Q267" s="32"/>
      <c r="R267" s="32"/>
    </row>
    <row r="268" spans="3:18" x14ac:dyDescent="0.3">
      <c r="C268" s="11"/>
      <c r="D268" s="32"/>
      <c r="E268" s="11" t="str" cm="1">
        <f t="array" ref="E268">_xlfn.IFS(
    COUNTIF(Herramientas_eléctricas1862106149[Herramientas_eléctricas], B268) &gt; 0, Herramientas_eléctricas1862106149[[#Headers],[Herramientas_eléctricas]],
    COUNTIF(Herramientas_neumáticas1963107150[Herramientas_neumáticas], B268) &gt; 0, Herramientas_neumáticas1963107150[[#Headers],[Herramientas_neumáticas]],
    COUNTIF(Herramientas_de_medición2064108151[Herramientas_de_medición], B268) &gt; 0, Herramientas_de_medición2064108151[[#Headers],[Herramientas_de_medición]],
    COUNTIF(Herrramientas_mecánicas2165109152[Herramientas_mecánicas], B268) &gt; 0, Herrramientas_mecánicas2165109152[[#Headers],[Herramientas_mecánicas]],
    COUNTIF(AH268:AH274, B268) &gt; 0, Herramientas_hidráulicas2266110153[[#Headers],[Herramientas_hidráulicas]],
    COUNTIF(EPP_2367111154[SPCC], B268) &gt; 0, EPP_2367111154[[#Headers],[SPCC]],
   COUNTIF(Herramientas_de_izaje2468112155[Herramientas_de_izaje], B268) &gt; 0, Herramientas_de_izaje2468112155[[#Headers],[Herramientas_de_izaje]],
COUNTIF(Tabla162670114157[Equipos], B268) &gt; 0, Tabla162670114157[[#Headers],[Equipos]],
    TRUE, "Sin clasificación"
)</f>
        <v>Sin clasificación</v>
      </c>
      <c r="I268" s="15"/>
      <c r="J268" s="47"/>
      <c r="K268" s="76"/>
      <c r="L268" s="76"/>
      <c r="M268" s="78" t="str">
        <f>_xlfn.LET(
    _xlpm.itemBuscado, B268,
    _xlpm.areaBuscada, C268,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TEXT(COUNTIF($C$2:C268, _xlpm.areaBuscada), "0000"),
    _xlpm.codItem &amp; "-" &amp; _xlpm.codArea &amp; "-" &amp; _xlpm.secuencia
)</f>
        <v>-SinArea-0000</v>
      </c>
      <c r="N268" s="77"/>
      <c r="O268" s="32"/>
      <c r="P268" s="32"/>
      <c r="Q268" s="32"/>
      <c r="R268" s="32"/>
    </row>
    <row r="269" spans="3:18" x14ac:dyDescent="0.3">
      <c r="C269" s="11"/>
      <c r="D269" s="32"/>
      <c r="E269" s="11" t="str" cm="1">
        <f t="array" ref="E269">_xlfn.IFS(
    COUNTIF(Herramientas_eléctricas1862106149[Herramientas_eléctricas], B269) &gt; 0, Herramientas_eléctricas1862106149[[#Headers],[Herramientas_eléctricas]],
    COUNTIF(Herramientas_neumáticas1963107150[Herramientas_neumáticas], B269) &gt; 0, Herramientas_neumáticas1963107150[[#Headers],[Herramientas_neumáticas]],
    COUNTIF(Herramientas_de_medición2064108151[Herramientas_de_medición], B269) &gt; 0, Herramientas_de_medición2064108151[[#Headers],[Herramientas_de_medición]],
    COUNTIF(Herrramientas_mecánicas2165109152[Herramientas_mecánicas], B269) &gt; 0, Herrramientas_mecánicas2165109152[[#Headers],[Herramientas_mecánicas]],
    COUNTIF(AH269:AH275, B269) &gt; 0, Herramientas_hidráulicas2266110153[[#Headers],[Herramientas_hidráulicas]],
    COUNTIF(EPP_2367111154[SPCC], B269) &gt; 0, EPP_2367111154[[#Headers],[SPCC]],
   COUNTIF(Herramientas_de_izaje2468112155[Herramientas_de_izaje], B269) &gt; 0, Herramientas_de_izaje2468112155[[#Headers],[Herramientas_de_izaje]],
COUNTIF(Tabla162670114157[Equipos], B269) &gt; 0, Tabla162670114157[[#Headers],[Equipos]],
    TRUE, "Sin clasificación"
)</f>
        <v>Sin clasificación</v>
      </c>
      <c r="I269" s="15"/>
      <c r="J269" s="47"/>
      <c r="K269" s="76"/>
      <c r="L269" s="76"/>
      <c r="M269" s="78" t="str">
        <f>_xlfn.LET(
    _xlpm.itemBuscado, B269,
    _xlpm.areaBuscada, C269,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TEXT(COUNTIF($C$2:C269, _xlpm.areaBuscada), "0000"),
    _xlpm.codItem &amp; "-" &amp; _xlpm.codArea &amp; "-" &amp; _xlpm.secuencia
)</f>
        <v>-SinArea-0000</v>
      </c>
      <c r="N269" s="77"/>
      <c r="O269" s="32"/>
      <c r="P269" s="32"/>
      <c r="Q269" s="32"/>
      <c r="R269" s="32"/>
    </row>
    <row r="270" spans="3:18" x14ac:dyDescent="0.3">
      <c r="C270" s="11"/>
      <c r="D270" s="32"/>
      <c r="E270" s="11" t="str" cm="1">
        <f t="array" ref="E270">_xlfn.IFS(
    COUNTIF(Herramientas_eléctricas1862106149[Herramientas_eléctricas], B270) &gt; 0, Herramientas_eléctricas1862106149[[#Headers],[Herramientas_eléctricas]],
    COUNTIF(Herramientas_neumáticas1963107150[Herramientas_neumáticas], B270) &gt; 0, Herramientas_neumáticas1963107150[[#Headers],[Herramientas_neumáticas]],
    COUNTIF(Herramientas_de_medición2064108151[Herramientas_de_medición], B270) &gt; 0, Herramientas_de_medición2064108151[[#Headers],[Herramientas_de_medición]],
    COUNTIF(Herrramientas_mecánicas2165109152[Herramientas_mecánicas], B270) &gt; 0, Herrramientas_mecánicas2165109152[[#Headers],[Herramientas_mecánicas]],
    COUNTIF(AH270:AH276, B270) &gt; 0, Herramientas_hidráulicas2266110153[[#Headers],[Herramientas_hidráulicas]],
    COUNTIF(EPP_2367111154[SPCC], B270) &gt; 0, EPP_2367111154[[#Headers],[SPCC]],
   COUNTIF(Herramientas_de_izaje2468112155[Herramientas_de_izaje], B270) &gt; 0, Herramientas_de_izaje2468112155[[#Headers],[Herramientas_de_izaje]],
COUNTIF(Tabla162670114157[Equipos], B270) &gt; 0, Tabla162670114157[[#Headers],[Equipos]],
    TRUE, "Sin clasificación"
)</f>
        <v>Sin clasificación</v>
      </c>
      <c r="I270" s="15"/>
      <c r="J270" s="47"/>
      <c r="K270" s="76"/>
      <c r="L270" s="76"/>
      <c r="M270" s="78" t="str">
        <f>_xlfn.LET(
    _xlpm.itemBuscado, B270,
    _xlpm.areaBuscada, C270,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TEXT(COUNTIF($C$2:C270, _xlpm.areaBuscada), "0000"),
    _xlpm.codItem &amp; "-" &amp; _xlpm.codArea &amp; "-" &amp; _xlpm.secuencia
)</f>
        <v>-SinArea-0000</v>
      </c>
      <c r="N270" s="77"/>
      <c r="O270" s="32"/>
      <c r="P270" s="32"/>
      <c r="Q270" s="32"/>
      <c r="R270" s="32"/>
    </row>
    <row r="271" spans="3:18" x14ac:dyDescent="0.3">
      <c r="C271" s="11"/>
      <c r="D271" s="32"/>
      <c r="E271" s="11" t="str" cm="1">
        <f t="array" ref="E271">_xlfn.IFS(
    COUNTIF(Herramientas_eléctricas1862106149[Herramientas_eléctricas], B271) &gt; 0, Herramientas_eléctricas1862106149[[#Headers],[Herramientas_eléctricas]],
    COUNTIF(Herramientas_neumáticas1963107150[Herramientas_neumáticas], B271) &gt; 0, Herramientas_neumáticas1963107150[[#Headers],[Herramientas_neumáticas]],
    COUNTIF(Herramientas_de_medición2064108151[Herramientas_de_medición], B271) &gt; 0, Herramientas_de_medición2064108151[[#Headers],[Herramientas_de_medición]],
    COUNTIF(Herrramientas_mecánicas2165109152[Herramientas_mecánicas], B271) &gt; 0, Herrramientas_mecánicas2165109152[[#Headers],[Herramientas_mecánicas]],
    COUNTIF(AH271:AH277, B271) &gt; 0, Herramientas_hidráulicas2266110153[[#Headers],[Herramientas_hidráulicas]],
    COUNTIF(EPP_2367111154[SPCC], B271) &gt; 0, EPP_2367111154[[#Headers],[SPCC]],
   COUNTIF(Herramientas_de_izaje2468112155[Herramientas_de_izaje], B271) &gt; 0, Herramientas_de_izaje2468112155[[#Headers],[Herramientas_de_izaje]],
COUNTIF(Tabla162670114157[Equipos], B271) &gt; 0, Tabla162670114157[[#Headers],[Equipos]],
    TRUE, "Sin clasificación"
)</f>
        <v>Sin clasificación</v>
      </c>
      <c r="I271" s="15"/>
      <c r="J271" s="47"/>
      <c r="K271" s="76"/>
      <c r="L271" s="76"/>
      <c r="M271" s="78" t="str">
        <f>_xlfn.LET(
    _xlpm.itemBuscado, B271,
    _xlpm.areaBuscada, C271,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TEXT(COUNTIF($C$2:C271, _xlpm.areaBuscada), "0000"),
    _xlpm.codItem &amp; "-" &amp; _xlpm.codArea &amp; "-" &amp; _xlpm.secuencia
)</f>
        <v>-SinArea-0000</v>
      </c>
      <c r="N271" s="77"/>
      <c r="O271" s="32"/>
      <c r="P271" s="32"/>
      <c r="Q271" s="32"/>
      <c r="R271" s="32"/>
    </row>
    <row r="272" spans="3:18" x14ac:dyDescent="0.3">
      <c r="C272" s="11"/>
      <c r="D272" s="32"/>
      <c r="E272" s="11" t="str" cm="1">
        <f t="array" ref="E272">_xlfn.IFS(
    COUNTIF(Herramientas_eléctricas1862106149[Herramientas_eléctricas], B272) &gt; 0, Herramientas_eléctricas1862106149[[#Headers],[Herramientas_eléctricas]],
    COUNTIF(Herramientas_neumáticas1963107150[Herramientas_neumáticas], B272) &gt; 0, Herramientas_neumáticas1963107150[[#Headers],[Herramientas_neumáticas]],
    COUNTIF(Herramientas_de_medición2064108151[Herramientas_de_medición], B272) &gt; 0, Herramientas_de_medición2064108151[[#Headers],[Herramientas_de_medición]],
    COUNTIF(Herrramientas_mecánicas2165109152[Herramientas_mecánicas], B272) &gt; 0, Herrramientas_mecánicas2165109152[[#Headers],[Herramientas_mecánicas]],
    COUNTIF(AH272:AH278, B272) &gt; 0, Herramientas_hidráulicas2266110153[[#Headers],[Herramientas_hidráulicas]],
    COUNTIF(EPP_2367111154[SPCC], B272) &gt; 0, EPP_2367111154[[#Headers],[SPCC]],
   COUNTIF(Herramientas_de_izaje2468112155[Herramientas_de_izaje], B272) &gt; 0, Herramientas_de_izaje2468112155[[#Headers],[Herramientas_de_izaje]],
COUNTIF(Tabla162670114157[Equipos], B272) &gt; 0, Tabla162670114157[[#Headers],[Equipos]],
    TRUE, "Sin clasificación"
)</f>
        <v>Sin clasificación</v>
      </c>
      <c r="I272" s="15"/>
      <c r="J272" s="47"/>
      <c r="K272" s="76"/>
      <c r="L272" s="76"/>
      <c r="M272" s="78" t="str">
        <f>_xlfn.LET(
    _xlpm.itemBuscado, B272,
    _xlpm.areaBuscada, C272,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TEXT(COUNTIF($C$2:C272, _xlpm.areaBuscada), "0000"),
    _xlpm.codItem &amp; "-" &amp; _xlpm.codArea &amp; "-" &amp; _xlpm.secuencia
)</f>
        <v>-SinArea-0000</v>
      </c>
      <c r="N272" s="77"/>
      <c r="O272" s="32"/>
      <c r="P272" s="32"/>
      <c r="Q272" s="32"/>
      <c r="R272" s="32"/>
    </row>
    <row r="273" spans="3:18" x14ac:dyDescent="0.3">
      <c r="C273" s="11"/>
      <c r="D273" s="32"/>
      <c r="E273" s="11" t="str" cm="1">
        <f t="array" ref="E273">_xlfn.IFS(
    COUNTIF(Herramientas_eléctricas1862106149[Herramientas_eléctricas], B273) &gt; 0, Herramientas_eléctricas1862106149[[#Headers],[Herramientas_eléctricas]],
    COUNTIF(Herramientas_neumáticas1963107150[Herramientas_neumáticas], B273) &gt; 0, Herramientas_neumáticas1963107150[[#Headers],[Herramientas_neumáticas]],
    COUNTIF(Herramientas_de_medición2064108151[Herramientas_de_medición], B273) &gt; 0, Herramientas_de_medición2064108151[[#Headers],[Herramientas_de_medición]],
    COUNTIF(Herrramientas_mecánicas2165109152[Herramientas_mecánicas], B273) &gt; 0, Herrramientas_mecánicas2165109152[[#Headers],[Herramientas_mecánicas]],
    COUNTIF(AH273:AH279, B273) &gt; 0, Herramientas_hidráulicas2266110153[[#Headers],[Herramientas_hidráulicas]],
    COUNTIF(EPP_2367111154[SPCC], B273) &gt; 0, EPP_2367111154[[#Headers],[SPCC]],
   COUNTIF(Herramientas_de_izaje2468112155[Herramientas_de_izaje], B273) &gt; 0, Herramientas_de_izaje2468112155[[#Headers],[Herramientas_de_izaje]],
COUNTIF(Tabla162670114157[Equipos], B273) &gt; 0, Tabla162670114157[[#Headers],[Equipos]],
    TRUE, "Sin clasificación"
)</f>
        <v>Sin clasificación</v>
      </c>
      <c r="I273" s="15"/>
      <c r="J273" s="47"/>
      <c r="K273" s="76"/>
      <c r="L273" s="76"/>
      <c r="M273" s="78" t="str">
        <f>_xlfn.LET(
    _xlpm.itemBuscado, B273,
    _xlpm.areaBuscada, C273,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TEXT(COUNTIF($C$2:C273, _xlpm.areaBuscada), "0000"),
    _xlpm.codItem &amp; "-" &amp; _xlpm.codArea &amp; "-" &amp; _xlpm.secuencia
)</f>
        <v>-SinArea-0000</v>
      </c>
      <c r="N273" s="77"/>
      <c r="O273" s="32"/>
      <c r="P273" s="32"/>
      <c r="Q273" s="32"/>
      <c r="R273" s="32"/>
    </row>
    <row r="274" spans="3:18" x14ac:dyDescent="0.3">
      <c r="C274" s="11"/>
      <c r="D274" s="32"/>
      <c r="E274" s="11" t="str" cm="1">
        <f t="array" ref="E274">_xlfn.IFS(
    COUNTIF(Herramientas_eléctricas1862106149[Herramientas_eléctricas], B274) &gt; 0, Herramientas_eléctricas1862106149[[#Headers],[Herramientas_eléctricas]],
    COUNTIF(Herramientas_neumáticas1963107150[Herramientas_neumáticas], B274) &gt; 0, Herramientas_neumáticas1963107150[[#Headers],[Herramientas_neumáticas]],
    COUNTIF(Herramientas_de_medición2064108151[Herramientas_de_medición], B274) &gt; 0, Herramientas_de_medición2064108151[[#Headers],[Herramientas_de_medición]],
    COUNTIF(Herrramientas_mecánicas2165109152[Herramientas_mecánicas], B274) &gt; 0, Herrramientas_mecánicas2165109152[[#Headers],[Herramientas_mecánicas]],
    COUNTIF(AH274:AH280, B274) &gt; 0, Herramientas_hidráulicas2266110153[[#Headers],[Herramientas_hidráulicas]],
    COUNTIF(EPP_2367111154[SPCC], B274) &gt; 0, EPP_2367111154[[#Headers],[SPCC]],
   COUNTIF(Herramientas_de_izaje2468112155[Herramientas_de_izaje], B274) &gt; 0, Herramientas_de_izaje2468112155[[#Headers],[Herramientas_de_izaje]],
COUNTIF(Tabla162670114157[Equipos], B274) &gt; 0, Tabla162670114157[[#Headers],[Equipos]],
    TRUE, "Sin clasificación"
)</f>
        <v>Sin clasificación</v>
      </c>
      <c r="I274" s="15"/>
      <c r="J274" s="47"/>
      <c r="K274" s="76"/>
      <c r="L274" s="76"/>
      <c r="M274" s="78" t="str">
        <f>_xlfn.LET(
    _xlpm.itemBuscado, B274,
    _xlpm.areaBuscada, C274,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TEXT(COUNTIF($C$2:C274, _xlpm.areaBuscada), "0000"),
    _xlpm.codItem &amp; "-" &amp; _xlpm.codArea &amp; "-" &amp; _xlpm.secuencia
)</f>
        <v>-SinArea-0000</v>
      </c>
      <c r="N274" s="77"/>
      <c r="O274" s="32"/>
      <c r="P274" s="32"/>
      <c r="Q274" s="32"/>
      <c r="R274" s="32"/>
    </row>
    <row r="275" spans="3:18" x14ac:dyDescent="0.3">
      <c r="C275" s="11"/>
      <c r="D275" s="32"/>
      <c r="E275" s="11" t="str" cm="1">
        <f t="array" ref="E275">_xlfn.IFS(
    COUNTIF(Herramientas_eléctricas1862106149[Herramientas_eléctricas], B275) &gt; 0, Herramientas_eléctricas1862106149[[#Headers],[Herramientas_eléctricas]],
    COUNTIF(Herramientas_neumáticas1963107150[Herramientas_neumáticas], B275) &gt; 0, Herramientas_neumáticas1963107150[[#Headers],[Herramientas_neumáticas]],
    COUNTIF(Herramientas_de_medición2064108151[Herramientas_de_medición], B275) &gt; 0, Herramientas_de_medición2064108151[[#Headers],[Herramientas_de_medición]],
    COUNTIF(Herrramientas_mecánicas2165109152[Herramientas_mecánicas], B275) &gt; 0, Herrramientas_mecánicas2165109152[[#Headers],[Herramientas_mecánicas]],
    COUNTIF(AH275:AH281, B275) &gt; 0, Herramientas_hidráulicas2266110153[[#Headers],[Herramientas_hidráulicas]],
    COUNTIF(EPP_2367111154[SPCC], B275) &gt; 0, EPP_2367111154[[#Headers],[SPCC]],
   COUNTIF(Herramientas_de_izaje2468112155[Herramientas_de_izaje], B275) &gt; 0, Herramientas_de_izaje2468112155[[#Headers],[Herramientas_de_izaje]],
COUNTIF(Tabla162670114157[Equipos], B275) &gt; 0, Tabla162670114157[[#Headers],[Equipos]],
    TRUE, "Sin clasificación"
)</f>
        <v>Sin clasificación</v>
      </c>
      <c r="I275" s="15"/>
      <c r="J275" s="47"/>
      <c r="K275" s="76"/>
      <c r="L275" s="76"/>
      <c r="M275" s="78" t="str">
        <f>_xlfn.LET(
    _xlpm.itemBuscado, B275,
    _xlpm.areaBuscada, C275,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TEXT(COUNTIF($C$2:C275, _xlpm.areaBuscada), "0000"),
    _xlpm.codItem &amp; "-" &amp; _xlpm.codArea &amp; "-" &amp; _xlpm.secuencia
)</f>
        <v>-SinArea-0000</v>
      </c>
      <c r="N275" s="77"/>
      <c r="O275" s="32"/>
      <c r="P275" s="32"/>
      <c r="Q275" s="32"/>
      <c r="R275" s="32"/>
    </row>
    <row r="276" spans="3:18" x14ac:dyDescent="0.3">
      <c r="C276" s="11"/>
      <c r="D276" s="32"/>
      <c r="E276" s="11" t="str" cm="1">
        <f t="array" ref="E276">_xlfn.IFS(
    COUNTIF(Herramientas_eléctricas1862106149[Herramientas_eléctricas], B276) &gt; 0, Herramientas_eléctricas1862106149[[#Headers],[Herramientas_eléctricas]],
    COUNTIF(Herramientas_neumáticas1963107150[Herramientas_neumáticas], B276) &gt; 0, Herramientas_neumáticas1963107150[[#Headers],[Herramientas_neumáticas]],
    COUNTIF(Herramientas_de_medición2064108151[Herramientas_de_medición], B276) &gt; 0, Herramientas_de_medición2064108151[[#Headers],[Herramientas_de_medición]],
    COUNTIF(Herrramientas_mecánicas2165109152[Herramientas_mecánicas], B276) &gt; 0, Herrramientas_mecánicas2165109152[[#Headers],[Herramientas_mecánicas]],
    COUNTIF(AH276:AH282, B276) &gt; 0, Herramientas_hidráulicas2266110153[[#Headers],[Herramientas_hidráulicas]],
    COUNTIF(EPP_2367111154[SPCC], B276) &gt; 0, EPP_2367111154[[#Headers],[SPCC]],
   COUNTIF(Herramientas_de_izaje2468112155[Herramientas_de_izaje], B276) &gt; 0, Herramientas_de_izaje2468112155[[#Headers],[Herramientas_de_izaje]],
COUNTIF(Tabla162670114157[Equipos], B276) &gt; 0, Tabla162670114157[[#Headers],[Equipos]],
    TRUE, "Sin clasificación"
)</f>
        <v>Sin clasificación</v>
      </c>
      <c r="I276" s="15"/>
      <c r="J276" s="47"/>
      <c r="K276" s="76"/>
      <c r="L276" s="76"/>
      <c r="M276" s="78" t="str">
        <f>_xlfn.LET(
    _xlpm.itemBuscado, B276,
    _xlpm.areaBuscada, C276,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TEXT(COUNTIF($C$2:C276, _xlpm.areaBuscada), "0000"),
    _xlpm.codItem &amp; "-" &amp; _xlpm.codArea &amp; "-" &amp; _xlpm.secuencia
)</f>
        <v>-SinArea-0000</v>
      </c>
      <c r="N276" s="77"/>
      <c r="O276" s="32"/>
      <c r="P276" s="32"/>
      <c r="Q276" s="32"/>
      <c r="R276" s="32"/>
    </row>
    <row r="277" spans="3:18" x14ac:dyDescent="0.3">
      <c r="C277" s="11"/>
      <c r="D277" s="32"/>
      <c r="E277" s="11" t="str" cm="1">
        <f t="array" ref="E277">_xlfn.IFS(
    COUNTIF(Herramientas_eléctricas1862106149[Herramientas_eléctricas], B277) &gt; 0, Herramientas_eléctricas1862106149[[#Headers],[Herramientas_eléctricas]],
    COUNTIF(Herramientas_neumáticas1963107150[Herramientas_neumáticas], B277) &gt; 0, Herramientas_neumáticas1963107150[[#Headers],[Herramientas_neumáticas]],
    COUNTIF(Herramientas_de_medición2064108151[Herramientas_de_medición], B277) &gt; 0, Herramientas_de_medición2064108151[[#Headers],[Herramientas_de_medición]],
    COUNTIF(Herrramientas_mecánicas2165109152[Herramientas_mecánicas], B277) &gt; 0, Herrramientas_mecánicas2165109152[[#Headers],[Herramientas_mecánicas]],
    COUNTIF(AH277:AH283, B277) &gt; 0, Herramientas_hidráulicas2266110153[[#Headers],[Herramientas_hidráulicas]],
    COUNTIF(EPP_2367111154[SPCC], B277) &gt; 0, EPP_2367111154[[#Headers],[SPCC]],
   COUNTIF(Herramientas_de_izaje2468112155[Herramientas_de_izaje], B277) &gt; 0, Herramientas_de_izaje2468112155[[#Headers],[Herramientas_de_izaje]],
COUNTIF(Tabla162670114157[Equipos], B277) &gt; 0, Tabla162670114157[[#Headers],[Equipos]],
    TRUE, "Sin clasificación"
)</f>
        <v>Sin clasificación</v>
      </c>
      <c r="I277" s="15"/>
      <c r="J277" s="47"/>
      <c r="K277" s="76"/>
      <c r="L277" s="76"/>
      <c r="M277" s="78" t="str">
        <f>_xlfn.LET(
    _xlpm.itemBuscado, B277,
    _xlpm.areaBuscada, C277,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TEXT(COUNTIF($C$2:C277, _xlpm.areaBuscada), "0000"),
    _xlpm.codItem &amp; "-" &amp; _xlpm.codArea &amp; "-" &amp; _xlpm.secuencia
)</f>
        <v>-SinArea-0000</v>
      </c>
      <c r="N277" s="77"/>
      <c r="O277" s="32"/>
      <c r="P277" s="32"/>
      <c r="Q277" s="32"/>
      <c r="R277" s="32"/>
    </row>
    <row r="278" spans="3:18" x14ac:dyDescent="0.3">
      <c r="C278" s="11"/>
      <c r="D278" s="32"/>
      <c r="E278" s="11" t="str" cm="1">
        <f t="array" ref="E278">_xlfn.IFS(
    COUNTIF(Herramientas_eléctricas1862106149[Herramientas_eléctricas], B278) &gt; 0, Herramientas_eléctricas1862106149[[#Headers],[Herramientas_eléctricas]],
    COUNTIF(Herramientas_neumáticas1963107150[Herramientas_neumáticas], B278) &gt; 0, Herramientas_neumáticas1963107150[[#Headers],[Herramientas_neumáticas]],
    COUNTIF(Herramientas_de_medición2064108151[Herramientas_de_medición], B278) &gt; 0, Herramientas_de_medición2064108151[[#Headers],[Herramientas_de_medición]],
    COUNTIF(Herrramientas_mecánicas2165109152[Herramientas_mecánicas], B278) &gt; 0, Herrramientas_mecánicas2165109152[[#Headers],[Herramientas_mecánicas]],
    COUNTIF(AH278:AH284, B278) &gt; 0, Herramientas_hidráulicas2266110153[[#Headers],[Herramientas_hidráulicas]],
    COUNTIF(EPP_2367111154[SPCC], B278) &gt; 0, EPP_2367111154[[#Headers],[SPCC]],
   COUNTIF(Herramientas_de_izaje2468112155[Herramientas_de_izaje], B278) &gt; 0, Herramientas_de_izaje2468112155[[#Headers],[Herramientas_de_izaje]],
COUNTIF(Tabla162670114157[Equipos], B278) &gt; 0, Tabla162670114157[[#Headers],[Equipos]],
    TRUE, "Sin clasificación"
)</f>
        <v>Sin clasificación</v>
      </c>
      <c r="I278" s="15"/>
      <c r="J278" s="47"/>
      <c r="K278" s="76"/>
      <c r="L278" s="76"/>
      <c r="M278" s="78" t="str">
        <f>_xlfn.LET(
    _xlpm.itemBuscado, B278,
    _xlpm.areaBuscada, C278,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TEXT(COUNTIF($C$2:C278, _xlpm.areaBuscada), "0000"),
    _xlpm.codItem &amp; "-" &amp; _xlpm.codArea &amp; "-" &amp; _xlpm.secuencia
)</f>
        <v>-SinArea-0000</v>
      </c>
      <c r="N278" s="77"/>
      <c r="O278" s="32"/>
      <c r="P278" s="32"/>
      <c r="Q278" s="32"/>
      <c r="R278" s="32"/>
    </row>
    <row r="279" spans="3:18" x14ac:dyDescent="0.3">
      <c r="C279" s="11"/>
      <c r="D279" s="32"/>
      <c r="E279" s="11" t="str" cm="1">
        <f t="array" ref="E279">_xlfn.IFS(
    COUNTIF(Herramientas_eléctricas1862106149[Herramientas_eléctricas], B279) &gt; 0, Herramientas_eléctricas1862106149[[#Headers],[Herramientas_eléctricas]],
    COUNTIF(Herramientas_neumáticas1963107150[Herramientas_neumáticas], B279) &gt; 0, Herramientas_neumáticas1963107150[[#Headers],[Herramientas_neumáticas]],
    COUNTIF(Herramientas_de_medición2064108151[Herramientas_de_medición], B279) &gt; 0, Herramientas_de_medición2064108151[[#Headers],[Herramientas_de_medición]],
    COUNTIF(Herrramientas_mecánicas2165109152[Herramientas_mecánicas], B279) &gt; 0, Herrramientas_mecánicas2165109152[[#Headers],[Herramientas_mecánicas]],
    COUNTIF(AH279:AH285, B279) &gt; 0, Herramientas_hidráulicas2266110153[[#Headers],[Herramientas_hidráulicas]],
    COUNTIF(EPP_2367111154[SPCC], B279) &gt; 0, EPP_2367111154[[#Headers],[SPCC]],
   COUNTIF(Herramientas_de_izaje2468112155[Herramientas_de_izaje], B279) &gt; 0, Herramientas_de_izaje2468112155[[#Headers],[Herramientas_de_izaje]],
COUNTIF(Tabla162670114157[Equipos], B279) &gt; 0, Tabla162670114157[[#Headers],[Equipos]],
    TRUE, "Sin clasificación"
)</f>
        <v>Sin clasificación</v>
      </c>
      <c r="I279" s="15"/>
      <c r="J279" s="47"/>
      <c r="K279" s="76"/>
      <c r="L279" s="76"/>
      <c r="M279" s="78" t="str">
        <f>_xlfn.LET(
    _xlpm.itemBuscado, B279,
    _xlpm.areaBuscada, C279,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TEXT(COUNTIF($C$2:C279, _xlpm.areaBuscada), "0000"),
    _xlpm.codItem &amp; "-" &amp; _xlpm.codArea &amp; "-" &amp; _xlpm.secuencia
)</f>
        <v>-SinArea-0000</v>
      </c>
      <c r="N279" s="77"/>
      <c r="O279" s="32"/>
      <c r="P279" s="32"/>
      <c r="Q279" s="32"/>
      <c r="R279" s="32"/>
    </row>
    <row r="280" spans="3:18" x14ac:dyDescent="0.3">
      <c r="C280" s="11"/>
      <c r="D280" s="32"/>
      <c r="E280" s="11" t="str" cm="1">
        <f t="array" ref="E280">_xlfn.IFS(
    COUNTIF(Herramientas_eléctricas1862106149[Herramientas_eléctricas], B280) &gt; 0, Herramientas_eléctricas1862106149[[#Headers],[Herramientas_eléctricas]],
    COUNTIF(Herramientas_neumáticas1963107150[Herramientas_neumáticas], B280) &gt; 0, Herramientas_neumáticas1963107150[[#Headers],[Herramientas_neumáticas]],
    COUNTIF(Herramientas_de_medición2064108151[Herramientas_de_medición], B280) &gt; 0, Herramientas_de_medición2064108151[[#Headers],[Herramientas_de_medición]],
    COUNTIF(Herrramientas_mecánicas2165109152[Herramientas_mecánicas], B280) &gt; 0, Herrramientas_mecánicas2165109152[[#Headers],[Herramientas_mecánicas]],
    COUNTIF(AH280:AH286, B280) &gt; 0, Herramientas_hidráulicas2266110153[[#Headers],[Herramientas_hidráulicas]],
    COUNTIF(EPP_2367111154[SPCC], B280) &gt; 0, EPP_2367111154[[#Headers],[SPCC]],
   COUNTIF(Herramientas_de_izaje2468112155[Herramientas_de_izaje], B280) &gt; 0, Herramientas_de_izaje2468112155[[#Headers],[Herramientas_de_izaje]],
COUNTIF(Tabla162670114157[Equipos], B280) &gt; 0, Tabla162670114157[[#Headers],[Equipos]],
    TRUE, "Sin clasificación"
)</f>
        <v>Sin clasificación</v>
      </c>
      <c r="I280" s="15"/>
      <c r="J280" s="47"/>
      <c r="K280" s="76"/>
      <c r="L280" s="76"/>
      <c r="M280" s="78" t="str">
        <f>_xlfn.LET(
    _xlpm.itemBuscado, B280,
    _xlpm.areaBuscada, C280,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TEXT(COUNTIF($C$2:C280, _xlpm.areaBuscada), "0000"),
    _xlpm.codItem &amp; "-" &amp; _xlpm.codArea &amp; "-" &amp; _xlpm.secuencia
)</f>
        <v>-SinArea-0000</v>
      </c>
      <c r="N280" s="77"/>
      <c r="O280" s="32"/>
      <c r="P280" s="32"/>
      <c r="Q280" s="32"/>
      <c r="R280" s="32"/>
    </row>
    <row r="281" spans="3:18" x14ac:dyDescent="0.3">
      <c r="C281" s="11"/>
      <c r="D281" s="32"/>
      <c r="E281" s="11" t="str" cm="1">
        <f t="array" ref="E281">_xlfn.IFS(
    COUNTIF(Herramientas_eléctricas1862106149[Herramientas_eléctricas], B281) &gt; 0, Herramientas_eléctricas1862106149[[#Headers],[Herramientas_eléctricas]],
    COUNTIF(Herramientas_neumáticas1963107150[Herramientas_neumáticas], B281) &gt; 0, Herramientas_neumáticas1963107150[[#Headers],[Herramientas_neumáticas]],
    COUNTIF(Herramientas_de_medición2064108151[Herramientas_de_medición], B281) &gt; 0, Herramientas_de_medición2064108151[[#Headers],[Herramientas_de_medición]],
    COUNTIF(Herrramientas_mecánicas2165109152[Herramientas_mecánicas], B281) &gt; 0, Herrramientas_mecánicas2165109152[[#Headers],[Herramientas_mecánicas]],
    COUNTIF(AH281:AH287, B281) &gt; 0, Herramientas_hidráulicas2266110153[[#Headers],[Herramientas_hidráulicas]],
    COUNTIF(EPP_2367111154[SPCC], B281) &gt; 0, EPP_2367111154[[#Headers],[SPCC]],
   COUNTIF(Herramientas_de_izaje2468112155[Herramientas_de_izaje], B281) &gt; 0, Herramientas_de_izaje2468112155[[#Headers],[Herramientas_de_izaje]],
COUNTIF(Tabla162670114157[Equipos], B281) &gt; 0, Tabla162670114157[[#Headers],[Equipos]],
    TRUE, "Sin clasificación"
)</f>
        <v>Sin clasificación</v>
      </c>
      <c r="I281" s="15"/>
      <c r="J281" s="47"/>
      <c r="K281" s="76"/>
      <c r="L281" s="76"/>
      <c r="M281" s="78" t="str">
        <f>_xlfn.LET(
    _xlpm.itemBuscado, B281,
    _xlpm.areaBuscada, C281,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TEXT(COUNTIF($C$2:C281, _xlpm.areaBuscada), "0000"),
    _xlpm.codItem &amp; "-" &amp; _xlpm.codArea &amp; "-" &amp; _xlpm.secuencia
)</f>
        <v>-SinArea-0000</v>
      </c>
      <c r="N281" s="77"/>
      <c r="O281" s="32"/>
      <c r="P281" s="32"/>
      <c r="Q281" s="32"/>
      <c r="R281" s="32"/>
    </row>
    <row r="282" spans="3:18" x14ac:dyDescent="0.3">
      <c r="C282" s="11"/>
      <c r="D282" s="32"/>
      <c r="E282" s="11" t="str" cm="1">
        <f t="array" ref="E282">_xlfn.IFS(
    COUNTIF(Herramientas_eléctricas1862106149[Herramientas_eléctricas], B282) &gt; 0, Herramientas_eléctricas1862106149[[#Headers],[Herramientas_eléctricas]],
    COUNTIF(Herramientas_neumáticas1963107150[Herramientas_neumáticas], B282) &gt; 0, Herramientas_neumáticas1963107150[[#Headers],[Herramientas_neumáticas]],
    COUNTIF(Herramientas_de_medición2064108151[Herramientas_de_medición], B282) &gt; 0, Herramientas_de_medición2064108151[[#Headers],[Herramientas_de_medición]],
    COUNTIF(Herrramientas_mecánicas2165109152[Herramientas_mecánicas], B282) &gt; 0, Herrramientas_mecánicas2165109152[[#Headers],[Herramientas_mecánicas]],
    COUNTIF(AH282:AH288, B282) &gt; 0, Herramientas_hidráulicas2266110153[[#Headers],[Herramientas_hidráulicas]],
    COUNTIF(EPP_2367111154[SPCC], B282) &gt; 0, EPP_2367111154[[#Headers],[SPCC]],
   COUNTIF(Herramientas_de_izaje2468112155[Herramientas_de_izaje], B282) &gt; 0, Herramientas_de_izaje2468112155[[#Headers],[Herramientas_de_izaje]],
COUNTIF(Tabla162670114157[Equipos], B282) &gt; 0, Tabla162670114157[[#Headers],[Equipos]],
    TRUE, "Sin clasificación"
)</f>
        <v>Sin clasificación</v>
      </c>
      <c r="I282" s="15"/>
      <c r="J282" s="47"/>
      <c r="K282" s="76"/>
      <c r="L282" s="76"/>
      <c r="M282" s="78" t="str">
        <f>_xlfn.LET(
    _xlpm.itemBuscado, B282,
    _xlpm.areaBuscada, C282,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TEXT(COUNTIF($C$2:C282, _xlpm.areaBuscada), "0000"),
    _xlpm.codItem &amp; "-" &amp; _xlpm.codArea &amp; "-" &amp; _xlpm.secuencia
)</f>
        <v>-SinArea-0000</v>
      </c>
      <c r="N282" s="77"/>
      <c r="O282" s="32"/>
      <c r="P282" s="32"/>
      <c r="Q282" s="32"/>
      <c r="R282" s="32"/>
    </row>
    <row r="283" spans="3:18" x14ac:dyDescent="0.3">
      <c r="C283" s="11"/>
      <c r="D283" s="32"/>
      <c r="E283" s="11" t="str" cm="1">
        <f t="array" ref="E283">_xlfn.IFS(
    COUNTIF(Herramientas_eléctricas1862106149[Herramientas_eléctricas], B283) &gt; 0, Herramientas_eléctricas1862106149[[#Headers],[Herramientas_eléctricas]],
    COUNTIF(Herramientas_neumáticas1963107150[Herramientas_neumáticas], B283) &gt; 0, Herramientas_neumáticas1963107150[[#Headers],[Herramientas_neumáticas]],
    COUNTIF(Herramientas_de_medición2064108151[Herramientas_de_medición], B283) &gt; 0, Herramientas_de_medición2064108151[[#Headers],[Herramientas_de_medición]],
    COUNTIF(Herrramientas_mecánicas2165109152[Herramientas_mecánicas], B283) &gt; 0, Herrramientas_mecánicas2165109152[[#Headers],[Herramientas_mecánicas]],
    COUNTIF(AH283:AH289, B283) &gt; 0, Herramientas_hidráulicas2266110153[[#Headers],[Herramientas_hidráulicas]],
    COUNTIF(EPP_2367111154[SPCC], B283) &gt; 0, EPP_2367111154[[#Headers],[SPCC]],
   COUNTIF(Herramientas_de_izaje2468112155[Herramientas_de_izaje], B283) &gt; 0, Herramientas_de_izaje2468112155[[#Headers],[Herramientas_de_izaje]],
COUNTIF(Tabla162670114157[Equipos], B283) &gt; 0, Tabla162670114157[[#Headers],[Equipos]],
    TRUE, "Sin clasificación"
)</f>
        <v>Sin clasificación</v>
      </c>
      <c r="I283" s="15"/>
      <c r="J283" s="47"/>
      <c r="K283" s="76"/>
      <c r="L283" s="76"/>
      <c r="M283" s="78" t="str">
        <f>_xlfn.LET(
    _xlpm.itemBuscado, B283,
    _xlpm.areaBuscada, C283,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TEXT(COUNTIF($C$2:C283, _xlpm.areaBuscada), "0000"),
    _xlpm.codItem &amp; "-" &amp; _xlpm.codArea &amp; "-" &amp; _xlpm.secuencia
)</f>
        <v>-SinArea-0000</v>
      </c>
      <c r="N283" s="77"/>
      <c r="O283" s="32"/>
      <c r="P283" s="32"/>
      <c r="Q283" s="32"/>
      <c r="R283" s="32"/>
    </row>
    <row r="284" spans="3:18" x14ac:dyDescent="0.3">
      <c r="C284" s="11"/>
      <c r="D284" s="32"/>
      <c r="E284" s="11" t="str" cm="1">
        <f t="array" ref="E284">_xlfn.IFS(
    COUNTIF(Herramientas_eléctricas1862106149[Herramientas_eléctricas], B284) &gt; 0, Herramientas_eléctricas1862106149[[#Headers],[Herramientas_eléctricas]],
    COUNTIF(Herramientas_neumáticas1963107150[Herramientas_neumáticas], B284) &gt; 0, Herramientas_neumáticas1963107150[[#Headers],[Herramientas_neumáticas]],
    COUNTIF(Herramientas_de_medición2064108151[Herramientas_de_medición], B284) &gt; 0, Herramientas_de_medición2064108151[[#Headers],[Herramientas_de_medición]],
    COUNTIF(Herrramientas_mecánicas2165109152[Herramientas_mecánicas], B284) &gt; 0, Herrramientas_mecánicas2165109152[[#Headers],[Herramientas_mecánicas]],
    COUNTIF(AH284:AH290, B284) &gt; 0, Herramientas_hidráulicas2266110153[[#Headers],[Herramientas_hidráulicas]],
    COUNTIF(EPP_2367111154[SPCC], B284) &gt; 0, EPP_2367111154[[#Headers],[SPCC]],
   COUNTIF(Herramientas_de_izaje2468112155[Herramientas_de_izaje], B284) &gt; 0, Herramientas_de_izaje2468112155[[#Headers],[Herramientas_de_izaje]],
COUNTIF(Tabla162670114157[Equipos], B284) &gt; 0, Tabla162670114157[[#Headers],[Equipos]],
    TRUE, "Sin clasificación"
)</f>
        <v>Sin clasificación</v>
      </c>
      <c r="I284" s="15"/>
      <c r="J284" s="47"/>
      <c r="K284" s="76"/>
      <c r="L284" s="76"/>
      <c r="M284" s="78" t="str">
        <f>_xlfn.LET(
    _xlpm.itemBuscado, B284,
    _xlpm.areaBuscada, C284,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TEXT(COUNTIF($C$2:C284, _xlpm.areaBuscada), "0000"),
    _xlpm.codItem &amp; "-" &amp; _xlpm.codArea &amp; "-" &amp; _xlpm.secuencia
)</f>
        <v>-SinArea-0000</v>
      </c>
      <c r="N284" s="77"/>
      <c r="O284" s="32"/>
      <c r="P284" s="32"/>
      <c r="Q284" s="32"/>
      <c r="R284" s="32"/>
    </row>
    <row r="285" spans="3:18" x14ac:dyDescent="0.3">
      <c r="C285" s="11"/>
      <c r="D285" s="32"/>
      <c r="E285" s="11" t="str" cm="1">
        <f t="array" ref="E285">_xlfn.IFS(
    COUNTIF(Herramientas_eléctricas1862106149[Herramientas_eléctricas], B285) &gt; 0, Herramientas_eléctricas1862106149[[#Headers],[Herramientas_eléctricas]],
    COUNTIF(Herramientas_neumáticas1963107150[Herramientas_neumáticas], B285) &gt; 0, Herramientas_neumáticas1963107150[[#Headers],[Herramientas_neumáticas]],
    COUNTIF(Herramientas_de_medición2064108151[Herramientas_de_medición], B285) &gt; 0, Herramientas_de_medición2064108151[[#Headers],[Herramientas_de_medición]],
    COUNTIF(Herrramientas_mecánicas2165109152[Herramientas_mecánicas], B285) &gt; 0, Herrramientas_mecánicas2165109152[[#Headers],[Herramientas_mecánicas]],
    COUNTIF(AH285:AH291, B285) &gt; 0, Herramientas_hidráulicas2266110153[[#Headers],[Herramientas_hidráulicas]],
    COUNTIF(EPP_2367111154[SPCC], B285) &gt; 0, EPP_2367111154[[#Headers],[SPCC]],
   COUNTIF(Herramientas_de_izaje2468112155[Herramientas_de_izaje], B285) &gt; 0, Herramientas_de_izaje2468112155[[#Headers],[Herramientas_de_izaje]],
COUNTIF(Tabla162670114157[Equipos], B285) &gt; 0, Tabla162670114157[[#Headers],[Equipos]],
    TRUE, "Sin clasificación"
)</f>
        <v>Sin clasificación</v>
      </c>
      <c r="I285" s="15"/>
      <c r="J285" s="47"/>
      <c r="K285" s="76"/>
      <c r="L285" s="76"/>
      <c r="M285" s="78" t="str">
        <f>_xlfn.LET(
    _xlpm.itemBuscado, B285,
    _xlpm.areaBuscada, C285,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TEXT(COUNTIF($C$2:C285, _xlpm.areaBuscada), "0000"),
    _xlpm.codItem &amp; "-" &amp; _xlpm.codArea &amp; "-" &amp; _xlpm.secuencia
)</f>
        <v>-SinArea-0000</v>
      </c>
      <c r="N285" s="77"/>
      <c r="O285" s="32"/>
      <c r="P285" s="32"/>
      <c r="Q285" s="32"/>
      <c r="R285" s="32"/>
    </row>
    <row r="286" spans="3:18" x14ac:dyDescent="0.3">
      <c r="C286" s="11"/>
      <c r="D286" s="32"/>
      <c r="E286" s="11" t="str" cm="1">
        <f t="array" ref="E286">_xlfn.IFS(
    COUNTIF(Herramientas_eléctricas1862106149[Herramientas_eléctricas], B286) &gt; 0, Herramientas_eléctricas1862106149[[#Headers],[Herramientas_eléctricas]],
    COUNTIF(Herramientas_neumáticas1963107150[Herramientas_neumáticas], B286) &gt; 0, Herramientas_neumáticas1963107150[[#Headers],[Herramientas_neumáticas]],
    COUNTIF(Herramientas_de_medición2064108151[Herramientas_de_medición], B286) &gt; 0, Herramientas_de_medición2064108151[[#Headers],[Herramientas_de_medición]],
    COUNTIF(Herrramientas_mecánicas2165109152[Herramientas_mecánicas], B286) &gt; 0, Herrramientas_mecánicas2165109152[[#Headers],[Herramientas_mecánicas]],
    COUNTIF(AH286:AH292, B286) &gt; 0, Herramientas_hidráulicas2266110153[[#Headers],[Herramientas_hidráulicas]],
    COUNTIF(EPP_2367111154[SPCC], B286) &gt; 0, EPP_2367111154[[#Headers],[SPCC]],
   COUNTIF(Herramientas_de_izaje2468112155[Herramientas_de_izaje], B286) &gt; 0, Herramientas_de_izaje2468112155[[#Headers],[Herramientas_de_izaje]],
COUNTIF(Tabla162670114157[Equipos], B286) &gt; 0, Tabla162670114157[[#Headers],[Equipos]],
    TRUE, "Sin clasificación"
)</f>
        <v>Sin clasificación</v>
      </c>
      <c r="I286" s="15"/>
      <c r="J286" s="47"/>
      <c r="K286" s="76"/>
      <c r="L286" s="76"/>
      <c r="M286" s="78" t="str">
        <f>_xlfn.LET(
    _xlpm.itemBuscado, B286,
    _xlpm.areaBuscada, C286,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TEXT(COUNTIF($C$2:C286, _xlpm.areaBuscada), "0000"),
    _xlpm.codItem &amp; "-" &amp; _xlpm.codArea &amp; "-" &amp; _xlpm.secuencia
)</f>
        <v>-SinArea-0000</v>
      </c>
      <c r="N286" s="77"/>
      <c r="O286" s="32"/>
      <c r="P286" s="32"/>
      <c r="Q286" s="32"/>
      <c r="R286" s="32"/>
    </row>
    <row r="287" spans="3:18" x14ac:dyDescent="0.3">
      <c r="C287" s="11"/>
      <c r="D287" s="32"/>
      <c r="E287" s="11" t="str" cm="1">
        <f t="array" ref="E287">_xlfn.IFS(
    COUNTIF(Herramientas_eléctricas1862106149[Herramientas_eléctricas], B287) &gt; 0, Herramientas_eléctricas1862106149[[#Headers],[Herramientas_eléctricas]],
    COUNTIF(Herramientas_neumáticas1963107150[Herramientas_neumáticas], B287) &gt; 0, Herramientas_neumáticas1963107150[[#Headers],[Herramientas_neumáticas]],
    COUNTIF(Herramientas_de_medición2064108151[Herramientas_de_medición], B287) &gt; 0, Herramientas_de_medición2064108151[[#Headers],[Herramientas_de_medición]],
    COUNTIF(Herrramientas_mecánicas2165109152[Herramientas_mecánicas], B287) &gt; 0, Herrramientas_mecánicas2165109152[[#Headers],[Herramientas_mecánicas]],
    COUNTIF(AH287:AH293, B287) &gt; 0, Herramientas_hidráulicas2266110153[[#Headers],[Herramientas_hidráulicas]],
    COUNTIF(EPP_2367111154[SPCC], B287) &gt; 0, EPP_2367111154[[#Headers],[SPCC]],
   COUNTIF(Herramientas_de_izaje2468112155[Herramientas_de_izaje], B287) &gt; 0, Herramientas_de_izaje2468112155[[#Headers],[Herramientas_de_izaje]],
COUNTIF(Tabla162670114157[Equipos], B287) &gt; 0, Tabla162670114157[[#Headers],[Equipos]],
    TRUE, "Sin clasificación"
)</f>
        <v>Sin clasificación</v>
      </c>
      <c r="I287" s="15"/>
      <c r="J287" s="47"/>
      <c r="K287" s="76"/>
      <c r="L287" s="76"/>
      <c r="M287" s="78" t="str">
        <f>_xlfn.LET(
    _xlpm.itemBuscado, B287,
    _xlpm.areaBuscada, C287,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TEXT(COUNTIF($C$2:C287, _xlpm.areaBuscada), "0000"),
    _xlpm.codItem &amp; "-" &amp; _xlpm.codArea &amp; "-" &amp; _xlpm.secuencia
)</f>
        <v>-SinArea-0000</v>
      </c>
      <c r="N287" s="77"/>
      <c r="O287" s="32"/>
      <c r="P287" s="32"/>
      <c r="Q287" s="32"/>
      <c r="R287" s="32"/>
    </row>
    <row r="288" spans="3:18" x14ac:dyDescent="0.3">
      <c r="C288" s="11"/>
      <c r="D288" s="32"/>
      <c r="E288" s="11" t="str" cm="1">
        <f t="array" ref="E288">_xlfn.IFS(
    COUNTIF(Herramientas_eléctricas1862106149[Herramientas_eléctricas], B288) &gt; 0, Herramientas_eléctricas1862106149[[#Headers],[Herramientas_eléctricas]],
    COUNTIF(Herramientas_neumáticas1963107150[Herramientas_neumáticas], B288) &gt; 0, Herramientas_neumáticas1963107150[[#Headers],[Herramientas_neumáticas]],
    COUNTIF(Herramientas_de_medición2064108151[Herramientas_de_medición], B288) &gt; 0, Herramientas_de_medición2064108151[[#Headers],[Herramientas_de_medición]],
    COUNTIF(Herrramientas_mecánicas2165109152[Herramientas_mecánicas], B288) &gt; 0, Herrramientas_mecánicas2165109152[[#Headers],[Herramientas_mecánicas]],
    COUNTIF(AH288:AH294, B288) &gt; 0, Herramientas_hidráulicas2266110153[[#Headers],[Herramientas_hidráulicas]],
    COUNTIF(EPP_2367111154[SPCC], B288) &gt; 0, EPP_2367111154[[#Headers],[SPCC]],
   COUNTIF(Herramientas_de_izaje2468112155[Herramientas_de_izaje], B288) &gt; 0, Herramientas_de_izaje2468112155[[#Headers],[Herramientas_de_izaje]],
COUNTIF(Tabla162670114157[Equipos], B288) &gt; 0, Tabla162670114157[[#Headers],[Equipos]],
    TRUE, "Sin clasificación"
)</f>
        <v>Sin clasificación</v>
      </c>
      <c r="I288" s="15"/>
      <c r="J288" s="47"/>
      <c r="K288" s="76"/>
      <c r="L288" s="76"/>
      <c r="M288" s="78" t="str">
        <f>_xlfn.LET(
    _xlpm.itemBuscado, B288,
    _xlpm.areaBuscada, C288,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TEXT(COUNTIF($C$2:C288, _xlpm.areaBuscada), "0000"),
    _xlpm.codItem &amp; "-" &amp; _xlpm.codArea &amp; "-" &amp; _xlpm.secuencia
)</f>
        <v>-SinArea-0000</v>
      </c>
      <c r="N288" s="77"/>
      <c r="O288" s="32"/>
      <c r="P288" s="32"/>
      <c r="Q288" s="32"/>
      <c r="R288" s="32"/>
    </row>
    <row r="289" spans="3:18" x14ac:dyDescent="0.3">
      <c r="C289" s="11"/>
      <c r="D289" s="32"/>
      <c r="E289" s="11" t="str" cm="1">
        <f t="array" ref="E289">_xlfn.IFS(
    COUNTIF(Herramientas_eléctricas1862106149[Herramientas_eléctricas], B289) &gt; 0, Herramientas_eléctricas1862106149[[#Headers],[Herramientas_eléctricas]],
    COUNTIF(Herramientas_neumáticas1963107150[Herramientas_neumáticas], B289) &gt; 0, Herramientas_neumáticas1963107150[[#Headers],[Herramientas_neumáticas]],
    COUNTIF(Herramientas_de_medición2064108151[Herramientas_de_medición], B289) &gt; 0, Herramientas_de_medición2064108151[[#Headers],[Herramientas_de_medición]],
    COUNTIF(Herrramientas_mecánicas2165109152[Herramientas_mecánicas], B289) &gt; 0, Herrramientas_mecánicas2165109152[[#Headers],[Herramientas_mecánicas]],
    COUNTIF(AH289:AH295, B289) &gt; 0, Herramientas_hidráulicas2266110153[[#Headers],[Herramientas_hidráulicas]],
    COUNTIF(EPP_2367111154[SPCC], B289) &gt; 0, EPP_2367111154[[#Headers],[SPCC]],
   COUNTIF(Herramientas_de_izaje2468112155[Herramientas_de_izaje], B289) &gt; 0, Herramientas_de_izaje2468112155[[#Headers],[Herramientas_de_izaje]],
COUNTIF(Tabla162670114157[Equipos], B289) &gt; 0, Tabla162670114157[[#Headers],[Equipos]],
    TRUE, "Sin clasificación"
)</f>
        <v>Sin clasificación</v>
      </c>
      <c r="I289" s="15"/>
      <c r="J289" s="47"/>
      <c r="K289" s="76"/>
      <c r="L289" s="76"/>
      <c r="M289" s="78" t="str">
        <f>_xlfn.LET(
    _xlpm.itemBuscado, B289,
    _xlpm.areaBuscada, C289,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TEXT(COUNTIF($C$2:C289, _xlpm.areaBuscada), "0000"),
    _xlpm.codItem &amp; "-" &amp; _xlpm.codArea &amp; "-" &amp; _xlpm.secuencia
)</f>
        <v>-SinArea-0000</v>
      </c>
      <c r="N289" s="77"/>
      <c r="O289" s="32"/>
      <c r="P289" s="32"/>
      <c r="Q289" s="32"/>
      <c r="R289" s="32"/>
    </row>
    <row r="290" spans="3:18" x14ac:dyDescent="0.3">
      <c r="C290" s="11"/>
      <c r="D290" s="32"/>
      <c r="E290" s="11" t="str" cm="1">
        <f t="array" ref="E290">_xlfn.IFS(
    COUNTIF(Herramientas_eléctricas1862106149[Herramientas_eléctricas], B290) &gt; 0, Herramientas_eléctricas1862106149[[#Headers],[Herramientas_eléctricas]],
    COUNTIF(Herramientas_neumáticas1963107150[Herramientas_neumáticas], B290) &gt; 0, Herramientas_neumáticas1963107150[[#Headers],[Herramientas_neumáticas]],
    COUNTIF(Herramientas_de_medición2064108151[Herramientas_de_medición], B290) &gt; 0, Herramientas_de_medición2064108151[[#Headers],[Herramientas_de_medición]],
    COUNTIF(Herrramientas_mecánicas2165109152[Herramientas_mecánicas], B290) &gt; 0, Herrramientas_mecánicas2165109152[[#Headers],[Herramientas_mecánicas]],
    COUNTIF(AH290:AH296, B290) &gt; 0, Herramientas_hidráulicas2266110153[[#Headers],[Herramientas_hidráulicas]],
    COUNTIF(EPP_2367111154[SPCC], B290) &gt; 0, EPP_2367111154[[#Headers],[SPCC]],
   COUNTIF(Herramientas_de_izaje2468112155[Herramientas_de_izaje], B290) &gt; 0, Herramientas_de_izaje2468112155[[#Headers],[Herramientas_de_izaje]],
COUNTIF(Tabla162670114157[Equipos], B290) &gt; 0, Tabla162670114157[[#Headers],[Equipos]],
    TRUE, "Sin clasificación"
)</f>
        <v>Sin clasificación</v>
      </c>
      <c r="I290" s="15"/>
      <c r="J290" s="47"/>
      <c r="K290" s="76"/>
      <c r="L290" s="76"/>
      <c r="M290" s="78" t="str">
        <f>_xlfn.LET(
    _xlpm.itemBuscado, B290,
    _xlpm.areaBuscada, C290,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TEXT(COUNTIF($C$2:C290, _xlpm.areaBuscada), "0000"),
    _xlpm.codItem &amp; "-" &amp; _xlpm.codArea &amp; "-" &amp; _xlpm.secuencia
)</f>
        <v>-SinArea-0000</v>
      </c>
      <c r="N290" s="77"/>
      <c r="O290" s="32"/>
      <c r="P290" s="32"/>
      <c r="Q290" s="32"/>
      <c r="R290" s="32"/>
    </row>
    <row r="291" spans="3:18" x14ac:dyDescent="0.3">
      <c r="C291" s="11"/>
      <c r="D291" s="32"/>
      <c r="E291" s="11" t="str" cm="1">
        <f t="array" ref="E291">_xlfn.IFS(
    COUNTIF(Herramientas_eléctricas1862106149[Herramientas_eléctricas], B291) &gt; 0, Herramientas_eléctricas1862106149[[#Headers],[Herramientas_eléctricas]],
    COUNTIF(Herramientas_neumáticas1963107150[Herramientas_neumáticas], B291) &gt; 0, Herramientas_neumáticas1963107150[[#Headers],[Herramientas_neumáticas]],
    COUNTIF(Herramientas_de_medición2064108151[Herramientas_de_medición], B291) &gt; 0, Herramientas_de_medición2064108151[[#Headers],[Herramientas_de_medición]],
    COUNTIF(Herrramientas_mecánicas2165109152[Herramientas_mecánicas], B291) &gt; 0, Herrramientas_mecánicas2165109152[[#Headers],[Herramientas_mecánicas]],
    COUNTIF(AH291:AH297, B291) &gt; 0, Herramientas_hidráulicas2266110153[[#Headers],[Herramientas_hidráulicas]],
    COUNTIF(EPP_2367111154[SPCC], B291) &gt; 0, EPP_2367111154[[#Headers],[SPCC]],
   COUNTIF(Herramientas_de_izaje2468112155[Herramientas_de_izaje], B291) &gt; 0, Herramientas_de_izaje2468112155[[#Headers],[Herramientas_de_izaje]],
COUNTIF(Tabla162670114157[Equipos], B291) &gt; 0, Tabla162670114157[[#Headers],[Equipos]],
    TRUE, "Sin clasificación"
)</f>
        <v>Sin clasificación</v>
      </c>
      <c r="I291" s="15"/>
      <c r="J291" s="47"/>
      <c r="K291" s="76"/>
      <c r="L291" s="76"/>
      <c r="M291" s="78" t="str">
        <f>_xlfn.LET(
    _xlpm.itemBuscado, B291,
    _xlpm.areaBuscada, C291,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TEXT(COUNTIF($C$2:C291, _xlpm.areaBuscada), "0000"),
    _xlpm.codItem &amp; "-" &amp; _xlpm.codArea &amp; "-" &amp; _xlpm.secuencia
)</f>
        <v>-SinArea-0000</v>
      </c>
      <c r="N291" s="77"/>
      <c r="O291" s="32"/>
      <c r="P291" s="32"/>
      <c r="Q291" s="32"/>
      <c r="R291" s="32"/>
    </row>
    <row r="292" spans="3:18" x14ac:dyDescent="0.3">
      <c r="C292" s="11"/>
      <c r="D292" s="32"/>
      <c r="E292" s="11" t="str" cm="1">
        <f t="array" ref="E292">_xlfn.IFS(
    COUNTIF(Herramientas_eléctricas1862106149[Herramientas_eléctricas], B292) &gt; 0, Herramientas_eléctricas1862106149[[#Headers],[Herramientas_eléctricas]],
    COUNTIF(Herramientas_neumáticas1963107150[Herramientas_neumáticas], B292) &gt; 0, Herramientas_neumáticas1963107150[[#Headers],[Herramientas_neumáticas]],
    COUNTIF(Herramientas_de_medición2064108151[Herramientas_de_medición], B292) &gt; 0, Herramientas_de_medición2064108151[[#Headers],[Herramientas_de_medición]],
    COUNTIF(Herrramientas_mecánicas2165109152[Herramientas_mecánicas], B292) &gt; 0, Herrramientas_mecánicas2165109152[[#Headers],[Herramientas_mecánicas]],
    COUNTIF(AH292:AH298, B292) &gt; 0, Herramientas_hidráulicas2266110153[[#Headers],[Herramientas_hidráulicas]],
    COUNTIF(EPP_2367111154[SPCC], B292) &gt; 0, EPP_2367111154[[#Headers],[SPCC]],
   COUNTIF(Herramientas_de_izaje2468112155[Herramientas_de_izaje], B292) &gt; 0, Herramientas_de_izaje2468112155[[#Headers],[Herramientas_de_izaje]],
COUNTIF(Tabla162670114157[Equipos], B292) &gt; 0, Tabla162670114157[[#Headers],[Equipos]],
    TRUE, "Sin clasificación"
)</f>
        <v>Sin clasificación</v>
      </c>
      <c r="I292" s="15"/>
      <c r="J292" s="47"/>
      <c r="K292" s="76"/>
      <c r="L292" s="76"/>
      <c r="M292" s="78" t="str">
        <f>_xlfn.LET(
    _xlpm.itemBuscado, B292,
    _xlpm.areaBuscada, C292,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TEXT(COUNTIF($C$2:C292, _xlpm.areaBuscada), "0000"),
    _xlpm.codItem &amp; "-" &amp; _xlpm.codArea &amp; "-" &amp; _xlpm.secuencia
)</f>
        <v>-SinArea-0000</v>
      </c>
      <c r="N292" s="77"/>
      <c r="O292" s="32"/>
      <c r="P292" s="32"/>
      <c r="Q292" s="32"/>
      <c r="R292" s="32"/>
    </row>
    <row r="293" spans="3:18" x14ac:dyDescent="0.3">
      <c r="C293" s="11"/>
      <c r="D293" s="32"/>
      <c r="E293" s="11" t="str" cm="1">
        <f t="array" ref="E293">_xlfn.IFS(
    COUNTIF(Herramientas_eléctricas1862106149[Herramientas_eléctricas], B293) &gt; 0, Herramientas_eléctricas1862106149[[#Headers],[Herramientas_eléctricas]],
    COUNTIF(Herramientas_neumáticas1963107150[Herramientas_neumáticas], B293) &gt; 0, Herramientas_neumáticas1963107150[[#Headers],[Herramientas_neumáticas]],
    COUNTIF(Herramientas_de_medición2064108151[Herramientas_de_medición], B293) &gt; 0, Herramientas_de_medición2064108151[[#Headers],[Herramientas_de_medición]],
    COUNTIF(Herrramientas_mecánicas2165109152[Herramientas_mecánicas], B293) &gt; 0, Herrramientas_mecánicas2165109152[[#Headers],[Herramientas_mecánicas]],
    COUNTIF(AH293:AH299, B293) &gt; 0, Herramientas_hidráulicas2266110153[[#Headers],[Herramientas_hidráulicas]],
    COUNTIF(EPP_2367111154[SPCC], B293) &gt; 0, EPP_2367111154[[#Headers],[SPCC]],
   COUNTIF(Herramientas_de_izaje2468112155[Herramientas_de_izaje], B293) &gt; 0, Herramientas_de_izaje2468112155[[#Headers],[Herramientas_de_izaje]],
COUNTIF(Tabla162670114157[Equipos], B293) &gt; 0, Tabla162670114157[[#Headers],[Equipos]],
    TRUE, "Sin clasificación"
)</f>
        <v>Sin clasificación</v>
      </c>
      <c r="I293" s="15"/>
      <c r="J293" s="47"/>
      <c r="K293" s="76"/>
      <c r="L293" s="76"/>
      <c r="M293" s="78" t="str">
        <f>_xlfn.LET(
    _xlpm.itemBuscado, B293,
    _xlpm.areaBuscada, C293,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TEXT(COUNTIF($C$2:C293, _xlpm.areaBuscada), "0000"),
    _xlpm.codItem &amp; "-" &amp; _xlpm.codArea &amp; "-" &amp; _xlpm.secuencia
)</f>
        <v>-SinArea-0000</v>
      </c>
      <c r="N293" s="77"/>
      <c r="O293" s="32"/>
      <c r="P293" s="32"/>
      <c r="Q293" s="32"/>
      <c r="R293" s="32"/>
    </row>
    <row r="294" spans="3:18" x14ac:dyDescent="0.3">
      <c r="C294" s="11"/>
      <c r="D294" s="32"/>
      <c r="E294" s="11" t="str" cm="1">
        <f t="array" ref="E294">_xlfn.IFS(
    COUNTIF(Herramientas_eléctricas1862106149[Herramientas_eléctricas], B294) &gt; 0, Herramientas_eléctricas1862106149[[#Headers],[Herramientas_eléctricas]],
    COUNTIF(Herramientas_neumáticas1963107150[Herramientas_neumáticas], B294) &gt; 0, Herramientas_neumáticas1963107150[[#Headers],[Herramientas_neumáticas]],
    COUNTIF(Herramientas_de_medición2064108151[Herramientas_de_medición], B294) &gt; 0, Herramientas_de_medición2064108151[[#Headers],[Herramientas_de_medición]],
    COUNTIF(Herrramientas_mecánicas2165109152[Herramientas_mecánicas], B294) &gt; 0, Herrramientas_mecánicas2165109152[[#Headers],[Herramientas_mecánicas]],
    COUNTIF(AH294:AH300, B294) &gt; 0, Herramientas_hidráulicas2266110153[[#Headers],[Herramientas_hidráulicas]],
    COUNTIF(EPP_2367111154[SPCC], B294) &gt; 0, EPP_2367111154[[#Headers],[SPCC]],
   COUNTIF(Herramientas_de_izaje2468112155[Herramientas_de_izaje], B294) &gt; 0, Herramientas_de_izaje2468112155[[#Headers],[Herramientas_de_izaje]],
COUNTIF(Tabla162670114157[Equipos], B294) &gt; 0, Tabla162670114157[[#Headers],[Equipos]],
    TRUE, "Sin clasificación"
)</f>
        <v>Sin clasificación</v>
      </c>
      <c r="I294" s="15"/>
      <c r="J294" s="47"/>
      <c r="K294" s="76"/>
      <c r="L294" s="76"/>
      <c r="M294" s="78" t="str">
        <f>_xlfn.LET(
    _xlpm.itemBuscado, B294,
    _xlpm.areaBuscada, C294,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TEXT(COUNTIF($C$2:C294, _xlpm.areaBuscada), "0000"),
    _xlpm.codItem &amp; "-" &amp; _xlpm.codArea &amp; "-" &amp; _xlpm.secuencia
)</f>
        <v>-SinArea-0000</v>
      </c>
      <c r="N294" s="77"/>
      <c r="O294" s="32"/>
      <c r="P294" s="32"/>
      <c r="Q294" s="32"/>
      <c r="R294" s="32"/>
    </row>
    <row r="295" spans="3:18" x14ac:dyDescent="0.3">
      <c r="C295" s="11"/>
      <c r="D295" s="32"/>
      <c r="E295" s="11" t="str" cm="1">
        <f t="array" ref="E295">_xlfn.IFS(
    COUNTIF(Herramientas_eléctricas1862106149[Herramientas_eléctricas], B295) &gt; 0, Herramientas_eléctricas1862106149[[#Headers],[Herramientas_eléctricas]],
    COUNTIF(Herramientas_neumáticas1963107150[Herramientas_neumáticas], B295) &gt; 0, Herramientas_neumáticas1963107150[[#Headers],[Herramientas_neumáticas]],
    COUNTIF(Herramientas_de_medición2064108151[Herramientas_de_medición], B295) &gt; 0, Herramientas_de_medición2064108151[[#Headers],[Herramientas_de_medición]],
    COUNTIF(Herrramientas_mecánicas2165109152[Herramientas_mecánicas], B295) &gt; 0, Herrramientas_mecánicas2165109152[[#Headers],[Herramientas_mecánicas]],
    COUNTIF(AH295:AH301, B295) &gt; 0, Herramientas_hidráulicas2266110153[[#Headers],[Herramientas_hidráulicas]],
    COUNTIF(EPP_2367111154[SPCC], B295) &gt; 0, EPP_2367111154[[#Headers],[SPCC]],
   COUNTIF(Herramientas_de_izaje2468112155[Herramientas_de_izaje], B295) &gt; 0, Herramientas_de_izaje2468112155[[#Headers],[Herramientas_de_izaje]],
COUNTIF(Tabla162670114157[Equipos], B295) &gt; 0, Tabla162670114157[[#Headers],[Equipos]],
    TRUE, "Sin clasificación"
)</f>
        <v>Sin clasificación</v>
      </c>
      <c r="I295" s="15"/>
      <c r="J295" s="47"/>
      <c r="K295" s="76"/>
      <c r="L295" s="76"/>
      <c r="M295" s="78" t="str">
        <f>_xlfn.LET(
    _xlpm.itemBuscado, B295,
    _xlpm.areaBuscada, C295,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TEXT(COUNTIF($C$2:C295, _xlpm.areaBuscada), "0000"),
    _xlpm.codItem &amp; "-" &amp; _xlpm.codArea &amp; "-" &amp; _xlpm.secuencia
)</f>
        <v>-SinArea-0000</v>
      </c>
      <c r="N295" s="77"/>
      <c r="O295" s="32"/>
      <c r="P295" s="32"/>
      <c r="Q295" s="32"/>
      <c r="R295" s="32"/>
    </row>
    <row r="296" spans="3:18" x14ac:dyDescent="0.3">
      <c r="C296" s="11"/>
      <c r="D296" s="32"/>
      <c r="E296" s="11" t="str" cm="1">
        <f t="array" ref="E296">_xlfn.IFS(
    COUNTIF(Herramientas_eléctricas1862106149[Herramientas_eléctricas], B296) &gt; 0, Herramientas_eléctricas1862106149[[#Headers],[Herramientas_eléctricas]],
    COUNTIF(Herramientas_neumáticas1963107150[Herramientas_neumáticas], B296) &gt; 0, Herramientas_neumáticas1963107150[[#Headers],[Herramientas_neumáticas]],
    COUNTIF(Herramientas_de_medición2064108151[Herramientas_de_medición], B296) &gt; 0, Herramientas_de_medición2064108151[[#Headers],[Herramientas_de_medición]],
    COUNTIF(Herrramientas_mecánicas2165109152[Herramientas_mecánicas], B296) &gt; 0, Herrramientas_mecánicas2165109152[[#Headers],[Herramientas_mecánicas]],
    COUNTIF(AH296:AH302, B296) &gt; 0, Herramientas_hidráulicas2266110153[[#Headers],[Herramientas_hidráulicas]],
    COUNTIF(EPP_2367111154[SPCC], B296) &gt; 0, EPP_2367111154[[#Headers],[SPCC]],
   COUNTIF(Herramientas_de_izaje2468112155[Herramientas_de_izaje], B296) &gt; 0, Herramientas_de_izaje2468112155[[#Headers],[Herramientas_de_izaje]],
COUNTIF(Tabla162670114157[Equipos], B296) &gt; 0, Tabla162670114157[[#Headers],[Equipos]],
    TRUE, "Sin clasificación"
)</f>
        <v>Sin clasificación</v>
      </c>
      <c r="I296" s="15"/>
      <c r="J296" s="47"/>
      <c r="K296" s="76"/>
      <c r="L296" s="76"/>
      <c r="M296" s="78" t="str">
        <f>_xlfn.LET(
    _xlpm.itemBuscado, B296,
    _xlpm.areaBuscada, C296,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TEXT(COUNTIF($C$2:C296, _xlpm.areaBuscada), "0000"),
    _xlpm.codItem &amp; "-" &amp; _xlpm.codArea &amp; "-" &amp; _xlpm.secuencia
)</f>
        <v>-SinArea-0000</v>
      </c>
      <c r="N296" s="77"/>
      <c r="O296" s="32"/>
      <c r="P296" s="32"/>
      <c r="Q296" s="32"/>
      <c r="R296" s="32"/>
    </row>
    <row r="297" spans="3:18" x14ac:dyDescent="0.3">
      <c r="C297" s="11"/>
      <c r="D297" s="32"/>
      <c r="E297" s="11" t="str" cm="1">
        <f t="array" ref="E297">_xlfn.IFS(
    COUNTIF(Herramientas_eléctricas1862106149[Herramientas_eléctricas], B297) &gt; 0, Herramientas_eléctricas1862106149[[#Headers],[Herramientas_eléctricas]],
    COUNTIF(Herramientas_neumáticas1963107150[Herramientas_neumáticas], B297) &gt; 0, Herramientas_neumáticas1963107150[[#Headers],[Herramientas_neumáticas]],
    COUNTIF(Herramientas_de_medición2064108151[Herramientas_de_medición], B297) &gt; 0, Herramientas_de_medición2064108151[[#Headers],[Herramientas_de_medición]],
    COUNTIF(Herrramientas_mecánicas2165109152[Herramientas_mecánicas], B297) &gt; 0, Herrramientas_mecánicas2165109152[[#Headers],[Herramientas_mecánicas]],
    COUNTIF(AH297:AH303, B297) &gt; 0, Herramientas_hidráulicas2266110153[[#Headers],[Herramientas_hidráulicas]],
    COUNTIF(EPP_2367111154[SPCC], B297) &gt; 0, EPP_2367111154[[#Headers],[SPCC]],
   COUNTIF(Herramientas_de_izaje2468112155[Herramientas_de_izaje], B297) &gt; 0, Herramientas_de_izaje2468112155[[#Headers],[Herramientas_de_izaje]],
COUNTIF(Tabla162670114157[Equipos], B297) &gt; 0, Tabla162670114157[[#Headers],[Equipos]],
    TRUE, "Sin clasificación"
)</f>
        <v>Sin clasificación</v>
      </c>
      <c r="I297" s="15"/>
      <c r="J297" s="47"/>
      <c r="K297" s="76"/>
      <c r="L297" s="76"/>
      <c r="M297" s="78" t="str">
        <f>_xlfn.LET(
    _xlpm.itemBuscado, B297,
    _xlpm.areaBuscada, C297,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TEXT(COUNTIF($C$2:C297, _xlpm.areaBuscada), "0000"),
    _xlpm.codItem &amp; "-" &amp; _xlpm.codArea &amp; "-" &amp; _xlpm.secuencia
)</f>
        <v>-SinArea-0000</v>
      </c>
      <c r="N297" s="77"/>
      <c r="O297" s="32"/>
      <c r="P297" s="32"/>
      <c r="Q297" s="32"/>
      <c r="R297" s="32"/>
    </row>
    <row r="298" spans="3:18" x14ac:dyDescent="0.3">
      <c r="C298" s="11"/>
      <c r="D298" s="32"/>
      <c r="E298" s="11" t="str" cm="1">
        <f t="array" ref="E298">_xlfn.IFS(
    COUNTIF(Herramientas_eléctricas1862106149[Herramientas_eléctricas], B298) &gt; 0, Herramientas_eléctricas1862106149[[#Headers],[Herramientas_eléctricas]],
    COUNTIF(Herramientas_neumáticas1963107150[Herramientas_neumáticas], B298) &gt; 0, Herramientas_neumáticas1963107150[[#Headers],[Herramientas_neumáticas]],
    COUNTIF(Herramientas_de_medición2064108151[Herramientas_de_medición], B298) &gt; 0, Herramientas_de_medición2064108151[[#Headers],[Herramientas_de_medición]],
    COUNTIF(Herrramientas_mecánicas2165109152[Herramientas_mecánicas], B298) &gt; 0, Herrramientas_mecánicas2165109152[[#Headers],[Herramientas_mecánicas]],
    COUNTIF(AH298:AH304, B298) &gt; 0, Herramientas_hidráulicas2266110153[[#Headers],[Herramientas_hidráulicas]],
    COUNTIF(EPP_2367111154[SPCC], B298) &gt; 0, EPP_2367111154[[#Headers],[SPCC]],
   COUNTIF(Herramientas_de_izaje2468112155[Herramientas_de_izaje], B298) &gt; 0, Herramientas_de_izaje2468112155[[#Headers],[Herramientas_de_izaje]],
COUNTIF(Tabla162670114157[Equipos], B298) &gt; 0, Tabla162670114157[[#Headers],[Equipos]],
    TRUE, "Sin clasificación"
)</f>
        <v>Sin clasificación</v>
      </c>
      <c r="I298" s="15"/>
      <c r="J298" s="47"/>
      <c r="K298" s="76"/>
      <c r="L298" s="76"/>
      <c r="M298" s="78" t="str">
        <f>_xlfn.LET(
    _xlpm.itemBuscado, B298,
    _xlpm.areaBuscada, C298,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TEXT(COUNTIF($C$2:C298, _xlpm.areaBuscada), "0000"),
    _xlpm.codItem &amp; "-" &amp; _xlpm.codArea &amp; "-" &amp; _xlpm.secuencia
)</f>
        <v>-SinArea-0000</v>
      </c>
      <c r="N298" s="77"/>
      <c r="O298" s="32"/>
      <c r="P298" s="32"/>
      <c r="Q298" s="32"/>
      <c r="R298" s="32"/>
    </row>
    <row r="299" spans="3:18" x14ac:dyDescent="0.3">
      <c r="C299" s="11"/>
      <c r="D299" s="32"/>
      <c r="E299" s="11" t="str" cm="1">
        <f t="array" ref="E299">_xlfn.IFS(
    COUNTIF(Herramientas_eléctricas1862106149[Herramientas_eléctricas], B299) &gt; 0, Herramientas_eléctricas1862106149[[#Headers],[Herramientas_eléctricas]],
    COUNTIF(Herramientas_neumáticas1963107150[Herramientas_neumáticas], B299) &gt; 0, Herramientas_neumáticas1963107150[[#Headers],[Herramientas_neumáticas]],
    COUNTIF(Herramientas_de_medición2064108151[Herramientas_de_medición], B299) &gt; 0, Herramientas_de_medición2064108151[[#Headers],[Herramientas_de_medición]],
    COUNTIF(Herrramientas_mecánicas2165109152[Herramientas_mecánicas], B299) &gt; 0, Herrramientas_mecánicas2165109152[[#Headers],[Herramientas_mecánicas]],
    COUNTIF(AH299:AH305, B299) &gt; 0, Herramientas_hidráulicas2266110153[[#Headers],[Herramientas_hidráulicas]],
    COUNTIF(EPP_2367111154[SPCC], B299) &gt; 0, EPP_2367111154[[#Headers],[SPCC]],
   COUNTIF(Herramientas_de_izaje2468112155[Herramientas_de_izaje], B299) &gt; 0, Herramientas_de_izaje2468112155[[#Headers],[Herramientas_de_izaje]],
COUNTIF(Tabla162670114157[Equipos], B299) &gt; 0, Tabla162670114157[[#Headers],[Equipos]],
    TRUE, "Sin clasificación"
)</f>
        <v>Sin clasificación</v>
      </c>
      <c r="I299" s="15"/>
      <c r="J299" s="47"/>
      <c r="K299" s="76"/>
      <c r="L299" s="76"/>
      <c r="M299" s="78" t="str">
        <f>_xlfn.LET(
    _xlpm.itemBuscado, B299,
    _xlpm.areaBuscada, C299,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TEXT(COUNTIF($C$2:C299, _xlpm.areaBuscada), "0000"),
    _xlpm.codItem &amp; "-" &amp; _xlpm.codArea &amp; "-" &amp; _xlpm.secuencia
)</f>
        <v>-SinArea-0000</v>
      </c>
      <c r="N299" s="77"/>
      <c r="O299" s="32"/>
      <c r="P299" s="32"/>
      <c r="Q299" s="32"/>
      <c r="R299" s="32"/>
    </row>
    <row r="300" spans="3:18" x14ac:dyDescent="0.3">
      <c r="C300" s="11"/>
      <c r="D300" s="32"/>
      <c r="E300" s="11" t="str" cm="1">
        <f t="array" ref="E300">_xlfn.IFS(
    COUNTIF(Herramientas_eléctricas1862106149[Herramientas_eléctricas], B300) &gt; 0, Herramientas_eléctricas1862106149[[#Headers],[Herramientas_eléctricas]],
    COUNTIF(Herramientas_neumáticas1963107150[Herramientas_neumáticas], B300) &gt; 0, Herramientas_neumáticas1963107150[[#Headers],[Herramientas_neumáticas]],
    COUNTIF(Herramientas_de_medición2064108151[Herramientas_de_medición], B300) &gt; 0, Herramientas_de_medición2064108151[[#Headers],[Herramientas_de_medición]],
    COUNTIF(Herrramientas_mecánicas2165109152[Herramientas_mecánicas], B300) &gt; 0, Herrramientas_mecánicas2165109152[[#Headers],[Herramientas_mecánicas]],
    COUNTIF(AH300:AH306, B300) &gt; 0, Herramientas_hidráulicas2266110153[[#Headers],[Herramientas_hidráulicas]],
    COUNTIF(EPP_2367111154[SPCC], B300) &gt; 0, EPP_2367111154[[#Headers],[SPCC]],
   COUNTIF(Herramientas_de_izaje2468112155[Herramientas_de_izaje], B300) &gt; 0, Herramientas_de_izaje2468112155[[#Headers],[Herramientas_de_izaje]],
COUNTIF(Tabla162670114157[Equipos], B300) &gt; 0, Tabla162670114157[[#Headers],[Equipos]],
    TRUE, "Sin clasificación"
)</f>
        <v>Sin clasificación</v>
      </c>
      <c r="I300" s="15"/>
      <c r="J300" s="47"/>
      <c r="K300" s="76"/>
      <c r="L300" s="76"/>
      <c r="M300" s="78" t="str">
        <f>_xlfn.LET(
    _xlpm.itemBuscado, B300,
    _xlpm.areaBuscada, C300,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TEXT(COUNTIF($C$2:C300, _xlpm.areaBuscada), "0000"),
    _xlpm.codItem &amp; "-" &amp; _xlpm.codArea &amp; "-" &amp; _xlpm.secuencia
)</f>
        <v>-SinArea-0000</v>
      </c>
      <c r="N300" s="77"/>
      <c r="O300" s="32"/>
      <c r="P300" s="32"/>
      <c r="Q300" s="32"/>
      <c r="R300" s="32"/>
    </row>
    <row r="301" spans="3:18" x14ac:dyDescent="0.3">
      <c r="C301" s="11"/>
      <c r="D301" s="32"/>
      <c r="E301" s="11" t="str" cm="1">
        <f t="array" ref="E301">_xlfn.IFS(
    COUNTIF(Herramientas_eléctricas1862106149[Herramientas_eléctricas], B301) &gt; 0, Herramientas_eléctricas1862106149[[#Headers],[Herramientas_eléctricas]],
    COUNTIF(Herramientas_neumáticas1963107150[Herramientas_neumáticas], B301) &gt; 0, Herramientas_neumáticas1963107150[[#Headers],[Herramientas_neumáticas]],
    COUNTIF(Herramientas_de_medición2064108151[Herramientas_de_medición], B301) &gt; 0, Herramientas_de_medición2064108151[[#Headers],[Herramientas_de_medición]],
    COUNTIF(Herrramientas_mecánicas2165109152[Herramientas_mecánicas], B301) &gt; 0, Herrramientas_mecánicas2165109152[[#Headers],[Herramientas_mecánicas]],
    COUNTIF(AH301:AH307, B301) &gt; 0, Herramientas_hidráulicas2266110153[[#Headers],[Herramientas_hidráulicas]],
    COUNTIF(EPP_2367111154[SPCC], B301) &gt; 0, EPP_2367111154[[#Headers],[SPCC]],
   COUNTIF(Herramientas_de_izaje2468112155[Herramientas_de_izaje], B301) &gt; 0, Herramientas_de_izaje2468112155[[#Headers],[Herramientas_de_izaje]],
COUNTIF(Tabla162670114157[Equipos], B301) &gt; 0, Tabla162670114157[[#Headers],[Equipos]],
    TRUE, "Sin clasificación"
)</f>
        <v>Sin clasificación</v>
      </c>
      <c r="I301" s="15"/>
      <c r="J301" s="47"/>
      <c r="K301" s="76"/>
      <c r="L301" s="76"/>
      <c r="M301" s="78" t="str">
        <f>_xlfn.LET(
    _xlpm.itemBuscado, B301,
    _xlpm.areaBuscada, C301,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TEXT(COUNTIF($C$2:C301, _xlpm.areaBuscada), "0000"),
    _xlpm.codItem &amp; "-" &amp; _xlpm.codArea &amp; "-" &amp; _xlpm.secuencia
)</f>
        <v>-SinArea-0000</v>
      </c>
      <c r="N301" s="77"/>
      <c r="O301" s="32"/>
      <c r="P301" s="32"/>
      <c r="Q301" s="32"/>
      <c r="R301" s="32"/>
    </row>
    <row r="302" spans="3:18" x14ac:dyDescent="0.3">
      <c r="C302" s="11"/>
      <c r="D302" s="32"/>
      <c r="E302" s="11" t="str" cm="1">
        <f t="array" ref="E302">_xlfn.IFS(
    COUNTIF(Herramientas_eléctricas1862106149[Herramientas_eléctricas], B302) &gt; 0, Herramientas_eléctricas1862106149[[#Headers],[Herramientas_eléctricas]],
    COUNTIF(Herramientas_neumáticas1963107150[Herramientas_neumáticas], B302) &gt; 0, Herramientas_neumáticas1963107150[[#Headers],[Herramientas_neumáticas]],
    COUNTIF(Herramientas_de_medición2064108151[Herramientas_de_medición], B302) &gt; 0, Herramientas_de_medición2064108151[[#Headers],[Herramientas_de_medición]],
    COUNTIF(Herrramientas_mecánicas2165109152[Herramientas_mecánicas], B302) &gt; 0, Herrramientas_mecánicas2165109152[[#Headers],[Herramientas_mecánicas]],
    COUNTIF(AH302:AH308, B302) &gt; 0, Herramientas_hidráulicas2266110153[[#Headers],[Herramientas_hidráulicas]],
    COUNTIF(EPP_2367111154[SPCC], B302) &gt; 0, EPP_2367111154[[#Headers],[SPCC]],
   COUNTIF(Herramientas_de_izaje2468112155[Herramientas_de_izaje], B302) &gt; 0, Herramientas_de_izaje2468112155[[#Headers],[Herramientas_de_izaje]],
COUNTIF(Tabla162670114157[Equipos], B302) &gt; 0, Tabla162670114157[[#Headers],[Equipos]],
    TRUE, "Sin clasificación"
)</f>
        <v>Sin clasificación</v>
      </c>
      <c r="I302" s="15"/>
      <c r="J302" s="47"/>
      <c r="K302" s="76"/>
      <c r="L302" s="76"/>
      <c r="M302" s="78" t="str">
        <f>_xlfn.LET(
    _xlpm.itemBuscado, B302,
    _xlpm.areaBuscada, C302,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TEXT(COUNTIF($C$2:C302, _xlpm.areaBuscada), "0000"),
    _xlpm.codItem &amp; "-" &amp; _xlpm.codArea &amp; "-" &amp; _xlpm.secuencia
)</f>
        <v>-SinArea-0000</v>
      </c>
      <c r="N302" s="77"/>
      <c r="O302" s="32"/>
      <c r="P302" s="32"/>
      <c r="Q302" s="32"/>
      <c r="R302" s="32"/>
    </row>
    <row r="303" spans="3:18" x14ac:dyDescent="0.3">
      <c r="C303" s="11"/>
      <c r="D303" s="32"/>
      <c r="E303" s="11" t="str" cm="1">
        <f t="array" ref="E303">_xlfn.IFS(
    COUNTIF(Herramientas_eléctricas1862106149[Herramientas_eléctricas], B303) &gt; 0, Herramientas_eléctricas1862106149[[#Headers],[Herramientas_eléctricas]],
    COUNTIF(Herramientas_neumáticas1963107150[Herramientas_neumáticas], B303) &gt; 0, Herramientas_neumáticas1963107150[[#Headers],[Herramientas_neumáticas]],
    COUNTIF(Herramientas_de_medición2064108151[Herramientas_de_medición], B303) &gt; 0, Herramientas_de_medición2064108151[[#Headers],[Herramientas_de_medición]],
    COUNTIF(Herrramientas_mecánicas2165109152[Herramientas_mecánicas], B303) &gt; 0, Herrramientas_mecánicas2165109152[[#Headers],[Herramientas_mecánicas]],
    COUNTIF(AH303:AH309, B303) &gt; 0, Herramientas_hidráulicas2266110153[[#Headers],[Herramientas_hidráulicas]],
    COUNTIF(EPP_2367111154[SPCC], B303) &gt; 0, EPP_2367111154[[#Headers],[SPCC]],
   COUNTIF(Herramientas_de_izaje2468112155[Herramientas_de_izaje], B303) &gt; 0, Herramientas_de_izaje2468112155[[#Headers],[Herramientas_de_izaje]],
COUNTIF(Tabla162670114157[Equipos], B303) &gt; 0, Tabla162670114157[[#Headers],[Equipos]],
    TRUE, "Sin clasificación"
)</f>
        <v>Sin clasificación</v>
      </c>
      <c r="I303" s="15"/>
      <c r="J303" s="47"/>
      <c r="K303" s="76"/>
      <c r="L303" s="76"/>
      <c r="M303" s="78" t="str">
        <f>_xlfn.LET(
    _xlpm.itemBuscado, B303,
    _xlpm.areaBuscada, C303,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TEXT(COUNTIF($C$2:C303, _xlpm.areaBuscada), "0000"),
    _xlpm.codItem &amp; "-" &amp; _xlpm.codArea &amp; "-" &amp; _xlpm.secuencia
)</f>
        <v>-SinArea-0000</v>
      </c>
      <c r="N303" s="77"/>
      <c r="O303" s="32"/>
      <c r="P303" s="32"/>
      <c r="Q303" s="32"/>
      <c r="R303" s="32"/>
    </row>
    <row r="304" spans="3:18" x14ac:dyDescent="0.3">
      <c r="C304" s="11"/>
      <c r="D304" s="32"/>
      <c r="E304" s="11" t="str" cm="1">
        <f t="array" ref="E304">_xlfn.IFS(
    COUNTIF(Herramientas_eléctricas1862106149[Herramientas_eléctricas], B304) &gt; 0, Herramientas_eléctricas1862106149[[#Headers],[Herramientas_eléctricas]],
    COUNTIF(Herramientas_neumáticas1963107150[Herramientas_neumáticas], B304) &gt; 0, Herramientas_neumáticas1963107150[[#Headers],[Herramientas_neumáticas]],
    COUNTIF(Herramientas_de_medición2064108151[Herramientas_de_medición], B304) &gt; 0, Herramientas_de_medición2064108151[[#Headers],[Herramientas_de_medición]],
    COUNTIF(Herrramientas_mecánicas2165109152[Herramientas_mecánicas], B304) &gt; 0, Herrramientas_mecánicas2165109152[[#Headers],[Herramientas_mecánicas]],
    COUNTIF(AH304:AH310, B304) &gt; 0, Herramientas_hidráulicas2266110153[[#Headers],[Herramientas_hidráulicas]],
    COUNTIF(EPP_2367111154[SPCC], B304) &gt; 0, EPP_2367111154[[#Headers],[SPCC]],
   COUNTIF(Herramientas_de_izaje2468112155[Herramientas_de_izaje], B304) &gt; 0, Herramientas_de_izaje2468112155[[#Headers],[Herramientas_de_izaje]],
COUNTIF(Tabla162670114157[Equipos], B304) &gt; 0, Tabla162670114157[[#Headers],[Equipos]],
    TRUE, "Sin clasificación"
)</f>
        <v>Sin clasificación</v>
      </c>
      <c r="I304" s="15"/>
      <c r="J304" s="47"/>
      <c r="K304" s="76"/>
      <c r="L304" s="76"/>
      <c r="M304" s="78" t="str">
        <f>_xlfn.LET(
    _xlpm.itemBuscado, B304,
    _xlpm.areaBuscada, C304,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TEXT(COUNTIF($C$2:C304, _xlpm.areaBuscada), "0000"),
    _xlpm.codItem &amp; "-" &amp; _xlpm.codArea &amp; "-" &amp; _xlpm.secuencia
)</f>
        <v>-SinArea-0000</v>
      </c>
      <c r="N304" s="77"/>
      <c r="O304" s="32"/>
      <c r="P304" s="32"/>
      <c r="Q304" s="32"/>
      <c r="R304" s="32"/>
    </row>
    <row r="305" spans="3:18" x14ac:dyDescent="0.3">
      <c r="C305" s="11"/>
      <c r="D305" s="32"/>
      <c r="E305" s="11" t="str" cm="1">
        <f t="array" ref="E305">_xlfn.IFS(
    COUNTIF(Herramientas_eléctricas1862106149[Herramientas_eléctricas], B305) &gt; 0, Herramientas_eléctricas1862106149[[#Headers],[Herramientas_eléctricas]],
    COUNTIF(Herramientas_neumáticas1963107150[Herramientas_neumáticas], B305) &gt; 0, Herramientas_neumáticas1963107150[[#Headers],[Herramientas_neumáticas]],
    COUNTIF(Herramientas_de_medición2064108151[Herramientas_de_medición], B305) &gt; 0, Herramientas_de_medición2064108151[[#Headers],[Herramientas_de_medición]],
    COUNTIF(Herrramientas_mecánicas2165109152[Herramientas_mecánicas], B305) &gt; 0, Herrramientas_mecánicas2165109152[[#Headers],[Herramientas_mecánicas]],
    COUNTIF(AH305:AH311, B305) &gt; 0, Herramientas_hidráulicas2266110153[[#Headers],[Herramientas_hidráulicas]],
    COUNTIF(EPP_2367111154[SPCC], B305) &gt; 0, EPP_2367111154[[#Headers],[SPCC]],
   COUNTIF(Herramientas_de_izaje2468112155[Herramientas_de_izaje], B305) &gt; 0, Herramientas_de_izaje2468112155[[#Headers],[Herramientas_de_izaje]],
COUNTIF(Tabla162670114157[Equipos], B305) &gt; 0, Tabla162670114157[[#Headers],[Equipos]],
    TRUE, "Sin clasificación"
)</f>
        <v>Sin clasificación</v>
      </c>
      <c r="I305" s="15"/>
      <c r="J305" s="47"/>
      <c r="K305" s="76"/>
      <c r="L305" s="76"/>
      <c r="M305" s="78" t="str">
        <f>_xlfn.LET(
    _xlpm.itemBuscado, B305,
    _xlpm.areaBuscada, C305,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TEXT(COUNTIF($C$2:C305, _xlpm.areaBuscada), "0000"),
    _xlpm.codItem &amp; "-" &amp; _xlpm.codArea &amp; "-" &amp; _xlpm.secuencia
)</f>
        <v>-SinArea-0000</v>
      </c>
      <c r="N305" s="77"/>
      <c r="O305" s="32"/>
      <c r="P305" s="32"/>
      <c r="Q305" s="32"/>
      <c r="R305" s="32"/>
    </row>
    <row r="306" spans="3:18" x14ac:dyDescent="0.3">
      <c r="C306" s="11"/>
      <c r="D306" s="32"/>
      <c r="E306" s="11" t="str" cm="1">
        <f t="array" ref="E306">_xlfn.IFS(
    COUNTIF(Herramientas_eléctricas1862106149[Herramientas_eléctricas], B306) &gt; 0, Herramientas_eléctricas1862106149[[#Headers],[Herramientas_eléctricas]],
    COUNTIF(Herramientas_neumáticas1963107150[Herramientas_neumáticas], B306) &gt; 0, Herramientas_neumáticas1963107150[[#Headers],[Herramientas_neumáticas]],
    COUNTIF(Herramientas_de_medición2064108151[Herramientas_de_medición], B306) &gt; 0, Herramientas_de_medición2064108151[[#Headers],[Herramientas_de_medición]],
    COUNTIF(Herrramientas_mecánicas2165109152[Herramientas_mecánicas], B306) &gt; 0, Herrramientas_mecánicas2165109152[[#Headers],[Herramientas_mecánicas]],
    COUNTIF(AH306:AH312, B306) &gt; 0, Herramientas_hidráulicas2266110153[[#Headers],[Herramientas_hidráulicas]],
    COUNTIF(EPP_2367111154[SPCC], B306) &gt; 0, EPP_2367111154[[#Headers],[SPCC]],
   COUNTIF(Herramientas_de_izaje2468112155[Herramientas_de_izaje], B306) &gt; 0, Herramientas_de_izaje2468112155[[#Headers],[Herramientas_de_izaje]],
COUNTIF(Tabla162670114157[Equipos], B306) &gt; 0, Tabla162670114157[[#Headers],[Equipos]],
    TRUE, "Sin clasificación"
)</f>
        <v>Sin clasificación</v>
      </c>
      <c r="I306" s="15"/>
      <c r="J306" s="47"/>
      <c r="K306" s="76"/>
      <c r="L306" s="76"/>
      <c r="M306" s="78" t="str">
        <f>_xlfn.LET(
    _xlpm.itemBuscado, B306,
    _xlpm.areaBuscada, C306,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TEXT(COUNTIF($C$2:C306, _xlpm.areaBuscada), "0000"),
    _xlpm.codItem &amp; "-" &amp; _xlpm.codArea &amp; "-" &amp; _xlpm.secuencia
)</f>
        <v>-SinArea-0000</v>
      </c>
      <c r="N306" s="77"/>
      <c r="O306" s="32"/>
      <c r="P306" s="32"/>
      <c r="Q306" s="32"/>
      <c r="R306" s="32"/>
    </row>
    <row r="307" spans="3:18" x14ac:dyDescent="0.3">
      <c r="C307" s="11"/>
      <c r="D307" s="32"/>
      <c r="E307" s="11" t="str" cm="1">
        <f t="array" ref="E307">_xlfn.IFS(
    COUNTIF(Herramientas_eléctricas1862106149[Herramientas_eléctricas], B307) &gt; 0, Herramientas_eléctricas1862106149[[#Headers],[Herramientas_eléctricas]],
    COUNTIF(Herramientas_neumáticas1963107150[Herramientas_neumáticas], B307) &gt; 0, Herramientas_neumáticas1963107150[[#Headers],[Herramientas_neumáticas]],
    COUNTIF(Herramientas_de_medición2064108151[Herramientas_de_medición], B307) &gt; 0, Herramientas_de_medición2064108151[[#Headers],[Herramientas_de_medición]],
    COUNTIF(Herrramientas_mecánicas2165109152[Herramientas_mecánicas], B307) &gt; 0, Herrramientas_mecánicas2165109152[[#Headers],[Herramientas_mecánicas]],
    COUNTIF(AH307:AH313, B307) &gt; 0, Herramientas_hidráulicas2266110153[[#Headers],[Herramientas_hidráulicas]],
    COUNTIF(EPP_2367111154[SPCC], B307) &gt; 0, EPP_2367111154[[#Headers],[SPCC]],
   COUNTIF(Herramientas_de_izaje2468112155[Herramientas_de_izaje], B307) &gt; 0, Herramientas_de_izaje2468112155[[#Headers],[Herramientas_de_izaje]],
COUNTIF(Tabla162670114157[Equipos], B307) &gt; 0, Tabla162670114157[[#Headers],[Equipos]],
    TRUE, "Sin clasificación"
)</f>
        <v>Sin clasificación</v>
      </c>
      <c r="I307" s="15"/>
      <c r="J307" s="47"/>
      <c r="K307" s="76"/>
      <c r="L307" s="76"/>
      <c r="M307" s="78" t="str">
        <f>_xlfn.LET(
    _xlpm.itemBuscado, B307,
    _xlpm.areaBuscada, C307,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TEXT(COUNTIF($C$2:C307, _xlpm.areaBuscada), "0000"),
    _xlpm.codItem &amp; "-" &amp; _xlpm.codArea &amp; "-" &amp; _xlpm.secuencia
)</f>
        <v>-SinArea-0000</v>
      </c>
      <c r="N307" s="77"/>
      <c r="O307" s="32"/>
      <c r="P307" s="32"/>
      <c r="Q307" s="32"/>
      <c r="R307" s="32"/>
    </row>
    <row r="308" spans="3:18" x14ac:dyDescent="0.3">
      <c r="C308" s="11"/>
      <c r="D308" s="32"/>
      <c r="E308" s="11" t="str" cm="1">
        <f t="array" ref="E308">_xlfn.IFS(
    COUNTIF(Herramientas_eléctricas1862106149[Herramientas_eléctricas], B308) &gt; 0, Herramientas_eléctricas1862106149[[#Headers],[Herramientas_eléctricas]],
    COUNTIF(Herramientas_neumáticas1963107150[Herramientas_neumáticas], B308) &gt; 0, Herramientas_neumáticas1963107150[[#Headers],[Herramientas_neumáticas]],
    COUNTIF(Herramientas_de_medición2064108151[Herramientas_de_medición], B308) &gt; 0, Herramientas_de_medición2064108151[[#Headers],[Herramientas_de_medición]],
    COUNTIF(Herrramientas_mecánicas2165109152[Herramientas_mecánicas], B308) &gt; 0, Herrramientas_mecánicas2165109152[[#Headers],[Herramientas_mecánicas]],
    COUNTIF(AH308:AH314, B308) &gt; 0, Herramientas_hidráulicas2266110153[[#Headers],[Herramientas_hidráulicas]],
    COUNTIF(EPP_2367111154[SPCC], B308) &gt; 0, EPP_2367111154[[#Headers],[SPCC]],
   COUNTIF(Herramientas_de_izaje2468112155[Herramientas_de_izaje], B308) &gt; 0, Herramientas_de_izaje2468112155[[#Headers],[Herramientas_de_izaje]],
COUNTIF(Tabla162670114157[Equipos], B308) &gt; 0, Tabla162670114157[[#Headers],[Equipos]],
    TRUE, "Sin clasificación"
)</f>
        <v>Sin clasificación</v>
      </c>
      <c r="I308" s="15"/>
      <c r="J308" s="47"/>
      <c r="K308" s="76"/>
      <c r="L308" s="76"/>
      <c r="M308" s="78" t="str">
        <f>_xlfn.LET(
    _xlpm.itemBuscado, B308,
    _xlpm.areaBuscada, C308,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TEXT(COUNTIF($C$2:C308, _xlpm.areaBuscada), "0000"),
    _xlpm.codItem &amp; "-" &amp; _xlpm.codArea &amp; "-" &amp; _xlpm.secuencia
)</f>
        <v>-SinArea-0000</v>
      </c>
      <c r="N308" s="77"/>
      <c r="O308" s="32"/>
      <c r="P308" s="32"/>
      <c r="Q308" s="32"/>
      <c r="R308" s="32"/>
    </row>
    <row r="309" spans="3:18" x14ac:dyDescent="0.3">
      <c r="C309" s="11"/>
      <c r="D309" s="32"/>
      <c r="E309" s="11" t="str" cm="1">
        <f t="array" ref="E309">_xlfn.IFS(
    COUNTIF(Herramientas_eléctricas1862106149[Herramientas_eléctricas], B309) &gt; 0, Herramientas_eléctricas1862106149[[#Headers],[Herramientas_eléctricas]],
    COUNTIF(Herramientas_neumáticas1963107150[Herramientas_neumáticas], B309) &gt; 0, Herramientas_neumáticas1963107150[[#Headers],[Herramientas_neumáticas]],
    COUNTIF(Herramientas_de_medición2064108151[Herramientas_de_medición], B309) &gt; 0, Herramientas_de_medición2064108151[[#Headers],[Herramientas_de_medición]],
    COUNTIF(Herrramientas_mecánicas2165109152[Herramientas_mecánicas], B309) &gt; 0, Herrramientas_mecánicas2165109152[[#Headers],[Herramientas_mecánicas]],
    COUNTIF(AH309:AH315, B309) &gt; 0, Herramientas_hidráulicas2266110153[[#Headers],[Herramientas_hidráulicas]],
    COUNTIF(EPP_2367111154[SPCC], B309) &gt; 0, EPP_2367111154[[#Headers],[SPCC]],
   COUNTIF(Herramientas_de_izaje2468112155[Herramientas_de_izaje], B309) &gt; 0, Herramientas_de_izaje2468112155[[#Headers],[Herramientas_de_izaje]],
COUNTIF(Tabla162670114157[Equipos], B309) &gt; 0, Tabla162670114157[[#Headers],[Equipos]],
    TRUE, "Sin clasificación"
)</f>
        <v>Sin clasificación</v>
      </c>
      <c r="I309" s="15"/>
      <c r="J309" s="47"/>
      <c r="K309" s="76"/>
      <c r="L309" s="76"/>
      <c r="M309" s="78" t="str">
        <f>_xlfn.LET(
    _xlpm.itemBuscado, B309,
    _xlpm.areaBuscada, C309,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TEXT(COUNTIF($C$2:C309, _xlpm.areaBuscada), "0000"),
    _xlpm.codItem &amp; "-" &amp; _xlpm.codArea &amp; "-" &amp; _xlpm.secuencia
)</f>
        <v>-SinArea-0000</v>
      </c>
      <c r="N309" s="77"/>
      <c r="O309" s="32"/>
      <c r="P309" s="32"/>
      <c r="Q309" s="32"/>
      <c r="R309" s="32"/>
    </row>
    <row r="310" spans="3:18" x14ac:dyDescent="0.3">
      <c r="C310" s="11"/>
      <c r="D310" s="32"/>
      <c r="E310" s="11" t="str" cm="1">
        <f t="array" ref="E310">_xlfn.IFS(
    COUNTIF(Herramientas_eléctricas1862106149[Herramientas_eléctricas], B310) &gt; 0, Herramientas_eléctricas1862106149[[#Headers],[Herramientas_eléctricas]],
    COUNTIF(Herramientas_neumáticas1963107150[Herramientas_neumáticas], B310) &gt; 0, Herramientas_neumáticas1963107150[[#Headers],[Herramientas_neumáticas]],
    COUNTIF(Herramientas_de_medición2064108151[Herramientas_de_medición], B310) &gt; 0, Herramientas_de_medición2064108151[[#Headers],[Herramientas_de_medición]],
    COUNTIF(Herrramientas_mecánicas2165109152[Herramientas_mecánicas], B310) &gt; 0, Herrramientas_mecánicas2165109152[[#Headers],[Herramientas_mecánicas]],
    COUNTIF(AH310:AH316, B310) &gt; 0, Herramientas_hidráulicas2266110153[[#Headers],[Herramientas_hidráulicas]],
    COUNTIF(EPP_2367111154[SPCC], B310) &gt; 0, EPP_2367111154[[#Headers],[SPCC]],
   COUNTIF(Herramientas_de_izaje2468112155[Herramientas_de_izaje], B310) &gt; 0, Herramientas_de_izaje2468112155[[#Headers],[Herramientas_de_izaje]],
COUNTIF(Tabla162670114157[Equipos], B310) &gt; 0, Tabla162670114157[[#Headers],[Equipos]],
    TRUE, "Sin clasificación"
)</f>
        <v>Sin clasificación</v>
      </c>
      <c r="I310" s="15"/>
      <c r="J310" s="47"/>
      <c r="K310" s="76"/>
      <c r="L310" s="76"/>
      <c r="M310" s="78" t="str">
        <f>_xlfn.LET(
    _xlpm.itemBuscado, B310,
    _xlpm.areaBuscada, C310,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TEXT(COUNTIF($C$2:C310, _xlpm.areaBuscada), "0000"),
    _xlpm.codItem &amp; "-" &amp; _xlpm.codArea &amp; "-" &amp; _xlpm.secuencia
)</f>
        <v>-SinArea-0000</v>
      </c>
      <c r="N310" s="77"/>
      <c r="O310" s="32"/>
      <c r="P310" s="32"/>
      <c r="Q310" s="32"/>
      <c r="R310" s="32"/>
    </row>
    <row r="311" spans="3:18" x14ac:dyDescent="0.3">
      <c r="C311" s="11"/>
      <c r="D311" s="32"/>
      <c r="E311" s="11" t="str" cm="1">
        <f t="array" ref="E311">_xlfn.IFS(
    COUNTIF(Herramientas_eléctricas1862106149[Herramientas_eléctricas], B311) &gt; 0, Herramientas_eléctricas1862106149[[#Headers],[Herramientas_eléctricas]],
    COUNTIF(Herramientas_neumáticas1963107150[Herramientas_neumáticas], B311) &gt; 0, Herramientas_neumáticas1963107150[[#Headers],[Herramientas_neumáticas]],
    COUNTIF(Herramientas_de_medición2064108151[Herramientas_de_medición], B311) &gt; 0, Herramientas_de_medición2064108151[[#Headers],[Herramientas_de_medición]],
    COUNTIF(Herrramientas_mecánicas2165109152[Herramientas_mecánicas], B311) &gt; 0, Herrramientas_mecánicas2165109152[[#Headers],[Herramientas_mecánicas]],
    COUNTIF(AH311:AH317, B311) &gt; 0, Herramientas_hidráulicas2266110153[[#Headers],[Herramientas_hidráulicas]],
    COUNTIF(EPP_2367111154[SPCC], B311) &gt; 0, EPP_2367111154[[#Headers],[SPCC]],
   COUNTIF(Herramientas_de_izaje2468112155[Herramientas_de_izaje], B311) &gt; 0, Herramientas_de_izaje2468112155[[#Headers],[Herramientas_de_izaje]],
COUNTIF(Tabla162670114157[Equipos], B311) &gt; 0, Tabla162670114157[[#Headers],[Equipos]],
    TRUE, "Sin clasificación"
)</f>
        <v>Sin clasificación</v>
      </c>
      <c r="I311" s="15"/>
      <c r="J311" s="47"/>
      <c r="K311" s="76"/>
      <c r="L311" s="76"/>
      <c r="M311" s="78" t="str">
        <f>_xlfn.LET(
    _xlpm.itemBuscado, B311,
    _xlpm.areaBuscada, C311,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TEXT(COUNTIF($C$2:C311, _xlpm.areaBuscada), "0000"),
    _xlpm.codItem &amp; "-" &amp; _xlpm.codArea &amp; "-" &amp; _xlpm.secuencia
)</f>
        <v>-SinArea-0000</v>
      </c>
      <c r="N311" s="77"/>
      <c r="O311" s="32"/>
      <c r="P311" s="32"/>
      <c r="Q311" s="32"/>
      <c r="R311" s="32"/>
    </row>
    <row r="312" spans="3:18" x14ac:dyDescent="0.3">
      <c r="C312" s="11"/>
      <c r="D312" s="32"/>
      <c r="E312" s="11" t="str" cm="1">
        <f t="array" ref="E312">_xlfn.IFS(
    COUNTIF(Herramientas_eléctricas1862106149[Herramientas_eléctricas], B312) &gt; 0, Herramientas_eléctricas1862106149[[#Headers],[Herramientas_eléctricas]],
    COUNTIF(Herramientas_neumáticas1963107150[Herramientas_neumáticas], B312) &gt; 0, Herramientas_neumáticas1963107150[[#Headers],[Herramientas_neumáticas]],
    COUNTIF(Herramientas_de_medición2064108151[Herramientas_de_medición], B312) &gt; 0, Herramientas_de_medición2064108151[[#Headers],[Herramientas_de_medición]],
    COUNTIF(Herrramientas_mecánicas2165109152[Herramientas_mecánicas], B312) &gt; 0, Herrramientas_mecánicas2165109152[[#Headers],[Herramientas_mecánicas]],
    COUNTIF(AH312:AH318, B312) &gt; 0, Herramientas_hidráulicas2266110153[[#Headers],[Herramientas_hidráulicas]],
    COUNTIF(EPP_2367111154[SPCC], B312) &gt; 0, EPP_2367111154[[#Headers],[SPCC]],
   COUNTIF(Herramientas_de_izaje2468112155[Herramientas_de_izaje], B312) &gt; 0, Herramientas_de_izaje2468112155[[#Headers],[Herramientas_de_izaje]],
COUNTIF(Tabla162670114157[Equipos], B312) &gt; 0, Tabla162670114157[[#Headers],[Equipos]],
    TRUE, "Sin clasificación"
)</f>
        <v>Sin clasificación</v>
      </c>
      <c r="I312" s="15"/>
      <c r="J312" s="47"/>
      <c r="K312" s="76"/>
      <c r="L312" s="76"/>
      <c r="M312" s="78" t="str">
        <f>_xlfn.LET(
    _xlpm.itemBuscado, B312,
    _xlpm.areaBuscada, C312,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TEXT(COUNTIF($C$2:C312, _xlpm.areaBuscada), "0000"),
    _xlpm.codItem &amp; "-" &amp; _xlpm.codArea &amp; "-" &amp; _xlpm.secuencia
)</f>
        <v>-SinArea-0000</v>
      </c>
      <c r="N312" s="77"/>
      <c r="O312" s="32"/>
      <c r="P312" s="32"/>
      <c r="Q312" s="32"/>
      <c r="R312" s="32"/>
    </row>
    <row r="313" spans="3:18" x14ac:dyDescent="0.3">
      <c r="C313" s="11"/>
      <c r="D313" s="32"/>
      <c r="E313" s="11" t="str" cm="1">
        <f t="array" ref="E313">_xlfn.IFS(
    COUNTIF(Herramientas_eléctricas1862106149[Herramientas_eléctricas], B313) &gt; 0, Herramientas_eléctricas1862106149[[#Headers],[Herramientas_eléctricas]],
    COUNTIF(Herramientas_neumáticas1963107150[Herramientas_neumáticas], B313) &gt; 0, Herramientas_neumáticas1963107150[[#Headers],[Herramientas_neumáticas]],
    COUNTIF(Herramientas_de_medición2064108151[Herramientas_de_medición], B313) &gt; 0, Herramientas_de_medición2064108151[[#Headers],[Herramientas_de_medición]],
    COUNTIF(Herrramientas_mecánicas2165109152[Herramientas_mecánicas], B313) &gt; 0, Herrramientas_mecánicas2165109152[[#Headers],[Herramientas_mecánicas]],
    COUNTIF(AH313:AH319, B313) &gt; 0, Herramientas_hidráulicas2266110153[[#Headers],[Herramientas_hidráulicas]],
    COUNTIF(EPP_2367111154[SPCC], B313) &gt; 0, EPP_2367111154[[#Headers],[SPCC]],
   COUNTIF(Herramientas_de_izaje2468112155[Herramientas_de_izaje], B313) &gt; 0, Herramientas_de_izaje2468112155[[#Headers],[Herramientas_de_izaje]],
COUNTIF(Tabla162670114157[Equipos], B313) &gt; 0, Tabla162670114157[[#Headers],[Equipos]],
    TRUE, "Sin clasificación"
)</f>
        <v>Sin clasificación</v>
      </c>
      <c r="I313" s="15"/>
      <c r="J313" s="47"/>
      <c r="K313" s="76"/>
      <c r="L313" s="76"/>
      <c r="M313" s="78" t="str">
        <f>_xlfn.LET(
    _xlpm.itemBuscado, B313,
    _xlpm.areaBuscada, C313,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TEXT(COUNTIF($C$2:C313, _xlpm.areaBuscada), "0000"),
    _xlpm.codItem &amp; "-" &amp; _xlpm.codArea &amp; "-" &amp; _xlpm.secuencia
)</f>
        <v>-SinArea-0000</v>
      </c>
      <c r="N313" s="77"/>
      <c r="O313" s="32"/>
      <c r="P313" s="32"/>
      <c r="Q313" s="32"/>
      <c r="R313" s="32"/>
    </row>
    <row r="314" spans="3:18" x14ac:dyDescent="0.3">
      <c r="C314" s="11"/>
      <c r="D314" s="32"/>
      <c r="E314" s="11" t="str" cm="1">
        <f t="array" ref="E314">_xlfn.IFS(
    COUNTIF(Herramientas_eléctricas1862106149[Herramientas_eléctricas], B314) &gt; 0, Herramientas_eléctricas1862106149[[#Headers],[Herramientas_eléctricas]],
    COUNTIF(Herramientas_neumáticas1963107150[Herramientas_neumáticas], B314) &gt; 0, Herramientas_neumáticas1963107150[[#Headers],[Herramientas_neumáticas]],
    COUNTIF(Herramientas_de_medición2064108151[Herramientas_de_medición], B314) &gt; 0, Herramientas_de_medición2064108151[[#Headers],[Herramientas_de_medición]],
    COUNTIF(Herrramientas_mecánicas2165109152[Herramientas_mecánicas], B314) &gt; 0, Herrramientas_mecánicas2165109152[[#Headers],[Herramientas_mecánicas]],
    COUNTIF(AH314:AH320, B314) &gt; 0, Herramientas_hidráulicas2266110153[[#Headers],[Herramientas_hidráulicas]],
    COUNTIF(EPP_2367111154[SPCC], B314) &gt; 0, EPP_2367111154[[#Headers],[SPCC]],
   COUNTIF(Herramientas_de_izaje2468112155[Herramientas_de_izaje], B314) &gt; 0, Herramientas_de_izaje2468112155[[#Headers],[Herramientas_de_izaje]],
COUNTIF(Tabla162670114157[Equipos], B314) &gt; 0, Tabla162670114157[[#Headers],[Equipos]],
    TRUE, "Sin clasificación"
)</f>
        <v>Sin clasificación</v>
      </c>
      <c r="I314" s="15"/>
      <c r="J314" s="47"/>
      <c r="K314" s="76"/>
      <c r="L314" s="76"/>
      <c r="M314" s="78" t="str">
        <f>_xlfn.LET(
    _xlpm.itemBuscado, B314,
    _xlpm.areaBuscada, C314,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TEXT(COUNTIF($C$2:C314, _xlpm.areaBuscada), "0000"),
    _xlpm.codItem &amp; "-" &amp; _xlpm.codArea &amp; "-" &amp; _xlpm.secuencia
)</f>
        <v>-SinArea-0000</v>
      </c>
      <c r="N314" s="77"/>
      <c r="O314" s="32"/>
      <c r="P314" s="32"/>
      <c r="Q314" s="32"/>
      <c r="R314" s="32"/>
    </row>
    <row r="315" spans="3:18" x14ac:dyDescent="0.3">
      <c r="C315" s="11"/>
      <c r="D315" s="32"/>
      <c r="E315" s="11" t="str" cm="1">
        <f t="array" ref="E315">_xlfn.IFS(
    COUNTIF(Herramientas_eléctricas1862106149[Herramientas_eléctricas], B315) &gt; 0, Herramientas_eléctricas1862106149[[#Headers],[Herramientas_eléctricas]],
    COUNTIF(Herramientas_neumáticas1963107150[Herramientas_neumáticas], B315) &gt; 0, Herramientas_neumáticas1963107150[[#Headers],[Herramientas_neumáticas]],
    COUNTIF(Herramientas_de_medición2064108151[Herramientas_de_medición], B315) &gt; 0, Herramientas_de_medición2064108151[[#Headers],[Herramientas_de_medición]],
    COUNTIF(Herrramientas_mecánicas2165109152[Herramientas_mecánicas], B315) &gt; 0, Herrramientas_mecánicas2165109152[[#Headers],[Herramientas_mecánicas]],
    COUNTIF(AH315:AH321, B315) &gt; 0, Herramientas_hidráulicas2266110153[[#Headers],[Herramientas_hidráulicas]],
    COUNTIF(EPP_2367111154[SPCC], B315) &gt; 0, EPP_2367111154[[#Headers],[SPCC]],
   COUNTIF(Herramientas_de_izaje2468112155[Herramientas_de_izaje], B315) &gt; 0, Herramientas_de_izaje2468112155[[#Headers],[Herramientas_de_izaje]],
COUNTIF(Tabla162670114157[Equipos], B315) &gt; 0, Tabla162670114157[[#Headers],[Equipos]],
    TRUE, "Sin clasificación"
)</f>
        <v>Sin clasificación</v>
      </c>
      <c r="I315" s="15"/>
      <c r="J315" s="47"/>
      <c r="K315" s="76"/>
      <c r="L315" s="76"/>
      <c r="M315" s="78" t="str">
        <f>_xlfn.LET(
    _xlpm.itemBuscado, B315,
    _xlpm.areaBuscada, C315,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TEXT(COUNTIF($C$2:C315, _xlpm.areaBuscada), "0000"),
    _xlpm.codItem &amp; "-" &amp; _xlpm.codArea &amp; "-" &amp; _xlpm.secuencia
)</f>
        <v>-SinArea-0000</v>
      </c>
      <c r="N315" s="77"/>
      <c r="O315" s="32"/>
      <c r="P315" s="32"/>
      <c r="Q315" s="32"/>
      <c r="R315" s="32"/>
    </row>
    <row r="316" spans="3:18" x14ac:dyDescent="0.3">
      <c r="C316" s="11"/>
      <c r="D316" s="32"/>
      <c r="E316" s="11" t="str" cm="1">
        <f t="array" ref="E316">_xlfn.IFS(
    COUNTIF(Herramientas_eléctricas1862106149[Herramientas_eléctricas], B316) &gt; 0, Herramientas_eléctricas1862106149[[#Headers],[Herramientas_eléctricas]],
    COUNTIF(Herramientas_neumáticas1963107150[Herramientas_neumáticas], B316) &gt; 0, Herramientas_neumáticas1963107150[[#Headers],[Herramientas_neumáticas]],
    COUNTIF(Herramientas_de_medición2064108151[Herramientas_de_medición], B316) &gt; 0, Herramientas_de_medición2064108151[[#Headers],[Herramientas_de_medición]],
    COUNTIF(Herrramientas_mecánicas2165109152[Herramientas_mecánicas], B316) &gt; 0, Herrramientas_mecánicas2165109152[[#Headers],[Herramientas_mecánicas]],
    COUNTIF(AH316:AH322, B316) &gt; 0, Herramientas_hidráulicas2266110153[[#Headers],[Herramientas_hidráulicas]],
    COUNTIF(EPP_2367111154[SPCC], B316) &gt; 0, EPP_2367111154[[#Headers],[SPCC]],
   COUNTIF(Herramientas_de_izaje2468112155[Herramientas_de_izaje], B316) &gt; 0, Herramientas_de_izaje2468112155[[#Headers],[Herramientas_de_izaje]],
COUNTIF(Tabla162670114157[Equipos], B316) &gt; 0, Tabla162670114157[[#Headers],[Equipos]],
    TRUE, "Sin clasificación"
)</f>
        <v>Sin clasificación</v>
      </c>
      <c r="I316" s="15"/>
      <c r="J316" s="47"/>
      <c r="K316" s="76"/>
      <c r="L316" s="76"/>
      <c r="M316" s="78" t="str">
        <f>_xlfn.LET(
    _xlpm.itemBuscado, B316,
    _xlpm.areaBuscada, C316,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TEXT(COUNTIF($C$2:C316, _xlpm.areaBuscada), "0000"),
    _xlpm.codItem &amp; "-" &amp; _xlpm.codArea &amp; "-" &amp; _xlpm.secuencia
)</f>
        <v>-SinArea-0000</v>
      </c>
      <c r="N316" s="77"/>
      <c r="O316" s="32"/>
      <c r="P316" s="32"/>
      <c r="Q316" s="32"/>
      <c r="R316" s="32"/>
    </row>
    <row r="317" spans="3:18" x14ac:dyDescent="0.3">
      <c r="C317" s="11"/>
      <c r="D317" s="32"/>
      <c r="E317" s="11" t="str" cm="1">
        <f t="array" ref="E317">_xlfn.IFS(
    COUNTIF(Herramientas_eléctricas1862106149[Herramientas_eléctricas], B317) &gt; 0, Herramientas_eléctricas1862106149[[#Headers],[Herramientas_eléctricas]],
    COUNTIF(Herramientas_neumáticas1963107150[Herramientas_neumáticas], B317) &gt; 0, Herramientas_neumáticas1963107150[[#Headers],[Herramientas_neumáticas]],
    COUNTIF(Herramientas_de_medición2064108151[Herramientas_de_medición], B317) &gt; 0, Herramientas_de_medición2064108151[[#Headers],[Herramientas_de_medición]],
    COUNTIF(Herrramientas_mecánicas2165109152[Herramientas_mecánicas], B317) &gt; 0, Herrramientas_mecánicas2165109152[[#Headers],[Herramientas_mecánicas]],
    COUNTIF(AH317:AH323, B317) &gt; 0, Herramientas_hidráulicas2266110153[[#Headers],[Herramientas_hidráulicas]],
    COUNTIF(EPP_2367111154[SPCC], B317) &gt; 0, EPP_2367111154[[#Headers],[SPCC]],
   COUNTIF(Herramientas_de_izaje2468112155[Herramientas_de_izaje], B317) &gt; 0, Herramientas_de_izaje2468112155[[#Headers],[Herramientas_de_izaje]],
COUNTIF(Tabla162670114157[Equipos], B317) &gt; 0, Tabla162670114157[[#Headers],[Equipos]],
    TRUE, "Sin clasificación"
)</f>
        <v>Sin clasificación</v>
      </c>
      <c r="I317" s="15"/>
      <c r="J317" s="47"/>
      <c r="K317" s="76"/>
      <c r="L317" s="76"/>
      <c r="M317" s="78" t="str">
        <f>_xlfn.LET(
    _xlpm.itemBuscado, B317,
    _xlpm.areaBuscada, C317,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TEXT(COUNTIF($C$2:C317, _xlpm.areaBuscada), "0000"),
    _xlpm.codItem &amp; "-" &amp; _xlpm.codArea &amp; "-" &amp; _xlpm.secuencia
)</f>
        <v>-SinArea-0000</v>
      </c>
      <c r="N317" s="77"/>
      <c r="O317" s="32"/>
      <c r="P317" s="32"/>
      <c r="Q317" s="32"/>
      <c r="R317" s="32"/>
    </row>
    <row r="318" spans="3:18" x14ac:dyDescent="0.3">
      <c r="C318" s="11"/>
      <c r="D318" s="32"/>
      <c r="E318" s="11" t="str" cm="1">
        <f t="array" ref="E318">_xlfn.IFS(
    COUNTIF(Herramientas_eléctricas1862106149[Herramientas_eléctricas], B318) &gt; 0, Herramientas_eléctricas1862106149[[#Headers],[Herramientas_eléctricas]],
    COUNTIF(Herramientas_neumáticas1963107150[Herramientas_neumáticas], B318) &gt; 0, Herramientas_neumáticas1963107150[[#Headers],[Herramientas_neumáticas]],
    COUNTIF(Herramientas_de_medición2064108151[Herramientas_de_medición], B318) &gt; 0, Herramientas_de_medición2064108151[[#Headers],[Herramientas_de_medición]],
    COUNTIF(Herrramientas_mecánicas2165109152[Herramientas_mecánicas], B318) &gt; 0, Herrramientas_mecánicas2165109152[[#Headers],[Herramientas_mecánicas]],
    COUNTIF(AH318:AH324, B318) &gt; 0, Herramientas_hidráulicas2266110153[[#Headers],[Herramientas_hidráulicas]],
    COUNTIF(EPP_2367111154[SPCC], B318) &gt; 0, EPP_2367111154[[#Headers],[SPCC]],
   COUNTIF(Herramientas_de_izaje2468112155[Herramientas_de_izaje], B318) &gt; 0, Herramientas_de_izaje2468112155[[#Headers],[Herramientas_de_izaje]],
COUNTIF(Tabla162670114157[Equipos], B318) &gt; 0, Tabla162670114157[[#Headers],[Equipos]],
    TRUE, "Sin clasificación"
)</f>
        <v>Sin clasificación</v>
      </c>
      <c r="I318" s="15"/>
      <c r="J318" s="47"/>
      <c r="K318" s="76"/>
      <c r="L318" s="76"/>
      <c r="M318" s="78" t="str">
        <f>_xlfn.LET(
    _xlpm.itemBuscado, B318,
    _xlpm.areaBuscada, C318,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TEXT(COUNTIF($C$2:C318, _xlpm.areaBuscada), "0000"),
    _xlpm.codItem &amp; "-" &amp; _xlpm.codArea &amp; "-" &amp; _xlpm.secuencia
)</f>
        <v>-SinArea-0000</v>
      </c>
      <c r="N318" s="77"/>
      <c r="O318" s="32"/>
      <c r="P318" s="32"/>
      <c r="Q318" s="32"/>
      <c r="R318" s="32"/>
    </row>
    <row r="319" spans="3:18" x14ac:dyDescent="0.3">
      <c r="C319" s="11"/>
      <c r="D319" s="32"/>
      <c r="E319" s="11" t="str" cm="1">
        <f t="array" ref="E319">_xlfn.IFS(
    COUNTIF(Herramientas_eléctricas1862106149[Herramientas_eléctricas], B319) &gt; 0, Herramientas_eléctricas1862106149[[#Headers],[Herramientas_eléctricas]],
    COUNTIF(Herramientas_neumáticas1963107150[Herramientas_neumáticas], B319) &gt; 0, Herramientas_neumáticas1963107150[[#Headers],[Herramientas_neumáticas]],
    COUNTIF(Herramientas_de_medición2064108151[Herramientas_de_medición], B319) &gt; 0, Herramientas_de_medición2064108151[[#Headers],[Herramientas_de_medición]],
    COUNTIF(Herrramientas_mecánicas2165109152[Herramientas_mecánicas], B319) &gt; 0, Herrramientas_mecánicas2165109152[[#Headers],[Herramientas_mecánicas]],
    COUNTIF(AH319:AH325, B319) &gt; 0, Herramientas_hidráulicas2266110153[[#Headers],[Herramientas_hidráulicas]],
    COUNTIF(EPP_2367111154[SPCC], B319) &gt; 0, EPP_2367111154[[#Headers],[SPCC]],
   COUNTIF(Herramientas_de_izaje2468112155[Herramientas_de_izaje], B319) &gt; 0, Herramientas_de_izaje2468112155[[#Headers],[Herramientas_de_izaje]],
COUNTIF(Tabla162670114157[Equipos], B319) &gt; 0, Tabla162670114157[[#Headers],[Equipos]],
    TRUE, "Sin clasificación"
)</f>
        <v>Sin clasificación</v>
      </c>
      <c r="I319" s="15"/>
      <c r="J319" s="47"/>
      <c r="K319" s="76"/>
      <c r="L319" s="76"/>
      <c r="M319" s="78" t="str">
        <f>_xlfn.LET(
    _xlpm.itemBuscado, B319,
    _xlpm.areaBuscada, C319,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TEXT(COUNTIF($C$2:C319, _xlpm.areaBuscada), "0000"),
    _xlpm.codItem &amp; "-" &amp; _xlpm.codArea &amp; "-" &amp; _xlpm.secuencia
)</f>
        <v>-SinArea-0000</v>
      </c>
      <c r="N319" s="77"/>
      <c r="O319" s="32"/>
      <c r="P319" s="32"/>
      <c r="Q319" s="32"/>
      <c r="R319" s="32"/>
    </row>
    <row r="320" spans="3:18" x14ac:dyDescent="0.3">
      <c r="C320" s="11"/>
      <c r="D320" s="32"/>
      <c r="E320" s="11" t="str" cm="1">
        <f t="array" ref="E320">_xlfn.IFS(
    COUNTIF(Herramientas_eléctricas1862106149[Herramientas_eléctricas], B320) &gt; 0, Herramientas_eléctricas1862106149[[#Headers],[Herramientas_eléctricas]],
    COUNTIF(Herramientas_neumáticas1963107150[Herramientas_neumáticas], B320) &gt; 0, Herramientas_neumáticas1963107150[[#Headers],[Herramientas_neumáticas]],
    COUNTIF(Herramientas_de_medición2064108151[Herramientas_de_medición], B320) &gt; 0, Herramientas_de_medición2064108151[[#Headers],[Herramientas_de_medición]],
    COUNTIF(Herrramientas_mecánicas2165109152[Herramientas_mecánicas], B320) &gt; 0, Herrramientas_mecánicas2165109152[[#Headers],[Herramientas_mecánicas]],
    COUNTIF(AH320:AH326, B320) &gt; 0, Herramientas_hidráulicas2266110153[[#Headers],[Herramientas_hidráulicas]],
    COUNTIF(EPP_2367111154[SPCC], B320) &gt; 0, EPP_2367111154[[#Headers],[SPCC]],
   COUNTIF(Herramientas_de_izaje2468112155[Herramientas_de_izaje], B320) &gt; 0, Herramientas_de_izaje2468112155[[#Headers],[Herramientas_de_izaje]],
COUNTIF(Tabla162670114157[Equipos], B320) &gt; 0, Tabla162670114157[[#Headers],[Equipos]],
    TRUE, "Sin clasificación"
)</f>
        <v>Sin clasificación</v>
      </c>
      <c r="I320" s="15"/>
      <c r="J320" s="47"/>
      <c r="K320" s="76"/>
      <c r="L320" s="76"/>
      <c r="M320" s="78" t="str">
        <f>_xlfn.LET(
    _xlpm.itemBuscado, B320,
    _xlpm.areaBuscada, C320,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TEXT(COUNTIF($C$2:C320, _xlpm.areaBuscada), "0000"),
    _xlpm.codItem &amp; "-" &amp; _xlpm.codArea &amp; "-" &amp; _xlpm.secuencia
)</f>
        <v>-SinArea-0000</v>
      </c>
      <c r="N320" s="77"/>
      <c r="O320" s="32"/>
      <c r="P320" s="32"/>
      <c r="Q320" s="32"/>
      <c r="R320" s="32"/>
    </row>
    <row r="321" spans="3:18" x14ac:dyDescent="0.3">
      <c r="C321" s="11"/>
      <c r="D321" s="32"/>
      <c r="E321" s="11" t="str" cm="1">
        <f t="array" ref="E321">_xlfn.IFS(
    COUNTIF(Herramientas_eléctricas1862106149[Herramientas_eléctricas], B321) &gt; 0, Herramientas_eléctricas1862106149[[#Headers],[Herramientas_eléctricas]],
    COUNTIF(Herramientas_neumáticas1963107150[Herramientas_neumáticas], B321) &gt; 0, Herramientas_neumáticas1963107150[[#Headers],[Herramientas_neumáticas]],
    COUNTIF(Herramientas_de_medición2064108151[Herramientas_de_medición], B321) &gt; 0, Herramientas_de_medición2064108151[[#Headers],[Herramientas_de_medición]],
    COUNTIF(Herrramientas_mecánicas2165109152[Herramientas_mecánicas], B321) &gt; 0, Herrramientas_mecánicas2165109152[[#Headers],[Herramientas_mecánicas]],
    COUNTIF(AH321:AH327, B321) &gt; 0, Herramientas_hidráulicas2266110153[[#Headers],[Herramientas_hidráulicas]],
    COUNTIF(EPP_2367111154[SPCC], B321) &gt; 0, EPP_2367111154[[#Headers],[SPCC]],
   COUNTIF(Herramientas_de_izaje2468112155[Herramientas_de_izaje], B321) &gt; 0, Herramientas_de_izaje2468112155[[#Headers],[Herramientas_de_izaje]],
COUNTIF(Tabla162670114157[Equipos], B321) &gt; 0, Tabla162670114157[[#Headers],[Equipos]],
    TRUE, "Sin clasificación"
)</f>
        <v>Sin clasificación</v>
      </c>
      <c r="I321" s="15"/>
      <c r="J321" s="47"/>
      <c r="K321" s="76"/>
      <c r="L321" s="76"/>
      <c r="M321" s="78" t="str">
        <f>_xlfn.LET(
    _xlpm.itemBuscado, B321,
    _xlpm.areaBuscada, C321,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TEXT(COUNTIF($C$2:C321, _xlpm.areaBuscada), "0000"),
    _xlpm.codItem &amp; "-" &amp; _xlpm.codArea &amp; "-" &amp; _xlpm.secuencia
)</f>
        <v>-SinArea-0000</v>
      </c>
      <c r="N321" s="77"/>
      <c r="O321" s="32"/>
      <c r="P321" s="32"/>
      <c r="Q321" s="32"/>
      <c r="R321" s="32"/>
    </row>
    <row r="322" spans="3:18" x14ac:dyDescent="0.3">
      <c r="C322" s="11"/>
      <c r="D322" s="32"/>
      <c r="E322" s="11" t="str" cm="1">
        <f t="array" ref="E322">_xlfn.IFS(
    COUNTIF(Herramientas_eléctricas1862106149[Herramientas_eléctricas], B322) &gt; 0, Herramientas_eléctricas1862106149[[#Headers],[Herramientas_eléctricas]],
    COUNTIF(Herramientas_neumáticas1963107150[Herramientas_neumáticas], B322) &gt; 0, Herramientas_neumáticas1963107150[[#Headers],[Herramientas_neumáticas]],
    COUNTIF(Herramientas_de_medición2064108151[Herramientas_de_medición], B322) &gt; 0, Herramientas_de_medición2064108151[[#Headers],[Herramientas_de_medición]],
    COUNTIF(Herrramientas_mecánicas2165109152[Herramientas_mecánicas], B322) &gt; 0, Herrramientas_mecánicas2165109152[[#Headers],[Herramientas_mecánicas]],
    COUNTIF(AH322:AH328, B322) &gt; 0, Herramientas_hidráulicas2266110153[[#Headers],[Herramientas_hidráulicas]],
    COUNTIF(EPP_2367111154[SPCC], B322) &gt; 0, EPP_2367111154[[#Headers],[SPCC]],
   COUNTIF(Herramientas_de_izaje2468112155[Herramientas_de_izaje], B322) &gt; 0, Herramientas_de_izaje2468112155[[#Headers],[Herramientas_de_izaje]],
COUNTIF(Tabla162670114157[Equipos], B322) &gt; 0, Tabla162670114157[[#Headers],[Equipos]],
    TRUE, "Sin clasificación"
)</f>
        <v>Sin clasificación</v>
      </c>
      <c r="I322" s="15"/>
      <c r="J322" s="47"/>
      <c r="K322" s="76"/>
      <c r="L322" s="76"/>
      <c r="M322" s="78" t="str">
        <f>_xlfn.LET(
    _xlpm.itemBuscado, B322,
    _xlpm.areaBuscada, C322,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TEXT(COUNTIF($C$2:C322, _xlpm.areaBuscada), "0000"),
    _xlpm.codItem &amp; "-" &amp; _xlpm.codArea &amp; "-" &amp; _xlpm.secuencia
)</f>
        <v>-SinArea-0000</v>
      </c>
      <c r="N322" s="77"/>
      <c r="O322" s="32"/>
      <c r="P322" s="32"/>
      <c r="Q322" s="32"/>
      <c r="R322" s="32"/>
    </row>
    <row r="323" spans="3:18" x14ac:dyDescent="0.3">
      <c r="C323" s="11"/>
      <c r="D323" s="32"/>
      <c r="E323" s="11" t="str" cm="1">
        <f t="array" ref="E323">_xlfn.IFS(
    COUNTIF(Herramientas_eléctricas1862106149[Herramientas_eléctricas], B323) &gt; 0, Herramientas_eléctricas1862106149[[#Headers],[Herramientas_eléctricas]],
    COUNTIF(Herramientas_neumáticas1963107150[Herramientas_neumáticas], B323) &gt; 0, Herramientas_neumáticas1963107150[[#Headers],[Herramientas_neumáticas]],
    COUNTIF(Herramientas_de_medición2064108151[Herramientas_de_medición], B323) &gt; 0, Herramientas_de_medición2064108151[[#Headers],[Herramientas_de_medición]],
    COUNTIF(Herrramientas_mecánicas2165109152[Herramientas_mecánicas], B323) &gt; 0, Herrramientas_mecánicas2165109152[[#Headers],[Herramientas_mecánicas]],
    COUNTIF(AH323:AH329, B323) &gt; 0, Herramientas_hidráulicas2266110153[[#Headers],[Herramientas_hidráulicas]],
    COUNTIF(EPP_2367111154[SPCC], B323) &gt; 0, EPP_2367111154[[#Headers],[SPCC]],
   COUNTIF(Herramientas_de_izaje2468112155[Herramientas_de_izaje], B323) &gt; 0, Herramientas_de_izaje2468112155[[#Headers],[Herramientas_de_izaje]],
COUNTIF(Tabla162670114157[Equipos], B323) &gt; 0, Tabla162670114157[[#Headers],[Equipos]],
    TRUE, "Sin clasificación"
)</f>
        <v>Sin clasificación</v>
      </c>
      <c r="I323" s="15"/>
      <c r="J323" s="47"/>
      <c r="K323" s="76"/>
      <c r="L323" s="76"/>
      <c r="M323" s="78" t="str">
        <f>_xlfn.LET(
    _xlpm.itemBuscado, B323,
    _xlpm.areaBuscada, C323,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TEXT(COUNTIF($C$2:C323, _xlpm.areaBuscada), "0000"),
    _xlpm.codItem &amp; "-" &amp; _xlpm.codArea &amp; "-" &amp; _xlpm.secuencia
)</f>
        <v>-SinArea-0000</v>
      </c>
      <c r="N323" s="77"/>
      <c r="O323" s="32"/>
      <c r="P323" s="32"/>
      <c r="Q323" s="32"/>
      <c r="R323" s="32"/>
    </row>
    <row r="324" spans="3:18" x14ac:dyDescent="0.3">
      <c r="C324" s="11"/>
      <c r="D324" s="32"/>
      <c r="E324" s="11" t="str" cm="1">
        <f t="array" ref="E324">_xlfn.IFS(
    COUNTIF(Herramientas_eléctricas1862106149[Herramientas_eléctricas], B324) &gt; 0, Herramientas_eléctricas1862106149[[#Headers],[Herramientas_eléctricas]],
    COUNTIF(Herramientas_neumáticas1963107150[Herramientas_neumáticas], B324) &gt; 0, Herramientas_neumáticas1963107150[[#Headers],[Herramientas_neumáticas]],
    COUNTIF(Herramientas_de_medición2064108151[Herramientas_de_medición], B324) &gt; 0, Herramientas_de_medición2064108151[[#Headers],[Herramientas_de_medición]],
    COUNTIF(Herrramientas_mecánicas2165109152[Herramientas_mecánicas], B324) &gt; 0, Herrramientas_mecánicas2165109152[[#Headers],[Herramientas_mecánicas]],
    COUNTIF(AH324:AH330, B324) &gt; 0, Herramientas_hidráulicas2266110153[[#Headers],[Herramientas_hidráulicas]],
    COUNTIF(EPP_2367111154[SPCC], B324) &gt; 0, EPP_2367111154[[#Headers],[SPCC]],
   COUNTIF(Herramientas_de_izaje2468112155[Herramientas_de_izaje], B324) &gt; 0, Herramientas_de_izaje2468112155[[#Headers],[Herramientas_de_izaje]],
COUNTIF(Tabla162670114157[Equipos], B324) &gt; 0, Tabla162670114157[[#Headers],[Equipos]],
    TRUE, "Sin clasificación"
)</f>
        <v>Sin clasificación</v>
      </c>
      <c r="I324" s="15"/>
      <c r="J324" s="47"/>
      <c r="K324" s="76"/>
      <c r="L324" s="76"/>
      <c r="M324" s="78" t="str">
        <f>_xlfn.LET(
    _xlpm.itemBuscado, B324,
    _xlpm.areaBuscada, C324,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TEXT(COUNTIF($C$2:C324, _xlpm.areaBuscada), "0000"),
    _xlpm.codItem &amp; "-" &amp; _xlpm.codArea &amp; "-" &amp; _xlpm.secuencia
)</f>
        <v>-SinArea-0000</v>
      </c>
      <c r="N324" s="77"/>
      <c r="O324" s="32"/>
      <c r="P324" s="32"/>
      <c r="Q324" s="32"/>
      <c r="R324" s="32"/>
    </row>
    <row r="325" spans="3:18" x14ac:dyDescent="0.3">
      <c r="C325" s="11"/>
      <c r="D325" s="32"/>
      <c r="E325" s="11" t="str" cm="1">
        <f t="array" ref="E325">_xlfn.IFS(
    COUNTIF(Herramientas_eléctricas1862106149[Herramientas_eléctricas], B325) &gt; 0, Herramientas_eléctricas1862106149[[#Headers],[Herramientas_eléctricas]],
    COUNTIF(Herramientas_neumáticas1963107150[Herramientas_neumáticas], B325) &gt; 0, Herramientas_neumáticas1963107150[[#Headers],[Herramientas_neumáticas]],
    COUNTIF(Herramientas_de_medición2064108151[Herramientas_de_medición], B325) &gt; 0, Herramientas_de_medición2064108151[[#Headers],[Herramientas_de_medición]],
    COUNTIF(Herrramientas_mecánicas2165109152[Herramientas_mecánicas], B325) &gt; 0, Herrramientas_mecánicas2165109152[[#Headers],[Herramientas_mecánicas]],
    COUNTIF(AH325:AH331, B325) &gt; 0, Herramientas_hidráulicas2266110153[[#Headers],[Herramientas_hidráulicas]],
    COUNTIF(EPP_2367111154[SPCC], B325) &gt; 0, EPP_2367111154[[#Headers],[SPCC]],
   COUNTIF(Herramientas_de_izaje2468112155[Herramientas_de_izaje], B325) &gt; 0, Herramientas_de_izaje2468112155[[#Headers],[Herramientas_de_izaje]],
COUNTIF(Tabla162670114157[Equipos], B325) &gt; 0, Tabla162670114157[[#Headers],[Equipos]],
    TRUE, "Sin clasificación"
)</f>
        <v>Sin clasificación</v>
      </c>
      <c r="I325" s="15"/>
      <c r="J325" s="47"/>
      <c r="K325" s="76"/>
      <c r="L325" s="76"/>
      <c r="M325" s="78" t="str">
        <f>_xlfn.LET(
    _xlpm.itemBuscado, B325,
    _xlpm.areaBuscada, C325,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TEXT(COUNTIF($C$2:C325, _xlpm.areaBuscada), "0000"),
    _xlpm.codItem &amp; "-" &amp; _xlpm.codArea &amp; "-" &amp; _xlpm.secuencia
)</f>
        <v>-SinArea-0000</v>
      </c>
      <c r="N325" s="77"/>
      <c r="O325" s="32"/>
      <c r="P325" s="32"/>
      <c r="Q325" s="32"/>
      <c r="R325" s="32"/>
    </row>
    <row r="326" spans="3:18" x14ac:dyDescent="0.3">
      <c r="C326" s="11"/>
      <c r="D326" s="32"/>
      <c r="E326" s="11" t="str" cm="1">
        <f t="array" ref="E326">_xlfn.IFS(
    COUNTIF(Herramientas_eléctricas1862106149[Herramientas_eléctricas], B326) &gt; 0, Herramientas_eléctricas1862106149[[#Headers],[Herramientas_eléctricas]],
    COUNTIF(Herramientas_neumáticas1963107150[Herramientas_neumáticas], B326) &gt; 0, Herramientas_neumáticas1963107150[[#Headers],[Herramientas_neumáticas]],
    COUNTIF(Herramientas_de_medición2064108151[Herramientas_de_medición], B326) &gt; 0, Herramientas_de_medición2064108151[[#Headers],[Herramientas_de_medición]],
    COUNTIF(Herrramientas_mecánicas2165109152[Herramientas_mecánicas], B326) &gt; 0, Herrramientas_mecánicas2165109152[[#Headers],[Herramientas_mecánicas]],
    COUNTIF(AH326:AH332, B326) &gt; 0, Herramientas_hidráulicas2266110153[[#Headers],[Herramientas_hidráulicas]],
    COUNTIF(EPP_2367111154[SPCC], B326) &gt; 0, EPP_2367111154[[#Headers],[SPCC]],
   COUNTIF(Herramientas_de_izaje2468112155[Herramientas_de_izaje], B326) &gt; 0, Herramientas_de_izaje2468112155[[#Headers],[Herramientas_de_izaje]],
COUNTIF(Tabla162670114157[Equipos], B326) &gt; 0, Tabla162670114157[[#Headers],[Equipos]],
    TRUE, "Sin clasificación"
)</f>
        <v>Sin clasificación</v>
      </c>
      <c r="I326" s="15"/>
      <c r="J326" s="47"/>
      <c r="K326" s="76"/>
      <c r="L326" s="76"/>
      <c r="M326" s="78" t="str">
        <f>_xlfn.LET(
    _xlpm.itemBuscado, B326,
    _xlpm.areaBuscada, C326,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TEXT(COUNTIF($C$2:C326, _xlpm.areaBuscada), "0000"),
    _xlpm.codItem &amp; "-" &amp; _xlpm.codArea &amp; "-" &amp; _xlpm.secuencia
)</f>
        <v>-SinArea-0000</v>
      </c>
      <c r="N326" s="77"/>
      <c r="O326" s="32"/>
      <c r="P326" s="32"/>
      <c r="Q326" s="32"/>
      <c r="R326" s="32"/>
    </row>
    <row r="327" spans="3:18" x14ac:dyDescent="0.3">
      <c r="C327" s="11"/>
      <c r="D327" s="32"/>
      <c r="E327" s="11" t="str" cm="1">
        <f t="array" ref="E327">_xlfn.IFS(
    COUNTIF(Herramientas_eléctricas1862106149[Herramientas_eléctricas], B327) &gt; 0, Herramientas_eléctricas1862106149[[#Headers],[Herramientas_eléctricas]],
    COUNTIF(Herramientas_neumáticas1963107150[Herramientas_neumáticas], B327) &gt; 0, Herramientas_neumáticas1963107150[[#Headers],[Herramientas_neumáticas]],
    COUNTIF(Herramientas_de_medición2064108151[Herramientas_de_medición], B327) &gt; 0, Herramientas_de_medición2064108151[[#Headers],[Herramientas_de_medición]],
    COUNTIF(Herrramientas_mecánicas2165109152[Herramientas_mecánicas], B327) &gt; 0, Herrramientas_mecánicas2165109152[[#Headers],[Herramientas_mecánicas]],
    COUNTIF(AH327:AH333, B327) &gt; 0, Herramientas_hidráulicas2266110153[[#Headers],[Herramientas_hidráulicas]],
    COUNTIF(EPP_2367111154[SPCC], B327) &gt; 0, EPP_2367111154[[#Headers],[SPCC]],
   COUNTIF(Herramientas_de_izaje2468112155[Herramientas_de_izaje], B327) &gt; 0, Herramientas_de_izaje2468112155[[#Headers],[Herramientas_de_izaje]],
COUNTIF(Tabla162670114157[Equipos], B327) &gt; 0, Tabla162670114157[[#Headers],[Equipos]],
    TRUE, "Sin clasificación"
)</f>
        <v>Sin clasificación</v>
      </c>
      <c r="I327" s="15"/>
      <c r="J327" s="47"/>
      <c r="K327" s="76"/>
      <c r="L327" s="76"/>
      <c r="M327" s="78" t="str">
        <f>_xlfn.LET(
    _xlpm.itemBuscado, B327,
    _xlpm.areaBuscada, C327,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TEXT(COUNTIF($C$2:C327, _xlpm.areaBuscada), "0000"),
    _xlpm.codItem &amp; "-" &amp; _xlpm.codArea &amp; "-" &amp; _xlpm.secuencia
)</f>
        <v>-SinArea-0000</v>
      </c>
      <c r="N327" s="77"/>
      <c r="O327" s="32"/>
      <c r="P327" s="32"/>
      <c r="Q327" s="32"/>
      <c r="R327" s="32"/>
    </row>
    <row r="328" spans="3:18" x14ac:dyDescent="0.3">
      <c r="C328" s="11"/>
      <c r="D328" s="32"/>
      <c r="E328" s="11" t="str" cm="1">
        <f t="array" ref="E328">_xlfn.IFS(
    COUNTIF(Herramientas_eléctricas1862106149[Herramientas_eléctricas], B328) &gt; 0, Herramientas_eléctricas1862106149[[#Headers],[Herramientas_eléctricas]],
    COUNTIF(Herramientas_neumáticas1963107150[Herramientas_neumáticas], B328) &gt; 0, Herramientas_neumáticas1963107150[[#Headers],[Herramientas_neumáticas]],
    COUNTIF(Herramientas_de_medición2064108151[Herramientas_de_medición], B328) &gt; 0, Herramientas_de_medición2064108151[[#Headers],[Herramientas_de_medición]],
    COUNTIF(Herrramientas_mecánicas2165109152[Herramientas_mecánicas], B328) &gt; 0, Herrramientas_mecánicas2165109152[[#Headers],[Herramientas_mecánicas]],
    COUNTIF(AH328:AH334, B328) &gt; 0, Herramientas_hidráulicas2266110153[[#Headers],[Herramientas_hidráulicas]],
    COUNTIF(EPP_2367111154[SPCC], B328) &gt; 0, EPP_2367111154[[#Headers],[SPCC]],
   COUNTIF(Herramientas_de_izaje2468112155[Herramientas_de_izaje], B328) &gt; 0, Herramientas_de_izaje2468112155[[#Headers],[Herramientas_de_izaje]],
COUNTIF(Tabla162670114157[Equipos], B328) &gt; 0, Tabla162670114157[[#Headers],[Equipos]],
    TRUE, "Sin clasificación"
)</f>
        <v>Sin clasificación</v>
      </c>
      <c r="I328" s="15"/>
      <c r="J328" s="47"/>
      <c r="K328" s="76"/>
      <c r="L328" s="76"/>
      <c r="M328" s="78" t="str">
        <f>_xlfn.LET(
    _xlpm.itemBuscado, B328,
    _xlpm.areaBuscada, C328,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TEXT(COUNTIF($C$2:C328, _xlpm.areaBuscada), "0000"),
    _xlpm.codItem &amp; "-" &amp; _xlpm.codArea &amp; "-" &amp; _xlpm.secuencia
)</f>
        <v>-SinArea-0000</v>
      </c>
      <c r="N328" s="77"/>
      <c r="O328" s="32"/>
      <c r="P328" s="32"/>
      <c r="Q328" s="32"/>
      <c r="R328" s="32"/>
    </row>
    <row r="329" spans="3:18" x14ac:dyDescent="0.3">
      <c r="C329" s="11"/>
      <c r="D329" s="32"/>
      <c r="E329" s="11" t="str" cm="1">
        <f t="array" ref="E329">_xlfn.IFS(
    COUNTIF(Herramientas_eléctricas1862106149[Herramientas_eléctricas], B329) &gt; 0, Herramientas_eléctricas1862106149[[#Headers],[Herramientas_eléctricas]],
    COUNTIF(Herramientas_neumáticas1963107150[Herramientas_neumáticas], B329) &gt; 0, Herramientas_neumáticas1963107150[[#Headers],[Herramientas_neumáticas]],
    COUNTIF(Herramientas_de_medición2064108151[Herramientas_de_medición], B329) &gt; 0, Herramientas_de_medición2064108151[[#Headers],[Herramientas_de_medición]],
    COUNTIF(Herrramientas_mecánicas2165109152[Herramientas_mecánicas], B329) &gt; 0, Herrramientas_mecánicas2165109152[[#Headers],[Herramientas_mecánicas]],
    COUNTIF(AH329:AH335, B329) &gt; 0, Herramientas_hidráulicas2266110153[[#Headers],[Herramientas_hidráulicas]],
    COUNTIF(EPP_2367111154[SPCC], B329) &gt; 0, EPP_2367111154[[#Headers],[SPCC]],
   COUNTIF(Herramientas_de_izaje2468112155[Herramientas_de_izaje], B329) &gt; 0, Herramientas_de_izaje2468112155[[#Headers],[Herramientas_de_izaje]],
COUNTIF(Tabla162670114157[Equipos], B329) &gt; 0, Tabla162670114157[[#Headers],[Equipos]],
    TRUE, "Sin clasificación"
)</f>
        <v>Sin clasificación</v>
      </c>
      <c r="I329" s="15"/>
      <c r="J329" s="47"/>
      <c r="K329" s="76"/>
      <c r="L329" s="76"/>
      <c r="M329" s="78" t="str">
        <f>_xlfn.LET(
    _xlpm.itemBuscado, B329,
    _xlpm.areaBuscada, C329,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TEXT(COUNTIF($C$2:C329, _xlpm.areaBuscada), "0000"),
    _xlpm.codItem &amp; "-" &amp; _xlpm.codArea &amp; "-" &amp; _xlpm.secuencia
)</f>
        <v>-SinArea-0000</v>
      </c>
      <c r="N329" s="77"/>
      <c r="O329" s="32"/>
      <c r="P329" s="32"/>
      <c r="Q329" s="32"/>
      <c r="R329" s="32"/>
    </row>
    <row r="330" spans="3:18" x14ac:dyDescent="0.3">
      <c r="C330" s="11"/>
      <c r="D330" s="32"/>
      <c r="E330" s="11" t="str" cm="1">
        <f t="array" ref="E330">_xlfn.IFS(
    COUNTIF(Herramientas_eléctricas1862106149[Herramientas_eléctricas], B330) &gt; 0, Herramientas_eléctricas1862106149[[#Headers],[Herramientas_eléctricas]],
    COUNTIF(Herramientas_neumáticas1963107150[Herramientas_neumáticas], B330) &gt; 0, Herramientas_neumáticas1963107150[[#Headers],[Herramientas_neumáticas]],
    COUNTIF(Herramientas_de_medición2064108151[Herramientas_de_medición], B330) &gt; 0, Herramientas_de_medición2064108151[[#Headers],[Herramientas_de_medición]],
    COUNTIF(Herrramientas_mecánicas2165109152[Herramientas_mecánicas], B330) &gt; 0, Herrramientas_mecánicas2165109152[[#Headers],[Herramientas_mecánicas]],
    COUNTIF(AH330:AH336, B330) &gt; 0, Herramientas_hidráulicas2266110153[[#Headers],[Herramientas_hidráulicas]],
    COUNTIF(EPP_2367111154[SPCC], B330) &gt; 0, EPP_2367111154[[#Headers],[SPCC]],
   COUNTIF(Herramientas_de_izaje2468112155[Herramientas_de_izaje], B330) &gt; 0, Herramientas_de_izaje2468112155[[#Headers],[Herramientas_de_izaje]],
COUNTIF(Tabla162670114157[Equipos], B330) &gt; 0, Tabla162670114157[[#Headers],[Equipos]],
    TRUE, "Sin clasificación"
)</f>
        <v>Sin clasificación</v>
      </c>
      <c r="I330" s="15"/>
      <c r="J330" s="47"/>
      <c r="K330" s="76"/>
      <c r="L330" s="76"/>
      <c r="M330" s="78" t="str">
        <f>_xlfn.LET(
    _xlpm.itemBuscado, B330,
    _xlpm.areaBuscada, C330,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TEXT(COUNTIF($C$2:C330, _xlpm.areaBuscada), "0000"),
    _xlpm.codItem &amp; "-" &amp; _xlpm.codArea &amp; "-" &amp; _xlpm.secuencia
)</f>
        <v>-SinArea-0000</v>
      </c>
      <c r="N330" s="77"/>
      <c r="O330" s="32"/>
      <c r="P330" s="32"/>
      <c r="Q330" s="32"/>
      <c r="R330" s="32"/>
    </row>
    <row r="331" spans="3:18" x14ac:dyDescent="0.3">
      <c r="C331" s="11"/>
      <c r="D331" s="32"/>
      <c r="E331" s="11" t="str" cm="1">
        <f t="array" ref="E331">_xlfn.IFS(
    COUNTIF(Herramientas_eléctricas1862106149[Herramientas_eléctricas], B331) &gt; 0, Herramientas_eléctricas1862106149[[#Headers],[Herramientas_eléctricas]],
    COUNTIF(Herramientas_neumáticas1963107150[Herramientas_neumáticas], B331) &gt; 0, Herramientas_neumáticas1963107150[[#Headers],[Herramientas_neumáticas]],
    COUNTIF(Herramientas_de_medición2064108151[Herramientas_de_medición], B331) &gt; 0, Herramientas_de_medición2064108151[[#Headers],[Herramientas_de_medición]],
    COUNTIF(Herrramientas_mecánicas2165109152[Herramientas_mecánicas], B331) &gt; 0, Herrramientas_mecánicas2165109152[[#Headers],[Herramientas_mecánicas]],
    COUNTIF(AH331:AH337, B331) &gt; 0, Herramientas_hidráulicas2266110153[[#Headers],[Herramientas_hidráulicas]],
    COUNTIF(EPP_2367111154[SPCC], B331) &gt; 0, EPP_2367111154[[#Headers],[SPCC]],
   COUNTIF(Herramientas_de_izaje2468112155[Herramientas_de_izaje], B331) &gt; 0, Herramientas_de_izaje2468112155[[#Headers],[Herramientas_de_izaje]],
COUNTIF(Tabla162670114157[Equipos], B331) &gt; 0, Tabla162670114157[[#Headers],[Equipos]],
    TRUE, "Sin clasificación"
)</f>
        <v>Sin clasificación</v>
      </c>
      <c r="I331" s="15"/>
      <c r="J331" s="47"/>
      <c r="K331" s="76"/>
      <c r="L331" s="76"/>
      <c r="M331" s="78" t="str">
        <f>_xlfn.LET(
    _xlpm.itemBuscado, B331,
    _xlpm.areaBuscada, C331,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TEXT(COUNTIF($C$2:C331, _xlpm.areaBuscada), "0000"),
    _xlpm.codItem &amp; "-" &amp; _xlpm.codArea &amp; "-" &amp; _xlpm.secuencia
)</f>
        <v>-SinArea-0000</v>
      </c>
      <c r="N331" s="77"/>
      <c r="O331" s="32"/>
      <c r="P331" s="32"/>
      <c r="Q331" s="32"/>
      <c r="R331" s="32"/>
    </row>
    <row r="332" spans="3:18" x14ac:dyDescent="0.3">
      <c r="C332" s="11"/>
      <c r="D332" s="32"/>
      <c r="E332" s="11" t="str" cm="1">
        <f t="array" ref="E332">_xlfn.IFS(
    COUNTIF(Herramientas_eléctricas1862106149[Herramientas_eléctricas], B332) &gt; 0, Herramientas_eléctricas1862106149[[#Headers],[Herramientas_eléctricas]],
    COUNTIF(Herramientas_neumáticas1963107150[Herramientas_neumáticas], B332) &gt; 0, Herramientas_neumáticas1963107150[[#Headers],[Herramientas_neumáticas]],
    COUNTIF(Herramientas_de_medición2064108151[Herramientas_de_medición], B332) &gt; 0, Herramientas_de_medición2064108151[[#Headers],[Herramientas_de_medición]],
    COUNTIF(Herrramientas_mecánicas2165109152[Herramientas_mecánicas], B332) &gt; 0, Herrramientas_mecánicas2165109152[[#Headers],[Herramientas_mecánicas]],
    COUNTIF(AH332:AH338, B332) &gt; 0, Herramientas_hidráulicas2266110153[[#Headers],[Herramientas_hidráulicas]],
    COUNTIF(EPP_2367111154[SPCC], B332) &gt; 0, EPP_2367111154[[#Headers],[SPCC]],
   COUNTIF(Herramientas_de_izaje2468112155[Herramientas_de_izaje], B332) &gt; 0, Herramientas_de_izaje2468112155[[#Headers],[Herramientas_de_izaje]],
COUNTIF(Tabla162670114157[Equipos], B332) &gt; 0, Tabla162670114157[[#Headers],[Equipos]],
    TRUE, "Sin clasificación"
)</f>
        <v>Sin clasificación</v>
      </c>
      <c r="I332" s="15"/>
      <c r="J332" s="47"/>
      <c r="K332" s="76"/>
      <c r="L332" s="76"/>
      <c r="M332" s="78" t="str">
        <f>_xlfn.LET(
    _xlpm.itemBuscado, B332,
    _xlpm.areaBuscada, C332,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TEXT(COUNTIF($C$2:C332, _xlpm.areaBuscada), "0000"),
    _xlpm.codItem &amp; "-" &amp; _xlpm.codArea &amp; "-" &amp; _xlpm.secuencia
)</f>
        <v>-SinArea-0000</v>
      </c>
      <c r="N332" s="77"/>
      <c r="O332" s="32"/>
      <c r="P332" s="32"/>
      <c r="Q332" s="32"/>
      <c r="R332" s="32"/>
    </row>
    <row r="333" spans="3:18" x14ac:dyDescent="0.3">
      <c r="C333" s="11"/>
      <c r="D333" s="32"/>
      <c r="E333" s="11" t="str" cm="1">
        <f t="array" ref="E333">_xlfn.IFS(
    COUNTIF(Herramientas_eléctricas1862106149[Herramientas_eléctricas], B333) &gt; 0, Herramientas_eléctricas1862106149[[#Headers],[Herramientas_eléctricas]],
    COUNTIF(Herramientas_neumáticas1963107150[Herramientas_neumáticas], B333) &gt; 0, Herramientas_neumáticas1963107150[[#Headers],[Herramientas_neumáticas]],
    COUNTIF(Herramientas_de_medición2064108151[Herramientas_de_medición], B333) &gt; 0, Herramientas_de_medición2064108151[[#Headers],[Herramientas_de_medición]],
    COUNTIF(Herrramientas_mecánicas2165109152[Herramientas_mecánicas], B333) &gt; 0, Herrramientas_mecánicas2165109152[[#Headers],[Herramientas_mecánicas]],
    COUNTIF(AH333:AH339, B333) &gt; 0, Herramientas_hidráulicas2266110153[[#Headers],[Herramientas_hidráulicas]],
    COUNTIF(EPP_2367111154[SPCC], B333) &gt; 0, EPP_2367111154[[#Headers],[SPCC]],
   COUNTIF(Herramientas_de_izaje2468112155[Herramientas_de_izaje], B333) &gt; 0, Herramientas_de_izaje2468112155[[#Headers],[Herramientas_de_izaje]],
COUNTIF(Tabla162670114157[Equipos], B333) &gt; 0, Tabla162670114157[[#Headers],[Equipos]],
    TRUE, "Sin clasificación"
)</f>
        <v>Sin clasificación</v>
      </c>
      <c r="I333" s="15"/>
      <c r="J333" s="47"/>
      <c r="K333" s="76"/>
      <c r="L333" s="76"/>
      <c r="M333" s="78" t="str">
        <f>_xlfn.LET(
    _xlpm.itemBuscado, B333,
    _xlpm.areaBuscada, C333,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TEXT(COUNTIF($C$2:C333, _xlpm.areaBuscada), "0000"),
    _xlpm.codItem &amp; "-" &amp; _xlpm.codArea &amp; "-" &amp; _xlpm.secuencia
)</f>
        <v>-SinArea-0000</v>
      </c>
      <c r="N333" s="77"/>
      <c r="O333" s="32"/>
      <c r="P333" s="32"/>
      <c r="Q333" s="32"/>
      <c r="R333" s="32"/>
    </row>
    <row r="334" spans="3:18" x14ac:dyDescent="0.3">
      <c r="C334" s="11"/>
      <c r="D334" s="32"/>
      <c r="E334" s="11" t="str" cm="1">
        <f t="array" ref="E334">_xlfn.IFS(
    COUNTIF(Herramientas_eléctricas1862106149[Herramientas_eléctricas], B334) &gt; 0, Herramientas_eléctricas1862106149[[#Headers],[Herramientas_eléctricas]],
    COUNTIF(Herramientas_neumáticas1963107150[Herramientas_neumáticas], B334) &gt; 0, Herramientas_neumáticas1963107150[[#Headers],[Herramientas_neumáticas]],
    COUNTIF(Herramientas_de_medición2064108151[Herramientas_de_medición], B334) &gt; 0, Herramientas_de_medición2064108151[[#Headers],[Herramientas_de_medición]],
    COUNTIF(Herrramientas_mecánicas2165109152[Herramientas_mecánicas], B334) &gt; 0, Herrramientas_mecánicas2165109152[[#Headers],[Herramientas_mecánicas]],
    COUNTIF(AH334:AH340, B334) &gt; 0, Herramientas_hidráulicas2266110153[[#Headers],[Herramientas_hidráulicas]],
    COUNTIF(EPP_2367111154[SPCC], B334) &gt; 0, EPP_2367111154[[#Headers],[SPCC]],
   COUNTIF(Herramientas_de_izaje2468112155[Herramientas_de_izaje], B334) &gt; 0, Herramientas_de_izaje2468112155[[#Headers],[Herramientas_de_izaje]],
COUNTIF(Tabla162670114157[Equipos], B334) &gt; 0, Tabla162670114157[[#Headers],[Equipos]],
    TRUE, "Sin clasificación"
)</f>
        <v>Sin clasificación</v>
      </c>
      <c r="I334" s="15"/>
      <c r="J334" s="47"/>
      <c r="K334" s="76"/>
      <c r="L334" s="76"/>
      <c r="M334" s="78" t="str">
        <f>_xlfn.LET(
    _xlpm.itemBuscado, B334,
    _xlpm.areaBuscada, C334,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TEXT(COUNTIF($C$2:C334, _xlpm.areaBuscada), "0000"),
    _xlpm.codItem &amp; "-" &amp; _xlpm.codArea &amp; "-" &amp; _xlpm.secuencia
)</f>
        <v>-SinArea-0000</v>
      </c>
      <c r="N334" s="77"/>
      <c r="O334" s="32"/>
      <c r="P334" s="32"/>
      <c r="Q334" s="32"/>
      <c r="R334" s="32"/>
    </row>
    <row r="335" spans="3:18" x14ac:dyDescent="0.3">
      <c r="C335" s="11"/>
      <c r="D335" s="32"/>
      <c r="E335" s="11" t="str" cm="1">
        <f t="array" ref="E335">_xlfn.IFS(
    COUNTIF(Herramientas_eléctricas1862106149[Herramientas_eléctricas], B335) &gt; 0, Herramientas_eléctricas1862106149[[#Headers],[Herramientas_eléctricas]],
    COUNTIF(Herramientas_neumáticas1963107150[Herramientas_neumáticas], B335) &gt; 0, Herramientas_neumáticas1963107150[[#Headers],[Herramientas_neumáticas]],
    COUNTIF(Herramientas_de_medición2064108151[Herramientas_de_medición], B335) &gt; 0, Herramientas_de_medición2064108151[[#Headers],[Herramientas_de_medición]],
    COUNTIF(Herrramientas_mecánicas2165109152[Herramientas_mecánicas], B335) &gt; 0, Herrramientas_mecánicas2165109152[[#Headers],[Herramientas_mecánicas]],
    COUNTIF(AH335:AH341, B335) &gt; 0, Herramientas_hidráulicas2266110153[[#Headers],[Herramientas_hidráulicas]],
    COUNTIF(EPP_2367111154[SPCC], B335) &gt; 0, EPP_2367111154[[#Headers],[SPCC]],
   COUNTIF(Herramientas_de_izaje2468112155[Herramientas_de_izaje], B335) &gt; 0, Herramientas_de_izaje2468112155[[#Headers],[Herramientas_de_izaje]],
COUNTIF(Tabla162670114157[Equipos], B335) &gt; 0, Tabla162670114157[[#Headers],[Equipos]],
    TRUE, "Sin clasificación"
)</f>
        <v>Sin clasificación</v>
      </c>
      <c r="I335" s="15"/>
      <c r="J335" s="47"/>
      <c r="K335" s="76"/>
      <c r="L335" s="76"/>
      <c r="M335" s="78" t="str">
        <f>_xlfn.LET(
    _xlpm.itemBuscado, B335,
    _xlpm.areaBuscada, C335,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TEXT(COUNTIF($C$2:C335, _xlpm.areaBuscada), "0000"),
    _xlpm.codItem &amp; "-" &amp; _xlpm.codArea &amp; "-" &amp; _xlpm.secuencia
)</f>
        <v>-SinArea-0000</v>
      </c>
      <c r="N335" s="77"/>
      <c r="O335" s="32"/>
      <c r="P335" s="32"/>
      <c r="Q335" s="32"/>
      <c r="R335" s="32"/>
    </row>
    <row r="336" spans="3:18" x14ac:dyDescent="0.3">
      <c r="C336" s="11"/>
      <c r="D336" s="32"/>
      <c r="E336" s="11" t="str" cm="1">
        <f t="array" ref="E336">_xlfn.IFS(
    COUNTIF(Herramientas_eléctricas1862106149[Herramientas_eléctricas], B336) &gt; 0, Herramientas_eléctricas1862106149[[#Headers],[Herramientas_eléctricas]],
    COUNTIF(Herramientas_neumáticas1963107150[Herramientas_neumáticas], B336) &gt; 0, Herramientas_neumáticas1963107150[[#Headers],[Herramientas_neumáticas]],
    COUNTIF(Herramientas_de_medición2064108151[Herramientas_de_medición], B336) &gt; 0, Herramientas_de_medición2064108151[[#Headers],[Herramientas_de_medición]],
    COUNTIF(Herrramientas_mecánicas2165109152[Herramientas_mecánicas], B336) &gt; 0, Herrramientas_mecánicas2165109152[[#Headers],[Herramientas_mecánicas]],
    COUNTIF(AH336:AH342, B336) &gt; 0, Herramientas_hidráulicas2266110153[[#Headers],[Herramientas_hidráulicas]],
    COUNTIF(EPP_2367111154[SPCC], B336) &gt; 0, EPP_2367111154[[#Headers],[SPCC]],
   COUNTIF(Herramientas_de_izaje2468112155[Herramientas_de_izaje], B336) &gt; 0, Herramientas_de_izaje2468112155[[#Headers],[Herramientas_de_izaje]],
COUNTIF(Tabla162670114157[Equipos], B336) &gt; 0, Tabla162670114157[[#Headers],[Equipos]],
    TRUE, "Sin clasificación"
)</f>
        <v>Sin clasificación</v>
      </c>
      <c r="I336" s="15"/>
      <c r="J336" s="47"/>
      <c r="K336" s="76"/>
      <c r="L336" s="76"/>
      <c r="M336" s="78" t="str">
        <f>_xlfn.LET(
    _xlpm.itemBuscado, B336,
    _xlpm.areaBuscada, C336,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TEXT(COUNTIF($C$2:C336, _xlpm.areaBuscada), "0000"),
    _xlpm.codItem &amp; "-" &amp; _xlpm.codArea &amp; "-" &amp; _xlpm.secuencia
)</f>
        <v>-SinArea-0000</v>
      </c>
      <c r="N336" s="77"/>
      <c r="O336" s="32"/>
      <c r="P336" s="32"/>
      <c r="Q336" s="32"/>
      <c r="R336" s="32"/>
    </row>
    <row r="337" spans="3:18" x14ac:dyDescent="0.3">
      <c r="C337" s="11"/>
      <c r="D337" s="32"/>
      <c r="E337" s="11" t="str" cm="1">
        <f t="array" ref="E337">_xlfn.IFS(
    COUNTIF(Herramientas_eléctricas1862106149[Herramientas_eléctricas], B337) &gt; 0, Herramientas_eléctricas1862106149[[#Headers],[Herramientas_eléctricas]],
    COUNTIF(Herramientas_neumáticas1963107150[Herramientas_neumáticas], B337) &gt; 0, Herramientas_neumáticas1963107150[[#Headers],[Herramientas_neumáticas]],
    COUNTIF(Herramientas_de_medición2064108151[Herramientas_de_medición], B337) &gt; 0, Herramientas_de_medición2064108151[[#Headers],[Herramientas_de_medición]],
    COUNTIF(Herrramientas_mecánicas2165109152[Herramientas_mecánicas], B337) &gt; 0, Herrramientas_mecánicas2165109152[[#Headers],[Herramientas_mecánicas]],
    COUNTIF(AH337:AH343, B337) &gt; 0, Herramientas_hidráulicas2266110153[[#Headers],[Herramientas_hidráulicas]],
    COUNTIF(EPP_2367111154[SPCC], B337) &gt; 0, EPP_2367111154[[#Headers],[SPCC]],
   COUNTIF(Herramientas_de_izaje2468112155[Herramientas_de_izaje], B337) &gt; 0, Herramientas_de_izaje2468112155[[#Headers],[Herramientas_de_izaje]],
COUNTIF(Tabla162670114157[Equipos], B337) &gt; 0, Tabla162670114157[[#Headers],[Equipos]],
    TRUE, "Sin clasificación"
)</f>
        <v>Sin clasificación</v>
      </c>
      <c r="I337" s="15"/>
      <c r="J337" s="47"/>
      <c r="K337" s="76"/>
      <c r="L337" s="76"/>
      <c r="M337" s="78" t="str">
        <f>_xlfn.LET(
    _xlpm.itemBuscado, B337,
    _xlpm.areaBuscada, C337,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TEXT(COUNTIF($C$2:C337, _xlpm.areaBuscada), "0000"),
    _xlpm.codItem &amp; "-" &amp; _xlpm.codArea &amp; "-" &amp; _xlpm.secuencia
)</f>
        <v>-SinArea-0000</v>
      </c>
      <c r="N337" s="77"/>
      <c r="O337" s="32"/>
      <c r="P337" s="32"/>
      <c r="Q337" s="32"/>
      <c r="R337" s="32"/>
    </row>
    <row r="338" spans="3:18" x14ac:dyDescent="0.3">
      <c r="C338" s="11"/>
      <c r="D338" s="32"/>
      <c r="E338" s="11" t="str" cm="1">
        <f t="array" ref="E338">_xlfn.IFS(
    COUNTIF(Herramientas_eléctricas1862106149[Herramientas_eléctricas], B338) &gt; 0, Herramientas_eléctricas1862106149[[#Headers],[Herramientas_eléctricas]],
    COUNTIF(Herramientas_neumáticas1963107150[Herramientas_neumáticas], B338) &gt; 0, Herramientas_neumáticas1963107150[[#Headers],[Herramientas_neumáticas]],
    COUNTIF(Herramientas_de_medición2064108151[Herramientas_de_medición], B338) &gt; 0, Herramientas_de_medición2064108151[[#Headers],[Herramientas_de_medición]],
    COUNTIF(Herrramientas_mecánicas2165109152[Herramientas_mecánicas], B338) &gt; 0, Herrramientas_mecánicas2165109152[[#Headers],[Herramientas_mecánicas]],
    COUNTIF(AH338:AH344, B338) &gt; 0, Herramientas_hidráulicas2266110153[[#Headers],[Herramientas_hidráulicas]],
    COUNTIF(EPP_2367111154[SPCC], B338) &gt; 0, EPP_2367111154[[#Headers],[SPCC]],
   COUNTIF(Herramientas_de_izaje2468112155[Herramientas_de_izaje], B338) &gt; 0, Herramientas_de_izaje2468112155[[#Headers],[Herramientas_de_izaje]],
COUNTIF(Tabla162670114157[Equipos], B338) &gt; 0, Tabla162670114157[[#Headers],[Equipos]],
    TRUE, "Sin clasificación"
)</f>
        <v>Sin clasificación</v>
      </c>
      <c r="I338" s="15"/>
      <c r="J338" s="47"/>
      <c r="K338" s="76"/>
      <c r="L338" s="76"/>
      <c r="M338" s="78" t="str">
        <f>_xlfn.LET(
    _xlpm.itemBuscado, B338,
    _xlpm.areaBuscada, C338,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TEXT(COUNTIF($C$2:C338, _xlpm.areaBuscada), "0000"),
    _xlpm.codItem &amp; "-" &amp; _xlpm.codArea &amp; "-" &amp; _xlpm.secuencia
)</f>
        <v>-SinArea-0000</v>
      </c>
      <c r="N338" s="77"/>
      <c r="O338" s="32"/>
      <c r="P338" s="32"/>
      <c r="Q338" s="32"/>
      <c r="R338" s="32"/>
    </row>
    <row r="339" spans="3:18" x14ac:dyDescent="0.3">
      <c r="C339" s="11"/>
      <c r="D339" s="32"/>
      <c r="E339" s="11" t="str" cm="1">
        <f t="array" ref="E339">_xlfn.IFS(
    COUNTIF(Herramientas_eléctricas1862106149[Herramientas_eléctricas], B339) &gt; 0, Herramientas_eléctricas1862106149[[#Headers],[Herramientas_eléctricas]],
    COUNTIF(Herramientas_neumáticas1963107150[Herramientas_neumáticas], B339) &gt; 0, Herramientas_neumáticas1963107150[[#Headers],[Herramientas_neumáticas]],
    COUNTIF(Herramientas_de_medición2064108151[Herramientas_de_medición], B339) &gt; 0, Herramientas_de_medición2064108151[[#Headers],[Herramientas_de_medición]],
    COUNTIF(Herrramientas_mecánicas2165109152[Herramientas_mecánicas], B339) &gt; 0, Herrramientas_mecánicas2165109152[[#Headers],[Herramientas_mecánicas]],
    COUNTIF(AH339:AH345, B339) &gt; 0, Herramientas_hidráulicas2266110153[[#Headers],[Herramientas_hidráulicas]],
    COUNTIF(EPP_2367111154[SPCC], B339) &gt; 0, EPP_2367111154[[#Headers],[SPCC]],
   COUNTIF(Herramientas_de_izaje2468112155[Herramientas_de_izaje], B339) &gt; 0, Herramientas_de_izaje2468112155[[#Headers],[Herramientas_de_izaje]],
COUNTIF(Tabla162670114157[Equipos], B339) &gt; 0, Tabla162670114157[[#Headers],[Equipos]],
    TRUE, "Sin clasificación"
)</f>
        <v>Sin clasificación</v>
      </c>
      <c r="I339" s="15"/>
      <c r="J339" s="47"/>
      <c r="K339" s="76"/>
      <c r="L339" s="76"/>
      <c r="M339" s="78" t="str">
        <f>_xlfn.LET(
    _xlpm.itemBuscado, B339,
    _xlpm.areaBuscada, C339,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TEXT(COUNTIF($C$2:C339, _xlpm.areaBuscada), "0000"),
    _xlpm.codItem &amp; "-" &amp; _xlpm.codArea &amp; "-" &amp; _xlpm.secuencia
)</f>
        <v>-SinArea-0000</v>
      </c>
      <c r="N339" s="77"/>
      <c r="O339" s="32"/>
      <c r="P339" s="32"/>
      <c r="Q339" s="32"/>
      <c r="R339" s="32"/>
    </row>
    <row r="340" spans="3:18" x14ac:dyDescent="0.3">
      <c r="C340" s="11"/>
      <c r="D340" s="32"/>
      <c r="E340" s="11" t="str" cm="1">
        <f t="array" ref="E340">_xlfn.IFS(
    COUNTIF(Herramientas_eléctricas1862106149[Herramientas_eléctricas], B340) &gt; 0, Herramientas_eléctricas1862106149[[#Headers],[Herramientas_eléctricas]],
    COUNTIF(Herramientas_neumáticas1963107150[Herramientas_neumáticas], B340) &gt; 0, Herramientas_neumáticas1963107150[[#Headers],[Herramientas_neumáticas]],
    COUNTIF(Herramientas_de_medición2064108151[Herramientas_de_medición], B340) &gt; 0, Herramientas_de_medición2064108151[[#Headers],[Herramientas_de_medición]],
    COUNTIF(Herrramientas_mecánicas2165109152[Herramientas_mecánicas], B340) &gt; 0, Herrramientas_mecánicas2165109152[[#Headers],[Herramientas_mecánicas]],
    COUNTIF(AH340:AH346, B340) &gt; 0, Herramientas_hidráulicas2266110153[[#Headers],[Herramientas_hidráulicas]],
    COUNTIF(EPP_2367111154[SPCC], B340) &gt; 0, EPP_2367111154[[#Headers],[SPCC]],
   COUNTIF(Herramientas_de_izaje2468112155[Herramientas_de_izaje], B340) &gt; 0, Herramientas_de_izaje2468112155[[#Headers],[Herramientas_de_izaje]],
COUNTIF(Tabla162670114157[Equipos], B340) &gt; 0, Tabla162670114157[[#Headers],[Equipos]],
    TRUE, "Sin clasificación"
)</f>
        <v>Sin clasificación</v>
      </c>
      <c r="I340" s="15"/>
      <c r="J340" s="47"/>
      <c r="K340" s="76"/>
      <c r="L340" s="76"/>
      <c r="M340" s="78" t="str">
        <f>_xlfn.LET(
    _xlpm.itemBuscado, B340,
    _xlpm.areaBuscada, C340,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TEXT(COUNTIF($C$2:C340, _xlpm.areaBuscada), "0000"),
    _xlpm.codItem &amp; "-" &amp; _xlpm.codArea &amp; "-" &amp; _xlpm.secuencia
)</f>
        <v>-SinArea-0000</v>
      </c>
      <c r="N340" s="77"/>
      <c r="O340" s="32"/>
      <c r="P340" s="32"/>
      <c r="Q340" s="32"/>
      <c r="R340" s="32"/>
    </row>
    <row r="341" spans="3:18" x14ac:dyDescent="0.3">
      <c r="C341" s="11"/>
      <c r="D341" s="32"/>
      <c r="E341" s="11" t="str" cm="1">
        <f t="array" ref="E341">_xlfn.IFS(
    COUNTIF(Herramientas_eléctricas1862106149[Herramientas_eléctricas], B341) &gt; 0, Herramientas_eléctricas1862106149[[#Headers],[Herramientas_eléctricas]],
    COUNTIF(Herramientas_neumáticas1963107150[Herramientas_neumáticas], B341) &gt; 0, Herramientas_neumáticas1963107150[[#Headers],[Herramientas_neumáticas]],
    COUNTIF(Herramientas_de_medición2064108151[Herramientas_de_medición], B341) &gt; 0, Herramientas_de_medición2064108151[[#Headers],[Herramientas_de_medición]],
    COUNTIF(Herrramientas_mecánicas2165109152[Herramientas_mecánicas], B341) &gt; 0, Herrramientas_mecánicas2165109152[[#Headers],[Herramientas_mecánicas]],
    COUNTIF(AH341:AH347, B341) &gt; 0, Herramientas_hidráulicas2266110153[[#Headers],[Herramientas_hidráulicas]],
    COUNTIF(EPP_2367111154[SPCC], B341) &gt; 0, EPP_2367111154[[#Headers],[SPCC]],
   COUNTIF(Herramientas_de_izaje2468112155[Herramientas_de_izaje], B341) &gt; 0, Herramientas_de_izaje2468112155[[#Headers],[Herramientas_de_izaje]],
COUNTIF(Tabla162670114157[Equipos], B341) &gt; 0, Tabla162670114157[[#Headers],[Equipos]],
    TRUE, "Sin clasificación"
)</f>
        <v>Sin clasificación</v>
      </c>
      <c r="I341" s="15"/>
      <c r="J341" s="47"/>
      <c r="K341" s="76"/>
      <c r="L341" s="76"/>
      <c r="M341" s="78" t="str">
        <f>_xlfn.LET(
    _xlpm.itemBuscado, B341,
    _xlpm.areaBuscada, C341,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TEXT(COUNTIF($C$2:C341, _xlpm.areaBuscada), "0000"),
    _xlpm.codItem &amp; "-" &amp; _xlpm.codArea &amp; "-" &amp; _xlpm.secuencia
)</f>
        <v>-SinArea-0000</v>
      </c>
      <c r="N341" s="77"/>
      <c r="O341" s="32"/>
      <c r="P341" s="32"/>
      <c r="Q341" s="32"/>
      <c r="R341" s="32"/>
    </row>
    <row r="342" spans="3:18" x14ac:dyDescent="0.3">
      <c r="C342" s="11"/>
      <c r="D342" s="32"/>
      <c r="E342" s="11" t="str" cm="1">
        <f t="array" ref="E342">_xlfn.IFS(
    COUNTIF(Herramientas_eléctricas1862106149[Herramientas_eléctricas], B342) &gt; 0, Herramientas_eléctricas1862106149[[#Headers],[Herramientas_eléctricas]],
    COUNTIF(Herramientas_neumáticas1963107150[Herramientas_neumáticas], B342) &gt; 0, Herramientas_neumáticas1963107150[[#Headers],[Herramientas_neumáticas]],
    COUNTIF(Herramientas_de_medición2064108151[Herramientas_de_medición], B342) &gt; 0, Herramientas_de_medición2064108151[[#Headers],[Herramientas_de_medición]],
    COUNTIF(Herrramientas_mecánicas2165109152[Herramientas_mecánicas], B342) &gt; 0, Herrramientas_mecánicas2165109152[[#Headers],[Herramientas_mecánicas]],
    COUNTIF(AH342:AH348, B342) &gt; 0, Herramientas_hidráulicas2266110153[[#Headers],[Herramientas_hidráulicas]],
    COUNTIF(EPP_2367111154[SPCC], B342) &gt; 0, EPP_2367111154[[#Headers],[SPCC]],
   COUNTIF(Herramientas_de_izaje2468112155[Herramientas_de_izaje], B342) &gt; 0, Herramientas_de_izaje2468112155[[#Headers],[Herramientas_de_izaje]],
COUNTIF(Tabla162670114157[Equipos], B342) &gt; 0, Tabla162670114157[[#Headers],[Equipos]],
    TRUE, "Sin clasificación"
)</f>
        <v>Sin clasificación</v>
      </c>
      <c r="I342" s="15"/>
      <c r="J342" s="47"/>
      <c r="K342" s="76"/>
      <c r="L342" s="76"/>
      <c r="M342" s="78" t="str">
        <f>_xlfn.LET(
    _xlpm.itemBuscado, B342,
    _xlpm.areaBuscada, C342,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TEXT(COUNTIF($C$2:C342, _xlpm.areaBuscada), "0000"),
    _xlpm.codItem &amp; "-" &amp; _xlpm.codArea &amp; "-" &amp; _xlpm.secuencia
)</f>
        <v>-SinArea-0000</v>
      </c>
      <c r="N342" s="77"/>
      <c r="O342" s="32"/>
      <c r="P342" s="32"/>
      <c r="Q342" s="32"/>
      <c r="R342" s="32"/>
    </row>
    <row r="343" spans="3:18" x14ac:dyDescent="0.3">
      <c r="C343" s="11"/>
      <c r="D343" s="32"/>
      <c r="E343" s="11" t="str" cm="1">
        <f t="array" ref="E343">_xlfn.IFS(
    COUNTIF(Herramientas_eléctricas1862106149[Herramientas_eléctricas], B343) &gt; 0, Herramientas_eléctricas1862106149[[#Headers],[Herramientas_eléctricas]],
    COUNTIF(Herramientas_neumáticas1963107150[Herramientas_neumáticas], B343) &gt; 0, Herramientas_neumáticas1963107150[[#Headers],[Herramientas_neumáticas]],
    COUNTIF(Herramientas_de_medición2064108151[Herramientas_de_medición], B343) &gt; 0, Herramientas_de_medición2064108151[[#Headers],[Herramientas_de_medición]],
    COUNTIF(Herrramientas_mecánicas2165109152[Herramientas_mecánicas], B343) &gt; 0, Herrramientas_mecánicas2165109152[[#Headers],[Herramientas_mecánicas]],
    COUNTIF(AH343:AH349, B343) &gt; 0, Herramientas_hidráulicas2266110153[[#Headers],[Herramientas_hidráulicas]],
    COUNTIF(EPP_2367111154[SPCC], B343) &gt; 0, EPP_2367111154[[#Headers],[SPCC]],
   COUNTIF(Herramientas_de_izaje2468112155[Herramientas_de_izaje], B343) &gt; 0, Herramientas_de_izaje2468112155[[#Headers],[Herramientas_de_izaje]],
COUNTIF(Tabla162670114157[Equipos], B343) &gt; 0, Tabla162670114157[[#Headers],[Equipos]],
    TRUE, "Sin clasificación"
)</f>
        <v>Sin clasificación</v>
      </c>
      <c r="I343" s="15"/>
      <c r="J343" s="47"/>
      <c r="K343" s="76"/>
      <c r="L343" s="76"/>
      <c r="M343" s="78" t="str">
        <f>_xlfn.LET(
    _xlpm.itemBuscado, B343,
    _xlpm.areaBuscada, C343,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TEXT(COUNTIF($C$2:C343, _xlpm.areaBuscada), "0000"),
    _xlpm.codItem &amp; "-" &amp; _xlpm.codArea &amp; "-" &amp; _xlpm.secuencia
)</f>
        <v>-SinArea-0000</v>
      </c>
      <c r="N343" s="77"/>
      <c r="O343" s="32"/>
      <c r="P343" s="32"/>
      <c r="Q343" s="32"/>
      <c r="R343" s="32"/>
    </row>
    <row r="344" spans="3:18" x14ac:dyDescent="0.3">
      <c r="C344" s="11"/>
      <c r="D344" s="32"/>
      <c r="E344" s="11" t="str" cm="1">
        <f t="array" ref="E344">_xlfn.IFS(
    COUNTIF(Herramientas_eléctricas1862106149[Herramientas_eléctricas], B344) &gt; 0, Herramientas_eléctricas1862106149[[#Headers],[Herramientas_eléctricas]],
    COUNTIF(Herramientas_neumáticas1963107150[Herramientas_neumáticas], B344) &gt; 0, Herramientas_neumáticas1963107150[[#Headers],[Herramientas_neumáticas]],
    COUNTIF(Herramientas_de_medición2064108151[Herramientas_de_medición], B344) &gt; 0, Herramientas_de_medición2064108151[[#Headers],[Herramientas_de_medición]],
    COUNTIF(Herrramientas_mecánicas2165109152[Herramientas_mecánicas], B344) &gt; 0, Herrramientas_mecánicas2165109152[[#Headers],[Herramientas_mecánicas]],
    COUNTIF(AH344:AH350, B344) &gt; 0, Herramientas_hidráulicas2266110153[[#Headers],[Herramientas_hidráulicas]],
    COUNTIF(EPP_2367111154[SPCC], B344) &gt; 0, EPP_2367111154[[#Headers],[SPCC]],
   COUNTIF(Herramientas_de_izaje2468112155[Herramientas_de_izaje], B344) &gt; 0, Herramientas_de_izaje2468112155[[#Headers],[Herramientas_de_izaje]],
COUNTIF(Tabla162670114157[Equipos], B344) &gt; 0, Tabla162670114157[[#Headers],[Equipos]],
    TRUE, "Sin clasificación"
)</f>
        <v>Sin clasificación</v>
      </c>
      <c r="I344" s="15"/>
      <c r="J344" s="47"/>
      <c r="K344" s="76"/>
      <c r="L344" s="76"/>
      <c r="M344" s="78" t="str">
        <f>_xlfn.LET(
    _xlpm.itemBuscado, B344,
    _xlpm.areaBuscada, C344,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TEXT(COUNTIF($C$2:C344, _xlpm.areaBuscada), "0000"),
    _xlpm.codItem &amp; "-" &amp; _xlpm.codArea &amp; "-" &amp; _xlpm.secuencia
)</f>
        <v>-SinArea-0000</v>
      </c>
      <c r="N344" s="77"/>
      <c r="O344" s="32"/>
      <c r="P344" s="32"/>
      <c r="Q344" s="32"/>
      <c r="R344" s="32"/>
    </row>
    <row r="345" spans="3:18" x14ac:dyDescent="0.3">
      <c r="C345" s="11"/>
      <c r="D345" s="32"/>
      <c r="E345" s="11" t="str" cm="1">
        <f t="array" ref="E345">_xlfn.IFS(
    COUNTIF(Herramientas_eléctricas1862106149[Herramientas_eléctricas], B345) &gt; 0, Herramientas_eléctricas1862106149[[#Headers],[Herramientas_eléctricas]],
    COUNTIF(Herramientas_neumáticas1963107150[Herramientas_neumáticas], B345) &gt; 0, Herramientas_neumáticas1963107150[[#Headers],[Herramientas_neumáticas]],
    COUNTIF(Herramientas_de_medición2064108151[Herramientas_de_medición], B345) &gt; 0, Herramientas_de_medición2064108151[[#Headers],[Herramientas_de_medición]],
    COUNTIF(Herrramientas_mecánicas2165109152[Herramientas_mecánicas], B345) &gt; 0, Herrramientas_mecánicas2165109152[[#Headers],[Herramientas_mecánicas]],
    COUNTIF(AH345:AH351, B345) &gt; 0, Herramientas_hidráulicas2266110153[[#Headers],[Herramientas_hidráulicas]],
    COUNTIF(EPP_2367111154[SPCC], B345) &gt; 0, EPP_2367111154[[#Headers],[SPCC]],
   COUNTIF(Herramientas_de_izaje2468112155[Herramientas_de_izaje], B345) &gt; 0, Herramientas_de_izaje2468112155[[#Headers],[Herramientas_de_izaje]],
COUNTIF(Tabla162670114157[Equipos], B345) &gt; 0, Tabla162670114157[[#Headers],[Equipos]],
    TRUE, "Sin clasificación"
)</f>
        <v>Sin clasificación</v>
      </c>
      <c r="I345" s="15"/>
      <c r="J345" s="47"/>
      <c r="K345" s="76"/>
      <c r="L345" s="76"/>
      <c r="M345" s="78" t="str">
        <f>_xlfn.LET(
    _xlpm.itemBuscado, B345,
    _xlpm.areaBuscada, C345,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TEXT(COUNTIF($C$2:C345, _xlpm.areaBuscada), "0000"),
    _xlpm.codItem &amp; "-" &amp; _xlpm.codArea &amp; "-" &amp; _xlpm.secuencia
)</f>
        <v>-SinArea-0000</v>
      </c>
      <c r="N345" s="77"/>
      <c r="O345" s="32"/>
      <c r="P345" s="32"/>
      <c r="Q345" s="32"/>
      <c r="R345" s="32"/>
    </row>
    <row r="346" spans="3:18" x14ac:dyDescent="0.3">
      <c r="C346" s="11"/>
      <c r="D346" s="32"/>
      <c r="E346" s="11" t="str" cm="1">
        <f t="array" ref="E346">_xlfn.IFS(
    COUNTIF(Herramientas_eléctricas1862106149[Herramientas_eléctricas], B346) &gt; 0, Herramientas_eléctricas1862106149[[#Headers],[Herramientas_eléctricas]],
    COUNTIF(Herramientas_neumáticas1963107150[Herramientas_neumáticas], B346) &gt; 0, Herramientas_neumáticas1963107150[[#Headers],[Herramientas_neumáticas]],
    COUNTIF(Herramientas_de_medición2064108151[Herramientas_de_medición], B346) &gt; 0, Herramientas_de_medición2064108151[[#Headers],[Herramientas_de_medición]],
    COUNTIF(Herrramientas_mecánicas2165109152[Herramientas_mecánicas], B346) &gt; 0, Herrramientas_mecánicas2165109152[[#Headers],[Herramientas_mecánicas]],
    COUNTIF(AH346:AH352, B346) &gt; 0, Herramientas_hidráulicas2266110153[[#Headers],[Herramientas_hidráulicas]],
    COUNTIF(EPP_2367111154[SPCC], B346) &gt; 0, EPP_2367111154[[#Headers],[SPCC]],
   COUNTIF(Herramientas_de_izaje2468112155[Herramientas_de_izaje], B346) &gt; 0, Herramientas_de_izaje2468112155[[#Headers],[Herramientas_de_izaje]],
COUNTIF(Tabla162670114157[Equipos], B346) &gt; 0, Tabla162670114157[[#Headers],[Equipos]],
    TRUE, "Sin clasificación"
)</f>
        <v>Sin clasificación</v>
      </c>
      <c r="I346" s="15"/>
      <c r="J346" s="47"/>
      <c r="K346" s="76"/>
      <c r="L346" s="76"/>
      <c r="M346" s="78" t="str">
        <f>_xlfn.LET(
    _xlpm.itemBuscado, B346,
    _xlpm.areaBuscada, C346,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TEXT(COUNTIF($C$2:C346, _xlpm.areaBuscada), "0000"),
    _xlpm.codItem &amp; "-" &amp; _xlpm.codArea &amp; "-" &amp; _xlpm.secuencia
)</f>
        <v>-SinArea-0000</v>
      </c>
      <c r="N346" s="77"/>
      <c r="O346" s="32"/>
      <c r="P346" s="32"/>
      <c r="Q346" s="32"/>
      <c r="R346" s="32"/>
    </row>
    <row r="347" spans="3:18" x14ac:dyDescent="0.3">
      <c r="C347" s="11"/>
      <c r="D347" s="32"/>
      <c r="E347" s="11" t="str" cm="1">
        <f t="array" ref="E347">_xlfn.IFS(
    COUNTIF(Herramientas_eléctricas1862106149[Herramientas_eléctricas], B347) &gt; 0, Herramientas_eléctricas1862106149[[#Headers],[Herramientas_eléctricas]],
    COUNTIF(Herramientas_neumáticas1963107150[Herramientas_neumáticas], B347) &gt; 0, Herramientas_neumáticas1963107150[[#Headers],[Herramientas_neumáticas]],
    COUNTIF(Herramientas_de_medición2064108151[Herramientas_de_medición], B347) &gt; 0, Herramientas_de_medición2064108151[[#Headers],[Herramientas_de_medición]],
    COUNTIF(Herrramientas_mecánicas2165109152[Herramientas_mecánicas], B347) &gt; 0, Herrramientas_mecánicas2165109152[[#Headers],[Herramientas_mecánicas]],
    COUNTIF(AH347:AH353, B347) &gt; 0, Herramientas_hidráulicas2266110153[[#Headers],[Herramientas_hidráulicas]],
    COUNTIF(EPP_2367111154[SPCC], B347) &gt; 0, EPP_2367111154[[#Headers],[SPCC]],
   COUNTIF(Herramientas_de_izaje2468112155[Herramientas_de_izaje], B347) &gt; 0, Herramientas_de_izaje2468112155[[#Headers],[Herramientas_de_izaje]],
COUNTIF(Tabla162670114157[Equipos], B347) &gt; 0, Tabla162670114157[[#Headers],[Equipos]],
    TRUE, "Sin clasificación"
)</f>
        <v>Sin clasificación</v>
      </c>
      <c r="I347" s="15"/>
      <c r="J347" s="47"/>
      <c r="K347" s="76"/>
      <c r="L347" s="76"/>
      <c r="M347" s="78" t="str">
        <f>_xlfn.LET(
    _xlpm.itemBuscado, B347,
    _xlpm.areaBuscada, C347,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TEXT(COUNTIF($C$2:C347, _xlpm.areaBuscada), "0000"),
    _xlpm.codItem &amp; "-" &amp; _xlpm.codArea &amp; "-" &amp; _xlpm.secuencia
)</f>
        <v>-SinArea-0000</v>
      </c>
      <c r="N347" s="77"/>
      <c r="O347" s="32"/>
      <c r="P347" s="32"/>
      <c r="Q347" s="32"/>
      <c r="R347" s="32"/>
    </row>
    <row r="348" spans="3:18" x14ac:dyDescent="0.3">
      <c r="C348" s="11"/>
      <c r="D348" s="32"/>
      <c r="E348" s="11" t="str" cm="1">
        <f t="array" ref="E348">_xlfn.IFS(
    COUNTIF(Herramientas_eléctricas1862106149[Herramientas_eléctricas], B348) &gt; 0, Herramientas_eléctricas1862106149[[#Headers],[Herramientas_eléctricas]],
    COUNTIF(Herramientas_neumáticas1963107150[Herramientas_neumáticas], B348) &gt; 0, Herramientas_neumáticas1963107150[[#Headers],[Herramientas_neumáticas]],
    COUNTIF(Herramientas_de_medición2064108151[Herramientas_de_medición], B348) &gt; 0, Herramientas_de_medición2064108151[[#Headers],[Herramientas_de_medición]],
    COUNTIF(Herrramientas_mecánicas2165109152[Herramientas_mecánicas], B348) &gt; 0, Herrramientas_mecánicas2165109152[[#Headers],[Herramientas_mecánicas]],
    COUNTIF(AH348:AH354, B348) &gt; 0, Herramientas_hidráulicas2266110153[[#Headers],[Herramientas_hidráulicas]],
    COUNTIF(EPP_2367111154[SPCC], B348) &gt; 0, EPP_2367111154[[#Headers],[SPCC]],
   COUNTIF(Herramientas_de_izaje2468112155[Herramientas_de_izaje], B348) &gt; 0, Herramientas_de_izaje2468112155[[#Headers],[Herramientas_de_izaje]],
COUNTIF(Tabla162670114157[Equipos], B348) &gt; 0, Tabla162670114157[[#Headers],[Equipos]],
    TRUE, "Sin clasificación"
)</f>
        <v>Sin clasificación</v>
      </c>
      <c r="I348" s="15"/>
      <c r="J348" s="47"/>
      <c r="K348" s="76"/>
      <c r="L348" s="76"/>
      <c r="M348" s="78" t="str">
        <f>_xlfn.LET(
    _xlpm.itemBuscado, B348,
    _xlpm.areaBuscada, C348,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TEXT(COUNTIF($C$2:C348, _xlpm.areaBuscada), "0000"),
    _xlpm.codItem &amp; "-" &amp; _xlpm.codArea &amp; "-" &amp; _xlpm.secuencia
)</f>
        <v>-SinArea-0000</v>
      </c>
      <c r="N348" s="77"/>
      <c r="O348" s="32"/>
      <c r="P348" s="32"/>
      <c r="Q348" s="32"/>
      <c r="R348" s="32"/>
    </row>
    <row r="349" spans="3:18" x14ac:dyDescent="0.3">
      <c r="C349" s="11"/>
      <c r="D349" s="32"/>
      <c r="E349" s="11" t="str" cm="1">
        <f t="array" ref="E349">_xlfn.IFS(
    COUNTIF(Herramientas_eléctricas1862106149[Herramientas_eléctricas], B349) &gt; 0, Herramientas_eléctricas1862106149[[#Headers],[Herramientas_eléctricas]],
    COUNTIF(Herramientas_neumáticas1963107150[Herramientas_neumáticas], B349) &gt; 0, Herramientas_neumáticas1963107150[[#Headers],[Herramientas_neumáticas]],
    COUNTIF(Herramientas_de_medición2064108151[Herramientas_de_medición], B349) &gt; 0, Herramientas_de_medición2064108151[[#Headers],[Herramientas_de_medición]],
    COUNTIF(Herrramientas_mecánicas2165109152[Herramientas_mecánicas], B349) &gt; 0, Herrramientas_mecánicas2165109152[[#Headers],[Herramientas_mecánicas]],
    COUNTIF(AH349:AH355, B349) &gt; 0, Herramientas_hidráulicas2266110153[[#Headers],[Herramientas_hidráulicas]],
    COUNTIF(EPP_2367111154[SPCC], B349) &gt; 0, EPP_2367111154[[#Headers],[SPCC]],
   COUNTIF(Herramientas_de_izaje2468112155[Herramientas_de_izaje], B349) &gt; 0, Herramientas_de_izaje2468112155[[#Headers],[Herramientas_de_izaje]],
COUNTIF(Tabla162670114157[Equipos], B349) &gt; 0, Tabla162670114157[[#Headers],[Equipos]],
    TRUE, "Sin clasificación"
)</f>
        <v>Sin clasificación</v>
      </c>
      <c r="I349" s="15"/>
      <c r="J349" s="47"/>
      <c r="K349" s="76"/>
      <c r="L349" s="76"/>
      <c r="M349" s="78" t="str">
        <f>_xlfn.LET(
    _xlpm.itemBuscado, B349,
    _xlpm.areaBuscada, C349,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TEXT(COUNTIF($C$2:C349, _xlpm.areaBuscada), "0000"),
    _xlpm.codItem &amp; "-" &amp; _xlpm.codArea &amp; "-" &amp; _xlpm.secuencia
)</f>
        <v>-SinArea-0000</v>
      </c>
      <c r="N349" s="77"/>
      <c r="O349" s="32"/>
      <c r="P349" s="32"/>
      <c r="Q349" s="32"/>
      <c r="R349" s="32"/>
    </row>
    <row r="350" spans="3:18" x14ac:dyDescent="0.3">
      <c r="C350" s="11"/>
      <c r="D350" s="32"/>
      <c r="E350" s="11" t="str" cm="1">
        <f t="array" ref="E350">_xlfn.IFS(
    COUNTIF(Herramientas_eléctricas1862106149[Herramientas_eléctricas], B350) &gt; 0, Herramientas_eléctricas1862106149[[#Headers],[Herramientas_eléctricas]],
    COUNTIF(Herramientas_neumáticas1963107150[Herramientas_neumáticas], B350) &gt; 0, Herramientas_neumáticas1963107150[[#Headers],[Herramientas_neumáticas]],
    COUNTIF(Herramientas_de_medición2064108151[Herramientas_de_medición], B350) &gt; 0, Herramientas_de_medición2064108151[[#Headers],[Herramientas_de_medición]],
    COUNTIF(Herrramientas_mecánicas2165109152[Herramientas_mecánicas], B350) &gt; 0, Herrramientas_mecánicas2165109152[[#Headers],[Herramientas_mecánicas]],
    COUNTIF(AH350:AH356, B350) &gt; 0, Herramientas_hidráulicas2266110153[[#Headers],[Herramientas_hidráulicas]],
    COUNTIF(EPP_2367111154[SPCC], B350) &gt; 0, EPP_2367111154[[#Headers],[SPCC]],
   COUNTIF(Herramientas_de_izaje2468112155[Herramientas_de_izaje], B350) &gt; 0, Herramientas_de_izaje2468112155[[#Headers],[Herramientas_de_izaje]],
COUNTIF(Tabla162670114157[Equipos], B350) &gt; 0, Tabla162670114157[[#Headers],[Equipos]],
    TRUE, "Sin clasificación"
)</f>
        <v>Sin clasificación</v>
      </c>
      <c r="I350" s="15"/>
      <c r="J350" s="47"/>
      <c r="K350" s="76"/>
      <c r="L350" s="76"/>
      <c r="M350" s="78" t="str">
        <f>_xlfn.LET(
    _xlpm.itemBuscado, B350,
    _xlpm.areaBuscada, C350,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TEXT(COUNTIF($C$2:C350, _xlpm.areaBuscada), "0000"),
    _xlpm.codItem &amp; "-" &amp; _xlpm.codArea &amp; "-" &amp; _xlpm.secuencia
)</f>
        <v>-SinArea-0000</v>
      </c>
      <c r="N350" s="77"/>
      <c r="O350" s="32"/>
      <c r="P350" s="32"/>
      <c r="Q350" s="32"/>
      <c r="R350" s="32"/>
    </row>
    <row r="351" spans="3:18" x14ac:dyDescent="0.3">
      <c r="C351" s="11"/>
      <c r="D351" s="32"/>
      <c r="E351" s="11" t="str" cm="1">
        <f t="array" ref="E351">_xlfn.IFS(
    COUNTIF(Herramientas_eléctricas1862106149[Herramientas_eléctricas], B351) &gt; 0, Herramientas_eléctricas1862106149[[#Headers],[Herramientas_eléctricas]],
    COUNTIF(Herramientas_neumáticas1963107150[Herramientas_neumáticas], B351) &gt; 0, Herramientas_neumáticas1963107150[[#Headers],[Herramientas_neumáticas]],
    COUNTIF(Herramientas_de_medición2064108151[Herramientas_de_medición], B351) &gt; 0, Herramientas_de_medición2064108151[[#Headers],[Herramientas_de_medición]],
    COUNTIF(Herrramientas_mecánicas2165109152[Herramientas_mecánicas], B351) &gt; 0, Herrramientas_mecánicas2165109152[[#Headers],[Herramientas_mecánicas]],
    COUNTIF(AH351:AH357, B351) &gt; 0, Herramientas_hidráulicas2266110153[[#Headers],[Herramientas_hidráulicas]],
    COUNTIF(EPP_2367111154[SPCC], B351) &gt; 0, EPP_2367111154[[#Headers],[SPCC]],
   COUNTIF(Herramientas_de_izaje2468112155[Herramientas_de_izaje], B351) &gt; 0, Herramientas_de_izaje2468112155[[#Headers],[Herramientas_de_izaje]],
COUNTIF(Tabla162670114157[Equipos], B351) &gt; 0, Tabla162670114157[[#Headers],[Equipos]],
    TRUE, "Sin clasificación"
)</f>
        <v>Sin clasificación</v>
      </c>
      <c r="I351" s="15"/>
      <c r="J351" s="47"/>
      <c r="K351" s="76"/>
      <c r="L351" s="76"/>
      <c r="M351" s="78" t="str">
        <f>_xlfn.LET(
    _xlpm.itemBuscado, B351,
    _xlpm.areaBuscada, C351,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TEXT(COUNTIF($C$2:C351, _xlpm.areaBuscada), "0000"),
    _xlpm.codItem &amp; "-" &amp; _xlpm.codArea &amp; "-" &amp; _xlpm.secuencia
)</f>
        <v>-SinArea-0000</v>
      </c>
      <c r="N351" s="77"/>
      <c r="O351" s="32"/>
      <c r="P351" s="32"/>
      <c r="Q351" s="32"/>
      <c r="R351" s="32"/>
    </row>
    <row r="352" spans="3:18" x14ac:dyDescent="0.3">
      <c r="C352" s="11"/>
      <c r="D352" s="32"/>
      <c r="E352" s="11" t="str" cm="1">
        <f t="array" ref="E352">_xlfn.IFS(
    COUNTIF(Herramientas_eléctricas1862106149[Herramientas_eléctricas], B352) &gt; 0, Herramientas_eléctricas1862106149[[#Headers],[Herramientas_eléctricas]],
    COUNTIF(Herramientas_neumáticas1963107150[Herramientas_neumáticas], B352) &gt; 0, Herramientas_neumáticas1963107150[[#Headers],[Herramientas_neumáticas]],
    COUNTIF(Herramientas_de_medición2064108151[Herramientas_de_medición], B352) &gt; 0, Herramientas_de_medición2064108151[[#Headers],[Herramientas_de_medición]],
    COUNTIF(Herrramientas_mecánicas2165109152[Herramientas_mecánicas], B352) &gt; 0, Herrramientas_mecánicas2165109152[[#Headers],[Herramientas_mecánicas]],
    COUNTIF(AH352:AH358, B352) &gt; 0, Herramientas_hidráulicas2266110153[[#Headers],[Herramientas_hidráulicas]],
    COUNTIF(EPP_2367111154[SPCC], B352) &gt; 0, EPP_2367111154[[#Headers],[SPCC]],
   COUNTIF(Herramientas_de_izaje2468112155[Herramientas_de_izaje], B352) &gt; 0, Herramientas_de_izaje2468112155[[#Headers],[Herramientas_de_izaje]],
COUNTIF(Tabla162670114157[Equipos], B352) &gt; 0, Tabla162670114157[[#Headers],[Equipos]],
    TRUE, "Sin clasificación"
)</f>
        <v>Sin clasificación</v>
      </c>
      <c r="I352" s="15"/>
      <c r="J352" s="47"/>
      <c r="K352" s="76"/>
      <c r="L352" s="76"/>
      <c r="M352" s="78" t="str">
        <f>_xlfn.LET(
    _xlpm.itemBuscado, B352,
    _xlpm.areaBuscada, C352,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TEXT(COUNTIF($C$2:C352, _xlpm.areaBuscada), "0000"),
    _xlpm.codItem &amp; "-" &amp; _xlpm.codArea &amp; "-" &amp; _xlpm.secuencia
)</f>
        <v>-SinArea-0000</v>
      </c>
      <c r="N352" s="77"/>
      <c r="O352" s="32"/>
      <c r="P352" s="32"/>
      <c r="Q352" s="32"/>
      <c r="R352" s="32"/>
    </row>
    <row r="353" spans="3:18" x14ac:dyDescent="0.3">
      <c r="C353" s="11"/>
      <c r="D353" s="32"/>
      <c r="E353" s="11" t="str" cm="1">
        <f t="array" ref="E353">_xlfn.IFS(
    COUNTIF(Herramientas_eléctricas1862106149[Herramientas_eléctricas], B353) &gt; 0, Herramientas_eléctricas1862106149[[#Headers],[Herramientas_eléctricas]],
    COUNTIF(Herramientas_neumáticas1963107150[Herramientas_neumáticas], B353) &gt; 0, Herramientas_neumáticas1963107150[[#Headers],[Herramientas_neumáticas]],
    COUNTIF(Herramientas_de_medición2064108151[Herramientas_de_medición], B353) &gt; 0, Herramientas_de_medición2064108151[[#Headers],[Herramientas_de_medición]],
    COUNTIF(Herrramientas_mecánicas2165109152[Herramientas_mecánicas], B353) &gt; 0, Herrramientas_mecánicas2165109152[[#Headers],[Herramientas_mecánicas]],
    COUNTIF(AH353:AH359, B353) &gt; 0, Herramientas_hidráulicas2266110153[[#Headers],[Herramientas_hidráulicas]],
    COUNTIF(EPP_2367111154[SPCC], B353) &gt; 0, EPP_2367111154[[#Headers],[SPCC]],
   COUNTIF(Herramientas_de_izaje2468112155[Herramientas_de_izaje], B353) &gt; 0, Herramientas_de_izaje2468112155[[#Headers],[Herramientas_de_izaje]],
COUNTIF(Tabla162670114157[Equipos], B353) &gt; 0, Tabla162670114157[[#Headers],[Equipos]],
    TRUE, "Sin clasificación"
)</f>
        <v>Sin clasificación</v>
      </c>
      <c r="I353" s="15"/>
      <c r="J353" s="47"/>
      <c r="K353" s="76"/>
      <c r="L353" s="76"/>
      <c r="M353" s="78" t="str">
        <f>_xlfn.LET(
    _xlpm.itemBuscado, B353,
    _xlpm.areaBuscada, C353,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TEXT(COUNTIF($C$2:C353, _xlpm.areaBuscada), "0000"),
    _xlpm.codItem &amp; "-" &amp; _xlpm.codArea &amp; "-" &amp; _xlpm.secuencia
)</f>
        <v>-SinArea-0000</v>
      </c>
      <c r="N353" s="77"/>
      <c r="O353" s="32"/>
      <c r="P353" s="32"/>
      <c r="Q353" s="32"/>
      <c r="R353" s="32"/>
    </row>
    <row r="354" spans="3:18" x14ac:dyDescent="0.3">
      <c r="C354" s="11"/>
      <c r="D354" s="32"/>
      <c r="E354" s="11" t="str" cm="1">
        <f t="array" ref="E354">_xlfn.IFS(
    COUNTIF(Herramientas_eléctricas1862106149[Herramientas_eléctricas], B354) &gt; 0, Herramientas_eléctricas1862106149[[#Headers],[Herramientas_eléctricas]],
    COUNTIF(Herramientas_neumáticas1963107150[Herramientas_neumáticas], B354) &gt; 0, Herramientas_neumáticas1963107150[[#Headers],[Herramientas_neumáticas]],
    COUNTIF(Herramientas_de_medición2064108151[Herramientas_de_medición], B354) &gt; 0, Herramientas_de_medición2064108151[[#Headers],[Herramientas_de_medición]],
    COUNTIF(Herrramientas_mecánicas2165109152[Herramientas_mecánicas], B354) &gt; 0, Herrramientas_mecánicas2165109152[[#Headers],[Herramientas_mecánicas]],
    COUNTIF(AH354:AH360, B354) &gt; 0, Herramientas_hidráulicas2266110153[[#Headers],[Herramientas_hidráulicas]],
    COUNTIF(EPP_2367111154[SPCC], B354) &gt; 0, EPP_2367111154[[#Headers],[SPCC]],
   COUNTIF(Herramientas_de_izaje2468112155[Herramientas_de_izaje], B354) &gt; 0, Herramientas_de_izaje2468112155[[#Headers],[Herramientas_de_izaje]],
COUNTIF(Tabla162670114157[Equipos], B354) &gt; 0, Tabla162670114157[[#Headers],[Equipos]],
    TRUE, "Sin clasificación"
)</f>
        <v>Sin clasificación</v>
      </c>
      <c r="I354" s="15"/>
      <c r="J354" s="47"/>
      <c r="K354" s="76"/>
      <c r="L354" s="76"/>
      <c r="M354" s="78" t="str">
        <f>_xlfn.LET(
    _xlpm.itemBuscado, B354,
    _xlpm.areaBuscada, C354,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TEXT(COUNTIF($C$2:C354, _xlpm.areaBuscada), "0000"),
    _xlpm.codItem &amp; "-" &amp; _xlpm.codArea &amp; "-" &amp; _xlpm.secuencia
)</f>
        <v>-SinArea-0000</v>
      </c>
      <c r="N354" s="77"/>
      <c r="O354" s="32"/>
      <c r="P354" s="32"/>
      <c r="Q354" s="32"/>
      <c r="R354" s="32"/>
    </row>
    <row r="355" spans="3:18" x14ac:dyDescent="0.3">
      <c r="C355" s="11"/>
      <c r="D355" s="32"/>
      <c r="E355" s="11" t="str" cm="1">
        <f t="array" ref="E355">_xlfn.IFS(
    COUNTIF(Herramientas_eléctricas1862106149[Herramientas_eléctricas], B355) &gt; 0, Herramientas_eléctricas1862106149[[#Headers],[Herramientas_eléctricas]],
    COUNTIF(Herramientas_neumáticas1963107150[Herramientas_neumáticas], B355) &gt; 0, Herramientas_neumáticas1963107150[[#Headers],[Herramientas_neumáticas]],
    COUNTIF(Herramientas_de_medición2064108151[Herramientas_de_medición], B355) &gt; 0, Herramientas_de_medición2064108151[[#Headers],[Herramientas_de_medición]],
    COUNTIF(Herrramientas_mecánicas2165109152[Herramientas_mecánicas], B355) &gt; 0, Herrramientas_mecánicas2165109152[[#Headers],[Herramientas_mecánicas]],
    COUNTIF(AH355:AH361, B355) &gt; 0, Herramientas_hidráulicas2266110153[[#Headers],[Herramientas_hidráulicas]],
    COUNTIF(EPP_2367111154[SPCC], B355) &gt; 0, EPP_2367111154[[#Headers],[SPCC]],
   COUNTIF(Herramientas_de_izaje2468112155[Herramientas_de_izaje], B355) &gt; 0, Herramientas_de_izaje2468112155[[#Headers],[Herramientas_de_izaje]],
COUNTIF(Tabla162670114157[Equipos], B355) &gt; 0, Tabla162670114157[[#Headers],[Equipos]],
    TRUE, "Sin clasificación"
)</f>
        <v>Sin clasificación</v>
      </c>
      <c r="I355" s="15"/>
      <c r="J355" s="47"/>
      <c r="K355" s="76"/>
      <c r="L355" s="76"/>
      <c r="M355" s="78" t="str">
        <f>_xlfn.LET(
    _xlpm.itemBuscado, B355,
    _xlpm.areaBuscada, C355,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TEXT(COUNTIF($C$2:C355, _xlpm.areaBuscada), "0000"),
    _xlpm.codItem &amp; "-" &amp; _xlpm.codArea &amp; "-" &amp; _xlpm.secuencia
)</f>
        <v>-SinArea-0000</v>
      </c>
      <c r="N355" s="77"/>
      <c r="O355" s="32"/>
      <c r="P355" s="32"/>
      <c r="Q355" s="32"/>
      <c r="R355" s="32"/>
    </row>
    <row r="356" spans="3:18" x14ac:dyDescent="0.3">
      <c r="C356" s="11"/>
      <c r="D356" s="32"/>
      <c r="E356" s="11" t="str" cm="1">
        <f t="array" ref="E356">_xlfn.IFS(
    COUNTIF(Herramientas_eléctricas1862106149[Herramientas_eléctricas], B356) &gt; 0, Herramientas_eléctricas1862106149[[#Headers],[Herramientas_eléctricas]],
    COUNTIF(Herramientas_neumáticas1963107150[Herramientas_neumáticas], B356) &gt; 0, Herramientas_neumáticas1963107150[[#Headers],[Herramientas_neumáticas]],
    COUNTIF(Herramientas_de_medición2064108151[Herramientas_de_medición], B356) &gt; 0, Herramientas_de_medición2064108151[[#Headers],[Herramientas_de_medición]],
    COUNTIF(Herrramientas_mecánicas2165109152[Herramientas_mecánicas], B356) &gt; 0, Herrramientas_mecánicas2165109152[[#Headers],[Herramientas_mecánicas]],
    COUNTIF(AH356:AH362, B356) &gt; 0, Herramientas_hidráulicas2266110153[[#Headers],[Herramientas_hidráulicas]],
    COUNTIF(EPP_2367111154[SPCC], B356) &gt; 0, EPP_2367111154[[#Headers],[SPCC]],
   COUNTIF(Herramientas_de_izaje2468112155[Herramientas_de_izaje], B356) &gt; 0, Herramientas_de_izaje2468112155[[#Headers],[Herramientas_de_izaje]],
COUNTIF(Tabla162670114157[Equipos], B356) &gt; 0, Tabla162670114157[[#Headers],[Equipos]],
    TRUE, "Sin clasificación"
)</f>
        <v>Sin clasificación</v>
      </c>
      <c r="I356" s="15"/>
      <c r="J356" s="47"/>
      <c r="K356" s="76"/>
      <c r="L356" s="76"/>
      <c r="M356" s="78" t="str">
        <f>_xlfn.LET(
    _xlpm.itemBuscado, B356,
    _xlpm.areaBuscada, C356,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TEXT(COUNTIF($C$2:C356, _xlpm.areaBuscada), "0000"),
    _xlpm.codItem &amp; "-" &amp; _xlpm.codArea &amp; "-" &amp; _xlpm.secuencia
)</f>
        <v>-SinArea-0000</v>
      </c>
      <c r="N356" s="77"/>
      <c r="O356" s="32"/>
      <c r="P356" s="32"/>
      <c r="Q356" s="32"/>
      <c r="R356" s="32"/>
    </row>
    <row r="357" spans="3:18" x14ac:dyDescent="0.3">
      <c r="C357" s="11"/>
      <c r="D357" s="32"/>
      <c r="E357" s="11" t="str" cm="1">
        <f t="array" ref="E357">_xlfn.IFS(
    COUNTIF(Herramientas_eléctricas1862106149[Herramientas_eléctricas], B357) &gt; 0, Herramientas_eléctricas1862106149[[#Headers],[Herramientas_eléctricas]],
    COUNTIF(Herramientas_neumáticas1963107150[Herramientas_neumáticas], B357) &gt; 0, Herramientas_neumáticas1963107150[[#Headers],[Herramientas_neumáticas]],
    COUNTIF(Herramientas_de_medición2064108151[Herramientas_de_medición], B357) &gt; 0, Herramientas_de_medición2064108151[[#Headers],[Herramientas_de_medición]],
    COUNTIF(Herrramientas_mecánicas2165109152[Herramientas_mecánicas], B357) &gt; 0, Herrramientas_mecánicas2165109152[[#Headers],[Herramientas_mecánicas]],
    COUNTIF(AH357:AH363, B357) &gt; 0, Herramientas_hidráulicas2266110153[[#Headers],[Herramientas_hidráulicas]],
    COUNTIF(EPP_2367111154[SPCC], B357) &gt; 0, EPP_2367111154[[#Headers],[SPCC]],
   COUNTIF(Herramientas_de_izaje2468112155[Herramientas_de_izaje], B357) &gt; 0, Herramientas_de_izaje2468112155[[#Headers],[Herramientas_de_izaje]],
COUNTIF(Tabla162670114157[Equipos], B357) &gt; 0, Tabla162670114157[[#Headers],[Equipos]],
    TRUE, "Sin clasificación"
)</f>
        <v>Sin clasificación</v>
      </c>
      <c r="I357" s="15"/>
      <c r="J357" s="47"/>
      <c r="K357" s="76"/>
      <c r="L357" s="76"/>
      <c r="M357" s="78" t="str">
        <f>_xlfn.LET(
    _xlpm.itemBuscado, B357,
    _xlpm.areaBuscada, C357,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TEXT(COUNTIF($C$2:C357, _xlpm.areaBuscada), "0000"),
    _xlpm.codItem &amp; "-" &amp; _xlpm.codArea &amp; "-" &amp; _xlpm.secuencia
)</f>
        <v>-SinArea-0000</v>
      </c>
      <c r="N357" s="77"/>
      <c r="O357" s="32"/>
      <c r="P357" s="32"/>
      <c r="Q357" s="32"/>
      <c r="R357" s="32"/>
    </row>
    <row r="358" spans="3:18" x14ac:dyDescent="0.3">
      <c r="C358" s="11"/>
      <c r="D358" s="32"/>
      <c r="E358" s="11" t="str" cm="1">
        <f t="array" ref="E358">_xlfn.IFS(
    COUNTIF(Herramientas_eléctricas1862106149[Herramientas_eléctricas], B358) &gt; 0, Herramientas_eléctricas1862106149[[#Headers],[Herramientas_eléctricas]],
    COUNTIF(Herramientas_neumáticas1963107150[Herramientas_neumáticas], B358) &gt; 0, Herramientas_neumáticas1963107150[[#Headers],[Herramientas_neumáticas]],
    COUNTIF(Herramientas_de_medición2064108151[Herramientas_de_medición], B358) &gt; 0, Herramientas_de_medición2064108151[[#Headers],[Herramientas_de_medición]],
    COUNTIF(Herrramientas_mecánicas2165109152[Herramientas_mecánicas], B358) &gt; 0, Herrramientas_mecánicas2165109152[[#Headers],[Herramientas_mecánicas]],
    COUNTIF(AH358:AH364, B358) &gt; 0, Herramientas_hidráulicas2266110153[[#Headers],[Herramientas_hidráulicas]],
    COUNTIF(EPP_2367111154[SPCC], B358) &gt; 0, EPP_2367111154[[#Headers],[SPCC]],
   COUNTIF(Herramientas_de_izaje2468112155[Herramientas_de_izaje], B358) &gt; 0, Herramientas_de_izaje2468112155[[#Headers],[Herramientas_de_izaje]],
COUNTIF(Tabla162670114157[Equipos], B358) &gt; 0, Tabla162670114157[[#Headers],[Equipos]],
    TRUE, "Sin clasificación"
)</f>
        <v>Sin clasificación</v>
      </c>
      <c r="I358" s="15"/>
      <c r="J358" s="47"/>
      <c r="K358" s="76"/>
      <c r="L358" s="76"/>
      <c r="M358" s="78" t="str">
        <f>_xlfn.LET(
    _xlpm.itemBuscado, B358,
    _xlpm.areaBuscada, C358,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TEXT(COUNTIF($C$2:C358, _xlpm.areaBuscada), "0000"),
    _xlpm.codItem &amp; "-" &amp; _xlpm.codArea &amp; "-" &amp; _xlpm.secuencia
)</f>
        <v>-SinArea-0000</v>
      </c>
      <c r="N358" s="77"/>
      <c r="O358" s="32"/>
      <c r="P358" s="32"/>
      <c r="Q358" s="32"/>
      <c r="R358" s="32"/>
    </row>
    <row r="359" spans="3:18" x14ac:dyDescent="0.3">
      <c r="C359" s="11"/>
      <c r="D359" s="32"/>
      <c r="E359" s="11" t="str" cm="1">
        <f t="array" ref="E359">_xlfn.IFS(
    COUNTIF(Herramientas_eléctricas1862106149[Herramientas_eléctricas], B359) &gt; 0, Herramientas_eléctricas1862106149[[#Headers],[Herramientas_eléctricas]],
    COUNTIF(Herramientas_neumáticas1963107150[Herramientas_neumáticas], B359) &gt; 0, Herramientas_neumáticas1963107150[[#Headers],[Herramientas_neumáticas]],
    COUNTIF(Herramientas_de_medición2064108151[Herramientas_de_medición], B359) &gt; 0, Herramientas_de_medición2064108151[[#Headers],[Herramientas_de_medición]],
    COUNTIF(Herrramientas_mecánicas2165109152[Herramientas_mecánicas], B359) &gt; 0, Herrramientas_mecánicas2165109152[[#Headers],[Herramientas_mecánicas]],
    COUNTIF(AH359:AH365, B359) &gt; 0, Herramientas_hidráulicas2266110153[[#Headers],[Herramientas_hidráulicas]],
    COUNTIF(EPP_2367111154[SPCC], B359) &gt; 0, EPP_2367111154[[#Headers],[SPCC]],
   COUNTIF(Herramientas_de_izaje2468112155[Herramientas_de_izaje], B359) &gt; 0, Herramientas_de_izaje2468112155[[#Headers],[Herramientas_de_izaje]],
COUNTIF(Tabla162670114157[Equipos], B359) &gt; 0, Tabla162670114157[[#Headers],[Equipos]],
    TRUE, "Sin clasificación"
)</f>
        <v>Sin clasificación</v>
      </c>
      <c r="I359" s="15"/>
      <c r="J359" s="47"/>
      <c r="K359" s="76"/>
      <c r="L359" s="76"/>
      <c r="M359" s="78" t="str">
        <f>_xlfn.LET(
    _xlpm.itemBuscado, B359,
    _xlpm.areaBuscada, C359,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TEXT(COUNTIF($C$2:C359, _xlpm.areaBuscada), "0000"),
    _xlpm.codItem &amp; "-" &amp; _xlpm.codArea &amp; "-" &amp; _xlpm.secuencia
)</f>
        <v>-SinArea-0000</v>
      </c>
      <c r="N359" s="77"/>
      <c r="O359" s="32"/>
      <c r="P359" s="32"/>
      <c r="Q359" s="32"/>
      <c r="R359" s="32"/>
    </row>
    <row r="360" spans="3:18" x14ac:dyDescent="0.3">
      <c r="C360" s="11"/>
      <c r="D360" s="32"/>
      <c r="E360" s="11" t="str" cm="1">
        <f t="array" ref="E360">_xlfn.IFS(
    COUNTIF(Herramientas_eléctricas1862106149[Herramientas_eléctricas], B360) &gt; 0, Herramientas_eléctricas1862106149[[#Headers],[Herramientas_eléctricas]],
    COUNTIF(Herramientas_neumáticas1963107150[Herramientas_neumáticas], B360) &gt; 0, Herramientas_neumáticas1963107150[[#Headers],[Herramientas_neumáticas]],
    COUNTIF(Herramientas_de_medición2064108151[Herramientas_de_medición], B360) &gt; 0, Herramientas_de_medición2064108151[[#Headers],[Herramientas_de_medición]],
    COUNTIF(Herrramientas_mecánicas2165109152[Herramientas_mecánicas], B360) &gt; 0, Herrramientas_mecánicas2165109152[[#Headers],[Herramientas_mecánicas]],
    COUNTIF(AH360:AH366, B360) &gt; 0, Herramientas_hidráulicas2266110153[[#Headers],[Herramientas_hidráulicas]],
    COUNTIF(EPP_2367111154[SPCC], B360) &gt; 0, EPP_2367111154[[#Headers],[SPCC]],
   COUNTIF(Herramientas_de_izaje2468112155[Herramientas_de_izaje], B360) &gt; 0, Herramientas_de_izaje2468112155[[#Headers],[Herramientas_de_izaje]],
COUNTIF(Tabla162670114157[Equipos], B360) &gt; 0, Tabla162670114157[[#Headers],[Equipos]],
    TRUE, "Sin clasificación"
)</f>
        <v>Sin clasificación</v>
      </c>
      <c r="I360" s="15"/>
      <c r="J360" s="47"/>
      <c r="K360" s="76"/>
      <c r="L360" s="76"/>
      <c r="M360" s="78" t="str">
        <f>_xlfn.LET(
    _xlpm.itemBuscado, B360,
    _xlpm.areaBuscada, C360,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TEXT(COUNTIF($C$2:C360, _xlpm.areaBuscada), "0000"),
    _xlpm.codItem &amp; "-" &amp; _xlpm.codArea &amp; "-" &amp; _xlpm.secuencia
)</f>
        <v>-SinArea-0000</v>
      </c>
      <c r="N360" s="77"/>
      <c r="O360" s="32"/>
      <c r="P360" s="32"/>
      <c r="Q360" s="32"/>
      <c r="R360" s="32"/>
    </row>
    <row r="361" spans="3:18" x14ac:dyDescent="0.3">
      <c r="C361" s="11"/>
      <c r="D361" s="32"/>
      <c r="E361" s="11" t="str" cm="1">
        <f t="array" ref="E361">_xlfn.IFS(
    COUNTIF(Herramientas_eléctricas1862106149[Herramientas_eléctricas], B361) &gt; 0, Herramientas_eléctricas1862106149[[#Headers],[Herramientas_eléctricas]],
    COUNTIF(Herramientas_neumáticas1963107150[Herramientas_neumáticas], B361) &gt; 0, Herramientas_neumáticas1963107150[[#Headers],[Herramientas_neumáticas]],
    COUNTIF(Herramientas_de_medición2064108151[Herramientas_de_medición], B361) &gt; 0, Herramientas_de_medición2064108151[[#Headers],[Herramientas_de_medición]],
    COUNTIF(Herrramientas_mecánicas2165109152[Herramientas_mecánicas], B361) &gt; 0, Herrramientas_mecánicas2165109152[[#Headers],[Herramientas_mecánicas]],
    COUNTIF(AH361:AH367, B361) &gt; 0, Herramientas_hidráulicas2266110153[[#Headers],[Herramientas_hidráulicas]],
    COUNTIF(EPP_2367111154[SPCC], B361) &gt; 0, EPP_2367111154[[#Headers],[SPCC]],
   COUNTIF(Herramientas_de_izaje2468112155[Herramientas_de_izaje], B361) &gt; 0, Herramientas_de_izaje2468112155[[#Headers],[Herramientas_de_izaje]],
COUNTIF(Tabla162670114157[Equipos], B361) &gt; 0, Tabla162670114157[[#Headers],[Equipos]],
    TRUE, "Sin clasificación"
)</f>
        <v>Sin clasificación</v>
      </c>
      <c r="I361" s="15"/>
      <c r="J361" s="47"/>
      <c r="K361" s="76"/>
      <c r="L361" s="76"/>
      <c r="M361" s="78" t="str">
        <f>_xlfn.LET(
    _xlpm.itemBuscado, B361,
    _xlpm.areaBuscada, C361,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TEXT(COUNTIF($C$2:C361, _xlpm.areaBuscada), "0000"),
    _xlpm.codItem &amp; "-" &amp; _xlpm.codArea &amp; "-" &amp; _xlpm.secuencia
)</f>
        <v>-SinArea-0000</v>
      </c>
      <c r="N361" s="77"/>
      <c r="O361" s="32"/>
      <c r="P361" s="32"/>
      <c r="Q361" s="32"/>
      <c r="R361" s="32"/>
    </row>
    <row r="362" spans="3:18" x14ac:dyDescent="0.3">
      <c r="C362" s="11"/>
      <c r="D362" s="32"/>
      <c r="E362" s="11" t="str" cm="1">
        <f t="array" ref="E362">_xlfn.IFS(
    COUNTIF(Herramientas_eléctricas1862106149[Herramientas_eléctricas], B362) &gt; 0, Herramientas_eléctricas1862106149[[#Headers],[Herramientas_eléctricas]],
    COUNTIF(Herramientas_neumáticas1963107150[Herramientas_neumáticas], B362) &gt; 0, Herramientas_neumáticas1963107150[[#Headers],[Herramientas_neumáticas]],
    COUNTIF(Herramientas_de_medición2064108151[Herramientas_de_medición], B362) &gt; 0, Herramientas_de_medición2064108151[[#Headers],[Herramientas_de_medición]],
    COUNTIF(Herrramientas_mecánicas2165109152[Herramientas_mecánicas], B362) &gt; 0, Herrramientas_mecánicas2165109152[[#Headers],[Herramientas_mecánicas]],
    COUNTIF(AH362:AH368, B362) &gt; 0, Herramientas_hidráulicas2266110153[[#Headers],[Herramientas_hidráulicas]],
    COUNTIF(EPP_2367111154[SPCC], B362) &gt; 0, EPP_2367111154[[#Headers],[SPCC]],
   COUNTIF(Herramientas_de_izaje2468112155[Herramientas_de_izaje], B362) &gt; 0, Herramientas_de_izaje2468112155[[#Headers],[Herramientas_de_izaje]],
COUNTIF(Tabla162670114157[Equipos], B362) &gt; 0, Tabla162670114157[[#Headers],[Equipos]],
    TRUE, "Sin clasificación"
)</f>
        <v>Sin clasificación</v>
      </c>
      <c r="I362" s="15"/>
      <c r="J362" s="47"/>
      <c r="K362" s="76"/>
      <c r="L362" s="76"/>
      <c r="M362" s="78" t="str">
        <f>_xlfn.LET(
    _xlpm.itemBuscado, B362,
    _xlpm.areaBuscada, C362,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TEXT(COUNTIF($C$2:C362, _xlpm.areaBuscada), "0000"),
    _xlpm.codItem &amp; "-" &amp; _xlpm.codArea &amp; "-" &amp; _xlpm.secuencia
)</f>
        <v>-SinArea-0000</v>
      </c>
      <c r="N362" s="77"/>
      <c r="O362" s="32"/>
      <c r="P362" s="32"/>
      <c r="Q362" s="32"/>
      <c r="R362" s="32"/>
    </row>
    <row r="363" spans="3:18" x14ac:dyDescent="0.3">
      <c r="C363" s="11"/>
      <c r="D363" s="32"/>
      <c r="E363" s="11" t="str" cm="1">
        <f t="array" ref="E363">_xlfn.IFS(
    COUNTIF(Herramientas_eléctricas1862106149[Herramientas_eléctricas], B363) &gt; 0, Herramientas_eléctricas1862106149[[#Headers],[Herramientas_eléctricas]],
    COUNTIF(Herramientas_neumáticas1963107150[Herramientas_neumáticas], B363) &gt; 0, Herramientas_neumáticas1963107150[[#Headers],[Herramientas_neumáticas]],
    COUNTIF(Herramientas_de_medición2064108151[Herramientas_de_medición], B363) &gt; 0, Herramientas_de_medición2064108151[[#Headers],[Herramientas_de_medición]],
    COUNTIF(Herrramientas_mecánicas2165109152[Herramientas_mecánicas], B363) &gt; 0, Herrramientas_mecánicas2165109152[[#Headers],[Herramientas_mecánicas]],
    COUNTIF(AH363:AH369, B363) &gt; 0, Herramientas_hidráulicas2266110153[[#Headers],[Herramientas_hidráulicas]],
    COUNTIF(EPP_2367111154[SPCC], B363) &gt; 0, EPP_2367111154[[#Headers],[SPCC]],
   COUNTIF(Herramientas_de_izaje2468112155[Herramientas_de_izaje], B363) &gt; 0, Herramientas_de_izaje2468112155[[#Headers],[Herramientas_de_izaje]],
COUNTIF(Tabla162670114157[Equipos], B363) &gt; 0, Tabla162670114157[[#Headers],[Equipos]],
    TRUE, "Sin clasificación"
)</f>
        <v>Sin clasificación</v>
      </c>
      <c r="I363" s="15"/>
      <c r="J363" s="47"/>
      <c r="K363" s="76"/>
      <c r="L363" s="76"/>
      <c r="M363" s="78" t="str">
        <f>_xlfn.LET(
    _xlpm.itemBuscado, B363,
    _xlpm.areaBuscada, C363,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TEXT(COUNTIF($C$2:C363, _xlpm.areaBuscada), "0000"),
    _xlpm.codItem &amp; "-" &amp; _xlpm.codArea &amp; "-" &amp; _xlpm.secuencia
)</f>
        <v>-SinArea-0000</v>
      </c>
      <c r="N363" s="77"/>
      <c r="O363" s="32"/>
      <c r="P363" s="32"/>
      <c r="Q363" s="32"/>
      <c r="R363" s="32"/>
    </row>
    <row r="364" spans="3:18" x14ac:dyDescent="0.3">
      <c r="C364" s="11"/>
      <c r="D364" s="32"/>
      <c r="E364" s="11" t="str" cm="1">
        <f t="array" ref="E364">_xlfn.IFS(
    COUNTIF(Herramientas_eléctricas1862106149[Herramientas_eléctricas], B364) &gt; 0, Herramientas_eléctricas1862106149[[#Headers],[Herramientas_eléctricas]],
    COUNTIF(Herramientas_neumáticas1963107150[Herramientas_neumáticas], B364) &gt; 0, Herramientas_neumáticas1963107150[[#Headers],[Herramientas_neumáticas]],
    COUNTIF(Herramientas_de_medición2064108151[Herramientas_de_medición], B364) &gt; 0, Herramientas_de_medición2064108151[[#Headers],[Herramientas_de_medición]],
    COUNTIF(Herrramientas_mecánicas2165109152[Herramientas_mecánicas], B364) &gt; 0, Herrramientas_mecánicas2165109152[[#Headers],[Herramientas_mecánicas]],
    COUNTIF(AH364:AH370, B364) &gt; 0, Herramientas_hidráulicas2266110153[[#Headers],[Herramientas_hidráulicas]],
    COUNTIF(EPP_2367111154[SPCC], B364) &gt; 0, EPP_2367111154[[#Headers],[SPCC]],
   COUNTIF(Herramientas_de_izaje2468112155[Herramientas_de_izaje], B364) &gt; 0, Herramientas_de_izaje2468112155[[#Headers],[Herramientas_de_izaje]],
COUNTIF(Tabla162670114157[Equipos], B364) &gt; 0, Tabla162670114157[[#Headers],[Equipos]],
    TRUE, "Sin clasificación"
)</f>
        <v>Sin clasificación</v>
      </c>
      <c r="I364" s="15"/>
      <c r="J364" s="47"/>
      <c r="K364" s="76"/>
      <c r="L364" s="76"/>
      <c r="M364" s="78" t="str">
        <f>_xlfn.LET(
    _xlpm.itemBuscado, B364,
    _xlpm.areaBuscada, C364,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TEXT(COUNTIF($C$2:C364, _xlpm.areaBuscada), "0000"),
    _xlpm.codItem &amp; "-" &amp; _xlpm.codArea &amp; "-" &amp; _xlpm.secuencia
)</f>
        <v>-SinArea-0000</v>
      </c>
      <c r="N364" s="77"/>
      <c r="O364" s="32"/>
      <c r="P364" s="32"/>
      <c r="Q364" s="32"/>
      <c r="R364" s="32"/>
    </row>
    <row r="365" spans="3:18" x14ac:dyDescent="0.3">
      <c r="C365" s="11"/>
      <c r="D365" s="32"/>
      <c r="E365" s="11" t="str" cm="1">
        <f t="array" ref="E365">_xlfn.IFS(
    COUNTIF(Herramientas_eléctricas1862106149[Herramientas_eléctricas], B365) &gt; 0, Herramientas_eléctricas1862106149[[#Headers],[Herramientas_eléctricas]],
    COUNTIF(Herramientas_neumáticas1963107150[Herramientas_neumáticas], B365) &gt; 0, Herramientas_neumáticas1963107150[[#Headers],[Herramientas_neumáticas]],
    COUNTIF(Herramientas_de_medición2064108151[Herramientas_de_medición], B365) &gt; 0, Herramientas_de_medición2064108151[[#Headers],[Herramientas_de_medición]],
    COUNTIF(Herrramientas_mecánicas2165109152[Herramientas_mecánicas], B365) &gt; 0, Herrramientas_mecánicas2165109152[[#Headers],[Herramientas_mecánicas]],
    COUNTIF(AH365:AH371, B365) &gt; 0, Herramientas_hidráulicas2266110153[[#Headers],[Herramientas_hidráulicas]],
    COUNTIF(EPP_2367111154[SPCC], B365) &gt; 0, EPP_2367111154[[#Headers],[SPCC]],
   COUNTIF(Herramientas_de_izaje2468112155[Herramientas_de_izaje], B365) &gt; 0, Herramientas_de_izaje2468112155[[#Headers],[Herramientas_de_izaje]],
COUNTIF(Tabla162670114157[Equipos], B365) &gt; 0, Tabla162670114157[[#Headers],[Equipos]],
    TRUE, "Sin clasificación"
)</f>
        <v>Sin clasificación</v>
      </c>
      <c r="I365" s="15"/>
      <c r="J365" s="47"/>
      <c r="K365" s="76"/>
      <c r="L365" s="76"/>
      <c r="M365" s="78" t="str">
        <f>_xlfn.LET(
    _xlpm.itemBuscado, B365,
    _xlpm.areaBuscada, C365,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TEXT(COUNTIF($C$2:C365, _xlpm.areaBuscada), "0000"),
    _xlpm.codItem &amp; "-" &amp; _xlpm.codArea &amp; "-" &amp; _xlpm.secuencia
)</f>
        <v>-SinArea-0000</v>
      </c>
      <c r="N365" s="77"/>
      <c r="O365" s="32"/>
      <c r="P365" s="32"/>
      <c r="Q365" s="32"/>
      <c r="R365" s="32"/>
    </row>
    <row r="366" spans="3:18" x14ac:dyDescent="0.3">
      <c r="C366" s="11"/>
      <c r="D366" s="32"/>
      <c r="E366" s="11" t="str" cm="1">
        <f t="array" ref="E366">_xlfn.IFS(
    COUNTIF(Herramientas_eléctricas1862106149[Herramientas_eléctricas], B366) &gt; 0, Herramientas_eléctricas1862106149[[#Headers],[Herramientas_eléctricas]],
    COUNTIF(Herramientas_neumáticas1963107150[Herramientas_neumáticas], B366) &gt; 0, Herramientas_neumáticas1963107150[[#Headers],[Herramientas_neumáticas]],
    COUNTIF(Herramientas_de_medición2064108151[Herramientas_de_medición], B366) &gt; 0, Herramientas_de_medición2064108151[[#Headers],[Herramientas_de_medición]],
    COUNTIF(Herrramientas_mecánicas2165109152[Herramientas_mecánicas], B366) &gt; 0, Herrramientas_mecánicas2165109152[[#Headers],[Herramientas_mecánicas]],
    COUNTIF(AH366:AH372, B366) &gt; 0, Herramientas_hidráulicas2266110153[[#Headers],[Herramientas_hidráulicas]],
    COUNTIF(EPP_2367111154[SPCC], B366) &gt; 0, EPP_2367111154[[#Headers],[SPCC]],
   COUNTIF(Herramientas_de_izaje2468112155[Herramientas_de_izaje], B366) &gt; 0, Herramientas_de_izaje2468112155[[#Headers],[Herramientas_de_izaje]],
COUNTIF(Tabla162670114157[Equipos], B366) &gt; 0, Tabla162670114157[[#Headers],[Equipos]],
    TRUE, "Sin clasificación"
)</f>
        <v>Sin clasificación</v>
      </c>
      <c r="I366" s="15"/>
      <c r="J366" s="47"/>
      <c r="K366" s="76"/>
      <c r="L366" s="76"/>
      <c r="M366" s="78" t="str">
        <f>_xlfn.LET(
    _xlpm.itemBuscado, B366,
    _xlpm.areaBuscada, C366,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TEXT(COUNTIF($C$2:C366, _xlpm.areaBuscada), "0000"),
    _xlpm.codItem &amp; "-" &amp; _xlpm.codArea &amp; "-" &amp; _xlpm.secuencia
)</f>
        <v>-SinArea-0000</v>
      </c>
      <c r="N366" s="77"/>
      <c r="O366" s="32"/>
      <c r="P366" s="32"/>
      <c r="Q366" s="32"/>
      <c r="R366" s="32"/>
    </row>
    <row r="367" spans="3:18" x14ac:dyDescent="0.3">
      <c r="C367" s="11"/>
      <c r="D367" s="32"/>
      <c r="E367" s="11" t="str" cm="1">
        <f t="array" ref="E367">_xlfn.IFS(
    COUNTIF(Herramientas_eléctricas1862106149[Herramientas_eléctricas], B367) &gt; 0, Herramientas_eléctricas1862106149[[#Headers],[Herramientas_eléctricas]],
    COUNTIF(Herramientas_neumáticas1963107150[Herramientas_neumáticas], B367) &gt; 0, Herramientas_neumáticas1963107150[[#Headers],[Herramientas_neumáticas]],
    COUNTIF(Herramientas_de_medición2064108151[Herramientas_de_medición], B367) &gt; 0, Herramientas_de_medición2064108151[[#Headers],[Herramientas_de_medición]],
    COUNTIF(Herrramientas_mecánicas2165109152[Herramientas_mecánicas], B367) &gt; 0, Herrramientas_mecánicas2165109152[[#Headers],[Herramientas_mecánicas]],
    COUNTIF(AH367:AH373, B367) &gt; 0, Herramientas_hidráulicas2266110153[[#Headers],[Herramientas_hidráulicas]],
    COUNTIF(EPP_2367111154[SPCC], B367) &gt; 0, EPP_2367111154[[#Headers],[SPCC]],
   COUNTIF(Herramientas_de_izaje2468112155[Herramientas_de_izaje], B367) &gt; 0, Herramientas_de_izaje2468112155[[#Headers],[Herramientas_de_izaje]],
COUNTIF(Tabla162670114157[Equipos], B367) &gt; 0, Tabla162670114157[[#Headers],[Equipos]],
    TRUE, "Sin clasificación"
)</f>
        <v>Sin clasificación</v>
      </c>
      <c r="I367" s="15"/>
      <c r="J367" s="47"/>
      <c r="K367" s="76"/>
      <c r="L367" s="76"/>
      <c r="M367" s="78" t="str">
        <f>_xlfn.LET(
    _xlpm.itemBuscado, B367,
    _xlpm.areaBuscada, C367,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TEXT(COUNTIF($C$2:C367, _xlpm.areaBuscada), "0000"),
    _xlpm.codItem &amp; "-" &amp; _xlpm.codArea &amp; "-" &amp; _xlpm.secuencia
)</f>
        <v>-SinArea-0000</v>
      </c>
      <c r="N367" s="77"/>
      <c r="O367" s="32"/>
      <c r="P367" s="32"/>
      <c r="Q367" s="32"/>
      <c r="R367" s="32"/>
    </row>
    <row r="368" spans="3:18" x14ac:dyDescent="0.3">
      <c r="C368" s="11"/>
      <c r="D368" s="32"/>
      <c r="E368" s="11" t="str" cm="1">
        <f t="array" ref="E368">_xlfn.IFS(
    COUNTIF(Herramientas_eléctricas1862106149[Herramientas_eléctricas], B368) &gt; 0, Herramientas_eléctricas1862106149[[#Headers],[Herramientas_eléctricas]],
    COUNTIF(Herramientas_neumáticas1963107150[Herramientas_neumáticas], B368) &gt; 0, Herramientas_neumáticas1963107150[[#Headers],[Herramientas_neumáticas]],
    COUNTIF(Herramientas_de_medición2064108151[Herramientas_de_medición], B368) &gt; 0, Herramientas_de_medición2064108151[[#Headers],[Herramientas_de_medición]],
    COUNTIF(Herrramientas_mecánicas2165109152[Herramientas_mecánicas], B368) &gt; 0, Herrramientas_mecánicas2165109152[[#Headers],[Herramientas_mecánicas]],
    COUNTIF(AH368:AH374, B368) &gt; 0, Herramientas_hidráulicas2266110153[[#Headers],[Herramientas_hidráulicas]],
    COUNTIF(EPP_2367111154[SPCC], B368) &gt; 0, EPP_2367111154[[#Headers],[SPCC]],
   COUNTIF(Herramientas_de_izaje2468112155[Herramientas_de_izaje], B368) &gt; 0, Herramientas_de_izaje2468112155[[#Headers],[Herramientas_de_izaje]],
COUNTIF(Tabla162670114157[Equipos], B368) &gt; 0, Tabla162670114157[[#Headers],[Equipos]],
    TRUE, "Sin clasificación"
)</f>
        <v>Sin clasificación</v>
      </c>
      <c r="I368" s="15"/>
      <c r="J368" s="47"/>
      <c r="K368" s="76"/>
      <c r="L368" s="76"/>
      <c r="M368" s="78" t="str">
        <f>_xlfn.LET(
    _xlpm.itemBuscado, B368,
    _xlpm.areaBuscada, C368,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TEXT(COUNTIF($C$2:C368, _xlpm.areaBuscada), "0000"),
    _xlpm.codItem &amp; "-" &amp; _xlpm.codArea &amp; "-" &amp; _xlpm.secuencia
)</f>
        <v>-SinArea-0000</v>
      </c>
      <c r="N368" s="77"/>
      <c r="O368" s="32"/>
      <c r="P368" s="32"/>
      <c r="Q368" s="32"/>
      <c r="R368" s="32"/>
    </row>
    <row r="369" spans="3:18" x14ac:dyDescent="0.3">
      <c r="C369" s="11"/>
      <c r="D369" s="32"/>
      <c r="E369" s="11" t="str" cm="1">
        <f t="array" ref="E369">_xlfn.IFS(
    COUNTIF(Herramientas_eléctricas1862106149[Herramientas_eléctricas], B369) &gt; 0, Herramientas_eléctricas1862106149[[#Headers],[Herramientas_eléctricas]],
    COUNTIF(Herramientas_neumáticas1963107150[Herramientas_neumáticas], B369) &gt; 0, Herramientas_neumáticas1963107150[[#Headers],[Herramientas_neumáticas]],
    COUNTIF(Herramientas_de_medición2064108151[Herramientas_de_medición], B369) &gt; 0, Herramientas_de_medición2064108151[[#Headers],[Herramientas_de_medición]],
    COUNTIF(Herrramientas_mecánicas2165109152[Herramientas_mecánicas], B369) &gt; 0, Herrramientas_mecánicas2165109152[[#Headers],[Herramientas_mecánicas]],
    COUNTIF(AH369:AH375, B369) &gt; 0, Herramientas_hidráulicas2266110153[[#Headers],[Herramientas_hidráulicas]],
    COUNTIF(EPP_2367111154[SPCC], B369) &gt; 0, EPP_2367111154[[#Headers],[SPCC]],
   COUNTIF(Herramientas_de_izaje2468112155[Herramientas_de_izaje], B369) &gt; 0, Herramientas_de_izaje2468112155[[#Headers],[Herramientas_de_izaje]],
COUNTIF(Tabla162670114157[Equipos], B369) &gt; 0, Tabla162670114157[[#Headers],[Equipos]],
    TRUE, "Sin clasificación"
)</f>
        <v>Sin clasificación</v>
      </c>
      <c r="I369" s="15"/>
      <c r="J369" s="47"/>
      <c r="K369" s="76"/>
      <c r="L369" s="76"/>
      <c r="M369" s="78" t="str">
        <f>_xlfn.LET(
    _xlpm.itemBuscado, B369,
    _xlpm.areaBuscada, C369,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TEXT(COUNTIF($C$2:C369, _xlpm.areaBuscada), "0000"),
    _xlpm.codItem &amp; "-" &amp; _xlpm.codArea &amp; "-" &amp; _xlpm.secuencia
)</f>
        <v>-SinArea-0000</v>
      </c>
      <c r="N369" s="77"/>
      <c r="O369" s="32"/>
      <c r="P369" s="32"/>
      <c r="Q369" s="32"/>
      <c r="R369" s="32"/>
    </row>
    <row r="370" spans="3:18" x14ac:dyDescent="0.3">
      <c r="C370" s="11"/>
      <c r="D370" s="32"/>
      <c r="E370" s="11" t="str" cm="1">
        <f t="array" ref="E370">_xlfn.IFS(
    COUNTIF(Herramientas_eléctricas1862106149[Herramientas_eléctricas], B370) &gt; 0, Herramientas_eléctricas1862106149[[#Headers],[Herramientas_eléctricas]],
    COUNTIF(Herramientas_neumáticas1963107150[Herramientas_neumáticas], B370) &gt; 0, Herramientas_neumáticas1963107150[[#Headers],[Herramientas_neumáticas]],
    COUNTIF(Herramientas_de_medición2064108151[Herramientas_de_medición], B370) &gt; 0, Herramientas_de_medición2064108151[[#Headers],[Herramientas_de_medición]],
    COUNTIF(Herrramientas_mecánicas2165109152[Herramientas_mecánicas], B370) &gt; 0, Herrramientas_mecánicas2165109152[[#Headers],[Herramientas_mecánicas]],
    COUNTIF(AH370:AH376, B370) &gt; 0, Herramientas_hidráulicas2266110153[[#Headers],[Herramientas_hidráulicas]],
    COUNTIF(EPP_2367111154[SPCC], B370) &gt; 0, EPP_2367111154[[#Headers],[SPCC]],
   COUNTIF(Herramientas_de_izaje2468112155[Herramientas_de_izaje], B370) &gt; 0, Herramientas_de_izaje2468112155[[#Headers],[Herramientas_de_izaje]],
COUNTIF(Tabla162670114157[Equipos], B370) &gt; 0, Tabla162670114157[[#Headers],[Equipos]],
    TRUE, "Sin clasificación"
)</f>
        <v>Sin clasificación</v>
      </c>
      <c r="I370" s="15"/>
      <c r="J370" s="47"/>
      <c r="K370" s="76"/>
      <c r="L370" s="76"/>
      <c r="M370" s="78" t="str">
        <f>_xlfn.LET(
    _xlpm.itemBuscado, B370,
    _xlpm.areaBuscada, C370,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TEXT(COUNTIF($C$2:C370, _xlpm.areaBuscada), "0000"),
    _xlpm.codItem &amp; "-" &amp; _xlpm.codArea &amp; "-" &amp; _xlpm.secuencia
)</f>
        <v>-SinArea-0000</v>
      </c>
      <c r="N370" s="77"/>
      <c r="O370" s="32"/>
      <c r="P370" s="32"/>
      <c r="Q370" s="32"/>
      <c r="R370" s="32"/>
    </row>
    <row r="371" spans="3:18" x14ac:dyDescent="0.3">
      <c r="C371" s="11"/>
      <c r="D371" s="32"/>
      <c r="E371" s="11" t="str" cm="1">
        <f t="array" ref="E371">_xlfn.IFS(
    COUNTIF(Herramientas_eléctricas1862106149[Herramientas_eléctricas], B371) &gt; 0, Herramientas_eléctricas1862106149[[#Headers],[Herramientas_eléctricas]],
    COUNTIF(Herramientas_neumáticas1963107150[Herramientas_neumáticas], B371) &gt; 0, Herramientas_neumáticas1963107150[[#Headers],[Herramientas_neumáticas]],
    COUNTIF(Herramientas_de_medición2064108151[Herramientas_de_medición], B371) &gt; 0, Herramientas_de_medición2064108151[[#Headers],[Herramientas_de_medición]],
    COUNTIF(Herrramientas_mecánicas2165109152[Herramientas_mecánicas], B371) &gt; 0, Herrramientas_mecánicas2165109152[[#Headers],[Herramientas_mecánicas]],
    COUNTIF(AH371:AH377, B371) &gt; 0, Herramientas_hidráulicas2266110153[[#Headers],[Herramientas_hidráulicas]],
    COUNTIF(EPP_2367111154[SPCC], B371) &gt; 0, EPP_2367111154[[#Headers],[SPCC]],
   COUNTIF(Herramientas_de_izaje2468112155[Herramientas_de_izaje], B371) &gt; 0, Herramientas_de_izaje2468112155[[#Headers],[Herramientas_de_izaje]],
COUNTIF(Tabla162670114157[Equipos], B371) &gt; 0, Tabla162670114157[[#Headers],[Equipos]],
    TRUE, "Sin clasificación"
)</f>
        <v>Sin clasificación</v>
      </c>
      <c r="I371" s="15"/>
      <c r="J371" s="47"/>
      <c r="K371" s="76"/>
      <c r="L371" s="76"/>
      <c r="M371" s="78" t="str">
        <f>_xlfn.LET(
    _xlpm.itemBuscado, B371,
    _xlpm.areaBuscada, C371,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TEXT(COUNTIF($C$2:C371, _xlpm.areaBuscada), "0000"),
    _xlpm.codItem &amp; "-" &amp; _xlpm.codArea &amp; "-" &amp; _xlpm.secuencia
)</f>
        <v>-SinArea-0000</v>
      </c>
      <c r="N371" s="77"/>
      <c r="O371" s="32"/>
      <c r="P371" s="32"/>
      <c r="Q371" s="32"/>
      <c r="R371" s="32"/>
    </row>
    <row r="372" spans="3:18" x14ac:dyDescent="0.3">
      <c r="C372" s="11"/>
      <c r="D372" s="32"/>
      <c r="E372" s="11" t="str" cm="1">
        <f t="array" ref="E372">_xlfn.IFS(
    COUNTIF(Herramientas_eléctricas1862106149[Herramientas_eléctricas], B372) &gt; 0, Herramientas_eléctricas1862106149[[#Headers],[Herramientas_eléctricas]],
    COUNTIF(Herramientas_neumáticas1963107150[Herramientas_neumáticas], B372) &gt; 0, Herramientas_neumáticas1963107150[[#Headers],[Herramientas_neumáticas]],
    COUNTIF(Herramientas_de_medición2064108151[Herramientas_de_medición], B372) &gt; 0, Herramientas_de_medición2064108151[[#Headers],[Herramientas_de_medición]],
    COUNTIF(Herrramientas_mecánicas2165109152[Herramientas_mecánicas], B372) &gt; 0, Herrramientas_mecánicas2165109152[[#Headers],[Herramientas_mecánicas]],
    COUNTIF(AH372:AH378, B372) &gt; 0, Herramientas_hidráulicas2266110153[[#Headers],[Herramientas_hidráulicas]],
    COUNTIF(EPP_2367111154[SPCC], B372) &gt; 0, EPP_2367111154[[#Headers],[SPCC]],
   COUNTIF(Herramientas_de_izaje2468112155[Herramientas_de_izaje], B372) &gt; 0, Herramientas_de_izaje2468112155[[#Headers],[Herramientas_de_izaje]],
COUNTIF(Tabla162670114157[Equipos], B372) &gt; 0, Tabla162670114157[[#Headers],[Equipos]],
    TRUE, "Sin clasificación"
)</f>
        <v>Sin clasificación</v>
      </c>
      <c r="I372" s="15"/>
      <c r="J372" s="47"/>
      <c r="K372" s="76"/>
      <c r="L372" s="76"/>
      <c r="M372" s="78" t="str">
        <f>_xlfn.LET(
    _xlpm.itemBuscado, B372,
    _xlpm.areaBuscada, C372,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TEXT(COUNTIF($C$2:C372, _xlpm.areaBuscada), "0000"),
    _xlpm.codItem &amp; "-" &amp; _xlpm.codArea &amp; "-" &amp; _xlpm.secuencia
)</f>
        <v>-SinArea-0000</v>
      </c>
      <c r="N372" s="77"/>
      <c r="O372" s="32"/>
      <c r="P372" s="32"/>
      <c r="Q372" s="32"/>
      <c r="R372" s="32"/>
    </row>
    <row r="373" spans="3:18" x14ac:dyDescent="0.3">
      <c r="C373" s="11"/>
      <c r="D373" s="32"/>
      <c r="E373" s="11" t="str" cm="1">
        <f t="array" ref="E373">_xlfn.IFS(
    COUNTIF(Herramientas_eléctricas1862106149[Herramientas_eléctricas], B373) &gt; 0, Herramientas_eléctricas1862106149[[#Headers],[Herramientas_eléctricas]],
    COUNTIF(Herramientas_neumáticas1963107150[Herramientas_neumáticas], B373) &gt; 0, Herramientas_neumáticas1963107150[[#Headers],[Herramientas_neumáticas]],
    COUNTIF(Herramientas_de_medición2064108151[Herramientas_de_medición], B373) &gt; 0, Herramientas_de_medición2064108151[[#Headers],[Herramientas_de_medición]],
    COUNTIF(Herrramientas_mecánicas2165109152[Herramientas_mecánicas], B373) &gt; 0, Herrramientas_mecánicas2165109152[[#Headers],[Herramientas_mecánicas]],
    COUNTIF(AH373:AH379, B373) &gt; 0, Herramientas_hidráulicas2266110153[[#Headers],[Herramientas_hidráulicas]],
    COUNTIF(EPP_2367111154[SPCC], B373) &gt; 0, EPP_2367111154[[#Headers],[SPCC]],
   COUNTIF(Herramientas_de_izaje2468112155[Herramientas_de_izaje], B373) &gt; 0, Herramientas_de_izaje2468112155[[#Headers],[Herramientas_de_izaje]],
COUNTIF(Tabla162670114157[Equipos], B373) &gt; 0, Tabla162670114157[[#Headers],[Equipos]],
    TRUE, "Sin clasificación"
)</f>
        <v>Sin clasificación</v>
      </c>
      <c r="I373" s="15"/>
      <c r="J373" s="47"/>
      <c r="K373" s="76"/>
      <c r="L373" s="76"/>
      <c r="M373" s="78" t="str">
        <f>_xlfn.LET(
    _xlpm.itemBuscado, B373,
    _xlpm.areaBuscada, C373,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TEXT(COUNTIF($C$2:C373, _xlpm.areaBuscada), "0000"),
    _xlpm.codItem &amp; "-" &amp; _xlpm.codArea &amp; "-" &amp; _xlpm.secuencia
)</f>
        <v>-SinArea-0000</v>
      </c>
      <c r="N373" s="77"/>
      <c r="O373" s="32"/>
      <c r="P373" s="32"/>
      <c r="Q373" s="32"/>
      <c r="R373" s="32"/>
    </row>
    <row r="374" spans="3:18" x14ac:dyDescent="0.3">
      <c r="C374" s="11"/>
      <c r="D374" s="32"/>
      <c r="E374" s="11" t="str" cm="1">
        <f t="array" ref="E374">_xlfn.IFS(
    COUNTIF(Herramientas_eléctricas1862106149[Herramientas_eléctricas], B374) &gt; 0, Herramientas_eléctricas1862106149[[#Headers],[Herramientas_eléctricas]],
    COUNTIF(Herramientas_neumáticas1963107150[Herramientas_neumáticas], B374) &gt; 0, Herramientas_neumáticas1963107150[[#Headers],[Herramientas_neumáticas]],
    COUNTIF(Herramientas_de_medición2064108151[Herramientas_de_medición], B374) &gt; 0, Herramientas_de_medición2064108151[[#Headers],[Herramientas_de_medición]],
    COUNTIF(Herrramientas_mecánicas2165109152[Herramientas_mecánicas], B374) &gt; 0, Herrramientas_mecánicas2165109152[[#Headers],[Herramientas_mecánicas]],
    COUNTIF(AH374:AH380, B374) &gt; 0, Herramientas_hidráulicas2266110153[[#Headers],[Herramientas_hidráulicas]],
    COUNTIF(EPP_2367111154[SPCC], B374) &gt; 0, EPP_2367111154[[#Headers],[SPCC]],
   COUNTIF(Herramientas_de_izaje2468112155[Herramientas_de_izaje], B374) &gt; 0, Herramientas_de_izaje2468112155[[#Headers],[Herramientas_de_izaje]],
COUNTIF(Tabla162670114157[Equipos], B374) &gt; 0, Tabla162670114157[[#Headers],[Equipos]],
    TRUE, "Sin clasificación"
)</f>
        <v>Sin clasificación</v>
      </c>
      <c r="I374" s="15"/>
      <c r="J374" s="47"/>
      <c r="K374" s="76"/>
      <c r="L374" s="76"/>
      <c r="M374" s="78" t="str">
        <f>_xlfn.LET(
    _xlpm.itemBuscado, B374,
    _xlpm.areaBuscada, C374,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TEXT(COUNTIF($C$2:C374, _xlpm.areaBuscada), "0000"),
    _xlpm.codItem &amp; "-" &amp; _xlpm.codArea &amp; "-" &amp; _xlpm.secuencia
)</f>
        <v>-SinArea-0000</v>
      </c>
      <c r="N374" s="77"/>
      <c r="O374" s="32"/>
      <c r="P374" s="32"/>
      <c r="Q374" s="32"/>
      <c r="R374" s="32"/>
    </row>
    <row r="375" spans="3:18" x14ac:dyDescent="0.3">
      <c r="C375" s="11"/>
      <c r="D375" s="32"/>
      <c r="E375" s="11" t="str" cm="1">
        <f t="array" ref="E375">_xlfn.IFS(
    COUNTIF(Herramientas_eléctricas1862106149[Herramientas_eléctricas], B375) &gt; 0, Herramientas_eléctricas1862106149[[#Headers],[Herramientas_eléctricas]],
    COUNTIF(Herramientas_neumáticas1963107150[Herramientas_neumáticas], B375) &gt; 0, Herramientas_neumáticas1963107150[[#Headers],[Herramientas_neumáticas]],
    COUNTIF(Herramientas_de_medición2064108151[Herramientas_de_medición], B375) &gt; 0, Herramientas_de_medición2064108151[[#Headers],[Herramientas_de_medición]],
    COUNTIF(Herrramientas_mecánicas2165109152[Herramientas_mecánicas], B375) &gt; 0, Herrramientas_mecánicas2165109152[[#Headers],[Herramientas_mecánicas]],
    COUNTIF(AH375:AH381, B375) &gt; 0, Herramientas_hidráulicas2266110153[[#Headers],[Herramientas_hidráulicas]],
    COUNTIF(EPP_2367111154[SPCC], B375) &gt; 0, EPP_2367111154[[#Headers],[SPCC]],
   COUNTIF(Herramientas_de_izaje2468112155[Herramientas_de_izaje], B375) &gt; 0, Herramientas_de_izaje2468112155[[#Headers],[Herramientas_de_izaje]],
COUNTIF(Tabla162670114157[Equipos], B375) &gt; 0, Tabla162670114157[[#Headers],[Equipos]],
    TRUE, "Sin clasificación"
)</f>
        <v>Sin clasificación</v>
      </c>
      <c r="I375" s="15"/>
      <c r="J375" s="47"/>
      <c r="K375" s="76"/>
      <c r="L375" s="76"/>
      <c r="M375" s="78" t="str">
        <f>_xlfn.LET(
    _xlpm.itemBuscado, B375,
    _xlpm.areaBuscada, C375,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TEXT(COUNTIF($C$2:C375, _xlpm.areaBuscada), "0000"),
    _xlpm.codItem &amp; "-" &amp; _xlpm.codArea &amp; "-" &amp; _xlpm.secuencia
)</f>
        <v>-SinArea-0000</v>
      </c>
      <c r="N375" s="77"/>
      <c r="O375" s="32"/>
      <c r="P375" s="32"/>
      <c r="Q375" s="32"/>
      <c r="R375" s="32"/>
    </row>
    <row r="376" spans="3:18" x14ac:dyDescent="0.3">
      <c r="C376" s="11"/>
      <c r="D376" s="32"/>
      <c r="E376" s="11" t="str" cm="1">
        <f t="array" ref="E376">_xlfn.IFS(
    COUNTIF(Herramientas_eléctricas1862106149[Herramientas_eléctricas], B376) &gt; 0, Herramientas_eléctricas1862106149[[#Headers],[Herramientas_eléctricas]],
    COUNTIF(Herramientas_neumáticas1963107150[Herramientas_neumáticas], B376) &gt; 0, Herramientas_neumáticas1963107150[[#Headers],[Herramientas_neumáticas]],
    COUNTIF(Herramientas_de_medición2064108151[Herramientas_de_medición], B376) &gt; 0, Herramientas_de_medición2064108151[[#Headers],[Herramientas_de_medición]],
    COUNTIF(Herrramientas_mecánicas2165109152[Herramientas_mecánicas], B376) &gt; 0, Herrramientas_mecánicas2165109152[[#Headers],[Herramientas_mecánicas]],
    COUNTIF(AH376:AH382, B376) &gt; 0, Herramientas_hidráulicas2266110153[[#Headers],[Herramientas_hidráulicas]],
    COUNTIF(EPP_2367111154[SPCC], B376) &gt; 0, EPP_2367111154[[#Headers],[SPCC]],
   COUNTIF(Herramientas_de_izaje2468112155[Herramientas_de_izaje], B376) &gt; 0, Herramientas_de_izaje2468112155[[#Headers],[Herramientas_de_izaje]],
COUNTIF(Tabla162670114157[Equipos], B376) &gt; 0, Tabla162670114157[[#Headers],[Equipos]],
    TRUE, "Sin clasificación"
)</f>
        <v>Sin clasificación</v>
      </c>
      <c r="I376" s="15"/>
      <c r="J376" s="47"/>
      <c r="K376" s="76"/>
      <c r="L376" s="76"/>
      <c r="M376" s="78" t="str">
        <f>_xlfn.LET(
    _xlpm.itemBuscado, B376,
    _xlpm.areaBuscada, C376,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TEXT(COUNTIF($C$2:C376, _xlpm.areaBuscada), "0000"),
    _xlpm.codItem &amp; "-" &amp; _xlpm.codArea &amp; "-" &amp; _xlpm.secuencia
)</f>
        <v>-SinArea-0000</v>
      </c>
      <c r="N376" s="77"/>
      <c r="O376" s="32"/>
      <c r="P376" s="32"/>
      <c r="Q376" s="32"/>
      <c r="R376" s="32"/>
    </row>
    <row r="377" spans="3:18" x14ac:dyDescent="0.3">
      <c r="C377" s="11"/>
      <c r="D377" s="32"/>
      <c r="E377" s="11" t="str" cm="1">
        <f t="array" ref="E377">_xlfn.IFS(
    COUNTIF(Herramientas_eléctricas1862106149[Herramientas_eléctricas], B377) &gt; 0, Herramientas_eléctricas1862106149[[#Headers],[Herramientas_eléctricas]],
    COUNTIF(Herramientas_neumáticas1963107150[Herramientas_neumáticas], B377) &gt; 0, Herramientas_neumáticas1963107150[[#Headers],[Herramientas_neumáticas]],
    COUNTIF(Herramientas_de_medición2064108151[Herramientas_de_medición], B377) &gt; 0, Herramientas_de_medición2064108151[[#Headers],[Herramientas_de_medición]],
    COUNTIF(Herrramientas_mecánicas2165109152[Herramientas_mecánicas], B377) &gt; 0, Herrramientas_mecánicas2165109152[[#Headers],[Herramientas_mecánicas]],
    COUNTIF(AH377:AH383, B377) &gt; 0, Herramientas_hidráulicas2266110153[[#Headers],[Herramientas_hidráulicas]],
    COUNTIF(EPP_2367111154[SPCC], B377) &gt; 0, EPP_2367111154[[#Headers],[SPCC]],
   COUNTIF(Herramientas_de_izaje2468112155[Herramientas_de_izaje], B377) &gt; 0, Herramientas_de_izaje2468112155[[#Headers],[Herramientas_de_izaje]],
COUNTIF(Tabla162670114157[Equipos], B377) &gt; 0, Tabla162670114157[[#Headers],[Equipos]],
    TRUE, "Sin clasificación"
)</f>
        <v>Sin clasificación</v>
      </c>
      <c r="I377" s="15"/>
      <c r="J377" s="47"/>
      <c r="K377" s="76"/>
      <c r="L377" s="76"/>
      <c r="M377" s="78" t="str">
        <f>_xlfn.LET(
    _xlpm.itemBuscado, B377,
    _xlpm.areaBuscada, C377,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TEXT(COUNTIF($C$2:C377, _xlpm.areaBuscada), "0000"),
    _xlpm.codItem &amp; "-" &amp; _xlpm.codArea &amp; "-" &amp; _xlpm.secuencia
)</f>
        <v>-SinArea-0000</v>
      </c>
      <c r="N377" s="77"/>
      <c r="O377" s="32"/>
      <c r="P377" s="32"/>
      <c r="Q377" s="32"/>
      <c r="R377" s="32"/>
    </row>
    <row r="378" spans="3:18" x14ac:dyDescent="0.3">
      <c r="C378" s="11"/>
      <c r="D378" s="32"/>
      <c r="E378" s="11" t="str" cm="1">
        <f t="array" ref="E378">_xlfn.IFS(
    COUNTIF(Herramientas_eléctricas1862106149[Herramientas_eléctricas], B378) &gt; 0, Herramientas_eléctricas1862106149[[#Headers],[Herramientas_eléctricas]],
    COUNTIF(Herramientas_neumáticas1963107150[Herramientas_neumáticas], B378) &gt; 0, Herramientas_neumáticas1963107150[[#Headers],[Herramientas_neumáticas]],
    COUNTIF(Herramientas_de_medición2064108151[Herramientas_de_medición], B378) &gt; 0, Herramientas_de_medición2064108151[[#Headers],[Herramientas_de_medición]],
    COUNTIF(Herrramientas_mecánicas2165109152[Herramientas_mecánicas], B378) &gt; 0, Herrramientas_mecánicas2165109152[[#Headers],[Herramientas_mecánicas]],
    COUNTIF(AH378:AH384, B378) &gt; 0, Herramientas_hidráulicas2266110153[[#Headers],[Herramientas_hidráulicas]],
    COUNTIF(EPP_2367111154[SPCC], B378) &gt; 0, EPP_2367111154[[#Headers],[SPCC]],
   COUNTIF(Herramientas_de_izaje2468112155[Herramientas_de_izaje], B378) &gt; 0, Herramientas_de_izaje2468112155[[#Headers],[Herramientas_de_izaje]],
COUNTIF(Tabla162670114157[Equipos], B378) &gt; 0, Tabla162670114157[[#Headers],[Equipos]],
    TRUE, "Sin clasificación"
)</f>
        <v>Sin clasificación</v>
      </c>
      <c r="I378" s="15"/>
      <c r="J378" s="47"/>
      <c r="K378" s="76"/>
      <c r="L378" s="76"/>
      <c r="M378" s="78" t="str">
        <f>_xlfn.LET(
    _xlpm.itemBuscado, B378,
    _xlpm.areaBuscada, C378,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TEXT(COUNTIF($C$2:C378, _xlpm.areaBuscada), "0000"),
    _xlpm.codItem &amp; "-" &amp; _xlpm.codArea &amp; "-" &amp; _xlpm.secuencia
)</f>
        <v>-SinArea-0000</v>
      </c>
      <c r="N378" s="77"/>
      <c r="O378" s="32"/>
      <c r="P378" s="32"/>
      <c r="Q378" s="32"/>
      <c r="R378" s="32"/>
    </row>
    <row r="379" spans="3:18" x14ac:dyDescent="0.3">
      <c r="C379" s="11"/>
      <c r="D379" s="32"/>
      <c r="E379" s="11" t="str" cm="1">
        <f t="array" ref="E379">_xlfn.IFS(
    COUNTIF(Herramientas_eléctricas1862106149[Herramientas_eléctricas], B379) &gt; 0, Herramientas_eléctricas1862106149[[#Headers],[Herramientas_eléctricas]],
    COUNTIF(Herramientas_neumáticas1963107150[Herramientas_neumáticas], B379) &gt; 0, Herramientas_neumáticas1963107150[[#Headers],[Herramientas_neumáticas]],
    COUNTIF(Herramientas_de_medición2064108151[Herramientas_de_medición], B379) &gt; 0, Herramientas_de_medición2064108151[[#Headers],[Herramientas_de_medición]],
    COUNTIF(Herrramientas_mecánicas2165109152[Herramientas_mecánicas], B379) &gt; 0, Herrramientas_mecánicas2165109152[[#Headers],[Herramientas_mecánicas]],
    COUNTIF(AH379:AH385, B379) &gt; 0, Herramientas_hidráulicas2266110153[[#Headers],[Herramientas_hidráulicas]],
    COUNTIF(EPP_2367111154[SPCC], B379) &gt; 0, EPP_2367111154[[#Headers],[SPCC]],
   COUNTIF(Herramientas_de_izaje2468112155[Herramientas_de_izaje], B379) &gt; 0, Herramientas_de_izaje2468112155[[#Headers],[Herramientas_de_izaje]],
COUNTIF(Tabla162670114157[Equipos], B379) &gt; 0, Tabla162670114157[[#Headers],[Equipos]],
    TRUE, "Sin clasificación"
)</f>
        <v>Sin clasificación</v>
      </c>
      <c r="I379" s="15"/>
      <c r="J379" s="47"/>
      <c r="K379" s="76"/>
      <c r="L379" s="76"/>
      <c r="M379" s="78" t="str">
        <f>_xlfn.LET(
    _xlpm.itemBuscado, B379,
    _xlpm.areaBuscada, C379,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TEXT(COUNTIF($C$2:C379, _xlpm.areaBuscada), "0000"),
    _xlpm.codItem &amp; "-" &amp; _xlpm.codArea &amp; "-" &amp; _xlpm.secuencia
)</f>
        <v>-SinArea-0000</v>
      </c>
      <c r="N379" s="77"/>
      <c r="O379" s="32"/>
      <c r="P379" s="32"/>
      <c r="Q379" s="32"/>
      <c r="R379" s="32"/>
    </row>
    <row r="380" spans="3:18" x14ac:dyDescent="0.3">
      <c r="C380" s="11"/>
      <c r="D380" s="32"/>
      <c r="E380" s="11" t="str" cm="1">
        <f t="array" ref="E380">_xlfn.IFS(
    COUNTIF(Herramientas_eléctricas1862106149[Herramientas_eléctricas], B380) &gt; 0, Herramientas_eléctricas1862106149[[#Headers],[Herramientas_eléctricas]],
    COUNTIF(Herramientas_neumáticas1963107150[Herramientas_neumáticas], B380) &gt; 0, Herramientas_neumáticas1963107150[[#Headers],[Herramientas_neumáticas]],
    COUNTIF(Herramientas_de_medición2064108151[Herramientas_de_medición], B380) &gt; 0, Herramientas_de_medición2064108151[[#Headers],[Herramientas_de_medición]],
    COUNTIF(Herrramientas_mecánicas2165109152[Herramientas_mecánicas], B380) &gt; 0, Herrramientas_mecánicas2165109152[[#Headers],[Herramientas_mecánicas]],
    COUNTIF(AH380:AH386, B380) &gt; 0, Herramientas_hidráulicas2266110153[[#Headers],[Herramientas_hidráulicas]],
    COUNTIF(EPP_2367111154[SPCC], B380) &gt; 0, EPP_2367111154[[#Headers],[SPCC]],
   COUNTIF(Herramientas_de_izaje2468112155[Herramientas_de_izaje], B380) &gt; 0, Herramientas_de_izaje2468112155[[#Headers],[Herramientas_de_izaje]],
COUNTIF(Tabla162670114157[Equipos], B380) &gt; 0, Tabla162670114157[[#Headers],[Equipos]],
    TRUE, "Sin clasificación"
)</f>
        <v>Sin clasificación</v>
      </c>
      <c r="I380" s="15"/>
      <c r="J380" s="47"/>
      <c r="K380" s="76"/>
      <c r="L380" s="76"/>
      <c r="M380" s="78" t="str">
        <f>_xlfn.LET(
    _xlpm.itemBuscado, B380,
    _xlpm.areaBuscada, C380,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TEXT(COUNTIF($C$2:C380, _xlpm.areaBuscada), "0000"),
    _xlpm.codItem &amp; "-" &amp; _xlpm.codArea &amp; "-" &amp; _xlpm.secuencia
)</f>
        <v>-SinArea-0000</v>
      </c>
      <c r="N380" s="77"/>
      <c r="O380" s="32"/>
      <c r="P380" s="32"/>
      <c r="Q380" s="32"/>
      <c r="R380" s="32"/>
    </row>
    <row r="381" spans="3:18" x14ac:dyDescent="0.3">
      <c r="C381" s="11"/>
      <c r="D381" s="32"/>
      <c r="E381" s="11" t="str" cm="1">
        <f t="array" ref="E381">_xlfn.IFS(
    COUNTIF(Herramientas_eléctricas1862106149[Herramientas_eléctricas], B381) &gt; 0, Herramientas_eléctricas1862106149[[#Headers],[Herramientas_eléctricas]],
    COUNTIF(Herramientas_neumáticas1963107150[Herramientas_neumáticas], B381) &gt; 0, Herramientas_neumáticas1963107150[[#Headers],[Herramientas_neumáticas]],
    COUNTIF(Herramientas_de_medición2064108151[Herramientas_de_medición], B381) &gt; 0, Herramientas_de_medición2064108151[[#Headers],[Herramientas_de_medición]],
    COUNTIF(Herrramientas_mecánicas2165109152[Herramientas_mecánicas], B381) &gt; 0, Herrramientas_mecánicas2165109152[[#Headers],[Herramientas_mecánicas]],
    COUNTIF(AH381:AH387, B381) &gt; 0, Herramientas_hidráulicas2266110153[[#Headers],[Herramientas_hidráulicas]],
    COUNTIF(EPP_2367111154[SPCC], B381) &gt; 0, EPP_2367111154[[#Headers],[SPCC]],
   COUNTIF(Herramientas_de_izaje2468112155[Herramientas_de_izaje], B381) &gt; 0, Herramientas_de_izaje2468112155[[#Headers],[Herramientas_de_izaje]],
COUNTIF(Tabla162670114157[Equipos], B381) &gt; 0, Tabla162670114157[[#Headers],[Equipos]],
    TRUE, "Sin clasificación"
)</f>
        <v>Sin clasificación</v>
      </c>
      <c r="I381" s="15"/>
      <c r="J381" s="47"/>
      <c r="K381" s="76"/>
      <c r="L381" s="76"/>
      <c r="M381" s="78" t="str">
        <f>_xlfn.LET(
    _xlpm.itemBuscado, B381,
    _xlpm.areaBuscada, C381,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TEXT(COUNTIF($C$2:C381, _xlpm.areaBuscada), "0000"),
    _xlpm.codItem &amp; "-" &amp; _xlpm.codArea &amp; "-" &amp; _xlpm.secuencia
)</f>
        <v>-SinArea-0000</v>
      </c>
      <c r="N381" s="77"/>
      <c r="O381" s="32"/>
      <c r="P381" s="32"/>
      <c r="Q381" s="32"/>
      <c r="R381" s="32"/>
    </row>
    <row r="382" spans="3:18" x14ac:dyDescent="0.3">
      <c r="C382" s="11"/>
      <c r="D382" s="32"/>
      <c r="E382" s="11" t="str" cm="1">
        <f t="array" ref="E382">_xlfn.IFS(
    COUNTIF(Herramientas_eléctricas1862106149[Herramientas_eléctricas], B382) &gt; 0, Herramientas_eléctricas1862106149[[#Headers],[Herramientas_eléctricas]],
    COUNTIF(Herramientas_neumáticas1963107150[Herramientas_neumáticas], B382) &gt; 0, Herramientas_neumáticas1963107150[[#Headers],[Herramientas_neumáticas]],
    COUNTIF(Herramientas_de_medición2064108151[Herramientas_de_medición], B382) &gt; 0, Herramientas_de_medición2064108151[[#Headers],[Herramientas_de_medición]],
    COUNTIF(Herrramientas_mecánicas2165109152[Herramientas_mecánicas], B382) &gt; 0, Herrramientas_mecánicas2165109152[[#Headers],[Herramientas_mecánicas]],
    COUNTIF(AH382:AH388, B382) &gt; 0, Herramientas_hidráulicas2266110153[[#Headers],[Herramientas_hidráulicas]],
    COUNTIF(EPP_2367111154[SPCC], B382) &gt; 0, EPP_2367111154[[#Headers],[SPCC]],
   COUNTIF(Herramientas_de_izaje2468112155[Herramientas_de_izaje], B382) &gt; 0, Herramientas_de_izaje2468112155[[#Headers],[Herramientas_de_izaje]],
COUNTIF(Tabla162670114157[Equipos], B382) &gt; 0, Tabla162670114157[[#Headers],[Equipos]],
    TRUE, "Sin clasificación"
)</f>
        <v>Sin clasificación</v>
      </c>
      <c r="I382" s="15"/>
      <c r="J382" s="47"/>
      <c r="K382" s="76"/>
      <c r="L382" s="76"/>
      <c r="M382" s="78" t="str">
        <f>_xlfn.LET(
    _xlpm.itemBuscado, B382,
    _xlpm.areaBuscada, C382,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TEXT(COUNTIF($C$2:C382, _xlpm.areaBuscada), "0000"),
    _xlpm.codItem &amp; "-" &amp; _xlpm.codArea &amp; "-" &amp; _xlpm.secuencia
)</f>
        <v>-SinArea-0000</v>
      </c>
      <c r="N382" s="77"/>
      <c r="O382" s="32"/>
      <c r="P382" s="32"/>
      <c r="Q382" s="32"/>
      <c r="R382" s="32"/>
    </row>
    <row r="383" spans="3:18" x14ac:dyDescent="0.3">
      <c r="C383" s="11"/>
      <c r="D383" s="32"/>
      <c r="E383" s="11" t="str" cm="1">
        <f t="array" ref="E383">_xlfn.IFS(
    COUNTIF(Herramientas_eléctricas1862106149[Herramientas_eléctricas], B383) &gt; 0, Herramientas_eléctricas1862106149[[#Headers],[Herramientas_eléctricas]],
    COUNTIF(Herramientas_neumáticas1963107150[Herramientas_neumáticas], B383) &gt; 0, Herramientas_neumáticas1963107150[[#Headers],[Herramientas_neumáticas]],
    COUNTIF(Herramientas_de_medición2064108151[Herramientas_de_medición], B383) &gt; 0, Herramientas_de_medición2064108151[[#Headers],[Herramientas_de_medición]],
    COUNTIF(Herrramientas_mecánicas2165109152[Herramientas_mecánicas], B383) &gt; 0, Herrramientas_mecánicas2165109152[[#Headers],[Herramientas_mecánicas]],
    COUNTIF(AH383:AH389, B383) &gt; 0, Herramientas_hidráulicas2266110153[[#Headers],[Herramientas_hidráulicas]],
    COUNTIF(EPP_2367111154[SPCC], B383) &gt; 0, EPP_2367111154[[#Headers],[SPCC]],
   COUNTIF(Herramientas_de_izaje2468112155[Herramientas_de_izaje], B383) &gt; 0, Herramientas_de_izaje2468112155[[#Headers],[Herramientas_de_izaje]],
COUNTIF(Tabla162670114157[Equipos], B383) &gt; 0, Tabla162670114157[[#Headers],[Equipos]],
    TRUE, "Sin clasificación"
)</f>
        <v>Sin clasificación</v>
      </c>
      <c r="I383" s="15"/>
      <c r="J383" s="47"/>
      <c r="K383" s="76"/>
      <c r="L383" s="76"/>
      <c r="M383" s="78" t="str">
        <f>_xlfn.LET(
    _xlpm.itemBuscado, B383,
    _xlpm.areaBuscada, C383,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TEXT(COUNTIF($C$2:C383, _xlpm.areaBuscada), "0000"),
    _xlpm.codItem &amp; "-" &amp; _xlpm.codArea &amp; "-" &amp; _xlpm.secuencia
)</f>
        <v>-SinArea-0000</v>
      </c>
      <c r="N383" s="77"/>
      <c r="O383" s="32"/>
      <c r="P383" s="32"/>
      <c r="Q383" s="32"/>
      <c r="R383" s="32"/>
    </row>
    <row r="384" spans="3:18" x14ac:dyDescent="0.3">
      <c r="C384" s="11"/>
      <c r="D384" s="32"/>
      <c r="E384" s="11" t="str" cm="1">
        <f t="array" ref="E384">_xlfn.IFS(
    COUNTIF(Herramientas_eléctricas1862106149[Herramientas_eléctricas], B384) &gt; 0, Herramientas_eléctricas1862106149[[#Headers],[Herramientas_eléctricas]],
    COUNTIF(Herramientas_neumáticas1963107150[Herramientas_neumáticas], B384) &gt; 0, Herramientas_neumáticas1963107150[[#Headers],[Herramientas_neumáticas]],
    COUNTIF(Herramientas_de_medición2064108151[Herramientas_de_medición], B384) &gt; 0, Herramientas_de_medición2064108151[[#Headers],[Herramientas_de_medición]],
    COUNTIF(Herrramientas_mecánicas2165109152[Herramientas_mecánicas], B384) &gt; 0, Herrramientas_mecánicas2165109152[[#Headers],[Herramientas_mecánicas]],
    COUNTIF(AH384:AH390, B384) &gt; 0, Herramientas_hidráulicas2266110153[[#Headers],[Herramientas_hidráulicas]],
    COUNTIF(EPP_2367111154[SPCC], B384) &gt; 0, EPP_2367111154[[#Headers],[SPCC]],
   COUNTIF(Herramientas_de_izaje2468112155[Herramientas_de_izaje], B384) &gt; 0, Herramientas_de_izaje2468112155[[#Headers],[Herramientas_de_izaje]],
COUNTIF(Tabla162670114157[Equipos], B384) &gt; 0, Tabla162670114157[[#Headers],[Equipos]],
    TRUE, "Sin clasificación"
)</f>
        <v>Sin clasificación</v>
      </c>
      <c r="I384" s="15"/>
      <c r="J384" s="47"/>
      <c r="K384" s="76"/>
      <c r="L384" s="76"/>
      <c r="M384" s="78" t="str">
        <f>_xlfn.LET(
    _xlpm.itemBuscado, B384,
    _xlpm.areaBuscada, C384,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TEXT(COUNTIF($C$2:C384, _xlpm.areaBuscada), "0000"),
    _xlpm.codItem &amp; "-" &amp; _xlpm.codArea &amp; "-" &amp; _xlpm.secuencia
)</f>
        <v>-SinArea-0000</v>
      </c>
      <c r="N384" s="77"/>
      <c r="O384" s="32"/>
      <c r="P384" s="32"/>
      <c r="Q384" s="32"/>
      <c r="R384" s="32"/>
    </row>
    <row r="385" spans="3:18" x14ac:dyDescent="0.3">
      <c r="C385" s="11"/>
      <c r="D385" s="32"/>
      <c r="E385" s="11" t="str" cm="1">
        <f t="array" ref="E385">_xlfn.IFS(
    COUNTIF(Herramientas_eléctricas1862106149[Herramientas_eléctricas], B385) &gt; 0, Herramientas_eléctricas1862106149[[#Headers],[Herramientas_eléctricas]],
    COUNTIF(Herramientas_neumáticas1963107150[Herramientas_neumáticas], B385) &gt; 0, Herramientas_neumáticas1963107150[[#Headers],[Herramientas_neumáticas]],
    COUNTIF(Herramientas_de_medición2064108151[Herramientas_de_medición], B385) &gt; 0, Herramientas_de_medición2064108151[[#Headers],[Herramientas_de_medición]],
    COUNTIF(Herrramientas_mecánicas2165109152[Herramientas_mecánicas], B385) &gt; 0, Herrramientas_mecánicas2165109152[[#Headers],[Herramientas_mecánicas]],
    COUNTIF(AH385:AH391, B385) &gt; 0, Herramientas_hidráulicas2266110153[[#Headers],[Herramientas_hidráulicas]],
    COUNTIF(EPP_2367111154[SPCC], B385) &gt; 0, EPP_2367111154[[#Headers],[SPCC]],
   COUNTIF(Herramientas_de_izaje2468112155[Herramientas_de_izaje], B385) &gt; 0, Herramientas_de_izaje2468112155[[#Headers],[Herramientas_de_izaje]],
COUNTIF(Tabla162670114157[Equipos], B385) &gt; 0, Tabla162670114157[[#Headers],[Equipos]],
    TRUE, "Sin clasificación"
)</f>
        <v>Sin clasificación</v>
      </c>
      <c r="I385" s="15"/>
      <c r="J385" s="47"/>
      <c r="K385" s="76"/>
      <c r="L385" s="76"/>
      <c r="M385" s="78" t="str">
        <f>_xlfn.LET(
    _xlpm.itemBuscado, B385,
    _xlpm.areaBuscada, C385,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TEXT(COUNTIF($C$2:C385, _xlpm.areaBuscada), "0000"),
    _xlpm.codItem &amp; "-" &amp; _xlpm.codArea &amp; "-" &amp; _xlpm.secuencia
)</f>
        <v>-SinArea-0000</v>
      </c>
      <c r="N385" s="77"/>
      <c r="O385" s="32"/>
      <c r="P385" s="32"/>
      <c r="Q385" s="32"/>
      <c r="R385" s="32"/>
    </row>
    <row r="386" spans="3:18" x14ac:dyDescent="0.3">
      <c r="C386" s="11"/>
      <c r="D386" s="32"/>
      <c r="E386" s="11" t="str" cm="1">
        <f t="array" ref="E386">_xlfn.IFS(
    COUNTIF(Herramientas_eléctricas1862106149[Herramientas_eléctricas], B386) &gt; 0, Herramientas_eléctricas1862106149[[#Headers],[Herramientas_eléctricas]],
    COUNTIF(Herramientas_neumáticas1963107150[Herramientas_neumáticas], B386) &gt; 0, Herramientas_neumáticas1963107150[[#Headers],[Herramientas_neumáticas]],
    COUNTIF(Herramientas_de_medición2064108151[Herramientas_de_medición], B386) &gt; 0, Herramientas_de_medición2064108151[[#Headers],[Herramientas_de_medición]],
    COUNTIF(Herrramientas_mecánicas2165109152[Herramientas_mecánicas], B386) &gt; 0, Herrramientas_mecánicas2165109152[[#Headers],[Herramientas_mecánicas]],
    COUNTIF(AH386:AH392, B386) &gt; 0, Herramientas_hidráulicas2266110153[[#Headers],[Herramientas_hidráulicas]],
    COUNTIF(EPP_2367111154[SPCC], B386) &gt; 0, EPP_2367111154[[#Headers],[SPCC]],
   COUNTIF(Herramientas_de_izaje2468112155[Herramientas_de_izaje], B386) &gt; 0, Herramientas_de_izaje2468112155[[#Headers],[Herramientas_de_izaje]],
COUNTIF(Tabla162670114157[Equipos], B386) &gt; 0, Tabla162670114157[[#Headers],[Equipos]],
    TRUE, "Sin clasificación"
)</f>
        <v>Sin clasificación</v>
      </c>
      <c r="I386" s="15"/>
      <c r="J386" s="47"/>
      <c r="K386" s="76"/>
      <c r="L386" s="76"/>
      <c r="M386" s="78" t="str">
        <f>_xlfn.LET(
    _xlpm.itemBuscado, B386,
    _xlpm.areaBuscada, C386,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TEXT(COUNTIF($C$2:C386, _xlpm.areaBuscada), "0000"),
    _xlpm.codItem &amp; "-" &amp; _xlpm.codArea &amp; "-" &amp; _xlpm.secuencia
)</f>
        <v>-SinArea-0000</v>
      </c>
      <c r="N386" s="77"/>
      <c r="O386" s="32"/>
      <c r="P386" s="32"/>
      <c r="Q386" s="32"/>
      <c r="R386" s="32"/>
    </row>
    <row r="387" spans="3:18" x14ac:dyDescent="0.3">
      <c r="C387" s="11"/>
      <c r="D387" s="32"/>
      <c r="E387" s="11" t="str" cm="1">
        <f t="array" ref="E387">_xlfn.IFS(
    COUNTIF(Herramientas_eléctricas1862106149[Herramientas_eléctricas], B387) &gt; 0, Herramientas_eléctricas1862106149[[#Headers],[Herramientas_eléctricas]],
    COUNTIF(Herramientas_neumáticas1963107150[Herramientas_neumáticas], B387) &gt; 0, Herramientas_neumáticas1963107150[[#Headers],[Herramientas_neumáticas]],
    COUNTIF(Herramientas_de_medición2064108151[Herramientas_de_medición], B387) &gt; 0, Herramientas_de_medición2064108151[[#Headers],[Herramientas_de_medición]],
    COUNTIF(Herrramientas_mecánicas2165109152[Herramientas_mecánicas], B387) &gt; 0, Herrramientas_mecánicas2165109152[[#Headers],[Herramientas_mecánicas]],
    COUNTIF(AH387:AH393, B387) &gt; 0, Herramientas_hidráulicas2266110153[[#Headers],[Herramientas_hidráulicas]],
    COUNTIF(EPP_2367111154[SPCC], B387) &gt; 0, EPP_2367111154[[#Headers],[SPCC]],
   COUNTIF(Herramientas_de_izaje2468112155[Herramientas_de_izaje], B387) &gt; 0, Herramientas_de_izaje2468112155[[#Headers],[Herramientas_de_izaje]],
COUNTIF(Tabla162670114157[Equipos], B387) &gt; 0, Tabla162670114157[[#Headers],[Equipos]],
    TRUE, "Sin clasificación"
)</f>
        <v>Sin clasificación</v>
      </c>
      <c r="I387" s="15"/>
      <c r="J387" s="47"/>
      <c r="K387" s="76"/>
      <c r="L387" s="76"/>
      <c r="M387" s="78" t="str">
        <f>_xlfn.LET(
    _xlpm.itemBuscado, B387,
    _xlpm.areaBuscada, C387,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TEXT(COUNTIF($C$2:C387, _xlpm.areaBuscada), "0000"),
    _xlpm.codItem &amp; "-" &amp; _xlpm.codArea &amp; "-" &amp; _xlpm.secuencia
)</f>
        <v>-SinArea-0000</v>
      </c>
      <c r="N387" s="77"/>
      <c r="O387" s="32"/>
      <c r="P387" s="32"/>
      <c r="Q387" s="32"/>
      <c r="R387" s="32"/>
    </row>
    <row r="388" spans="3:18" x14ac:dyDescent="0.3">
      <c r="C388" s="11"/>
      <c r="D388" s="32"/>
      <c r="E388" s="11" t="str" cm="1">
        <f t="array" ref="E388">_xlfn.IFS(
    COUNTIF(Herramientas_eléctricas1862106149[Herramientas_eléctricas], B388) &gt; 0, Herramientas_eléctricas1862106149[[#Headers],[Herramientas_eléctricas]],
    COUNTIF(Herramientas_neumáticas1963107150[Herramientas_neumáticas], B388) &gt; 0, Herramientas_neumáticas1963107150[[#Headers],[Herramientas_neumáticas]],
    COUNTIF(Herramientas_de_medición2064108151[Herramientas_de_medición], B388) &gt; 0, Herramientas_de_medición2064108151[[#Headers],[Herramientas_de_medición]],
    COUNTIF(Herrramientas_mecánicas2165109152[Herramientas_mecánicas], B388) &gt; 0, Herrramientas_mecánicas2165109152[[#Headers],[Herramientas_mecánicas]],
    COUNTIF(AH388:AH394, B388) &gt; 0, Herramientas_hidráulicas2266110153[[#Headers],[Herramientas_hidráulicas]],
    COUNTIF(EPP_2367111154[SPCC], B388) &gt; 0, EPP_2367111154[[#Headers],[SPCC]],
   COUNTIF(Herramientas_de_izaje2468112155[Herramientas_de_izaje], B388) &gt; 0, Herramientas_de_izaje2468112155[[#Headers],[Herramientas_de_izaje]],
COUNTIF(Tabla162670114157[Equipos], B388) &gt; 0, Tabla162670114157[[#Headers],[Equipos]],
    TRUE, "Sin clasificación"
)</f>
        <v>Sin clasificación</v>
      </c>
      <c r="I388" s="15"/>
      <c r="J388" s="47"/>
      <c r="K388" s="76"/>
      <c r="L388" s="76"/>
      <c r="M388" s="78" t="str">
        <f>_xlfn.LET(
    _xlpm.itemBuscado, B388,
    _xlpm.areaBuscada, C388,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TEXT(COUNTIF($C$2:C388, _xlpm.areaBuscada), "0000"),
    _xlpm.codItem &amp; "-" &amp; _xlpm.codArea &amp; "-" &amp; _xlpm.secuencia
)</f>
        <v>-SinArea-0000</v>
      </c>
      <c r="N388" s="77"/>
      <c r="O388" s="32"/>
      <c r="P388" s="32"/>
      <c r="Q388" s="32"/>
      <c r="R388" s="32"/>
    </row>
    <row r="389" spans="3:18" x14ac:dyDescent="0.3">
      <c r="C389" s="11"/>
      <c r="D389" s="32"/>
      <c r="E389" s="11" t="str" cm="1">
        <f t="array" ref="E389">_xlfn.IFS(
    COUNTIF(Herramientas_eléctricas1862106149[Herramientas_eléctricas], B389) &gt; 0, Herramientas_eléctricas1862106149[[#Headers],[Herramientas_eléctricas]],
    COUNTIF(Herramientas_neumáticas1963107150[Herramientas_neumáticas], B389) &gt; 0, Herramientas_neumáticas1963107150[[#Headers],[Herramientas_neumáticas]],
    COUNTIF(Herramientas_de_medición2064108151[Herramientas_de_medición], B389) &gt; 0, Herramientas_de_medición2064108151[[#Headers],[Herramientas_de_medición]],
    COUNTIF(Herrramientas_mecánicas2165109152[Herramientas_mecánicas], B389) &gt; 0, Herrramientas_mecánicas2165109152[[#Headers],[Herramientas_mecánicas]],
    COUNTIF(AH389:AH395, B389) &gt; 0, Herramientas_hidráulicas2266110153[[#Headers],[Herramientas_hidráulicas]],
    COUNTIF(EPP_2367111154[SPCC], B389) &gt; 0, EPP_2367111154[[#Headers],[SPCC]],
   COUNTIF(Herramientas_de_izaje2468112155[Herramientas_de_izaje], B389) &gt; 0, Herramientas_de_izaje2468112155[[#Headers],[Herramientas_de_izaje]],
COUNTIF(Tabla162670114157[Equipos], B389) &gt; 0, Tabla162670114157[[#Headers],[Equipos]],
    TRUE, "Sin clasificación"
)</f>
        <v>Sin clasificación</v>
      </c>
      <c r="I389" s="15"/>
      <c r="J389" s="47"/>
      <c r="K389" s="76"/>
      <c r="L389" s="76"/>
      <c r="M389" s="78" t="str">
        <f>_xlfn.LET(
    _xlpm.itemBuscado, B389,
    _xlpm.areaBuscada, C389,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TEXT(COUNTIF($C$2:C389, _xlpm.areaBuscada), "0000"),
    _xlpm.codItem &amp; "-" &amp; _xlpm.codArea &amp; "-" &amp; _xlpm.secuencia
)</f>
        <v>-SinArea-0000</v>
      </c>
      <c r="N389" s="77"/>
      <c r="O389" s="32"/>
      <c r="P389" s="32"/>
      <c r="Q389" s="32"/>
      <c r="R389" s="32"/>
    </row>
    <row r="390" spans="3:18" x14ac:dyDescent="0.3">
      <c r="C390" s="11"/>
      <c r="D390" s="32"/>
      <c r="E390" s="11" t="str" cm="1">
        <f t="array" ref="E390">_xlfn.IFS(
    COUNTIF(Herramientas_eléctricas1862106149[Herramientas_eléctricas], B390) &gt; 0, Herramientas_eléctricas1862106149[[#Headers],[Herramientas_eléctricas]],
    COUNTIF(Herramientas_neumáticas1963107150[Herramientas_neumáticas], B390) &gt; 0, Herramientas_neumáticas1963107150[[#Headers],[Herramientas_neumáticas]],
    COUNTIF(Herramientas_de_medición2064108151[Herramientas_de_medición], B390) &gt; 0, Herramientas_de_medición2064108151[[#Headers],[Herramientas_de_medición]],
    COUNTIF(Herrramientas_mecánicas2165109152[Herramientas_mecánicas], B390) &gt; 0, Herrramientas_mecánicas2165109152[[#Headers],[Herramientas_mecánicas]],
    COUNTIF(AH390:AH396, B390) &gt; 0, Herramientas_hidráulicas2266110153[[#Headers],[Herramientas_hidráulicas]],
    COUNTIF(EPP_2367111154[SPCC], B390) &gt; 0, EPP_2367111154[[#Headers],[SPCC]],
   COUNTIF(Herramientas_de_izaje2468112155[Herramientas_de_izaje], B390) &gt; 0, Herramientas_de_izaje2468112155[[#Headers],[Herramientas_de_izaje]],
COUNTIF(Tabla162670114157[Equipos], B390) &gt; 0, Tabla162670114157[[#Headers],[Equipos]],
    TRUE, "Sin clasificación"
)</f>
        <v>Sin clasificación</v>
      </c>
      <c r="I390" s="15"/>
      <c r="J390" s="47"/>
      <c r="K390" s="76"/>
      <c r="L390" s="76"/>
      <c r="M390" s="78" t="str">
        <f>_xlfn.LET(
    _xlpm.itemBuscado, B390,
    _xlpm.areaBuscada, C390,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TEXT(COUNTIF($C$2:C390, _xlpm.areaBuscada), "0000"),
    _xlpm.codItem &amp; "-" &amp; _xlpm.codArea &amp; "-" &amp; _xlpm.secuencia
)</f>
        <v>-SinArea-0000</v>
      </c>
      <c r="N390" s="77"/>
      <c r="O390" s="32"/>
      <c r="P390" s="32"/>
      <c r="Q390" s="32"/>
      <c r="R390" s="32"/>
    </row>
    <row r="391" spans="3:18" x14ac:dyDescent="0.3">
      <c r="C391" s="11"/>
      <c r="D391" s="32"/>
      <c r="E391" s="11" t="str" cm="1">
        <f t="array" ref="E391">_xlfn.IFS(
    COUNTIF(Herramientas_eléctricas1862106149[Herramientas_eléctricas], B391) &gt; 0, Herramientas_eléctricas1862106149[[#Headers],[Herramientas_eléctricas]],
    COUNTIF(Herramientas_neumáticas1963107150[Herramientas_neumáticas], B391) &gt; 0, Herramientas_neumáticas1963107150[[#Headers],[Herramientas_neumáticas]],
    COUNTIF(Herramientas_de_medición2064108151[Herramientas_de_medición], B391) &gt; 0, Herramientas_de_medición2064108151[[#Headers],[Herramientas_de_medición]],
    COUNTIF(Herrramientas_mecánicas2165109152[Herramientas_mecánicas], B391) &gt; 0, Herrramientas_mecánicas2165109152[[#Headers],[Herramientas_mecánicas]],
    COUNTIF(AH391:AH397, B391) &gt; 0, Herramientas_hidráulicas2266110153[[#Headers],[Herramientas_hidráulicas]],
    COUNTIF(EPP_2367111154[SPCC], B391) &gt; 0, EPP_2367111154[[#Headers],[SPCC]],
   COUNTIF(Herramientas_de_izaje2468112155[Herramientas_de_izaje], B391) &gt; 0, Herramientas_de_izaje2468112155[[#Headers],[Herramientas_de_izaje]],
COUNTIF(Tabla162670114157[Equipos], B391) &gt; 0, Tabla162670114157[[#Headers],[Equipos]],
    TRUE, "Sin clasificación"
)</f>
        <v>Sin clasificación</v>
      </c>
      <c r="I391" s="15"/>
      <c r="J391" s="47"/>
      <c r="K391" s="76"/>
      <c r="L391" s="76"/>
      <c r="M391" s="78" t="str">
        <f>_xlfn.LET(
    _xlpm.itemBuscado, B391,
    _xlpm.areaBuscada, C391,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TEXT(COUNTIF($C$2:C391, _xlpm.areaBuscada), "0000"),
    _xlpm.codItem &amp; "-" &amp; _xlpm.codArea &amp; "-" &amp; _xlpm.secuencia
)</f>
        <v>-SinArea-0000</v>
      </c>
      <c r="N391" s="77"/>
      <c r="O391" s="32"/>
      <c r="P391" s="32"/>
      <c r="Q391" s="32"/>
      <c r="R391" s="32"/>
    </row>
    <row r="392" spans="3:18" x14ac:dyDescent="0.3">
      <c r="C392" s="11"/>
      <c r="D392" s="32"/>
      <c r="E392" s="11" t="str" cm="1">
        <f t="array" ref="E392">_xlfn.IFS(
    COUNTIF(Herramientas_eléctricas1862106149[Herramientas_eléctricas], B392) &gt; 0, Herramientas_eléctricas1862106149[[#Headers],[Herramientas_eléctricas]],
    COUNTIF(Herramientas_neumáticas1963107150[Herramientas_neumáticas], B392) &gt; 0, Herramientas_neumáticas1963107150[[#Headers],[Herramientas_neumáticas]],
    COUNTIF(Herramientas_de_medición2064108151[Herramientas_de_medición], B392) &gt; 0, Herramientas_de_medición2064108151[[#Headers],[Herramientas_de_medición]],
    COUNTIF(Herrramientas_mecánicas2165109152[Herramientas_mecánicas], B392) &gt; 0, Herrramientas_mecánicas2165109152[[#Headers],[Herramientas_mecánicas]],
    COUNTIF(AH392:AH398, B392) &gt; 0, Herramientas_hidráulicas2266110153[[#Headers],[Herramientas_hidráulicas]],
    COUNTIF(EPP_2367111154[SPCC], B392) &gt; 0, EPP_2367111154[[#Headers],[SPCC]],
   COUNTIF(Herramientas_de_izaje2468112155[Herramientas_de_izaje], B392) &gt; 0, Herramientas_de_izaje2468112155[[#Headers],[Herramientas_de_izaje]],
COUNTIF(Tabla162670114157[Equipos], B392) &gt; 0, Tabla162670114157[[#Headers],[Equipos]],
    TRUE, "Sin clasificación"
)</f>
        <v>Sin clasificación</v>
      </c>
      <c r="I392" s="15"/>
      <c r="J392" s="47"/>
      <c r="K392" s="76"/>
      <c r="L392" s="76"/>
      <c r="M392" s="78" t="str">
        <f>_xlfn.LET(
    _xlpm.itemBuscado, B392,
    _xlpm.areaBuscada, C392,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TEXT(COUNTIF($C$2:C392, _xlpm.areaBuscada), "0000"),
    _xlpm.codItem &amp; "-" &amp; _xlpm.codArea &amp; "-" &amp; _xlpm.secuencia
)</f>
        <v>-SinArea-0000</v>
      </c>
      <c r="N392" s="77"/>
      <c r="O392" s="32"/>
      <c r="P392" s="32"/>
      <c r="Q392" s="32"/>
      <c r="R392" s="32"/>
    </row>
    <row r="393" spans="3:18" x14ac:dyDescent="0.3">
      <c r="C393" s="11"/>
      <c r="D393" s="32"/>
      <c r="E393" s="11" t="str" cm="1">
        <f t="array" ref="E393">_xlfn.IFS(
    COUNTIF(Herramientas_eléctricas1862106149[Herramientas_eléctricas], B393) &gt; 0, Herramientas_eléctricas1862106149[[#Headers],[Herramientas_eléctricas]],
    COUNTIF(Herramientas_neumáticas1963107150[Herramientas_neumáticas], B393) &gt; 0, Herramientas_neumáticas1963107150[[#Headers],[Herramientas_neumáticas]],
    COUNTIF(Herramientas_de_medición2064108151[Herramientas_de_medición], B393) &gt; 0, Herramientas_de_medición2064108151[[#Headers],[Herramientas_de_medición]],
    COUNTIF(Herrramientas_mecánicas2165109152[Herramientas_mecánicas], B393) &gt; 0, Herrramientas_mecánicas2165109152[[#Headers],[Herramientas_mecánicas]],
    COUNTIF(AH393:AH399, B393) &gt; 0, Herramientas_hidráulicas2266110153[[#Headers],[Herramientas_hidráulicas]],
    COUNTIF(EPP_2367111154[SPCC], B393) &gt; 0, EPP_2367111154[[#Headers],[SPCC]],
   COUNTIF(Herramientas_de_izaje2468112155[Herramientas_de_izaje], B393) &gt; 0, Herramientas_de_izaje2468112155[[#Headers],[Herramientas_de_izaje]],
COUNTIF(Tabla162670114157[Equipos], B393) &gt; 0, Tabla162670114157[[#Headers],[Equipos]],
    TRUE, "Sin clasificación"
)</f>
        <v>Sin clasificación</v>
      </c>
      <c r="I393" s="15"/>
      <c r="J393" s="47"/>
      <c r="K393" s="76"/>
      <c r="L393" s="76"/>
      <c r="M393" s="78" t="str">
        <f>_xlfn.LET(
    _xlpm.itemBuscado, B393,
    _xlpm.areaBuscada, C393,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TEXT(COUNTIF($C$2:C393, _xlpm.areaBuscada), "0000"),
    _xlpm.codItem &amp; "-" &amp; _xlpm.codArea &amp; "-" &amp; _xlpm.secuencia
)</f>
        <v>-SinArea-0000</v>
      </c>
      <c r="N393" s="77"/>
      <c r="O393" s="32"/>
      <c r="P393" s="32"/>
      <c r="Q393" s="32"/>
      <c r="R393" s="32"/>
    </row>
    <row r="394" spans="3:18" x14ac:dyDescent="0.3">
      <c r="C394" s="11"/>
      <c r="D394" s="32"/>
      <c r="E394" s="11" t="str" cm="1">
        <f t="array" ref="E394">_xlfn.IFS(
    COUNTIF(Herramientas_eléctricas1862106149[Herramientas_eléctricas], B394) &gt; 0, Herramientas_eléctricas1862106149[[#Headers],[Herramientas_eléctricas]],
    COUNTIF(Herramientas_neumáticas1963107150[Herramientas_neumáticas], B394) &gt; 0, Herramientas_neumáticas1963107150[[#Headers],[Herramientas_neumáticas]],
    COUNTIF(Herramientas_de_medición2064108151[Herramientas_de_medición], B394) &gt; 0, Herramientas_de_medición2064108151[[#Headers],[Herramientas_de_medición]],
    COUNTIF(Herrramientas_mecánicas2165109152[Herramientas_mecánicas], B394) &gt; 0, Herrramientas_mecánicas2165109152[[#Headers],[Herramientas_mecánicas]],
    COUNTIF(AH394:AH400, B394) &gt; 0, Herramientas_hidráulicas2266110153[[#Headers],[Herramientas_hidráulicas]],
    COUNTIF(EPP_2367111154[SPCC], B394) &gt; 0, EPP_2367111154[[#Headers],[SPCC]],
   COUNTIF(Herramientas_de_izaje2468112155[Herramientas_de_izaje], B394) &gt; 0, Herramientas_de_izaje2468112155[[#Headers],[Herramientas_de_izaje]],
COUNTIF(Tabla162670114157[Equipos], B394) &gt; 0, Tabla162670114157[[#Headers],[Equipos]],
    TRUE, "Sin clasificación"
)</f>
        <v>Sin clasificación</v>
      </c>
      <c r="I394" s="15"/>
      <c r="J394" s="47"/>
      <c r="K394" s="76"/>
      <c r="L394" s="76"/>
      <c r="M394" s="78" t="str">
        <f>_xlfn.LET(
    _xlpm.itemBuscado, B394,
    _xlpm.areaBuscada, C394,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TEXT(COUNTIF($C$2:C394, _xlpm.areaBuscada), "0000"),
    _xlpm.codItem &amp; "-" &amp; _xlpm.codArea &amp; "-" &amp; _xlpm.secuencia
)</f>
        <v>-SinArea-0000</v>
      </c>
      <c r="N394" s="77"/>
      <c r="O394" s="32"/>
      <c r="P394" s="32"/>
      <c r="Q394" s="32"/>
      <c r="R394" s="32"/>
    </row>
    <row r="395" spans="3:18" x14ac:dyDescent="0.3">
      <c r="C395" s="11"/>
      <c r="D395" s="32"/>
      <c r="E395" s="11" t="str" cm="1">
        <f t="array" ref="E395">_xlfn.IFS(
    COUNTIF(Herramientas_eléctricas1862106149[Herramientas_eléctricas], B395) &gt; 0, Herramientas_eléctricas1862106149[[#Headers],[Herramientas_eléctricas]],
    COUNTIF(Herramientas_neumáticas1963107150[Herramientas_neumáticas], B395) &gt; 0, Herramientas_neumáticas1963107150[[#Headers],[Herramientas_neumáticas]],
    COUNTIF(Herramientas_de_medición2064108151[Herramientas_de_medición], B395) &gt; 0, Herramientas_de_medición2064108151[[#Headers],[Herramientas_de_medición]],
    COUNTIF(Herrramientas_mecánicas2165109152[Herramientas_mecánicas], B395) &gt; 0, Herrramientas_mecánicas2165109152[[#Headers],[Herramientas_mecánicas]],
    COUNTIF(AH395:AH401, B395) &gt; 0, Herramientas_hidráulicas2266110153[[#Headers],[Herramientas_hidráulicas]],
    COUNTIF(EPP_2367111154[SPCC], B395) &gt; 0, EPP_2367111154[[#Headers],[SPCC]],
   COUNTIF(Herramientas_de_izaje2468112155[Herramientas_de_izaje], B395) &gt; 0, Herramientas_de_izaje2468112155[[#Headers],[Herramientas_de_izaje]],
COUNTIF(Tabla162670114157[Equipos], B395) &gt; 0, Tabla162670114157[[#Headers],[Equipos]],
    TRUE, "Sin clasificación"
)</f>
        <v>Sin clasificación</v>
      </c>
      <c r="I395" s="15"/>
      <c r="J395" s="47"/>
      <c r="K395" s="76"/>
      <c r="L395" s="76"/>
      <c r="M395" s="78" t="str">
        <f>_xlfn.LET(
    _xlpm.itemBuscado, B395,
    _xlpm.areaBuscada, C395,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TEXT(COUNTIF($C$2:C395, _xlpm.areaBuscada), "0000"),
    _xlpm.codItem &amp; "-" &amp; _xlpm.codArea &amp; "-" &amp; _xlpm.secuencia
)</f>
        <v>-SinArea-0000</v>
      </c>
      <c r="N395" s="77"/>
      <c r="O395" s="32"/>
      <c r="P395" s="32"/>
      <c r="Q395" s="32"/>
      <c r="R395" s="32"/>
    </row>
    <row r="396" spans="3:18" x14ac:dyDescent="0.3">
      <c r="C396" s="11"/>
      <c r="D396" s="32"/>
      <c r="E396" s="11" t="str" cm="1">
        <f t="array" ref="E396">_xlfn.IFS(
    COUNTIF(Herramientas_eléctricas1862106149[Herramientas_eléctricas], B396) &gt; 0, Herramientas_eléctricas1862106149[[#Headers],[Herramientas_eléctricas]],
    COUNTIF(Herramientas_neumáticas1963107150[Herramientas_neumáticas], B396) &gt; 0, Herramientas_neumáticas1963107150[[#Headers],[Herramientas_neumáticas]],
    COUNTIF(Herramientas_de_medición2064108151[Herramientas_de_medición], B396) &gt; 0, Herramientas_de_medición2064108151[[#Headers],[Herramientas_de_medición]],
    COUNTIF(Herrramientas_mecánicas2165109152[Herramientas_mecánicas], B396) &gt; 0, Herrramientas_mecánicas2165109152[[#Headers],[Herramientas_mecánicas]],
    COUNTIF(AH396:AH402, B396) &gt; 0, Herramientas_hidráulicas2266110153[[#Headers],[Herramientas_hidráulicas]],
    COUNTIF(EPP_2367111154[SPCC], B396) &gt; 0, EPP_2367111154[[#Headers],[SPCC]],
   COUNTIF(Herramientas_de_izaje2468112155[Herramientas_de_izaje], B396) &gt; 0, Herramientas_de_izaje2468112155[[#Headers],[Herramientas_de_izaje]],
COUNTIF(Tabla162670114157[Equipos], B396) &gt; 0, Tabla162670114157[[#Headers],[Equipos]],
    TRUE, "Sin clasificación"
)</f>
        <v>Sin clasificación</v>
      </c>
      <c r="I396" s="15"/>
      <c r="J396" s="47"/>
      <c r="K396" s="76"/>
      <c r="L396" s="76"/>
      <c r="M396" s="78" t="str">
        <f>_xlfn.LET(
    _xlpm.itemBuscado, B396,
    _xlpm.areaBuscada, C396,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TEXT(COUNTIF($C$2:C396, _xlpm.areaBuscada), "0000"),
    _xlpm.codItem &amp; "-" &amp; _xlpm.codArea &amp; "-" &amp; _xlpm.secuencia
)</f>
        <v>-SinArea-0000</v>
      </c>
      <c r="N396" s="77"/>
      <c r="O396" s="32"/>
      <c r="P396" s="32"/>
      <c r="Q396" s="32"/>
      <c r="R396" s="32"/>
    </row>
    <row r="397" spans="3:18" x14ac:dyDescent="0.3">
      <c r="C397" s="11"/>
      <c r="D397" s="32"/>
      <c r="E397" s="11" t="str" cm="1">
        <f t="array" ref="E397">_xlfn.IFS(
    COUNTIF(Herramientas_eléctricas1862106149[Herramientas_eléctricas], B397) &gt; 0, Herramientas_eléctricas1862106149[[#Headers],[Herramientas_eléctricas]],
    COUNTIF(Herramientas_neumáticas1963107150[Herramientas_neumáticas], B397) &gt; 0, Herramientas_neumáticas1963107150[[#Headers],[Herramientas_neumáticas]],
    COUNTIF(Herramientas_de_medición2064108151[Herramientas_de_medición], B397) &gt; 0, Herramientas_de_medición2064108151[[#Headers],[Herramientas_de_medición]],
    COUNTIF(Herrramientas_mecánicas2165109152[Herramientas_mecánicas], B397) &gt; 0, Herrramientas_mecánicas2165109152[[#Headers],[Herramientas_mecánicas]],
    COUNTIF(AH397:AH403, B397) &gt; 0, Herramientas_hidráulicas2266110153[[#Headers],[Herramientas_hidráulicas]],
    COUNTIF(EPP_2367111154[SPCC], B397) &gt; 0, EPP_2367111154[[#Headers],[SPCC]],
   COUNTIF(Herramientas_de_izaje2468112155[Herramientas_de_izaje], B397) &gt; 0, Herramientas_de_izaje2468112155[[#Headers],[Herramientas_de_izaje]],
COUNTIF(Tabla162670114157[Equipos], B397) &gt; 0, Tabla162670114157[[#Headers],[Equipos]],
    TRUE, "Sin clasificación"
)</f>
        <v>Sin clasificación</v>
      </c>
      <c r="I397" s="15"/>
      <c r="J397" s="47"/>
      <c r="K397" s="76"/>
      <c r="L397" s="76"/>
      <c r="M397" s="78" t="str">
        <f>_xlfn.LET(
    _xlpm.itemBuscado, B397,
    _xlpm.areaBuscada, C397,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TEXT(COUNTIF($C$2:C397, _xlpm.areaBuscada), "0000"),
    _xlpm.codItem &amp; "-" &amp; _xlpm.codArea &amp; "-" &amp; _xlpm.secuencia
)</f>
        <v>-SinArea-0000</v>
      </c>
      <c r="N397" s="77"/>
      <c r="O397" s="32"/>
      <c r="P397" s="32"/>
      <c r="Q397" s="32"/>
      <c r="R397" s="32"/>
    </row>
    <row r="398" spans="3:18" x14ac:dyDescent="0.3">
      <c r="C398" s="11"/>
      <c r="D398" s="32"/>
      <c r="E398" s="11" t="str" cm="1">
        <f t="array" ref="E398">_xlfn.IFS(
    COUNTIF(Herramientas_eléctricas1862106149[Herramientas_eléctricas], B398) &gt; 0, Herramientas_eléctricas1862106149[[#Headers],[Herramientas_eléctricas]],
    COUNTIF(Herramientas_neumáticas1963107150[Herramientas_neumáticas], B398) &gt; 0, Herramientas_neumáticas1963107150[[#Headers],[Herramientas_neumáticas]],
    COUNTIF(Herramientas_de_medición2064108151[Herramientas_de_medición], B398) &gt; 0, Herramientas_de_medición2064108151[[#Headers],[Herramientas_de_medición]],
    COUNTIF(Herrramientas_mecánicas2165109152[Herramientas_mecánicas], B398) &gt; 0, Herrramientas_mecánicas2165109152[[#Headers],[Herramientas_mecánicas]],
    COUNTIF(AH398:AH404, B398) &gt; 0, Herramientas_hidráulicas2266110153[[#Headers],[Herramientas_hidráulicas]],
    COUNTIF(EPP_2367111154[SPCC], B398) &gt; 0, EPP_2367111154[[#Headers],[SPCC]],
   COUNTIF(Herramientas_de_izaje2468112155[Herramientas_de_izaje], B398) &gt; 0, Herramientas_de_izaje2468112155[[#Headers],[Herramientas_de_izaje]],
COUNTIF(Tabla162670114157[Equipos], B398) &gt; 0, Tabla162670114157[[#Headers],[Equipos]],
    TRUE, "Sin clasificación"
)</f>
        <v>Sin clasificación</v>
      </c>
      <c r="I398" s="15"/>
      <c r="J398" s="47"/>
      <c r="K398" s="76"/>
      <c r="L398" s="76"/>
      <c r="M398" s="78" t="str">
        <f>_xlfn.LET(
    _xlpm.itemBuscado, B398,
    _xlpm.areaBuscada, C398,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TEXT(COUNTIF($C$2:C398, _xlpm.areaBuscada), "0000"),
    _xlpm.codItem &amp; "-" &amp; _xlpm.codArea &amp; "-" &amp; _xlpm.secuencia
)</f>
        <v>-SinArea-0000</v>
      </c>
      <c r="N398" s="77"/>
      <c r="O398" s="32"/>
      <c r="P398" s="32"/>
      <c r="Q398" s="32"/>
      <c r="R398" s="32"/>
    </row>
    <row r="399" spans="3:18" x14ac:dyDescent="0.3">
      <c r="C399" s="11"/>
      <c r="D399" s="32"/>
      <c r="E399" s="11" t="str" cm="1">
        <f t="array" ref="E399">_xlfn.IFS(
    COUNTIF(Herramientas_eléctricas1862106149[Herramientas_eléctricas], B399) &gt; 0, Herramientas_eléctricas1862106149[[#Headers],[Herramientas_eléctricas]],
    COUNTIF(Herramientas_neumáticas1963107150[Herramientas_neumáticas], B399) &gt; 0, Herramientas_neumáticas1963107150[[#Headers],[Herramientas_neumáticas]],
    COUNTIF(Herramientas_de_medición2064108151[Herramientas_de_medición], B399) &gt; 0, Herramientas_de_medición2064108151[[#Headers],[Herramientas_de_medición]],
    COUNTIF(Herrramientas_mecánicas2165109152[Herramientas_mecánicas], B399) &gt; 0, Herrramientas_mecánicas2165109152[[#Headers],[Herramientas_mecánicas]],
    COUNTIF(AH399:AH405, B399) &gt; 0, Herramientas_hidráulicas2266110153[[#Headers],[Herramientas_hidráulicas]],
    COUNTIF(EPP_2367111154[SPCC], B399) &gt; 0, EPP_2367111154[[#Headers],[SPCC]],
   COUNTIF(Herramientas_de_izaje2468112155[Herramientas_de_izaje], B399) &gt; 0, Herramientas_de_izaje2468112155[[#Headers],[Herramientas_de_izaje]],
COUNTIF(Tabla162670114157[Equipos], B399) &gt; 0, Tabla162670114157[[#Headers],[Equipos]],
    TRUE, "Sin clasificación"
)</f>
        <v>Sin clasificación</v>
      </c>
      <c r="I399" s="15"/>
      <c r="J399" s="47"/>
      <c r="K399" s="76"/>
      <c r="L399" s="76"/>
      <c r="M399" s="78" t="str">
        <f>_xlfn.LET(
    _xlpm.itemBuscado, B399,
    _xlpm.areaBuscada, C399,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TEXT(COUNTIF($C$2:C399, _xlpm.areaBuscada), "0000"),
    _xlpm.codItem &amp; "-" &amp; _xlpm.codArea &amp; "-" &amp; _xlpm.secuencia
)</f>
        <v>-SinArea-0000</v>
      </c>
      <c r="N399" s="77"/>
      <c r="O399" s="32"/>
      <c r="P399" s="32"/>
      <c r="Q399" s="32"/>
      <c r="R399" s="32"/>
    </row>
    <row r="400" spans="3:18" x14ac:dyDescent="0.3">
      <c r="C400" s="11"/>
      <c r="D400" s="32"/>
      <c r="E400" s="11" t="str" cm="1">
        <f t="array" ref="E400">_xlfn.IFS(
    COUNTIF(Herramientas_eléctricas1862106149[Herramientas_eléctricas], B400) &gt; 0, Herramientas_eléctricas1862106149[[#Headers],[Herramientas_eléctricas]],
    COUNTIF(Herramientas_neumáticas1963107150[Herramientas_neumáticas], B400) &gt; 0, Herramientas_neumáticas1963107150[[#Headers],[Herramientas_neumáticas]],
    COUNTIF(Herramientas_de_medición2064108151[Herramientas_de_medición], B400) &gt; 0, Herramientas_de_medición2064108151[[#Headers],[Herramientas_de_medición]],
    COUNTIF(Herrramientas_mecánicas2165109152[Herramientas_mecánicas], B400) &gt; 0, Herrramientas_mecánicas2165109152[[#Headers],[Herramientas_mecánicas]],
    COUNTIF(AH400:AH406, B400) &gt; 0, Herramientas_hidráulicas2266110153[[#Headers],[Herramientas_hidráulicas]],
    COUNTIF(EPP_2367111154[SPCC], B400) &gt; 0, EPP_2367111154[[#Headers],[SPCC]],
   COUNTIF(Herramientas_de_izaje2468112155[Herramientas_de_izaje], B400) &gt; 0, Herramientas_de_izaje2468112155[[#Headers],[Herramientas_de_izaje]],
COUNTIF(Tabla162670114157[Equipos], B400) &gt; 0, Tabla162670114157[[#Headers],[Equipos]],
    TRUE, "Sin clasificación"
)</f>
        <v>Sin clasificación</v>
      </c>
      <c r="I400" s="15"/>
      <c r="J400" s="47"/>
      <c r="K400" s="76"/>
      <c r="L400" s="76"/>
      <c r="M400" s="78" t="str">
        <f>_xlfn.LET(
    _xlpm.itemBuscado, B400,
    _xlpm.areaBuscada, C400,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TEXT(COUNTIF($C$2:C400, _xlpm.areaBuscada), "0000"),
    _xlpm.codItem &amp; "-" &amp; _xlpm.codArea &amp; "-" &amp; _xlpm.secuencia
)</f>
        <v>-SinArea-0000</v>
      </c>
      <c r="N400" s="77"/>
      <c r="O400" s="32"/>
      <c r="P400" s="32"/>
      <c r="Q400" s="32"/>
      <c r="R400" s="32"/>
    </row>
    <row r="401" spans="3:18" x14ac:dyDescent="0.3">
      <c r="C401" s="11"/>
      <c r="D401" s="32"/>
      <c r="E401" s="11" t="str" cm="1">
        <f t="array" ref="E401">_xlfn.IFS(
    COUNTIF(Herramientas_eléctricas1862106149[Herramientas_eléctricas], B401) &gt; 0, Herramientas_eléctricas1862106149[[#Headers],[Herramientas_eléctricas]],
    COUNTIF(Herramientas_neumáticas1963107150[Herramientas_neumáticas], B401) &gt; 0, Herramientas_neumáticas1963107150[[#Headers],[Herramientas_neumáticas]],
    COUNTIF(Herramientas_de_medición2064108151[Herramientas_de_medición], B401) &gt; 0, Herramientas_de_medición2064108151[[#Headers],[Herramientas_de_medición]],
    COUNTIF(Herrramientas_mecánicas2165109152[Herramientas_mecánicas], B401) &gt; 0, Herrramientas_mecánicas2165109152[[#Headers],[Herramientas_mecánicas]],
    COUNTIF(AH401:AH407, B401) &gt; 0, Herramientas_hidráulicas2266110153[[#Headers],[Herramientas_hidráulicas]],
    COUNTIF(EPP_2367111154[SPCC], B401) &gt; 0, EPP_2367111154[[#Headers],[SPCC]],
   COUNTIF(Herramientas_de_izaje2468112155[Herramientas_de_izaje], B401) &gt; 0, Herramientas_de_izaje2468112155[[#Headers],[Herramientas_de_izaje]],
COUNTIF(Tabla162670114157[Equipos], B401) &gt; 0, Tabla162670114157[[#Headers],[Equipos]],
    TRUE, "Sin clasificación"
)</f>
        <v>Sin clasificación</v>
      </c>
      <c r="I401" s="15"/>
      <c r="J401" s="47"/>
      <c r="K401" s="76"/>
      <c r="L401" s="76"/>
      <c r="M401" s="78" t="str">
        <f>_xlfn.LET(
    _xlpm.itemBuscado, B401,
    _xlpm.areaBuscada, C401,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TEXT(COUNTIF($C$2:C401, _xlpm.areaBuscada), "0000"),
    _xlpm.codItem &amp; "-" &amp; _xlpm.codArea &amp; "-" &amp; _xlpm.secuencia
)</f>
        <v>-SinArea-0000</v>
      </c>
      <c r="N401" s="77"/>
      <c r="O401" s="32"/>
      <c r="P401" s="32"/>
      <c r="Q401" s="32"/>
      <c r="R401" s="32"/>
    </row>
    <row r="402" spans="3:18" x14ac:dyDescent="0.3">
      <c r="C402" s="11"/>
      <c r="D402" s="32"/>
      <c r="E402" s="11" t="str" cm="1">
        <f t="array" ref="E402">_xlfn.IFS(
    COUNTIF(Herramientas_eléctricas1862106149[Herramientas_eléctricas], B402) &gt; 0, Herramientas_eléctricas1862106149[[#Headers],[Herramientas_eléctricas]],
    COUNTIF(Herramientas_neumáticas1963107150[Herramientas_neumáticas], B402) &gt; 0, Herramientas_neumáticas1963107150[[#Headers],[Herramientas_neumáticas]],
    COUNTIF(Herramientas_de_medición2064108151[Herramientas_de_medición], B402) &gt; 0, Herramientas_de_medición2064108151[[#Headers],[Herramientas_de_medición]],
    COUNTIF(Herrramientas_mecánicas2165109152[Herramientas_mecánicas], B402) &gt; 0, Herrramientas_mecánicas2165109152[[#Headers],[Herramientas_mecánicas]],
    COUNTIF(AH402:AH408, B402) &gt; 0, Herramientas_hidráulicas2266110153[[#Headers],[Herramientas_hidráulicas]],
    COUNTIF(EPP_2367111154[SPCC], B402) &gt; 0, EPP_2367111154[[#Headers],[SPCC]],
   COUNTIF(Herramientas_de_izaje2468112155[Herramientas_de_izaje], B402) &gt; 0, Herramientas_de_izaje2468112155[[#Headers],[Herramientas_de_izaje]],
COUNTIF(Tabla162670114157[Equipos], B402) &gt; 0, Tabla162670114157[[#Headers],[Equipos]],
    TRUE, "Sin clasificación"
)</f>
        <v>Sin clasificación</v>
      </c>
      <c r="I402" s="15"/>
      <c r="J402" s="47"/>
      <c r="K402" s="76"/>
      <c r="L402" s="76"/>
      <c r="M402" s="78" t="str">
        <f>_xlfn.LET(
    _xlpm.itemBuscado, B402,
    _xlpm.areaBuscada, C402,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TEXT(COUNTIF($C$2:C402, _xlpm.areaBuscada), "0000"),
    _xlpm.codItem &amp; "-" &amp; _xlpm.codArea &amp; "-" &amp; _xlpm.secuencia
)</f>
        <v>-SinArea-0000</v>
      </c>
      <c r="N402" s="77"/>
      <c r="O402" s="32"/>
      <c r="P402" s="32"/>
      <c r="Q402" s="32"/>
      <c r="R402" s="32"/>
    </row>
    <row r="403" spans="3:18" x14ac:dyDescent="0.3">
      <c r="C403" s="11"/>
      <c r="D403" s="32"/>
      <c r="E403" s="11" t="str" cm="1">
        <f t="array" ref="E403">_xlfn.IFS(
    COUNTIF(Herramientas_eléctricas1862106149[Herramientas_eléctricas], B403) &gt; 0, Herramientas_eléctricas1862106149[[#Headers],[Herramientas_eléctricas]],
    COUNTIF(Herramientas_neumáticas1963107150[Herramientas_neumáticas], B403) &gt; 0, Herramientas_neumáticas1963107150[[#Headers],[Herramientas_neumáticas]],
    COUNTIF(Herramientas_de_medición2064108151[Herramientas_de_medición], B403) &gt; 0, Herramientas_de_medición2064108151[[#Headers],[Herramientas_de_medición]],
    COUNTIF(Herrramientas_mecánicas2165109152[Herramientas_mecánicas], B403) &gt; 0, Herrramientas_mecánicas2165109152[[#Headers],[Herramientas_mecánicas]],
    COUNTIF(AH403:AH409, B403) &gt; 0, Herramientas_hidráulicas2266110153[[#Headers],[Herramientas_hidráulicas]],
    COUNTIF(EPP_2367111154[SPCC], B403) &gt; 0, EPP_2367111154[[#Headers],[SPCC]],
   COUNTIF(Herramientas_de_izaje2468112155[Herramientas_de_izaje], B403) &gt; 0, Herramientas_de_izaje2468112155[[#Headers],[Herramientas_de_izaje]],
COUNTIF(Tabla162670114157[Equipos], B403) &gt; 0, Tabla162670114157[[#Headers],[Equipos]],
    TRUE, "Sin clasificación"
)</f>
        <v>Sin clasificación</v>
      </c>
      <c r="I403" s="15"/>
      <c r="J403" s="47"/>
      <c r="K403" s="76"/>
      <c r="L403" s="76"/>
      <c r="M403" s="78" t="str">
        <f>_xlfn.LET(
    _xlpm.itemBuscado, B403,
    _xlpm.areaBuscada, C403,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TEXT(COUNTIF($C$2:C403, _xlpm.areaBuscada), "0000"),
    _xlpm.codItem &amp; "-" &amp; _xlpm.codArea &amp; "-" &amp; _xlpm.secuencia
)</f>
        <v>-SinArea-0000</v>
      </c>
      <c r="N403" s="77"/>
      <c r="O403" s="32"/>
      <c r="P403" s="32"/>
      <c r="Q403" s="32"/>
      <c r="R403" s="32"/>
    </row>
    <row r="404" spans="3:18" x14ac:dyDescent="0.3">
      <c r="C404" s="11"/>
      <c r="D404" s="32"/>
      <c r="E404" s="11" t="str" cm="1">
        <f t="array" ref="E404">_xlfn.IFS(
    COUNTIF(Herramientas_eléctricas1862106149[Herramientas_eléctricas], B404) &gt; 0, Herramientas_eléctricas1862106149[[#Headers],[Herramientas_eléctricas]],
    COUNTIF(Herramientas_neumáticas1963107150[Herramientas_neumáticas], B404) &gt; 0, Herramientas_neumáticas1963107150[[#Headers],[Herramientas_neumáticas]],
    COUNTIF(Herramientas_de_medición2064108151[Herramientas_de_medición], B404) &gt; 0, Herramientas_de_medición2064108151[[#Headers],[Herramientas_de_medición]],
    COUNTIF(Herrramientas_mecánicas2165109152[Herramientas_mecánicas], B404) &gt; 0, Herrramientas_mecánicas2165109152[[#Headers],[Herramientas_mecánicas]],
    COUNTIF(AH404:AH410, B404) &gt; 0, Herramientas_hidráulicas2266110153[[#Headers],[Herramientas_hidráulicas]],
    COUNTIF(EPP_2367111154[SPCC], B404) &gt; 0, EPP_2367111154[[#Headers],[SPCC]],
   COUNTIF(Herramientas_de_izaje2468112155[Herramientas_de_izaje], B404) &gt; 0, Herramientas_de_izaje2468112155[[#Headers],[Herramientas_de_izaje]],
COUNTIF(Tabla162670114157[Equipos], B404) &gt; 0, Tabla162670114157[[#Headers],[Equipos]],
    TRUE, "Sin clasificación"
)</f>
        <v>Sin clasificación</v>
      </c>
      <c r="I404" s="15"/>
      <c r="J404" s="47"/>
      <c r="K404" s="76"/>
      <c r="L404" s="76"/>
      <c r="M404" s="78" t="str">
        <f>_xlfn.LET(
    _xlpm.itemBuscado, B404,
    _xlpm.areaBuscada, C404,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TEXT(COUNTIF($C$2:C404, _xlpm.areaBuscada), "0000"),
    _xlpm.codItem &amp; "-" &amp; _xlpm.codArea &amp; "-" &amp; _xlpm.secuencia
)</f>
        <v>-SinArea-0000</v>
      </c>
      <c r="N404" s="77"/>
      <c r="O404" s="32"/>
      <c r="P404" s="32"/>
      <c r="Q404" s="32"/>
      <c r="R404" s="32"/>
    </row>
    <row r="405" spans="3:18" x14ac:dyDescent="0.3">
      <c r="C405" s="11"/>
      <c r="D405" s="32"/>
      <c r="E405" s="11" t="str" cm="1">
        <f t="array" ref="E405">_xlfn.IFS(
    COUNTIF(Herramientas_eléctricas1862106149[Herramientas_eléctricas], B405) &gt; 0, Herramientas_eléctricas1862106149[[#Headers],[Herramientas_eléctricas]],
    COUNTIF(Herramientas_neumáticas1963107150[Herramientas_neumáticas], B405) &gt; 0, Herramientas_neumáticas1963107150[[#Headers],[Herramientas_neumáticas]],
    COUNTIF(Herramientas_de_medición2064108151[Herramientas_de_medición], B405) &gt; 0, Herramientas_de_medición2064108151[[#Headers],[Herramientas_de_medición]],
    COUNTIF(Herrramientas_mecánicas2165109152[Herramientas_mecánicas], B405) &gt; 0, Herrramientas_mecánicas2165109152[[#Headers],[Herramientas_mecánicas]],
    COUNTIF(AH405:AH411, B405) &gt; 0, Herramientas_hidráulicas2266110153[[#Headers],[Herramientas_hidráulicas]],
    COUNTIF(EPP_2367111154[SPCC], B405) &gt; 0, EPP_2367111154[[#Headers],[SPCC]],
   COUNTIF(Herramientas_de_izaje2468112155[Herramientas_de_izaje], B405) &gt; 0, Herramientas_de_izaje2468112155[[#Headers],[Herramientas_de_izaje]],
COUNTIF(Tabla162670114157[Equipos], B405) &gt; 0, Tabla162670114157[[#Headers],[Equipos]],
    TRUE, "Sin clasificación"
)</f>
        <v>Sin clasificación</v>
      </c>
      <c r="I405" s="15"/>
      <c r="J405" s="47"/>
      <c r="K405" s="76"/>
      <c r="L405" s="76"/>
      <c r="M405" s="78" t="str">
        <f>_xlfn.LET(
    _xlpm.itemBuscado, B405,
    _xlpm.areaBuscada, C405,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TEXT(COUNTIF($C$2:C405, _xlpm.areaBuscada), "0000"),
    _xlpm.codItem &amp; "-" &amp; _xlpm.codArea &amp; "-" &amp; _xlpm.secuencia
)</f>
        <v>-SinArea-0000</v>
      </c>
      <c r="N405" s="77"/>
      <c r="O405" s="32"/>
      <c r="P405" s="32"/>
      <c r="Q405" s="32"/>
      <c r="R405" s="32"/>
    </row>
    <row r="406" spans="3:18" x14ac:dyDescent="0.3">
      <c r="C406" s="11"/>
      <c r="D406" s="32"/>
      <c r="E406" s="11" t="str" cm="1">
        <f t="array" ref="E406">_xlfn.IFS(
    COUNTIF(Herramientas_eléctricas1862106149[Herramientas_eléctricas], B406) &gt; 0, Herramientas_eléctricas1862106149[[#Headers],[Herramientas_eléctricas]],
    COUNTIF(Herramientas_neumáticas1963107150[Herramientas_neumáticas], B406) &gt; 0, Herramientas_neumáticas1963107150[[#Headers],[Herramientas_neumáticas]],
    COUNTIF(Herramientas_de_medición2064108151[Herramientas_de_medición], B406) &gt; 0, Herramientas_de_medición2064108151[[#Headers],[Herramientas_de_medición]],
    COUNTIF(Herrramientas_mecánicas2165109152[Herramientas_mecánicas], B406) &gt; 0, Herrramientas_mecánicas2165109152[[#Headers],[Herramientas_mecánicas]],
    COUNTIF(AH406:AH412, B406) &gt; 0, Herramientas_hidráulicas2266110153[[#Headers],[Herramientas_hidráulicas]],
    COUNTIF(EPP_2367111154[SPCC], B406) &gt; 0, EPP_2367111154[[#Headers],[SPCC]],
   COUNTIF(Herramientas_de_izaje2468112155[Herramientas_de_izaje], B406) &gt; 0, Herramientas_de_izaje2468112155[[#Headers],[Herramientas_de_izaje]],
COUNTIF(Tabla162670114157[Equipos], B406) &gt; 0, Tabla162670114157[[#Headers],[Equipos]],
    TRUE, "Sin clasificación"
)</f>
        <v>Sin clasificación</v>
      </c>
      <c r="I406" s="15"/>
      <c r="J406" s="47"/>
      <c r="K406" s="76"/>
      <c r="L406" s="76"/>
      <c r="M406" s="78" t="str">
        <f>_xlfn.LET(
    _xlpm.itemBuscado, B406,
    _xlpm.areaBuscada, C406,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TEXT(COUNTIF($C$2:C406, _xlpm.areaBuscada), "0000"),
    _xlpm.codItem &amp; "-" &amp; _xlpm.codArea &amp; "-" &amp; _xlpm.secuencia
)</f>
        <v>-SinArea-0000</v>
      </c>
      <c r="N406" s="77"/>
      <c r="O406" s="32"/>
      <c r="P406" s="32"/>
      <c r="Q406" s="32"/>
      <c r="R406" s="32"/>
    </row>
    <row r="407" spans="3:18" x14ac:dyDescent="0.3">
      <c r="C407" s="11"/>
      <c r="D407" s="32"/>
      <c r="E407" s="11" t="str" cm="1">
        <f t="array" ref="E407">_xlfn.IFS(
    COUNTIF(Herramientas_eléctricas1862106149[Herramientas_eléctricas], B407) &gt; 0, Herramientas_eléctricas1862106149[[#Headers],[Herramientas_eléctricas]],
    COUNTIF(Herramientas_neumáticas1963107150[Herramientas_neumáticas], B407) &gt; 0, Herramientas_neumáticas1963107150[[#Headers],[Herramientas_neumáticas]],
    COUNTIF(Herramientas_de_medición2064108151[Herramientas_de_medición], B407) &gt; 0, Herramientas_de_medición2064108151[[#Headers],[Herramientas_de_medición]],
    COUNTIF(Herrramientas_mecánicas2165109152[Herramientas_mecánicas], B407) &gt; 0, Herrramientas_mecánicas2165109152[[#Headers],[Herramientas_mecánicas]],
    COUNTIF(AH407:AH413, B407) &gt; 0, Herramientas_hidráulicas2266110153[[#Headers],[Herramientas_hidráulicas]],
    COUNTIF(EPP_2367111154[SPCC], B407) &gt; 0, EPP_2367111154[[#Headers],[SPCC]],
   COUNTIF(Herramientas_de_izaje2468112155[Herramientas_de_izaje], B407) &gt; 0, Herramientas_de_izaje2468112155[[#Headers],[Herramientas_de_izaje]],
COUNTIF(Tabla162670114157[Equipos], B407) &gt; 0, Tabla162670114157[[#Headers],[Equipos]],
    TRUE, "Sin clasificación"
)</f>
        <v>Sin clasificación</v>
      </c>
      <c r="I407" s="15"/>
      <c r="J407" s="47"/>
      <c r="K407" s="76"/>
      <c r="L407" s="76"/>
      <c r="M407" s="78" t="str">
        <f>_xlfn.LET(
    _xlpm.itemBuscado, B407,
    _xlpm.areaBuscada, C407,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TEXT(COUNTIF($C$2:C407, _xlpm.areaBuscada), "0000"),
    _xlpm.codItem &amp; "-" &amp; _xlpm.codArea &amp; "-" &amp; _xlpm.secuencia
)</f>
        <v>-SinArea-0000</v>
      </c>
      <c r="N407" s="77"/>
      <c r="O407" s="32"/>
      <c r="P407" s="32"/>
      <c r="Q407" s="32"/>
      <c r="R407" s="32"/>
    </row>
    <row r="408" spans="3:18" x14ac:dyDescent="0.3">
      <c r="C408" s="11"/>
      <c r="D408" s="32"/>
      <c r="E408" s="11" t="str" cm="1">
        <f t="array" ref="E408">_xlfn.IFS(
    COUNTIF(Herramientas_eléctricas1862106149[Herramientas_eléctricas], B408) &gt; 0, Herramientas_eléctricas1862106149[[#Headers],[Herramientas_eléctricas]],
    COUNTIF(Herramientas_neumáticas1963107150[Herramientas_neumáticas], B408) &gt; 0, Herramientas_neumáticas1963107150[[#Headers],[Herramientas_neumáticas]],
    COUNTIF(Herramientas_de_medición2064108151[Herramientas_de_medición], B408) &gt; 0, Herramientas_de_medición2064108151[[#Headers],[Herramientas_de_medición]],
    COUNTIF(Herrramientas_mecánicas2165109152[Herramientas_mecánicas], B408) &gt; 0, Herrramientas_mecánicas2165109152[[#Headers],[Herramientas_mecánicas]],
    COUNTIF(AH408:AH414, B408) &gt; 0, Herramientas_hidráulicas2266110153[[#Headers],[Herramientas_hidráulicas]],
    COUNTIF(EPP_2367111154[SPCC], B408) &gt; 0, EPP_2367111154[[#Headers],[SPCC]],
   COUNTIF(Herramientas_de_izaje2468112155[Herramientas_de_izaje], B408) &gt; 0, Herramientas_de_izaje2468112155[[#Headers],[Herramientas_de_izaje]],
COUNTIF(Tabla162670114157[Equipos], B408) &gt; 0, Tabla162670114157[[#Headers],[Equipos]],
    TRUE, "Sin clasificación"
)</f>
        <v>Sin clasificación</v>
      </c>
      <c r="I408" s="15"/>
      <c r="J408" s="47"/>
      <c r="K408" s="76"/>
      <c r="L408" s="76"/>
      <c r="M408" s="78" t="str">
        <f>_xlfn.LET(
    _xlpm.itemBuscado, B408,
    _xlpm.areaBuscada, C408,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TEXT(COUNTIF($C$2:C408, _xlpm.areaBuscada), "0000"),
    _xlpm.codItem &amp; "-" &amp; _xlpm.codArea &amp; "-" &amp; _xlpm.secuencia
)</f>
        <v>-SinArea-0000</v>
      </c>
      <c r="N408" s="77"/>
      <c r="O408" s="32"/>
      <c r="P408" s="32"/>
      <c r="Q408" s="32"/>
      <c r="R408" s="32"/>
    </row>
    <row r="409" spans="3:18" x14ac:dyDescent="0.3">
      <c r="C409" s="11"/>
      <c r="D409" s="32"/>
      <c r="E409" s="11" t="str" cm="1">
        <f t="array" ref="E409">_xlfn.IFS(
    COUNTIF(Herramientas_eléctricas1862106149[Herramientas_eléctricas], B409) &gt; 0, Herramientas_eléctricas1862106149[[#Headers],[Herramientas_eléctricas]],
    COUNTIF(Herramientas_neumáticas1963107150[Herramientas_neumáticas], B409) &gt; 0, Herramientas_neumáticas1963107150[[#Headers],[Herramientas_neumáticas]],
    COUNTIF(Herramientas_de_medición2064108151[Herramientas_de_medición], B409) &gt; 0, Herramientas_de_medición2064108151[[#Headers],[Herramientas_de_medición]],
    COUNTIF(Herrramientas_mecánicas2165109152[Herramientas_mecánicas], B409) &gt; 0, Herrramientas_mecánicas2165109152[[#Headers],[Herramientas_mecánicas]],
    COUNTIF(AH409:AH415, B409) &gt; 0, Herramientas_hidráulicas2266110153[[#Headers],[Herramientas_hidráulicas]],
    COUNTIF(EPP_2367111154[SPCC], B409) &gt; 0, EPP_2367111154[[#Headers],[SPCC]],
   COUNTIF(Herramientas_de_izaje2468112155[Herramientas_de_izaje], B409) &gt; 0, Herramientas_de_izaje2468112155[[#Headers],[Herramientas_de_izaje]],
COUNTIF(Tabla162670114157[Equipos], B409) &gt; 0, Tabla162670114157[[#Headers],[Equipos]],
    TRUE, "Sin clasificación"
)</f>
        <v>Sin clasificación</v>
      </c>
      <c r="I409" s="15"/>
      <c r="J409" s="47"/>
      <c r="K409" s="76"/>
      <c r="L409" s="76"/>
      <c r="M409" s="78" t="str">
        <f>_xlfn.LET(
    _xlpm.itemBuscado, B409,
    _xlpm.areaBuscada, C409,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TEXT(COUNTIF($C$2:C409, _xlpm.areaBuscada), "0000"),
    _xlpm.codItem &amp; "-" &amp; _xlpm.codArea &amp; "-" &amp; _xlpm.secuencia
)</f>
        <v>-SinArea-0000</v>
      </c>
      <c r="N409" s="77"/>
      <c r="O409" s="32"/>
      <c r="P409" s="32"/>
      <c r="Q409" s="32"/>
      <c r="R409" s="32"/>
    </row>
    <row r="410" spans="3:18" x14ac:dyDescent="0.3">
      <c r="C410" s="11"/>
      <c r="D410" s="32"/>
      <c r="E410" s="11" t="str" cm="1">
        <f t="array" ref="E410">_xlfn.IFS(
    COUNTIF(Herramientas_eléctricas1862106149[Herramientas_eléctricas], B410) &gt; 0, Herramientas_eléctricas1862106149[[#Headers],[Herramientas_eléctricas]],
    COUNTIF(Herramientas_neumáticas1963107150[Herramientas_neumáticas], B410) &gt; 0, Herramientas_neumáticas1963107150[[#Headers],[Herramientas_neumáticas]],
    COUNTIF(Herramientas_de_medición2064108151[Herramientas_de_medición], B410) &gt; 0, Herramientas_de_medición2064108151[[#Headers],[Herramientas_de_medición]],
    COUNTIF(Herrramientas_mecánicas2165109152[Herramientas_mecánicas], B410) &gt; 0, Herrramientas_mecánicas2165109152[[#Headers],[Herramientas_mecánicas]],
    COUNTIF(AH410:AH416, B410) &gt; 0, Herramientas_hidráulicas2266110153[[#Headers],[Herramientas_hidráulicas]],
    COUNTIF(EPP_2367111154[SPCC], B410) &gt; 0, EPP_2367111154[[#Headers],[SPCC]],
   COUNTIF(Herramientas_de_izaje2468112155[Herramientas_de_izaje], B410) &gt; 0, Herramientas_de_izaje2468112155[[#Headers],[Herramientas_de_izaje]],
COUNTIF(Tabla162670114157[Equipos], B410) &gt; 0, Tabla162670114157[[#Headers],[Equipos]],
    TRUE, "Sin clasificación"
)</f>
        <v>Sin clasificación</v>
      </c>
      <c r="I410" s="15"/>
      <c r="J410" s="47"/>
      <c r="K410" s="76"/>
      <c r="L410" s="76"/>
      <c r="M410" s="78" t="str">
        <f>_xlfn.LET(
    _xlpm.itemBuscado, B410,
    _xlpm.areaBuscada, C410,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TEXT(COUNTIF($C$2:C410, _xlpm.areaBuscada), "0000"),
    _xlpm.codItem &amp; "-" &amp; _xlpm.codArea &amp; "-" &amp; _xlpm.secuencia
)</f>
        <v>-SinArea-0000</v>
      </c>
      <c r="N410" s="77"/>
      <c r="O410" s="32"/>
      <c r="P410" s="32"/>
      <c r="Q410" s="32"/>
      <c r="R410" s="32"/>
    </row>
    <row r="411" spans="3:18" x14ac:dyDescent="0.3">
      <c r="C411" s="11"/>
      <c r="D411" s="32"/>
      <c r="E411" s="11" t="str" cm="1">
        <f t="array" ref="E411">_xlfn.IFS(
    COUNTIF(Herramientas_eléctricas1862106149[Herramientas_eléctricas], B411) &gt; 0, Herramientas_eléctricas1862106149[[#Headers],[Herramientas_eléctricas]],
    COUNTIF(Herramientas_neumáticas1963107150[Herramientas_neumáticas], B411) &gt; 0, Herramientas_neumáticas1963107150[[#Headers],[Herramientas_neumáticas]],
    COUNTIF(Herramientas_de_medición2064108151[Herramientas_de_medición], B411) &gt; 0, Herramientas_de_medición2064108151[[#Headers],[Herramientas_de_medición]],
    COUNTIF(Herrramientas_mecánicas2165109152[Herramientas_mecánicas], B411) &gt; 0, Herrramientas_mecánicas2165109152[[#Headers],[Herramientas_mecánicas]],
    COUNTIF(AH411:AH417, B411) &gt; 0, Herramientas_hidráulicas2266110153[[#Headers],[Herramientas_hidráulicas]],
    COUNTIF(EPP_2367111154[SPCC], B411) &gt; 0, EPP_2367111154[[#Headers],[SPCC]],
   COUNTIF(Herramientas_de_izaje2468112155[Herramientas_de_izaje], B411) &gt; 0, Herramientas_de_izaje2468112155[[#Headers],[Herramientas_de_izaje]],
COUNTIF(Tabla162670114157[Equipos], B411) &gt; 0, Tabla162670114157[[#Headers],[Equipos]],
    TRUE, "Sin clasificación"
)</f>
        <v>Sin clasificación</v>
      </c>
      <c r="I411" s="15"/>
      <c r="J411" s="47"/>
      <c r="K411" s="76"/>
      <c r="L411" s="76"/>
      <c r="M411" s="78" t="str">
        <f>_xlfn.LET(
    _xlpm.itemBuscado, B411,
    _xlpm.areaBuscada, C411,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TEXT(COUNTIF($C$2:C411, _xlpm.areaBuscada), "0000"),
    _xlpm.codItem &amp; "-" &amp; _xlpm.codArea &amp; "-" &amp; _xlpm.secuencia
)</f>
        <v>-SinArea-0000</v>
      </c>
      <c r="N411" s="77"/>
      <c r="O411" s="32"/>
      <c r="P411" s="32"/>
      <c r="Q411" s="32"/>
      <c r="R411" s="32"/>
    </row>
    <row r="412" spans="3:18" x14ac:dyDescent="0.3">
      <c r="C412" s="11"/>
      <c r="D412" s="32"/>
      <c r="E412" s="11" t="str" cm="1">
        <f t="array" ref="E412">_xlfn.IFS(
    COUNTIF(Herramientas_eléctricas1862106149[Herramientas_eléctricas], B412) &gt; 0, Herramientas_eléctricas1862106149[[#Headers],[Herramientas_eléctricas]],
    COUNTIF(Herramientas_neumáticas1963107150[Herramientas_neumáticas], B412) &gt; 0, Herramientas_neumáticas1963107150[[#Headers],[Herramientas_neumáticas]],
    COUNTIF(Herramientas_de_medición2064108151[Herramientas_de_medición], B412) &gt; 0, Herramientas_de_medición2064108151[[#Headers],[Herramientas_de_medición]],
    COUNTIF(Herrramientas_mecánicas2165109152[Herramientas_mecánicas], B412) &gt; 0, Herrramientas_mecánicas2165109152[[#Headers],[Herramientas_mecánicas]],
    COUNTIF(AH412:AH418, B412) &gt; 0, Herramientas_hidráulicas2266110153[[#Headers],[Herramientas_hidráulicas]],
    COUNTIF(EPP_2367111154[SPCC], B412) &gt; 0, EPP_2367111154[[#Headers],[SPCC]],
   COUNTIF(Herramientas_de_izaje2468112155[Herramientas_de_izaje], B412) &gt; 0, Herramientas_de_izaje2468112155[[#Headers],[Herramientas_de_izaje]],
COUNTIF(Tabla162670114157[Equipos], B412) &gt; 0, Tabla162670114157[[#Headers],[Equipos]],
    TRUE, "Sin clasificación"
)</f>
        <v>Sin clasificación</v>
      </c>
      <c r="I412" s="15"/>
      <c r="J412" s="47"/>
      <c r="K412" s="76"/>
      <c r="L412" s="76"/>
      <c r="M412" s="78" t="str">
        <f>_xlfn.LET(
    _xlpm.itemBuscado, B412,
    _xlpm.areaBuscada, C412,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TEXT(COUNTIF($C$2:C412, _xlpm.areaBuscada), "0000"),
    _xlpm.codItem &amp; "-" &amp; _xlpm.codArea &amp; "-" &amp; _xlpm.secuencia
)</f>
        <v>-SinArea-0000</v>
      </c>
      <c r="N412" s="77"/>
      <c r="O412" s="32"/>
      <c r="P412" s="32"/>
      <c r="Q412" s="32"/>
      <c r="R412" s="32"/>
    </row>
    <row r="413" spans="3:18" x14ac:dyDescent="0.3">
      <c r="C413" s="11"/>
      <c r="D413" s="32"/>
      <c r="E413" s="11" t="str" cm="1">
        <f t="array" ref="E413">_xlfn.IFS(
    COUNTIF(Herramientas_eléctricas1862106149[Herramientas_eléctricas], B413) &gt; 0, Herramientas_eléctricas1862106149[[#Headers],[Herramientas_eléctricas]],
    COUNTIF(Herramientas_neumáticas1963107150[Herramientas_neumáticas], B413) &gt; 0, Herramientas_neumáticas1963107150[[#Headers],[Herramientas_neumáticas]],
    COUNTIF(Herramientas_de_medición2064108151[Herramientas_de_medición], B413) &gt; 0, Herramientas_de_medición2064108151[[#Headers],[Herramientas_de_medición]],
    COUNTIF(Herrramientas_mecánicas2165109152[Herramientas_mecánicas], B413) &gt; 0, Herrramientas_mecánicas2165109152[[#Headers],[Herramientas_mecánicas]],
    COUNTIF(AH413:AH419, B413) &gt; 0, Herramientas_hidráulicas2266110153[[#Headers],[Herramientas_hidráulicas]],
    COUNTIF(EPP_2367111154[SPCC], B413) &gt; 0, EPP_2367111154[[#Headers],[SPCC]],
   COUNTIF(Herramientas_de_izaje2468112155[Herramientas_de_izaje], B413) &gt; 0, Herramientas_de_izaje2468112155[[#Headers],[Herramientas_de_izaje]],
COUNTIF(Tabla162670114157[Equipos], B413) &gt; 0, Tabla162670114157[[#Headers],[Equipos]],
    TRUE, "Sin clasificación"
)</f>
        <v>Sin clasificación</v>
      </c>
      <c r="I413" s="15"/>
      <c r="J413" s="47"/>
      <c r="K413" s="76"/>
      <c r="L413" s="76"/>
      <c r="M413" s="78" t="str">
        <f>_xlfn.LET(
    _xlpm.itemBuscado, B413,
    _xlpm.areaBuscada, C413,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TEXT(COUNTIF($C$2:C413, _xlpm.areaBuscada), "0000"),
    _xlpm.codItem &amp; "-" &amp; _xlpm.codArea &amp; "-" &amp; _xlpm.secuencia
)</f>
        <v>-SinArea-0000</v>
      </c>
      <c r="N413" s="77"/>
      <c r="O413" s="32"/>
      <c r="P413" s="32"/>
      <c r="Q413" s="32"/>
      <c r="R413" s="32"/>
    </row>
    <row r="414" spans="3:18" x14ac:dyDescent="0.3">
      <c r="C414" s="11"/>
      <c r="D414" s="32"/>
      <c r="E414" s="11" t="str" cm="1">
        <f t="array" ref="E414">_xlfn.IFS(
    COUNTIF(Herramientas_eléctricas1862106149[Herramientas_eléctricas], B414) &gt; 0, Herramientas_eléctricas1862106149[[#Headers],[Herramientas_eléctricas]],
    COUNTIF(Herramientas_neumáticas1963107150[Herramientas_neumáticas], B414) &gt; 0, Herramientas_neumáticas1963107150[[#Headers],[Herramientas_neumáticas]],
    COUNTIF(Herramientas_de_medición2064108151[Herramientas_de_medición], B414) &gt; 0, Herramientas_de_medición2064108151[[#Headers],[Herramientas_de_medición]],
    COUNTIF(Herrramientas_mecánicas2165109152[Herramientas_mecánicas], B414) &gt; 0, Herrramientas_mecánicas2165109152[[#Headers],[Herramientas_mecánicas]],
    COUNTIF(AH414:AH420, B414) &gt; 0, Herramientas_hidráulicas2266110153[[#Headers],[Herramientas_hidráulicas]],
    COUNTIF(EPP_2367111154[SPCC], B414) &gt; 0, EPP_2367111154[[#Headers],[SPCC]],
   COUNTIF(Herramientas_de_izaje2468112155[Herramientas_de_izaje], B414) &gt; 0, Herramientas_de_izaje2468112155[[#Headers],[Herramientas_de_izaje]],
COUNTIF(Tabla162670114157[Equipos], B414) &gt; 0, Tabla162670114157[[#Headers],[Equipos]],
    TRUE, "Sin clasificación"
)</f>
        <v>Sin clasificación</v>
      </c>
      <c r="I414" s="15"/>
      <c r="J414" s="47"/>
      <c r="K414" s="76"/>
      <c r="L414" s="76"/>
      <c r="M414" s="78" t="str">
        <f>_xlfn.LET(
    _xlpm.itemBuscado, B414,
    _xlpm.areaBuscada, C414,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TEXT(COUNTIF($C$2:C414, _xlpm.areaBuscada), "0000"),
    _xlpm.codItem &amp; "-" &amp; _xlpm.codArea &amp; "-" &amp; _xlpm.secuencia
)</f>
        <v>-SinArea-0000</v>
      </c>
      <c r="N414" s="77"/>
      <c r="O414" s="32"/>
      <c r="P414" s="32"/>
      <c r="Q414" s="32"/>
      <c r="R414" s="32"/>
    </row>
    <row r="415" spans="3:18" x14ac:dyDescent="0.3">
      <c r="C415" s="11"/>
      <c r="D415" s="32"/>
      <c r="E415" s="11" t="str" cm="1">
        <f t="array" ref="E415">_xlfn.IFS(
    COUNTIF(Herramientas_eléctricas1862106149[Herramientas_eléctricas], B415) &gt; 0, Herramientas_eléctricas1862106149[[#Headers],[Herramientas_eléctricas]],
    COUNTIF(Herramientas_neumáticas1963107150[Herramientas_neumáticas], B415) &gt; 0, Herramientas_neumáticas1963107150[[#Headers],[Herramientas_neumáticas]],
    COUNTIF(Herramientas_de_medición2064108151[Herramientas_de_medición], B415) &gt; 0, Herramientas_de_medición2064108151[[#Headers],[Herramientas_de_medición]],
    COUNTIF(Herrramientas_mecánicas2165109152[Herramientas_mecánicas], B415) &gt; 0, Herrramientas_mecánicas2165109152[[#Headers],[Herramientas_mecánicas]],
    COUNTIF(AH415:AH421, B415) &gt; 0, Herramientas_hidráulicas2266110153[[#Headers],[Herramientas_hidráulicas]],
    COUNTIF(EPP_2367111154[SPCC], B415) &gt; 0, EPP_2367111154[[#Headers],[SPCC]],
   COUNTIF(Herramientas_de_izaje2468112155[Herramientas_de_izaje], B415) &gt; 0, Herramientas_de_izaje2468112155[[#Headers],[Herramientas_de_izaje]],
COUNTIF(Tabla162670114157[Equipos], B415) &gt; 0, Tabla162670114157[[#Headers],[Equipos]],
    TRUE, "Sin clasificación"
)</f>
        <v>Sin clasificación</v>
      </c>
      <c r="I415" s="15"/>
      <c r="J415" s="47"/>
      <c r="K415" s="76"/>
      <c r="L415" s="76"/>
      <c r="M415" s="78" t="str">
        <f>_xlfn.LET(
    _xlpm.itemBuscado, B415,
    _xlpm.areaBuscada, C415,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TEXT(COUNTIF($C$2:C415, _xlpm.areaBuscada), "0000"),
    _xlpm.codItem &amp; "-" &amp; _xlpm.codArea &amp; "-" &amp; _xlpm.secuencia
)</f>
        <v>-SinArea-0000</v>
      </c>
      <c r="N415" s="77"/>
      <c r="O415" s="32"/>
      <c r="P415" s="32"/>
      <c r="Q415" s="32"/>
      <c r="R415" s="32"/>
    </row>
    <row r="416" spans="3:18" x14ac:dyDescent="0.3">
      <c r="C416" s="11"/>
      <c r="D416" s="32"/>
      <c r="E416" s="11" t="str" cm="1">
        <f t="array" ref="E416">_xlfn.IFS(
    COUNTIF(Herramientas_eléctricas1862106149[Herramientas_eléctricas], B416) &gt; 0, Herramientas_eléctricas1862106149[[#Headers],[Herramientas_eléctricas]],
    COUNTIF(Herramientas_neumáticas1963107150[Herramientas_neumáticas], B416) &gt; 0, Herramientas_neumáticas1963107150[[#Headers],[Herramientas_neumáticas]],
    COUNTIF(Herramientas_de_medición2064108151[Herramientas_de_medición], B416) &gt; 0, Herramientas_de_medición2064108151[[#Headers],[Herramientas_de_medición]],
    COUNTIF(Herrramientas_mecánicas2165109152[Herramientas_mecánicas], B416) &gt; 0, Herrramientas_mecánicas2165109152[[#Headers],[Herramientas_mecánicas]],
    COUNTIF(AH416:AH422, B416) &gt; 0, Herramientas_hidráulicas2266110153[[#Headers],[Herramientas_hidráulicas]],
    COUNTIF(EPP_2367111154[SPCC], B416) &gt; 0, EPP_2367111154[[#Headers],[SPCC]],
   COUNTIF(Herramientas_de_izaje2468112155[Herramientas_de_izaje], B416) &gt; 0, Herramientas_de_izaje2468112155[[#Headers],[Herramientas_de_izaje]],
COUNTIF(Tabla162670114157[Equipos], B416) &gt; 0, Tabla162670114157[[#Headers],[Equipos]],
    TRUE, "Sin clasificación"
)</f>
        <v>Sin clasificación</v>
      </c>
      <c r="I416" s="15"/>
      <c r="J416" s="47"/>
      <c r="K416" s="76"/>
      <c r="L416" s="76"/>
      <c r="M416" s="78" t="str">
        <f>_xlfn.LET(
    _xlpm.itemBuscado, B416,
    _xlpm.areaBuscada, C416,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TEXT(COUNTIF($C$2:C416, _xlpm.areaBuscada), "0000"),
    _xlpm.codItem &amp; "-" &amp; _xlpm.codArea &amp; "-" &amp; _xlpm.secuencia
)</f>
        <v>-SinArea-0000</v>
      </c>
      <c r="N416" s="77"/>
      <c r="O416" s="32"/>
      <c r="P416" s="32"/>
      <c r="Q416" s="32"/>
      <c r="R416" s="32"/>
    </row>
    <row r="417" spans="3:18" x14ac:dyDescent="0.3">
      <c r="C417" s="11"/>
      <c r="D417" s="32"/>
      <c r="E417" s="11" t="str" cm="1">
        <f t="array" ref="E417">_xlfn.IFS(
    COUNTIF(Herramientas_eléctricas1862106149[Herramientas_eléctricas], B417) &gt; 0, Herramientas_eléctricas1862106149[[#Headers],[Herramientas_eléctricas]],
    COUNTIF(Herramientas_neumáticas1963107150[Herramientas_neumáticas], B417) &gt; 0, Herramientas_neumáticas1963107150[[#Headers],[Herramientas_neumáticas]],
    COUNTIF(Herramientas_de_medición2064108151[Herramientas_de_medición], B417) &gt; 0, Herramientas_de_medición2064108151[[#Headers],[Herramientas_de_medición]],
    COUNTIF(Herrramientas_mecánicas2165109152[Herramientas_mecánicas], B417) &gt; 0, Herrramientas_mecánicas2165109152[[#Headers],[Herramientas_mecánicas]],
    COUNTIF(AH417:AH423, B417) &gt; 0, Herramientas_hidráulicas2266110153[[#Headers],[Herramientas_hidráulicas]],
    COUNTIF(EPP_2367111154[SPCC], B417) &gt; 0, EPP_2367111154[[#Headers],[SPCC]],
   COUNTIF(Herramientas_de_izaje2468112155[Herramientas_de_izaje], B417) &gt; 0, Herramientas_de_izaje2468112155[[#Headers],[Herramientas_de_izaje]],
COUNTIF(Tabla162670114157[Equipos], B417) &gt; 0, Tabla162670114157[[#Headers],[Equipos]],
    TRUE, "Sin clasificación"
)</f>
        <v>Sin clasificación</v>
      </c>
      <c r="I417" s="15"/>
      <c r="J417" s="47"/>
      <c r="K417" s="76"/>
      <c r="L417" s="76"/>
      <c r="M417" s="78" t="str">
        <f>_xlfn.LET(
    _xlpm.itemBuscado, B417,
    _xlpm.areaBuscada, C417,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TEXT(COUNTIF($C$2:C417, _xlpm.areaBuscada), "0000"),
    _xlpm.codItem &amp; "-" &amp; _xlpm.codArea &amp; "-" &amp; _xlpm.secuencia
)</f>
        <v>-SinArea-0000</v>
      </c>
      <c r="N417" s="77"/>
      <c r="O417" s="32"/>
      <c r="P417" s="32"/>
      <c r="Q417" s="32"/>
      <c r="R417" s="32"/>
    </row>
    <row r="418" spans="3:18" x14ac:dyDescent="0.3">
      <c r="C418" s="11"/>
      <c r="D418" s="32"/>
      <c r="E418" s="11" t="str" cm="1">
        <f t="array" ref="E418">_xlfn.IFS(
    COUNTIF(Herramientas_eléctricas1862106149[Herramientas_eléctricas], B418) &gt; 0, Herramientas_eléctricas1862106149[[#Headers],[Herramientas_eléctricas]],
    COUNTIF(Herramientas_neumáticas1963107150[Herramientas_neumáticas], B418) &gt; 0, Herramientas_neumáticas1963107150[[#Headers],[Herramientas_neumáticas]],
    COUNTIF(Herramientas_de_medición2064108151[Herramientas_de_medición], B418) &gt; 0, Herramientas_de_medición2064108151[[#Headers],[Herramientas_de_medición]],
    COUNTIF(Herrramientas_mecánicas2165109152[Herramientas_mecánicas], B418) &gt; 0, Herrramientas_mecánicas2165109152[[#Headers],[Herramientas_mecánicas]],
    COUNTIF(AH418:AH424, B418) &gt; 0, Herramientas_hidráulicas2266110153[[#Headers],[Herramientas_hidráulicas]],
    COUNTIF(EPP_2367111154[SPCC], B418) &gt; 0, EPP_2367111154[[#Headers],[SPCC]],
   COUNTIF(Herramientas_de_izaje2468112155[Herramientas_de_izaje], B418) &gt; 0, Herramientas_de_izaje2468112155[[#Headers],[Herramientas_de_izaje]],
COUNTIF(Tabla162670114157[Equipos], B418) &gt; 0, Tabla162670114157[[#Headers],[Equipos]],
    TRUE, "Sin clasificación"
)</f>
        <v>Sin clasificación</v>
      </c>
      <c r="I418" s="15"/>
      <c r="J418" s="47"/>
      <c r="K418" s="76"/>
      <c r="L418" s="76"/>
      <c r="M418" s="78" t="str">
        <f>_xlfn.LET(
    _xlpm.itemBuscado, B418,
    _xlpm.areaBuscada, C418,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TEXT(COUNTIF($C$2:C418, _xlpm.areaBuscada), "0000"),
    _xlpm.codItem &amp; "-" &amp; _xlpm.codArea &amp; "-" &amp; _xlpm.secuencia
)</f>
        <v>-SinArea-0000</v>
      </c>
      <c r="N418" s="77"/>
      <c r="O418" s="32"/>
      <c r="P418" s="32"/>
      <c r="Q418" s="32"/>
      <c r="R418" s="32"/>
    </row>
    <row r="419" spans="3:18" x14ac:dyDescent="0.3">
      <c r="C419" s="11"/>
      <c r="D419" s="32"/>
      <c r="E419" s="11" t="str" cm="1">
        <f t="array" ref="E419">_xlfn.IFS(
    COUNTIF(Herramientas_eléctricas1862106149[Herramientas_eléctricas], B419) &gt; 0, Herramientas_eléctricas1862106149[[#Headers],[Herramientas_eléctricas]],
    COUNTIF(Herramientas_neumáticas1963107150[Herramientas_neumáticas], B419) &gt; 0, Herramientas_neumáticas1963107150[[#Headers],[Herramientas_neumáticas]],
    COUNTIF(Herramientas_de_medición2064108151[Herramientas_de_medición], B419) &gt; 0, Herramientas_de_medición2064108151[[#Headers],[Herramientas_de_medición]],
    COUNTIF(Herrramientas_mecánicas2165109152[Herramientas_mecánicas], B419) &gt; 0, Herrramientas_mecánicas2165109152[[#Headers],[Herramientas_mecánicas]],
    COUNTIF(AH419:AH425, B419) &gt; 0, Herramientas_hidráulicas2266110153[[#Headers],[Herramientas_hidráulicas]],
    COUNTIF(EPP_2367111154[SPCC], B419) &gt; 0, EPP_2367111154[[#Headers],[SPCC]],
   COUNTIF(Herramientas_de_izaje2468112155[Herramientas_de_izaje], B419) &gt; 0, Herramientas_de_izaje2468112155[[#Headers],[Herramientas_de_izaje]],
COUNTIF(Tabla162670114157[Equipos], B419) &gt; 0, Tabla162670114157[[#Headers],[Equipos]],
    TRUE, "Sin clasificación"
)</f>
        <v>Sin clasificación</v>
      </c>
      <c r="I419" s="15"/>
      <c r="J419" s="47"/>
      <c r="K419" s="76"/>
      <c r="L419" s="76"/>
      <c r="M419" s="78" t="str">
        <f>_xlfn.LET(
    _xlpm.itemBuscado, B419,
    _xlpm.areaBuscada, C419,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TEXT(COUNTIF($C$2:C419, _xlpm.areaBuscada), "0000"),
    _xlpm.codItem &amp; "-" &amp; _xlpm.codArea &amp; "-" &amp; _xlpm.secuencia
)</f>
        <v>-SinArea-0000</v>
      </c>
      <c r="N419" s="77"/>
      <c r="O419" s="32"/>
      <c r="P419" s="32"/>
      <c r="Q419" s="32"/>
      <c r="R419" s="32"/>
    </row>
    <row r="420" spans="3:18" x14ac:dyDescent="0.3">
      <c r="C420" s="11"/>
      <c r="D420" s="32"/>
      <c r="E420" s="11" t="str" cm="1">
        <f t="array" ref="E420">_xlfn.IFS(
    COUNTIF(Herramientas_eléctricas1862106149[Herramientas_eléctricas], B420) &gt; 0, Herramientas_eléctricas1862106149[[#Headers],[Herramientas_eléctricas]],
    COUNTIF(Herramientas_neumáticas1963107150[Herramientas_neumáticas], B420) &gt; 0, Herramientas_neumáticas1963107150[[#Headers],[Herramientas_neumáticas]],
    COUNTIF(Herramientas_de_medición2064108151[Herramientas_de_medición], B420) &gt; 0, Herramientas_de_medición2064108151[[#Headers],[Herramientas_de_medición]],
    COUNTIF(Herrramientas_mecánicas2165109152[Herramientas_mecánicas], B420) &gt; 0, Herrramientas_mecánicas2165109152[[#Headers],[Herramientas_mecánicas]],
    COUNTIF(AH420:AH426, B420) &gt; 0, Herramientas_hidráulicas2266110153[[#Headers],[Herramientas_hidráulicas]],
    COUNTIF(EPP_2367111154[SPCC], B420) &gt; 0, EPP_2367111154[[#Headers],[SPCC]],
   COUNTIF(Herramientas_de_izaje2468112155[Herramientas_de_izaje], B420) &gt; 0, Herramientas_de_izaje2468112155[[#Headers],[Herramientas_de_izaje]],
COUNTIF(Tabla162670114157[Equipos], B420) &gt; 0, Tabla162670114157[[#Headers],[Equipos]],
    TRUE, "Sin clasificación"
)</f>
        <v>Sin clasificación</v>
      </c>
      <c r="I420" s="15"/>
      <c r="J420" s="47"/>
      <c r="K420" s="76"/>
      <c r="L420" s="76"/>
      <c r="M420" s="78" t="str">
        <f>_xlfn.LET(
    _xlpm.itemBuscado, B420,
    _xlpm.areaBuscada, C420,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TEXT(COUNTIF($C$2:C420, _xlpm.areaBuscada), "0000"),
    _xlpm.codItem &amp; "-" &amp; _xlpm.codArea &amp; "-" &amp; _xlpm.secuencia
)</f>
        <v>-SinArea-0000</v>
      </c>
      <c r="N420" s="77"/>
      <c r="O420" s="32"/>
      <c r="P420" s="32"/>
      <c r="Q420" s="32"/>
      <c r="R420" s="32"/>
    </row>
    <row r="421" spans="3:18" x14ac:dyDescent="0.3">
      <c r="C421" s="11"/>
      <c r="D421" s="32"/>
      <c r="E421" s="11" t="str" cm="1">
        <f t="array" ref="E421">_xlfn.IFS(
    COUNTIF(Herramientas_eléctricas1862106149[Herramientas_eléctricas], B421) &gt; 0, Herramientas_eléctricas1862106149[[#Headers],[Herramientas_eléctricas]],
    COUNTIF(Herramientas_neumáticas1963107150[Herramientas_neumáticas], B421) &gt; 0, Herramientas_neumáticas1963107150[[#Headers],[Herramientas_neumáticas]],
    COUNTIF(Herramientas_de_medición2064108151[Herramientas_de_medición], B421) &gt; 0, Herramientas_de_medición2064108151[[#Headers],[Herramientas_de_medición]],
    COUNTIF(Herrramientas_mecánicas2165109152[Herramientas_mecánicas], B421) &gt; 0, Herrramientas_mecánicas2165109152[[#Headers],[Herramientas_mecánicas]],
    COUNTIF(AH421:AH427, B421) &gt; 0, Herramientas_hidráulicas2266110153[[#Headers],[Herramientas_hidráulicas]],
    COUNTIF(EPP_2367111154[SPCC], B421) &gt; 0, EPP_2367111154[[#Headers],[SPCC]],
   COUNTIF(Herramientas_de_izaje2468112155[Herramientas_de_izaje], B421) &gt; 0, Herramientas_de_izaje2468112155[[#Headers],[Herramientas_de_izaje]],
COUNTIF(Tabla162670114157[Equipos], B421) &gt; 0, Tabla162670114157[[#Headers],[Equipos]],
    TRUE, "Sin clasificación"
)</f>
        <v>Sin clasificación</v>
      </c>
      <c r="I421" s="15"/>
      <c r="J421" s="47"/>
      <c r="K421" s="76"/>
      <c r="L421" s="76"/>
      <c r="M421" s="78" t="str">
        <f>_xlfn.LET(
    _xlpm.itemBuscado, B421,
    _xlpm.areaBuscada, C421,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TEXT(COUNTIF($C$2:C421, _xlpm.areaBuscada), "0000"),
    _xlpm.codItem &amp; "-" &amp; _xlpm.codArea &amp; "-" &amp; _xlpm.secuencia
)</f>
        <v>-SinArea-0000</v>
      </c>
      <c r="N421" s="77"/>
      <c r="O421" s="32"/>
      <c r="P421" s="32"/>
      <c r="Q421" s="32"/>
      <c r="R421" s="32"/>
    </row>
    <row r="422" spans="3:18" x14ac:dyDescent="0.3">
      <c r="C422" s="11"/>
      <c r="D422" s="32"/>
      <c r="E422" s="11" t="str" cm="1">
        <f t="array" ref="E422">_xlfn.IFS(
    COUNTIF(Herramientas_eléctricas1862106149[Herramientas_eléctricas], B422) &gt; 0, Herramientas_eléctricas1862106149[[#Headers],[Herramientas_eléctricas]],
    COUNTIF(Herramientas_neumáticas1963107150[Herramientas_neumáticas], B422) &gt; 0, Herramientas_neumáticas1963107150[[#Headers],[Herramientas_neumáticas]],
    COUNTIF(Herramientas_de_medición2064108151[Herramientas_de_medición], B422) &gt; 0, Herramientas_de_medición2064108151[[#Headers],[Herramientas_de_medición]],
    COUNTIF(Herrramientas_mecánicas2165109152[Herramientas_mecánicas], B422) &gt; 0, Herrramientas_mecánicas2165109152[[#Headers],[Herramientas_mecánicas]],
    COUNTIF(AH422:AH428, B422) &gt; 0, Herramientas_hidráulicas2266110153[[#Headers],[Herramientas_hidráulicas]],
    COUNTIF(EPP_2367111154[SPCC], B422) &gt; 0, EPP_2367111154[[#Headers],[SPCC]],
   COUNTIF(Herramientas_de_izaje2468112155[Herramientas_de_izaje], B422) &gt; 0, Herramientas_de_izaje2468112155[[#Headers],[Herramientas_de_izaje]],
COUNTIF(Tabla162670114157[Equipos], B422) &gt; 0, Tabla162670114157[[#Headers],[Equipos]],
    TRUE, "Sin clasificación"
)</f>
        <v>Sin clasificación</v>
      </c>
      <c r="I422" s="15"/>
      <c r="J422" s="47"/>
      <c r="K422" s="76"/>
      <c r="L422" s="76"/>
      <c r="M422" s="78" t="str">
        <f>_xlfn.LET(
    _xlpm.itemBuscado, B422,
    _xlpm.areaBuscada, C422,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TEXT(COUNTIF($C$2:C422, _xlpm.areaBuscada), "0000"),
    _xlpm.codItem &amp; "-" &amp; _xlpm.codArea &amp; "-" &amp; _xlpm.secuencia
)</f>
        <v>-SinArea-0000</v>
      </c>
      <c r="N422" s="77"/>
      <c r="O422" s="32"/>
      <c r="P422" s="32"/>
      <c r="Q422" s="32"/>
      <c r="R422" s="32"/>
    </row>
    <row r="423" spans="3:18" x14ac:dyDescent="0.3">
      <c r="C423" s="11"/>
      <c r="D423" s="32"/>
      <c r="E423" s="11" t="str" cm="1">
        <f t="array" ref="E423">_xlfn.IFS(
    COUNTIF(Herramientas_eléctricas1862106149[Herramientas_eléctricas], B423) &gt; 0, Herramientas_eléctricas1862106149[[#Headers],[Herramientas_eléctricas]],
    COUNTIF(Herramientas_neumáticas1963107150[Herramientas_neumáticas], B423) &gt; 0, Herramientas_neumáticas1963107150[[#Headers],[Herramientas_neumáticas]],
    COUNTIF(Herramientas_de_medición2064108151[Herramientas_de_medición], B423) &gt; 0, Herramientas_de_medición2064108151[[#Headers],[Herramientas_de_medición]],
    COUNTIF(Herrramientas_mecánicas2165109152[Herramientas_mecánicas], B423) &gt; 0, Herrramientas_mecánicas2165109152[[#Headers],[Herramientas_mecánicas]],
    COUNTIF(AH423:AH429, B423) &gt; 0, Herramientas_hidráulicas2266110153[[#Headers],[Herramientas_hidráulicas]],
    COUNTIF(EPP_2367111154[SPCC], B423) &gt; 0, EPP_2367111154[[#Headers],[SPCC]],
   COUNTIF(Herramientas_de_izaje2468112155[Herramientas_de_izaje], B423) &gt; 0, Herramientas_de_izaje2468112155[[#Headers],[Herramientas_de_izaje]],
COUNTIF(Tabla162670114157[Equipos], B423) &gt; 0, Tabla162670114157[[#Headers],[Equipos]],
    TRUE, "Sin clasificación"
)</f>
        <v>Sin clasificación</v>
      </c>
      <c r="I423" s="15"/>
      <c r="J423" s="47"/>
      <c r="K423" s="76"/>
      <c r="L423" s="76"/>
      <c r="M423" s="78" t="str">
        <f>_xlfn.LET(
    _xlpm.itemBuscado, B423,
    _xlpm.areaBuscada, C423,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TEXT(COUNTIF($C$2:C423, _xlpm.areaBuscada), "0000"),
    _xlpm.codItem &amp; "-" &amp; _xlpm.codArea &amp; "-" &amp; _xlpm.secuencia
)</f>
        <v>-SinArea-0000</v>
      </c>
      <c r="N423" s="77"/>
      <c r="O423" s="32"/>
      <c r="P423" s="32"/>
      <c r="Q423" s="32"/>
      <c r="R423" s="32"/>
    </row>
    <row r="424" spans="3:18" x14ac:dyDescent="0.3">
      <c r="C424" s="11"/>
      <c r="D424" s="32"/>
      <c r="E424" s="11" t="str" cm="1">
        <f t="array" ref="E424">_xlfn.IFS(
    COUNTIF(Herramientas_eléctricas1862106149[Herramientas_eléctricas], B424) &gt; 0, Herramientas_eléctricas1862106149[[#Headers],[Herramientas_eléctricas]],
    COUNTIF(Herramientas_neumáticas1963107150[Herramientas_neumáticas], B424) &gt; 0, Herramientas_neumáticas1963107150[[#Headers],[Herramientas_neumáticas]],
    COUNTIF(Herramientas_de_medición2064108151[Herramientas_de_medición], B424) &gt; 0, Herramientas_de_medición2064108151[[#Headers],[Herramientas_de_medición]],
    COUNTIF(Herrramientas_mecánicas2165109152[Herramientas_mecánicas], B424) &gt; 0, Herrramientas_mecánicas2165109152[[#Headers],[Herramientas_mecánicas]],
    COUNTIF(AH424:AH430, B424) &gt; 0, Herramientas_hidráulicas2266110153[[#Headers],[Herramientas_hidráulicas]],
    COUNTIF(EPP_2367111154[SPCC], B424) &gt; 0, EPP_2367111154[[#Headers],[SPCC]],
   COUNTIF(Herramientas_de_izaje2468112155[Herramientas_de_izaje], B424) &gt; 0, Herramientas_de_izaje2468112155[[#Headers],[Herramientas_de_izaje]],
COUNTIF(Tabla162670114157[Equipos], B424) &gt; 0, Tabla162670114157[[#Headers],[Equipos]],
    TRUE, "Sin clasificación"
)</f>
        <v>Sin clasificación</v>
      </c>
      <c r="I424" s="15"/>
      <c r="J424" s="47"/>
      <c r="K424" s="76"/>
      <c r="L424" s="76"/>
      <c r="M424" s="78" t="str">
        <f>_xlfn.LET(
    _xlpm.itemBuscado, B424,
    _xlpm.areaBuscada, C424,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TEXT(COUNTIF($C$2:C424, _xlpm.areaBuscada), "0000"),
    _xlpm.codItem &amp; "-" &amp; _xlpm.codArea &amp; "-" &amp; _xlpm.secuencia
)</f>
        <v>-SinArea-0000</v>
      </c>
      <c r="N424" s="77"/>
      <c r="O424" s="32"/>
      <c r="P424" s="32"/>
      <c r="Q424" s="32"/>
      <c r="R424" s="32"/>
    </row>
    <row r="425" spans="3:18" x14ac:dyDescent="0.3">
      <c r="C425" s="11"/>
      <c r="D425" s="32"/>
      <c r="E425" s="11" t="str" cm="1">
        <f t="array" ref="E425">_xlfn.IFS(
    COUNTIF(Herramientas_eléctricas1862106149[Herramientas_eléctricas], B425) &gt; 0, Herramientas_eléctricas1862106149[[#Headers],[Herramientas_eléctricas]],
    COUNTIF(Herramientas_neumáticas1963107150[Herramientas_neumáticas], B425) &gt; 0, Herramientas_neumáticas1963107150[[#Headers],[Herramientas_neumáticas]],
    COUNTIF(Herramientas_de_medición2064108151[Herramientas_de_medición], B425) &gt; 0, Herramientas_de_medición2064108151[[#Headers],[Herramientas_de_medición]],
    COUNTIF(Herrramientas_mecánicas2165109152[Herramientas_mecánicas], B425) &gt; 0, Herrramientas_mecánicas2165109152[[#Headers],[Herramientas_mecánicas]],
    COUNTIF(AH425:AH431, B425) &gt; 0, Herramientas_hidráulicas2266110153[[#Headers],[Herramientas_hidráulicas]],
    COUNTIF(EPP_2367111154[SPCC], B425) &gt; 0, EPP_2367111154[[#Headers],[SPCC]],
   COUNTIF(Herramientas_de_izaje2468112155[Herramientas_de_izaje], B425) &gt; 0, Herramientas_de_izaje2468112155[[#Headers],[Herramientas_de_izaje]],
COUNTIF(Tabla162670114157[Equipos], B425) &gt; 0, Tabla162670114157[[#Headers],[Equipos]],
    TRUE, "Sin clasificación"
)</f>
        <v>Sin clasificación</v>
      </c>
      <c r="I425" s="15"/>
      <c r="J425" s="47"/>
      <c r="K425" s="76"/>
      <c r="L425" s="76"/>
      <c r="M425" s="78" t="str">
        <f>_xlfn.LET(
    _xlpm.itemBuscado, B425,
    _xlpm.areaBuscada, C425,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TEXT(COUNTIF($C$2:C425, _xlpm.areaBuscada), "0000"),
    _xlpm.codItem &amp; "-" &amp; _xlpm.codArea &amp; "-" &amp; _xlpm.secuencia
)</f>
        <v>-SinArea-0000</v>
      </c>
      <c r="N425" s="77"/>
      <c r="O425" s="32"/>
      <c r="P425" s="32"/>
      <c r="Q425" s="32"/>
      <c r="R425" s="32"/>
    </row>
    <row r="426" spans="3:18" x14ac:dyDescent="0.3">
      <c r="C426" s="11"/>
      <c r="D426" s="32"/>
      <c r="E426" s="11" t="str" cm="1">
        <f t="array" ref="E426">_xlfn.IFS(
    COUNTIF(Herramientas_eléctricas1862106149[Herramientas_eléctricas], B426) &gt; 0, Herramientas_eléctricas1862106149[[#Headers],[Herramientas_eléctricas]],
    COUNTIF(Herramientas_neumáticas1963107150[Herramientas_neumáticas], B426) &gt; 0, Herramientas_neumáticas1963107150[[#Headers],[Herramientas_neumáticas]],
    COUNTIF(Herramientas_de_medición2064108151[Herramientas_de_medición], B426) &gt; 0, Herramientas_de_medición2064108151[[#Headers],[Herramientas_de_medición]],
    COUNTIF(Herrramientas_mecánicas2165109152[Herramientas_mecánicas], B426) &gt; 0, Herrramientas_mecánicas2165109152[[#Headers],[Herramientas_mecánicas]],
    COUNTIF(AH426:AH432, B426) &gt; 0, Herramientas_hidráulicas2266110153[[#Headers],[Herramientas_hidráulicas]],
    COUNTIF(EPP_2367111154[SPCC], B426) &gt; 0, EPP_2367111154[[#Headers],[SPCC]],
   COUNTIF(Herramientas_de_izaje2468112155[Herramientas_de_izaje], B426) &gt; 0, Herramientas_de_izaje2468112155[[#Headers],[Herramientas_de_izaje]],
COUNTIF(Tabla162670114157[Equipos], B426) &gt; 0, Tabla162670114157[[#Headers],[Equipos]],
    TRUE, "Sin clasificación"
)</f>
        <v>Sin clasificación</v>
      </c>
      <c r="I426" s="15"/>
      <c r="J426" s="47"/>
      <c r="K426" s="76"/>
      <c r="L426" s="76"/>
      <c r="M426" s="78" t="str">
        <f>_xlfn.LET(
    _xlpm.itemBuscado, B426,
    _xlpm.areaBuscada, C426,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TEXT(COUNTIF($C$2:C426, _xlpm.areaBuscada), "0000"),
    _xlpm.codItem &amp; "-" &amp; _xlpm.codArea &amp; "-" &amp; _xlpm.secuencia
)</f>
        <v>-SinArea-0000</v>
      </c>
      <c r="N426" s="77"/>
      <c r="O426" s="32"/>
      <c r="P426" s="32"/>
      <c r="Q426" s="32"/>
      <c r="R426" s="32"/>
    </row>
    <row r="427" spans="3:18" x14ac:dyDescent="0.3">
      <c r="C427" s="11"/>
      <c r="D427" s="32"/>
      <c r="E427" s="11" t="str" cm="1">
        <f t="array" ref="E427">_xlfn.IFS(
    COUNTIF(Herramientas_eléctricas1862106149[Herramientas_eléctricas], B427) &gt; 0, Herramientas_eléctricas1862106149[[#Headers],[Herramientas_eléctricas]],
    COUNTIF(Herramientas_neumáticas1963107150[Herramientas_neumáticas], B427) &gt; 0, Herramientas_neumáticas1963107150[[#Headers],[Herramientas_neumáticas]],
    COUNTIF(Herramientas_de_medición2064108151[Herramientas_de_medición], B427) &gt; 0, Herramientas_de_medición2064108151[[#Headers],[Herramientas_de_medición]],
    COUNTIF(Herrramientas_mecánicas2165109152[Herramientas_mecánicas], B427) &gt; 0, Herrramientas_mecánicas2165109152[[#Headers],[Herramientas_mecánicas]],
    COUNTIF(AH427:AH433, B427) &gt; 0, Herramientas_hidráulicas2266110153[[#Headers],[Herramientas_hidráulicas]],
    COUNTIF(EPP_2367111154[SPCC], B427) &gt; 0, EPP_2367111154[[#Headers],[SPCC]],
   COUNTIF(Herramientas_de_izaje2468112155[Herramientas_de_izaje], B427) &gt; 0, Herramientas_de_izaje2468112155[[#Headers],[Herramientas_de_izaje]],
COUNTIF(Tabla162670114157[Equipos], B427) &gt; 0, Tabla162670114157[[#Headers],[Equipos]],
    TRUE, "Sin clasificación"
)</f>
        <v>Sin clasificación</v>
      </c>
      <c r="I427" s="15"/>
      <c r="J427" s="47"/>
      <c r="K427" s="76"/>
      <c r="L427" s="76"/>
      <c r="M427" s="78" t="str">
        <f>_xlfn.LET(
    _xlpm.itemBuscado, B427,
    _xlpm.areaBuscada, C427,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TEXT(COUNTIF($C$2:C427, _xlpm.areaBuscada), "0000"),
    _xlpm.codItem &amp; "-" &amp; _xlpm.codArea &amp; "-" &amp; _xlpm.secuencia
)</f>
        <v>-SinArea-0000</v>
      </c>
      <c r="N427" s="77"/>
      <c r="O427" s="32"/>
      <c r="P427" s="32"/>
      <c r="Q427" s="32"/>
      <c r="R427" s="32"/>
    </row>
    <row r="428" spans="3:18" x14ac:dyDescent="0.3">
      <c r="C428" s="11"/>
      <c r="D428" s="32"/>
      <c r="E428" s="11" t="str" cm="1">
        <f t="array" ref="E428">_xlfn.IFS(
    COUNTIF(Herramientas_eléctricas1862106149[Herramientas_eléctricas], B428) &gt; 0, Herramientas_eléctricas1862106149[[#Headers],[Herramientas_eléctricas]],
    COUNTIF(Herramientas_neumáticas1963107150[Herramientas_neumáticas], B428) &gt; 0, Herramientas_neumáticas1963107150[[#Headers],[Herramientas_neumáticas]],
    COUNTIF(Herramientas_de_medición2064108151[Herramientas_de_medición], B428) &gt; 0, Herramientas_de_medición2064108151[[#Headers],[Herramientas_de_medición]],
    COUNTIF(Herrramientas_mecánicas2165109152[Herramientas_mecánicas], B428) &gt; 0, Herrramientas_mecánicas2165109152[[#Headers],[Herramientas_mecánicas]],
    COUNTIF(AH428:AH434, B428) &gt; 0, Herramientas_hidráulicas2266110153[[#Headers],[Herramientas_hidráulicas]],
    COUNTIF(EPP_2367111154[SPCC], B428) &gt; 0, EPP_2367111154[[#Headers],[SPCC]],
   COUNTIF(Herramientas_de_izaje2468112155[Herramientas_de_izaje], B428) &gt; 0, Herramientas_de_izaje2468112155[[#Headers],[Herramientas_de_izaje]],
COUNTIF(Tabla162670114157[Equipos], B428) &gt; 0, Tabla162670114157[[#Headers],[Equipos]],
    TRUE, "Sin clasificación"
)</f>
        <v>Sin clasificación</v>
      </c>
      <c r="I428" s="15"/>
      <c r="J428" s="47"/>
      <c r="K428" s="76"/>
      <c r="L428" s="76"/>
      <c r="M428" s="78" t="str">
        <f>_xlfn.LET(
    _xlpm.itemBuscado, B428,
    _xlpm.areaBuscada, C428,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TEXT(COUNTIF($C$2:C428, _xlpm.areaBuscada), "0000"),
    _xlpm.codItem &amp; "-" &amp; _xlpm.codArea &amp; "-" &amp; _xlpm.secuencia
)</f>
        <v>-SinArea-0000</v>
      </c>
      <c r="N428" s="77"/>
      <c r="O428" s="32"/>
      <c r="P428" s="32"/>
      <c r="Q428" s="32"/>
      <c r="R428" s="32"/>
    </row>
    <row r="429" spans="3:18" x14ac:dyDescent="0.3">
      <c r="C429" s="11"/>
      <c r="D429" s="32"/>
      <c r="E429" s="11" t="str" cm="1">
        <f t="array" ref="E429">_xlfn.IFS(
    COUNTIF(Herramientas_eléctricas1862106149[Herramientas_eléctricas], B429) &gt; 0, Herramientas_eléctricas1862106149[[#Headers],[Herramientas_eléctricas]],
    COUNTIF(Herramientas_neumáticas1963107150[Herramientas_neumáticas], B429) &gt; 0, Herramientas_neumáticas1963107150[[#Headers],[Herramientas_neumáticas]],
    COUNTIF(Herramientas_de_medición2064108151[Herramientas_de_medición], B429) &gt; 0, Herramientas_de_medición2064108151[[#Headers],[Herramientas_de_medición]],
    COUNTIF(Herrramientas_mecánicas2165109152[Herramientas_mecánicas], B429) &gt; 0, Herrramientas_mecánicas2165109152[[#Headers],[Herramientas_mecánicas]],
    COUNTIF(AH429:AH435, B429) &gt; 0, Herramientas_hidráulicas2266110153[[#Headers],[Herramientas_hidráulicas]],
    COUNTIF(EPP_2367111154[SPCC], B429) &gt; 0, EPP_2367111154[[#Headers],[SPCC]],
   COUNTIF(Herramientas_de_izaje2468112155[Herramientas_de_izaje], B429) &gt; 0, Herramientas_de_izaje2468112155[[#Headers],[Herramientas_de_izaje]],
COUNTIF(Tabla162670114157[Equipos], B429) &gt; 0, Tabla162670114157[[#Headers],[Equipos]],
    TRUE, "Sin clasificación"
)</f>
        <v>Sin clasificación</v>
      </c>
      <c r="I429" s="15"/>
      <c r="J429" s="47"/>
      <c r="K429" s="76"/>
      <c r="L429" s="76"/>
      <c r="M429" s="78" t="str">
        <f>_xlfn.LET(
    _xlpm.itemBuscado, B429,
    _xlpm.areaBuscada, C429,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TEXT(COUNTIF($C$2:C429, _xlpm.areaBuscada), "0000"),
    _xlpm.codItem &amp; "-" &amp; _xlpm.codArea &amp; "-" &amp; _xlpm.secuencia
)</f>
        <v>-SinArea-0000</v>
      </c>
      <c r="N429" s="77"/>
      <c r="O429" s="32"/>
      <c r="P429" s="32"/>
      <c r="Q429" s="32"/>
      <c r="R429" s="32"/>
    </row>
    <row r="430" spans="3:18" x14ac:dyDescent="0.3">
      <c r="C430" s="11"/>
      <c r="D430" s="32"/>
      <c r="E430" s="11" t="str" cm="1">
        <f t="array" ref="E430">_xlfn.IFS(
    COUNTIF(Herramientas_eléctricas1862106149[Herramientas_eléctricas], B430) &gt; 0, Herramientas_eléctricas1862106149[[#Headers],[Herramientas_eléctricas]],
    COUNTIF(Herramientas_neumáticas1963107150[Herramientas_neumáticas], B430) &gt; 0, Herramientas_neumáticas1963107150[[#Headers],[Herramientas_neumáticas]],
    COUNTIF(Herramientas_de_medición2064108151[Herramientas_de_medición], B430) &gt; 0, Herramientas_de_medición2064108151[[#Headers],[Herramientas_de_medición]],
    COUNTIF(Herrramientas_mecánicas2165109152[Herramientas_mecánicas], B430) &gt; 0, Herrramientas_mecánicas2165109152[[#Headers],[Herramientas_mecánicas]],
    COUNTIF(AH430:AH436, B430) &gt; 0, Herramientas_hidráulicas2266110153[[#Headers],[Herramientas_hidráulicas]],
    COUNTIF(EPP_2367111154[SPCC], B430) &gt; 0, EPP_2367111154[[#Headers],[SPCC]],
   COUNTIF(Herramientas_de_izaje2468112155[Herramientas_de_izaje], B430) &gt; 0, Herramientas_de_izaje2468112155[[#Headers],[Herramientas_de_izaje]],
COUNTIF(Tabla162670114157[Equipos], B430) &gt; 0, Tabla162670114157[[#Headers],[Equipos]],
    TRUE, "Sin clasificación"
)</f>
        <v>Sin clasificación</v>
      </c>
      <c r="I430" s="15"/>
      <c r="J430" s="47"/>
      <c r="K430" s="76"/>
      <c r="L430" s="76"/>
      <c r="M430" s="78" t="str">
        <f>_xlfn.LET(
    _xlpm.itemBuscado, B430,
    _xlpm.areaBuscada, C430,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TEXT(COUNTIF($C$2:C430, _xlpm.areaBuscada), "0000"),
    _xlpm.codItem &amp; "-" &amp; _xlpm.codArea &amp; "-" &amp; _xlpm.secuencia
)</f>
        <v>-SinArea-0000</v>
      </c>
      <c r="N430" s="77"/>
      <c r="O430" s="32"/>
      <c r="P430" s="32"/>
      <c r="Q430" s="32"/>
      <c r="R430" s="32"/>
    </row>
    <row r="431" spans="3:18" x14ac:dyDescent="0.3">
      <c r="C431" s="11"/>
      <c r="D431" s="32"/>
      <c r="E431" s="11" t="str" cm="1">
        <f t="array" ref="E431">_xlfn.IFS(
    COUNTIF(Herramientas_eléctricas1862106149[Herramientas_eléctricas], B431) &gt; 0, Herramientas_eléctricas1862106149[[#Headers],[Herramientas_eléctricas]],
    COUNTIF(Herramientas_neumáticas1963107150[Herramientas_neumáticas], B431) &gt; 0, Herramientas_neumáticas1963107150[[#Headers],[Herramientas_neumáticas]],
    COUNTIF(Herramientas_de_medición2064108151[Herramientas_de_medición], B431) &gt; 0, Herramientas_de_medición2064108151[[#Headers],[Herramientas_de_medición]],
    COUNTIF(Herrramientas_mecánicas2165109152[Herramientas_mecánicas], B431) &gt; 0, Herrramientas_mecánicas2165109152[[#Headers],[Herramientas_mecánicas]],
    COUNTIF(AH431:AH437, B431) &gt; 0, Herramientas_hidráulicas2266110153[[#Headers],[Herramientas_hidráulicas]],
    COUNTIF(EPP_2367111154[SPCC], B431) &gt; 0, EPP_2367111154[[#Headers],[SPCC]],
   COUNTIF(Herramientas_de_izaje2468112155[Herramientas_de_izaje], B431) &gt; 0, Herramientas_de_izaje2468112155[[#Headers],[Herramientas_de_izaje]],
COUNTIF(Tabla162670114157[Equipos], B431) &gt; 0, Tabla162670114157[[#Headers],[Equipos]],
    TRUE, "Sin clasificación"
)</f>
        <v>Sin clasificación</v>
      </c>
      <c r="I431" s="15"/>
      <c r="J431" s="47"/>
      <c r="K431" s="76"/>
      <c r="L431" s="76"/>
      <c r="M431" s="78" t="str">
        <f>_xlfn.LET(
    _xlpm.itemBuscado, B431,
    _xlpm.areaBuscada, C431,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TEXT(COUNTIF($C$2:C431, _xlpm.areaBuscada), "0000"),
    _xlpm.codItem &amp; "-" &amp; _xlpm.codArea &amp; "-" &amp; _xlpm.secuencia
)</f>
        <v>-SinArea-0000</v>
      </c>
      <c r="N431" s="77"/>
      <c r="O431" s="32"/>
      <c r="P431" s="32"/>
      <c r="Q431" s="32"/>
      <c r="R431" s="32"/>
    </row>
    <row r="432" spans="3:18" x14ac:dyDescent="0.3">
      <c r="C432" s="11"/>
      <c r="D432" s="32"/>
      <c r="E432" s="11" t="str" cm="1">
        <f t="array" ref="E432">_xlfn.IFS(
    COUNTIF(Herramientas_eléctricas1862106149[Herramientas_eléctricas], B432) &gt; 0, Herramientas_eléctricas1862106149[[#Headers],[Herramientas_eléctricas]],
    COUNTIF(Herramientas_neumáticas1963107150[Herramientas_neumáticas], B432) &gt; 0, Herramientas_neumáticas1963107150[[#Headers],[Herramientas_neumáticas]],
    COUNTIF(Herramientas_de_medición2064108151[Herramientas_de_medición], B432) &gt; 0, Herramientas_de_medición2064108151[[#Headers],[Herramientas_de_medición]],
    COUNTIF(Herrramientas_mecánicas2165109152[Herramientas_mecánicas], B432) &gt; 0, Herrramientas_mecánicas2165109152[[#Headers],[Herramientas_mecánicas]],
    COUNTIF(AH432:AH438, B432) &gt; 0, Herramientas_hidráulicas2266110153[[#Headers],[Herramientas_hidráulicas]],
    COUNTIF(EPP_2367111154[SPCC], B432) &gt; 0, EPP_2367111154[[#Headers],[SPCC]],
   COUNTIF(Herramientas_de_izaje2468112155[Herramientas_de_izaje], B432) &gt; 0, Herramientas_de_izaje2468112155[[#Headers],[Herramientas_de_izaje]],
COUNTIF(Tabla162670114157[Equipos], B432) &gt; 0, Tabla162670114157[[#Headers],[Equipos]],
    TRUE, "Sin clasificación"
)</f>
        <v>Sin clasificación</v>
      </c>
      <c r="I432" s="15"/>
      <c r="J432" s="47"/>
      <c r="K432" s="76"/>
      <c r="L432" s="76"/>
      <c r="M432" s="78" t="str">
        <f>_xlfn.LET(
    _xlpm.itemBuscado, B432,
    _xlpm.areaBuscada, C432,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TEXT(COUNTIF($C$2:C432, _xlpm.areaBuscada), "0000"),
    _xlpm.codItem &amp; "-" &amp; _xlpm.codArea &amp; "-" &amp; _xlpm.secuencia
)</f>
        <v>-SinArea-0000</v>
      </c>
      <c r="N432" s="77"/>
      <c r="O432" s="32"/>
      <c r="P432" s="32"/>
      <c r="Q432" s="32"/>
      <c r="R432" s="32"/>
    </row>
    <row r="433" spans="3:18" x14ac:dyDescent="0.3">
      <c r="C433" s="11"/>
      <c r="D433" s="32"/>
      <c r="E433" s="11" t="str" cm="1">
        <f t="array" ref="E433">_xlfn.IFS(
    COUNTIF(Herramientas_eléctricas1862106149[Herramientas_eléctricas], B433) &gt; 0, Herramientas_eléctricas1862106149[[#Headers],[Herramientas_eléctricas]],
    COUNTIF(Herramientas_neumáticas1963107150[Herramientas_neumáticas], B433) &gt; 0, Herramientas_neumáticas1963107150[[#Headers],[Herramientas_neumáticas]],
    COUNTIF(Herramientas_de_medición2064108151[Herramientas_de_medición], B433) &gt; 0, Herramientas_de_medición2064108151[[#Headers],[Herramientas_de_medición]],
    COUNTIF(Herrramientas_mecánicas2165109152[Herramientas_mecánicas], B433) &gt; 0, Herrramientas_mecánicas2165109152[[#Headers],[Herramientas_mecánicas]],
    COUNTIF(AH433:AH439, B433) &gt; 0, Herramientas_hidráulicas2266110153[[#Headers],[Herramientas_hidráulicas]],
    COUNTIF(EPP_2367111154[SPCC], B433) &gt; 0, EPP_2367111154[[#Headers],[SPCC]],
   COUNTIF(Herramientas_de_izaje2468112155[Herramientas_de_izaje], B433) &gt; 0, Herramientas_de_izaje2468112155[[#Headers],[Herramientas_de_izaje]],
COUNTIF(Tabla162670114157[Equipos], B433) &gt; 0, Tabla162670114157[[#Headers],[Equipos]],
    TRUE, "Sin clasificación"
)</f>
        <v>Sin clasificación</v>
      </c>
      <c r="I433" s="15"/>
      <c r="J433" s="47"/>
      <c r="K433" s="76"/>
      <c r="L433" s="76"/>
      <c r="M433" s="78" t="str">
        <f>_xlfn.LET(
    _xlpm.itemBuscado, B433,
    _xlpm.areaBuscada, C433,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TEXT(COUNTIF($C$2:C433, _xlpm.areaBuscada), "0000"),
    _xlpm.codItem &amp; "-" &amp; _xlpm.codArea &amp; "-" &amp; _xlpm.secuencia
)</f>
        <v>-SinArea-0000</v>
      </c>
      <c r="N433" s="77"/>
      <c r="O433" s="32"/>
      <c r="P433" s="32"/>
      <c r="Q433" s="32"/>
      <c r="R433" s="32"/>
    </row>
    <row r="434" spans="3:18" x14ac:dyDescent="0.3">
      <c r="C434" s="11"/>
      <c r="D434" s="32"/>
      <c r="E434" s="11" t="str" cm="1">
        <f t="array" ref="E434">_xlfn.IFS(
    COUNTIF(Herramientas_eléctricas1862106149[Herramientas_eléctricas], B434) &gt; 0, Herramientas_eléctricas1862106149[[#Headers],[Herramientas_eléctricas]],
    COUNTIF(Herramientas_neumáticas1963107150[Herramientas_neumáticas], B434) &gt; 0, Herramientas_neumáticas1963107150[[#Headers],[Herramientas_neumáticas]],
    COUNTIF(Herramientas_de_medición2064108151[Herramientas_de_medición], B434) &gt; 0, Herramientas_de_medición2064108151[[#Headers],[Herramientas_de_medición]],
    COUNTIF(Herrramientas_mecánicas2165109152[Herramientas_mecánicas], B434) &gt; 0, Herrramientas_mecánicas2165109152[[#Headers],[Herramientas_mecánicas]],
    COUNTIF(AH434:AH440, B434) &gt; 0, Herramientas_hidráulicas2266110153[[#Headers],[Herramientas_hidráulicas]],
    COUNTIF(EPP_2367111154[SPCC], B434) &gt; 0, EPP_2367111154[[#Headers],[SPCC]],
   COUNTIF(Herramientas_de_izaje2468112155[Herramientas_de_izaje], B434) &gt; 0, Herramientas_de_izaje2468112155[[#Headers],[Herramientas_de_izaje]],
COUNTIF(Tabla162670114157[Equipos], B434) &gt; 0, Tabla162670114157[[#Headers],[Equipos]],
    TRUE, "Sin clasificación"
)</f>
        <v>Sin clasificación</v>
      </c>
      <c r="I434" s="15"/>
      <c r="J434" s="47"/>
      <c r="K434" s="76"/>
      <c r="L434" s="76"/>
      <c r="M434" s="78" t="str">
        <f>_xlfn.LET(
    _xlpm.itemBuscado, B434,
    _xlpm.areaBuscada, C434,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TEXT(COUNTIF($C$2:C434, _xlpm.areaBuscada), "0000"),
    _xlpm.codItem &amp; "-" &amp; _xlpm.codArea &amp; "-" &amp; _xlpm.secuencia
)</f>
        <v>-SinArea-0000</v>
      </c>
      <c r="N434" s="77"/>
      <c r="O434" s="32"/>
      <c r="P434" s="32"/>
      <c r="Q434" s="32"/>
      <c r="R434" s="32"/>
    </row>
    <row r="435" spans="3:18" x14ac:dyDescent="0.3">
      <c r="C435" s="11"/>
      <c r="D435" s="32"/>
      <c r="E435" s="11" t="str" cm="1">
        <f t="array" ref="E435">_xlfn.IFS(
    COUNTIF(Herramientas_eléctricas1862106149[Herramientas_eléctricas], B435) &gt; 0, Herramientas_eléctricas1862106149[[#Headers],[Herramientas_eléctricas]],
    COUNTIF(Herramientas_neumáticas1963107150[Herramientas_neumáticas], B435) &gt; 0, Herramientas_neumáticas1963107150[[#Headers],[Herramientas_neumáticas]],
    COUNTIF(Herramientas_de_medición2064108151[Herramientas_de_medición], B435) &gt; 0, Herramientas_de_medición2064108151[[#Headers],[Herramientas_de_medición]],
    COUNTIF(Herrramientas_mecánicas2165109152[Herramientas_mecánicas], B435) &gt; 0, Herrramientas_mecánicas2165109152[[#Headers],[Herramientas_mecánicas]],
    COUNTIF(AH435:AH441, B435) &gt; 0, Herramientas_hidráulicas2266110153[[#Headers],[Herramientas_hidráulicas]],
    COUNTIF(EPP_2367111154[SPCC], B435) &gt; 0, EPP_2367111154[[#Headers],[SPCC]],
   COUNTIF(Herramientas_de_izaje2468112155[Herramientas_de_izaje], B435) &gt; 0, Herramientas_de_izaje2468112155[[#Headers],[Herramientas_de_izaje]],
COUNTIF(Tabla162670114157[Equipos], B435) &gt; 0, Tabla162670114157[[#Headers],[Equipos]],
    TRUE, "Sin clasificación"
)</f>
        <v>Sin clasificación</v>
      </c>
      <c r="I435" s="15"/>
      <c r="J435" s="47"/>
      <c r="K435" s="76"/>
      <c r="L435" s="76"/>
      <c r="M435" s="78" t="str">
        <f>_xlfn.LET(
    _xlpm.itemBuscado, B435,
    _xlpm.areaBuscada, C435,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TEXT(COUNTIF($C$2:C435, _xlpm.areaBuscada), "0000"),
    _xlpm.codItem &amp; "-" &amp; _xlpm.codArea &amp; "-" &amp; _xlpm.secuencia
)</f>
        <v>-SinArea-0000</v>
      </c>
      <c r="N435" s="77"/>
      <c r="O435" s="32"/>
      <c r="P435" s="32"/>
      <c r="Q435" s="32"/>
      <c r="R435" s="32"/>
    </row>
    <row r="436" spans="3:18" x14ac:dyDescent="0.3">
      <c r="C436" s="11"/>
      <c r="D436" s="32"/>
      <c r="E436" s="11" t="str" cm="1">
        <f t="array" ref="E436">_xlfn.IFS(
    COUNTIF(Herramientas_eléctricas1862106149[Herramientas_eléctricas], B436) &gt; 0, Herramientas_eléctricas1862106149[[#Headers],[Herramientas_eléctricas]],
    COUNTIF(Herramientas_neumáticas1963107150[Herramientas_neumáticas], B436) &gt; 0, Herramientas_neumáticas1963107150[[#Headers],[Herramientas_neumáticas]],
    COUNTIF(Herramientas_de_medición2064108151[Herramientas_de_medición], B436) &gt; 0, Herramientas_de_medición2064108151[[#Headers],[Herramientas_de_medición]],
    COUNTIF(Herrramientas_mecánicas2165109152[Herramientas_mecánicas], B436) &gt; 0, Herrramientas_mecánicas2165109152[[#Headers],[Herramientas_mecánicas]],
    COUNTIF(AH436:AH442, B436) &gt; 0, Herramientas_hidráulicas2266110153[[#Headers],[Herramientas_hidráulicas]],
    COUNTIF(EPP_2367111154[SPCC], B436) &gt; 0, EPP_2367111154[[#Headers],[SPCC]],
   COUNTIF(Herramientas_de_izaje2468112155[Herramientas_de_izaje], B436) &gt; 0, Herramientas_de_izaje2468112155[[#Headers],[Herramientas_de_izaje]],
COUNTIF(Tabla162670114157[Equipos], B436) &gt; 0, Tabla162670114157[[#Headers],[Equipos]],
    TRUE, "Sin clasificación"
)</f>
        <v>Sin clasificación</v>
      </c>
      <c r="I436" s="15"/>
      <c r="J436" s="47"/>
      <c r="K436" s="76"/>
      <c r="L436" s="76"/>
      <c r="M436" s="78" t="str">
        <f>_xlfn.LET(
    _xlpm.itemBuscado, B436,
    _xlpm.areaBuscada, C436,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TEXT(COUNTIF($C$2:C436, _xlpm.areaBuscada), "0000"),
    _xlpm.codItem &amp; "-" &amp; _xlpm.codArea &amp; "-" &amp; _xlpm.secuencia
)</f>
        <v>-SinArea-0000</v>
      </c>
      <c r="N436" s="77"/>
      <c r="O436" s="32"/>
      <c r="P436" s="32"/>
      <c r="Q436" s="32"/>
      <c r="R436" s="32"/>
    </row>
    <row r="437" spans="3:18" x14ac:dyDescent="0.3">
      <c r="C437" s="11"/>
      <c r="D437" s="32"/>
      <c r="E437" s="11" t="str" cm="1">
        <f t="array" ref="E437">_xlfn.IFS(
    COUNTIF(Herramientas_eléctricas1862106149[Herramientas_eléctricas], B437) &gt; 0, Herramientas_eléctricas1862106149[[#Headers],[Herramientas_eléctricas]],
    COUNTIF(Herramientas_neumáticas1963107150[Herramientas_neumáticas], B437) &gt; 0, Herramientas_neumáticas1963107150[[#Headers],[Herramientas_neumáticas]],
    COUNTIF(Herramientas_de_medición2064108151[Herramientas_de_medición], B437) &gt; 0, Herramientas_de_medición2064108151[[#Headers],[Herramientas_de_medición]],
    COUNTIF(Herrramientas_mecánicas2165109152[Herramientas_mecánicas], B437) &gt; 0, Herrramientas_mecánicas2165109152[[#Headers],[Herramientas_mecánicas]],
    COUNTIF(AH437:AH443, B437) &gt; 0, Herramientas_hidráulicas2266110153[[#Headers],[Herramientas_hidráulicas]],
    COUNTIF(EPP_2367111154[SPCC], B437) &gt; 0, EPP_2367111154[[#Headers],[SPCC]],
   COUNTIF(Herramientas_de_izaje2468112155[Herramientas_de_izaje], B437) &gt; 0, Herramientas_de_izaje2468112155[[#Headers],[Herramientas_de_izaje]],
COUNTIF(Tabla162670114157[Equipos], B437) &gt; 0, Tabla162670114157[[#Headers],[Equipos]],
    TRUE, "Sin clasificación"
)</f>
        <v>Sin clasificación</v>
      </c>
      <c r="I437" s="15"/>
      <c r="J437" s="47"/>
      <c r="K437" s="76"/>
      <c r="L437" s="76"/>
      <c r="M437" s="78" t="str">
        <f>_xlfn.LET(
    _xlpm.itemBuscado, B437,
    _xlpm.areaBuscada, C437,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TEXT(COUNTIF($C$2:C437, _xlpm.areaBuscada), "0000"),
    _xlpm.codItem &amp; "-" &amp; _xlpm.codArea &amp; "-" &amp; _xlpm.secuencia
)</f>
        <v>-SinArea-0000</v>
      </c>
      <c r="N437" s="77"/>
      <c r="O437" s="32"/>
      <c r="P437" s="32"/>
      <c r="Q437" s="32"/>
      <c r="R437" s="32"/>
    </row>
    <row r="438" spans="3:18" x14ac:dyDescent="0.3">
      <c r="C438" s="11"/>
      <c r="D438" s="32"/>
      <c r="E438" s="11" t="str" cm="1">
        <f t="array" ref="E438">_xlfn.IFS(
    COUNTIF(Herramientas_eléctricas1862106149[Herramientas_eléctricas], B438) &gt; 0, Herramientas_eléctricas1862106149[[#Headers],[Herramientas_eléctricas]],
    COUNTIF(Herramientas_neumáticas1963107150[Herramientas_neumáticas], B438) &gt; 0, Herramientas_neumáticas1963107150[[#Headers],[Herramientas_neumáticas]],
    COUNTIF(Herramientas_de_medición2064108151[Herramientas_de_medición], B438) &gt; 0, Herramientas_de_medición2064108151[[#Headers],[Herramientas_de_medición]],
    COUNTIF(Herrramientas_mecánicas2165109152[Herramientas_mecánicas], B438) &gt; 0, Herrramientas_mecánicas2165109152[[#Headers],[Herramientas_mecánicas]],
    COUNTIF(AH438:AH444, B438) &gt; 0, Herramientas_hidráulicas2266110153[[#Headers],[Herramientas_hidráulicas]],
    COUNTIF(EPP_2367111154[SPCC], B438) &gt; 0, EPP_2367111154[[#Headers],[SPCC]],
   COUNTIF(Herramientas_de_izaje2468112155[Herramientas_de_izaje], B438) &gt; 0, Herramientas_de_izaje2468112155[[#Headers],[Herramientas_de_izaje]],
COUNTIF(Tabla162670114157[Equipos], B438) &gt; 0, Tabla162670114157[[#Headers],[Equipos]],
    TRUE, "Sin clasificación"
)</f>
        <v>Sin clasificación</v>
      </c>
      <c r="I438" s="15"/>
      <c r="J438" s="47"/>
      <c r="K438" s="76"/>
      <c r="L438" s="76"/>
      <c r="M438" s="78" t="str">
        <f>_xlfn.LET(
    _xlpm.itemBuscado, B438,
    _xlpm.areaBuscada, C438,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TEXT(COUNTIF($C$2:C438, _xlpm.areaBuscada), "0000"),
    _xlpm.codItem &amp; "-" &amp; _xlpm.codArea &amp; "-" &amp; _xlpm.secuencia
)</f>
        <v>-SinArea-0000</v>
      </c>
      <c r="N438" s="77"/>
      <c r="O438" s="32"/>
      <c r="P438" s="32"/>
      <c r="Q438" s="32"/>
      <c r="R438" s="32"/>
    </row>
    <row r="439" spans="3:18" x14ac:dyDescent="0.3">
      <c r="C439" s="11"/>
      <c r="D439" s="32"/>
      <c r="E439" s="11" t="str" cm="1">
        <f t="array" ref="E439">_xlfn.IFS(
    COUNTIF(Herramientas_eléctricas1862106149[Herramientas_eléctricas], B439) &gt; 0, Herramientas_eléctricas1862106149[[#Headers],[Herramientas_eléctricas]],
    COUNTIF(Herramientas_neumáticas1963107150[Herramientas_neumáticas], B439) &gt; 0, Herramientas_neumáticas1963107150[[#Headers],[Herramientas_neumáticas]],
    COUNTIF(Herramientas_de_medición2064108151[Herramientas_de_medición], B439) &gt; 0, Herramientas_de_medición2064108151[[#Headers],[Herramientas_de_medición]],
    COUNTIF(Herrramientas_mecánicas2165109152[Herramientas_mecánicas], B439) &gt; 0, Herrramientas_mecánicas2165109152[[#Headers],[Herramientas_mecánicas]],
    COUNTIF(AH439:AH445, B439) &gt; 0, Herramientas_hidráulicas2266110153[[#Headers],[Herramientas_hidráulicas]],
    COUNTIF(EPP_2367111154[SPCC], B439) &gt; 0, EPP_2367111154[[#Headers],[SPCC]],
   COUNTIF(Herramientas_de_izaje2468112155[Herramientas_de_izaje], B439) &gt; 0, Herramientas_de_izaje2468112155[[#Headers],[Herramientas_de_izaje]],
COUNTIF(Tabla162670114157[Equipos], B439) &gt; 0, Tabla162670114157[[#Headers],[Equipos]],
    TRUE, "Sin clasificación"
)</f>
        <v>Sin clasificación</v>
      </c>
      <c r="I439" s="15"/>
      <c r="J439" s="47"/>
      <c r="K439" s="76"/>
      <c r="L439" s="76"/>
      <c r="M439" s="78" t="str">
        <f>_xlfn.LET(
    _xlpm.itemBuscado, B439,
    _xlpm.areaBuscada, C439,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TEXT(COUNTIF($C$2:C439, _xlpm.areaBuscada), "0000"),
    _xlpm.codItem &amp; "-" &amp; _xlpm.codArea &amp; "-" &amp; _xlpm.secuencia
)</f>
        <v>-SinArea-0000</v>
      </c>
      <c r="N439" s="77"/>
      <c r="O439" s="32"/>
      <c r="P439" s="32"/>
      <c r="Q439" s="32"/>
      <c r="R439" s="32"/>
    </row>
    <row r="440" spans="3:18" x14ac:dyDescent="0.3">
      <c r="C440" s="11"/>
      <c r="D440" s="32"/>
      <c r="E440" s="11" t="str" cm="1">
        <f t="array" ref="E440">_xlfn.IFS(
    COUNTIF(Herramientas_eléctricas1862106149[Herramientas_eléctricas], B440) &gt; 0, Herramientas_eléctricas1862106149[[#Headers],[Herramientas_eléctricas]],
    COUNTIF(Herramientas_neumáticas1963107150[Herramientas_neumáticas], B440) &gt; 0, Herramientas_neumáticas1963107150[[#Headers],[Herramientas_neumáticas]],
    COUNTIF(Herramientas_de_medición2064108151[Herramientas_de_medición], B440) &gt; 0, Herramientas_de_medición2064108151[[#Headers],[Herramientas_de_medición]],
    COUNTIF(Herrramientas_mecánicas2165109152[Herramientas_mecánicas], B440) &gt; 0, Herrramientas_mecánicas2165109152[[#Headers],[Herramientas_mecánicas]],
    COUNTIF(AH440:AH446, B440) &gt; 0, Herramientas_hidráulicas2266110153[[#Headers],[Herramientas_hidráulicas]],
    COUNTIF(EPP_2367111154[SPCC], B440) &gt; 0, EPP_2367111154[[#Headers],[SPCC]],
   COUNTIF(Herramientas_de_izaje2468112155[Herramientas_de_izaje], B440) &gt; 0, Herramientas_de_izaje2468112155[[#Headers],[Herramientas_de_izaje]],
COUNTIF(Tabla162670114157[Equipos], B440) &gt; 0, Tabla162670114157[[#Headers],[Equipos]],
    TRUE, "Sin clasificación"
)</f>
        <v>Sin clasificación</v>
      </c>
      <c r="I440" s="15"/>
      <c r="J440" s="47"/>
      <c r="K440" s="76"/>
      <c r="L440" s="76"/>
      <c r="M440" s="78" t="str">
        <f>_xlfn.LET(
    _xlpm.itemBuscado, B440,
    _xlpm.areaBuscada, C440,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TEXT(COUNTIF($C$2:C440, _xlpm.areaBuscada), "0000"),
    _xlpm.codItem &amp; "-" &amp; _xlpm.codArea &amp; "-" &amp; _xlpm.secuencia
)</f>
        <v>-SinArea-0000</v>
      </c>
      <c r="N440" s="77"/>
      <c r="O440" s="32"/>
      <c r="P440" s="32"/>
      <c r="Q440" s="32"/>
      <c r="R440" s="32"/>
    </row>
    <row r="441" spans="3:18" x14ac:dyDescent="0.3">
      <c r="C441" s="11"/>
      <c r="D441" s="32"/>
      <c r="E441" s="11" t="str" cm="1">
        <f t="array" ref="E441">_xlfn.IFS(
    COUNTIF(Herramientas_eléctricas1862106149[Herramientas_eléctricas], B441) &gt; 0, Herramientas_eléctricas1862106149[[#Headers],[Herramientas_eléctricas]],
    COUNTIF(Herramientas_neumáticas1963107150[Herramientas_neumáticas], B441) &gt; 0, Herramientas_neumáticas1963107150[[#Headers],[Herramientas_neumáticas]],
    COUNTIF(Herramientas_de_medición2064108151[Herramientas_de_medición], B441) &gt; 0, Herramientas_de_medición2064108151[[#Headers],[Herramientas_de_medición]],
    COUNTIF(Herrramientas_mecánicas2165109152[Herramientas_mecánicas], B441) &gt; 0, Herrramientas_mecánicas2165109152[[#Headers],[Herramientas_mecánicas]],
    COUNTIF(AH441:AH447, B441) &gt; 0, Herramientas_hidráulicas2266110153[[#Headers],[Herramientas_hidráulicas]],
    COUNTIF(EPP_2367111154[SPCC], B441) &gt; 0, EPP_2367111154[[#Headers],[SPCC]],
   COUNTIF(Herramientas_de_izaje2468112155[Herramientas_de_izaje], B441) &gt; 0, Herramientas_de_izaje2468112155[[#Headers],[Herramientas_de_izaje]],
COUNTIF(Tabla162670114157[Equipos], B441) &gt; 0, Tabla162670114157[[#Headers],[Equipos]],
    TRUE, "Sin clasificación"
)</f>
        <v>Sin clasificación</v>
      </c>
      <c r="I441" s="15"/>
      <c r="J441" s="47"/>
      <c r="K441" s="76"/>
      <c r="L441" s="76"/>
      <c r="M441" s="78" t="str">
        <f>_xlfn.LET(
    _xlpm.itemBuscado, B441,
    _xlpm.areaBuscada, C441,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TEXT(COUNTIF($C$2:C441, _xlpm.areaBuscada), "0000"),
    _xlpm.codItem &amp; "-" &amp; _xlpm.codArea &amp; "-" &amp; _xlpm.secuencia
)</f>
        <v>-SinArea-0000</v>
      </c>
      <c r="N441" s="77"/>
      <c r="O441" s="32"/>
      <c r="P441" s="32"/>
      <c r="Q441" s="32"/>
      <c r="R441" s="32"/>
    </row>
    <row r="442" spans="3:18" x14ac:dyDescent="0.3">
      <c r="C442" s="11"/>
      <c r="D442" s="32"/>
      <c r="E442" s="11" t="str" cm="1">
        <f t="array" ref="E442">_xlfn.IFS(
    COUNTIF(Herramientas_eléctricas1862106149[Herramientas_eléctricas], B442) &gt; 0, Herramientas_eléctricas1862106149[[#Headers],[Herramientas_eléctricas]],
    COUNTIF(Herramientas_neumáticas1963107150[Herramientas_neumáticas], B442) &gt; 0, Herramientas_neumáticas1963107150[[#Headers],[Herramientas_neumáticas]],
    COUNTIF(Herramientas_de_medición2064108151[Herramientas_de_medición], B442) &gt; 0, Herramientas_de_medición2064108151[[#Headers],[Herramientas_de_medición]],
    COUNTIF(Herrramientas_mecánicas2165109152[Herramientas_mecánicas], B442) &gt; 0, Herrramientas_mecánicas2165109152[[#Headers],[Herramientas_mecánicas]],
    COUNTIF(AH442:AH448, B442) &gt; 0, Herramientas_hidráulicas2266110153[[#Headers],[Herramientas_hidráulicas]],
    COUNTIF(EPP_2367111154[SPCC], B442) &gt; 0, EPP_2367111154[[#Headers],[SPCC]],
   COUNTIF(Herramientas_de_izaje2468112155[Herramientas_de_izaje], B442) &gt; 0, Herramientas_de_izaje2468112155[[#Headers],[Herramientas_de_izaje]],
COUNTIF(Tabla162670114157[Equipos], B442) &gt; 0, Tabla162670114157[[#Headers],[Equipos]],
    TRUE, "Sin clasificación"
)</f>
        <v>Sin clasificación</v>
      </c>
      <c r="I442" s="15"/>
      <c r="J442" s="47"/>
      <c r="K442" s="76"/>
      <c r="L442" s="76"/>
      <c r="M442" s="78" t="str">
        <f>_xlfn.LET(
    _xlpm.itemBuscado, B442,
    _xlpm.areaBuscada, C442,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TEXT(COUNTIF($C$2:C442, _xlpm.areaBuscada), "0000"),
    _xlpm.codItem &amp; "-" &amp; _xlpm.codArea &amp; "-" &amp; _xlpm.secuencia
)</f>
        <v>-SinArea-0000</v>
      </c>
      <c r="N442" s="77"/>
      <c r="O442" s="32"/>
      <c r="P442" s="32"/>
      <c r="Q442" s="32"/>
      <c r="R442" s="32"/>
    </row>
    <row r="443" spans="3:18" x14ac:dyDescent="0.3">
      <c r="C443" s="11"/>
      <c r="D443" s="32"/>
      <c r="E443" s="11" t="str" cm="1">
        <f t="array" ref="E443">_xlfn.IFS(
    COUNTIF(Herramientas_eléctricas1862106149[Herramientas_eléctricas], B443) &gt; 0, Herramientas_eléctricas1862106149[[#Headers],[Herramientas_eléctricas]],
    COUNTIF(Herramientas_neumáticas1963107150[Herramientas_neumáticas], B443) &gt; 0, Herramientas_neumáticas1963107150[[#Headers],[Herramientas_neumáticas]],
    COUNTIF(Herramientas_de_medición2064108151[Herramientas_de_medición], B443) &gt; 0, Herramientas_de_medición2064108151[[#Headers],[Herramientas_de_medición]],
    COUNTIF(Herrramientas_mecánicas2165109152[Herramientas_mecánicas], B443) &gt; 0, Herrramientas_mecánicas2165109152[[#Headers],[Herramientas_mecánicas]],
    COUNTIF(AH443:AH449, B443) &gt; 0, Herramientas_hidráulicas2266110153[[#Headers],[Herramientas_hidráulicas]],
    COUNTIF(EPP_2367111154[SPCC], B443) &gt; 0, EPP_2367111154[[#Headers],[SPCC]],
   COUNTIF(Herramientas_de_izaje2468112155[Herramientas_de_izaje], B443) &gt; 0, Herramientas_de_izaje2468112155[[#Headers],[Herramientas_de_izaje]],
COUNTIF(Tabla162670114157[Equipos], B443) &gt; 0, Tabla162670114157[[#Headers],[Equipos]],
    TRUE, "Sin clasificación"
)</f>
        <v>Sin clasificación</v>
      </c>
      <c r="I443" s="15"/>
      <c r="J443" s="47"/>
      <c r="K443" s="76"/>
      <c r="L443" s="76"/>
      <c r="M443" s="78" t="str">
        <f>_xlfn.LET(
    _xlpm.itemBuscado, B443,
    _xlpm.areaBuscada, C443,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TEXT(COUNTIF($C$2:C443, _xlpm.areaBuscada), "0000"),
    _xlpm.codItem &amp; "-" &amp; _xlpm.codArea &amp; "-" &amp; _xlpm.secuencia
)</f>
        <v>-SinArea-0000</v>
      </c>
      <c r="N443" s="77"/>
      <c r="O443" s="32"/>
      <c r="P443" s="32"/>
      <c r="Q443" s="32"/>
      <c r="R443" s="32"/>
    </row>
    <row r="444" spans="3:18" x14ac:dyDescent="0.3">
      <c r="C444" s="11"/>
      <c r="D444" s="32"/>
      <c r="E444" s="11" t="str" cm="1">
        <f t="array" ref="E444">_xlfn.IFS(
    COUNTIF(Herramientas_eléctricas1862106149[Herramientas_eléctricas], B444) &gt; 0, Herramientas_eléctricas1862106149[[#Headers],[Herramientas_eléctricas]],
    COUNTIF(Herramientas_neumáticas1963107150[Herramientas_neumáticas], B444) &gt; 0, Herramientas_neumáticas1963107150[[#Headers],[Herramientas_neumáticas]],
    COUNTIF(Herramientas_de_medición2064108151[Herramientas_de_medición], B444) &gt; 0, Herramientas_de_medición2064108151[[#Headers],[Herramientas_de_medición]],
    COUNTIF(Herrramientas_mecánicas2165109152[Herramientas_mecánicas], B444) &gt; 0, Herrramientas_mecánicas2165109152[[#Headers],[Herramientas_mecánicas]],
    COUNTIF(AH444:AH450, B444) &gt; 0, Herramientas_hidráulicas2266110153[[#Headers],[Herramientas_hidráulicas]],
    COUNTIF(EPP_2367111154[SPCC], B444) &gt; 0, EPP_2367111154[[#Headers],[SPCC]],
   COUNTIF(Herramientas_de_izaje2468112155[Herramientas_de_izaje], B444) &gt; 0, Herramientas_de_izaje2468112155[[#Headers],[Herramientas_de_izaje]],
COUNTIF(Tabla162670114157[Equipos], B444) &gt; 0, Tabla162670114157[[#Headers],[Equipos]],
    TRUE, "Sin clasificación"
)</f>
        <v>Sin clasificación</v>
      </c>
      <c r="I444" s="15"/>
      <c r="J444" s="47"/>
      <c r="K444" s="76"/>
      <c r="L444" s="76"/>
      <c r="M444" s="78" t="str">
        <f>_xlfn.LET(
    _xlpm.itemBuscado, B444,
    _xlpm.areaBuscada, C444,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TEXT(COUNTIF($C$2:C444, _xlpm.areaBuscada), "0000"),
    _xlpm.codItem &amp; "-" &amp; _xlpm.codArea &amp; "-" &amp; _xlpm.secuencia
)</f>
        <v>-SinArea-0000</v>
      </c>
      <c r="N444" s="77"/>
      <c r="O444" s="32"/>
      <c r="P444" s="32"/>
      <c r="Q444" s="32"/>
      <c r="R444" s="32"/>
    </row>
    <row r="445" spans="3:18" x14ac:dyDescent="0.3">
      <c r="C445" s="11"/>
      <c r="D445" s="32"/>
      <c r="E445" s="11" t="str" cm="1">
        <f t="array" ref="E445">_xlfn.IFS(
    COUNTIF(Herramientas_eléctricas1862106149[Herramientas_eléctricas], B445) &gt; 0, Herramientas_eléctricas1862106149[[#Headers],[Herramientas_eléctricas]],
    COUNTIF(Herramientas_neumáticas1963107150[Herramientas_neumáticas], B445) &gt; 0, Herramientas_neumáticas1963107150[[#Headers],[Herramientas_neumáticas]],
    COUNTIF(Herramientas_de_medición2064108151[Herramientas_de_medición], B445) &gt; 0, Herramientas_de_medición2064108151[[#Headers],[Herramientas_de_medición]],
    COUNTIF(Herrramientas_mecánicas2165109152[Herramientas_mecánicas], B445) &gt; 0, Herrramientas_mecánicas2165109152[[#Headers],[Herramientas_mecánicas]],
    COUNTIF(AH445:AH451, B445) &gt; 0, Herramientas_hidráulicas2266110153[[#Headers],[Herramientas_hidráulicas]],
    COUNTIF(EPP_2367111154[SPCC], B445) &gt; 0, EPP_2367111154[[#Headers],[SPCC]],
   COUNTIF(Herramientas_de_izaje2468112155[Herramientas_de_izaje], B445) &gt; 0, Herramientas_de_izaje2468112155[[#Headers],[Herramientas_de_izaje]],
COUNTIF(Tabla162670114157[Equipos], B445) &gt; 0, Tabla162670114157[[#Headers],[Equipos]],
    TRUE, "Sin clasificación"
)</f>
        <v>Sin clasificación</v>
      </c>
      <c r="I445" s="15"/>
      <c r="J445" s="47"/>
      <c r="K445" s="76"/>
      <c r="L445" s="76"/>
      <c r="M445" s="78" t="str">
        <f>_xlfn.LET(
    _xlpm.itemBuscado, B445,
    _xlpm.areaBuscada, C445,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TEXT(COUNTIF($C$2:C445, _xlpm.areaBuscada), "0000"),
    _xlpm.codItem &amp; "-" &amp; _xlpm.codArea &amp; "-" &amp; _xlpm.secuencia
)</f>
        <v>-SinArea-0000</v>
      </c>
      <c r="N445" s="77"/>
      <c r="O445" s="32"/>
      <c r="P445" s="32"/>
      <c r="Q445" s="32"/>
      <c r="R445" s="32"/>
    </row>
    <row r="446" spans="3:18" x14ac:dyDescent="0.3">
      <c r="C446" s="11"/>
      <c r="D446" s="32"/>
      <c r="E446" s="11" t="str" cm="1">
        <f t="array" ref="E446">_xlfn.IFS(
    COUNTIF(Herramientas_eléctricas1862106149[Herramientas_eléctricas], B446) &gt; 0, Herramientas_eléctricas1862106149[[#Headers],[Herramientas_eléctricas]],
    COUNTIF(Herramientas_neumáticas1963107150[Herramientas_neumáticas], B446) &gt; 0, Herramientas_neumáticas1963107150[[#Headers],[Herramientas_neumáticas]],
    COUNTIF(Herramientas_de_medición2064108151[Herramientas_de_medición], B446) &gt; 0, Herramientas_de_medición2064108151[[#Headers],[Herramientas_de_medición]],
    COUNTIF(Herrramientas_mecánicas2165109152[Herramientas_mecánicas], B446) &gt; 0, Herrramientas_mecánicas2165109152[[#Headers],[Herramientas_mecánicas]],
    COUNTIF(AH446:AH452, B446) &gt; 0, Herramientas_hidráulicas2266110153[[#Headers],[Herramientas_hidráulicas]],
    COUNTIF(EPP_2367111154[SPCC], B446) &gt; 0, EPP_2367111154[[#Headers],[SPCC]],
   COUNTIF(Herramientas_de_izaje2468112155[Herramientas_de_izaje], B446) &gt; 0, Herramientas_de_izaje2468112155[[#Headers],[Herramientas_de_izaje]],
COUNTIF(Tabla162670114157[Equipos], B446) &gt; 0, Tabla162670114157[[#Headers],[Equipos]],
    TRUE, "Sin clasificación"
)</f>
        <v>Sin clasificación</v>
      </c>
      <c r="I446" s="15"/>
      <c r="J446" s="47"/>
      <c r="K446" s="76"/>
      <c r="L446" s="76"/>
      <c r="M446" s="78" t="str">
        <f>_xlfn.LET(
    _xlpm.itemBuscado, B446,
    _xlpm.areaBuscada, C446,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TEXT(COUNTIF($C$2:C446, _xlpm.areaBuscada), "0000"),
    _xlpm.codItem &amp; "-" &amp; _xlpm.codArea &amp; "-" &amp; _xlpm.secuencia
)</f>
        <v>-SinArea-0000</v>
      </c>
      <c r="N446" s="77"/>
      <c r="O446" s="32"/>
      <c r="P446" s="32"/>
      <c r="Q446" s="32"/>
      <c r="R446" s="32"/>
    </row>
    <row r="447" spans="3:18" x14ac:dyDescent="0.3">
      <c r="C447" s="11"/>
      <c r="D447" s="32"/>
      <c r="E447" s="11" t="str" cm="1">
        <f t="array" ref="E447">_xlfn.IFS(
    COUNTIF(Herramientas_eléctricas1862106149[Herramientas_eléctricas], B447) &gt; 0, Herramientas_eléctricas1862106149[[#Headers],[Herramientas_eléctricas]],
    COUNTIF(Herramientas_neumáticas1963107150[Herramientas_neumáticas], B447) &gt; 0, Herramientas_neumáticas1963107150[[#Headers],[Herramientas_neumáticas]],
    COUNTIF(Herramientas_de_medición2064108151[Herramientas_de_medición], B447) &gt; 0, Herramientas_de_medición2064108151[[#Headers],[Herramientas_de_medición]],
    COUNTIF(Herrramientas_mecánicas2165109152[Herramientas_mecánicas], B447) &gt; 0, Herrramientas_mecánicas2165109152[[#Headers],[Herramientas_mecánicas]],
    COUNTIF(AH447:AH453, B447) &gt; 0, Herramientas_hidráulicas2266110153[[#Headers],[Herramientas_hidráulicas]],
    COUNTIF(EPP_2367111154[SPCC], B447) &gt; 0, EPP_2367111154[[#Headers],[SPCC]],
   COUNTIF(Herramientas_de_izaje2468112155[Herramientas_de_izaje], B447) &gt; 0, Herramientas_de_izaje2468112155[[#Headers],[Herramientas_de_izaje]],
COUNTIF(Tabla162670114157[Equipos], B447) &gt; 0, Tabla162670114157[[#Headers],[Equipos]],
    TRUE, "Sin clasificación"
)</f>
        <v>Sin clasificación</v>
      </c>
      <c r="I447" s="15"/>
      <c r="J447" s="47"/>
      <c r="K447" s="76"/>
      <c r="L447" s="76"/>
      <c r="M447" s="78" t="str">
        <f>_xlfn.LET(
    _xlpm.itemBuscado, B447,
    _xlpm.areaBuscada, C447,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TEXT(COUNTIF($C$2:C447, _xlpm.areaBuscada), "0000"),
    _xlpm.codItem &amp; "-" &amp; _xlpm.codArea &amp; "-" &amp; _xlpm.secuencia
)</f>
        <v>-SinArea-0000</v>
      </c>
      <c r="N447" s="77"/>
      <c r="O447" s="32"/>
      <c r="P447" s="32"/>
      <c r="Q447" s="32"/>
      <c r="R447" s="32"/>
    </row>
    <row r="448" spans="3:18" x14ac:dyDescent="0.3">
      <c r="C448" s="11"/>
      <c r="D448" s="32"/>
      <c r="E448" s="11" t="str" cm="1">
        <f t="array" ref="E448">_xlfn.IFS(
    COUNTIF(Herramientas_eléctricas1862106149[Herramientas_eléctricas], B448) &gt; 0, Herramientas_eléctricas1862106149[[#Headers],[Herramientas_eléctricas]],
    COUNTIF(Herramientas_neumáticas1963107150[Herramientas_neumáticas], B448) &gt; 0, Herramientas_neumáticas1963107150[[#Headers],[Herramientas_neumáticas]],
    COUNTIF(Herramientas_de_medición2064108151[Herramientas_de_medición], B448) &gt; 0, Herramientas_de_medición2064108151[[#Headers],[Herramientas_de_medición]],
    COUNTIF(Herrramientas_mecánicas2165109152[Herramientas_mecánicas], B448) &gt; 0, Herrramientas_mecánicas2165109152[[#Headers],[Herramientas_mecánicas]],
    COUNTIF(AH448:AH454, B448) &gt; 0, Herramientas_hidráulicas2266110153[[#Headers],[Herramientas_hidráulicas]],
    COUNTIF(EPP_2367111154[SPCC], B448) &gt; 0, EPP_2367111154[[#Headers],[SPCC]],
   COUNTIF(Herramientas_de_izaje2468112155[Herramientas_de_izaje], B448) &gt; 0, Herramientas_de_izaje2468112155[[#Headers],[Herramientas_de_izaje]],
COUNTIF(Tabla162670114157[Equipos], B448) &gt; 0, Tabla162670114157[[#Headers],[Equipos]],
    TRUE, "Sin clasificación"
)</f>
        <v>Sin clasificación</v>
      </c>
      <c r="I448" s="15"/>
      <c r="J448" s="47"/>
      <c r="K448" s="76"/>
      <c r="L448" s="76"/>
      <c r="M448" s="78" t="str">
        <f>_xlfn.LET(
    _xlpm.itemBuscado, B448,
    _xlpm.areaBuscada, C448,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TEXT(COUNTIF($C$2:C448, _xlpm.areaBuscada), "0000"),
    _xlpm.codItem &amp; "-" &amp; _xlpm.codArea &amp; "-" &amp; _xlpm.secuencia
)</f>
        <v>-SinArea-0000</v>
      </c>
      <c r="N448" s="77"/>
      <c r="O448" s="32"/>
      <c r="P448" s="32"/>
      <c r="Q448" s="32"/>
      <c r="R448" s="32"/>
    </row>
    <row r="449" spans="3:18" x14ac:dyDescent="0.3">
      <c r="C449" s="11"/>
      <c r="D449" s="32"/>
      <c r="E449" s="11" t="str" cm="1">
        <f t="array" ref="E449">_xlfn.IFS(
    COUNTIF(Herramientas_eléctricas1862106149[Herramientas_eléctricas], B449) &gt; 0, Herramientas_eléctricas1862106149[[#Headers],[Herramientas_eléctricas]],
    COUNTIF(Herramientas_neumáticas1963107150[Herramientas_neumáticas], B449) &gt; 0, Herramientas_neumáticas1963107150[[#Headers],[Herramientas_neumáticas]],
    COUNTIF(Herramientas_de_medición2064108151[Herramientas_de_medición], B449) &gt; 0, Herramientas_de_medición2064108151[[#Headers],[Herramientas_de_medición]],
    COUNTIF(Herrramientas_mecánicas2165109152[Herramientas_mecánicas], B449) &gt; 0, Herrramientas_mecánicas2165109152[[#Headers],[Herramientas_mecánicas]],
    COUNTIF(AH449:AH455, B449) &gt; 0, Herramientas_hidráulicas2266110153[[#Headers],[Herramientas_hidráulicas]],
    COUNTIF(EPP_2367111154[SPCC], B449) &gt; 0, EPP_2367111154[[#Headers],[SPCC]],
   COUNTIF(Herramientas_de_izaje2468112155[Herramientas_de_izaje], B449) &gt; 0, Herramientas_de_izaje2468112155[[#Headers],[Herramientas_de_izaje]],
COUNTIF(Tabla162670114157[Equipos], B449) &gt; 0, Tabla162670114157[[#Headers],[Equipos]],
    TRUE, "Sin clasificación"
)</f>
        <v>Sin clasificación</v>
      </c>
      <c r="I449" s="15"/>
      <c r="J449" s="47"/>
      <c r="K449" s="76"/>
      <c r="L449" s="76"/>
      <c r="M449" s="78" t="str">
        <f>_xlfn.LET(
    _xlpm.itemBuscado, B449,
    _xlpm.areaBuscada, C449,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TEXT(COUNTIF($C$2:C449, _xlpm.areaBuscada), "0000"),
    _xlpm.codItem &amp; "-" &amp; _xlpm.codArea &amp; "-" &amp; _xlpm.secuencia
)</f>
        <v>-SinArea-0000</v>
      </c>
      <c r="N449" s="77"/>
      <c r="O449" s="32"/>
      <c r="P449" s="32"/>
      <c r="Q449" s="32"/>
      <c r="R449" s="32"/>
    </row>
    <row r="450" spans="3:18" x14ac:dyDescent="0.3">
      <c r="C450" s="11"/>
      <c r="D450" s="32"/>
      <c r="E450" s="11" t="str" cm="1">
        <f t="array" ref="E450">_xlfn.IFS(
    COUNTIF(Herramientas_eléctricas1862106149[Herramientas_eléctricas], B450) &gt; 0, Herramientas_eléctricas1862106149[[#Headers],[Herramientas_eléctricas]],
    COUNTIF(Herramientas_neumáticas1963107150[Herramientas_neumáticas], B450) &gt; 0, Herramientas_neumáticas1963107150[[#Headers],[Herramientas_neumáticas]],
    COUNTIF(Herramientas_de_medición2064108151[Herramientas_de_medición], B450) &gt; 0, Herramientas_de_medición2064108151[[#Headers],[Herramientas_de_medición]],
    COUNTIF(Herrramientas_mecánicas2165109152[Herramientas_mecánicas], B450) &gt; 0, Herrramientas_mecánicas2165109152[[#Headers],[Herramientas_mecánicas]],
    COUNTIF(AH450:AH456, B450) &gt; 0, Herramientas_hidráulicas2266110153[[#Headers],[Herramientas_hidráulicas]],
    COUNTIF(EPP_2367111154[SPCC], B450) &gt; 0, EPP_2367111154[[#Headers],[SPCC]],
   COUNTIF(Herramientas_de_izaje2468112155[Herramientas_de_izaje], B450) &gt; 0, Herramientas_de_izaje2468112155[[#Headers],[Herramientas_de_izaje]],
COUNTIF(Tabla162670114157[Equipos], B450) &gt; 0, Tabla162670114157[[#Headers],[Equipos]],
    TRUE, "Sin clasificación"
)</f>
        <v>Sin clasificación</v>
      </c>
      <c r="I450" s="15"/>
      <c r="J450" s="47"/>
      <c r="K450" s="76"/>
      <c r="L450" s="76"/>
      <c r="M450" s="78" t="str">
        <f>_xlfn.LET(
    _xlpm.itemBuscado, B450,
    _xlpm.areaBuscada, C450,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TEXT(COUNTIF($C$2:C450, _xlpm.areaBuscada), "0000"),
    _xlpm.codItem &amp; "-" &amp; _xlpm.codArea &amp; "-" &amp; _xlpm.secuencia
)</f>
        <v>-SinArea-0000</v>
      </c>
      <c r="N450" s="77"/>
      <c r="O450" s="32"/>
      <c r="P450" s="32"/>
      <c r="Q450" s="32"/>
      <c r="R450" s="32"/>
    </row>
    <row r="451" spans="3:18" x14ac:dyDescent="0.3">
      <c r="C451" s="11"/>
      <c r="D451" s="32"/>
      <c r="E451" s="11" t="str" cm="1">
        <f t="array" ref="E451">_xlfn.IFS(
    COUNTIF(Herramientas_eléctricas1862106149[Herramientas_eléctricas], B451) &gt; 0, Herramientas_eléctricas1862106149[[#Headers],[Herramientas_eléctricas]],
    COUNTIF(Herramientas_neumáticas1963107150[Herramientas_neumáticas], B451) &gt; 0, Herramientas_neumáticas1963107150[[#Headers],[Herramientas_neumáticas]],
    COUNTIF(Herramientas_de_medición2064108151[Herramientas_de_medición], B451) &gt; 0, Herramientas_de_medición2064108151[[#Headers],[Herramientas_de_medición]],
    COUNTIF(Herrramientas_mecánicas2165109152[Herramientas_mecánicas], B451) &gt; 0, Herrramientas_mecánicas2165109152[[#Headers],[Herramientas_mecánicas]],
    COUNTIF(AH451:AH457, B451) &gt; 0, Herramientas_hidráulicas2266110153[[#Headers],[Herramientas_hidráulicas]],
    COUNTIF(EPP_2367111154[SPCC], B451) &gt; 0, EPP_2367111154[[#Headers],[SPCC]],
   COUNTIF(Herramientas_de_izaje2468112155[Herramientas_de_izaje], B451) &gt; 0, Herramientas_de_izaje2468112155[[#Headers],[Herramientas_de_izaje]],
COUNTIF(Tabla162670114157[Equipos], B451) &gt; 0, Tabla162670114157[[#Headers],[Equipos]],
    TRUE, "Sin clasificación"
)</f>
        <v>Sin clasificación</v>
      </c>
      <c r="I451" s="15"/>
      <c r="J451" s="47"/>
      <c r="K451" s="76"/>
      <c r="L451" s="76"/>
      <c r="M451" s="78" t="str">
        <f>_xlfn.LET(
    _xlpm.itemBuscado, B451,
    _xlpm.areaBuscada, C451,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TEXT(COUNTIF($C$2:C451, _xlpm.areaBuscada), "0000"),
    _xlpm.codItem &amp; "-" &amp; _xlpm.codArea &amp; "-" &amp; _xlpm.secuencia
)</f>
        <v>-SinArea-0000</v>
      </c>
      <c r="N451" s="77"/>
      <c r="O451" s="32"/>
      <c r="P451" s="32"/>
      <c r="Q451" s="32"/>
      <c r="R451" s="32"/>
    </row>
    <row r="452" spans="3:18" x14ac:dyDescent="0.3">
      <c r="C452" s="11"/>
      <c r="D452" s="32"/>
      <c r="E452" s="11" t="str" cm="1">
        <f t="array" ref="E452">_xlfn.IFS(
    COUNTIF(Herramientas_eléctricas1862106149[Herramientas_eléctricas], B452) &gt; 0, Herramientas_eléctricas1862106149[[#Headers],[Herramientas_eléctricas]],
    COUNTIF(Herramientas_neumáticas1963107150[Herramientas_neumáticas], B452) &gt; 0, Herramientas_neumáticas1963107150[[#Headers],[Herramientas_neumáticas]],
    COUNTIF(Herramientas_de_medición2064108151[Herramientas_de_medición], B452) &gt; 0, Herramientas_de_medición2064108151[[#Headers],[Herramientas_de_medición]],
    COUNTIF(Herrramientas_mecánicas2165109152[Herramientas_mecánicas], B452) &gt; 0, Herrramientas_mecánicas2165109152[[#Headers],[Herramientas_mecánicas]],
    COUNTIF(AH452:AH458, B452) &gt; 0, Herramientas_hidráulicas2266110153[[#Headers],[Herramientas_hidráulicas]],
    COUNTIF(EPP_2367111154[SPCC], B452) &gt; 0, EPP_2367111154[[#Headers],[SPCC]],
   COUNTIF(Herramientas_de_izaje2468112155[Herramientas_de_izaje], B452) &gt; 0, Herramientas_de_izaje2468112155[[#Headers],[Herramientas_de_izaje]],
COUNTIF(Tabla162670114157[Equipos], B452) &gt; 0, Tabla162670114157[[#Headers],[Equipos]],
    TRUE, "Sin clasificación"
)</f>
        <v>Sin clasificación</v>
      </c>
      <c r="I452" s="15"/>
      <c r="J452" s="47"/>
      <c r="K452" s="76"/>
      <c r="L452" s="76"/>
      <c r="M452" s="78" t="str">
        <f>_xlfn.LET(
    _xlpm.itemBuscado, B452,
    _xlpm.areaBuscada, C452,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TEXT(COUNTIF($C$2:C452, _xlpm.areaBuscada), "0000"),
    _xlpm.codItem &amp; "-" &amp; _xlpm.codArea &amp; "-" &amp; _xlpm.secuencia
)</f>
        <v>-SinArea-0000</v>
      </c>
      <c r="N452" s="77"/>
      <c r="O452" s="32"/>
      <c r="P452" s="32"/>
      <c r="Q452" s="32"/>
      <c r="R452" s="32"/>
    </row>
    <row r="453" spans="3:18" x14ac:dyDescent="0.3">
      <c r="C453" s="11"/>
      <c r="D453" s="32"/>
      <c r="E453" s="11" t="str" cm="1">
        <f t="array" ref="E453">_xlfn.IFS(
    COUNTIF(Herramientas_eléctricas1862106149[Herramientas_eléctricas], B453) &gt; 0, Herramientas_eléctricas1862106149[[#Headers],[Herramientas_eléctricas]],
    COUNTIF(Herramientas_neumáticas1963107150[Herramientas_neumáticas], B453) &gt; 0, Herramientas_neumáticas1963107150[[#Headers],[Herramientas_neumáticas]],
    COUNTIF(Herramientas_de_medición2064108151[Herramientas_de_medición], B453) &gt; 0, Herramientas_de_medición2064108151[[#Headers],[Herramientas_de_medición]],
    COUNTIF(Herrramientas_mecánicas2165109152[Herramientas_mecánicas], B453) &gt; 0, Herrramientas_mecánicas2165109152[[#Headers],[Herramientas_mecánicas]],
    COUNTIF(AH453:AH459, B453) &gt; 0, Herramientas_hidráulicas2266110153[[#Headers],[Herramientas_hidráulicas]],
    COUNTIF(EPP_2367111154[SPCC], B453) &gt; 0, EPP_2367111154[[#Headers],[SPCC]],
   COUNTIF(Herramientas_de_izaje2468112155[Herramientas_de_izaje], B453) &gt; 0, Herramientas_de_izaje2468112155[[#Headers],[Herramientas_de_izaje]],
COUNTIF(Tabla162670114157[Equipos], B453) &gt; 0, Tabla162670114157[[#Headers],[Equipos]],
    TRUE, "Sin clasificación"
)</f>
        <v>Sin clasificación</v>
      </c>
      <c r="I453" s="15"/>
      <c r="J453" s="47"/>
      <c r="K453" s="76"/>
      <c r="L453" s="76"/>
      <c r="M453" s="78" t="str">
        <f>_xlfn.LET(
    _xlpm.itemBuscado, B453,
    _xlpm.areaBuscada, C453,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TEXT(COUNTIF($C$2:C453, _xlpm.areaBuscada), "0000"),
    _xlpm.codItem &amp; "-" &amp; _xlpm.codArea &amp; "-" &amp; _xlpm.secuencia
)</f>
        <v>-SinArea-0000</v>
      </c>
      <c r="N453" s="77"/>
      <c r="O453" s="32"/>
      <c r="P453" s="32"/>
      <c r="Q453" s="32"/>
      <c r="R453" s="32"/>
    </row>
    <row r="454" spans="3:18" x14ac:dyDescent="0.3">
      <c r="C454" s="11"/>
      <c r="D454" s="32"/>
      <c r="E454" s="11" t="str" cm="1">
        <f t="array" ref="E454">_xlfn.IFS(
    COUNTIF(Herramientas_eléctricas1862106149[Herramientas_eléctricas], B454) &gt; 0, Herramientas_eléctricas1862106149[[#Headers],[Herramientas_eléctricas]],
    COUNTIF(Herramientas_neumáticas1963107150[Herramientas_neumáticas], B454) &gt; 0, Herramientas_neumáticas1963107150[[#Headers],[Herramientas_neumáticas]],
    COUNTIF(Herramientas_de_medición2064108151[Herramientas_de_medición], B454) &gt; 0, Herramientas_de_medición2064108151[[#Headers],[Herramientas_de_medición]],
    COUNTIF(Herrramientas_mecánicas2165109152[Herramientas_mecánicas], B454) &gt; 0, Herrramientas_mecánicas2165109152[[#Headers],[Herramientas_mecánicas]],
    COUNTIF(AH454:AH460, B454) &gt; 0, Herramientas_hidráulicas2266110153[[#Headers],[Herramientas_hidráulicas]],
    COUNTIF(EPP_2367111154[SPCC], B454) &gt; 0, EPP_2367111154[[#Headers],[SPCC]],
   COUNTIF(Herramientas_de_izaje2468112155[Herramientas_de_izaje], B454) &gt; 0, Herramientas_de_izaje2468112155[[#Headers],[Herramientas_de_izaje]],
COUNTIF(Tabla162670114157[Equipos], B454) &gt; 0, Tabla162670114157[[#Headers],[Equipos]],
    TRUE, "Sin clasificación"
)</f>
        <v>Sin clasificación</v>
      </c>
      <c r="I454" s="15"/>
      <c r="J454" s="47"/>
      <c r="K454" s="76"/>
      <c r="L454" s="76"/>
      <c r="M454" s="78" t="str">
        <f>_xlfn.LET(
    _xlpm.itemBuscado, B454,
    _xlpm.areaBuscada, C454,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TEXT(COUNTIF($C$2:C454, _xlpm.areaBuscada), "0000"),
    _xlpm.codItem &amp; "-" &amp; _xlpm.codArea &amp; "-" &amp; _xlpm.secuencia
)</f>
        <v>-SinArea-0000</v>
      </c>
      <c r="N454" s="77"/>
      <c r="O454" s="32"/>
      <c r="P454" s="32"/>
      <c r="Q454" s="32"/>
      <c r="R454" s="32"/>
    </row>
    <row r="455" spans="3:18" x14ac:dyDescent="0.3">
      <c r="C455" s="11"/>
      <c r="D455" s="32"/>
      <c r="E455" s="11" t="str" cm="1">
        <f t="array" ref="E455">_xlfn.IFS(
    COUNTIF(Herramientas_eléctricas1862106149[Herramientas_eléctricas], B455) &gt; 0, Herramientas_eléctricas1862106149[[#Headers],[Herramientas_eléctricas]],
    COUNTIF(Herramientas_neumáticas1963107150[Herramientas_neumáticas], B455) &gt; 0, Herramientas_neumáticas1963107150[[#Headers],[Herramientas_neumáticas]],
    COUNTIF(Herramientas_de_medición2064108151[Herramientas_de_medición], B455) &gt; 0, Herramientas_de_medición2064108151[[#Headers],[Herramientas_de_medición]],
    COUNTIF(Herrramientas_mecánicas2165109152[Herramientas_mecánicas], B455) &gt; 0, Herrramientas_mecánicas2165109152[[#Headers],[Herramientas_mecánicas]],
    COUNTIF(AH455:AH461, B455) &gt; 0, Herramientas_hidráulicas2266110153[[#Headers],[Herramientas_hidráulicas]],
    COUNTIF(EPP_2367111154[SPCC], B455) &gt; 0, EPP_2367111154[[#Headers],[SPCC]],
   COUNTIF(Herramientas_de_izaje2468112155[Herramientas_de_izaje], B455) &gt; 0, Herramientas_de_izaje2468112155[[#Headers],[Herramientas_de_izaje]],
COUNTIF(Tabla162670114157[Equipos], B455) &gt; 0, Tabla162670114157[[#Headers],[Equipos]],
    TRUE, "Sin clasificación"
)</f>
        <v>Sin clasificación</v>
      </c>
      <c r="I455" s="15"/>
      <c r="J455" s="47"/>
      <c r="K455" s="76"/>
      <c r="L455" s="76"/>
      <c r="M455" s="78" t="str">
        <f>_xlfn.LET(
    _xlpm.itemBuscado, B455,
    _xlpm.areaBuscada, C455,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TEXT(COUNTIF($C$2:C455, _xlpm.areaBuscada), "0000"),
    _xlpm.codItem &amp; "-" &amp; _xlpm.codArea &amp; "-" &amp; _xlpm.secuencia
)</f>
        <v>-SinArea-0000</v>
      </c>
      <c r="N455" s="77"/>
      <c r="O455" s="32"/>
      <c r="P455" s="32"/>
      <c r="Q455" s="32"/>
      <c r="R455" s="32"/>
    </row>
    <row r="456" spans="3:18" x14ac:dyDescent="0.3">
      <c r="C456" s="11"/>
      <c r="D456" s="32"/>
      <c r="E456" s="11" t="str" cm="1">
        <f t="array" ref="E456">_xlfn.IFS(
    COUNTIF(Herramientas_eléctricas1862106149[Herramientas_eléctricas], B456) &gt; 0, Herramientas_eléctricas1862106149[[#Headers],[Herramientas_eléctricas]],
    COUNTIF(Herramientas_neumáticas1963107150[Herramientas_neumáticas], B456) &gt; 0, Herramientas_neumáticas1963107150[[#Headers],[Herramientas_neumáticas]],
    COUNTIF(Herramientas_de_medición2064108151[Herramientas_de_medición], B456) &gt; 0, Herramientas_de_medición2064108151[[#Headers],[Herramientas_de_medición]],
    COUNTIF(Herrramientas_mecánicas2165109152[Herramientas_mecánicas], B456) &gt; 0, Herrramientas_mecánicas2165109152[[#Headers],[Herramientas_mecánicas]],
    COUNTIF(AH456:AH462, B456) &gt; 0, Herramientas_hidráulicas2266110153[[#Headers],[Herramientas_hidráulicas]],
    COUNTIF(EPP_2367111154[SPCC], B456) &gt; 0, EPP_2367111154[[#Headers],[SPCC]],
   COUNTIF(Herramientas_de_izaje2468112155[Herramientas_de_izaje], B456) &gt; 0, Herramientas_de_izaje2468112155[[#Headers],[Herramientas_de_izaje]],
COUNTIF(Tabla162670114157[Equipos], B456) &gt; 0, Tabla162670114157[[#Headers],[Equipos]],
    TRUE, "Sin clasificación"
)</f>
        <v>Sin clasificación</v>
      </c>
      <c r="I456" s="15"/>
      <c r="J456" s="47"/>
      <c r="K456" s="76"/>
      <c r="L456" s="76"/>
      <c r="M456" s="78" t="str">
        <f>_xlfn.LET(
    _xlpm.itemBuscado, B456,
    _xlpm.areaBuscada, C456,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TEXT(COUNTIF($C$2:C456, _xlpm.areaBuscada), "0000"),
    _xlpm.codItem &amp; "-" &amp; _xlpm.codArea &amp; "-" &amp; _xlpm.secuencia
)</f>
        <v>-SinArea-0000</v>
      </c>
      <c r="N456" s="77"/>
      <c r="O456" s="32"/>
      <c r="P456" s="32"/>
      <c r="Q456" s="32"/>
      <c r="R456" s="32"/>
    </row>
    <row r="457" spans="3:18" x14ac:dyDescent="0.3">
      <c r="C457" s="11"/>
      <c r="D457" s="32"/>
      <c r="E457" s="11" t="str" cm="1">
        <f t="array" ref="E457">_xlfn.IFS(
    COUNTIF(Herramientas_eléctricas1862106149[Herramientas_eléctricas], B457) &gt; 0, Herramientas_eléctricas1862106149[[#Headers],[Herramientas_eléctricas]],
    COUNTIF(Herramientas_neumáticas1963107150[Herramientas_neumáticas], B457) &gt; 0, Herramientas_neumáticas1963107150[[#Headers],[Herramientas_neumáticas]],
    COUNTIF(Herramientas_de_medición2064108151[Herramientas_de_medición], B457) &gt; 0, Herramientas_de_medición2064108151[[#Headers],[Herramientas_de_medición]],
    COUNTIF(Herrramientas_mecánicas2165109152[Herramientas_mecánicas], B457) &gt; 0, Herrramientas_mecánicas2165109152[[#Headers],[Herramientas_mecánicas]],
    COUNTIF(AH457:AH463, B457) &gt; 0, Herramientas_hidráulicas2266110153[[#Headers],[Herramientas_hidráulicas]],
    COUNTIF(EPP_2367111154[SPCC], B457) &gt; 0, EPP_2367111154[[#Headers],[SPCC]],
   COUNTIF(Herramientas_de_izaje2468112155[Herramientas_de_izaje], B457) &gt; 0, Herramientas_de_izaje2468112155[[#Headers],[Herramientas_de_izaje]],
COUNTIF(Tabla162670114157[Equipos], B457) &gt; 0, Tabla162670114157[[#Headers],[Equipos]],
    TRUE, "Sin clasificación"
)</f>
        <v>Sin clasificación</v>
      </c>
      <c r="I457" s="15"/>
      <c r="J457" s="47"/>
      <c r="K457" s="76"/>
      <c r="L457" s="76"/>
      <c r="M457" s="78" t="str">
        <f>_xlfn.LET(
    _xlpm.itemBuscado, B457,
    _xlpm.areaBuscada, C457,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TEXT(COUNTIF($C$2:C457, _xlpm.areaBuscada), "0000"),
    _xlpm.codItem &amp; "-" &amp; _xlpm.codArea &amp; "-" &amp; _xlpm.secuencia
)</f>
        <v>-SinArea-0000</v>
      </c>
      <c r="N457" s="77"/>
      <c r="O457" s="32"/>
      <c r="P457" s="32"/>
      <c r="Q457" s="32"/>
      <c r="R457" s="32"/>
    </row>
    <row r="458" spans="3:18" x14ac:dyDescent="0.3">
      <c r="C458" s="11"/>
      <c r="D458" s="32"/>
      <c r="E458" s="11" t="str" cm="1">
        <f t="array" ref="E458">_xlfn.IFS(
    COUNTIF(Herramientas_eléctricas1862106149[Herramientas_eléctricas], B458) &gt; 0, Herramientas_eléctricas1862106149[[#Headers],[Herramientas_eléctricas]],
    COUNTIF(Herramientas_neumáticas1963107150[Herramientas_neumáticas], B458) &gt; 0, Herramientas_neumáticas1963107150[[#Headers],[Herramientas_neumáticas]],
    COUNTIF(Herramientas_de_medición2064108151[Herramientas_de_medición], B458) &gt; 0, Herramientas_de_medición2064108151[[#Headers],[Herramientas_de_medición]],
    COUNTIF(Herrramientas_mecánicas2165109152[Herramientas_mecánicas], B458) &gt; 0, Herrramientas_mecánicas2165109152[[#Headers],[Herramientas_mecánicas]],
    COUNTIF(AH458:AH464, B458) &gt; 0, Herramientas_hidráulicas2266110153[[#Headers],[Herramientas_hidráulicas]],
    COUNTIF(EPP_2367111154[SPCC], B458) &gt; 0, EPP_2367111154[[#Headers],[SPCC]],
   COUNTIF(Herramientas_de_izaje2468112155[Herramientas_de_izaje], B458) &gt; 0, Herramientas_de_izaje2468112155[[#Headers],[Herramientas_de_izaje]],
COUNTIF(Tabla162670114157[Equipos], B458) &gt; 0, Tabla162670114157[[#Headers],[Equipos]],
    TRUE, "Sin clasificación"
)</f>
        <v>Sin clasificación</v>
      </c>
      <c r="I458" s="15"/>
      <c r="J458" s="47"/>
      <c r="K458" s="76"/>
      <c r="L458" s="76"/>
      <c r="M458" s="78" t="str">
        <f>_xlfn.LET(
    _xlpm.itemBuscado, B458,
    _xlpm.areaBuscada, C458,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TEXT(COUNTIF($C$2:C458, _xlpm.areaBuscada), "0000"),
    _xlpm.codItem &amp; "-" &amp; _xlpm.codArea &amp; "-" &amp; _xlpm.secuencia
)</f>
        <v>-SinArea-0000</v>
      </c>
      <c r="N458" s="77"/>
      <c r="O458" s="32"/>
      <c r="P458" s="32"/>
      <c r="Q458" s="32"/>
      <c r="R458" s="32"/>
    </row>
    <row r="459" spans="3:18" x14ac:dyDescent="0.3">
      <c r="C459" s="11"/>
      <c r="D459" s="32"/>
      <c r="E459" s="11" t="str" cm="1">
        <f t="array" ref="E459">_xlfn.IFS(
    COUNTIF(Herramientas_eléctricas1862106149[Herramientas_eléctricas], B459) &gt; 0, Herramientas_eléctricas1862106149[[#Headers],[Herramientas_eléctricas]],
    COUNTIF(Herramientas_neumáticas1963107150[Herramientas_neumáticas], B459) &gt; 0, Herramientas_neumáticas1963107150[[#Headers],[Herramientas_neumáticas]],
    COUNTIF(Herramientas_de_medición2064108151[Herramientas_de_medición], B459) &gt; 0, Herramientas_de_medición2064108151[[#Headers],[Herramientas_de_medición]],
    COUNTIF(Herrramientas_mecánicas2165109152[Herramientas_mecánicas], B459) &gt; 0, Herrramientas_mecánicas2165109152[[#Headers],[Herramientas_mecánicas]],
    COUNTIF(AH459:AH465, B459) &gt; 0, Herramientas_hidráulicas2266110153[[#Headers],[Herramientas_hidráulicas]],
    COUNTIF(EPP_2367111154[SPCC], B459) &gt; 0, EPP_2367111154[[#Headers],[SPCC]],
   COUNTIF(Herramientas_de_izaje2468112155[Herramientas_de_izaje], B459) &gt; 0, Herramientas_de_izaje2468112155[[#Headers],[Herramientas_de_izaje]],
COUNTIF(Tabla162670114157[Equipos], B459) &gt; 0, Tabla162670114157[[#Headers],[Equipos]],
    TRUE, "Sin clasificación"
)</f>
        <v>Sin clasificación</v>
      </c>
      <c r="I459" s="15"/>
      <c r="J459" s="47"/>
      <c r="K459" s="76"/>
      <c r="L459" s="76"/>
      <c r="M459" s="78" t="str">
        <f>_xlfn.LET(
    _xlpm.itemBuscado, B459,
    _xlpm.areaBuscada, C459,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TEXT(COUNTIF($C$2:C459, _xlpm.areaBuscada), "0000"),
    _xlpm.codItem &amp; "-" &amp; _xlpm.codArea &amp; "-" &amp; _xlpm.secuencia
)</f>
        <v>-SinArea-0000</v>
      </c>
      <c r="N459" s="77"/>
      <c r="O459" s="32"/>
      <c r="P459" s="32"/>
      <c r="Q459" s="32"/>
      <c r="R459" s="32"/>
    </row>
    <row r="460" spans="3:18" x14ac:dyDescent="0.3">
      <c r="C460" s="11"/>
      <c r="D460" s="32"/>
      <c r="E460" s="11" t="str" cm="1">
        <f t="array" ref="E460">_xlfn.IFS(
    COUNTIF(Herramientas_eléctricas1862106149[Herramientas_eléctricas], B460) &gt; 0, Herramientas_eléctricas1862106149[[#Headers],[Herramientas_eléctricas]],
    COUNTIF(Herramientas_neumáticas1963107150[Herramientas_neumáticas], B460) &gt; 0, Herramientas_neumáticas1963107150[[#Headers],[Herramientas_neumáticas]],
    COUNTIF(Herramientas_de_medición2064108151[Herramientas_de_medición], B460) &gt; 0, Herramientas_de_medición2064108151[[#Headers],[Herramientas_de_medición]],
    COUNTIF(Herrramientas_mecánicas2165109152[Herramientas_mecánicas], B460) &gt; 0, Herrramientas_mecánicas2165109152[[#Headers],[Herramientas_mecánicas]],
    COUNTIF(AH460:AH466, B460) &gt; 0, Herramientas_hidráulicas2266110153[[#Headers],[Herramientas_hidráulicas]],
    COUNTIF(EPP_2367111154[SPCC], B460) &gt; 0, EPP_2367111154[[#Headers],[SPCC]],
   COUNTIF(Herramientas_de_izaje2468112155[Herramientas_de_izaje], B460) &gt; 0, Herramientas_de_izaje2468112155[[#Headers],[Herramientas_de_izaje]],
COUNTIF(Tabla162670114157[Equipos], B460) &gt; 0, Tabla162670114157[[#Headers],[Equipos]],
    TRUE, "Sin clasificación"
)</f>
        <v>Sin clasificación</v>
      </c>
      <c r="I460" s="15"/>
      <c r="J460" s="47"/>
      <c r="K460" s="76"/>
      <c r="L460" s="76"/>
      <c r="M460" s="78" t="str">
        <f>_xlfn.LET(
    _xlpm.itemBuscado, B460,
    _xlpm.areaBuscada, C460,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TEXT(COUNTIF($C$2:C460, _xlpm.areaBuscada), "0000"),
    _xlpm.codItem &amp; "-" &amp; _xlpm.codArea &amp; "-" &amp; _xlpm.secuencia
)</f>
        <v>-SinArea-0000</v>
      </c>
      <c r="N460" s="77"/>
      <c r="O460" s="32"/>
      <c r="P460" s="32"/>
      <c r="Q460" s="32"/>
      <c r="R460" s="32"/>
    </row>
    <row r="461" spans="3:18" x14ac:dyDescent="0.3">
      <c r="C461" s="11"/>
      <c r="D461" s="32"/>
      <c r="E461" s="11" t="str" cm="1">
        <f t="array" ref="E461">_xlfn.IFS(
    COUNTIF(Herramientas_eléctricas1862106149[Herramientas_eléctricas], B461) &gt; 0, Herramientas_eléctricas1862106149[[#Headers],[Herramientas_eléctricas]],
    COUNTIF(Herramientas_neumáticas1963107150[Herramientas_neumáticas], B461) &gt; 0, Herramientas_neumáticas1963107150[[#Headers],[Herramientas_neumáticas]],
    COUNTIF(Herramientas_de_medición2064108151[Herramientas_de_medición], B461) &gt; 0, Herramientas_de_medición2064108151[[#Headers],[Herramientas_de_medición]],
    COUNTIF(Herrramientas_mecánicas2165109152[Herramientas_mecánicas], B461) &gt; 0, Herrramientas_mecánicas2165109152[[#Headers],[Herramientas_mecánicas]],
    COUNTIF(AH461:AH467, B461) &gt; 0, Herramientas_hidráulicas2266110153[[#Headers],[Herramientas_hidráulicas]],
    COUNTIF(EPP_2367111154[SPCC], B461) &gt; 0, EPP_2367111154[[#Headers],[SPCC]],
   COUNTIF(Herramientas_de_izaje2468112155[Herramientas_de_izaje], B461) &gt; 0, Herramientas_de_izaje2468112155[[#Headers],[Herramientas_de_izaje]],
COUNTIF(Tabla162670114157[Equipos], B461) &gt; 0, Tabla162670114157[[#Headers],[Equipos]],
    TRUE, "Sin clasificación"
)</f>
        <v>Sin clasificación</v>
      </c>
      <c r="I461" s="15"/>
      <c r="J461" s="47"/>
      <c r="K461" s="76"/>
      <c r="L461" s="76"/>
      <c r="M461" s="78" t="str">
        <f>_xlfn.LET(
    _xlpm.itemBuscado, B461,
    _xlpm.areaBuscada, C461,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TEXT(COUNTIF($C$2:C461, _xlpm.areaBuscada), "0000"),
    _xlpm.codItem &amp; "-" &amp; _xlpm.codArea &amp; "-" &amp; _xlpm.secuencia
)</f>
        <v>-SinArea-0000</v>
      </c>
      <c r="N461" s="77"/>
      <c r="O461" s="32"/>
      <c r="P461" s="32"/>
      <c r="Q461" s="32"/>
      <c r="R461" s="32"/>
    </row>
    <row r="462" spans="3:18" x14ac:dyDescent="0.3">
      <c r="C462" s="11"/>
      <c r="D462" s="32"/>
      <c r="E462" s="11" t="str" cm="1">
        <f t="array" ref="E462">_xlfn.IFS(
    COUNTIF(Herramientas_eléctricas1862106149[Herramientas_eléctricas], B462) &gt; 0, Herramientas_eléctricas1862106149[[#Headers],[Herramientas_eléctricas]],
    COUNTIF(Herramientas_neumáticas1963107150[Herramientas_neumáticas], B462) &gt; 0, Herramientas_neumáticas1963107150[[#Headers],[Herramientas_neumáticas]],
    COUNTIF(Herramientas_de_medición2064108151[Herramientas_de_medición], B462) &gt; 0, Herramientas_de_medición2064108151[[#Headers],[Herramientas_de_medición]],
    COUNTIF(Herrramientas_mecánicas2165109152[Herramientas_mecánicas], B462) &gt; 0, Herrramientas_mecánicas2165109152[[#Headers],[Herramientas_mecánicas]],
    COUNTIF(AH462:AH468, B462) &gt; 0, Herramientas_hidráulicas2266110153[[#Headers],[Herramientas_hidráulicas]],
    COUNTIF(EPP_2367111154[SPCC], B462) &gt; 0, EPP_2367111154[[#Headers],[SPCC]],
   COUNTIF(Herramientas_de_izaje2468112155[Herramientas_de_izaje], B462) &gt; 0, Herramientas_de_izaje2468112155[[#Headers],[Herramientas_de_izaje]],
COUNTIF(Tabla162670114157[Equipos], B462) &gt; 0, Tabla162670114157[[#Headers],[Equipos]],
    TRUE, "Sin clasificación"
)</f>
        <v>Sin clasificación</v>
      </c>
      <c r="I462" s="15"/>
      <c r="J462" s="47"/>
      <c r="K462" s="76"/>
      <c r="L462" s="76"/>
      <c r="M462" s="78" t="str">
        <f>_xlfn.LET(
    _xlpm.itemBuscado, B462,
    _xlpm.areaBuscada, C462,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TEXT(COUNTIF($C$2:C462, _xlpm.areaBuscada), "0000"),
    _xlpm.codItem &amp; "-" &amp; _xlpm.codArea &amp; "-" &amp; _xlpm.secuencia
)</f>
        <v>-SinArea-0000</v>
      </c>
      <c r="N462" s="77"/>
      <c r="O462" s="32"/>
      <c r="P462" s="32"/>
      <c r="Q462" s="32"/>
      <c r="R462" s="32"/>
    </row>
    <row r="463" spans="3:18" x14ac:dyDescent="0.3">
      <c r="C463" s="11"/>
      <c r="D463" s="32"/>
      <c r="E463" s="11" t="str" cm="1">
        <f t="array" ref="E463">_xlfn.IFS(
    COUNTIF(Herramientas_eléctricas1862106149[Herramientas_eléctricas], B463) &gt; 0, Herramientas_eléctricas1862106149[[#Headers],[Herramientas_eléctricas]],
    COUNTIF(Herramientas_neumáticas1963107150[Herramientas_neumáticas], B463) &gt; 0, Herramientas_neumáticas1963107150[[#Headers],[Herramientas_neumáticas]],
    COUNTIF(Herramientas_de_medición2064108151[Herramientas_de_medición], B463) &gt; 0, Herramientas_de_medición2064108151[[#Headers],[Herramientas_de_medición]],
    COUNTIF(Herrramientas_mecánicas2165109152[Herramientas_mecánicas], B463) &gt; 0, Herrramientas_mecánicas2165109152[[#Headers],[Herramientas_mecánicas]],
    COUNTIF(AH463:AH469, B463) &gt; 0, Herramientas_hidráulicas2266110153[[#Headers],[Herramientas_hidráulicas]],
    COUNTIF(EPP_2367111154[SPCC], B463) &gt; 0, EPP_2367111154[[#Headers],[SPCC]],
   COUNTIF(Herramientas_de_izaje2468112155[Herramientas_de_izaje], B463) &gt; 0, Herramientas_de_izaje2468112155[[#Headers],[Herramientas_de_izaje]],
COUNTIF(Tabla162670114157[Equipos], B463) &gt; 0, Tabla162670114157[[#Headers],[Equipos]],
    TRUE, "Sin clasificación"
)</f>
        <v>Sin clasificación</v>
      </c>
      <c r="I463" s="15"/>
      <c r="J463" s="47"/>
      <c r="K463" s="76"/>
      <c r="L463" s="76"/>
      <c r="M463" s="78" t="str">
        <f>_xlfn.LET(
    _xlpm.itemBuscado, B463,
    _xlpm.areaBuscada, C463,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TEXT(COUNTIF($C$2:C463, _xlpm.areaBuscada), "0000"),
    _xlpm.codItem &amp; "-" &amp; _xlpm.codArea &amp; "-" &amp; _xlpm.secuencia
)</f>
        <v>-SinArea-0000</v>
      </c>
      <c r="N463" s="77"/>
      <c r="O463" s="32"/>
      <c r="P463" s="32"/>
      <c r="Q463" s="32"/>
      <c r="R463" s="32"/>
    </row>
    <row r="464" spans="3:18" x14ac:dyDescent="0.3">
      <c r="C464" s="11"/>
      <c r="D464" s="32"/>
      <c r="E464" s="11" t="str" cm="1">
        <f t="array" ref="E464">_xlfn.IFS(
    COUNTIF(Herramientas_eléctricas1862106149[Herramientas_eléctricas], B464) &gt; 0, Herramientas_eléctricas1862106149[[#Headers],[Herramientas_eléctricas]],
    COUNTIF(Herramientas_neumáticas1963107150[Herramientas_neumáticas], B464) &gt; 0, Herramientas_neumáticas1963107150[[#Headers],[Herramientas_neumáticas]],
    COUNTIF(Herramientas_de_medición2064108151[Herramientas_de_medición], B464) &gt; 0, Herramientas_de_medición2064108151[[#Headers],[Herramientas_de_medición]],
    COUNTIF(Herrramientas_mecánicas2165109152[Herramientas_mecánicas], B464) &gt; 0, Herrramientas_mecánicas2165109152[[#Headers],[Herramientas_mecánicas]],
    COUNTIF(AH464:AH470, B464) &gt; 0, Herramientas_hidráulicas2266110153[[#Headers],[Herramientas_hidráulicas]],
    COUNTIF(EPP_2367111154[SPCC], B464) &gt; 0, EPP_2367111154[[#Headers],[SPCC]],
   COUNTIF(Herramientas_de_izaje2468112155[Herramientas_de_izaje], B464) &gt; 0, Herramientas_de_izaje2468112155[[#Headers],[Herramientas_de_izaje]],
COUNTIF(Tabla162670114157[Equipos], B464) &gt; 0, Tabla162670114157[[#Headers],[Equipos]],
    TRUE, "Sin clasificación"
)</f>
        <v>Sin clasificación</v>
      </c>
      <c r="I464" s="15"/>
      <c r="J464" s="47"/>
      <c r="K464" s="76"/>
      <c r="L464" s="76"/>
      <c r="M464" s="78" t="str">
        <f>_xlfn.LET(
    _xlpm.itemBuscado, B464,
    _xlpm.areaBuscada, C464,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TEXT(COUNTIF($C$2:C464, _xlpm.areaBuscada), "0000"),
    _xlpm.codItem &amp; "-" &amp; _xlpm.codArea &amp; "-" &amp; _xlpm.secuencia
)</f>
        <v>-SinArea-0000</v>
      </c>
      <c r="N464" s="77"/>
      <c r="O464" s="32"/>
      <c r="P464" s="32"/>
      <c r="Q464" s="32"/>
      <c r="R464" s="32"/>
    </row>
    <row r="465" spans="3:18" x14ac:dyDescent="0.3">
      <c r="C465" s="11"/>
      <c r="D465" s="32"/>
      <c r="E465" s="11" t="str" cm="1">
        <f t="array" ref="E465">_xlfn.IFS(
    COUNTIF(Herramientas_eléctricas1862106149[Herramientas_eléctricas], B465) &gt; 0, Herramientas_eléctricas1862106149[[#Headers],[Herramientas_eléctricas]],
    COUNTIF(Herramientas_neumáticas1963107150[Herramientas_neumáticas], B465) &gt; 0, Herramientas_neumáticas1963107150[[#Headers],[Herramientas_neumáticas]],
    COUNTIF(Herramientas_de_medición2064108151[Herramientas_de_medición], B465) &gt; 0, Herramientas_de_medición2064108151[[#Headers],[Herramientas_de_medición]],
    COUNTIF(Herrramientas_mecánicas2165109152[Herramientas_mecánicas], B465) &gt; 0, Herrramientas_mecánicas2165109152[[#Headers],[Herramientas_mecánicas]],
    COUNTIF(AH465:AH471, B465) &gt; 0, Herramientas_hidráulicas2266110153[[#Headers],[Herramientas_hidráulicas]],
    COUNTIF(EPP_2367111154[SPCC], B465) &gt; 0, EPP_2367111154[[#Headers],[SPCC]],
   COUNTIF(Herramientas_de_izaje2468112155[Herramientas_de_izaje], B465) &gt; 0, Herramientas_de_izaje2468112155[[#Headers],[Herramientas_de_izaje]],
COUNTIF(Tabla162670114157[Equipos], B465) &gt; 0, Tabla162670114157[[#Headers],[Equipos]],
    TRUE, "Sin clasificación"
)</f>
        <v>Sin clasificación</v>
      </c>
      <c r="I465" s="15"/>
      <c r="J465" s="47"/>
      <c r="K465" s="76"/>
      <c r="L465" s="76"/>
      <c r="M465" s="78" t="str">
        <f>_xlfn.LET(
    _xlpm.itemBuscado, B465,
    _xlpm.areaBuscada, C465,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TEXT(COUNTIF($C$2:C465, _xlpm.areaBuscada), "0000"),
    _xlpm.codItem &amp; "-" &amp; _xlpm.codArea &amp; "-" &amp; _xlpm.secuencia
)</f>
        <v>-SinArea-0000</v>
      </c>
      <c r="N465" s="77"/>
      <c r="O465" s="32"/>
      <c r="P465" s="32"/>
      <c r="Q465" s="32"/>
      <c r="R465" s="32"/>
    </row>
    <row r="466" spans="3:18" x14ac:dyDescent="0.3">
      <c r="C466" s="11"/>
      <c r="D466" s="32"/>
      <c r="E466" s="11" t="str" cm="1">
        <f t="array" ref="E466">_xlfn.IFS(
    COUNTIF(Herramientas_eléctricas1862106149[Herramientas_eléctricas], B466) &gt; 0, Herramientas_eléctricas1862106149[[#Headers],[Herramientas_eléctricas]],
    COUNTIF(Herramientas_neumáticas1963107150[Herramientas_neumáticas], B466) &gt; 0, Herramientas_neumáticas1963107150[[#Headers],[Herramientas_neumáticas]],
    COUNTIF(Herramientas_de_medición2064108151[Herramientas_de_medición], B466) &gt; 0, Herramientas_de_medición2064108151[[#Headers],[Herramientas_de_medición]],
    COUNTIF(Herrramientas_mecánicas2165109152[Herramientas_mecánicas], B466) &gt; 0, Herrramientas_mecánicas2165109152[[#Headers],[Herramientas_mecánicas]],
    COUNTIF(AH466:AH472, B466) &gt; 0, Herramientas_hidráulicas2266110153[[#Headers],[Herramientas_hidráulicas]],
    COUNTIF(EPP_2367111154[SPCC], B466) &gt; 0, EPP_2367111154[[#Headers],[SPCC]],
   COUNTIF(Herramientas_de_izaje2468112155[Herramientas_de_izaje], B466) &gt; 0, Herramientas_de_izaje2468112155[[#Headers],[Herramientas_de_izaje]],
COUNTIF(Tabla162670114157[Equipos], B466) &gt; 0, Tabla162670114157[[#Headers],[Equipos]],
    TRUE, "Sin clasificación"
)</f>
        <v>Sin clasificación</v>
      </c>
      <c r="I466" s="15"/>
      <c r="J466" s="47"/>
      <c r="K466" s="76"/>
      <c r="L466" s="76"/>
      <c r="M466" s="78" t="str">
        <f>_xlfn.LET(
    _xlpm.itemBuscado, B466,
    _xlpm.areaBuscada, C466,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TEXT(COUNTIF($C$2:C466, _xlpm.areaBuscada), "0000"),
    _xlpm.codItem &amp; "-" &amp; _xlpm.codArea &amp; "-" &amp; _xlpm.secuencia
)</f>
        <v>-SinArea-0000</v>
      </c>
      <c r="N466" s="77"/>
      <c r="O466" s="32"/>
      <c r="P466" s="32"/>
      <c r="Q466" s="32"/>
      <c r="R466" s="32"/>
    </row>
    <row r="467" spans="3:18" x14ac:dyDescent="0.3">
      <c r="C467" s="11"/>
      <c r="D467" s="32"/>
      <c r="E467" s="11" t="str" cm="1">
        <f t="array" ref="E467">_xlfn.IFS(
    COUNTIF(Herramientas_eléctricas1862106149[Herramientas_eléctricas], B467) &gt; 0, Herramientas_eléctricas1862106149[[#Headers],[Herramientas_eléctricas]],
    COUNTIF(Herramientas_neumáticas1963107150[Herramientas_neumáticas], B467) &gt; 0, Herramientas_neumáticas1963107150[[#Headers],[Herramientas_neumáticas]],
    COUNTIF(Herramientas_de_medición2064108151[Herramientas_de_medición], B467) &gt; 0, Herramientas_de_medición2064108151[[#Headers],[Herramientas_de_medición]],
    COUNTIF(Herrramientas_mecánicas2165109152[Herramientas_mecánicas], B467) &gt; 0, Herrramientas_mecánicas2165109152[[#Headers],[Herramientas_mecánicas]],
    COUNTIF(AH467:AH473, B467) &gt; 0, Herramientas_hidráulicas2266110153[[#Headers],[Herramientas_hidráulicas]],
    COUNTIF(EPP_2367111154[SPCC], B467) &gt; 0, EPP_2367111154[[#Headers],[SPCC]],
   COUNTIF(Herramientas_de_izaje2468112155[Herramientas_de_izaje], B467) &gt; 0, Herramientas_de_izaje2468112155[[#Headers],[Herramientas_de_izaje]],
COUNTIF(Tabla162670114157[Equipos], B467) &gt; 0, Tabla162670114157[[#Headers],[Equipos]],
    TRUE, "Sin clasificación"
)</f>
        <v>Sin clasificación</v>
      </c>
      <c r="I467" s="15"/>
      <c r="J467" s="47"/>
      <c r="K467" s="76"/>
      <c r="L467" s="76"/>
      <c r="M467" s="78" t="str">
        <f>_xlfn.LET(
    _xlpm.itemBuscado, B467,
    _xlpm.areaBuscada, C467,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TEXT(COUNTIF($C$2:C467, _xlpm.areaBuscada), "0000"),
    _xlpm.codItem &amp; "-" &amp; _xlpm.codArea &amp; "-" &amp; _xlpm.secuencia
)</f>
        <v>-SinArea-0000</v>
      </c>
      <c r="N467" s="77"/>
      <c r="O467" s="32"/>
      <c r="P467" s="32"/>
      <c r="Q467" s="32"/>
      <c r="R467" s="32"/>
    </row>
    <row r="468" spans="3:18" x14ac:dyDescent="0.3">
      <c r="C468" s="11"/>
      <c r="D468" s="32"/>
      <c r="E468" s="11" t="str" cm="1">
        <f t="array" ref="E468">_xlfn.IFS(
    COUNTIF(Herramientas_eléctricas1862106149[Herramientas_eléctricas], B468) &gt; 0, Herramientas_eléctricas1862106149[[#Headers],[Herramientas_eléctricas]],
    COUNTIF(Herramientas_neumáticas1963107150[Herramientas_neumáticas], B468) &gt; 0, Herramientas_neumáticas1963107150[[#Headers],[Herramientas_neumáticas]],
    COUNTIF(Herramientas_de_medición2064108151[Herramientas_de_medición], B468) &gt; 0, Herramientas_de_medición2064108151[[#Headers],[Herramientas_de_medición]],
    COUNTIF(Herrramientas_mecánicas2165109152[Herramientas_mecánicas], B468) &gt; 0, Herrramientas_mecánicas2165109152[[#Headers],[Herramientas_mecánicas]],
    COUNTIF(AH468:AH474, B468) &gt; 0, Herramientas_hidráulicas2266110153[[#Headers],[Herramientas_hidráulicas]],
    COUNTIF(EPP_2367111154[SPCC], B468) &gt; 0, EPP_2367111154[[#Headers],[SPCC]],
   COUNTIF(Herramientas_de_izaje2468112155[Herramientas_de_izaje], B468) &gt; 0, Herramientas_de_izaje2468112155[[#Headers],[Herramientas_de_izaje]],
COUNTIF(Tabla162670114157[Equipos], B468) &gt; 0, Tabla162670114157[[#Headers],[Equipos]],
    TRUE, "Sin clasificación"
)</f>
        <v>Sin clasificación</v>
      </c>
      <c r="I468" s="15"/>
      <c r="J468" s="47"/>
      <c r="K468" s="76"/>
      <c r="L468" s="76"/>
      <c r="M468" s="78" t="str">
        <f>_xlfn.LET(
    _xlpm.itemBuscado, B468,
    _xlpm.areaBuscada, C468,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TEXT(COUNTIF($C$2:C468, _xlpm.areaBuscada), "0000"),
    _xlpm.codItem &amp; "-" &amp; _xlpm.codArea &amp; "-" &amp; _xlpm.secuencia
)</f>
        <v>-SinArea-0000</v>
      </c>
      <c r="N468" s="77"/>
      <c r="O468" s="32"/>
      <c r="P468" s="32"/>
      <c r="Q468" s="32"/>
      <c r="R468" s="32"/>
    </row>
    <row r="469" spans="3:18" x14ac:dyDescent="0.3">
      <c r="C469" s="11"/>
      <c r="D469" s="32"/>
      <c r="E469" s="11" t="str" cm="1">
        <f t="array" ref="E469">_xlfn.IFS(
    COUNTIF(Herramientas_eléctricas1862106149[Herramientas_eléctricas], B469) &gt; 0, Herramientas_eléctricas1862106149[[#Headers],[Herramientas_eléctricas]],
    COUNTIF(Herramientas_neumáticas1963107150[Herramientas_neumáticas], B469) &gt; 0, Herramientas_neumáticas1963107150[[#Headers],[Herramientas_neumáticas]],
    COUNTIF(Herramientas_de_medición2064108151[Herramientas_de_medición], B469) &gt; 0, Herramientas_de_medición2064108151[[#Headers],[Herramientas_de_medición]],
    COUNTIF(Herrramientas_mecánicas2165109152[Herramientas_mecánicas], B469) &gt; 0, Herrramientas_mecánicas2165109152[[#Headers],[Herramientas_mecánicas]],
    COUNTIF(AH469:AH475, B469) &gt; 0, Herramientas_hidráulicas2266110153[[#Headers],[Herramientas_hidráulicas]],
    COUNTIF(EPP_2367111154[SPCC], B469) &gt; 0, EPP_2367111154[[#Headers],[SPCC]],
   COUNTIF(Herramientas_de_izaje2468112155[Herramientas_de_izaje], B469) &gt; 0, Herramientas_de_izaje2468112155[[#Headers],[Herramientas_de_izaje]],
COUNTIF(Tabla162670114157[Equipos], B469) &gt; 0, Tabla162670114157[[#Headers],[Equipos]],
    TRUE, "Sin clasificación"
)</f>
        <v>Sin clasificación</v>
      </c>
      <c r="I469" s="15"/>
      <c r="J469" s="47"/>
      <c r="K469" s="76"/>
      <c r="L469" s="76"/>
      <c r="M469" s="78" t="str">
        <f>_xlfn.LET(
    _xlpm.itemBuscado, B469,
    _xlpm.areaBuscada, C469,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TEXT(COUNTIF($C$2:C469, _xlpm.areaBuscada), "0000"),
    _xlpm.codItem &amp; "-" &amp; _xlpm.codArea &amp; "-" &amp; _xlpm.secuencia
)</f>
        <v>-SinArea-0000</v>
      </c>
      <c r="N469" s="77"/>
      <c r="O469" s="32"/>
      <c r="P469" s="32"/>
      <c r="Q469" s="32"/>
      <c r="R469" s="32"/>
    </row>
    <row r="470" spans="3:18" x14ac:dyDescent="0.3">
      <c r="C470" s="11"/>
      <c r="D470" s="32"/>
      <c r="E470" s="11" t="str" cm="1">
        <f t="array" ref="E470">_xlfn.IFS(
    COUNTIF(Herramientas_eléctricas1862106149[Herramientas_eléctricas], B470) &gt; 0, Herramientas_eléctricas1862106149[[#Headers],[Herramientas_eléctricas]],
    COUNTIF(Herramientas_neumáticas1963107150[Herramientas_neumáticas], B470) &gt; 0, Herramientas_neumáticas1963107150[[#Headers],[Herramientas_neumáticas]],
    COUNTIF(Herramientas_de_medición2064108151[Herramientas_de_medición], B470) &gt; 0, Herramientas_de_medición2064108151[[#Headers],[Herramientas_de_medición]],
    COUNTIF(Herrramientas_mecánicas2165109152[Herramientas_mecánicas], B470) &gt; 0, Herrramientas_mecánicas2165109152[[#Headers],[Herramientas_mecánicas]],
    COUNTIF(AH470:AH476, B470) &gt; 0, Herramientas_hidráulicas2266110153[[#Headers],[Herramientas_hidráulicas]],
    COUNTIF(EPP_2367111154[SPCC], B470) &gt; 0, EPP_2367111154[[#Headers],[SPCC]],
   COUNTIF(Herramientas_de_izaje2468112155[Herramientas_de_izaje], B470) &gt; 0, Herramientas_de_izaje2468112155[[#Headers],[Herramientas_de_izaje]],
COUNTIF(Tabla162670114157[Equipos], B470) &gt; 0, Tabla162670114157[[#Headers],[Equipos]],
    TRUE, "Sin clasificación"
)</f>
        <v>Sin clasificación</v>
      </c>
      <c r="I470" s="15"/>
      <c r="J470" s="47"/>
      <c r="K470" s="76"/>
      <c r="L470" s="76"/>
      <c r="M470" s="78" t="str">
        <f>_xlfn.LET(
    _xlpm.itemBuscado, B470,
    _xlpm.areaBuscada, C470,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TEXT(COUNTIF($C$2:C470, _xlpm.areaBuscada), "0000"),
    _xlpm.codItem &amp; "-" &amp; _xlpm.codArea &amp; "-" &amp; _xlpm.secuencia
)</f>
        <v>-SinArea-0000</v>
      </c>
      <c r="N470" s="77"/>
      <c r="O470" s="32"/>
      <c r="P470" s="32"/>
      <c r="Q470" s="32"/>
      <c r="R470" s="32"/>
    </row>
    <row r="471" spans="3:18" x14ac:dyDescent="0.3">
      <c r="C471" s="11"/>
      <c r="D471" s="32"/>
      <c r="E471" s="11" t="str" cm="1">
        <f t="array" ref="E471">_xlfn.IFS(
    COUNTIF(Herramientas_eléctricas1862106149[Herramientas_eléctricas], B471) &gt; 0, Herramientas_eléctricas1862106149[[#Headers],[Herramientas_eléctricas]],
    COUNTIF(Herramientas_neumáticas1963107150[Herramientas_neumáticas], B471) &gt; 0, Herramientas_neumáticas1963107150[[#Headers],[Herramientas_neumáticas]],
    COUNTIF(Herramientas_de_medición2064108151[Herramientas_de_medición], B471) &gt; 0, Herramientas_de_medición2064108151[[#Headers],[Herramientas_de_medición]],
    COUNTIF(Herrramientas_mecánicas2165109152[Herramientas_mecánicas], B471) &gt; 0, Herrramientas_mecánicas2165109152[[#Headers],[Herramientas_mecánicas]],
    COUNTIF(AH471:AH477, B471) &gt; 0, Herramientas_hidráulicas2266110153[[#Headers],[Herramientas_hidráulicas]],
    COUNTIF(EPP_2367111154[SPCC], B471) &gt; 0, EPP_2367111154[[#Headers],[SPCC]],
   COUNTIF(Herramientas_de_izaje2468112155[Herramientas_de_izaje], B471) &gt; 0, Herramientas_de_izaje2468112155[[#Headers],[Herramientas_de_izaje]],
COUNTIF(Tabla162670114157[Equipos], B471) &gt; 0, Tabla162670114157[[#Headers],[Equipos]],
    TRUE, "Sin clasificación"
)</f>
        <v>Sin clasificación</v>
      </c>
      <c r="I471" s="15"/>
      <c r="J471" s="47"/>
      <c r="K471" s="76"/>
      <c r="L471" s="76"/>
      <c r="M471" s="78" t="str">
        <f>_xlfn.LET(
    _xlpm.itemBuscado, B471,
    _xlpm.areaBuscada, C471,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TEXT(COUNTIF($C$2:C471, _xlpm.areaBuscada), "0000"),
    _xlpm.codItem &amp; "-" &amp; _xlpm.codArea &amp; "-" &amp; _xlpm.secuencia
)</f>
        <v>-SinArea-0000</v>
      </c>
      <c r="N471" s="77"/>
      <c r="O471" s="32"/>
      <c r="P471" s="32"/>
      <c r="Q471" s="32"/>
      <c r="R471" s="32"/>
    </row>
    <row r="472" spans="3:18" x14ac:dyDescent="0.3">
      <c r="C472" s="11"/>
      <c r="D472" s="32"/>
      <c r="E472" s="11" t="str" cm="1">
        <f t="array" ref="E472">_xlfn.IFS(
    COUNTIF(Herramientas_eléctricas1862106149[Herramientas_eléctricas], B472) &gt; 0, Herramientas_eléctricas1862106149[[#Headers],[Herramientas_eléctricas]],
    COUNTIF(Herramientas_neumáticas1963107150[Herramientas_neumáticas], B472) &gt; 0, Herramientas_neumáticas1963107150[[#Headers],[Herramientas_neumáticas]],
    COUNTIF(Herramientas_de_medición2064108151[Herramientas_de_medición], B472) &gt; 0, Herramientas_de_medición2064108151[[#Headers],[Herramientas_de_medición]],
    COUNTIF(Herrramientas_mecánicas2165109152[Herramientas_mecánicas], B472) &gt; 0, Herrramientas_mecánicas2165109152[[#Headers],[Herramientas_mecánicas]],
    COUNTIF(AH472:AH478, B472) &gt; 0, Herramientas_hidráulicas2266110153[[#Headers],[Herramientas_hidráulicas]],
    COUNTIF(EPP_2367111154[SPCC], B472) &gt; 0, EPP_2367111154[[#Headers],[SPCC]],
   COUNTIF(Herramientas_de_izaje2468112155[Herramientas_de_izaje], B472) &gt; 0, Herramientas_de_izaje2468112155[[#Headers],[Herramientas_de_izaje]],
COUNTIF(Tabla162670114157[Equipos], B472) &gt; 0, Tabla162670114157[[#Headers],[Equipos]],
    TRUE, "Sin clasificación"
)</f>
        <v>Sin clasificación</v>
      </c>
      <c r="I472" s="15"/>
      <c r="J472" s="47"/>
      <c r="K472" s="76"/>
      <c r="L472" s="76"/>
      <c r="M472" s="78" t="str">
        <f>_xlfn.LET(
    _xlpm.itemBuscado, B472,
    _xlpm.areaBuscada, C472,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TEXT(COUNTIF($C$2:C472, _xlpm.areaBuscada), "0000"),
    _xlpm.codItem &amp; "-" &amp; _xlpm.codArea &amp; "-" &amp; _xlpm.secuencia
)</f>
        <v>-SinArea-0000</v>
      </c>
      <c r="N472" s="77"/>
      <c r="O472" s="32"/>
      <c r="P472" s="32"/>
      <c r="Q472" s="32"/>
      <c r="R472" s="32"/>
    </row>
    <row r="473" spans="3:18" x14ac:dyDescent="0.3">
      <c r="C473" s="11"/>
      <c r="D473" s="32"/>
      <c r="E473" s="11" t="str" cm="1">
        <f t="array" ref="E473">_xlfn.IFS(
    COUNTIF(Herramientas_eléctricas1862106149[Herramientas_eléctricas], B473) &gt; 0, Herramientas_eléctricas1862106149[[#Headers],[Herramientas_eléctricas]],
    COUNTIF(Herramientas_neumáticas1963107150[Herramientas_neumáticas], B473) &gt; 0, Herramientas_neumáticas1963107150[[#Headers],[Herramientas_neumáticas]],
    COUNTIF(Herramientas_de_medición2064108151[Herramientas_de_medición], B473) &gt; 0, Herramientas_de_medición2064108151[[#Headers],[Herramientas_de_medición]],
    COUNTIF(Herrramientas_mecánicas2165109152[Herramientas_mecánicas], B473) &gt; 0, Herrramientas_mecánicas2165109152[[#Headers],[Herramientas_mecánicas]],
    COUNTIF(AH473:AH479, B473) &gt; 0, Herramientas_hidráulicas2266110153[[#Headers],[Herramientas_hidráulicas]],
    COUNTIF(EPP_2367111154[SPCC], B473) &gt; 0, EPP_2367111154[[#Headers],[SPCC]],
   COUNTIF(Herramientas_de_izaje2468112155[Herramientas_de_izaje], B473) &gt; 0, Herramientas_de_izaje2468112155[[#Headers],[Herramientas_de_izaje]],
COUNTIF(Tabla162670114157[Equipos], B473) &gt; 0, Tabla162670114157[[#Headers],[Equipos]],
    TRUE, "Sin clasificación"
)</f>
        <v>Sin clasificación</v>
      </c>
      <c r="I473" s="15"/>
      <c r="J473" s="47"/>
      <c r="K473" s="76"/>
      <c r="L473" s="76"/>
      <c r="M473" s="78" t="str">
        <f>_xlfn.LET(
    _xlpm.itemBuscado, B473,
    _xlpm.areaBuscada, C473,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TEXT(COUNTIF($C$2:C473, _xlpm.areaBuscada), "0000"),
    _xlpm.codItem &amp; "-" &amp; _xlpm.codArea &amp; "-" &amp; _xlpm.secuencia
)</f>
        <v>-SinArea-0000</v>
      </c>
      <c r="N473" s="77"/>
      <c r="O473" s="32"/>
      <c r="P473" s="32"/>
      <c r="Q473" s="32"/>
      <c r="R473" s="32"/>
    </row>
    <row r="474" spans="3:18" x14ac:dyDescent="0.3">
      <c r="C474" s="11"/>
      <c r="D474" s="32"/>
      <c r="E474" s="11" t="str" cm="1">
        <f t="array" ref="E474">_xlfn.IFS(
    COUNTIF(Herramientas_eléctricas1862106149[Herramientas_eléctricas], B474) &gt; 0, Herramientas_eléctricas1862106149[[#Headers],[Herramientas_eléctricas]],
    COUNTIF(Herramientas_neumáticas1963107150[Herramientas_neumáticas], B474) &gt; 0, Herramientas_neumáticas1963107150[[#Headers],[Herramientas_neumáticas]],
    COUNTIF(Herramientas_de_medición2064108151[Herramientas_de_medición], B474) &gt; 0, Herramientas_de_medición2064108151[[#Headers],[Herramientas_de_medición]],
    COUNTIF(Herrramientas_mecánicas2165109152[Herramientas_mecánicas], B474) &gt; 0, Herrramientas_mecánicas2165109152[[#Headers],[Herramientas_mecánicas]],
    COUNTIF(AH474:AH480, B474) &gt; 0, Herramientas_hidráulicas2266110153[[#Headers],[Herramientas_hidráulicas]],
    COUNTIF(EPP_2367111154[SPCC], B474) &gt; 0, EPP_2367111154[[#Headers],[SPCC]],
   COUNTIF(Herramientas_de_izaje2468112155[Herramientas_de_izaje], B474) &gt; 0, Herramientas_de_izaje2468112155[[#Headers],[Herramientas_de_izaje]],
COUNTIF(Tabla162670114157[Equipos], B474) &gt; 0, Tabla162670114157[[#Headers],[Equipos]],
    TRUE, "Sin clasificación"
)</f>
        <v>Sin clasificación</v>
      </c>
      <c r="I474" s="15"/>
      <c r="J474" s="47"/>
      <c r="K474" s="76"/>
      <c r="L474" s="76"/>
      <c r="M474" s="78" t="str">
        <f>_xlfn.LET(
    _xlpm.itemBuscado, B474,
    _xlpm.areaBuscada, C474,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TEXT(COUNTIF($C$2:C474, _xlpm.areaBuscada), "0000"),
    _xlpm.codItem &amp; "-" &amp; _xlpm.codArea &amp; "-" &amp; _xlpm.secuencia
)</f>
        <v>-SinArea-0000</v>
      </c>
      <c r="N474" s="77"/>
      <c r="O474" s="32"/>
      <c r="P474" s="32"/>
      <c r="Q474" s="32"/>
      <c r="R474" s="32"/>
    </row>
    <row r="475" spans="3:18" x14ac:dyDescent="0.3">
      <c r="C475" s="11"/>
      <c r="D475" s="32"/>
      <c r="E475" s="11" t="str" cm="1">
        <f t="array" ref="E475">_xlfn.IFS(
    COUNTIF(Herramientas_eléctricas1862106149[Herramientas_eléctricas], B475) &gt; 0, Herramientas_eléctricas1862106149[[#Headers],[Herramientas_eléctricas]],
    COUNTIF(Herramientas_neumáticas1963107150[Herramientas_neumáticas], B475) &gt; 0, Herramientas_neumáticas1963107150[[#Headers],[Herramientas_neumáticas]],
    COUNTIF(Herramientas_de_medición2064108151[Herramientas_de_medición], B475) &gt; 0, Herramientas_de_medición2064108151[[#Headers],[Herramientas_de_medición]],
    COUNTIF(Herrramientas_mecánicas2165109152[Herramientas_mecánicas], B475) &gt; 0, Herrramientas_mecánicas2165109152[[#Headers],[Herramientas_mecánicas]],
    COUNTIF(AH475:AH481, B475) &gt; 0, Herramientas_hidráulicas2266110153[[#Headers],[Herramientas_hidráulicas]],
    COUNTIF(EPP_2367111154[SPCC], B475) &gt; 0, EPP_2367111154[[#Headers],[SPCC]],
   COUNTIF(Herramientas_de_izaje2468112155[Herramientas_de_izaje], B475) &gt; 0, Herramientas_de_izaje2468112155[[#Headers],[Herramientas_de_izaje]],
COUNTIF(Tabla162670114157[Equipos], B475) &gt; 0, Tabla162670114157[[#Headers],[Equipos]],
    TRUE, "Sin clasificación"
)</f>
        <v>Sin clasificación</v>
      </c>
      <c r="I475" s="15"/>
      <c r="J475" s="47"/>
      <c r="K475" s="76"/>
      <c r="L475" s="76"/>
      <c r="M475" s="78" t="str">
        <f>_xlfn.LET(
    _xlpm.itemBuscado, B475,
    _xlpm.areaBuscada, C475,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TEXT(COUNTIF($C$2:C475, _xlpm.areaBuscada), "0000"),
    _xlpm.codItem &amp; "-" &amp; _xlpm.codArea &amp; "-" &amp; _xlpm.secuencia
)</f>
        <v>-SinArea-0000</v>
      </c>
      <c r="N475" s="77"/>
      <c r="O475" s="32"/>
      <c r="P475" s="32"/>
      <c r="Q475" s="32"/>
      <c r="R475" s="32"/>
    </row>
    <row r="476" spans="3:18" x14ac:dyDescent="0.3">
      <c r="C476" s="11"/>
      <c r="D476" s="32"/>
      <c r="E476" s="11" t="str" cm="1">
        <f t="array" ref="E476">_xlfn.IFS(
    COUNTIF(Herramientas_eléctricas1862106149[Herramientas_eléctricas], B476) &gt; 0, Herramientas_eléctricas1862106149[[#Headers],[Herramientas_eléctricas]],
    COUNTIF(Herramientas_neumáticas1963107150[Herramientas_neumáticas], B476) &gt; 0, Herramientas_neumáticas1963107150[[#Headers],[Herramientas_neumáticas]],
    COUNTIF(Herramientas_de_medición2064108151[Herramientas_de_medición], B476) &gt; 0, Herramientas_de_medición2064108151[[#Headers],[Herramientas_de_medición]],
    COUNTIF(Herrramientas_mecánicas2165109152[Herramientas_mecánicas], B476) &gt; 0, Herrramientas_mecánicas2165109152[[#Headers],[Herramientas_mecánicas]],
    COUNTIF(AH476:AH482, B476) &gt; 0, Herramientas_hidráulicas2266110153[[#Headers],[Herramientas_hidráulicas]],
    COUNTIF(EPP_2367111154[SPCC], B476) &gt; 0, EPP_2367111154[[#Headers],[SPCC]],
   COUNTIF(Herramientas_de_izaje2468112155[Herramientas_de_izaje], B476) &gt; 0, Herramientas_de_izaje2468112155[[#Headers],[Herramientas_de_izaje]],
COUNTIF(Tabla162670114157[Equipos], B476) &gt; 0, Tabla162670114157[[#Headers],[Equipos]],
    TRUE, "Sin clasificación"
)</f>
        <v>Sin clasificación</v>
      </c>
      <c r="I476" s="15"/>
      <c r="J476" s="47"/>
      <c r="K476" s="76"/>
      <c r="L476" s="76"/>
      <c r="M476" s="78" t="str">
        <f>_xlfn.LET(
    _xlpm.itemBuscado, B476,
    _xlpm.areaBuscada, C476,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TEXT(COUNTIF($C$2:C476, _xlpm.areaBuscada), "0000"),
    _xlpm.codItem &amp; "-" &amp; _xlpm.codArea &amp; "-" &amp; _xlpm.secuencia
)</f>
        <v>-SinArea-0000</v>
      </c>
      <c r="N476" s="77"/>
      <c r="O476" s="32"/>
      <c r="P476" s="32"/>
      <c r="Q476" s="32"/>
      <c r="R476" s="32"/>
    </row>
    <row r="477" spans="3:18" x14ac:dyDescent="0.3">
      <c r="C477" s="11"/>
      <c r="D477" s="32"/>
      <c r="E477" s="11" t="str" cm="1">
        <f t="array" ref="E477">_xlfn.IFS(
    COUNTIF(Herramientas_eléctricas1862106149[Herramientas_eléctricas], B477) &gt; 0, Herramientas_eléctricas1862106149[[#Headers],[Herramientas_eléctricas]],
    COUNTIF(Herramientas_neumáticas1963107150[Herramientas_neumáticas], B477) &gt; 0, Herramientas_neumáticas1963107150[[#Headers],[Herramientas_neumáticas]],
    COUNTIF(Herramientas_de_medición2064108151[Herramientas_de_medición], B477) &gt; 0, Herramientas_de_medición2064108151[[#Headers],[Herramientas_de_medición]],
    COUNTIF(Herrramientas_mecánicas2165109152[Herramientas_mecánicas], B477) &gt; 0, Herrramientas_mecánicas2165109152[[#Headers],[Herramientas_mecánicas]],
    COUNTIF(AH477:AH483, B477) &gt; 0, Herramientas_hidráulicas2266110153[[#Headers],[Herramientas_hidráulicas]],
    COUNTIF(EPP_2367111154[SPCC], B477) &gt; 0, EPP_2367111154[[#Headers],[SPCC]],
   COUNTIF(Herramientas_de_izaje2468112155[Herramientas_de_izaje], B477) &gt; 0, Herramientas_de_izaje2468112155[[#Headers],[Herramientas_de_izaje]],
COUNTIF(Tabla162670114157[Equipos], B477) &gt; 0, Tabla162670114157[[#Headers],[Equipos]],
    TRUE, "Sin clasificación"
)</f>
        <v>Sin clasificación</v>
      </c>
      <c r="I477" s="15"/>
      <c r="J477" s="47"/>
      <c r="K477" s="76"/>
      <c r="L477" s="76"/>
      <c r="M477" s="78" t="str">
        <f>_xlfn.LET(
    _xlpm.itemBuscado, B477,
    _xlpm.areaBuscada, C477,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TEXT(COUNTIF($C$2:C477, _xlpm.areaBuscada), "0000"),
    _xlpm.codItem &amp; "-" &amp; _xlpm.codArea &amp; "-" &amp; _xlpm.secuencia
)</f>
        <v>-SinArea-0000</v>
      </c>
      <c r="N477" s="77"/>
      <c r="O477" s="32"/>
      <c r="P477" s="32"/>
      <c r="Q477" s="32"/>
      <c r="R477" s="32"/>
    </row>
    <row r="478" spans="3:18" x14ac:dyDescent="0.3">
      <c r="C478" s="11"/>
      <c r="D478" s="32"/>
      <c r="E478" s="11" t="str" cm="1">
        <f t="array" ref="E478">_xlfn.IFS(
    COUNTIF(Herramientas_eléctricas1862106149[Herramientas_eléctricas], B478) &gt; 0, Herramientas_eléctricas1862106149[[#Headers],[Herramientas_eléctricas]],
    COUNTIF(Herramientas_neumáticas1963107150[Herramientas_neumáticas], B478) &gt; 0, Herramientas_neumáticas1963107150[[#Headers],[Herramientas_neumáticas]],
    COUNTIF(Herramientas_de_medición2064108151[Herramientas_de_medición], B478) &gt; 0, Herramientas_de_medición2064108151[[#Headers],[Herramientas_de_medición]],
    COUNTIF(Herrramientas_mecánicas2165109152[Herramientas_mecánicas], B478) &gt; 0, Herrramientas_mecánicas2165109152[[#Headers],[Herramientas_mecánicas]],
    COUNTIF(AH478:AH484, B478) &gt; 0, Herramientas_hidráulicas2266110153[[#Headers],[Herramientas_hidráulicas]],
    COUNTIF(EPP_2367111154[SPCC], B478) &gt; 0, EPP_2367111154[[#Headers],[SPCC]],
   COUNTIF(Herramientas_de_izaje2468112155[Herramientas_de_izaje], B478) &gt; 0, Herramientas_de_izaje2468112155[[#Headers],[Herramientas_de_izaje]],
COUNTIF(Tabla162670114157[Equipos], B478) &gt; 0, Tabla162670114157[[#Headers],[Equipos]],
    TRUE, "Sin clasificación"
)</f>
        <v>Sin clasificación</v>
      </c>
      <c r="I478" s="15"/>
      <c r="J478" s="47"/>
      <c r="K478" s="76"/>
      <c r="L478" s="76"/>
      <c r="M478" s="78" t="str">
        <f>_xlfn.LET(
    _xlpm.itemBuscado, B478,
    _xlpm.areaBuscada, C478,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TEXT(COUNTIF($C$2:C478, _xlpm.areaBuscada), "0000"),
    _xlpm.codItem &amp; "-" &amp; _xlpm.codArea &amp; "-" &amp; _xlpm.secuencia
)</f>
        <v>-SinArea-0000</v>
      </c>
      <c r="N478" s="77"/>
      <c r="O478" s="32"/>
      <c r="P478" s="32"/>
      <c r="Q478" s="32"/>
      <c r="R478" s="32"/>
    </row>
    <row r="479" spans="3:18" x14ac:dyDescent="0.3">
      <c r="C479" s="11"/>
      <c r="D479" s="32"/>
      <c r="E479" s="11" t="str" cm="1">
        <f t="array" ref="E479">_xlfn.IFS(
    COUNTIF(Herramientas_eléctricas1862106149[Herramientas_eléctricas], B479) &gt; 0, Herramientas_eléctricas1862106149[[#Headers],[Herramientas_eléctricas]],
    COUNTIF(Herramientas_neumáticas1963107150[Herramientas_neumáticas], B479) &gt; 0, Herramientas_neumáticas1963107150[[#Headers],[Herramientas_neumáticas]],
    COUNTIF(Herramientas_de_medición2064108151[Herramientas_de_medición], B479) &gt; 0, Herramientas_de_medición2064108151[[#Headers],[Herramientas_de_medición]],
    COUNTIF(Herrramientas_mecánicas2165109152[Herramientas_mecánicas], B479) &gt; 0, Herrramientas_mecánicas2165109152[[#Headers],[Herramientas_mecánicas]],
    COUNTIF(AH479:AH485, B479) &gt; 0, Herramientas_hidráulicas2266110153[[#Headers],[Herramientas_hidráulicas]],
    COUNTIF(EPP_2367111154[SPCC], B479) &gt; 0, EPP_2367111154[[#Headers],[SPCC]],
   COUNTIF(Herramientas_de_izaje2468112155[Herramientas_de_izaje], B479) &gt; 0, Herramientas_de_izaje2468112155[[#Headers],[Herramientas_de_izaje]],
COUNTIF(Tabla162670114157[Equipos], B479) &gt; 0, Tabla162670114157[[#Headers],[Equipos]],
    TRUE, "Sin clasificación"
)</f>
        <v>Sin clasificación</v>
      </c>
      <c r="I479" s="15"/>
      <c r="J479" s="47"/>
      <c r="K479" s="76"/>
      <c r="L479" s="76"/>
      <c r="M479" s="78" t="str">
        <f>_xlfn.LET(
    _xlpm.itemBuscado, B479,
    _xlpm.areaBuscada, C479,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TEXT(COUNTIF($C$2:C479, _xlpm.areaBuscada), "0000"),
    _xlpm.codItem &amp; "-" &amp; _xlpm.codArea &amp; "-" &amp; _xlpm.secuencia
)</f>
        <v>-SinArea-0000</v>
      </c>
      <c r="N479" s="77"/>
      <c r="O479" s="32"/>
      <c r="P479" s="32"/>
      <c r="Q479" s="32"/>
      <c r="R479" s="32"/>
    </row>
    <row r="480" spans="3:18" x14ac:dyDescent="0.3">
      <c r="C480" s="11"/>
      <c r="D480" s="32"/>
      <c r="E480" s="11" t="str" cm="1">
        <f t="array" ref="E480">_xlfn.IFS(
    COUNTIF(Herramientas_eléctricas1862106149[Herramientas_eléctricas], B480) &gt; 0, Herramientas_eléctricas1862106149[[#Headers],[Herramientas_eléctricas]],
    COUNTIF(Herramientas_neumáticas1963107150[Herramientas_neumáticas], B480) &gt; 0, Herramientas_neumáticas1963107150[[#Headers],[Herramientas_neumáticas]],
    COUNTIF(Herramientas_de_medición2064108151[Herramientas_de_medición], B480) &gt; 0, Herramientas_de_medición2064108151[[#Headers],[Herramientas_de_medición]],
    COUNTIF(Herrramientas_mecánicas2165109152[Herramientas_mecánicas], B480) &gt; 0, Herrramientas_mecánicas2165109152[[#Headers],[Herramientas_mecánicas]],
    COUNTIF(AH480:AH486, B480) &gt; 0, Herramientas_hidráulicas2266110153[[#Headers],[Herramientas_hidráulicas]],
    COUNTIF(EPP_2367111154[SPCC], B480) &gt; 0, EPP_2367111154[[#Headers],[SPCC]],
   COUNTIF(Herramientas_de_izaje2468112155[Herramientas_de_izaje], B480) &gt; 0, Herramientas_de_izaje2468112155[[#Headers],[Herramientas_de_izaje]],
COUNTIF(Tabla162670114157[Equipos], B480) &gt; 0, Tabla162670114157[[#Headers],[Equipos]],
    TRUE, "Sin clasificación"
)</f>
        <v>Sin clasificación</v>
      </c>
      <c r="I480" s="15"/>
      <c r="J480" s="47"/>
      <c r="K480" s="76"/>
      <c r="L480" s="76"/>
      <c r="M480" s="78" t="str">
        <f>_xlfn.LET(
    _xlpm.itemBuscado, B480,
    _xlpm.areaBuscada, C480,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TEXT(COUNTIF($C$2:C480, _xlpm.areaBuscada), "0000"),
    _xlpm.codItem &amp; "-" &amp; _xlpm.codArea &amp; "-" &amp; _xlpm.secuencia
)</f>
        <v>-SinArea-0000</v>
      </c>
      <c r="N480" s="77"/>
      <c r="O480" s="32"/>
      <c r="P480" s="32"/>
      <c r="Q480" s="32"/>
      <c r="R480" s="32"/>
    </row>
    <row r="481" spans="3:18" x14ac:dyDescent="0.3">
      <c r="C481" s="11"/>
      <c r="D481" s="32"/>
      <c r="E481" s="11" t="str" cm="1">
        <f t="array" ref="E481">_xlfn.IFS(
    COUNTIF(Herramientas_eléctricas1862106149[Herramientas_eléctricas], B481) &gt; 0, Herramientas_eléctricas1862106149[[#Headers],[Herramientas_eléctricas]],
    COUNTIF(Herramientas_neumáticas1963107150[Herramientas_neumáticas], B481) &gt; 0, Herramientas_neumáticas1963107150[[#Headers],[Herramientas_neumáticas]],
    COUNTIF(Herramientas_de_medición2064108151[Herramientas_de_medición], B481) &gt; 0, Herramientas_de_medición2064108151[[#Headers],[Herramientas_de_medición]],
    COUNTIF(Herrramientas_mecánicas2165109152[Herramientas_mecánicas], B481) &gt; 0, Herrramientas_mecánicas2165109152[[#Headers],[Herramientas_mecánicas]],
    COUNTIF(AH481:AH487, B481) &gt; 0, Herramientas_hidráulicas2266110153[[#Headers],[Herramientas_hidráulicas]],
    COUNTIF(EPP_2367111154[SPCC], B481) &gt; 0, EPP_2367111154[[#Headers],[SPCC]],
   COUNTIF(Herramientas_de_izaje2468112155[Herramientas_de_izaje], B481) &gt; 0, Herramientas_de_izaje2468112155[[#Headers],[Herramientas_de_izaje]],
COUNTIF(Tabla162670114157[Equipos], B481) &gt; 0, Tabla162670114157[[#Headers],[Equipos]],
    TRUE, "Sin clasificación"
)</f>
        <v>Sin clasificación</v>
      </c>
      <c r="I481" s="15"/>
      <c r="J481" s="47"/>
      <c r="K481" s="76"/>
      <c r="L481" s="76"/>
      <c r="M481" s="78" t="str">
        <f>_xlfn.LET(
    _xlpm.itemBuscado, B481,
    _xlpm.areaBuscada, C481,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TEXT(COUNTIF($C$2:C481, _xlpm.areaBuscada), "0000"),
    _xlpm.codItem &amp; "-" &amp; _xlpm.codArea &amp; "-" &amp; _xlpm.secuencia
)</f>
        <v>-SinArea-0000</v>
      </c>
      <c r="N481" s="77"/>
      <c r="O481" s="32"/>
      <c r="P481" s="32"/>
      <c r="Q481" s="32"/>
      <c r="R481" s="32"/>
    </row>
    <row r="482" spans="3:18" x14ac:dyDescent="0.3">
      <c r="C482" s="11"/>
      <c r="D482" s="32"/>
      <c r="E482" s="11" t="str" cm="1">
        <f t="array" ref="E482">_xlfn.IFS(
    COUNTIF(Herramientas_eléctricas1862106149[Herramientas_eléctricas], B482) &gt; 0, Herramientas_eléctricas1862106149[[#Headers],[Herramientas_eléctricas]],
    COUNTIF(Herramientas_neumáticas1963107150[Herramientas_neumáticas], B482) &gt; 0, Herramientas_neumáticas1963107150[[#Headers],[Herramientas_neumáticas]],
    COUNTIF(Herramientas_de_medición2064108151[Herramientas_de_medición], B482) &gt; 0, Herramientas_de_medición2064108151[[#Headers],[Herramientas_de_medición]],
    COUNTIF(Herrramientas_mecánicas2165109152[Herramientas_mecánicas], B482) &gt; 0, Herrramientas_mecánicas2165109152[[#Headers],[Herramientas_mecánicas]],
    COUNTIF(AH482:AH488, B482) &gt; 0, Herramientas_hidráulicas2266110153[[#Headers],[Herramientas_hidráulicas]],
    COUNTIF(EPP_2367111154[SPCC], B482) &gt; 0, EPP_2367111154[[#Headers],[SPCC]],
   COUNTIF(Herramientas_de_izaje2468112155[Herramientas_de_izaje], B482) &gt; 0, Herramientas_de_izaje2468112155[[#Headers],[Herramientas_de_izaje]],
COUNTIF(Tabla162670114157[Equipos], B482) &gt; 0, Tabla162670114157[[#Headers],[Equipos]],
    TRUE, "Sin clasificación"
)</f>
        <v>Sin clasificación</v>
      </c>
      <c r="I482" s="15"/>
      <c r="J482" s="47"/>
      <c r="K482" s="76"/>
      <c r="L482" s="76"/>
      <c r="M482" s="78" t="str">
        <f>_xlfn.LET(
    _xlpm.itemBuscado, B482,
    _xlpm.areaBuscada, C482,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TEXT(COUNTIF($C$2:C482, _xlpm.areaBuscada), "0000"),
    _xlpm.codItem &amp; "-" &amp; _xlpm.codArea &amp; "-" &amp; _xlpm.secuencia
)</f>
        <v>-SinArea-0000</v>
      </c>
      <c r="N482" s="77"/>
      <c r="O482" s="32"/>
      <c r="P482" s="32"/>
      <c r="Q482" s="32"/>
      <c r="R482" s="32"/>
    </row>
    <row r="483" spans="3:18" x14ac:dyDescent="0.3">
      <c r="C483" s="11"/>
      <c r="D483" s="32"/>
      <c r="E483" s="11" t="str" cm="1">
        <f t="array" ref="E483">_xlfn.IFS(
    COUNTIF(Herramientas_eléctricas1862106149[Herramientas_eléctricas], B483) &gt; 0, Herramientas_eléctricas1862106149[[#Headers],[Herramientas_eléctricas]],
    COUNTIF(Herramientas_neumáticas1963107150[Herramientas_neumáticas], B483) &gt; 0, Herramientas_neumáticas1963107150[[#Headers],[Herramientas_neumáticas]],
    COUNTIF(Herramientas_de_medición2064108151[Herramientas_de_medición], B483) &gt; 0, Herramientas_de_medición2064108151[[#Headers],[Herramientas_de_medición]],
    COUNTIF(Herrramientas_mecánicas2165109152[Herramientas_mecánicas], B483) &gt; 0, Herrramientas_mecánicas2165109152[[#Headers],[Herramientas_mecánicas]],
    COUNTIF(AH483:AH489, B483) &gt; 0, Herramientas_hidráulicas2266110153[[#Headers],[Herramientas_hidráulicas]],
    COUNTIF(EPP_2367111154[SPCC], B483) &gt; 0, EPP_2367111154[[#Headers],[SPCC]],
   COUNTIF(Herramientas_de_izaje2468112155[Herramientas_de_izaje], B483) &gt; 0, Herramientas_de_izaje2468112155[[#Headers],[Herramientas_de_izaje]],
COUNTIF(Tabla162670114157[Equipos], B483) &gt; 0, Tabla162670114157[[#Headers],[Equipos]],
    TRUE, "Sin clasificación"
)</f>
        <v>Sin clasificación</v>
      </c>
      <c r="I483" s="15"/>
      <c r="J483" s="47"/>
      <c r="K483" s="76"/>
      <c r="L483" s="76"/>
      <c r="M483" s="78" t="str">
        <f>_xlfn.LET(
    _xlpm.itemBuscado, B483,
    _xlpm.areaBuscada, C483,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TEXT(COUNTIF($C$2:C483, _xlpm.areaBuscada), "0000"),
    _xlpm.codItem &amp; "-" &amp; _xlpm.codArea &amp; "-" &amp; _xlpm.secuencia
)</f>
        <v>-SinArea-0000</v>
      </c>
      <c r="N483" s="77"/>
      <c r="O483" s="32"/>
      <c r="P483" s="32"/>
      <c r="Q483" s="32"/>
      <c r="R483" s="32"/>
    </row>
    <row r="484" spans="3:18" x14ac:dyDescent="0.3">
      <c r="C484" s="11"/>
      <c r="D484" s="32"/>
      <c r="E484" s="11" t="str" cm="1">
        <f t="array" ref="E484">_xlfn.IFS(
    COUNTIF(Herramientas_eléctricas1862106149[Herramientas_eléctricas], B484) &gt; 0, Herramientas_eléctricas1862106149[[#Headers],[Herramientas_eléctricas]],
    COUNTIF(Herramientas_neumáticas1963107150[Herramientas_neumáticas], B484) &gt; 0, Herramientas_neumáticas1963107150[[#Headers],[Herramientas_neumáticas]],
    COUNTIF(Herramientas_de_medición2064108151[Herramientas_de_medición], B484) &gt; 0, Herramientas_de_medición2064108151[[#Headers],[Herramientas_de_medición]],
    COUNTIF(Herrramientas_mecánicas2165109152[Herramientas_mecánicas], B484) &gt; 0, Herrramientas_mecánicas2165109152[[#Headers],[Herramientas_mecánicas]],
    COUNTIF(AH484:AH490, B484) &gt; 0, Herramientas_hidráulicas2266110153[[#Headers],[Herramientas_hidráulicas]],
    COUNTIF(EPP_2367111154[SPCC], B484) &gt; 0, EPP_2367111154[[#Headers],[SPCC]],
   COUNTIF(Herramientas_de_izaje2468112155[Herramientas_de_izaje], B484) &gt; 0, Herramientas_de_izaje2468112155[[#Headers],[Herramientas_de_izaje]],
COUNTIF(Tabla162670114157[Equipos], B484) &gt; 0, Tabla162670114157[[#Headers],[Equipos]],
    TRUE, "Sin clasificación"
)</f>
        <v>Sin clasificación</v>
      </c>
      <c r="I484" s="15"/>
      <c r="J484" s="47"/>
      <c r="K484" s="76"/>
      <c r="L484" s="76"/>
      <c r="M484" s="78" t="str">
        <f>_xlfn.LET(
    _xlpm.itemBuscado, B484,
    _xlpm.areaBuscada, C484,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TEXT(COUNTIF($C$2:C484, _xlpm.areaBuscada), "0000"),
    _xlpm.codItem &amp; "-" &amp; _xlpm.codArea &amp; "-" &amp; _xlpm.secuencia
)</f>
        <v>-SinArea-0000</v>
      </c>
      <c r="N484" s="77"/>
      <c r="O484" s="32"/>
      <c r="P484" s="32"/>
      <c r="Q484" s="32"/>
      <c r="R484" s="32"/>
    </row>
    <row r="485" spans="3:18" x14ac:dyDescent="0.3">
      <c r="C485" s="11"/>
      <c r="D485" s="32"/>
      <c r="E485" s="11" t="str" cm="1">
        <f t="array" ref="E485">_xlfn.IFS(
    COUNTIF(Herramientas_eléctricas1862106149[Herramientas_eléctricas], B485) &gt; 0, Herramientas_eléctricas1862106149[[#Headers],[Herramientas_eléctricas]],
    COUNTIF(Herramientas_neumáticas1963107150[Herramientas_neumáticas], B485) &gt; 0, Herramientas_neumáticas1963107150[[#Headers],[Herramientas_neumáticas]],
    COUNTIF(Herramientas_de_medición2064108151[Herramientas_de_medición], B485) &gt; 0, Herramientas_de_medición2064108151[[#Headers],[Herramientas_de_medición]],
    COUNTIF(Herrramientas_mecánicas2165109152[Herramientas_mecánicas], B485) &gt; 0, Herrramientas_mecánicas2165109152[[#Headers],[Herramientas_mecánicas]],
    COUNTIF(AH485:AH491, B485) &gt; 0, Herramientas_hidráulicas2266110153[[#Headers],[Herramientas_hidráulicas]],
    COUNTIF(EPP_2367111154[SPCC], B485) &gt; 0, EPP_2367111154[[#Headers],[SPCC]],
   COUNTIF(Herramientas_de_izaje2468112155[Herramientas_de_izaje], B485) &gt; 0, Herramientas_de_izaje2468112155[[#Headers],[Herramientas_de_izaje]],
COUNTIF(Tabla162670114157[Equipos], B485) &gt; 0, Tabla162670114157[[#Headers],[Equipos]],
    TRUE, "Sin clasificación"
)</f>
        <v>Sin clasificación</v>
      </c>
      <c r="I485" s="15"/>
      <c r="J485" s="47"/>
      <c r="K485" s="76"/>
      <c r="L485" s="76"/>
      <c r="M485" s="78" t="str">
        <f>_xlfn.LET(
    _xlpm.itemBuscado, B485,
    _xlpm.areaBuscada, C485,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TEXT(COUNTIF($C$2:C485, _xlpm.areaBuscada), "0000"),
    _xlpm.codItem &amp; "-" &amp; _xlpm.codArea &amp; "-" &amp; _xlpm.secuencia
)</f>
        <v>-SinArea-0000</v>
      </c>
      <c r="N485" s="77"/>
      <c r="O485" s="32"/>
      <c r="P485" s="32"/>
      <c r="Q485" s="32"/>
      <c r="R485" s="32"/>
    </row>
    <row r="486" spans="3:18" x14ac:dyDescent="0.3">
      <c r="C486" s="11"/>
      <c r="D486" s="32"/>
      <c r="E486" s="11" t="str" cm="1">
        <f t="array" ref="E486">_xlfn.IFS(
    COUNTIF(Herramientas_eléctricas1862106149[Herramientas_eléctricas], B486) &gt; 0, Herramientas_eléctricas1862106149[[#Headers],[Herramientas_eléctricas]],
    COUNTIF(Herramientas_neumáticas1963107150[Herramientas_neumáticas], B486) &gt; 0, Herramientas_neumáticas1963107150[[#Headers],[Herramientas_neumáticas]],
    COUNTIF(Herramientas_de_medición2064108151[Herramientas_de_medición], B486) &gt; 0, Herramientas_de_medición2064108151[[#Headers],[Herramientas_de_medición]],
    COUNTIF(Herrramientas_mecánicas2165109152[Herramientas_mecánicas], B486) &gt; 0, Herrramientas_mecánicas2165109152[[#Headers],[Herramientas_mecánicas]],
    COUNTIF(AH486:AH492, B486) &gt; 0, Herramientas_hidráulicas2266110153[[#Headers],[Herramientas_hidráulicas]],
    COUNTIF(EPP_2367111154[SPCC], B486) &gt; 0, EPP_2367111154[[#Headers],[SPCC]],
   COUNTIF(Herramientas_de_izaje2468112155[Herramientas_de_izaje], B486) &gt; 0, Herramientas_de_izaje2468112155[[#Headers],[Herramientas_de_izaje]],
COUNTIF(Tabla162670114157[Equipos], B486) &gt; 0, Tabla162670114157[[#Headers],[Equipos]],
    TRUE, "Sin clasificación"
)</f>
        <v>Sin clasificación</v>
      </c>
      <c r="I486" s="15"/>
      <c r="J486" s="47"/>
      <c r="K486" s="76"/>
      <c r="L486" s="76"/>
      <c r="M486" s="78" t="str">
        <f>_xlfn.LET(
    _xlpm.itemBuscado, B486,
    _xlpm.areaBuscada, C486,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TEXT(COUNTIF($C$2:C486, _xlpm.areaBuscada), "0000"),
    _xlpm.codItem &amp; "-" &amp; _xlpm.codArea &amp; "-" &amp; _xlpm.secuencia
)</f>
        <v>-SinArea-0000</v>
      </c>
      <c r="N486" s="77"/>
      <c r="O486" s="32"/>
      <c r="P486" s="32"/>
      <c r="Q486" s="32"/>
      <c r="R486" s="32"/>
    </row>
    <row r="487" spans="3:18" x14ac:dyDescent="0.3">
      <c r="C487" s="11"/>
      <c r="D487" s="32"/>
      <c r="E487" s="11" t="str" cm="1">
        <f t="array" ref="E487">_xlfn.IFS(
    COUNTIF(Herramientas_eléctricas1862106149[Herramientas_eléctricas], B487) &gt; 0, Herramientas_eléctricas1862106149[[#Headers],[Herramientas_eléctricas]],
    COUNTIF(Herramientas_neumáticas1963107150[Herramientas_neumáticas], B487) &gt; 0, Herramientas_neumáticas1963107150[[#Headers],[Herramientas_neumáticas]],
    COUNTIF(Herramientas_de_medición2064108151[Herramientas_de_medición], B487) &gt; 0, Herramientas_de_medición2064108151[[#Headers],[Herramientas_de_medición]],
    COUNTIF(Herrramientas_mecánicas2165109152[Herramientas_mecánicas], B487) &gt; 0, Herrramientas_mecánicas2165109152[[#Headers],[Herramientas_mecánicas]],
    COUNTIF(AH487:AH493, B487) &gt; 0, Herramientas_hidráulicas2266110153[[#Headers],[Herramientas_hidráulicas]],
    COUNTIF(EPP_2367111154[SPCC], B487) &gt; 0, EPP_2367111154[[#Headers],[SPCC]],
   COUNTIF(Herramientas_de_izaje2468112155[Herramientas_de_izaje], B487) &gt; 0, Herramientas_de_izaje2468112155[[#Headers],[Herramientas_de_izaje]],
COUNTIF(Tabla162670114157[Equipos], B487) &gt; 0, Tabla162670114157[[#Headers],[Equipos]],
    TRUE, "Sin clasificación"
)</f>
        <v>Sin clasificación</v>
      </c>
      <c r="I487" s="15"/>
      <c r="J487" s="47"/>
      <c r="K487" s="76"/>
      <c r="L487" s="76"/>
      <c r="M487" s="78" t="str">
        <f>_xlfn.LET(
    _xlpm.itemBuscado, B487,
    _xlpm.areaBuscada, C487,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TEXT(COUNTIF($C$2:C487, _xlpm.areaBuscada), "0000"),
    _xlpm.codItem &amp; "-" &amp; _xlpm.codArea &amp; "-" &amp; _xlpm.secuencia
)</f>
        <v>-SinArea-0000</v>
      </c>
      <c r="N487" s="77"/>
      <c r="O487" s="32"/>
      <c r="P487" s="32"/>
      <c r="Q487" s="32"/>
      <c r="R487" s="32"/>
    </row>
    <row r="488" spans="3:18" x14ac:dyDescent="0.3">
      <c r="C488" s="11"/>
      <c r="D488" s="32"/>
      <c r="E488" s="11" t="str" cm="1">
        <f t="array" ref="E488">_xlfn.IFS(
    COUNTIF(Herramientas_eléctricas1862106149[Herramientas_eléctricas], B488) &gt; 0, Herramientas_eléctricas1862106149[[#Headers],[Herramientas_eléctricas]],
    COUNTIF(Herramientas_neumáticas1963107150[Herramientas_neumáticas], B488) &gt; 0, Herramientas_neumáticas1963107150[[#Headers],[Herramientas_neumáticas]],
    COUNTIF(Herramientas_de_medición2064108151[Herramientas_de_medición], B488) &gt; 0, Herramientas_de_medición2064108151[[#Headers],[Herramientas_de_medición]],
    COUNTIF(Herrramientas_mecánicas2165109152[Herramientas_mecánicas], B488) &gt; 0, Herrramientas_mecánicas2165109152[[#Headers],[Herramientas_mecánicas]],
    COUNTIF(AH488:AH494, B488) &gt; 0, Herramientas_hidráulicas2266110153[[#Headers],[Herramientas_hidráulicas]],
    COUNTIF(EPP_2367111154[SPCC], B488) &gt; 0, EPP_2367111154[[#Headers],[SPCC]],
   COUNTIF(Herramientas_de_izaje2468112155[Herramientas_de_izaje], B488) &gt; 0, Herramientas_de_izaje2468112155[[#Headers],[Herramientas_de_izaje]],
COUNTIF(Tabla162670114157[Equipos], B488) &gt; 0, Tabla162670114157[[#Headers],[Equipos]],
    TRUE, "Sin clasificación"
)</f>
        <v>Sin clasificación</v>
      </c>
      <c r="I488" s="15"/>
      <c r="J488" s="47"/>
      <c r="K488" s="76"/>
      <c r="L488" s="76"/>
      <c r="M488" s="78" t="str">
        <f>_xlfn.LET(
    _xlpm.itemBuscado, B488,
    _xlpm.areaBuscada, C488,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TEXT(COUNTIF($C$2:C488, _xlpm.areaBuscada), "0000"),
    _xlpm.codItem &amp; "-" &amp; _xlpm.codArea &amp; "-" &amp; _xlpm.secuencia
)</f>
        <v>-SinArea-0000</v>
      </c>
      <c r="N488" s="77"/>
      <c r="O488" s="32"/>
      <c r="P488" s="32"/>
      <c r="Q488" s="32"/>
      <c r="R488" s="32"/>
    </row>
    <row r="489" spans="3:18" x14ac:dyDescent="0.3">
      <c r="C489" s="11"/>
      <c r="D489" s="32"/>
      <c r="E489" s="11" t="str" cm="1">
        <f t="array" ref="E489">_xlfn.IFS(
    COUNTIF(Herramientas_eléctricas1862106149[Herramientas_eléctricas], B489) &gt; 0, Herramientas_eléctricas1862106149[[#Headers],[Herramientas_eléctricas]],
    COUNTIF(Herramientas_neumáticas1963107150[Herramientas_neumáticas], B489) &gt; 0, Herramientas_neumáticas1963107150[[#Headers],[Herramientas_neumáticas]],
    COUNTIF(Herramientas_de_medición2064108151[Herramientas_de_medición], B489) &gt; 0, Herramientas_de_medición2064108151[[#Headers],[Herramientas_de_medición]],
    COUNTIF(Herrramientas_mecánicas2165109152[Herramientas_mecánicas], B489) &gt; 0, Herrramientas_mecánicas2165109152[[#Headers],[Herramientas_mecánicas]],
    COUNTIF(AH489:AH495, B489) &gt; 0, Herramientas_hidráulicas2266110153[[#Headers],[Herramientas_hidráulicas]],
    COUNTIF(EPP_2367111154[SPCC], B489) &gt; 0, EPP_2367111154[[#Headers],[SPCC]],
   COUNTIF(Herramientas_de_izaje2468112155[Herramientas_de_izaje], B489) &gt; 0, Herramientas_de_izaje2468112155[[#Headers],[Herramientas_de_izaje]],
COUNTIF(Tabla162670114157[Equipos], B489) &gt; 0, Tabla162670114157[[#Headers],[Equipos]],
    TRUE, "Sin clasificación"
)</f>
        <v>Sin clasificación</v>
      </c>
      <c r="I489" s="15"/>
      <c r="J489" s="47"/>
      <c r="K489" s="76"/>
      <c r="L489" s="76"/>
      <c r="M489" s="78" t="str">
        <f>_xlfn.LET(
    _xlpm.itemBuscado, B489,
    _xlpm.areaBuscada, C489,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TEXT(COUNTIF($C$2:C489, _xlpm.areaBuscada), "0000"),
    _xlpm.codItem &amp; "-" &amp; _xlpm.codArea &amp; "-" &amp; _xlpm.secuencia
)</f>
        <v>-SinArea-0000</v>
      </c>
      <c r="N489" s="77"/>
      <c r="O489" s="32"/>
      <c r="P489" s="32"/>
      <c r="Q489" s="32"/>
      <c r="R489" s="32"/>
    </row>
    <row r="490" spans="3:18" x14ac:dyDescent="0.3">
      <c r="C490" s="11"/>
      <c r="D490" s="32"/>
      <c r="E490" s="11" t="str" cm="1">
        <f t="array" ref="E490">_xlfn.IFS(
    COUNTIF(Herramientas_eléctricas1862106149[Herramientas_eléctricas], B490) &gt; 0, Herramientas_eléctricas1862106149[[#Headers],[Herramientas_eléctricas]],
    COUNTIF(Herramientas_neumáticas1963107150[Herramientas_neumáticas], B490) &gt; 0, Herramientas_neumáticas1963107150[[#Headers],[Herramientas_neumáticas]],
    COUNTIF(Herramientas_de_medición2064108151[Herramientas_de_medición], B490) &gt; 0, Herramientas_de_medición2064108151[[#Headers],[Herramientas_de_medición]],
    COUNTIF(Herrramientas_mecánicas2165109152[Herramientas_mecánicas], B490) &gt; 0, Herrramientas_mecánicas2165109152[[#Headers],[Herramientas_mecánicas]],
    COUNTIF(AH490:AH496, B490) &gt; 0, Herramientas_hidráulicas2266110153[[#Headers],[Herramientas_hidráulicas]],
    COUNTIF(EPP_2367111154[SPCC], B490) &gt; 0, EPP_2367111154[[#Headers],[SPCC]],
   COUNTIF(Herramientas_de_izaje2468112155[Herramientas_de_izaje], B490) &gt; 0, Herramientas_de_izaje2468112155[[#Headers],[Herramientas_de_izaje]],
COUNTIF(Tabla162670114157[Equipos], B490) &gt; 0, Tabla162670114157[[#Headers],[Equipos]],
    TRUE, "Sin clasificación"
)</f>
        <v>Sin clasificación</v>
      </c>
      <c r="I490" s="15"/>
      <c r="J490" s="47"/>
      <c r="K490" s="76"/>
      <c r="L490" s="76"/>
      <c r="M490" s="78" t="str">
        <f>_xlfn.LET(
    _xlpm.itemBuscado, B490,
    _xlpm.areaBuscada, C490,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TEXT(COUNTIF($C$2:C490, _xlpm.areaBuscada), "0000"),
    _xlpm.codItem &amp; "-" &amp; _xlpm.codArea &amp; "-" &amp; _xlpm.secuencia
)</f>
        <v>-SinArea-0000</v>
      </c>
      <c r="N490" s="77"/>
      <c r="O490" s="32"/>
      <c r="P490" s="32"/>
      <c r="Q490" s="32"/>
      <c r="R490" s="32"/>
    </row>
    <row r="491" spans="3:18" x14ac:dyDescent="0.3">
      <c r="C491" s="11"/>
      <c r="D491" s="32"/>
      <c r="E491" s="11" t="str" cm="1">
        <f t="array" ref="E491">_xlfn.IFS(
    COUNTIF(Herramientas_eléctricas1862106149[Herramientas_eléctricas], B491) &gt; 0, Herramientas_eléctricas1862106149[[#Headers],[Herramientas_eléctricas]],
    COUNTIF(Herramientas_neumáticas1963107150[Herramientas_neumáticas], B491) &gt; 0, Herramientas_neumáticas1963107150[[#Headers],[Herramientas_neumáticas]],
    COUNTIF(Herramientas_de_medición2064108151[Herramientas_de_medición], B491) &gt; 0, Herramientas_de_medición2064108151[[#Headers],[Herramientas_de_medición]],
    COUNTIF(Herrramientas_mecánicas2165109152[Herramientas_mecánicas], B491) &gt; 0, Herrramientas_mecánicas2165109152[[#Headers],[Herramientas_mecánicas]],
    COUNTIF(AH491:AH497, B491) &gt; 0, Herramientas_hidráulicas2266110153[[#Headers],[Herramientas_hidráulicas]],
    COUNTIF(EPP_2367111154[SPCC], B491) &gt; 0, EPP_2367111154[[#Headers],[SPCC]],
   COUNTIF(Herramientas_de_izaje2468112155[Herramientas_de_izaje], B491) &gt; 0, Herramientas_de_izaje2468112155[[#Headers],[Herramientas_de_izaje]],
COUNTIF(Tabla162670114157[Equipos], B491) &gt; 0, Tabla162670114157[[#Headers],[Equipos]],
    TRUE, "Sin clasificación"
)</f>
        <v>Sin clasificación</v>
      </c>
      <c r="I491" s="15"/>
      <c r="J491" s="47"/>
      <c r="K491" s="76"/>
      <c r="L491" s="76"/>
      <c r="M491" s="78" t="str">
        <f>_xlfn.LET(
    _xlpm.itemBuscado, B491,
    _xlpm.areaBuscada, C491,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TEXT(COUNTIF($C$2:C491, _xlpm.areaBuscada), "0000"),
    _xlpm.codItem &amp; "-" &amp; _xlpm.codArea &amp; "-" &amp; _xlpm.secuencia
)</f>
        <v>-SinArea-0000</v>
      </c>
      <c r="N491" s="77"/>
      <c r="O491" s="32"/>
      <c r="P491" s="32"/>
      <c r="Q491" s="32"/>
      <c r="R491" s="32"/>
    </row>
    <row r="492" spans="3:18" x14ac:dyDescent="0.3">
      <c r="C492" s="11"/>
      <c r="D492" s="32"/>
      <c r="E492" s="11" t="str" cm="1">
        <f t="array" ref="E492">_xlfn.IFS(
    COUNTIF(Herramientas_eléctricas1862106149[Herramientas_eléctricas], B492) &gt; 0, Herramientas_eléctricas1862106149[[#Headers],[Herramientas_eléctricas]],
    COUNTIF(Herramientas_neumáticas1963107150[Herramientas_neumáticas], B492) &gt; 0, Herramientas_neumáticas1963107150[[#Headers],[Herramientas_neumáticas]],
    COUNTIF(Herramientas_de_medición2064108151[Herramientas_de_medición], B492) &gt; 0, Herramientas_de_medición2064108151[[#Headers],[Herramientas_de_medición]],
    COUNTIF(Herrramientas_mecánicas2165109152[Herramientas_mecánicas], B492) &gt; 0, Herrramientas_mecánicas2165109152[[#Headers],[Herramientas_mecánicas]],
    COUNTIF(AH492:AH498, B492) &gt; 0, Herramientas_hidráulicas2266110153[[#Headers],[Herramientas_hidráulicas]],
    COUNTIF(EPP_2367111154[SPCC], B492) &gt; 0, EPP_2367111154[[#Headers],[SPCC]],
   COUNTIF(Herramientas_de_izaje2468112155[Herramientas_de_izaje], B492) &gt; 0, Herramientas_de_izaje2468112155[[#Headers],[Herramientas_de_izaje]],
COUNTIF(Tabla162670114157[Equipos], B492) &gt; 0, Tabla162670114157[[#Headers],[Equipos]],
    TRUE, "Sin clasificación"
)</f>
        <v>Sin clasificación</v>
      </c>
      <c r="I492" s="15"/>
      <c r="J492" s="47"/>
      <c r="K492" s="76"/>
      <c r="L492" s="76"/>
      <c r="M492" s="78" t="str">
        <f>_xlfn.LET(
    _xlpm.itemBuscado, B492,
    _xlpm.areaBuscada, C492,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TEXT(COUNTIF($C$2:C492, _xlpm.areaBuscada), "0000"),
    _xlpm.codItem &amp; "-" &amp; _xlpm.codArea &amp; "-" &amp; _xlpm.secuencia
)</f>
        <v>-SinArea-0000</v>
      </c>
      <c r="N492" s="77"/>
      <c r="O492" s="32"/>
      <c r="P492" s="32"/>
      <c r="Q492" s="32"/>
      <c r="R492" s="32"/>
    </row>
    <row r="493" spans="3:18" x14ac:dyDescent="0.3">
      <c r="C493" s="11"/>
      <c r="D493" s="32"/>
      <c r="E493" s="11" t="str" cm="1">
        <f t="array" ref="E493">_xlfn.IFS(
    COUNTIF(Herramientas_eléctricas1862106149[Herramientas_eléctricas], B493) &gt; 0, Herramientas_eléctricas1862106149[[#Headers],[Herramientas_eléctricas]],
    COUNTIF(Herramientas_neumáticas1963107150[Herramientas_neumáticas], B493) &gt; 0, Herramientas_neumáticas1963107150[[#Headers],[Herramientas_neumáticas]],
    COUNTIF(Herramientas_de_medición2064108151[Herramientas_de_medición], B493) &gt; 0, Herramientas_de_medición2064108151[[#Headers],[Herramientas_de_medición]],
    COUNTIF(Herrramientas_mecánicas2165109152[Herramientas_mecánicas], B493) &gt; 0, Herrramientas_mecánicas2165109152[[#Headers],[Herramientas_mecánicas]],
    COUNTIF(AH493:AH499, B493) &gt; 0, Herramientas_hidráulicas2266110153[[#Headers],[Herramientas_hidráulicas]],
    COUNTIF(EPP_2367111154[SPCC], B493) &gt; 0, EPP_2367111154[[#Headers],[SPCC]],
   COUNTIF(Herramientas_de_izaje2468112155[Herramientas_de_izaje], B493) &gt; 0, Herramientas_de_izaje2468112155[[#Headers],[Herramientas_de_izaje]],
COUNTIF(Tabla162670114157[Equipos], B493) &gt; 0, Tabla162670114157[[#Headers],[Equipos]],
    TRUE, "Sin clasificación"
)</f>
        <v>Sin clasificación</v>
      </c>
      <c r="I493" s="15"/>
      <c r="J493" s="47"/>
      <c r="K493" s="76"/>
      <c r="L493" s="76"/>
      <c r="M493" s="78" t="str">
        <f>_xlfn.LET(
    _xlpm.itemBuscado, B493,
    _xlpm.areaBuscada, C493,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TEXT(COUNTIF($C$2:C493, _xlpm.areaBuscada), "0000"),
    _xlpm.codItem &amp; "-" &amp; _xlpm.codArea &amp; "-" &amp; _xlpm.secuencia
)</f>
        <v>-SinArea-0000</v>
      </c>
      <c r="N493" s="77"/>
      <c r="O493" s="32"/>
      <c r="P493" s="32"/>
      <c r="Q493" s="32"/>
      <c r="R493" s="32"/>
    </row>
    <row r="494" spans="3:18" x14ac:dyDescent="0.3">
      <c r="C494" s="11"/>
      <c r="D494" s="32"/>
      <c r="E494" s="11" t="str" cm="1">
        <f t="array" ref="E494">_xlfn.IFS(
    COUNTIF(Herramientas_eléctricas1862106149[Herramientas_eléctricas], B494) &gt; 0, Herramientas_eléctricas1862106149[[#Headers],[Herramientas_eléctricas]],
    COUNTIF(Herramientas_neumáticas1963107150[Herramientas_neumáticas], B494) &gt; 0, Herramientas_neumáticas1963107150[[#Headers],[Herramientas_neumáticas]],
    COUNTIF(Herramientas_de_medición2064108151[Herramientas_de_medición], B494) &gt; 0, Herramientas_de_medición2064108151[[#Headers],[Herramientas_de_medición]],
    COUNTIF(Herrramientas_mecánicas2165109152[Herramientas_mecánicas], B494) &gt; 0, Herrramientas_mecánicas2165109152[[#Headers],[Herramientas_mecánicas]],
    COUNTIF(AH494:AH500, B494) &gt; 0, Herramientas_hidráulicas2266110153[[#Headers],[Herramientas_hidráulicas]],
    COUNTIF(EPP_2367111154[SPCC], B494) &gt; 0, EPP_2367111154[[#Headers],[SPCC]],
   COUNTIF(Herramientas_de_izaje2468112155[Herramientas_de_izaje], B494) &gt; 0, Herramientas_de_izaje2468112155[[#Headers],[Herramientas_de_izaje]],
COUNTIF(Tabla162670114157[Equipos], B494) &gt; 0, Tabla162670114157[[#Headers],[Equipos]],
    TRUE, "Sin clasificación"
)</f>
        <v>Sin clasificación</v>
      </c>
      <c r="I494" s="15"/>
      <c r="J494" s="47"/>
      <c r="K494" s="76"/>
      <c r="L494" s="76"/>
      <c r="M494" s="78" t="str">
        <f>_xlfn.LET(
    _xlpm.itemBuscado, B494,
    _xlpm.areaBuscada, C494,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TEXT(COUNTIF($C$2:C494, _xlpm.areaBuscada), "0000"),
    _xlpm.codItem &amp; "-" &amp; _xlpm.codArea &amp; "-" &amp; _xlpm.secuencia
)</f>
        <v>-SinArea-0000</v>
      </c>
      <c r="N494" s="77"/>
      <c r="O494" s="32"/>
      <c r="P494" s="32"/>
      <c r="Q494" s="32"/>
      <c r="R494" s="32"/>
    </row>
    <row r="495" spans="3:18" x14ac:dyDescent="0.3">
      <c r="C495" s="11"/>
      <c r="D495" s="32"/>
      <c r="E495" s="11" t="str" cm="1">
        <f t="array" ref="E495">_xlfn.IFS(
    COUNTIF(Herramientas_eléctricas1862106149[Herramientas_eléctricas], B495) &gt; 0, Herramientas_eléctricas1862106149[[#Headers],[Herramientas_eléctricas]],
    COUNTIF(Herramientas_neumáticas1963107150[Herramientas_neumáticas], B495) &gt; 0, Herramientas_neumáticas1963107150[[#Headers],[Herramientas_neumáticas]],
    COUNTIF(Herramientas_de_medición2064108151[Herramientas_de_medición], B495) &gt; 0, Herramientas_de_medición2064108151[[#Headers],[Herramientas_de_medición]],
    COUNTIF(Herrramientas_mecánicas2165109152[Herramientas_mecánicas], B495) &gt; 0, Herrramientas_mecánicas2165109152[[#Headers],[Herramientas_mecánicas]],
    COUNTIF(AH495:AH501, B495) &gt; 0, Herramientas_hidráulicas2266110153[[#Headers],[Herramientas_hidráulicas]],
    COUNTIF(EPP_2367111154[SPCC], B495) &gt; 0, EPP_2367111154[[#Headers],[SPCC]],
   COUNTIF(Herramientas_de_izaje2468112155[Herramientas_de_izaje], B495) &gt; 0, Herramientas_de_izaje2468112155[[#Headers],[Herramientas_de_izaje]],
COUNTIF(Tabla162670114157[Equipos], B495) &gt; 0, Tabla162670114157[[#Headers],[Equipos]],
    TRUE, "Sin clasificación"
)</f>
        <v>Sin clasificación</v>
      </c>
      <c r="I495" s="15"/>
      <c r="J495" s="47"/>
      <c r="K495" s="76"/>
      <c r="L495" s="76"/>
      <c r="M495" s="78" t="str">
        <f>_xlfn.LET(
    _xlpm.itemBuscado, B495,
    _xlpm.areaBuscada, C495,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TEXT(COUNTIF($C$2:C495, _xlpm.areaBuscada), "0000"),
    _xlpm.codItem &amp; "-" &amp; _xlpm.codArea &amp; "-" &amp; _xlpm.secuencia
)</f>
        <v>-SinArea-0000</v>
      </c>
      <c r="N495" s="77"/>
      <c r="O495" s="32"/>
      <c r="P495" s="32"/>
      <c r="Q495" s="32"/>
      <c r="R495" s="32"/>
    </row>
    <row r="496" spans="3:18" x14ac:dyDescent="0.3">
      <c r="C496" s="11"/>
      <c r="D496" s="32"/>
      <c r="E496" s="11" t="str" cm="1">
        <f t="array" ref="E496">_xlfn.IFS(
    COUNTIF(Herramientas_eléctricas1862106149[Herramientas_eléctricas], B496) &gt; 0, Herramientas_eléctricas1862106149[[#Headers],[Herramientas_eléctricas]],
    COUNTIF(Herramientas_neumáticas1963107150[Herramientas_neumáticas], B496) &gt; 0, Herramientas_neumáticas1963107150[[#Headers],[Herramientas_neumáticas]],
    COUNTIF(Herramientas_de_medición2064108151[Herramientas_de_medición], B496) &gt; 0, Herramientas_de_medición2064108151[[#Headers],[Herramientas_de_medición]],
    COUNTIF(Herrramientas_mecánicas2165109152[Herramientas_mecánicas], B496) &gt; 0, Herrramientas_mecánicas2165109152[[#Headers],[Herramientas_mecánicas]],
    COUNTIF(AH496:AH502, B496) &gt; 0, Herramientas_hidráulicas2266110153[[#Headers],[Herramientas_hidráulicas]],
    COUNTIF(EPP_2367111154[SPCC], B496) &gt; 0, EPP_2367111154[[#Headers],[SPCC]],
   COUNTIF(Herramientas_de_izaje2468112155[Herramientas_de_izaje], B496) &gt; 0, Herramientas_de_izaje2468112155[[#Headers],[Herramientas_de_izaje]],
COUNTIF(Tabla162670114157[Equipos], B496) &gt; 0, Tabla162670114157[[#Headers],[Equipos]],
    TRUE, "Sin clasificación"
)</f>
        <v>Sin clasificación</v>
      </c>
      <c r="I496" s="15"/>
      <c r="J496" s="47"/>
      <c r="K496" s="76"/>
      <c r="L496" s="76"/>
      <c r="M496" s="78" t="str">
        <f>_xlfn.LET(
    _xlpm.itemBuscado, B496,
    _xlpm.areaBuscada, C496,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TEXT(COUNTIF($C$2:C496, _xlpm.areaBuscada), "0000"),
    _xlpm.codItem &amp; "-" &amp; _xlpm.codArea &amp; "-" &amp; _xlpm.secuencia
)</f>
        <v>-SinArea-0000</v>
      </c>
      <c r="N496" s="77"/>
      <c r="O496" s="32"/>
      <c r="P496" s="32"/>
      <c r="Q496" s="32"/>
      <c r="R496" s="32"/>
    </row>
    <row r="497" spans="3:18" x14ac:dyDescent="0.3">
      <c r="C497" s="11"/>
      <c r="D497" s="32"/>
      <c r="E497" s="11" t="str" cm="1">
        <f t="array" ref="E497">_xlfn.IFS(
    COUNTIF(Herramientas_eléctricas1862106149[Herramientas_eléctricas], B497) &gt; 0, Herramientas_eléctricas1862106149[[#Headers],[Herramientas_eléctricas]],
    COUNTIF(Herramientas_neumáticas1963107150[Herramientas_neumáticas], B497) &gt; 0, Herramientas_neumáticas1963107150[[#Headers],[Herramientas_neumáticas]],
    COUNTIF(Herramientas_de_medición2064108151[Herramientas_de_medición], B497) &gt; 0, Herramientas_de_medición2064108151[[#Headers],[Herramientas_de_medición]],
    COUNTIF(Herrramientas_mecánicas2165109152[Herramientas_mecánicas], B497) &gt; 0, Herrramientas_mecánicas2165109152[[#Headers],[Herramientas_mecánicas]],
    COUNTIF(AH497:AH503, B497) &gt; 0, Herramientas_hidráulicas2266110153[[#Headers],[Herramientas_hidráulicas]],
    COUNTIF(EPP_2367111154[SPCC], B497) &gt; 0, EPP_2367111154[[#Headers],[SPCC]],
   COUNTIF(Herramientas_de_izaje2468112155[Herramientas_de_izaje], B497) &gt; 0, Herramientas_de_izaje2468112155[[#Headers],[Herramientas_de_izaje]],
COUNTIF(Tabla162670114157[Equipos], B497) &gt; 0, Tabla162670114157[[#Headers],[Equipos]],
    TRUE, "Sin clasificación"
)</f>
        <v>Sin clasificación</v>
      </c>
      <c r="I497" s="15"/>
      <c r="J497" s="47"/>
      <c r="K497" s="76"/>
      <c r="L497" s="76"/>
      <c r="M497" s="78" t="str">
        <f>_xlfn.LET(
    _xlpm.itemBuscado, B497,
    _xlpm.areaBuscada, C497,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TEXT(COUNTIF($C$2:C497, _xlpm.areaBuscada), "0000"),
    _xlpm.codItem &amp; "-" &amp; _xlpm.codArea &amp; "-" &amp; _xlpm.secuencia
)</f>
        <v>-SinArea-0000</v>
      </c>
      <c r="N497" s="77"/>
      <c r="O497" s="32"/>
      <c r="P497" s="32"/>
      <c r="Q497" s="32"/>
      <c r="R497" s="32"/>
    </row>
    <row r="498" spans="3:18" x14ac:dyDescent="0.3">
      <c r="C498" s="11"/>
      <c r="D498" s="32"/>
      <c r="E498" s="11" t="str" cm="1">
        <f t="array" ref="E498">_xlfn.IFS(
    COUNTIF(Herramientas_eléctricas1862106149[Herramientas_eléctricas], B498) &gt; 0, Herramientas_eléctricas1862106149[[#Headers],[Herramientas_eléctricas]],
    COUNTIF(Herramientas_neumáticas1963107150[Herramientas_neumáticas], B498) &gt; 0, Herramientas_neumáticas1963107150[[#Headers],[Herramientas_neumáticas]],
    COUNTIF(Herramientas_de_medición2064108151[Herramientas_de_medición], B498) &gt; 0, Herramientas_de_medición2064108151[[#Headers],[Herramientas_de_medición]],
    COUNTIF(Herrramientas_mecánicas2165109152[Herramientas_mecánicas], B498) &gt; 0, Herrramientas_mecánicas2165109152[[#Headers],[Herramientas_mecánicas]],
    COUNTIF(AH498:AH504, B498) &gt; 0, Herramientas_hidráulicas2266110153[[#Headers],[Herramientas_hidráulicas]],
    COUNTIF(EPP_2367111154[SPCC], B498) &gt; 0, EPP_2367111154[[#Headers],[SPCC]],
   COUNTIF(Herramientas_de_izaje2468112155[Herramientas_de_izaje], B498) &gt; 0, Herramientas_de_izaje2468112155[[#Headers],[Herramientas_de_izaje]],
COUNTIF(Tabla162670114157[Equipos], B498) &gt; 0, Tabla162670114157[[#Headers],[Equipos]],
    TRUE, "Sin clasificación"
)</f>
        <v>Sin clasificación</v>
      </c>
      <c r="I498" s="15"/>
      <c r="J498" s="47"/>
      <c r="K498" s="76"/>
      <c r="L498" s="76"/>
      <c r="M498" s="78" t="str">
        <f>_xlfn.LET(
    _xlpm.itemBuscado, B498,
    _xlpm.areaBuscada, C498,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TEXT(COUNTIF($C$2:C498, _xlpm.areaBuscada), "0000"),
    _xlpm.codItem &amp; "-" &amp; _xlpm.codArea &amp; "-" &amp; _xlpm.secuencia
)</f>
        <v>-SinArea-0000</v>
      </c>
      <c r="N498" s="77"/>
      <c r="O498" s="32"/>
      <c r="P498" s="32"/>
      <c r="Q498" s="32"/>
      <c r="R498" s="32"/>
    </row>
    <row r="499" spans="3:18" x14ac:dyDescent="0.3">
      <c r="C499" s="11"/>
      <c r="D499" s="32"/>
      <c r="E499" s="11" t="str" cm="1">
        <f t="array" ref="E499">_xlfn.IFS(
    COUNTIF(Herramientas_eléctricas1862106149[Herramientas_eléctricas], B499) &gt; 0, Herramientas_eléctricas1862106149[[#Headers],[Herramientas_eléctricas]],
    COUNTIF(Herramientas_neumáticas1963107150[Herramientas_neumáticas], B499) &gt; 0, Herramientas_neumáticas1963107150[[#Headers],[Herramientas_neumáticas]],
    COUNTIF(Herramientas_de_medición2064108151[Herramientas_de_medición], B499) &gt; 0, Herramientas_de_medición2064108151[[#Headers],[Herramientas_de_medición]],
    COUNTIF(Herrramientas_mecánicas2165109152[Herramientas_mecánicas], B499) &gt; 0, Herrramientas_mecánicas2165109152[[#Headers],[Herramientas_mecánicas]],
    COUNTIF(AH499:AH505, B499) &gt; 0, Herramientas_hidráulicas2266110153[[#Headers],[Herramientas_hidráulicas]],
    COUNTIF(EPP_2367111154[SPCC], B499) &gt; 0, EPP_2367111154[[#Headers],[SPCC]],
   COUNTIF(Herramientas_de_izaje2468112155[Herramientas_de_izaje], B499) &gt; 0, Herramientas_de_izaje2468112155[[#Headers],[Herramientas_de_izaje]],
COUNTIF(Tabla162670114157[Equipos], B499) &gt; 0, Tabla162670114157[[#Headers],[Equipos]],
    TRUE, "Sin clasificación"
)</f>
        <v>Sin clasificación</v>
      </c>
      <c r="I499" s="15"/>
      <c r="J499" s="47"/>
      <c r="K499" s="76"/>
      <c r="L499" s="76"/>
      <c r="M499" s="78" t="str">
        <f>_xlfn.LET(
    _xlpm.itemBuscado, B499,
    _xlpm.areaBuscada, C499,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TEXT(COUNTIF($C$2:C499, _xlpm.areaBuscada), "0000"),
    _xlpm.codItem &amp; "-" &amp; _xlpm.codArea &amp; "-" &amp; _xlpm.secuencia
)</f>
        <v>-SinArea-0000</v>
      </c>
      <c r="N499" s="77"/>
      <c r="O499" s="32"/>
      <c r="P499" s="32"/>
      <c r="Q499" s="32"/>
      <c r="R499" s="32"/>
    </row>
    <row r="500" spans="3:18" x14ac:dyDescent="0.3">
      <c r="C500" s="11"/>
      <c r="D500" s="32"/>
      <c r="E500" s="11" t="str" cm="1">
        <f t="array" ref="E500">_xlfn.IFS(
    COUNTIF(Herramientas_eléctricas1862106149[Herramientas_eléctricas], B500) &gt; 0, Herramientas_eléctricas1862106149[[#Headers],[Herramientas_eléctricas]],
    COUNTIF(Herramientas_neumáticas1963107150[Herramientas_neumáticas], B500) &gt; 0, Herramientas_neumáticas1963107150[[#Headers],[Herramientas_neumáticas]],
    COUNTIF(Herramientas_de_medición2064108151[Herramientas_de_medición], B500) &gt; 0, Herramientas_de_medición2064108151[[#Headers],[Herramientas_de_medición]],
    COUNTIF(Herrramientas_mecánicas2165109152[Herramientas_mecánicas], B500) &gt; 0, Herrramientas_mecánicas2165109152[[#Headers],[Herramientas_mecánicas]],
    COUNTIF(AH500:AH506, B500) &gt; 0, Herramientas_hidráulicas2266110153[[#Headers],[Herramientas_hidráulicas]],
    COUNTIF(EPP_2367111154[SPCC], B500) &gt; 0, EPP_2367111154[[#Headers],[SPCC]],
   COUNTIF(Herramientas_de_izaje2468112155[Herramientas_de_izaje], B500) &gt; 0, Herramientas_de_izaje2468112155[[#Headers],[Herramientas_de_izaje]],
COUNTIF(Tabla162670114157[Equipos], B500) &gt; 0, Tabla162670114157[[#Headers],[Equipos]],
    TRUE, "Sin clasificación"
)</f>
        <v>Sin clasificación</v>
      </c>
      <c r="I500" s="15"/>
      <c r="J500" s="47"/>
      <c r="K500" s="76"/>
      <c r="L500" s="76"/>
      <c r="M500" s="78" t="str">
        <f>_xlfn.LET(
    _xlpm.itemBuscado, B500,
    _xlpm.areaBuscada, C500,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TEXT(COUNTIF($C$2:C500, _xlpm.areaBuscada), "0000"),
    _xlpm.codItem &amp; "-" &amp; _xlpm.codArea &amp; "-" &amp; _xlpm.secuencia
)</f>
        <v>-SinArea-0000</v>
      </c>
      <c r="N500" s="77"/>
      <c r="O500" s="32"/>
      <c r="P500" s="32"/>
      <c r="Q500" s="32"/>
      <c r="R500" s="32"/>
    </row>
    <row r="501" spans="3:18" x14ac:dyDescent="0.3">
      <c r="C501" s="11"/>
      <c r="D501" s="32"/>
      <c r="E501" s="11" t="str" cm="1">
        <f t="array" ref="E501">_xlfn.IFS(
    COUNTIF(Herramientas_eléctricas1862106149[Herramientas_eléctricas], B501) &gt; 0, Herramientas_eléctricas1862106149[[#Headers],[Herramientas_eléctricas]],
    COUNTIF(Herramientas_neumáticas1963107150[Herramientas_neumáticas], B501) &gt; 0, Herramientas_neumáticas1963107150[[#Headers],[Herramientas_neumáticas]],
    COUNTIF(Herramientas_de_medición2064108151[Herramientas_de_medición], B501) &gt; 0, Herramientas_de_medición2064108151[[#Headers],[Herramientas_de_medición]],
    COUNTIF(Herrramientas_mecánicas2165109152[Herramientas_mecánicas], B501) &gt; 0, Herrramientas_mecánicas2165109152[[#Headers],[Herramientas_mecánicas]],
    COUNTIF(AH501:AH507, B501) &gt; 0, Herramientas_hidráulicas2266110153[[#Headers],[Herramientas_hidráulicas]],
    COUNTIF(EPP_2367111154[SPCC], B501) &gt; 0, EPP_2367111154[[#Headers],[SPCC]],
   COUNTIF(Herramientas_de_izaje2468112155[Herramientas_de_izaje], B501) &gt; 0, Herramientas_de_izaje2468112155[[#Headers],[Herramientas_de_izaje]],
COUNTIF(Tabla162670114157[Equipos], B501) &gt; 0, Tabla162670114157[[#Headers],[Equipos]],
    TRUE, "Sin clasificación"
)</f>
        <v>Sin clasificación</v>
      </c>
      <c r="I501" s="15"/>
      <c r="J501" s="47"/>
      <c r="K501" s="76"/>
      <c r="L501" s="76"/>
      <c r="M501" s="78" t="str">
        <f>_xlfn.LET(
    _xlpm.itemBuscado, B501,
    _xlpm.areaBuscada, C501,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TEXT(COUNTIF($C$2:C501, _xlpm.areaBuscada), "0000"),
    _xlpm.codItem &amp; "-" &amp; _xlpm.codArea &amp; "-" &amp; _xlpm.secuencia
)</f>
        <v>-SinArea-0000</v>
      </c>
      <c r="N501" s="77"/>
      <c r="O501" s="32"/>
      <c r="P501" s="32"/>
      <c r="Q501" s="32"/>
      <c r="R501" s="32"/>
    </row>
    <row r="502" spans="3:18" x14ac:dyDescent="0.3">
      <c r="C502" s="11"/>
      <c r="D502" s="32"/>
      <c r="E502" s="11" t="str" cm="1">
        <f t="array" ref="E502">_xlfn.IFS(
    COUNTIF(Herramientas_eléctricas1862106149[Herramientas_eléctricas], B502) &gt; 0, Herramientas_eléctricas1862106149[[#Headers],[Herramientas_eléctricas]],
    COUNTIF(Herramientas_neumáticas1963107150[Herramientas_neumáticas], B502) &gt; 0, Herramientas_neumáticas1963107150[[#Headers],[Herramientas_neumáticas]],
    COUNTIF(Herramientas_de_medición2064108151[Herramientas_de_medición], B502) &gt; 0, Herramientas_de_medición2064108151[[#Headers],[Herramientas_de_medición]],
    COUNTIF(Herrramientas_mecánicas2165109152[Herramientas_mecánicas], B502) &gt; 0, Herrramientas_mecánicas2165109152[[#Headers],[Herramientas_mecánicas]],
    COUNTIF(AH502:AH508, B502) &gt; 0, Herramientas_hidráulicas2266110153[[#Headers],[Herramientas_hidráulicas]],
    COUNTIF(EPP_2367111154[SPCC], B502) &gt; 0, EPP_2367111154[[#Headers],[SPCC]],
   COUNTIF(Herramientas_de_izaje2468112155[Herramientas_de_izaje], B502) &gt; 0, Herramientas_de_izaje2468112155[[#Headers],[Herramientas_de_izaje]],
COUNTIF(Tabla162670114157[Equipos], B502) &gt; 0, Tabla162670114157[[#Headers],[Equipos]],
    TRUE, "Sin clasificación"
)</f>
        <v>Sin clasificación</v>
      </c>
      <c r="I502" s="15"/>
      <c r="J502" s="47"/>
      <c r="K502" s="76"/>
      <c r="L502" s="76"/>
      <c r="M502" s="78" t="str">
        <f>_xlfn.LET(
    _xlpm.itemBuscado, B502,
    _xlpm.areaBuscada, C502,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TEXT(COUNTIF($C$2:C502, _xlpm.areaBuscada), "0000"),
    _xlpm.codItem &amp; "-" &amp; _xlpm.codArea &amp; "-" &amp; _xlpm.secuencia
)</f>
        <v>-SinArea-0000</v>
      </c>
      <c r="N502" s="77"/>
      <c r="O502" s="32"/>
      <c r="P502" s="32"/>
      <c r="Q502" s="32"/>
      <c r="R502" s="32"/>
    </row>
    <row r="503" spans="3:18" x14ac:dyDescent="0.3">
      <c r="C503" s="11"/>
      <c r="D503" s="32"/>
      <c r="E503" s="11" t="str" cm="1">
        <f t="array" ref="E503">_xlfn.IFS(
    COUNTIF(Herramientas_eléctricas1862106149[Herramientas_eléctricas], B503) &gt; 0, Herramientas_eléctricas1862106149[[#Headers],[Herramientas_eléctricas]],
    COUNTIF(Herramientas_neumáticas1963107150[Herramientas_neumáticas], B503) &gt; 0, Herramientas_neumáticas1963107150[[#Headers],[Herramientas_neumáticas]],
    COUNTIF(Herramientas_de_medición2064108151[Herramientas_de_medición], B503) &gt; 0, Herramientas_de_medición2064108151[[#Headers],[Herramientas_de_medición]],
    COUNTIF(Herrramientas_mecánicas2165109152[Herramientas_mecánicas], B503) &gt; 0, Herrramientas_mecánicas2165109152[[#Headers],[Herramientas_mecánicas]],
    COUNTIF(AH503:AH509, B503) &gt; 0, Herramientas_hidráulicas2266110153[[#Headers],[Herramientas_hidráulicas]],
    COUNTIF(EPP_2367111154[SPCC], B503) &gt; 0, EPP_2367111154[[#Headers],[SPCC]],
   COUNTIF(Herramientas_de_izaje2468112155[Herramientas_de_izaje], B503) &gt; 0, Herramientas_de_izaje2468112155[[#Headers],[Herramientas_de_izaje]],
COUNTIF(Tabla162670114157[Equipos], B503) &gt; 0, Tabla162670114157[[#Headers],[Equipos]],
    TRUE, "Sin clasificación"
)</f>
        <v>Sin clasificación</v>
      </c>
      <c r="I503" s="15"/>
      <c r="J503" s="47"/>
      <c r="K503" s="76"/>
      <c r="L503" s="76"/>
      <c r="M503" s="78" t="str">
        <f>_xlfn.LET(
    _xlpm.itemBuscado, B503,
    _xlpm.areaBuscada, C503,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TEXT(COUNTIF($C$2:C503, _xlpm.areaBuscada), "0000"),
    _xlpm.codItem &amp; "-" &amp; _xlpm.codArea &amp; "-" &amp; _xlpm.secuencia
)</f>
        <v>-SinArea-0000</v>
      </c>
      <c r="N503" s="77"/>
      <c r="O503" s="32"/>
      <c r="P503" s="32"/>
      <c r="Q503" s="32"/>
      <c r="R503" s="32"/>
    </row>
    <row r="504" spans="3:18" x14ac:dyDescent="0.3">
      <c r="C504" s="11"/>
      <c r="D504" s="32"/>
      <c r="E504" s="11" t="str" cm="1">
        <f t="array" ref="E504">_xlfn.IFS(
    COUNTIF(Herramientas_eléctricas1862106149[Herramientas_eléctricas], B504) &gt; 0, Herramientas_eléctricas1862106149[[#Headers],[Herramientas_eléctricas]],
    COUNTIF(Herramientas_neumáticas1963107150[Herramientas_neumáticas], B504) &gt; 0, Herramientas_neumáticas1963107150[[#Headers],[Herramientas_neumáticas]],
    COUNTIF(Herramientas_de_medición2064108151[Herramientas_de_medición], B504) &gt; 0, Herramientas_de_medición2064108151[[#Headers],[Herramientas_de_medición]],
    COUNTIF(Herrramientas_mecánicas2165109152[Herramientas_mecánicas], B504) &gt; 0, Herrramientas_mecánicas2165109152[[#Headers],[Herramientas_mecánicas]],
    COUNTIF(AH504:AH510, B504) &gt; 0, Herramientas_hidráulicas2266110153[[#Headers],[Herramientas_hidráulicas]],
    COUNTIF(EPP_2367111154[SPCC], B504) &gt; 0, EPP_2367111154[[#Headers],[SPCC]],
   COUNTIF(Herramientas_de_izaje2468112155[Herramientas_de_izaje], B504) &gt; 0, Herramientas_de_izaje2468112155[[#Headers],[Herramientas_de_izaje]],
COUNTIF(Tabla162670114157[Equipos], B504) &gt; 0, Tabla162670114157[[#Headers],[Equipos]],
    TRUE, "Sin clasificación"
)</f>
        <v>Sin clasificación</v>
      </c>
      <c r="I504" s="15"/>
      <c r="J504" s="47"/>
      <c r="K504" s="76"/>
      <c r="L504" s="76"/>
      <c r="M504" s="78" t="str">
        <f>_xlfn.LET(
    _xlpm.itemBuscado, B504,
    _xlpm.areaBuscada, C504,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TEXT(COUNTIF($C$2:C504, _xlpm.areaBuscada), "0000"),
    _xlpm.codItem &amp; "-" &amp; _xlpm.codArea &amp; "-" &amp; _xlpm.secuencia
)</f>
        <v>-SinArea-0000</v>
      </c>
      <c r="N504" s="77"/>
      <c r="O504" s="32"/>
      <c r="P504" s="32"/>
      <c r="Q504" s="32"/>
      <c r="R504" s="32"/>
    </row>
    <row r="505" spans="3:18" x14ac:dyDescent="0.3">
      <c r="C505" s="11"/>
      <c r="D505" s="32"/>
      <c r="E505" s="11" t="str" cm="1">
        <f t="array" ref="E505">_xlfn.IFS(
    COUNTIF(Herramientas_eléctricas1862106149[Herramientas_eléctricas], B505) &gt; 0, Herramientas_eléctricas1862106149[[#Headers],[Herramientas_eléctricas]],
    COUNTIF(Herramientas_neumáticas1963107150[Herramientas_neumáticas], B505) &gt; 0, Herramientas_neumáticas1963107150[[#Headers],[Herramientas_neumáticas]],
    COUNTIF(Herramientas_de_medición2064108151[Herramientas_de_medición], B505) &gt; 0, Herramientas_de_medición2064108151[[#Headers],[Herramientas_de_medición]],
    COUNTIF(Herrramientas_mecánicas2165109152[Herramientas_mecánicas], B505) &gt; 0, Herrramientas_mecánicas2165109152[[#Headers],[Herramientas_mecánicas]],
    COUNTIF(AH505:AH511, B505) &gt; 0, Herramientas_hidráulicas2266110153[[#Headers],[Herramientas_hidráulicas]],
    COUNTIF(EPP_2367111154[SPCC], B505) &gt; 0, EPP_2367111154[[#Headers],[SPCC]],
   COUNTIF(Herramientas_de_izaje2468112155[Herramientas_de_izaje], B505) &gt; 0, Herramientas_de_izaje2468112155[[#Headers],[Herramientas_de_izaje]],
COUNTIF(Tabla162670114157[Equipos], B505) &gt; 0, Tabla162670114157[[#Headers],[Equipos]],
    TRUE, "Sin clasificación"
)</f>
        <v>Sin clasificación</v>
      </c>
      <c r="I505" s="15"/>
      <c r="J505" s="47"/>
      <c r="K505" s="76"/>
      <c r="L505" s="76"/>
      <c r="M505" s="78" t="str">
        <f>_xlfn.LET(
    _xlpm.itemBuscado, B505,
    _xlpm.areaBuscada, C505,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TEXT(COUNTIF($C$2:C505, _xlpm.areaBuscada), "0000"),
    _xlpm.codItem &amp; "-" &amp; _xlpm.codArea &amp; "-" &amp; _xlpm.secuencia
)</f>
        <v>-SinArea-0000</v>
      </c>
      <c r="N505" s="77"/>
      <c r="O505" s="32"/>
      <c r="P505" s="32"/>
      <c r="Q505" s="32"/>
      <c r="R505" s="32"/>
    </row>
    <row r="506" spans="3:18" x14ac:dyDescent="0.3">
      <c r="C506" s="11"/>
      <c r="D506" s="32"/>
      <c r="E506" s="11" t="str" cm="1">
        <f t="array" ref="E506">_xlfn.IFS(
    COUNTIF(Herramientas_eléctricas1862106149[Herramientas_eléctricas], B506) &gt; 0, Herramientas_eléctricas1862106149[[#Headers],[Herramientas_eléctricas]],
    COUNTIF(Herramientas_neumáticas1963107150[Herramientas_neumáticas], B506) &gt; 0, Herramientas_neumáticas1963107150[[#Headers],[Herramientas_neumáticas]],
    COUNTIF(Herramientas_de_medición2064108151[Herramientas_de_medición], B506) &gt; 0, Herramientas_de_medición2064108151[[#Headers],[Herramientas_de_medición]],
    COUNTIF(Herrramientas_mecánicas2165109152[Herramientas_mecánicas], B506) &gt; 0, Herrramientas_mecánicas2165109152[[#Headers],[Herramientas_mecánicas]],
    COUNTIF(AH506:AH512, B506) &gt; 0, Herramientas_hidráulicas2266110153[[#Headers],[Herramientas_hidráulicas]],
    COUNTIF(EPP_2367111154[SPCC], B506) &gt; 0, EPP_2367111154[[#Headers],[SPCC]],
   COUNTIF(Herramientas_de_izaje2468112155[Herramientas_de_izaje], B506) &gt; 0, Herramientas_de_izaje2468112155[[#Headers],[Herramientas_de_izaje]],
COUNTIF(Tabla162670114157[Equipos], B506) &gt; 0, Tabla162670114157[[#Headers],[Equipos]],
    TRUE, "Sin clasificación"
)</f>
        <v>Sin clasificación</v>
      </c>
      <c r="I506" s="15"/>
      <c r="J506" s="47"/>
      <c r="K506" s="76"/>
      <c r="L506" s="76"/>
      <c r="M506" s="78" t="str">
        <f>_xlfn.LET(
    _xlpm.itemBuscado, B506,
    _xlpm.areaBuscada, C506,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TEXT(COUNTIF($C$2:C506, _xlpm.areaBuscada), "0000"),
    _xlpm.codItem &amp; "-" &amp; _xlpm.codArea &amp; "-" &amp; _xlpm.secuencia
)</f>
        <v>-SinArea-0000</v>
      </c>
      <c r="N506" s="77"/>
      <c r="O506" s="32"/>
      <c r="P506" s="32"/>
      <c r="Q506" s="32"/>
      <c r="R506" s="32"/>
    </row>
    <row r="507" spans="3:18" x14ac:dyDescent="0.3">
      <c r="C507" s="11"/>
      <c r="D507" s="32"/>
      <c r="E507" s="11" t="str" cm="1">
        <f t="array" ref="E507">_xlfn.IFS(
    COUNTIF(Herramientas_eléctricas1862106149[Herramientas_eléctricas], B507) &gt; 0, Herramientas_eléctricas1862106149[[#Headers],[Herramientas_eléctricas]],
    COUNTIF(Herramientas_neumáticas1963107150[Herramientas_neumáticas], B507) &gt; 0, Herramientas_neumáticas1963107150[[#Headers],[Herramientas_neumáticas]],
    COUNTIF(Herramientas_de_medición2064108151[Herramientas_de_medición], B507) &gt; 0, Herramientas_de_medición2064108151[[#Headers],[Herramientas_de_medición]],
    COUNTIF(Herrramientas_mecánicas2165109152[Herramientas_mecánicas], B507) &gt; 0, Herrramientas_mecánicas2165109152[[#Headers],[Herramientas_mecánicas]],
    COUNTIF(AH507:AH513, B507) &gt; 0, Herramientas_hidráulicas2266110153[[#Headers],[Herramientas_hidráulicas]],
    COUNTIF(EPP_2367111154[SPCC], B507) &gt; 0, EPP_2367111154[[#Headers],[SPCC]],
   COUNTIF(Herramientas_de_izaje2468112155[Herramientas_de_izaje], B507) &gt; 0, Herramientas_de_izaje2468112155[[#Headers],[Herramientas_de_izaje]],
COUNTIF(Tabla162670114157[Equipos], B507) &gt; 0, Tabla162670114157[[#Headers],[Equipos]],
    TRUE, "Sin clasificación"
)</f>
        <v>Sin clasificación</v>
      </c>
      <c r="I507" s="15"/>
      <c r="J507" s="47"/>
      <c r="K507" s="76"/>
      <c r="L507" s="76"/>
      <c r="M507" s="78" t="str">
        <f>_xlfn.LET(
    _xlpm.itemBuscado, B507,
    _xlpm.areaBuscada, C507,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TEXT(COUNTIF($C$2:C507, _xlpm.areaBuscada), "0000"),
    _xlpm.codItem &amp; "-" &amp; _xlpm.codArea &amp; "-" &amp; _xlpm.secuencia
)</f>
        <v>-SinArea-0000</v>
      </c>
      <c r="N507" s="77"/>
      <c r="O507" s="32"/>
      <c r="P507" s="32"/>
      <c r="Q507" s="32"/>
      <c r="R507" s="32"/>
    </row>
    <row r="508" spans="3:18" x14ac:dyDescent="0.3">
      <c r="C508" s="11"/>
      <c r="D508" s="32"/>
      <c r="E508" s="11" t="str" cm="1">
        <f t="array" ref="E508">_xlfn.IFS(
    COUNTIF(Herramientas_eléctricas1862106149[Herramientas_eléctricas], B508) &gt; 0, Herramientas_eléctricas1862106149[[#Headers],[Herramientas_eléctricas]],
    COUNTIF(Herramientas_neumáticas1963107150[Herramientas_neumáticas], B508) &gt; 0, Herramientas_neumáticas1963107150[[#Headers],[Herramientas_neumáticas]],
    COUNTIF(Herramientas_de_medición2064108151[Herramientas_de_medición], B508) &gt; 0, Herramientas_de_medición2064108151[[#Headers],[Herramientas_de_medición]],
    COUNTIF(Herrramientas_mecánicas2165109152[Herramientas_mecánicas], B508) &gt; 0, Herrramientas_mecánicas2165109152[[#Headers],[Herramientas_mecánicas]],
    COUNTIF(AH508:AH514, B508) &gt; 0, Herramientas_hidráulicas2266110153[[#Headers],[Herramientas_hidráulicas]],
    COUNTIF(EPP_2367111154[SPCC], B508) &gt; 0, EPP_2367111154[[#Headers],[SPCC]],
   COUNTIF(Herramientas_de_izaje2468112155[Herramientas_de_izaje], B508) &gt; 0, Herramientas_de_izaje2468112155[[#Headers],[Herramientas_de_izaje]],
COUNTIF(Tabla162670114157[Equipos], B508) &gt; 0, Tabla162670114157[[#Headers],[Equipos]],
    TRUE, "Sin clasificación"
)</f>
        <v>Sin clasificación</v>
      </c>
      <c r="I508" s="15"/>
      <c r="J508" s="47"/>
      <c r="K508" s="76"/>
      <c r="L508" s="76"/>
      <c r="M508" s="78" t="str">
        <f>_xlfn.LET(
    _xlpm.itemBuscado, B508,
    _xlpm.areaBuscada, C508,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TEXT(COUNTIF($C$2:C508, _xlpm.areaBuscada), "0000"),
    _xlpm.codItem &amp; "-" &amp; _xlpm.codArea &amp; "-" &amp; _xlpm.secuencia
)</f>
        <v>-SinArea-0000</v>
      </c>
      <c r="N508" s="77"/>
      <c r="O508" s="32"/>
      <c r="P508" s="32"/>
      <c r="Q508" s="32"/>
      <c r="R508" s="32"/>
    </row>
    <row r="509" spans="3:18" x14ac:dyDescent="0.3">
      <c r="C509" s="11"/>
      <c r="D509" s="32"/>
      <c r="E509" s="11" t="str" cm="1">
        <f t="array" ref="E509">_xlfn.IFS(
    COUNTIF(Herramientas_eléctricas1862106149[Herramientas_eléctricas], B509) &gt; 0, Herramientas_eléctricas1862106149[[#Headers],[Herramientas_eléctricas]],
    COUNTIF(Herramientas_neumáticas1963107150[Herramientas_neumáticas], B509) &gt; 0, Herramientas_neumáticas1963107150[[#Headers],[Herramientas_neumáticas]],
    COUNTIF(Herramientas_de_medición2064108151[Herramientas_de_medición], B509) &gt; 0, Herramientas_de_medición2064108151[[#Headers],[Herramientas_de_medición]],
    COUNTIF(Herrramientas_mecánicas2165109152[Herramientas_mecánicas], B509) &gt; 0, Herrramientas_mecánicas2165109152[[#Headers],[Herramientas_mecánicas]],
    COUNTIF(AH509:AH515, B509) &gt; 0, Herramientas_hidráulicas2266110153[[#Headers],[Herramientas_hidráulicas]],
    COUNTIF(EPP_2367111154[SPCC], B509) &gt; 0, EPP_2367111154[[#Headers],[SPCC]],
   COUNTIF(Herramientas_de_izaje2468112155[Herramientas_de_izaje], B509) &gt; 0, Herramientas_de_izaje2468112155[[#Headers],[Herramientas_de_izaje]],
COUNTIF(Tabla162670114157[Equipos], B509) &gt; 0, Tabla162670114157[[#Headers],[Equipos]],
    TRUE, "Sin clasificación"
)</f>
        <v>Sin clasificación</v>
      </c>
      <c r="I509" s="15"/>
      <c r="J509" s="47"/>
      <c r="K509" s="76"/>
      <c r="L509" s="76"/>
      <c r="M509" s="78" t="str">
        <f>_xlfn.LET(
    _xlpm.itemBuscado, B509,
    _xlpm.areaBuscada, C509,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TEXT(COUNTIF($C$2:C509, _xlpm.areaBuscada), "0000"),
    _xlpm.codItem &amp; "-" &amp; _xlpm.codArea &amp; "-" &amp; _xlpm.secuencia
)</f>
        <v>-SinArea-0000</v>
      </c>
      <c r="N509" s="77"/>
      <c r="O509" s="32"/>
      <c r="P509" s="32"/>
      <c r="Q509" s="32"/>
      <c r="R509" s="32"/>
    </row>
    <row r="510" spans="3:18" x14ac:dyDescent="0.3">
      <c r="C510" s="11"/>
      <c r="D510" s="32"/>
      <c r="E510" s="11" t="str" cm="1">
        <f t="array" ref="E510">_xlfn.IFS(
    COUNTIF(Herramientas_eléctricas1862106149[Herramientas_eléctricas], B510) &gt; 0, Herramientas_eléctricas1862106149[[#Headers],[Herramientas_eléctricas]],
    COUNTIF(Herramientas_neumáticas1963107150[Herramientas_neumáticas], B510) &gt; 0, Herramientas_neumáticas1963107150[[#Headers],[Herramientas_neumáticas]],
    COUNTIF(Herramientas_de_medición2064108151[Herramientas_de_medición], B510) &gt; 0, Herramientas_de_medición2064108151[[#Headers],[Herramientas_de_medición]],
    COUNTIF(Herrramientas_mecánicas2165109152[Herramientas_mecánicas], B510) &gt; 0, Herrramientas_mecánicas2165109152[[#Headers],[Herramientas_mecánicas]],
    COUNTIF(AH510:AH516, B510) &gt; 0, Herramientas_hidráulicas2266110153[[#Headers],[Herramientas_hidráulicas]],
    COUNTIF(EPP_2367111154[SPCC], B510) &gt; 0, EPP_2367111154[[#Headers],[SPCC]],
   COUNTIF(Herramientas_de_izaje2468112155[Herramientas_de_izaje], B510) &gt; 0, Herramientas_de_izaje2468112155[[#Headers],[Herramientas_de_izaje]],
COUNTIF(Tabla162670114157[Equipos], B510) &gt; 0, Tabla162670114157[[#Headers],[Equipos]],
    TRUE, "Sin clasificación"
)</f>
        <v>Sin clasificación</v>
      </c>
      <c r="I510" s="15"/>
      <c r="J510" s="47"/>
      <c r="K510" s="76"/>
      <c r="L510" s="76"/>
      <c r="M510" s="78" t="str">
        <f>_xlfn.LET(
    _xlpm.itemBuscado, B510,
    _xlpm.areaBuscada, C510,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TEXT(COUNTIF($C$2:C510, _xlpm.areaBuscada), "0000"),
    _xlpm.codItem &amp; "-" &amp; _xlpm.codArea &amp; "-" &amp; _xlpm.secuencia
)</f>
        <v>-SinArea-0000</v>
      </c>
      <c r="N510" s="77"/>
      <c r="O510" s="32"/>
      <c r="P510" s="32"/>
      <c r="Q510" s="32"/>
      <c r="R510" s="32"/>
    </row>
    <row r="511" spans="3:18" x14ac:dyDescent="0.3">
      <c r="C511" s="11"/>
      <c r="D511" s="32"/>
      <c r="E511" s="11" t="str" cm="1">
        <f t="array" ref="E511">_xlfn.IFS(
    COUNTIF(Herramientas_eléctricas1862106149[Herramientas_eléctricas], B511) &gt; 0, Herramientas_eléctricas1862106149[[#Headers],[Herramientas_eléctricas]],
    COUNTIF(Herramientas_neumáticas1963107150[Herramientas_neumáticas], B511) &gt; 0, Herramientas_neumáticas1963107150[[#Headers],[Herramientas_neumáticas]],
    COUNTIF(Herramientas_de_medición2064108151[Herramientas_de_medición], B511) &gt; 0, Herramientas_de_medición2064108151[[#Headers],[Herramientas_de_medición]],
    COUNTIF(Herrramientas_mecánicas2165109152[Herramientas_mecánicas], B511) &gt; 0, Herrramientas_mecánicas2165109152[[#Headers],[Herramientas_mecánicas]],
    COUNTIF(AH511:AH517, B511) &gt; 0, Herramientas_hidráulicas2266110153[[#Headers],[Herramientas_hidráulicas]],
    COUNTIF(EPP_2367111154[SPCC], B511) &gt; 0, EPP_2367111154[[#Headers],[SPCC]],
   COUNTIF(Herramientas_de_izaje2468112155[Herramientas_de_izaje], B511) &gt; 0, Herramientas_de_izaje2468112155[[#Headers],[Herramientas_de_izaje]],
COUNTIF(Tabla162670114157[Equipos], B511) &gt; 0, Tabla162670114157[[#Headers],[Equipos]],
    TRUE, "Sin clasificación"
)</f>
        <v>Sin clasificación</v>
      </c>
      <c r="I511" s="15"/>
      <c r="J511" s="47"/>
      <c r="K511" s="76"/>
      <c r="L511" s="76"/>
      <c r="M511" s="78" t="str">
        <f>_xlfn.LET(
    _xlpm.itemBuscado, B511,
    _xlpm.areaBuscada, C511,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TEXT(COUNTIF($C$2:C511, _xlpm.areaBuscada), "0000"),
    _xlpm.codItem &amp; "-" &amp; _xlpm.codArea &amp; "-" &amp; _xlpm.secuencia
)</f>
        <v>-SinArea-0000</v>
      </c>
      <c r="N511" s="77"/>
      <c r="O511" s="32"/>
      <c r="P511" s="32"/>
      <c r="Q511" s="32"/>
      <c r="R511" s="32"/>
    </row>
    <row r="512" spans="3:18" x14ac:dyDescent="0.3">
      <c r="C512" s="11"/>
      <c r="D512" s="32"/>
      <c r="E512" s="11" t="str" cm="1">
        <f t="array" ref="E512">_xlfn.IFS(
    COUNTIF(Herramientas_eléctricas1862106149[Herramientas_eléctricas], B512) &gt; 0, Herramientas_eléctricas1862106149[[#Headers],[Herramientas_eléctricas]],
    COUNTIF(Herramientas_neumáticas1963107150[Herramientas_neumáticas], B512) &gt; 0, Herramientas_neumáticas1963107150[[#Headers],[Herramientas_neumáticas]],
    COUNTIF(Herramientas_de_medición2064108151[Herramientas_de_medición], B512) &gt; 0, Herramientas_de_medición2064108151[[#Headers],[Herramientas_de_medición]],
    COUNTIF(Herrramientas_mecánicas2165109152[Herramientas_mecánicas], B512) &gt; 0, Herrramientas_mecánicas2165109152[[#Headers],[Herramientas_mecánicas]],
    COUNTIF(AH512:AH518, B512) &gt; 0, Herramientas_hidráulicas2266110153[[#Headers],[Herramientas_hidráulicas]],
    COUNTIF(EPP_2367111154[SPCC], B512) &gt; 0, EPP_2367111154[[#Headers],[SPCC]],
   COUNTIF(Herramientas_de_izaje2468112155[Herramientas_de_izaje], B512) &gt; 0, Herramientas_de_izaje2468112155[[#Headers],[Herramientas_de_izaje]],
COUNTIF(Tabla162670114157[Equipos], B512) &gt; 0, Tabla162670114157[[#Headers],[Equipos]],
    TRUE, "Sin clasificación"
)</f>
        <v>Sin clasificación</v>
      </c>
      <c r="I512" s="15"/>
      <c r="J512" s="47"/>
      <c r="K512" s="76"/>
      <c r="L512" s="76"/>
      <c r="M512" s="78" t="str">
        <f>_xlfn.LET(
    _xlpm.itemBuscado, B512,
    _xlpm.areaBuscada, C512,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TEXT(COUNTIF($C$2:C512, _xlpm.areaBuscada), "0000"),
    _xlpm.codItem &amp; "-" &amp; _xlpm.codArea &amp; "-" &amp; _xlpm.secuencia
)</f>
        <v>-SinArea-0000</v>
      </c>
      <c r="N512" s="77"/>
      <c r="O512" s="32"/>
      <c r="P512" s="32"/>
      <c r="Q512" s="32"/>
      <c r="R512" s="32"/>
    </row>
    <row r="513" spans="3:18" x14ac:dyDescent="0.3">
      <c r="C513" s="11"/>
      <c r="D513" s="32"/>
      <c r="E513" s="11" t="str" cm="1">
        <f t="array" ref="E513">_xlfn.IFS(
    COUNTIF(Herramientas_eléctricas1862106149[Herramientas_eléctricas], B513) &gt; 0, Herramientas_eléctricas1862106149[[#Headers],[Herramientas_eléctricas]],
    COUNTIF(Herramientas_neumáticas1963107150[Herramientas_neumáticas], B513) &gt; 0, Herramientas_neumáticas1963107150[[#Headers],[Herramientas_neumáticas]],
    COUNTIF(Herramientas_de_medición2064108151[Herramientas_de_medición], B513) &gt; 0, Herramientas_de_medición2064108151[[#Headers],[Herramientas_de_medición]],
    COUNTIF(Herrramientas_mecánicas2165109152[Herramientas_mecánicas], B513) &gt; 0, Herrramientas_mecánicas2165109152[[#Headers],[Herramientas_mecánicas]],
    COUNTIF(AH513:AH519, B513) &gt; 0, Herramientas_hidráulicas2266110153[[#Headers],[Herramientas_hidráulicas]],
    COUNTIF(EPP_2367111154[SPCC], B513) &gt; 0, EPP_2367111154[[#Headers],[SPCC]],
   COUNTIF(Herramientas_de_izaje2468112155[Herramientas_de_izaje], B513) &gt; 0, Herramientas_de_izaje2468112155[[#Headers],[Herramientas_de_izaje]],
COUNTIF(Tabla162670114157[Equipos], B513) &gt; 0, Tabla162670114157[[#Headers],[Equipos]],
    TRUE, "Sin clasificación"
)</f>
        <v>Sin clasificación</v>
      </c>
      <c r="I513" s="15"/>
      <c r="J513" s="47"/>
      <c r="K513" s="76"/>
      <c r="L513" s="76"/>
      <c r="M513" s="78" t="str">
        <f>_xlfn.LET(
    _xlpm.itemBuscado, B513,
    _xlpm.areaBuscada, C513,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TEXT(COUNTIF($C$2:C513, _xlpm.areaBuscada), "0000"),
    _xlpm.codItem &amp; "-" &amp; _xlpm.codArea &amp; "-" &amp; _xlpm.secuencia
)</f>
        <v>-SinArea-0000</v>
      </c>
      <c r="N513" s="77"/>
      <c r="O513" s="32"/>
      <c r="P513" s="32"/>
      <c r="Q513" s="32"/>
      <c r="R513" s="32"/>
    </row>
    <row r="514" spans="3:18" x14ac:dyDescent="0.3">
      <c r="C514" s="11"/>
      <c r="D514" s="32"/>
      <c r="E514" s="11" t="str" cm="1">
        <f t="array" ref="E514">_xlfn.IFS(
    COUNTIF(Herramientas_eléctricas1862106149[Herramientas_eléctricas], B514) &gt; 0, Herramientas_eléctricas1862106149[[#Headers],[Herramientas_eléctricas]],
    COUNTIF(Herramientas_neumáticas1963107150[Herramientas_neumáticas], B514) &gt; 0, Herramientas_neumáticas1963107150[[#Headers],[Herramientas_neumáticas]],
    COUNTIF(Herramientas_de_medición2064108151[Herramientas_de_medición], B514) &gt; 0, Herramientas_de_medición2064108151[[#Headers],[Herramientas_de_medición]],
    COUNTIF(Herrramientas_mecánicas2165109152[Herramientas_mecánicas], B514) &gt; 0, Herrramientas_mecánicas2165109152[[#Headers],[Herramientas_mecánicas]],
    COUNTIF(AH514:AH520, B514) &gt; 0, Herramientas_hidráulicas2266110153[[#Headers],[Herramientas_hidráulicas]],
    COUNTIF(EPP_2367111154[SPCC], B514) &gt; 0, EPP_2367111154[[#Headers],[SPCC]],
   COUNTIF(Herramientas_de_izaje2468112155[Herramientas_de_izaje], B514) &gt; 0, Herramientas_de_izaje2468112155[[#Headers],[Herramientas_de_izaje]],
COUNTIF(Tabla162670114157[Equipos], B514) &gt; 0, Tabla162670114157[[#Headers],[Equipos]],
    TRUE, "Sin clasificación"
)</f>
        <v>Sin clasificación</v>
      </c>
      <c r="I514" s="15"/>
      <c r="J514" s="47"/>
      <c r="K514" s="76"/>
      <c r="L514" s="76"/>
      <c r="M514" s="78" t="str">
        <f>_xlfn.LET(
    _xlpm.itemBuscado, B514,
    _xlpm.areaBuscada, C514,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TEXT(COUNTIF($C$2:C514, _xlpm.areaBuscada), "0000"),
    _xlpm.codItem &amp; "-" &amp; _xlpm.codArea &amp; "-" &amp; _xlpm.secuencia
)</f>
        <v>-SinArea-0000</v>
      </c>
      <c r="N514" s="77"/>
      <c r="O514" s="32"/>
      <c r="P514" s="32"/>
      <c r="Q514" s="32"/>
      <c r="R514" s="32"/>
    </row>
    <row r="515" spans="3:18" x14ac:dyDescent="0.3">
      <c r="C515" s="11"/>
      <c r="D515" s="32"/>
      <c r="E515" s="11" t="str" cm="1">
        <f t="array" ref="E515">_xlfn.IFS(
    COUNTIF(Herramientas_eléctricas1862106149[Herramientas_eléctricas], B515) &gt; 0, Herramientas_eléctricas1862106149[[#Headers],[Herramientas_eléctricas]],
    COUNTIF(Herramientas_neumáticas1963107150[Herramientas_neumáticas], B515) &gt; 0, Herramientas_neumáticas1963107150[[#Headers],[Herramientas_neumáticas]],
    COUNTIF(Herramientas_de_medición2064108151[Herramientas_de_medición], B515) &gt; 0, Herramientas_de_medición2064108151[[#Headers],[Herramientas_de_medición]],
    COUNTIF(Herrramientas_mecánicas2165109152[Herramientas_mecánicas], B515) &gt; 0, Herrramientas_mecánicas2165109152[[#Headers],[Herramientas_mecánicas]],
    COUNTIF(AH515:AH521, B515) &gt; 0, Herramientas_hidráulicas2266110153[[#Headers],[Herramientas_hidráulicas]],
    COUNTIF(EPP_2367111154[SPCC], B515) &gt; 0, EPP_2367111154[[#Headers],[SPCC]],
   COUNTIF(Herramientas_de_izaje2468112155[Herramientas_de_izaje], B515) &gt; 0, Herramientas_de_izaje2468112155[[#Headers],[Herramientas_de_izaje]],
COUNTIF(Tabla162670114157[Equipos], B515) &gt; 0, Tabla162670114157[[#Headers],[Equipos]],
    TRUE, "Sin clasificación"
)</f>
        <v>Sin clasificación</v>
      </c>
      <c r="I515" s="15"/>
      <c r="J515" s="47"/>
      <c r="K515" s="76"/>
      <c r="L515" s="76"/>
      <c r="M515" s="78" t="str">
        <f>_xlfn.LET(
    _xlpm.itemBuscado, B515,
    _xlpm.areaBuscada, C515,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TEXT(COUNTIF($C$2:C515, _xlpm.areaBuscada), "0000"),
    _xlpm.codItem &amp; "-" &amp; _xlpm.codArea &amp; "-" &amp; _xlpm.secuencia
)</f>
        <v>-SinArea-0000</v>
      </c>
      <c r="N515" s="77"/>
      <c r="O515" s="32"/>
      <c r="P515" s="32"/>
      <c r="Q515" s="32"/>
      <c r="R515" s="32"/>
    </row>
    <row r="516" spans="3:18" x14ac:dyDescent="0.3">
      <c r="C516" s="11"/>
      <c r="D516" s="32"/>
      <c r="E516" s="11" t="str" cm="1">
        <f t="array" ref="E516">_xlfn.IFS(
    COUNTIF(Herramientas_eléctricas1862106149[Herramientas_eléctricas], B516) &gt; 0, Herramientas_eléctricas1862106149[[#Headers],[Herramientas_eléctricas]],
    COUNTIF(Herramientas_neumáticas1963107150[Herramientas_neumáticas], B516) &gt; 0, Herramientas_neumáticas1963107150[[#Headers],[Herramientas_neumáticas]],
    COUNTIF(Herramientas_de_medición2064108151[Herramientas_de_medición], B516) &gt; 0, Herramientas_de_medición2064108151[[#Headers],[Herramientas_de_medición]],
    COUNTIF(Herrramientas_mecánicas2165109152[Herramientas_mecánicas], B516) &gt; 0, Herrramientas_mecánicas2165109152[[#Headers],[Herramientas_mecánicas]],
    COUNTIF(AH516:AH522, B516) &gt; 0, Herramientas_hidráulicas2266110153[[#Headers],[Herramientas_hidráulicas]],
    COUNTIF(EPP_2367111154[SPCC], B516) &gt; 0, EPP_2367111154[[#Headers],[SPCC]],
   COUNTIF(Herramientas_de_izaje2468112155[Herramientas_de_izaje], B516) &gt; 0, Herramientas_de_izaje2468112155[[#Headers],[Herramientas_de_izaje]],
COUNTIF(Tabla162670114157[Equipos], B516) &gt; 0, Tabla162670114157[[#Headers],[Equipos]],
    TRUE, "Sin clasificación"
)</f>
        <v>Sin clasificación</v>
      </c>
      <c r="I516" s="15"/>
      <c r="J516" s="47"/>
      <c r="K516" s="76"/>
      <c r="L516" s="76"/>
      <c r="M516" s="78" t="str">
        <f>_xlfn.LET(
    _xlpm.itemBuscado, B516,
    _xlpm.areaBuscada, C516,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TEXT(COUNTIF($C$2:C516, _xlpm.areaBuscada), "0000"),
    _xlpm.codItem &amp; "-" &amp; _xlpm.codArea &amp; "-" &amp; _xlpm.secuencia
)</f>
        <v>-SinArea-0000</v>
      </c>
      <c r="N516" s="77"/>
      <c r="O516" s="32"/>
      <c r="P516" s="32"/>
      <c r="Q516" s="32"/>
      <c r="R516" s="32"/>
    </row>
    <row r="517" spans="3:18" x14ac:dyDescent="0.3">
      <c r="C517" s="11"/>
      <c r="D517" s="32"/>
      <c r="E517" s="11" t="str" cm="1">
        <f t="array" ref="E517">_xlfn.IFS(
    COUNTIF(Herramientas_eléctricas1862106149[Herramientas_eléctricas], B517) &gt; 0, Herramientas_eléctricas1862106149[[#Headers],[Herramientas_eléctricas]],
    COUNTIF(Herramientas_neumáticas1963107150[Herramientas_neumáticas], B517) &gt; 0, Herramientas_neumáticas1963107150[[#Headers],[Herramientas_neumáticas]],
    COUNTIF(Herramientas_de_medición2064108151[Herramientas_de_medición], B517) &gt; 0, Herramientas_de_medición2064108151[[#Headers],[Herramientas_de_medición]],
    COUNTIF(Herrramientas_mecánicas2165109152[Herramientas_mecánicas], B517) &gt; 0, Herrramientas_mecánicas2165109152[[#Headers],[Herramientas_mecánicas]],
    COUNTIF(AH517:AH523, B517) &gt; 0, Herramientas_hidráulicas2266110153[[#Headers],[Herramientas_hidráulicas]],
    COUNTIF(EPP_2367111154[SPCC], B517) &gt; 0, EPP_2367111154[[#Headers],[SPCC]],
   COUNTIF(Herramientas_de_izaje2468112155[Herramientas_de_izaje], B517) &gt; 0, Herramientas_de_izaje2468112155[[#Headers],[Herramientas_de_izaje]],
COUNTIF(Tabla162670114157[Equipos], B517) &gt; 0, Tabla162670114157[[#Headers],[Equipos]],
    TRUE, "Sin clasificación"
)</f>
        <v>Sin clasificación</v>
      </c>
      <c r="I517" s="15"/>
      <c r="J517" s="47"/>
      <c r="K517" s="76"/>
      <c r="L517" s="76"/>
      <c r="M517" s="78" t="str">
        <f>_xlfn.LET(
    _xlpm.itemBuscado, B517,
    _xlpm.areaBuscada, C517,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TEXT(COUNTIF($C$2:C517, _xlpm.areaBuscada), "0000"),
    _xlpm.codItem &amp; "-" &amp; _xlpm.codArea &amp; "-" &amp; _xlpm.secuencia
)</f>
        <v>-SinArea-0000</v>
      </c>
      <c r="N517" s="77"/>
      <c r="O517" s="32"/>
      <c r="P517" s="32"/>
      <c r="Q517" s="32"/>
      <c r="R517" s="32"/>
    </row>
    <row r="518" spans="3:18" x14ac:dyDescent="0.3">
      <c r="C518" s="11"/>
      <c r="D518" s="32"/>
      <c r="E518" s="11" t="str" cm="1">
        <f t="array" ref="E518">_xlfn.IFS(
    COUNTIF(Herramientas_eléctricas1862106149[Herramientas_eléctricas], B518) &gt; 0, Herramientas_eléctricas1862106149[[#Headers],[Herramientas_eléctricas]],
    COUNTIF(Herramientas_neumáticas1963107150[Herramientas_neumáticas], B518) &gt; 0, Herramientas_neumáticas1963107150[[#Headers],[Herramientas_neumáticas]],
    COUNTIF(Herramientas_de_medición2064108151[Herramientas_de_medición], B518) &gt; 0, Herramientas_de_medición2064108151[[#Headers],[Herramientas_de_medición]],
    COUNTIF(Herrramientas_mecánicas2165109152[Herramientas_mecánicas], B518) &gt; 0, Herrramientas_mecánicas2165109152[[#Headers],[Herramientas_mecánicas]],
    COUNTIF(AH518:AH524, B518) &gt; 0, Herramientas_hidráulicas2266110153[[#Headers],[Herramientas_hidráulicas]],
    COUNTIF(EPP_2367111154[SPCC], B518) &gt; 0, EPP_2367111154[[#Headers],[SPCC]],
   COUNTIF(Herramientas_de_izaje2468112155[Herramientas_de_izaje], B518) &gt; 0, Herramientas_de_izaje2468112155[[#Headers],[Herramientas_de_izaje]],
COUNTIF(Tabla162670114157[Equipos], B518) &gt; 0, Tabla162670114157[[#Headers],[Equipos]],
    TRUE, "Sin clasificación"
)</f>
        <v>Sin clasificación</v>
      </c>
      <c r="I518" s="15"/>
      <c r="J518" s="47"/>
      <c r="K518" s="76"/>
      <c r="L518" s="76"/>
      <c r="M518" s="78" t="str">
        <f>_xlfn.LET(
    _xlpm.itemBuscado, B518,
    _xlpm.areaBuscada, C518,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TEXT(COUNTIF($C$2:C518, _xlpm.areaBuscada), "0000"),
    _xlpm.codItem &amp; "-" &amp; _xlpm.codArea &amp; "-" &amp; _xlpm.secuencia
)</f>
        <v>-SinArea-0000</v>
      </c>
      <c r="N518" s="77"/>
      <c r="O518" s="32"/>
      <c r="P518" s="32"/>
      <c r="Q518" s="32"/>
      <c r="R518" s="32"/>
    </row>
    <row r="519" spans="3:18" x14ac:dyDescent="0.3">
      <c r="C519" s="11"/>
      <c r="D519" s="32"/>
      <c r="E519" s="11" t="str" cm="1">
        <f t="array" ref="E519">_xlfn.IFS(
    COUNTIF(Herramientas_eléctricas1862106149[Herramientas_eléctricas], B519) &gt; 0, Herramientas_eléctricas1862106149[[#Headers],[Herramientas_eléctricas]],
    COUNTIF(Herramientas_neumáticas1963107150[Herramientas_neumáticas], B519) &gt; 0, Herramientas_neumáticas1963107150[[#Headers],[Herramientas_neumáticas]],
    COUNTIF(Herramientas_de_medición2064108151[Herramientas_de_medición], B519) &gt; 0, Herramientas_de_medición2064108151[[#Headers],[Herramientas_de_medición]],
    COUNTIF(Herrramientas_mecánicas2165109152[Herramientas_mecánicas], B519) &gt; 0, Herrramientas_mecánicas2165109152[[#Headers],[Herramientas_mecánicas]],
    COUNTIF(AH519:AH525, B519) &gt; 0, Herramientas_hidráulicas2266110153[[#Headers],[Herramientas_hidráulicas]],
    COUNTIF(EPP_2367111154[SPCC], B519) &gt; 0, EPP_2367111154[[#Headers],[SPCC]],
   COUNTIF(Herramientas_de_izaje2468112155[Herramientas_de_izaje], B519) &gt; 0, Herramientas_de_izaje2468112155[[#Headers],[Herramientas_de_izaje]],
COUNTIF(Tabla162670114157[Equipos], B519) &gt; 0, Tabla162670114157[[#Headers],[Equipos]],
    TRUE, "Sin clasificación"
)</f>
        <v>Sin clasificación</v>
      </c>
      <c r="I519" s="15"/>
      <c r="J519" s="47"/>
      <c r="K519" s="76"/>
      <c r="L519" s="76"/>
      <c r="M519" s="78" t="str">
        <f>_xlfn.LET(
    _xlpm.itemBuscado, B519,
    _xlpm.areaBuscada, C519,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TEXT(COUNTIF($C$2:C519, _xlpm.areaBuscada), "0000"),
    _xlpm.codItem &amp; "-" &amp; _xlpm.codArea &amp; "-" &amp; _xlpm.secuencia
)</f>
        <v>-SinArea-0000</v>
      </c>
      <c r="N519" s="77"/>
      <c r="O519" s="32"/>
      <c r="P519" s="32"/>
      <c r="Q519" s="32"/>
      <c r="R519" s="32"/>
    </row>
    <row r="520" spans="3:18" x14ac:dyDescent="0.3">
      <c r="C520" s="11"/>
      <c r="D520" s="32"/>
      <c r="E520" s="11" t="str" cm="1">
        <f t="array" ref="E520">_xlfn.IFS(
    COUNTIF(Herramientas_eléctricas1862106149[Herramientas_eléctricas], B520) &gt; 0, Herramientas_eléctricas1862106149[[#Headers],[Herramientas_eléctricas]],
    COUNTIF(Herramientas_neumáticas1963107150[Herramientas_neumáticas], B520) &gt; 0, Herramientas_neumáticas1963107150[[#Headers],[Herramientas_neumáticas]],
    COUNTIF(Herramientas_de_medición2064108151[Herramientas_de_medición], B520) &gt; 0, Herramientas_de_medición2064108151[[#Headers],[Herramientas_de_medición]],
    COUNTIF(Herrramientas_mecánicas2165109152[Herramientas_mecánicas], B520) &gt; 0, Herrramientas_mecánicas2165109152[[#Headers],[Herramientas_mecánicas]],
    COUNTIF(AH520:AH526, B520) &gt; 0, Herramientas_hidráulicas2266110153[[#Headers],[Herramientas_hidráulicas]],
    COUNTIF(EPP_2367111154[SPCC], B520) &gt; 0, EPP_2367111154[[#Headers],[SPCC]],
   COUNTIF(Herramientas_de_izaje2468112155[Herramientas_de_izaje], B520) &gt; 0, Herramientas_de_izaje2468112155[[#Headers],[Herramientas_de_izaje]],
COUNTIF(Tabla162670114157[Equipos], B520) &gt; 0, Tabla162670114157[[#Headers],[Equipos]],
    TRUE, "Sin clasificación"
)</f>
        <v>Sin clasificación</v>
      </c>
      <c r="I520" s="15"/>
      <c r="J520" s="47"/>
      <c r="K520" s="76"/>
      <c r="L520" s="76"/>
      <c r="M520" s="78" t="str">
        <f>_xlfn.LET(
    _xlpm.itemBuscado, B520,
    _xlpm.areaBuscada, C520,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TEXT(COUNTIF($C$2:C520, _xlpm.areaBuscada), "0000"),
    _xlpm.codItem &amp; "-" &amp; _xlpm.codArea &amp; "-" &amp; _xlpm.secuencia
)</f>
        <v>-SinArea-0000</v>
      </c>
      <c r="N520" s="77"/>
      <c r="O520" s="32"/>
      <c r="P520" s="32"/>
      <c r="Q520" s="32"/>
      <c r="R520" s="32"/>
    </row>
    <row r="521" spans="3:18" x14ac:dyDescent="0.3">
      <c r="C521" s="11"/>
      <c r="D521" s="32"/>
      <c r="E521" s="11" t="str" cm="1">
        <f t="array" ref="E521">_xlfn.IFS(
    COUNTIF(Herramientas_eléctricas1862106149[Herramientas_eléctricas], B521) &gt; 0, Herramientas_eléctricas1862106149[[#Headers],[Herramientas_eléctricas]],
    COUNTIF(Herramientas_neumáticas1963107150[Herramientas_neumáticas], B521) &gt; 0, Herramientas_neumáticas1963107150[[#Headers],[Herramientas_neumáticas]],
    COUNTIF(Herramientas_de_medición2064108151[Herramientas_de_medición], B521) &gt; 0, Herramientas_de_medición2064108151[[#Headers],[Herramientas_de_medición]],
    COUNTIF(Herrramientas_mecánicas2165109152[Herramientas_mecánicas], B521) &gt; 0, Herrramientas_mecánicas2165109152[[#Headers],[Herramientas_mecánicas]],
    COUNTIF(AH521:AH527, B521) &gt; 0, Herramientas_hidráulicas2266110153[[#Headers],[Herramientas_hidráulicas]],
    COUNTIF(EPP_2367111154[SPCC], B521) &gt; 0, EPP_2367111154[[#Headers],[SPCC]],
   COUNTIF(Herramientas_de_izaje2468112155[Herramientas_de_izaje], B521) &gt; 0, Herramientas_de_izaje2468112155[[#Headers],[Herramientas_de_izaje]],
COUNTIF(Tabla162670114157[Equipos], B521) &gt; 0, Tabla162670114157[[#Headers],[Equipos]],
    TRUE, "Sin clasificación"
)</f>
        <v>Sin clasificación</v>
      </c>
      <c r="I521" s="15"/>
      <c r="J521" s="47"/>
      <c r="K521" s="76"/>
      <c r="L521" s="76"/>
      <c r="M521" s="78" t="str">
        <f>_xlfn.LET(
    _xlpm.itemBuscado, B521,
    _xlpm.areaBuscada, C521,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TEXT(COUNTIF($C$2:C521, _xlpm.areaBuscada), "0000"),
    _xlpm.codItem &amp; "-" &amp; _xlpm.codArea &amp; "-" &amp; _xlpm.secuencia
)</f>
        <v>-SinArea-0000</v>
      </c>
      <c r="N521" s="77"/>
      <c r="O521" s="32"/>
      <c r="P521" s="32"/>
      <c r="Q521" s="32"/>
      <c r="R521" s="32"/>
    </row>
    <row r="522" spans="3:18" x14ac:dyDescent="0.3">
      <c r="C522" s="11"/>
      <c r="D522" s="32"/>
      <c r="E522" s="11" t="str" cm="1">
        <f t="array" ref="E522">_xlfn.IFS(
    COUNTIF(Herramientas_eléctricas1862106149[Herramientas_eléctricas], B522) &gt; 0, Herramientas_eléctricas1862106149[[#Headers],[Herramientas_eléctricas]],
    COUNTIF(Herramientas_neumáticas1963107150[Herramientas_neumáticas], B522) &gt; 0, Herramientas_neumáticas1963107150[[#Headers],[Herramientas_neumáticas]],
    COUNTIF(Herramientas_de_medición2064108151[Herramientas_de_medición], B522) &gt; 0, Herramientas_de_medición2064108151[[#Headers],[Herramientas_de_medición]],
    COUNTIF(Herrramientas_mecánicas2165109152[Herramientas_mecánicas], B522) &gt; 0, Herrramientas_mecánicas2165109152[[#Headers],[Herramientas_mecánicas]],
    COUNTIF(AH522:AH528, B522) &gt; 0, Herramientas_hidráulicas2266110153[[#Headers],[Herramientas_hidráulicas]],
    COUNTIF(EPP_2367111154[SPCC], B522) &gt; 0, EPP_2367111154[[#Headers],[SPCC]],
   COUNTIF(Herramientas_de_izaje2468112155[Herramientas_de_izaje], B522) &gt; 0, Herramientas_de_izaje2468112155[[#Headers],[Herramientas_de_izaje]],
COUNTIF(Tabla162670114157[Equipos], B522) &gt; 0, Tabla162670114157[[#Headers],[Equipos]],
    TRUE, "Sin clasificación"
)</f>
        <v>Sin clasificación</v>
      </c>
      <c r="I522" s="15"/>
      <c r="J522" s="47"/>
      <c r="K522" s="76"/>
      <c r="L522" s="76"/>
      <c r="M522" s="78" t="str">
        <f>_xlfn.LET(
    _xlpm.itemBuscado, B522,
    _xlpm.areaBuscada, C522,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TEXT(COUNTIF($C$2:C522, _xlpm.areaBuscada), "0000"),
    _xlpm.codItem &amp; "-" &amp; _xlpm.codArea &amp; "-" &amp; _xlpm.secuencia
)</f>
        <v>-SinArea-0000</v>
      </c>
      <c r="N522" s="77"/>
      <c r="O522" s="32"/>
      <c r="P522" s="32"/>
      <c r="Q522" s="32"/>
      <c r="R522" s="32"/>
    </row>
    <row r="523" spans="3:18" x14ac:dyDescent="0.3">
      <c r="C523" s="11"/>
      <c r="D523" s="32"/>
      <c r="E523" s="11" t="str" cm="1">
        <f t="array" ref="E523">_xlfn.IFS(
    COUNTIF(Herramientas_eléctricas1862106149[Herramientas_eléctricas], B523) &gt; 0, Herramientas_eléctricas1862106149[[#Headers],[Herramientas_eléctricas]],
    COUNTIF(Herramientas_neumáticas1963107150[Herramientas_neumáticas], B523) &gt; 0, Herramientas_neumáticas1963107150[[#Headers],[Herramientas_neumáticas]],
    COUNTIF(Herramientas_de_medición2064108151[Herramientas_de_medición], B523) &gt; 0, Herramientas_de_medición2064108151[[#Headers],[Herramientas_de_medición]],
    COUNTIF(Herrramientas_mecánicas2165109152[Herramientas_mecánicas], B523) &gt; 0, Herrramientas_mecánicas2165109152[[#Headers],[Herramientas_mecánicas]],
    COUNTIF(AH523:AH529, B523) &gt; 0, Herramientas_hidráulicas2266110153[[#Headers],[Herramientas_hidráulicas]],
    COUNTIF(EPP_2367111154[SPCC], B523) &gt; 0, EPP_2367111154[[#Headers],[SPCC]],
   COUNTIF(Herramientas_de_izaje2468112155[Herramientas_de_izaje], B523) &gt; 0, Herramientas_de_izaje2468112155[[#Headers],[Herramientas_de_izaje]],
COUNTIF(Tabla162670114157[Equipos], B523) &gt; 0, Tabla162670114157[[#Headers],[Equipos]],
    TRUE, "Sin clasificación"
)</f>
        <v>Sin clasificación</v>
      </c>
      <c r="I523" s="15"/>
      <c r="J523" s="47"/>
      <c r="K523" s="76"/>
      <c r="L523" s="76"/>
      <c r="M523" s="78" t="str">
        <f>_xlfn.LET(
    _xlpm.itemBuscado, B523,
    _xlpm.areaBuscada, C523,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TEXT(COUNTIF($C$2:C523, _xlpm.areaBuscada), "0000"),
    _xlpm.codItem &amp; "-" &amp; _xlpm.codArea &amp; "-" &amp; _xlpm.secuencia
)</f>
        <v>-SinArea-0000</v>
      </c>
      <c r="N523" s="77"/>
      <c r="O523" s="32"/>
      <c r="P523" s="32"/>
      <c r="Q523" s="32"/>
      <c r="R523" s="32"/>
    </row>
    <row r="524" spans="3:18" x14ac:dyDescent="0.3">
      <c r="C524" s="11"/>
      <c r="D524" s="32"/>
      <c r="E524" s="11" t="str" cm="1">
        <f t="array" ref="E524">_xlfn.IFS(
    COUNTIF(Herramientas_eléctricas1862106149[Herramientas_eléctricas], B524) &gt; 0, Herramientas_eléctricas1862106149[[#Headers],[Herramientas_eléctricas]],
    COUNTIF(Herramientas_neumáticas1963107150[Herramientas_neumáticas], B524) &gt; 0, Herramientas_neumáticas1963107150[[#Headers],[Herramientas_neumáticas]],
    COUNTIF(Herramientas_de_medición2064108151[Herramientas_de_medición], B524) &gt; 0, Herramientas_de_medición2064108151[[#Headers],[Herramientas_de_medición]],
    COUNTIF(Herrramientas_mecánicas2165109152[Herramientas_mecánicas], B524) &gt; 0, Herrramientas_mecánicas2165109152[[#Headers],[Herramientas_mecánicas]],
    COUNTIF(AH524:AH530, B524) &gt; 0, Herramientas_hidráulicas2266110153[[#Headers],[Herramientas_hidráulicas]],
    COUNTIF(EPP_2367111154[SPCC], B524) &gt; 0, EPP_2367111154[[#Headers],[SPCC]],
   COUNTIF(Herramientas_de_izaje2468112155[Herramientas_de_izaje], B524) &gt; 0, Herramientas_de_izaje2468112155[[#Headers],[Herramientas_de_izaje]],
COUNTIF(Tabla162670114157[Equipos], B524) &gt; 0, Tabla162670114157[[#Headers],[Equipos]],
    TRUE, "Sin clasificación"
)</f>
        <v>Sin clasificación</v>
      </c>
      <c r="I524" s="15"/>
      <c r="J524" s="47"/>
      <c r="K524" s="76"/>
      <c r="L524" s="76"/>
      <c r="M524" s="78" t="str">
        <f>_xlfn.LET(
    _xlpm.itemBuscado, B524,
    _xlpm.areaBuscada, C524,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TEXT(COUNTIF($C$2:C524, _xlpm.areaBuscada), "0000"),
    _xlpm.codItem &amp; "-" &amp; _xlpm.codArea &amp; "-" &amp; _xlpm.secuencia
)</f>
        <v>-SinArea-0000</v>
      </c>
      <c r="N524" s="77"/>
      <c r="O524" s="32"/>
      <c r="P524" s="32"/>
      <c r="Q524" s="32"/>
      <c r="R524" s="32"/>
    </row>
    <row r="525" spans="3:18" x14ac:dyDescent="0.3">
      <c r="C525" s="11"/>
      <c r="D525" s="32"/>
      <c r="E525" s="11" t="str" cm="1">
        <f t="array" ref="E525">_xlfn.IFS(
    COUNTIF(Herramientas_eléctricas1862106149[Herramientas_eléctricas], B525) &gt; 0, Herramientas_eléctricas1862106149[[#Headers],[Herramientas_eléctricas]],
    COUNTIF(Herramientas_neumáticas1963107150[Herramientas_neumáticas], B525) &gt; 0, Herramientas_neumáticas1963107150[[#Headers],[Herramientas_neumáticas]],
    COUNTIF(Herramientas_de_medición2064108151[Herramientas_de_medición], B525) &gt; 0, Herramientas_de_medición2064108151[[#Headers],[Herramientas_de_medición]],
    COUNTIF(Herrramientas_mecánicas2165109152[Herramientas_mecánicas], B525) &gt; 0, Herrramientas_mecánicas2165109152[[#Headers],[Herramientas_mecánicas]],
    COUNTIF(AH525:AH531, B525) &gt; 0, Herramientas_hidráulicas2266110153[[#Headers],[Herramientas_hidráulicas]],
    COUNTIF(EPP_2367111154[SPCC], B525) &gt; 0, EPP_2367111154[[#Headers],[SPCC]],
   COUNTIF(Herramientas_de_izaje2468112155[Herramientas_de_izaje], B525) &gt; 0, Herramientas_de_izaje2468112155[[#Headers],[Herramientas_de_izaje]],
COUNTIF(Tabla162670114157[Equipos], B525) &gt; 0, Tabla162670114157[[#Headers],[Equipos]],
    TRUE, "Sin clasificación"
)</f>
        <v>Sin clasificación</v>
      </c>
      <c r="I525" s="15"/>
      <c r="J525" s="47"/>
      <c r="K525" s="76"/>
      <c r="L525" s="76"/>
      <c r="M525" s="78" t="str">
        <f>_xlfn.LET(
    _xlpm.itemBuscado, B525,
    _xlpm.areaBuscada, C525,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TEXT(COUNTIF($C$2:C525, _xlpm.areaBuscada), "0000"),
    _xlpm.codItem &amp; "-" &amp; _xlpm.codArea &amp; "-" &amp; _xlpm.secuencia
)</f>
        <v>-SinArea-0000</v>
      </c>
      <c r="N525" s="77"/>
      <c r="O525" s="32"/>
      <c r="P525" s="32"/>
      <c r="Q525" s="32"/>
      <c r="R525" s="32"/>
    </row>
    <row r="526" spans="3:18" x14ac:dyDescent="0.3">
      <c r="C526" s="11"/>
      <c r="D526" s="32"/>
      <c r="E526" s="11" t="str" cm="1">
        <f t="array" ref="E526">_xlfn.IFS(
    COUNTIF(Herramientas_eléctricas1862106149[Herramientas_eléctricas], B526) &gt; 0, Herramientas_eléctricas1862106149[[#Headers],[Herramientas_eléctricas]],
    COUNTIF(Herramientas_neumáticas1963107150[Herramientas_neumáticas], B526) &gt; 0, Herramientas_neumáticas1963107150[[#Headers],[Herramientas_neumáticas]],
    COUNTIF(Herramientas_de_medición2064108151[Herramientas_de_medición], B526) &gt; 0, Herramientas_de_medición2064108151[[#Headers],[Herramientas_de_medición]],
    COUNTIF(Herrramientas_mecánicas2165109152[Herramientas_mecánicas], B526) &gt; 0, Herrramientas_mecánicas2165109152[[#Headers],[Herramientas_mecánicas]],
    COUNTIF(AH526:AH532, B526) &gt; 0, Herramientas_hidráulicas2266110153[[#Headers],[Herramientas_hidráulicas]],
    COUNTIF(EPP_2367111154[SPCC], B526) &gt; 0, EPP_2367111154[[#Headers],[SPCC]],
   COUNTIF(Herramientas_de_izaje2468112155[Herramientas_de_izaje], B526) &gt; 0, Herramientas_de_izaje2468112155[[#Headers],[Herramientas_de_izaje]],
COUNTIF(Tabla162670114157[Equipos], B526) &gt; 0, Tabla162670114157[[#Headers],[Equipos]],
    TRUE, "Sin clasificación"
)</f>
        <v>Sin clasificación</v>
      </c>
      <c r="I526" s="15"/>
      <c r="J526" s="47"/>
      <c r="K526" s="76"/>
      <c r="L526" s="76"/>
      <c r="M526" s="78" t="str">
        <f>_xlfn.LET(
    _xlpm.itemBuscado, B526,
    _xlpm.areaBuscada, C526,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TEXT(COUNTIF($C$2:C526, _xlpm.areaBuscada), "0000"),
    _xlpm.codItem &amp; "-" &amp; _xlpm.codArea &amp; "-" &amp; _xlpm.secuencia
)</f>
        <v>-SinArea-0000</v>
      </c>
      <c r="N526" s="77"/>
      <c r="O526" s="32"/>
      <c r="P526" s="32"/>
      <c r="Q526" s="32"/>
      <c r="R526" s="32"/>
    </row>
    <row r="527" spans="3:18" x14ac:dyDescent="0.3">
      <c r="C527" s="11"/>
      <c r="D527" s="32"/>
      <c r="E527" s="11" t="str" cm="1">
        <f t="array" ref="E527">_xlfn.IFS(
    COUNTIF(Herramientas_eléctricas1862106149[Herramientas_eléctricas], B527) &gt; 0, Herramientas_eléctricas1862106149[[#Headers],[Herramientas_eléctricas]],
    COUNTIF(Herramientas_neumáticas1963107150[Herramientas_neumáticas], B527) &gt; 0, Herramientas_neumáticas1963107150[[#Headers],[Herramientas_neumáticas]],
    COUNTIF(Herramientas_de_medición2064108151[Herramientas_de_medición], B527) &gt; 0, Herramientas_de_medición2064108151[[#Headers],[Herramientas_de_medición]],
    COUNTIF(Herrramientas_mecánicas2165109152[Herramientas_mecánicas], B527) &gt; 0, Herrramientas_mecánicas2165109152[[#Headers],[Herramientas_mecánicas]],
    COUNTIF(AH527:AH533, B527) &gt; 0, Herramientas_hidráulicas2266110153[[#Headers],[Herramientas_hidráulicas]],
    COUNTIF(EPP_2367111154[SPCC], B527) &gt; 0, EPP_2367111154[[#Headers],[SPCC]],
   COUNTIF(Herramientas_de_izaje2468112155[Herramientas_de_izaje], B527) &gt; 0, Herramientas_de_izaje2468112155[[#Headers],[Herramientas_de_izaje]],
COUNTIF(Tabla162670114157[Equipos], B527) &gt; 0, Tabla162670114157[[#Headers],[Equipos]],
    TRUE, "Sin clasificación"
)</f>
        <v>Sin clasificación</v>
      </c>
      <c r="I527" s="15"/>
      <c r="J527" s="47"/>
      <c r="K527" s="76"/>
      <c r="L527" s="76"/>
      <c r="M527" s="78" t="str">
        <f>_xlfn.LET(
    _xlpm.itemBuscado, B527,
    _xlpm.areaBuscada, C527,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TEXT(COUNTIF($C$2:C527, _xlpm.areaBuscada), "0000"),
    _xlpm.codItem &amp; "-" &amp; _xlpm.codArea &amp; "-" &amp; _xlpm.secuencia
)</f>
        <v>-SinArea-0000</v>
      </c>
      <c r="N527" s="77"/>
      <c r="O527" s="32"/>
      <c r="P527" s="32"/>
      <c r="Q527" s="32"/>
      <c r="R527" s="32"/>
    </row>
    <row r="528" spans="3:18" x14ac:dyDescent="0.3">
      <c r="C528" s="11"/>
      <c r="D528" s="32"/>
      <c r="E528" s="11" t="str" cm="1">
        <f t="array" ref="E528">_xlfn.IFS(
    COUNTIF(Herramientas_eléctricas1862106149[Herramientas_eléctricas], B528) &gt; 0, Herramientas_eléctricas1862106149[[#Headers],[Herramientas_eléctricas]],
    COUNTIF(Herramientas_neumáticas1963107150[Herramientas_neumáticas], B528) &gt; 0, Herramientas_neumáticas1963107150[[#Headers],[Herramientas_neumáticas]],
    COUNTIF(Herramientas_de_medición2064108151[Herramientas_de_medición], B528) &gt; 0, Herramientas_de_medición2064108151[[#Headers],[Herramientas_de_medición]],
    COUNTIF(Herrramientas_mecánicas2165109152[Herramientas_mecánicas], B528) &gt; 0, Herrramientas_mecánicas2165109152[[#Headers],[Herramientas_mecánicas]],
    COUNTIF(AH528:AH534, B528) &gt; 0, Herramientas_hidráulicas2266110153[[#Headers],[Herramientas_hidráulicas]],
    COUNTIF(EPP_2367111154[SPCC], B528) &gt; 0, EPP_2367111154[[#Headers],[SPCC]],
   COUNTIF(Herramientas_de_izaje2468112155[Herramientas_de_izaje], B528) &gt; 0, Herramientas_de_izaje2468112155[[#Headers],[Herramientas_de_izaje]],
COUNTIF(Tabla162670114157[Equipos], B528) &gt; 0, Tabla162670114157[[#Headers],[Equipos]],
    TRUE, "Sin clasificación"
)</f>
        <v>Sin clasificación</v>
      </c>
      <c r="I528" s="15"/>
      <c r="J528" s="47"/>
      <c r="K528" s="76"/>
      <c r="L528" s="76"/>
      <c r="M528" s="78" t="str">
        <f>_xlfn.LET(
    _xlpm.itemBuscado, B528,
    _xlpm.areaBuscada, C528,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TEXT(COUNTIF($C$2:C528, _xlpm.areaBuscada), "0000"),
    _xlpm.codItem &amp; "-" &amp; _xlpm.codArea &amp; "-" &amp; _xlpm.secuencia
)</f>
        <v>-SinArea-0000</v>
      </c>
      <c r="N528" s="77"/>
      <c r="O528" s="32"/>
      <c r="P528" s="32"/>
      <c r="Q528" s="32"/>
      <c r="R528" s="32"/>
    </row>
    <row r="529" spans="3:18" x14ac:dyDescent="0.3">
      <c r="C529" s="11"/>
      <c r="D529" s="32"/>
      <c r="E529" s="11" t="str" cm="1">
        <f t="array" ref="E529">_xlfn.IFS(
    COUNTIF(Herramientas_eléctricas1862106149[Herramientas_eléctricas], B529) &gt; 0, Herramientas_eléctricas1862106149[[#Headers],[Herramientas_eléctricas]],
    COUNTIF(Herramientas_neumáticas1963107150[Herramientas_neumáticas], B529) &gt; 0, Herramientas_neumáticas1963107150[[#Headers],[Herramientas_neumáticas]],
    COUNTIF(Herramientas_de_medición2064108151[Herramientas_de_medición], B529) &gt; 0, Herramientas_de_medición2064108151[[#Headers],[Herramientas_de_medición]],
    COUNTIF(Herrramientas_mecánicas2165109152[Herramientas_mecánicas], B529) &gt; 0, Herrramientas_mecánicas2165109152[[#Headers],[Herramientas_mecánicas]],
    COUNTIF(AH529:AH535, B529) &gt; 0, Herramientas_hidráulicas2266110153[[#Headers],[Herramientas_hidráulicas]],
    COUNTIF(EPP_2367111154[SPCC], B529) &gt; 0, EPP_2367111154[[#Headers],[SPCC]],
   COUNTIF(Herramientas_de_izaje2468112155[Herramientas_de_izaje], B529) &gt; 0, Herramientas_de_izaje2468112155[[#Headers],[Herramientas_de_izaje]],
COUNTIF(Tabla162670114157[Equipos], B529) &gt; 0, Tabla162670114157[[#Headers],[Equipos]],
    TRUE, "Sin clasificación"
)</f>
        <v>Sin clasificación</v>
      </c>
      <c r="I529" s="15"/>
      <c r="J529" s="47"/>
      <c r="K529" s="76"/>
      <c r="L529" s="76"/>
      <c r="M529" s="78" t="str">
        <f>_xlfn.LET(
    _xlpm.itemBuscado, B529,
    _xlpm.areaBuscada, C529,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TEXT(COUNTIF($C$2:C529, _xlpm.areaBuscada), "0000"),
    _xlpm.codItem &amp; "-" &amp; _xlpm.codArea &amp; "-" &amp; _xlpm.secuencia
)</f>
        <v>-SinArea-0000</v>
      </c>
      <c r="N529" s="77"/>
      <c r="O529" s="32"/>
      <c r="P529" s="32"/>
      <c r="Q529" s="32"/>
      <c r="R529" s="32"/>
    </row>
    <row r="530" spans="3:18" x14ac:dyDescent="0.3">
      <c r="C530" s="11"/>
      <c r="D530" s="32"/>
      <c r="E530" s="11" t="str" cm="1">
        <f t="array" ref="E530">_xlfn.IFS(
    COUNTIF(Herramientas_eléctricas1862106149[Herramientas_eléctricas], B530) &gt; 0, Herramientas_eléctricas1862106149[[#Headers],[Herramientas_eléctricas]],
    COUNTIF(Herramientas_neumáticas1963107150[Herramientas_neumáticas], B530) &gt; 0, Herramientas_neumáticas1963107150[[#Headers],[Herramientas_neumáticas]],
    COUNTIF(Herramientas_de_medición2064108151[Herramientas_de_medición], B530) &gt; 0, Herramientas_de_medición2064108151[[#Headers],[Herramientas_de_medición]],
    COUNTIF(Herrramientas_mecánicas2165109152[Herramientas_mecánicas], B530) &gt; 0, Herrramientas_mecánicas2165109152[[#Headers],[Herramientas_mecánicas]],
    COUNTIF(AH530:AH536, B530) &gt; 0, Herramientas_hidráulicas2266110153[[#Headers],[Herramientas_hidráulicas]],
    COUNTIF(EPP_2367111154[SPCC], B530) &gt; 0, EPP_2367111154[[#Headers],[SPCC]],
   COUNTIF(Herramientas_de_izaje2468112155[Herramientas_de_izaje], B530) &gt; 0, Herramientas_de_izaje2468112155[[#Headers],[Herramientas_de_izaje]],
COUNTIF(Tabla162670114157[Equipos], B530) &gt; 0, Tabla162670114157[[#Headers],[Equipos]],
    TRUE, "Sin clasificación"
)</f>
        <v>Sin clasificación</v>
      </c>
      <c r="I530" s="15"/>
      <c r="J530" s="47"/>
      <c r="K530" s="76"/>
      <c r="L530" s="76"/>
      <c r="M530" s="78" t="str">
        <f>_xlfn.LET(
    _xlpm.itemBuscado, B530,
    _xlpm.areaBuscada, C530,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TEXT(COUNTIF($C$2:C530, _xlpm.areaBuscada), "0000"),
    _xlpm.codItem &amp; "-" &amp; _xlpm.codArea &amp; "-" &amp; _xlpm.secuencia
)</f>
        <v>-SinArea-0000</v>
      </c>
      <c r="N530" s="77"/>
      <c r="O530" s="32"/>
      <c r="P530" s="32"/>
      <c r="Q530" s="32"/>
      <c r="R530" s="32"/>
    </row>
    <row r="531" spans="3:18" x14ac:dyDescent="0.3">
      <c r="C531" s="11"/>
      <c r="D531" s="32"/>
      <c r="E531" s="11" t="str" cm="1">
        <f t="array" ref="E531">_xlfn.IFS(
    COUNTIF(Herramientas_eléctricas1862106149[Herramientas_eléctricas], B531) &gt; 0, Herramientas_eléctricas1862106149[[#Headers],[Herramientas_eléctricas]],
    COUNTIF(Herramientas_neumáticas1963107150[Herramientas_neumáticas], B531) &gt; 0, Herramientas_neumáticas1963107150[[#Headers],[Herramientas_neumáticas]],
    COUNTIF(Herramientas_de_medición2064108151[Herramientas_de_medición], B531) &gt; 0, Herramientas_de_medición2064108151[[#Headers],[Herramientas_de_medición]],
    COUNTIF(Herrramientas_mecánicas2165109152[Herramientas_mecánicas], B531) &gt; 0, Herrramientas_mecánicas2165109152[[#Headers],[Herramientas_mecánicas]],
    COUNTIF(AH531:AH537, B531) &gt; 0, Herramientas_hidráulicas2266110153[[#Headers],[Herramientas_hidráulicas]],
    COUNTIF(EPP_2367111154[SPCC], B531) &gt; 0, EPP_2367111154[[#Headers],[SPCC]],
   COUNTIF(Herramientas_de_izaje2468112155[Herramientas_de_izaje], B531) &gt; 0, Herramientas_de_izaje2468112155[[#Headers],[Herramientas_de_izaje]],
COUNTIF(Tabla162670114157[Equipos], B531) &gt; 0, Tabla162670114157[[#Headers],[Equipos]],
    TRUE, "Sin clasificación"
)</f>
        <v>Sin clasificación</v>
      </c>
      <c r="I531" s="15"/>
      <c r="J531" s="47"/>
      <c r="K531" s="76"/>
      <c r="L531" s="76"/>
      <c r="M531" s="78" t="str">
        <f>_xlfn.LET(
    _xlpm.itemBuscado, B531,
    _xlpm.areaBuscada, C531,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TEXT(COUNTIF($C$2:C531, _xlpm.areaBuscada), "0000"),
    _xlpm.codItem &amp; "-" &amp; _xlpm.codArea &amp; "-" &amp; _xlpm.secuencia
)</f>
        <v>-SinArea-0000</v>
      </c>
      <c r="N531" s="77"/>
      <c r="O531" s="32"/>
      <c r="P531" s="32"/>
      <c r="Q531" s="32"/>
      <c r="R531" s="32"/>
    </row>
    <row r="532" spans="3:18" x14ac:dyDescent="0.3">
      <c r="C532" s="11"/>
      <c r="D532" s="32"/>
      <c r="E532" s="11" t="str" cm="1">
        <f t="array" ref="E532">_xlfn.IFS(
    COUNTIF(Herramientas_eléctricas1862106149[Herramientas_eléctricas], B532) &gt; 0, Herramientas_eléctricas1862106149[[#Headers],[Herramientas_eléctricas]],
    COUNTIF(Herramientas_neumáticas1963107150[Herramientas_neumáticas], B532) &gt; 0, Herramientas_neumáticas1963107150[[#Headers],[Herramientas_neumáticas]],
    COUNTIF(Herramientas_de_medición2064108151[Herramientas_de_medición], B532) &gt; 0, Herramientas_de_medición2064108151[[#Headers],[Herramientas_de_medición]],
    COUNTIF(Herrramientas_mecánicas2165109152[Herramientas_mecánicas], B532) &gt; 0, Herrramientas_mecánicas2165109152[[#Headers],[Herramientas_mecánicas]],
    COUNTIF(AH532:AH538, B532) &gt; 0, Herramientas_hidráulicas2266110153[[#Headers],[Herramientas_hidráulicas]],
    COUNTIF(EPP_2367111154[SPCC], B532) &gt; 0, EPP_2367111154[[#Headers],[SPCC]],
   COUNTIF(Herramientas_de_izaje2468112155[Herramientas_de_izaje], B532) &gt; 0, Herramientas_de_izaje2468112155[[#Headers],[Herramientas_de_izaje]],
COUNTIF(Tabla162670114157[Equipos], B532) &gt; 0, Tabla162670114157[[#Headers],[Equipos]],
    TRUE, "Sin clasificación"
)</f>
        <v>Sin clasificación</v>
      </c>
      <c r="I532" s="15"/>
      <c r="J532" s="47"/>
      <c r="K532" s="76"/>
      <c r="L532" s="76"/>
      <c r="M532" s="78" t="str">
        <f>_xlfn.LET(
    _xlpm.itemBuscado, B532,
    _xlpm.areaBuscada, C532,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TEXT(COUNTIF($C$2:C532, _xlpm.areaBuscada), "0000"),
    _xlpm.codItem &amp; "-" &amp; _xlpm.codArea &amp; "-" &amp; _xlpm.secuencia
)</f>
        <v>-SinArea-0000</v>
      </c>
      <c r="N532" s="77"/>
      <c r="O532" s="32"/>
      <c r="P532" s="32"/>
      <c r="Q532" s="32"/>
      <c r="R532" s="32"/>
    </row>
    <row r="533" spans="3:18" x14ac:dyDescent="0.3">
      <c r="C533" s="11"/>
      <c r="D533" s="32"/>
      <c r="E533" s="11" t="str" cm="1">
        <f t="array" ref="E533">_xlfn.IFS(
    COUNTIF(Herramientas_eléctricas1862106149[Herramientas_eléctricas], B533) &gt; 0, Herramientas_eléctricas1862106149[[#Headers],[Herramientas_eléctricas]],
    COUNTIF(Herramientas_neumáticas1963107150[Herramientas_neumáticas], B533) &gt; 0, Herramientas_neumáticas1963107150[[#Headers],[Herramientas_neumáticas]],
    COUNTIF(Herramientas_de_medición2064108151[Herramientas_de_medición], B533) &gt; 0, Herramientas_de_medición2064108151[[#Headers],[Herramientas_de_medición]],
    COUNTIF(Herrramientas_mecánicas2165109152[Herramientas_mecánicas], B533) &gt; 0, Herrramientas_mecánicas2165109152[[#Headers],[Herramientas_mecánicas]],
    COUNTIF(AH533:AH539, B533) &gt; 0, Herramientas_hidráulicas2266110153[[#Headers],[Herramientas_hidráulicas]],
    COUNTIF(EPP_2367111154[SPCC], B533) &gt; 0, EPP_2367111154[[#Headers],[SPCC]],
   COUNTIF(Herramientas_de_izaje2468112155[Herramientas_de_izaje], B533) &gt; 0, Herramientas_de_izaje2468112155[[#Headers],[Herramientas_de_izaje]],
COUNTIF(Tabla162670114157[Equipos], B533) &gt; 0, Tabla162670114157[[#Headers],[Equipos]],
    TRUE, "Sin clasificación"
)</f>
        <v>Sin clasificación</v>
      </c>
      <c r="I533" s="15"/>
      <c r="J533" s="47"/>
      <c r="K533" s="76"/>
      <c r="L533" s="76"/>
      <c r="M533" s="78" t="str">
        <f>_xlfn.LET(
    _xlpm.itemBuscado, B533,
    _xlpm.areaBuscada, C533,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TEXT(COUNTIF($C$2:C533, _xlpm.areaBuscada), "0000"),
    _xlpm.codItem &amp; "-" &amp; _xlpm.codArea &amp; "-" &amp; _xlpm.secuencia
)</f>
        <v>-SinArea-0000</v>
      </c>
      <c r="N533" s="77"/>
      <c r="O533" s="32"/>
      <c r="P533" s="32"/>
      <c r="Q533" s="32"/>
      <c r="R533" s="32"/>
    </row>
    <row r="534" spans="3:18" x14ac:dyDescent="0.3">
      <c r="C534" s="11"/>
      <c r="D534" s="32"/>
      <c r="E534" s="11" t="str" cm="1">
        <f t="array" ref="E534">_xlfn.IFS(
    COUNTIF(Herramientas_eléctricas1862106149[Herramientas_eléctricas], B534) &gt; 0, Herramientas_eléctricas1862106149[[#Headers],[Herramientas_eléctricas]],
    COUNTIF(Herramientas_neumáticas1963107150[Herramientas_neumáticas], B534) &gt; 0, Herramientas_neumáticas1963107150[[#Headers],[Herramientas_neumáticas]],
    COUNTIF(Herramientas_de_medición2064108151[Herramientas_de_medición], B534) &gt; 0, Herramientas_de_medición2064108151[[#Headers],[Herramientas_de_medición]],
    COUNTIF(Herrramientas_mecánicas2165109152[Herramientas_mecánicas], B534) &gt; 0, Herrramientas_mecánicas2165109152[[#Headers],[Herramientas_mecánicas]],
    COUNTIF(AH534:AH540, B534) &gt; 0, Herramientas_hidráulicas2266110153[[#Headers],[Herramientas_hidráulicas]],
    COUNTIF(EPP_2367111154[SPCC], B534) &gt; 0, EPP_2367111154[[#Headers],[SPCC]],
   COUNTIF(Herramientas_de_izaje2468112155[Herramientas_de_izaje], B534) &gt; 0, Herramientas_de_izaje2468112155[[#Headers],[Herramientas_de_izaje]],
COUNTIF(Tabla162670114157[Equipos], B534) &gt; 0, Tabla162670114157[[#Headers],[Equipos]],
    TRUE, "Sin clasificación"
)</f>
        <v>Sin clasificación</v>
      </c>
      <c r="I534" s="15"/>
      <c r="J534" s="78"/>
      <c r="K534" s="76"/>
      <c r="L534" s="76"/>
      <c r="M534" s="78" t="str">
        <f>_xlfn.LET(
    _xlpm.itemBuscado, B534,
    _xlpm.areaBuscada, C534,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TEXT(COUNTIF($C$2:C534, _xlpm.areaBuscada), "0000"),
    _xlpm.codItem &amp; "-" &amp; _xlpm.codArea &amp; "-" &amp; _xlpm.secuencia
)</f>
        <v>-SinArea-0000</v>
      </c>
      <c r="N534" s="77"/>
      <c r="O534" s="32"/>
      <c r="P534" s="32"/>
      <c r="Q534" s="32"/>
      <c r="R534" s="32"/>
    </row>
    <row r="535" spans="3:18" x14ac:dyDescent="0.3">
      <c r="C535" s="11"/>
      <c r="D535" s="32"/>
      <c r="E535" s="11" t="str" cm="1">
        <f t="array" ref="E535">_xlfn.IFS(
    COUNTIF(Herramientas_eléctricas1862106149[Herramientas_eléctricas], B535) &gt; 0, Herramientas_eléctricas1862106149[[#Headers],[Herramientas_eléctricas]],
    COUNTIF(Herramientas_neumáticas1963107150[Herramientas_neumáticas], B535) &gt; 0, Herramientas_neumáticas1963107150[[#Headers],[Herramientas_neumáticas]],
    COUNTIF(Herramientas_de_medición2064108151[Herramientas_de_medición], B535) &gt; 0, Herramientas_de_medición2064108151[[#Headers],[Herramientas_de_medición]],
    COUNTIF(Herrramientas_mecánicas2165109152[Herramientas_mecánicas], B535) &gt; 0, Herrramientas_mecánicas2165109152[[#Headers],[Herramientas_mecánicas]],
    COUNTIF(AH535:AH541, B535) &gt; 0, Herramientas_hidráulicas2266110153[[#Headers],[Herramientas_hidráulicas]],
    COUNTIF(EPP_2367111154[SPCC], B535) &gt; 0, EPP_2367111154[[#Headers],[SPCC]],
   COUNTIF(Herramientas_de_izaje2468112155[Herramientas_de_izaje], B535) &gt; 0, Herramientas_de_izaje2468112155[[#Headers],[Herramientas_de_izaje]],
COUNTIF(Tabla162670114157[Equipos], B535) &gt; 0, Tabla162670114157[[#Headers],[Equipos]],
    TRUE, "Sin clasificación"
)</f>
        <v>Sin clasificación</v>
      </c>
      <c r="I535" s="15"/>
      <c r="J535" s="47"/>
      <c r="K535" s="76"/>
      <c r="L535" s="76"/>
      <c r="M535" s="78" t="str">
        <f>_xlfn.LET(
    _xlpm.itemBuscado, B535,
    _xlpm.areaBuscada, C535,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TEXT(COUNTIF($C$2:C535, _xlpm.areaBuscada), "0000"),
    _xlpm.codItem &amp; "-" &amp; _xlpm.codArea &amp; "-" &amp; _xlpm.secuencia
)</f>
        <v>-SinArea-0000</v>
      </c>
      <c r="N535" s="77"/>
      <c r="O535" s="32"/>
      <c r="P535" s="32"/>
      <c r="Q535" s="32"/>
      <c r="R535" s="32"/>
    </row>
    <row r="536" spans="3:18" x14ac:dyDescent="0.3">
      <c r="C536" s="11"/>
      <c r="D536" s="32"/>
      <c r="E536" s="11" t="str" cm="1">
        <f t="array" ref="E536">_xlfn.IFS(
    COUNTIF(Herramientas_eléctricas1862106149[Herramientas_eléctricas], B536) &gt; 0, Herramientas_eléctricas1862106149[[#Headers],[Herramientas_eléctricas]],
    COUNTIF(Herramientas_neumáticas1963107150[Herramientas_neumáticas], B536) &gt; 0, Herramientas_neumáticas1963107150[[#Headers],[Herramientas_neumáticas]],
    COUNTIF(Herramientas_de_medición2064108151[Herramientas_de_medición], B536) &gt; 0, Herramientas_de_medición2064108151[[#Headers],[Herramientas_de_medición]],
    COUNTIF(Herrramientas_mecánicas2165109152[Herramientas_mecánicas], B536) &gt; 0, Herrramientas_mecánicas2165109152[[#Headers],[Herramientas_mecánicas]],
    COUNTIF(AH536:AH542, B536) &gt; 0, Herramientas_hidráulicas2266110153[[#Headers],[Herramientas_hidráulicas]],
    COUNTIF(EPP_2367111154[SPCC], B536) &gt; 0, EPP_2367111154[[#Headers],[SPCC]],
   COUNTIF(Herramientas_de_izaje2468112155[Herramientas_de_izaje], B536) &gt; 0, Herramientas_de_izaje2468112155[[#Headers],[Herramientas_de_izaje]],
COUNTIF(Tabla162670114157[Equipos], B536) &gt; 0, Tabla162670114157[[#Headers],[Equipos]],
    TRUE, "Sin clasificación"
)</f>
        <v>Sin clasificación</v>
      </c>
      <c r="I536" s="15"/>
      <c r="J536" s="47"/>
      <c r="K536" s="76"/>
      <c r="L536" s="76"/>
      <c r="M536" s="78" t="str">
        <f>_xlfn.LET(
    _xlpm.itemBuscado, B536,
    _xlpm.areaBuscada, C536,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TEXT(COUNTIF($C$2:C536, _xlpm.areaBuscada), "0000"),
    _xlpm.codItem &amp; "-" &amp; _xlpm.codArea &amp; "-" &amp; _xlpm.secuencia
)</f>
        <v>-SinArea-0000</v>
      </c>
      <c r="N536" s="77"/>
      <c r="O536" s="32"/>
      <c r="P536" s="32"/>
      <c r="Q536" s="32"/>
      <c r="R536" s="32"/>
    </row>
    <row r="537" spans="3:18" x14ac:dyDescent="0.3">
      <c r="C537" s="11"/>
      <c r="D537" s="32"/>
      <c r="E537" s="11" t="str" cm="1">
        <f t="array" ref="E537">_xlfn.IFS(
    COUNTIF(Herramientas_eléctricas1862106149[Herramientas_eléctricas], B537) &gt; 0, Herramientas_eléctricas1862106149[[#Headers],[Herramientas_eléctricas]],
    COUNTIF(Herramientas_neumáticas1963107150[Herramientas_neumáticas], B537) &gt; 0, Herramientas_neumáticas1963107150[[#Headers],[Herramientas_neumáticas]],
    COUNTIF(Herramientas_de_medición2064108151[Herramientas_de_medición], B537) &gt; 0, Herramientas_de_medición2064108151[[#Headers],[Herramientas_de_medición]],
    COUNTIF(Herrramientas_mecánicas2165109152[Herramientas_mecánicas], B537) &gt; 0, Herrramientas_mecánicas2165109152[[#Headers],[Herramientas_mecánicas]],
    COUNTIF(AH537:AH543, B537) &gt; 0, Herramientas_hidráulicas2266110153[[#Headers],[Herramientas_hidráulicas]],
    COUNTIF(EPP_2367111154[SPCC], B537) &gt; 0, EPP_2367111154[[#Headers],[SPCC]],
   COUNTIF(Herramientas_de_izaje2468112155[Herramientas_de_izaje], B537) &gt; 0, Herramientas_de_izaje2468112155[[#Headers],[Herramientas_de_izaje]],
COUNTIF(Tabla162670114157[Equipos], B537) &gt; 0, Tabla162670114157[[#Headers],[Equipos]],
    TRUE, "Sin clasificación"
)</f>
        <v>Sin clasificación</v>
      </c>
      <c r="I537" s="15"/>
      <c r="J537" s="47"/>
      <c r="K537" s="76"/>
      <c r="L537" s="76"/>
      <c r="M537" s="78" t="str">
        <f>_xlfn.LET(
    _xlpm.itemBuscado, B537,
    _xlpm.areaBuscada, C537,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TEXT(COUNTIF($C$2:C537, _xlpm.areaBuscada), "0000"),
    _xlpm.codItem &amp; "-" &amp; _xlpm.codArea &amp; "-" &amp; _xlpm.secuencia
)</f>
        <v>-SinArea-0000</v>
      </c>
      <c r="N537" s="77"/>
      <c r="O537" s="32"/>
      <c r="P537" s="32"/>
      <c r="Q537" s="32"/>
      <c r="R537" s="32"/>
    </row>
    <row r="538" spans="3:18" x14ac:dyDescent="0.3">
      <c r="C538" s="11"/>
      <c r="D538" s="32"/>
      <c r="E538" s="11" t="str" cm="1">
        <f t="array" ref="E538">_xlfn.IFS(
    COUNTIF(Herramientas_eléctricas1862106149[Herramientas_eléctricas], B538) &gt; 0, Herramientas_eléctricas1862106149[[#Headers],[Herramientas_eléctricas]],
    COUNTIF(Herramientas_neumáticas1963107150[Herramientas_neumáticas], B538) &gt; 0, Herramientas_neumáticas1963107150[[#Headers],[Herramientas_neumáticas]],
    COUNTIF(Herramientas_de_medición2064108151[Herramientas_de_medición], B538) &gt; 0, Herramientas_de_medición2064108151[[#Headers],[Herramientas_de_medición]],
    COUNTIF(Herrramientas_mecánicas2165109152[Herramientas_mecánicas], B538) &gt; 0, Herrramientas_mecánicas2165109152[[#Headers],[Herramientas_mecánicas]],
    COUNTIF(AH538:AH544, B538) &gt; 0, Herramientas_hidráulicas2266110153[[#Headers],[Herramientas_hidráulicas]],
    COUNTIF(EPP_2367111154[SPCC], B538) &gt; 0, EPP_2367111154[[#Headers],[SPCC]],
   COUNTIF(Herramientas_de_izaje2468112155[Herramientas_de_izaje], B538) &gt; 0, Herramientas_de_izaje2468112155[[#Headers],[Herramientas_de_izaje]],
COUNTIF(Tabla162670114157[Equipos], B538) &gt; 0, Tabla162670114157[[#Headers],[Equipos]],
    TRUE, "Sin clasificación"
)</f>
        <v>Sin clasificación</v>
      </c>
      <c r="I538" s="15"/>
      <c r="J538" s="47"/>
      <c r="K538" s="76"/>
      <c r="L538" s="76"/>
      <c r="M538" s="78" t="str">
        <f>_xlfn.LET(
    _xlpm.itemBuscado, B538,
    _xlpm.areaBuscada, C538,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TEXT(COUNTIF($C$2:C538, _xlpm.areaBuscada), "0000"),
    _xlpm.codItem &amp; "-" &amp; _xlpm.codArea &amp; "-" &amp; _xlpm.secuencia
)</f>
        <v>-SinArea-0000</v>
      </c>
      <c r="N538" s="77"/>
      <c r="O538" s="32"/>
      <c r="P538" s="32"/>
      <c r="Q538" s="32"/>
      <c r="R538" s="32"/>
    </row>
    <row r="539" spans="3:18" x14ac:dyDescent="0.3">
      <c r="C539" s="11"/>
      <c r="D539" s="32"/>
      <c r="E539" s="11" t="str" cm="1">
        <f t="array" ref="E539">_xlfn.IFS(
    COUNTIF(Herramientas_eléctricas1862106149[Herramientas_eléctricas], B539) &gt; 0, Herramientas_eléctricas1862106149[[#Headers],[Herramientas_eléctricas]],
    COUNTIF(Herramientas_neumáticas1963107150[Herramientas_neumáticas], B539) &gt; 0, Herramientas_neumáticas1963107150[[#Headers],[Herramientas_neumáticas]],
    COUNTIF(Herramientas_de_medición2064108151[Herramientas_de_medición], B539) &gt; 0, Herramientas_de_medición2064108151[[#Headers],[Herramientas_de_medición]],
    COUNTIF(Herrramientas_mecánicas2165109152[Herramientas_mecánicas], B539) &gt; 0, Herrramientas_mecánicas2165109152[[#Headers],[Herramientas_mecánicas]],
    COUNTIF(AH539:AH545, B539) &gt; 0, Herramientas_hidráulicas2266110153[[#Headers],[Herramientas_hidráulicas]],
    COUNTIF(EPP_2367111154[SPCC], B539) &gt; 0, EPP_2367111154[[#Headers],[SPCC]],
   COUNTIF(Herramientas_de_izaje2468112155[Herramientas_de_izaje], B539) &gt; 0, Herramientas_de_izaje2468112155[[#Headers],[Herramientas_de_izaje]],
COUNTIF(Tabla162670114157[Equipos], B539) &gt; 0, Tabla162670114157[[#Headers],[Equipos]],
    TRUE, "Sin clasificación"
)</f>
        <v>Sin clasificación</v>
      </c>
      <c r="I539" s="15"/>
      <c r="J539" s="47"/>
      <c r="K539" s="76"/>
      <c r="L539" s="76"/>
      <c r="M539" s="78" t="str">
        <f>_xlfn.LET(
    _xlpm.itemBuscado, B539,
    _xlpm.areaBuscada, C539,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TEXT(COUNTIF($C$2:C539, _xlpm.areaBuscada), "0000"),
    _xlpm.codItem &amp; "-" &amp; _xlpm.codArea &amp; "-" &amp; _xlpm.secuencia
)</f>
        <v>-SinArea-0000</v>
      </c>
      <c r="N539" s="77"/>
      <c r="O539" s="32"/>
      <c r="P539" s="32"/>
      <c r="Q539" s="32"/>
      <c r="R539" s="32"/>
    </row>
    <row r="540" spans="3:18" x14ac:dyDescent="0.3">
      <c r="C540" s="11"/>
      <c r="D540" s="32"/>
      <c r="E540" s="11" t="str" cm="1">
        <f t="array" ref="E540">_xlfn.IFS(
    COUNTIF(Herramientas_eléctricas1862106149[Herramientas_eléctricas], B540) &gt; 0, Herramientas_eléctricas1862106149[[#Headers],[Herramientas_eléctricas]],
    COUNTIF(Herramientas_neumáticas1963107150[Herramientas_neumáticas], B540) &gt; 0, Herramientas_neumáticas1963107150[[#Headers],[Herramientas_neumáticas]],
    COUNTIF(Herramientas_de_medición2064108151[Herramientas_de_medición], B540) &gt; 0, Herramientas_de_medición2064108151[[#Headers],[Herramientas_de_medición]],
    COUNTIF(Herrramientas_mecánicas2165109152[Herramientas_mecánicas], B540) &gt; 0, Herrramientas_mecánicas2165109152[[#Headers],[Herramientas_mecánicas]],
    COUNTIF(AH540:AH546, B540) &gt; 0, Herramientas_hidráulicas2266110153[[#Headers],[Herramientas_hidráulicas]],
    COUNTIF(EPP_2367111154[SPCC], B540) &gt; 0, EPP_2367111154[[#Headers],[SPCC]],
   COUNTIF(Herramientas_de_izaje2468112155[Herramientas_de_izaje], B540) &gt; 0, Herramientas_de_izaje2468112155[[#Headers],[Herramientas_de_izaje]],
COUNTIF(Tabla162670114157[Equipos], B540) &gt; 0, Tabla162670114157[[#Headers],[Equipos]],
    TRUE, "Sin clasificación"
)</f>
        <v>Sin clasificación</v>
      </c>
      <c r="I540" s="15"/>
      <c r="J540" s="47"/>
      <c r="K540" s="76"/>
      <c r="L540" s="76"/>
      <c r="M540" s="78" t="str">
        <f>_xlfn.LET(
    _xlpm.itemBuscado, B540,
    _xlpm.areaBuscada, C540,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TEXT(COUNTIF($C$2:C540, _xlpm.areaBuscada), "0000"),
    _xlpm.codItem &amp; "-" &amp; _xlpm.codArea &amp; "-" &amp; _xlpm.secuencia
)</f>
        <v>-SinArea-0000</v>
      </c>
      <c r="N540" s="77"/>
      <c r="O540" s="32"/>
      <c r="P540" s="32"/>
      <c r="Q540" s="32"/>
      <c r="R540" s="32"/>
    </row>
    <row r="541" spans="3:18" x14ac:dyDescent="0.3">
      <c r="C541" s="11"/>
      <c r="D541" s="32"/>
      <c r="E541" s="11" t="str" cm="1">
        <f t="array" ref="E541">_xlfn.IFS(
    COUNTIF(Herramientas_eléctricas1862106149[Herramientas_eléctricas], B541) &gt; 0, Herramientas_eléctricas1862106149[[#Headers],[Herramientas_eléctricas]],
    COUNTIF(Herramientas_neumáticas1963107150[Herramientas_neumáticas], B541) &gt; 0, Herramientas_neumáticas1963107150[[#Headers],[Herramientas_neumáticas]],
    COUNTIF(Herramientas_de_medición2064108151[Herramientas_de_medición], B541) &gt; 0, Herramientas_de_medición2064108151[[#Headers],[Herramientas_de_medición]],
    COUNTIF(Herrramientas_mecánicas2165109152[Herramientas_mecánicas], B541) &gt; 0, Herrramientas_mecánicas2165109152[[#Headers],[Herramientas_mecánicas]],
    COUNTIF(AH541:AH547, B541) &gt; 0, Herramientas_hidráulicas2266110153[[#Headers],[Herramientas_hidráulicas]],
    COUNTIF(EPP_2367111154[SPCC], B541) &gt; 0, EPP_2367111154[[#Headers],[SPCC]],
   COUNTIF(Herramientas_de_izaje2468112155[Herramientas_de_izaje], B541) &gt; 0, Herramientas_de_izaje2468112155[[#Headers],[Herramientas_de_izaje]],
COUNTIF(Tabla162670114157[Equipos], B541) &gt; 0, Tabla162670114157[[#Headers],[Equipos]],
    TRUE, "Sin clasificación"
)</f>
        <v>Sin clasificación</v>
      </c>
      <c r="I541" s="15"/>
      <c r="J541" s="47"/>
      <c r="K541" s="76"/>
      <c r="L541" s="76"/>
      <c r="M541" s="78" t="str">
        <f>_xlfn.LET(
    _xlpm.itemBuscado, B541,
    _xlpm.areaBuscada, C541,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TEXT(COUNTIF($C$2:C541, _xlpm.areaBuscada), "0000"),
    _xlpm.codItem &amp; "-" &amp; _xlpm.codArea &amp; "-" &amp; _xlpm.secuencia
)</f>
        <v>-SinArea-0000</v>
      </c>
      <c r="N541" s="77"/>
      <c r="O541" s="32"/>
      <c r="P541" s="32"/>
      <c r="Q541" s="32"/>
      <c r="R541" s="32"/>
    </row>
    <row r="542" spans="3:18" x14ac:dyDescent="0.3">
      <c r="C542" s="11"/>
      <c r="D542" s="32"/>
      <c r="E542" s="11" t="str" cm="1">
        <f t="array" ref="E542">_xlfn.IFS(
    COUNTIF(Herramientas_eléctricas1862106149[Herramientas_eléctricas], B542) &gt; 0, Herramientas_eléctricas1862106149[[#Headers],[Herramientas_eléctricas]],
    COUNTIF(Herramientas_neumáticas1963107150[Herramientas_neumáticas], B542) &gt; 0, Herramientas_neumáticas1963107150[[#Headers],[Herramientas_neumáticas]],
    COUNTIF(Herramientas_de_medición2064108151[Herramientas_de_medición], B542) &gt; 0, Herramientas_de_medición2064108151[[#Headers],[Herramientas_de_medición]],
    COUNTIF(Herrramientas_mecánicas2165109152[Herramientas_mecánicas], B542) &gt; 0, Herrramientas_mecánicas2165109152[[#Headers],[Herramientas_mecánicas]],
    COUNTIF(AH542:AH548, B542) &gt; 0, Herramientas_hidráulicas2266110153[[#Headers],[Herramientas_hidráulicas]],
    COUNTIF(EPP_2367111154[SPCC], B542) &gt; 0, EPP_2367111154[[#Headers],[SPCC]],
   COUNTIF(Herramientas_de_izaje2468112155[Herramientas_de_izaje], B542) &gt; 0, Herramientas_de_izaje2468112155[[#Headers],[Herramientas_de_izaje]],
COUNTIF(Tabla162670114157[Equipos], B542) &gt; 0, Tabla162670114157[[#Headers],[Equipos]],
    TRUE, "Sin clasificación"
)</f>
        <v>Sin clasificación</v>
      </c>
      <c r="I542" s="15"/>
      <c r="J542" s="47"/>
      <c r="K542" s="76"/>
      <c r="L542" s="76"/>
      <c r="M542" s="78" t="str">
        <f>_xlfn.LET(
    _xlpm.itemBuscado, B542,
    _xlpm.areaBuscada, C542,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TEXT(COUNTIF($C$2:C542, _xlpm.areaBuscada), "0000"),
    _xlpm.codItem &amp; "-" &amp; _xlpm.codArea &amp; "-" &amp; _xlpm.secuencia
)</f>
        <v>-SinArea-0000</v>
      </c>
      <c r="N542" s="77"/>
      <c r="O542" s="32"/>
      <c r="P542" s="32"/>
      <c r="Q542" s="32"/>
      <c r="R542" s="32"/>
    </row>
    <row r="543" spans="3:18" x14ac:dyDescent="0.3">
      <c r="C543" s="11"/>
      <c r="D543" s="32"/>
      <c r="E543" s="11" t="str" cm="1">
        <f t="array" ref="E543">_xlfn.IFS(
    COUNTIF(Herramientas_eléctricas1862106149[Herramientas_eléctricas], B543) &gt; 0, Herramientas_eléctricas1862106149[[#Headers],[Herramientas_eléctricas]],
    COUNTIF(Herramientas_neumáticas1963107150[Herramientas_neumáticas], B543) &gt; 0, Herramientas_neumáticas1963107150[[#Headers],[Herramientas_neumáticas]],
    COUNTIF(Herramientas_de_medición2064108151[Herramientas_de_medición], B543) &gt; 0, Herramientas_de_medición2064108151[[#Headers],[Herramientas_de_medición]],
    COUNTIF(Herrramientas_mecánicas2165109152[Herramientas_mecánicas], B543) &gt; 0, Herrramientas_mecánicas2165109152[[#Headers],[Herramientas_mecánicas]],
    COUNTIF(AH543:AH549, B543) &gt; 0, Herramientas_hidráulicas2266110153[[#Headers],[Herramientas_hidráulicas]],
    COUNTIF(EPP_2367111154[SPCC], B543) &gt; 0, EPP_2367111154[[#Headers],[SPCC]],
   COUNTIF(Herramientas_de_izaje2468112155[Herramientas_de_izaje], B543) &gt; 0, Herramientas_de_izaje2468112155[[#Headers],[Herramientas_de_izaje]],
COUNTIF(Tabla162670114157[Equipos], B543) &gt; 0, Tabla162670114157[[#Headers],[Equipos]],
    TRUE, "Sin clasificación"
)</f>
        <v>Sin clasificación</v>
      </c>
      <c r="I543" s="15"/>
      <c r="J543" s="47"/>
      <c r="K543" s="76"/>
      <c r="L543" s="76"/>
      <c r="M543" s="78" t="str">
        <f>_xlfn.LET(
    _xlpm.itemBuscado, B543,
    _xlpm.areaBuscada, C543,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TEXT(COUNTIF($C$2:C543, _xlpm.areaBuscada), "0000"),
    _xlpm.codItem &amp; "-" &amp; _xlpm.codArea &amp; "-" &amp; _xlpm.secuencia
)</f>
        <v>-SinArea-0000</v>
      </c>
      <c r="N543" s="77"/>
      <c r="O543" s="32"/>
      <c r="P543" s="32"/>
      <c r="Q543" s="32"/>
      <c r="R543" s="32"/>
    </row>
    <row r="544" spans="3:18" x14ac:dyDescent="0.3">
      <c r="C544" s="11"/>
      <c r="D544" s="32"/>
      <c r="E544" s="11" t="str" cm="1">
        <f t="array" ref="E544">_xlfn.IFS(
    COUNTIF(Herramientas_eléctricas1862106149[Herramientas_eléctricas], B544) &gt; 0, Herramientas_eléctricas1862106149[[#Headers],[Herramientas_eléctricas]],
    COUNTIF(Herramientas_neumáticas1963107150[Herramientas_neumáticas], B544) &gt; 0, Herramientas_neumáticas1963107150[[#Headers],[Herramientas_neumáticas]],
    COUNTIF(Herramientas_de_medición2064108151[Herramientas_de_medición], B544) &gt; 0, Herramientas_de_medición2064108151[[#Headers],[Herramientas_de_medición]],
    COUNTIF(Herrramientas_mecánicas2165109152[Herramientas_mecánicas], B544) &gt; 0, Herrramientas_mecánicas2165109152[[#Headers],[Herramientas_mecánicas]],
    COUNTIF(AH544:AH550, B544) &gt; 0, Herramientas_hidráulicas2266110153[[#Headers],[Herramientas_hidráulicas]],
    COUNTIF(EPP_2367111154[SPCC], B544) &gt; 0, EPP_2367111154[[#Headers],[SPCC]],
   COUNTIF(Herramientas_de_izaje2468112155[Herramientas_de_izaje], B544) &gt; 0, Herramientas_de_izaje2468112155[[#Headers],[Herramientas_de_izaje]],
COUNTIF(Tabla162670114157[Equipos], B544) &gt; 0, Tabla162670114157[[#Headers],[Equipos]],
    TRUE, "Sin clasificación"
)</f>
        <v>Sin clasificación</v>
      </c>
      <c r="I544" s="15"/>
      <c r="J544" s="47"/>
      <c r="K544" s="76"/>
      <c r="L544" s="76"/>
      <c r="M544" s="78" t="str">
        <f>_xlfn.LET(
    _xlpm.itemBuscado, B544,
    _xlpm.areaBuscada, C544,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TEXT(COUNTIF($C$2:C544, _xlpm.areaBuscada), "0000"),
    _xlpm.codItem &amp; "-" &amp; _xlpm.codArea &amp; "-" &amp; _xlpm.secuencia
)</f>
        <v>-SinArea-0000</v>
      </c>
      <c r="N544" s="77"/>
      <c r="O544" s="32"/>
      <c r="P544" s="32"/>
      <c r="Q544" s="32"/>
      <c r="R544" s="32"/>
    </row>
    <row r="545" spans="3:18" x14ac:dyDescent="0.3">
      <c r="C545" s="11"/>
      <c r="D545" s="32"/>
      <c r="E545" s="11" t="str" cm="1">
        <f t="array" ref="E545">_xlfn.IFS(
    COUNTIF(Herramientas_eléctricas1862106149[Herramientas_eléctricas], B545) &gt; 0, Herramientas_eléctricas1862106149[[#Headers],[Herramientas_eléctricas]],
    COUNTIF(Herramientas_neumáticas1963107150[Herramientas_neumáticas], B545) &gt; 0, Herramientas_neumáticas1963107150[[#Headers],[Herramientas_neumáticas]],
    COUNTIF(Herramientas_de_medición2064108151[Herramientas_de_medición], B545) &gt; 0, Herramientas_de_medición2064108151[[#Headers],[Herramientas_de_medición]],
    COUNTIF(Herrramientas_mecánicas2165109152[Herramientas_mecánicas], B545) &gt; 0, Herrramientas_mecánicas2165109152[[#Headers],[Herramientas_mecánicas]],
    COUNTIF(AH545:AH551, B545) &gt; 0, Herramientas_hidráulicas2266110153[[#Headers],[Herramientas_hidráulicas]],
    COUNTIF(EPP_2367111154[SPCC], B545) &gt; 0, EPP_2367111154[[#Headers],[SPCC]],
   COUNTIF(Herramientas_de_izaje2468112155[Herramientas_de_izaje], B545) &gt; 0, Herramientas_de_izaje2468112155[[#Headers],[Herramientas_de_izaje]],
COUNTIF(Tabla162670114157[Equipos], B545) &gt; 0, Tabla162670114157[[#Headers],[Equipos]],
    TRUE, "Sin clasificación"
)</f>
        <v>Sin clasificación</v>
      </c>
      <c r="I545" s="15"/>
      <c r="J545" s="47"/>
      <c r="K545" s="76"/>
      <c r="L545" s="76"/>
      <c r="M545" s="78" t="str">
        <f>_xlfn.LET(
    _xlpm.itemBuscado, B545,
    _xlpm.areaBuscada, C545,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TEXT(COUNTIF($C$2:C545, _xlpm.areaBuscada), "0000"),
    _xlpm.codItem &amp; "-" &amp; _xlpm.codArea &amp; "-" &amp; _xlpm.secuencia
)</f>
        <v>-SinArea-0000</v>
      </c>
      <c r="N545" s="77"/>
      <c r="O545" s="32"/>
      <c r="P545" s="32"/>
      <c r="Q545" s="32"/>
      <c r="R545" s="32"/>
    </row>
    <row r="546" spans="3:18" x14ac:dyDescent="0.3">
      <c r="C546" s="11"/>
      <c r="D546" s="32"/>
      <c r="E546" s="11" t="str" cm="1">
        <f t="array" ref="E546">_xlfn.IFS(
    COUNTIF(Herramientas_eléctricas1862106149[Herramientas_eléctricas], B546) &gt; 0, Herramientas_eléctricas1862106149[[#Headers],[Herramientas_eléctricas]],
    COUNTIF(Herramientas_neumáticas1963107150[Herramientas_neumáticas], B546) &gt; 0, Herramientas_neumáticas1963107150[[#Headers],[Herramientas_neumáticas]],
    COUNTIF(Herramientas_de_medición2064108151[Herramientas_de_medición], B546) &gt; 0, Herramientas_de_medición2064108151[[#Headers],[Herramientas_de_medición]],
    COUNTIF(Herrramientas_mecánicas2165109152[Herramientas_mecánicas], B546) &gt; 0, Herrramientas_mecánicas2165109152[[#Headers],[Herramientas_mecánicas]],
    COUNTIF(AH546:AH552, B546) &gt; 0, Herramientas_hidráulicas2266110153[[#Headers],[Herramientas_hidráulicas]],
    COUNTIF(EPP_2367111154[SPCC], B546) &gt; 0, EPP_2367111154[[#Headers],[SPCC]],
   COUNTIF(Herramientas_de_izaje2468112155[Herramientas_de_izaje], B546) &gt; 0, Herramientas_de_izaje2468112155[[#Headers],[Herramientas_de_izaje]],
COUNTIF(Tabla162670114157[Equipos], B546) &gt; 0, Tabla162670114157[[#Headers],[Equipos]],
    TRUE, "Sin clasificación"
)</f>
        <v>Sin clasificación</v>
      </c>
      <c r="I546" s="15"/>
      <c r="J546" s="47"/>
      <c r="K546" s="76"/>
      <c r="L546" s="76"/>
      <c r="M546" s="78" t="str">
        <f>_xlfn.LET(
    _xlpm.itemBuscado, B546,
    _xlpm.areaBuscada, C546,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TEXT(COUNTIF($C$2:C546, _xlpm.areaBuscada), "0000"),
    _xlpm.codItem &amp; "-" &amp; _xlpm.codArea &amp; "-" &amp; _xlpm.secuencia
)</f>
        <v>-SinArea-0000</v>
      </c>
      <c r="N546" s="77"/>
      <c r="O546" s="32"/>
      <c r="P546" s="32"/>
      <c r="Q546" s="32"/>
      <c r="R546" s="32"/>
    </row>
    <row r="547" spans="3:18" x14ac:dyDescent="0.3">
      <c r="C547" s="11"/>
      <c r="D547" s="32"/>
      <c r="E547" s="11" t="str" cm="1">
        <f t="array" ref="E547">_xlfn.IFS(
    COUNTIF(Herramientas_eléctricas1862106149[Herramientas_eléctricas], B547) &gt; 0, Herramientas_eléctricas1862106149[[#Headers],[Herramientas_eléctricas]],
    COUNTIF(Herramientas_neumáticas1963107150[Herramientas_neumáticas], B547) &gt; 0, Herramientas_neumáticas1963107150[[#Headers],[Herramientas_neumáticas]],
    COUNTIF(Herramientas_de_medición2064108151[Herramientas_de_medición], B547) &gt; 0, Herramientas_de_medición2064108151[[#Headers],[Herramientas_de_medición]],
    COUNTIF(Herrramientas_mecánicas2165109152[Herramientas_mecánicas], B547) &gt; 0, Herrramientas_mecánicas2165109152[[#Headers],[Herramientas_mecánicas]],
    COUNTIF(AH547:AH553, B547) &gt; 0, Herramientas_hidráulicas2266110153[[#Headers],[Herramientas_hidráulicas]],
    COUNTIF(EPP_2367111154[SPCC], B547) &gt; 0, EPP_2367111154[[#Headers],[SPCC]],
   COUNTIF(Herramientas_de_izaje2468112155[Herramientas_de_izaje], B547) &gt; 0, Herramientas_de_izaje2468112155[[#Headers],[Herramientas_de_izaje]],
COUNTIF(Tabla162670114157[Equipos], B547) &gt; 0, Tabla162670114157[[#Headers],[Equipos]],
    TRUE, "Sin clasificación"
)</f>
        <v>Sin clasificación</v>
      </c>
      <c r="I547" s="15"/>
      <c r="J547" s="47"/>
      <c r="K547" s="76"/>
      <c r="L547" s="76"/>
      <c r="M547" s="78" t="str">
        <f>_xlfn.LET(
    _xlpm.itemBuscado, B547,
    _xlpm.areaBuscada, C547,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TEXT(COUNTIF($C$2:C547, _xlpm.areaBuscada), "0000"),
    _xlpm.codItem &amp; "-" &amp; _xlpm.codArea &amp; "-" &amp; _xlpm.secuencia
)</f>
        <v>-SinArea-0000</v>
      </c>
      <c r="N547" s="77"/>
      <c r="O547" s="32"/>
      <c r="P547" s="32"/>
      <c r="Q547" s="32"/>
      <c r="R547" s="32"/>
    </row>
    <row r="548" spans="3:18" x14ac:dyDescent="0.3">
      <c r="C548" s="11"/>
      <c r="D548" s="32"/>
      <c r="E548" s="11" t="str" cm="1">
        <f t="array" ref="E548">_xlfn.IFS(
    COUNTIF(Herramientas_eléctricas1862106149[Herramientas_eléctricas], B548) &gt; 0, Herramientas_eléctricas1862106149[[#Headers],[Herramientas_eléctricas]],
    COUNTIF(Herramientas_neumáticas1963107150[Herramientas_neumáticas], B548) &gt; 0, Herramientas_neumáticas1963107150[[#Headers],[Herramientas_neumáticas]],
    COUNTIF(Herramientas_de_medición2064108151[Herramientas_de_medición], B548) &gt; 0, Herramientas_de_medición2064108151[[#Headers],[Herramientas_de_medición]],
    COUNTIF(Herrramientas_mecánicas2165109152[Herramientas_mecánicas], B548) &gt; 0, Herrramientas_mecánicas2165109152[[#Headers],[Herramientas_mecánicas]],
    COUNTIF(AH548:AH554, B548) &gt; 0, Herramientas_hidráulicas2266110153[[#Headers],[Herramientas_hidráulicas]],
    COUNTIF(EPP_2367111154[SPCC], B548) &gt; 0, EPP_2367111154[[#Headers],[SPCC]],
   COUNTIF(Herramientas_de_izaje2468112155[Herramientas_de_izaje], B548) &gt; 0, Herramientas_de_izaje2468112155[[#Headers],[Herramientas_de_izaje]],
COUNTIF(Tabla162670114157[Equipos], B548) &gt; 0, Tabla162670114157[[#Headers],[Equipos]],
    TRUE, "Sin clasificación"
)</f>
        <v>Sin clasificación</v>
      </c>
      <c r="I548" s="15"/>
      <c r="J548" s="47"/>
      <c r="K548" s="76"/>
      <c r="L548" s="76"/>
      <c r="M548" s="78" t="str">
        <f>_xlfn.LET(
    _xlpm.itemBuscado, B548,
    _xlpm.areaBuscada, C548,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TEXT(COUNTIF($C$2:C548, _xlpm.areaBuscada), "0000"),
    _xlpm.codItem &amp; "-" &amp; _xlpm.codArea &amp; "-" &amp; _xlpm.secuencia
)</f>
        <v>-SinArea-0000</v>
      </c>
      <c r="N548" s="77"/>
      <c r="O548" s="32"/>
      <c r="P548" s="32"/>
      <c r="Q548" s="32"/>
      <c r="R548" s="32"/>
    </row>
    <row r="549" spans="3:18" x14ac:dyDescent="0.3">
      <c r="C549" s="11"/>
      <c r="D549" s="32"/>
      <c r="E549" s="11" t="str" cm="1">
        <f t="array" ref="E549">_xlfn.IFS(
    COUNTIF(Herramientas_eléctricas1862106149[Herramientas_eléctricas], B549) &gt; 0, Herramientas_eléctricas1862106149[[#Headers],[Herramientas_eléctricas]],
    COUNTIF(Herramientas_neumáticas1963107150[Herramientas_neumáticas], B549) &gt; 0, Herramientas_neumáticas1963107150[[#Headers],[Herramientas_neumáticas]],
    COUNTIF(Herramientas_de_medición2064108151[Herramientas_de_medición], B549) &gt; 0, Herramientas_de_medición2064108151[[#Headers],[Herramientas_de_medición]],
    COUNTIF(Herrramientas_mecánicas2165109152[Herramientas_mecánicas], B549) &gt; 0, Herrramientas_mecánicas2165109152[[#Headers],[Herramientas_mecánicas]],
    COUNTIF(AH549:AH555, B549) &gt; 0, Herramientas_hidráulicas2266110153[[#Headers],[Herramientas_hidráulicas]],
    COUNTIF(EPP_2367111154[SPCC], B549) &gt; 0, EPP_2367111154[[#Headers],[SPCC]],
   COUNTIF(Herramientas_de_izaje2468112155[Herramientas_de_izaje], B549) &gt; 0, Herramientas_de_izaje2468112155[[#Headers],[Herramientas_de_izaje]],
COUNTIF(Tabla162670114157[Equipos], B549) &gt; 0, Tabla162670114157[[#Headers],[Equipos]],
    TRUE, "Sin clasificación"
)</f>
        <v>Sin clasificación</v>
      </c>
      <c r="I549" s="15"/>
      <c r="J549" s="47"/>
      <c r="K549" s="76"/>
      <c r="L549" s="76"/>
      <c r="M549" s="78" t="str">
        <f>_xlfn.LET(
    _xlpm.itemBuscado, B549,
    _xlpm.areaBuscada, C549,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TEXT(COUNTIF($C$2:C549, _xlpm.areaBuscada), "0000"),
    _xlpm.codItem &amp; "-" &amp; _xlpm.codArea &amp; "-" &amp; _xlpm.secuencia
)</f>
        <v>-SinArea-0000</v>
      </c>
      <c r="N549" s="77"/>
      <c r="O549" s="32"/>
      <c r="P549" s="32"/>
      <c r="Q549" s="32"/>
      <c r="R549" s="32"/>
    </row>
    <row r="550" spans="3:18" x14ac:dyDescent="0.3">
      <c r="C550" s="11"/>
      <c r="D550" s="32"/>
      <c r="E550" s="11" t="str" cm="1">
        <f t="array" ref="E550">_xlfn.IFS(
    COUNTIF(Herramientas_eléctricas1862106149[Herramientas_eléctricas], B550) &gt; 0, Herramientas_eléctricas1862106149[[#Headers],[Herramientas_eléctricas]],
    COUNTIF(Herramientas_neumáticas1963107150[Herramientas_neumáticas], B550) &gt; 0, Herramientas_neumáticas1963107150[[#Headers],[Herramientas_neumáticas]],
    COUNTIF(Herramientas_de_medición2064108151[Herramientas_de_medición], B550) &gt; 0, Herramientas_de_medición2064108151[[#Headers],[Herramientas_de_medición]],
    COUNTIF(Herrramientas_mecánicas2165109152[Herramientas_mecánicas], B550) &gt; 0, Herrramientas_mecánicas2165109152[[#Headers],[Herramientas_mecánicas]],
    COUNTIF(AH550:AH556, B550) &gt; 0, Herramientas_hidráulicas2266110153[[#Headers],[Herramientas_hidráulicas]],
    COUNTIF(EPP_2367111154[SPCC], B550) &gt; 0, EPP_2367111154[[#Headers],[SPCC]],
   COUNTIF(Herramientas_de_izaje2468112155[Herramientas_de_izaje], B550) &gt; 0, Herramientas_de_izaje2468112155[[#Headers],[Herramientas_de_izaje]],
COUNTIF(Tabla162670114157[Equipos], B550) &gt; 0, Tabla162670114157[[#Headers],[Equipos]],
    TRUE, "Sin clasificación"
)</f>
        <v>Sin clasificación</v>
      </c>
      <c r="I550" s="15"/>
      <c r="J550" s="47"/>
      <c r="K550" s="76"/>
      <c r="L550" s="76"/>
      <c r="M550" s="78" t="str">
        <f>_xlfn.LET(
    _xlpm.itemBuscado, B550,
    _xlpm.areaBuscada, C550,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TEXT(COUNTIF($C$2:C550, _xlpm.areaBuscada), "0000"),
    _xlpm.codItem &amp; "-" &amp; _xlpm.codArea &amp; "-" &amp; _xlpm.secuencia
)</f>
        <v>-SinArea-0000</v>
      </c>
      <c r="N550" s="77"/>
      <c r="O550" s="32"/>
      <c r="P550" s="32"/>
      <c r="Q550" s="32"/>
      <c r="R550" s="32"/>
    </row>
    <row r="551" spans="3:18" x14ac:dyDescent="0.3">
      <c r="C551" s="11"/>
      <c r="D551" s="32"/>
      <c r="E551" s="11" t="str" cm="1">
        <f t="array" ref="E551">_xlfn.IFS(
    COUNTIF(Herramientas_eléctricas1862106149[Herramientas_eléctricas], B551) &gt; 0, Herramientas_eléctricas1862106149[[#Headers],[Herramientas_eléctricas]],
    COUNTIF(Herramientas_neumáticas1963107150[Herramientas_neumáticas], B551) &gt; 0, Herramientas_neumáticas1963107150[[#Headers],[Herramientas_neumáticas]],
    COUNTIF(Herramientas_de_medición2064108151[Herramientas_de_medición], B551) &gt; 0, Herramientas_de_medición2064108151[[#Headers],[Herramientas_de_medición]],
    COUNTIF(Herrramientas_mecánicas2165109152[Herramientas_mecánicas], B551) &gt; 0, Herrramientas_mecánicas2165109152[[#Headers],[Herramientas_mecánicas]],
    COUNTIF(AH551:AH557, B551) &gt; 0, Herramientas_hidráulicas2266110153[[#Headers],[Herramientas_hidráulicas]],
    COUNTIF(EPP_2367111154[SPCC], B551) &gt; 0, EPP_2367111154[[#Headers],[SPCC]],
   COUNTIF(Herramientas_de_izaje2468112155[Herramientas_de_izaje], B551) &gt; 0, Herramientas_de_izaje2468112155[[#Headers],[Herramientas_de_izaje]],
COUNTIF(Tabla162670114157[Equipos], B551) &gt; 0, Tabla162670114157[[#Headers],[Equipos]],
    TRUE, "Sin clasificación"
)</f>
        <v>Sin clasificación</v>
      </c>
      <c r="I551" s="15"/>
      <c r="J551" s="47"/>
      <c r="K551" s="76"/>
      <c r="L551" s="76"/>
      <c r="M551" s="78" t="str">
        <f>_xlfn.LET(
    _xlpm.itemBuscado, B551,
    _xlpm.areaBuscada, C551,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TEXT(COUNTIF($C$2:C551, _xlpm.areaBuscada), "0000"),
    _xlpm.codItem &amp; "-" &amp; _xlpm.codArea &amp; "-" &amp; _xlpm.secuencia
)</f>
        <v>-SinArea-0000</v>
      </c>
      <c r="N551" s="77"/>
      <c r="O551" s="32"/>
      <c r="P551" s="32"/>
      <c r="Q551" s="32"/>
      <c r="R551" s="32"/>
    </row>
    <row r="552" spans="3:18" x14ac:dyDescent="0.3">
      <c r="C552" s="11"/>
      <c r="D552" s="32"/>
      <c r="E552" s="11" t="str" cm="1">
        <f t="array" ref="E552">_xlfn.IFS(
    COUNTIF(Herramientas_eléctricas1862106149[Herramientas_eléctricas], B552) &gt; 0, Herramientas_eléctricas1862106149[[#Headers],[Herramientas_eléctricas]],
    COUNTIF(Herramientas_neumáticas1963107150[Herramientas_neumáticas], B552) &gt; 0, Herramientas_neumáticas1963107150[[#Headers],[Herramientas_neumáticas]],
    COUNTIF(Herramientas_de_medición2064108151[Herramientas_de_medición], B552) &gt; 0, Herramientas_de_medición2064108151[[#Headers],[Herramientas_de_medición]],
    COUNTIF(Herrramientas_mecánicas2165109152[Herramientas_mecánicas], B552) &gt; 0, Herrramientas_mecánicas2165109152[[#Headers],[Herramientas_mecánicas]],
    COUNTIF(AH552:AH558, B552) &gt; 0, Herramientas_hidráulicas2266110153[[#Headers],[Herramientas_hidráulicas]],
    COUNTIF(EPP_2367111154[SPCC], B552) &gt; 0, EPP_2367111154[[#Headers],[SPCC]],
   COUNTIF(Herramientas_de_izaje2468112155[Herramientas_de_izaje], B552) &gt; 0, Herramientas_de_izaje2468112155[[#Headers],[Herramientas_de_izaje]],
COUNTIF(Tabla162670114157[Equipos], B552) &gt; 0, Tabla162670114157[[#Headers],[Equipos]],
    TRUE, "Sin clasificación"
)</f>
        <v>Sin clasificación</v>
      </c>
      <c r="I552" s="15"/>
      <c r="J552" s="47"/>
      <c r="K552" s="76"/>
      <c r="L552" s="76"/>
      <c r="M552" s="78" t="str">
        <f>_xlfn.LET(
    _xlpm.itemBuscado, B552,
    _xlpm.areaBuscada, C552,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TEXT(COUNTIF($C$2:C552, _xlpm.areaBuscada), "0000"),
    _xlpm.codItem &amp; "-" &amp; _xlpm.codArea &amp; "-" &amp; _xlpm.secuencia
)</f>
        <v>-SinArea-0000</v>
      </c>
      <c r="N552" s="77"/>
      <c r="O552" s="32"/>
      <c r="P552" s="32"/>
      <c r="Q552" s="32"/>
      <c r="R552" s="32"/>
    </row>
    <row r="553" spans="3:18" x14ac:dyDescent="0.3">
      <c r="C553" s="11"/>
      <c r="D553" s="32"/>
      <c r="E553" s="11" t="str" cm="1">
        <f t="array" ref="E553">_xlfn.IFS(
    COUNTIF(Herramientas_eléctricas1862106149[Herramientas_eléctricas], B553) &gt; 0, Herramientas_eléctricas1862106149[[#Headers],[Herramientas_eléctricas]],
    COUNTIF(Herramientas_neumáticas1963107150[Herramientas_neumáticas], B553) &gt; 0, Herramientas_neumáticas1963107150[[#Headers],[Herramientas_neumáticas]],
    COUNTIF(Herramientas_de_medición2064108151[Herramientas_de_medición], B553) &gt; 0, Herramientas_de_medición2064108151[[#Headers],[Herramientas_de_medición]],
    COUNTIF(Herrramientas_mecánicas2165109152[Herramientas_mecánicas], B553) &gt; 0, Herrramientas_mecánicas2165109152[[#Headers],[Herramientas_mecánicas]],
    COUNTIF(AH553:AH559, B553) &gt; 0, Herramientas_hidráulicas2266110153[[#Headers],[Herramientas_hidráulicas]],
    COUNTIF(EPP_2367111154[SPCC], B553) &gt; 0, EPP_2367111154[[#Headers],[SPCC]],
   COUNTIF(Herramientas_de_izaje2468112155[Herramientas_de_izaje], B553) &gt; 0, Herramientas_de_izaje2468112155[[#Headers],[Herramientas_de_izaje]],
COUNTIF(Tabla162670114157[Equipos], B553) &gt; 0, Tabla162670114157[[#Headers],[Equipos]],
    TRUE, "Sin clasificación"
)</f>
        <v>Sin clasificación</v>
      </c>
      <c r="I553" s="15"/>
      <c r="J553" s="47"/>
      <c r="K553" s="76"/>
      <c r="L553" s="76"/>
      <c r="M553" s="78" t="str">
        <f>_xlfn.LET(
    _xlpm.itemBuscado, B553,
    _xlpm.areaBuscada, C553,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TEXT(COUNTIF($C$2:C553, _xlpm.areaBuscada), "0000"),
    _xlpm.codItem &amp; "-" &amp; _xlpm.codArea &amp; "-" &amp; _xlpm.secuencia
)</f>
        <v>-SinArea-0000</v>
      </c>
      <c r="N553" s="77"/>
      <c r="O553" s="32"/>
      <c r="P553" s="32"/>
      <c r="Q553" s="32"/>
      <c r="R553" s="32"/>
    </row>
    <row r="554" spans="3:18" x14ac:dyDescent="0.3">
      <c r="C554" s="11"/>
      <c r="D554" s="32"/>
      <c r="E554" s="11" t="str" cm="1">
        <f t="array" ref="E554">_xlfn.IFS(
    COUNTIF(Herramientas_eléctricas1862106149[Herramientas_eléctricas], B554) &gt; 0, Herramientas_eléctricas1862106149[[#Headers],[Herramientas_eléctricas]],
    COUNTIF(Herramientas_neumáticas1963107150[Herramientas_neumáticas], B554) &gt; 0, Herramientas_neumáticas1963107150[[#Headers],[Herramientas_neumáticas]],
    COUNTIF(Herramientas_de_medición2064108151[Herramientas_de_medición], B554) &gt; 0, Herramientas_de_medición2064108151[[#Headers],[Herramientas_de_medición]],
    COUNTIF(Herrramientas_mecánicas2165109152[Herramientas_mecánicas], B554) &gt; 0, Herrramientas_mecánicas2165109152[[#Headers],[Herramientas_mecánicas]],
    COUNTIF(AH554:AH560, B554) &gt; 0, Herramientas_hidráulicas2266110153[[#Headers],[Herramientas_hidráulicas]],
    COUNTIF(EPP_2367111154[SPCC], B554) &gt; 0, EPP_2367111154[[#Headers],[SPCC]],
   COUNTIF(Herramientas_de_izaje2468112155[Herramientas_de_izaje], B554) &gt; 0, Herramientas_de_izaje2468112155[[#Headers],[Herramientas_de_izaje]],
COUNTIF(Tabla162670114157[Equipos], B554) &gt; 0, Tabla162670114157[[#Headers],[Equipos]],
    TRUE, "Sin clasificación"
)</f>
        <v>Sin clasificación</v>
      </c>
      <c r="I554" s="15"/>
      <c r="J554" s="47"/>
      <c r="K554" s="76"/>
      <c r="L554" s="76"/>
      <c r="M554" s="78" t="str">
        <f>_xlfn.LET(
    _xlpm.itemBuscado, B554,
    _xlpm.areaBuscada, C554,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TEXT(COUNTIF($C$2:C554, _xlpm.areaBuscada), "0000"),
    _xlpm.codItem &amp; "-" &amp; _xlpm.codArea &amp; "-" &amp; _xlpm.secuencia
)</f>
        <v>-SinArea-0000</v>
      </c>
      <c r="N554" s="77"/>
      <c r="O554" s="32"/>
      <c r="P554" s="32"/>
      <c r="Q554" s="32"/>
      <c r="R554" s="32"/>
    </row>
    <row r="555" spans="3:18" x14ac:dyDescent="0.3">
      <c r="C555" s="11"/>
      <c r="D555" s="32"/>
      <c r="E555" s="11" t="str" cm="1">
        <f t="array" ref="E555">_xlfn.IFS(
    COUNTIF(Herramientas_eléctricas1862106149[Herramientas_eléctricas], B555) &gt; 0, Herramientas_eléctricas1862106149[[#Headers],[Herramientas_eléctricas]],
    COUNTIF(Herramientas_neumáticas1963107150[Herramientas_neumáticas], B555) &gt; 0, Herramientas_neumáticas1963107150[[#Headers],[Herramientas_neumáticas]],
    COUNTIF(Herramientas_de_medición2064108151[Herramientas_de_medición], B555) &gt; 0, Herramientas_de_medición2064108151[[#Headers],[Herramientas_de_medición]],
    COUNTIF(Herrramientas_mecánicas2165109152[Herramientas_mecánicas], B555) &gt; 0, Herrramientas_mecánicas2165109152[[#Headers],[Herramientas_mecánicas]],
    COUNTIF(AH555:AH561, B555) &gt; 0, Herramientas_hidráulicas2266110153[[#Headers],[Herramientas_hidráulicas]],
    COUNTIF(EPP_2367111154[SPCC], B555) &gt; 0, EPP_2367111154[[#Headers],[SPCC]],
   COUNTIF(Herramientas_de_izaje2468112155[Herramientas_de_izaje], B555) &gt; 0, Herramientas_de_izaje2468112155[[#Headers],[Herramientas_de_izaje]],
COUNTIF(Tabla162670114157[Equipos], B555) &gt; 0, Tabla162670114157[[#Headers],[Equipos]],
    TRUE, "Sin clasificación"
)</f>
        <v>Sin clasificación</v>
      </c>
      <c r="I555" s="15"/>
      <c r="J555" s="47"/>
      <c r="K555" s="76"/>
      <c r="L555" s="76"/>
      <c r="M555" s="78" t="str">
        <f>_xlfn.LET(
    _xlpm.itemBuscado, B555,
    _xlpm.areaBuscada, C555,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TEXT(COUNTIF($C$2:C555, _xlpm.areaBuscada), "0000"),
    _xlpm.codItem &amp; "-" &amp; _xlpm.codArea &amp; "-" &amp; _xlpm.secuencia
)</f>
        <v>-SinArea-0000</v>
      </c>
      <c r="N555" s="77"/>
      <c r="O555" s="32"/>
      <c r="P555" s="32"/>
      <c r="Q555" s="32"/>
      <c r="R555" s="32"/>
    </row>
    <row r="556" spans="3:18" x14ac:dyDescent="0.3">
      <c r="C556" s="11"/>
      <c r="D556" s="32"/>
      <c r="E556" s="11" t="str" cm="1">
        <f t="array" ref="E556">_xlfn.IFS(
    COUNTIF(Herramientas_eléctricas1862106149[Herramientas_eléctricas], B556) &gt; 0, Herramientas_eléctricas1862106149[[#Headers],[Herramientas_eléctricas]],
    COUNTIF(Herramientas_neumáticas1963107150[Herramientas_neumáticas], B556) &gt; 0, Herramientas_neumáticas1963107150[[#Headers],[Herramientas_neumáticas]],
    COUNTIF(Herramientas_de_medición2064108151[Herramientas_de_medición], B556) &gt; 0, Herramientas_de_medición2064108151[[#Headers],[Herramientas_de_medición]],
    COUNTIF(Herrramientas_mecánicas2165109152[Herramientas_mecánicas], B556) &gt; 0, Herrramientas_mecánicas2165109152[[#Headers],[Herramientas_mecánicas]],
    COUNTIF(AH556:AH562, B556) &gt; 0, Herramientas_hidráulicas2266110153[[#Headers],[Herramientas_hidráulicas]],
    COUNTIF(EPP_2367111154[SPCC], B556) &gt; 0, EPP_2367111154[[#Headers],[SPCC]],
   COUNTIF(Herramientas_de_izaje2468112155[Herramientas_de_izaje], B556) &gt; 0, Herramientas_de_izaje2468112155[[#Headers],[Herramientas_de_izaje]],
COUNTIF(Tabla162670114157[Equipos], B556) &gt; 0, Tabla162670114157[[#Headers],[Equipos]],
    TRUE, "Sin clasificación"
)</f>
        <v>Sin clasificación</v>
      </c>
      <c r="I556" s="15"/>
      <c r="J556" s="47"/>
      <c r="K556" s="76"/>
      <c r="L556" s="76"/>
      <c r="M556" s="78" t="str">
        <f>_xlfn.LET(
    _xlpm.itemBuscado, B556,
    _xlpm.areaBuscada, C556,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TEXT(COUNTIF($C$2:C556, _xlpm.areaBuscada), "0000"),
    _xlpm.codItem &amp; "-" &amp; _xlpm.codArea &amp; "-" &amp; _xlpm.secuencia
)</f>
        <v>-SinArea-0000</v>
      </c>
      <c r="N556" s="77"/>
      <c r="O556" s="32"/>
      <c r="P556" s="32"/>
      <c r="Q556" s="32"/>
      <c r="R556" s="32"/>
    </row>
    <row r="557" spans="3:18" x14ac:dyDescent="0.3">
      <c r="C557" s="11"/>
      <c r="D557" s="32"/>
      <c r="E557" s="11" t="str" cm="1">
        <f t="array" ref="E557">_xlfn.IFS(
    COUNTIF(Herramientas_eléctricas1862106149[Herramientas_eléctricas], B557) &gt; 0, Herramientas_eléctricas1862106149[[#Headers],[Herramientas_eléctricas]],
    COUNTIF(Herramientas_neumáticas1963107150[Herramientas_neumáticas], B557) &gt; 0, Herramientas_neumáticas1963107150[[#Headers],[Herramientas_neumáticas]],
    COUNTIF(Herramientas_de_medición2064108151[Herramientas_de_medición], B557) &gt; 0, Herramientas_de_medición2064108151[[#Headers],[Herramientas_de_medición]],
    COUNTIF(Herrramientas_mecánicas2165109152[Herramientas_mecánicas], B557) &gt; 0, Herrramientas_mecánicas2165109152[[#Headers],[Herramientas_mecánicas]],
    COUNTIF(AH557:AH563, B557) &gt; 0, Herramientas_hidráulicas2266110153[[#Headers],[Herramientas_hidráulicas]],
    COUNTIF(EPP_2367111154[SPCC], B557) &gt; 0, EPP_2367111154[[#Headers],[SPCC]],
   COUNTIF(Herramientas_de_izaje2468112155[Herramientas_de_izaje], B557) &gt; 0, Herramientas_de_izaje2468112155[[#Headers],[Herramientas_de_izaje]],
COUNTIF(Tabla162670114157[Equipos], B557) &gt; 0, Tabla162670114157[[#Headers],[Equipos]],
    TRUE, "Sin clasificación"
)</f>
        <v>Sin clasificación</v>
      </c>
      <c r="I557" s="15"/>
      <c r="J557" s="47"/>
      <c r="K557" s="76"/>
      <c r="L557" s="76"/>
      <c r="M557" s="78" t="str">
        <f>_xlfn.LET(
    _xlpm.itemBuscado, B557,
    _xlpm.areaBuscada, C557,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TEXT(COUNTIF($C$2:C557, _xlpm.areaBuscada), "0000"),
    _xlpm.codItem &amp; "-" &amp; _xlpm.codArea &amp; "-" &amp; _xlpm.secuencia
)</f>
        <v>-SinArea-0000</v>
      </c>
      <c r="N557" s="77"/>
      <c r="O557" s="32"/>
      <c r="P557" s="32"/>
      <c r="Q557" s="32"/>
      <c r="R557" s="32"/>
    </row>
    <row r="558" spans="3:18" x14ac:dyDescent="0.3">
      <c r="C558" s="11"/>
      <c r="D558" s="32"/>
      <c r="E558" s="11" t="str" cm="1">
        <f t="array" ref="E558">_xlfn.IFS(
    COUNTIF(Herramientas_eléctricas1862106149[Herramientas_eléctricas], B558) &gt; 0, Herramientas_eléctricas1862106149[[#Headers],[Herramientas_eléctricas]],
    COUNTIF(Herramientas_neumáticas1963107150[Herramientas_neumáticas], B558) &gt; 0, Herramientas_neumáticas1963107150[[#Headers],[Herramientas_neumáticas]],
    COUNTIF(Herramientas_de_medición2064108151[Herramientas_de_medición], B558) &gt; 0, Herramientas_de_medición2064108151[[#Headers],[Herramientas_de_medición]],
    COUNTIF(Herrramientas_mecánicas2165109152[Herramientas_mecánicas], B558) &gt; 0, Herrramientas_mecánicas2165109152[[#Headers],[Herramientas_mecánicas]],
    COUNTIF(AH558:AH564, B558) &gt; 0, Herramientas_hidráulicas2266110153[[#Headers],[Herramientas_hidráulicas]],
    COUNTIF(EPP_2367111154[SPCC], B558) &gt; 0, EPP_2367111154[[#Headers],[SPCC]],
   COUNTIF(Herramientas_de_izaje2468112155[Herramientas_de_izaje], B558) &gt; 0, Herramientas_de_izaje2468112155[[#Headers],[Herramientas_de_izaje]],
COUNTIF(Tabla162670114157[Equipos], B558) &gt; 0, Tabla162670114157[[#Headers],[Equipos]],
    TRUE, "Sin clasificación"
)</f>
        <v>Sin clasificación</v>
      </c>
      <c r="I558" s="15"/>
      <c r="J558" s="47"/>
      <c r="K558" s="76"/>
      <c r="L558" s="76"/>
      <c r="M558" s="78" t="str">
        <f>_xlfn.LET(
    _xlpm.itemBuscado, B558,
    _xlpm.areaBuscada, C558,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TEXT(COUNTIF($C$2:C558, _xlpm.areaBuscada), "0000"),
    _xlpm.codItem &amp; "-" &amp; _xlpm.codArea &amp; "-" &amp; _xlpm.secuencia
)</f>
        <v>-SinArea-0000</v>
      </c>
      <c r="N558" s="77"/>
      <c r="O558" s="32"/>
      <c r="P558" s="32"/>
      <c r="Q558" s="32"/>
      <c r="R558" s="32"/>
    </row>
    <row r="559" spans="3:18" x14ac:dyDescent="0.3">
      <c r="C559" s="11"/>
      <c r="D559" s="32"/>
      <c r="E559" s="11" t="str" cm="1">
        <f t="array" ref="E559">_xlfn.IFS(
    COUNTIF(Herramientas_eléctricas1862106149[Herramientas_eléctricas], B559) &gt; 0, Herramientas_eléctricas1862106149[[#Headers],[Herramientas_eléctricas]],
    COUNTIF(Herramientas_neumáticas1963107150[Herramientas_neumáticas], B559) &gt; 0, Herramientas_neumáticas1963107150[[#Headers],[Herramientas_neumáticas]],
    COUNTIF(Herramientas_de_medición2064108151[Herramientas_de_medición], B559) &gt; 0, Herramientas_de_medición2064108151[[#Headers],[Herramientas_de_medición]],
    COUNTIF(Herrramientas_mecánicas2165109152[Herramientas_mecánicas], B559) &gt; 0, Herrramientas_mecánicas2165109152[[#Headers],[Herramientas_mecánicas]],
    COUNTIF(AH559:AH565, B559) &gt; 0, Herramientas_hidráulicas2266110153[[#Headers],[Herramientas_hidráulicas]],
    COUNTIF(EPP_2367111154[SPCC], B559) &gt; 0, EPP_2367111154[[#Headers],[SPCC]],
   COUNTIF(Herramientas_de_izaje2468112155[Herramientas_de_izaje], B559) &gt; 0, Herramientas_de_izaje2468112155[[#Headers],[Herramientas_de_izaje]],
COUNTIF(Tabla162670114157[Equipos], B559) &gt; 0, Tabla162670114157[[#Headers],[Equipos]],
    TRUE, "Sin clasificación"
)</f>
        <v>Sin clasificación</v>
      </c>
      <c r="I559" s="15"/>
      <c r="J559" s="47"/>
      <c r="K559" s="76"/>
      <c r="L559" s="76"/>
      <c r="M559" s="78" t="str">
        <f>_xlfn.LET(
    _xlpm.itemBuscado, B559,
    _xlpm.areaBuscada, C559,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TEXT(COUNTIF($C$2:C559, _xlpm.areaBuscada), "0000"),
    _xlpm.codItem &amp; "-" &amp; _xlpm.codArea &amp; "-" &amp; _xlpm.secuencia
)</f>
        <v>-SinArea-0000</v>
      </c>
      <c r="N559" s="77"/>
      <c r="O559" s="32"/>
      <c r="P559" s="32"/>
      <c r="Q559" s="32"/>
      <c r="R559" s="32"/>
    </row>
    <row r="560" spans="3:18" x14ac:dyDescent="0.3">
      <c r="C560" s="11"/>
      <c r="D560" s="32"/>
      <c r="E560" s="11" t="str" cm="1">
        <f t="array" ref="E560">_xlfn.IFS(
    COUNTIF(Herramientas_eléctricas1862106149[Herramientas_eléctricas], B560) &gt; 0, Herramientas_eléctricas1862106149[[#Headers],[Herramientas_eléctricas]],
    COUNTIF(Herramientas_neumáticas1963107150[Herramientas_neumáticas], B560) &gt; 0, Herramientas_neumáticas1963107150[[#Headers],[Herramientas_neumáticas]],
    COUNTIF(Herramientas_de_medición2064108151[Herramientas_de_medición], B560) &gt; 0, Herramientas_de_medición2064108151[[#Headers],[Herramientas_de_medición]],
    COUNTIF(Herrramientas_mecánicas2165109152[Herramientas_mecánicas], B560) &gt; 0, Herrramientas_mecánicas2165109152[[#Headers],[Herramientas_mecánicas]],
    COUNTIF(AH560:AH566, B560) &gt; 0, Herramientas_hidráulicas2266110153[[#Headers],[Herramientas_hidráulicas]],
    COUNTIF(EPP_2367111154[SPCC], B560) &gt; 0, EPP_2367111154[[#Headers],[SPCC]],
   COUNTIF(Herramientas_de_izaje2468112155[Herramientas_de_izaje], B560) &gt; 0, Herramientas_de_izaje2468112155[[#Headers],[Herramientas_de_izaje]],
COUNTIF(Tabla162670114157[Equipos], B560) &gt; 0, Tabla162670114157[[#Headers],[Equipos]],
    TRUE, "Sin clasificación"
)</f>
        <v>Sin clasificación</v>
      </c>
      <c r="I560" s="15"/>
      <c r="J560" s="47"/>
      <c r="K560" s="76"/>
      <c r="L560" s="76"/>
      <c r="M560" s="78" t="str">
        <f>_xlfn.LET(
    _xlpm.itemBuscado, B560,
    _xlpm.areaBuscada, C560,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TEXT(COUNTIF($C$2:C560, _xlpm.areaBuscada), "0000"),
    _xlpm.codItem &amp; "-" &amp; _xlpm.codArea &amp; "-" &amp; _xlpm.secuencia
)</f>
        <v>-SinArea-0000</v>
      </c>
      <c r="N560" s="77"/>
      <c r="O560" s="32"/>
      <c r="P560" s="32"/>
      <c r="Q560" s="32"/>
      <c r="R560" s="32"/>
    </row>
    <row r="561" spans="3:18" x14ac:dyDescent="0.3">
      <c r="C561" s="11"/>
      <c r="D561" s="32"/>
      <c r="E561" s="11" t="str" cm="1">
        <f t="array" ref="E561">_xlfn.IFS(
    COUNTIF(Herramientas_eléctricas1862106149[Herramientas_eléctricas], B561) &gt; 0, Herramientas_eléctricas1862106149[[#Headers],[Herramientas_eléctricas]],
    COUNTIF(Herramientas_neumáticas1963107150[Herramientas_neumáticas], B561) &gt; 0, Herramientas_neumáticas1963107150[[#Headers],[Herramientas_neumáticas]],
    COUNTIF(Herramientas_de_medición2064108151[Herramientas_de_medición], B561) &gt; 0, Herramientas_de_medición2064108151[[#Headers],[Herramientas_de_medición]],
    COUNTIF(Herrramientas_mecánicas2165109152[Herramientas_mecánicas], B561) &gt; 0, Herrramientas_mecánicas2165109152[[#Headers],[Herramientas_mecánicas]],
    COUNTIF(AH561:AH567, B561) &gt; 0, Herramientas_hidráulicas2266110153[[#Headers],[Herramientas_hidráulicas]],
    COUNTIF(EPP_2367111154[SPCC], B561) &gt; 0, EPP_2367111154[[#Headers],[SPCC]],
   COUNTIF(Herramientas_de_izaje2468112155[Herramientas_de_izaje], B561) &gt; 0, Herramientas_de_izaje2468112155[[#Headers],[Herramientas_de_izaje]],
COUNTIF(Tabla162670114157[Equipos], B561) &gt; 0, Tabla162670114157[[#Headers],[Equipos]],
    TRUE, "Sin clasificación"
)</f>
        <v>Sin clasificación</v>
      </c>
      <c r="I561" s="15"/>
      <c r="J561" s="47"/>
      <c r="K561" s="76"/>
      <c r="L561" s="76"/>
      <c r="M561" s="78" t="str">
        <f>_xlfn.LET(
    _xlpm.itemBuscado, B561,
    _xlpm.areaBuscada, C561,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TEXT(COUNTIF($C$2:C561, _xlpm.areaBuscada), "0000"),
    _xlpm.codItem &amp; "-" &amp; _xlpm.codArea &amp; "-" &amp; _xlpm.secuencia
)</f>
        <v>-SinArea-0000</v>
      </c>
      <c r="N561" s="77"/>
      <c r="O561" s="32"/>
      <c r="P561" s="32"/>
      <c r="Q561" s="32"/>
      <c r="R561" s="32"/>
    </row>
    <row r="562" spans="3:18" x14ac:dyDescent="0.3">
      <c r="C562" s="11"/>
      <c r="D562" s="32"/>
      <c r="E562" s="11" t="str" cm="1">
        <f t="array" ref="E562">_xlfn.IFS(
    COUNTIF(Herramientas_eléctricas1862106149[Herramientas_eléctricas], B562) &gt; 0, Herramientas_eléctricas1862106149[[#Headers],[Herramientas_eléctricas]],
    COUNTIF(Herramientas_neumáticas1963107150[Herramientas_neumáticas], B562) &gt; 0, Herramientas_neumáticas1963107150[[#Headers],[Herramientas_neumáticas]],
    COUNTIF(Herramientas_de_medición2064108151[Herramientas_de_medición], B562) &gt; 0, Herramientas_de_medición2064108151[[#Headers],[Herramientas_de_medición]],
    COUNTIF(Herrramientas_mecánicas2165109152[Herramientas_mecánicas], B562) &gt; 0, Herrramientas_mecánicas2165109152[[#Headers],[Herramientas_mecánicas]],
    COUNTIF(AH562:AH568, B562) &gt; 0, Herramientas_hidráulicas2266110153[[#Headers],[Herramientas_hidráulicas]],
    COUNTIF(EPP_2367111154[SPCC], B562) &gt; 0, EPP_2367111154[[#Headers],[SPCC]],
   COUNTIF(Herramientas_de_izaje2468112155[Herramientas_de_izaje], B562) &gt; 0, Herramientas_de_izaje2468112155[[#Headers],[Herramientas_de_izaje]],
COUNTIF(Tabla162670114157[Equipos], B562) &gt; 0, Tabla162670114157[[#Headers],[Equipos]],
    TRUE, "Sin clasificación"
)</f>
        <v>Sin clasificación</v>
      </c>
      <c r="I562" s="15"/>
      <c r="J562" s="47"/>
      <c r="K562" s="76"/>
      <c r="L562" s="76"/>
      <c r="M562" s="78" t="str">
        <f>_xlfn.LET(
    _xlpm.itemBuscado, B562,
    _xlpm.areaBuscada, C562,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TEXT(COUNTIF($C$2:C562, _xlpm.areaBuscada), "0000"),
    _xlpm.codItem &amp; "-" &amp; _xlpm.codArea &amp; "-" &amp; _xlpm.secuencia
)</f>
        <v>-SinArea-0000</v>
      </c>
      <c r="N562" s="77"/>
      <c r="O562" s="32"/>
      <c r="P562" s="32"/>
      <c r="Q562" s="32"/>
      <c r="R562" s="32"/>
    </row>
    <row r="563" spans="3:18" x14ac:dyDescent="0.3">
      <c r="C563" s="11"/>
      <c r="D563" s="32"/>
      <c r="E563" s="11" t="str" cm="1">
        <f t="array" ref="E563">_xlfn.IFS(
    COUNTIF(Herramientas_eléctricas1862106149[Herramientas_eléctricas], B563) &gt; 0, Herramientas_eléctricas1862106149[[#Headers],[Herramientas_eléctricas]],
    COUNTIF(Herramientas_neumáticas1963107150[Herramientas_neumáticas], B563) &gt; 0, Herramientas_neumáticas1963107150[[#Headers],[Herramientas_neumáticas]],
    COUNTIF(Herramientas_de_medición2064108151[Herramientas_de_medición], B563) &gt; 0, Herramientas_de_medición2064108151[[#Headers],[Herramientas_de_medición]],
    COUNTIF(Herrramientas_mecánicas2165109152[Herramientas_mecánicas], B563) &gt; 0, Herrramientas_mecánicas2165109152[[#Headers],[Herramientas_mecánicas]],
    COUNTIF(AH563:AH569, B563) &gt; 0, Herramientas_hidráulicas2266110153[[#Headers],[Herramientas_hidráulicas]],
    COUNTIF(EPP_2367111154[SPCC], B563) &gt; 0, EPP_2367111154[[#Headers],[SPCC]],
   COUNTIF(Herramientas_de_izaje2468112155[Herramientas_de_izaje], B563) &gt; 0, Herramientas_de_izaje2468112155[[#Headers],[Herramientas_de_izaje]],
COUNTIF(Tabla162670114157[Equipos], B563) &gt; 0, Tabla162670114157[[#Headers],[Equipos]],
    TRUE, "Sin clasificación"
)</f>
        <v>Sin clasificación</v>
      </c>
      <c r="I563" s="15"/>
      <c r="J563" s="47"/>
      <c r="K563" s="76"/>
      <c r="L563" s="76"/>
      <c r="M563" s="78" t="str">
        <f>_xlfn.LET(
    _xlpm.itemBuscado, B563,
    _xlpm.areaBuscada, C563,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TEXT(COUNTIF($C$2:C563, _xlpm.areaBuscada), "0000"),
    _xlpm.codItem &amp; "-" &amp; _xlpm.codArea &amp; "-" &amp; _xlpm.secuencia
)</f>
        <v>-SinArea-0000</v>
      </c>
      <c r="N563" s="77"/>
      <c r="O563" s="32"/>
      <c r="P563" s="32"/>
      <c r="Q563" s="32"/>
      <c r="R563" s="32"/>
    </row>
    <row r="564" spans="3:18" x14ac:dyDescent="0.3">
      <c r="C564" s="11"/>
      <c r="D564" s="32"/>
      <c r="E564" s="11" t="str" cm="1">
        <f t="array" ref="E564">_xlfn.IFS(
    COUNTIF(Herramientas_eléctricas1862106149[Herramientas_eléctricas], B564) &gt; 0, Herramientas_eléctricas1862106149[[#Headers],[Herramientas_eléctricas]],
    COUNTIF(Herramientas_neumáticas1963107150[Herramientas_neumáticas], B564) &gt; 0, Herramientas_neumáticas1963107150[[#Headers],[Herramientas_neumáticas]],
    COUNTIF(Herramientas_de_medición2064108151[Herramientas_de_medición], B564) &gt; 0, Herramientas_de_medición2064108151[[#Headers],[Herramientas_de_medición]],
    COUNTIF(Herrramientas_mecánicas2165109152[Herramientas_mecánicas], B564) &gt; 0, Herrramientas_mecánicas2165109152[[#Headers],[Herramientas_mecánicas]],
    COUNTIF(AH564:AH570, B564) &gt; 0, Herramientas_hidráulicas2266110153[[#Headers],[Herramientas_hidráulicas]],
    COUNTIF(EPP_2367111154[SPCC], B564) &gt; 0, EPP_2367111154[[#Headers],[SPCC]],
   COUNTIF(Herramientas_de_izaje2468112155[Herramientas_de_izaje], B564) &gt; 0, Herramientas_de_izaje2468112155[[#Headers],[Herramientas_de_izaje]],
COUNTIF(Tabla162670114157[Equipos], B564) &gt; 0, Tabla162670114157[[#Headers],[Equipos]],
    TRUE, "Sin clasificación"
)</f>
        <v>Sin clasificación</v>
      </c>
      <c r="I564" s="15"/>
      <c r="J564" s="47"/>
      <c r="K564" s="76"/>
      <c r="L564" s="76"/>
      <c r="M564" s="78" t="str">
        <f>_xlfn.LET(
    _xlpm.itemBuscado, B564,
    _xlpm.areaBuscada, C564,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TEXT(COUNTIF($C$2:C564, _xlpm.areaBuscada), "0000"),
    _xlpm.codItem &amp; "-" &amp; _xlpm.codArea &amp; "-" &amp; _xlpm.secuencia
)</f>
        <v>-SinArea-0000</v>
      </c>
      <c r="N564" s="77"/>
      <c r="O564" s="32"/>
      <c r="P564" s="32"/>
      <c r="Q564" s="32"/>
      <c r="R564" s="32"/>
    </row>
    <row r="565" spans="3:18" x14ac:dyDescent="0.3">
      <c r="C565" s="11"/>
      <c r="D565" s="32"/>
      <c r="E565" s="11" t="str" cm="1">
        <f t="array" ref="E565">_xlfn.IFS(
    COUNTIF(Herramientas_eléctricas1862106149[Herramientas_eléctricas], B565) &gt; 0, Herramientas_eléctricas1862106149[[#Headers],[Herramientas_eléctricas]],
    COUNTIF(Herramientas_neumáticas1963107150[Herramientas_neumáticas], B565) &gt; 0, Herramientas_neumáticas1963107150[[#Headers],[Herramientas_neumáticas]],
    COUNTIF(Herramientas_de_medición2064108151[Herramientas_de_medición], B565) &gt; 0, Herramientas_de_medición2064108151[[#Headers],[Herramientas_de_medición]],
    COUNTIF(Herrramientas_mecánicas2165109152[Herramientas_mecánicas], B565) &gt; 0, Herrramientas_mecánicas2165109152[[#Headers],[Herramientas_mecánicas]],
    COUNTIF(AH565:AH571, B565) &gt; 0, Herramientas_hidráulicas2266110153[[#Headers],[Herramientas_hidráulicas]],
    COUNTIF(EPP_2367111154[SPCC], B565) &gt; 0, EPP_2367111154[[#Headers],[SPCC]],
   COUNTIF(Herramientas_de_izaje2468112155[Herramientas_de_izaje], B565) &gt; 0, Herramientas_de_izaje2468112155[[#Headers],[Herramientas_de_izaje]],
COUNTIF(Tabla162670114157[Equipos], B565) &gt; 0, Tabla162670114157[[#Headers],[Equipos]],
    TRUE, "Sin clasificación"
)</f>
        <v>Sin clasificación</v>
      </c>
      <c r="I565" s="15"/>
      <c r="J565" s="47"/>
      <c r="K565" s="76"/>
      <c r="L565" s="76"/>
      <c r="M565" s="78" t="str">
        <f>_xlfn.LET(
    _xlpm.itemBuscado, B565,
    _xlpm.areaBuscada, C565,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TEXT(COUNTIF($C$2:C565, _xlpm.areaBuscada), "0000"),
    _xlpm.codItem &amp; "-" &amp; _xlpm.codArea &amp; "-" &amp; _xlpm.secuencia
)</f>
        <v>-SinArea-0000</v>
      </c>
      <c r="N565" s="77"/>
      <c r="O565" s="32"/>
      <c r="P565" s="32"/>
      <c r="Q565" s="32"/>
      <c r="R565" s="32"/>
    </row>
    <row r="566" spans="3:18" x14ac:dyDescent="0.3">
      <c r="C566" s="11"/>
      <c r="D566" s="32"/>
      <c r="E566" s="11" t="str" cm="1">
        <f t="array" ref="E566">_xlfn.IFS(
    COUNTIF(Herramientas_eléctricas1862106149[Herramientas_eléctricas], B566) &gt; 0, Herramientas_eléctricas1862106149[[#Headers],[Herramientas_eléctricas]],
    COUNTIF(Herramientas_neumáticas1963107150[Herramientas_neumáticas], B566) &gt; 0, Herramientas_neumáticas1963107150[[#Headers],[Herramientas_neumáticas]],
    COUNTIF(Herramientas_de_medición2064108151[Herramientas_de_medición], B566) &gt; 0, Herramientas_de_medición2064108151[[#Headers],[Herramientas_de_medición]],
    COUNTIF(Herrramientas_mecánicas2165109152[Herramientas_mecánicas], B566) &gt; 0, Herrramientas_mecánicas2165109152[[#Headers],[Herramientas_mecánicas]],
    COUNTIF(AH566:AH572, B566) &gt; 0, Herramientas_hidráulicas2266110153[[#Headers],[Herramientas_hidráulicas]],
    COUNTIF(EPP_2367111154[SPCC], B566) &gt; 0, EPP_2367111154[[#Headers],[SPCC]],
   COUNTIF(Herramientas_de_izaje2468112155[Herramientas_de_izaje], B566) &gt; 0, Herramientas_de_izaje2468112155[[#Headers],[Herramientas_de_izaje]],
COUNTIF(Tabla162670114157[Equipos], B566) &gt; 0, Tabla162670114157[[#Headers],[Equipos]],
    TRUE, "Sin clasificación"
)</f>
        <v>Sin clasificación</v>
      </c>
      <c r="I566" s="15"/>
      <c r="J566" s="47"/>
      <c r="K566" s="76"/>
      <c r="L566" s="76"/>
      <c r="M566" s="78" t="str">
        <f>_xlfn.LET(
    _xlpm.itemBuscado, B566,
    _xlpm.areaBuscada, C566,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TEXT(COUNTIF($C$2:C566, _xlpm.areaBuscada), "0000"),
    _xlpm.codItem &amp; "-" &amp; _xlpm.codArea &amp; "-" &amp; _xlpm.secuencia
)</f>
        <v>-SinArea-0000</v>
      </c>
      <c r="N566" s="77"/>
      <c r="O566" s="32"/>
      <c r="P566" s="32"/>
      <c r="Q566" s="32"/>
      <c r="R566" s="32"/>
    </row>
    <row r="567" spans="3:18" x14ac:dyDescent="0.3">
      <c r="C567" s="11"/>
      <c r="D567" s="32"/>
      <c r="E567" s="11" t="str" cm="1">
        <f t="array" ref="E567">_xlfn.IFS(
    COUNTIF(Herramientas_eléctricas1862106149[Herramientas_eléctricas], B567) &gt; 0, Herramientas_eléctricas1862106149[[#Headers],[Herramientas_eléctricas]],
    COUNTIF(Herramientas_neumáticas1963107150[Herramientas_neumáticas], B567) &gt; 0, Herramientas_neumáticas1963107150[[#Headers],[Herramientas_neumáticas]],
    COUNTIF(Herramientas_de_medición2064108151[Herramientas_de_medición], B567) &gt; 0, Herramientas_de_medición2064108151[[#Headers],[Herramientas_de_medición]],
    COUNTIF(Herrramientas_mecánicas2165109152[Herramientas_mecánicas], B567) &gt; 0, Herrramientas_mecánicas2165109152[[#Headers],[Herramientas_mecánicas]],
    COUNTIF(AH567:AH573, B567) &gt; 0, Herramientas_hidráulicas2266110153[[#Headers],[Herramientas_hidráulicas]],
    COUNTIF(EPP_2367111154[SPCC], B567) &gt; 0, EPP_2367111154[[#Headers],[SPCC]],
   COUNTIF(Herramientas_de_izaje2468112155[Herramientas_de_izaje], B567) &gt; 0, Herramientas_de_izaje2468112155[[#Headers],[Herramientas_de_izaje]],
COUNTIF(Tabla162670114157[Equipos], B567) &gt; 0, Tabla162670114157[[#Headers],[Equipos]],
    TRUE, "Sin clasificación"
)</f>
        <v>Sin clasificación</v>
      </c>
      <c r="I567" s="15"/>
      <c r="J567" s="47"/>
      <c r="K567" s="76"/>
      <c r="L567" s="76"/>
      <c r="M567" s="78" t="str">
        <f>_xlfn.LET(
    _xlpm.itemBuscado, B567,
    _xlpm.areaBuscada, C567,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TEXT(COUNTIF($C$2:C567, _xlpm.areaBuscada), "0000"),
    _xlpm.codItem &amp; "-" &amp; _xlpm.codArea &amp; "-" &amp; _xlpm.secuencia
)</f>
        <v>-SinArea-0000</v>
      </c>
      <c r="N567" s="77"/>
      <c r="O567" s="32"/>
      <c r="P567" s="32"/>
      <c r="Q567" s="32"/>
      <c r="R567" s="32"/>
    </row>
    <row r="568" spans="3:18" x14ac:dyDescent="0.3">
      <c r="C568" s="11"/>
      <c r="D568" s="32"/>
      <c r="E568" s="11" t="str" cm="1">
        <f t="array" ref="E568">_xlfn.IFS(
    COUNTIF(Herramientas_eléctricas1862106149[Herramientas_eléctricas], B568) &gt; 0, Herramientas_eléctricas1862106149[[#Headers],[Herramientas_eléctricas]],
    COUNTIF(Herramientas_neumáticas1963107150[Herramientas_neumáticas], B568) &gt; 0, Herramientas_neumáticas1963107150[[#Headers],[Herramientas_neumáticas]],
    COUNTIF(Herramientas_de_medición2064108151[Herramientas_de_medición], B568) &gt; 0, Herramientas_de_medición2064108151[[#Headers],[Herramientas_de_medición]],
    COUNTIF(Herrramientas_mecánicas2165109152[Herramientas_mecánicas], B568) &gt; 0, Herrramientas_mecánicas2165109152[[#Headers],[Herramientas_mecánicas]],
    COUNTIF(AH568:AH574, B568) &gt; 0, Herramientas_hidráulicas2266110153[[#Headers],[Herramientas_hidráulicas]],
    COUNTIF(EPP_2367111154[SPCC], B568) &gt; 0, EPP_2367111154[[#Headers],[SPCC]],
   COUNTIF(Herramientas_de_izaje2468112155[Herramientas_de_izaje], B568) &gt; 0, Herramientas_de_izaje2468112155[[#Headers],[Herramientas_de_izaje]],
COUNTIF(Tabla162670114157[Equipos], B568) &gt; 0, Tabla162670114157[[#Headers],[Equipos]],
    TRUE, "Sin clasificación"
)</f>
        <v>Sin clasificación</v>
      </c>
      <c r="I568" s="15"/>
      <c r="J568" s="47"/>
      <c r="K568" s="76"/>
      <c r="L568" s="76"/>
      <c r="M568" s="78" t="str">
        <f>_xlfn.LET(
    _xlpm.itemBuscado, B568,
    _xlpm.areaBuscada, C568,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TEXT(COUNTIF($C$2:C568, _xlpm.areaBuscada), "0000"),
    _xlpm.codItem &amp; "-" &amp; _xlpm.codArea &amp; "-" &amp; _xlpm.secuencia
)</f>
        <v>-SinArea-0000</v>
      </c>
      <c r="N568" s="77"/>
      <c r="O568" s="32"/>
      <c r="P568" s="32"/>
      <c r="Q568" s="32"/>
      <c r="R568" s="32"/>
    </row>
    <row r="569" spans="3:18" x14ac:dyDescent="0.3">
      <c r="C569" s="11"/>
      <c r="D569" s="32"/>
      <c r="E569" s="11" t="str" cm="1">
        <f t="array" ref="E569">_xlfn.IFS(
    COUNTIF(Herramientas_eléctricas1862106149[Herramientas_eléctricas], B569) &gt; 0, Herramientas_eléctricas1862106149[[#Headers],[Herramientas_eléctricas]],
    COUNTIF(Herramientas_neumáticas1963107150[Herramientas_neumáticas], B569) &gt; 0, Herramientas_neumáticas1963107150[[#Headers],[Herramientas_neumáticas]],
    COUNTIF(Herramientas_de_medición2064108151[Herramientas_de_medición], B569) &gt; 0, Herramientas_de_medición2064108151[[#Headers],[Herramientas_de_medición]],
    COUNTIF(Herrramientas_mecánicas2165109152[Herramientas_mecánicas], B569) &gt; 0, Herrramientas_mecánicas2165109152[[#Headers],[Herramientas_mecánicas]],
    COUNTIF(AH569:AH575, B569) &gt; 0, Herramientas_hidráulicas2266110153[[#Headers],[Herramientas_hidráulicas]],
    COUNTIF(EPP_2367111154[SPCC], B569) &gt; 0, EPP_2367111154[[#Headers],[SPCC]],
   COUNTIF(Herramientas_de_izaje2468112155[Herramientas_de_izaje], B569) &gt; 0, Herramientas_de_izaje2468112155[[#Headers],[Herramientas_de_izaje]],
COUNTIF(Tabla162670114157[Equipos], B569) &gt; 0, Tabla162670114157[[#Headers],[Equipos]],
    TRUE, "Sin clasificación"
)</f>
        <v>Sin clasificación</v>
      </c>
      <c r="I569" s="15"/>
      <c r="J569" s="47"/>
      <c r="K569" s="76"/>
      <c r="L569" s="76"/>
      <c r="M569" s="78" t="str">
        <f>_xlfn.LET(
    _xlpm.itemBuscado, B569,
    _xlpm.areaBuscada, C569,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TEXT(COUNTIF($C$2:C569, _xlpm.areaBuscada), "0000"),
    _xlpm.codItem &amp; "-" &amp; _xlpm.codArea &amp; "-" &amp; _xlpm.secuencia
)</f>
        <v>-SinArea-0000</v>
      </c>
      <c r="N569" s="77"/>
      <c r="O569" s="32"/>
      <c r="P569" s="32"/>
      <c r="Q569" s="32"/>
      <c r="R569" s="32"/>
    </row>
    <row r="570" spans="3:18" x14ac:dyDescent="0.3">
      <c r="C570" s="11"/>
      <c r="D570" s="32"/>
      <c r="E570" s="11" t="str" cm="1">
        <f t="array" ref="E570">_xlfn.IFS(
    COUNTIF(Herramientas_eléctricas1862106149[Herramientas_eléctricas], B570) &gt; 0, Herramientas_eléctricas1862106149[[#Headers],[Herramientas_eléctricas]],
    COUNTIF(Herramientas_neumáticas1963107150[Herramientas_neumáticas], B570) &gt; 0, Herramientas_neumáticas1963107150[[#Headers],[Herramientas_neumáticas]],
    COUNTIF(Herramientas_de_medición2064108151[Herramientas_de_medición], B570) &gt; 0, Herramientas_de_medición2064108151[[#Headers],[Herramientas_de_medición]],
    COUNTIF(Herrramientas_mecánicas2165109152[Herramientas_mecánicas], B570) &gt; 0, Herrramientas_mecánicas2165109152[[#Headers],[Herramientas_mecánicas]],
    COUNTIF(AH570:AH576, B570) &gt; 0, Herramientas_hidráulicas2266110153[[#Headers],[Herramientas_hidráulicas]],
    COUNTIF(EPP_2367111154[SPCC], B570) &gt; 0, EPP_2367111154[[#Headers],[SPCC]],
   COUNTIF(Herramientas_de_izaje2468112155[Herramientas_de_izaje], B570) &gt; 0, Herramientas_de_izaje2468112155[[#Headers],[Herramientas_de_izaje]],
COUNTIF(Tabla162670114157[Equipos], B570) &gt; 0, Tabla162670114157[[#Headers],[Equipos]],
    TRUE, "Sin clasificación"
)</f>
        <v>Sin clasificación</v>
      </c>
      <c r="I570" s="15"/>
      <c r="J570" s="47"/>
      <c r="K570" s="76"/>
      <c r="L570" s="76"/>
      <c r="M570" s="78" t="str">
        <f>_xlfn.LET(
    _xlpm.itemBuscado, B570,
    _xlpm.areaBuscada, C570,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TEXT(COUNTIF($C$2:C570, _xlpm.areaBuscada), "0000"),
    _xlpm.codItem &amp; "-" &amp; _xlpm.codArea &amp; "-" &amp; _xlpm.secuencia
)</f>
        <v>-SinArea-0000</v>
      </c>
      <c r="N570" s="77"/>
      <c r="O570" s="32"/>
      <c r="P570" s="32"/>
      <c r="Q570" s="32"/>
      <c r="R570" s="32"/>
    </row>
    <row r="571" spans="3:18" x14ac:dyDescent="0.3">
      <c r="C571" s="11"/>
      <c r="D571" s="32"/>
      <c r="E571" s="11" t="str" cm="1">
        <f t="array" ref="E571">_xlfn.IFS(
    COUNTIF(Herramientas_eléctricas1862106149[Herramientas_eléctricas], B571) &gt; 0, Herramientas_eléctricas1862106149[[#Headers],[Herramientas_eléctricas]],
    COUNTIF(Herramientas_neumáticas1963107150[Herramientas_neumáticas], B571) &gt; 0, Herramientas_neumáticas1963107150[[#Headers],[Herramientas_neumáticas]],
    COUNTIF(Herramientas_de_medición2064108151[Herramientas_de_medición], B571) &gt; 0, Herramientas_de_medición2064108151[[#Headers],[Herramientas_de_medición]],
    COUNTIF(Herrramientas_mecánicas2165109152[Herramientas_mecánicas], B571) &gt; 0, Herrramientas_mecánicas2165109152[[#Headers],[Herramientas_mecánicas]],
    COUNTIF(AH571:AH577, B571) &gt; 0, Herramientas_hidráulicas2266110153[[#Headers],[Herramientas_hidráulicas]],
    COUNTIF(EPP_2367111154[SPCC], B571) &gt; 0, EPP_2367111154[[#Headers],[SPCC]],
   COUNTIF(Herramientas_de_izaje2468112155[Herramientas_de_izaje], B571) &gt; 0, Herramientas_de_izaje2468112155[[#Headers],[Herramientas_de_izaje]],
COUNTIF(Tabla162670114157[Equipos], B571) &gt; 0, Tabla162670114157[[#Headers],[Equipos]],
    TRUE, "Sin clasificación"
)</f>
        <v>Sin clasificación</v>
      </c>
      <c r="I571" s="15"/>
      <c r="J571" s="47"/>
      <c r="K571" s="76"/>
      <c r="L571" s="76"/>
      <c r="M571" s="78" t="str">
        <f>_xlfn.LET(
    _xlpm.itemBuscado, B571,
    _xlpm.areaBuscada, C571,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TEXT(COUNTIF($C$2:C571, _xlpm.areaBuscada), "0000"),
    _xlpm.codItem &amp; "-" &amp; _xlpm.codArea &amp; "-" &amp; _xlpm.secuencia
)</f>
        <v>-SinArea-0000</v>
      </c>
      <c r="N571" s="77"/>
      <c r="O571" s="32"/>
      <c r="P571" s="32"/>
      <c r="Q571" s="32"/>
      <c r="R571" s="32"/>
    </row>
    <row r="572" spans="3:18" x14ac:dyDescent="0.3">
      <c r="C572" s="11"/>
      <c r="D572" s="32"/>
      <c r="E572" s="11" t="str" cm="1">
        <f t="array" ref="E572">_xlfn.IFS(
    COUNTIF(Herramientas_eléctricas1862106149[Herramientas_eléctricas], B572) &gt; 0, Herramientas_eléctricas1862106149[[#Headers],[Herramientas_eléctricas]],
    COUNTIF(Herramientas_neumáticas1963107150[Herramientas_neumáticas], B572) &gt; 0, Herramientas_neumáticas1963107150[[#Headers],[Herramientas_neumáticas]],
    COUNTIF(Herramientas_de_medición2064108151[Herramientas_de_medición], B572) &gt; 0, Herramientas_de_medición2064108151[[#Headers],[Herramientas_de_medición]],
    COUNTIF(Herrramientas_mecánicas2165109152[Herramientas_mecánicas], B572) &gt; 0, Herrramientas_mecánicas2165109152[[#Headers],[Herramientas_mecánicas]],
    COUNTIF(AH572:AH578, B572) &gt; 0, Herramientas_hidráulicas2266110153[[#Headers],[Herramientas_hidráulicas]],
    COUNTIF(EPP_2367111154[SPCC], B572) &gt; 0, EPP_2367111154[[#Headers],[SPCC]],
   COUNTIF(Herramientas_de_izaje2468112155[Herramientas_de_izaje], B572) &gt; 0, Herramientas_de_izaje2468112155[[#Headers],[Herramientas_de_izaje]],
COUNTIF(Tabla162670114157[Equipos], B572) &gt; 0, Tabla162670114157[[#Headers],[Equipos]],
    TRUE, "Sin clasificación"
)</f>
        <v>Sin clasificación</v>
      </c>
      <c r="I572" s="15"/>
      <c r="J572" s="47"/>
      <c r="K572" s="76"/>
      <c r="L572" s="76"/>
      <c r="M572" s="78" t="str">
        <f>_xlfn.LET(
    _xlpm.itemBuscado, B572,
    _xlpm.areaBuscada, C572,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TEXT(COUNTIF($C$2:C572, _xlpm.areaBuscada), "0000"),
    _xlpm.codItem &amp; "-" &amp; _xlpm.codArea &amp; "-" &amp; _xlpm.secuencia
)</f>
        <v>-SinArea-0000</v>
      </c>
      <c r="N572" s="77"/>
      <c r="O572" s="32"/>
      <c r="P572" s="32"/>
      <c r="Q572" s="32"/>
      <c r="R572" s="32"/>
    </row>
    <row r="573" spans="3:18" x14ac:dyDescent="0.3">
      <c r="C573" s="11"/>
      <c r="D573" s="32"/>
      <c r="E573" s="11" t="str" cm="1">
        <f t="array" ref="E573">_xlfn.IFS(
    COUNTIF(Herramientas_eléctricas1862106149[Herramientas_eléctricas], B573) &gt; 0, Herramientas_eléctricas1862106149[[#Headers],[Herramientas_eléctricas]],
    COUNTIF(Herramientas_neumáticas1963107150[Herramientas_neumáticas], B573) &gt; 0, Herramientas_neumáticas1963107150[[#Headers],[Herramientas_neumáticas]],
    COUNTIF(Herramientas_de_medición2064108151[Herramientas_de_medición], B573) &gt; 0, Herramientas_de_medición2064108151[[#Headers],[Herramientas_de_medición]],
    COUNTIF(Herrramientas_mecánicas2165109152[Herramientas_mecánicas], B573) &gt; 0, Herrramientas_mecánicas2165109152[[#Headers],[Herramientas_mecánicas]],
    COUNTIF(AH573:AH579, B573) &gt; 0, Herramientas_hidráulicas2266110153[[#Headers],[Herramientas_hidráulicas]],
    COUNTIF(EPP_2367111154[SPCC], B573) &gt; 0, EPP_2367111154[[#Headers],[SPCC]],
   COUNTIF(Herramientas_de_izaje2468112155[Herramientas_de_izaje], B573) &gt; 0, Herramientas_de_izaje2468112155[[#Headers],[Herramientas_de_izaje]],
COUNTIF(Tabla162670114157[Equipos], B573) &gt; 0, Tabla162670114157[[#Headers],[Equipos]],
    TRUE, "Sin clasificación"
)</f>
        <v>Sin clasificación</v>
      </c>
      <c r="I573" s="15"/>
      <c r="J573" s="47"/>
      <c r="K573" s="76"/>
      <c r="L573" s="76"/>
      <c r="M573" s="78" t="str">
        <f>_xlfn.LET(
    _xlpm.itemBuscado, B573,
    _xlpm.areaBuscada, C573,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TEXT(COUNTIF($C$2:C573, _xlpm.areaBuscada), "0000"),
    _xlpm.codItem &amp; "-" &amp; _xlpm.codArea &amp; "-" &amp; _xlpm.secuencia
)</f>
        <v>-SinArea-0000</v>
      </c>
      <c r="N573" s="77"/>
      <c r="O573" s="32"/>
      <c r="P573" s="32"/>
      <c r="Q573" s="32"/>
      <c r="R573" s="32"/>
    </row>
    <row r="574" spans="3:18" x14ac:dyDescent="0.3">
      <c r="C574" s="11"/>
      <c r="D574" s="32"/>
      <c r="E574" s="11" t="str" cm="1">
        <f t="array" ref="E574">_xlfn.IFS(
    COUNTIF(Herramientas_eléctricas1862106149[Herramientas_eléctricas], B574) &gt; 0, Herramientas_eléctricas1862106149[[#Headers],[Herramientas_eléctricas]],
    COUNTIF(Herramientas_neumáticas1963107150[Herramientas_neumáticas], B574) &gt; 0, Herramientas_neumáticas1963107150[[#Headers],[Herramientas_neumáticas]],
    COUNTIF(Herramientas_de_medición2064108151[Herramientas_de_medición], B574) &gt; 0, Herramientas_de_medición2064108151[[#Headers],[Herramientas_de_medición]],
    COUNTIF(Herrramientas_mecánicas2165109152[Herramientas_mecánicas], B574) &gt; 0, Herrramientas_mecánicas2165109152[[#Headers],[Herramientas_mecánicas]],
    COUNTIF(AH574:AH580, B574) &gt; 0, Herramientas_hidráulicas2266110153[[#Headers],[Herramientas_hidráulicas]],
    COUNTIF(EPP_2367111154[SPCC], B574) &gt; 0, EPP_2367111154[[#Headers],[SPCC]],
   COUNTIF(Herramientas_de_izaje2468112155[Herramientas_de_izaje], B574) &gt; 0, Herramientas_de_izaje2468112155[[#Headers],[Herramientas_de_izaje]],
COUNTIF(Tabla162670114157[Equipos], B574) &gt; 0, Tabla162670114157[[#Headers],[Equipos]],
    TRUE, "Sin clasificación"
)</f>
        <v>Sin clasificación</v>
      </c>
      <c r="I574" s="15"/>
      <c r="J574" s="47"/>
      <c r="K574" s="76"/>
      <c r="L574" s="76"/>
      <c r="M574" s="78" t="str">
        <f>_xlfn.LET(
    _xlpm.itemBuscado, B574,
    _xlpm.areaBuscada, C574,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TEXT(COUNTIF($C$2:C574, _xlpm.areaBuscada), "0000"),
    _xlpm.codItem &amp; "-" &amp; _xlpm.codArea &amp; "-" &amp; _xlpm.secuencia
)</f>
        <v>-SinArea-0000</v>
      </c>
      <c r="N574" s="77"/>
      <c r="O574" s="32"/>
      <c r="P574" s="32"/>
      <c r="Q574" s="32"/>
      <c r="R574" s="32"/>
    </row>
    <row r="575" spans="3:18" x14ac:dyDescent="0.3">
      <c r="C575" s="11"/>
      <c r="D575" s="32"/>
      <c r="E575" s="11" t="str" cm="1">
        <f t="array" ref="E575">_xlfn.IFS(
    COUNTIF(Herramientas_eléctricas1862106149[Herramientas_eléctricas], B575) &gt; 0, Herramientas_eléctricas1862106149[[#Headers],[Herramientas_eléctricas]],
    COUNTIF(Herramientas_neumáticas1963107150[Herramientas_neumáticas], B575) &gt; 0, Herramientas_neumáticas1963107150[[#Headers],[Herramientas_neumáticas]],
    COUNTIF(Herramientas_de_medición2064108151[Herramientas_de_medición], B575) &gt; 0, Herramientas_de_medición2064108151[[#Headers],[Herramientas_de_medición]],
    COUNTIF(Herrramientas_mecánicas2165109152[Herramientas_mecánicas], B575) &gt; 0, Herrramientas_mecánicas2165109152[[#Headers],[Herramientas_mecánicas]],
    COUNTIF(AH575:AH581, B575) &gt; 0, Herramientas_hidráulicas2266110153[[#Headers],[Herramientas_hidráulicas]],
    COUNTIF(EPP_2367111154[SPCC], B575) &gt; 0, EPP_2367111154[[#Headers],[SPCC]],
   COUNTIF(Herramientas_de_izaje2468112155[Herramientas_de_izaje], B575) &gt; 0, Herramientas_de_izaje2468112155[[#Headers],[Herramientas_de_izaje]],
COUNTIF(Tabla162670114157[Equipos], B575) &gt; 0, Tabla162670114157[[#Headers],[Equipos]],
    TRUE, "Sin clasificación"
)</f>
        <v>Sin clasificación</v>
      </c>
      <c r="I575" s="15"/>
      <c r="J575" s="47"/>
      <c r="K575" s="76"/>
      <c r="L575" s="76"/>
      <c r="M575" s="78" t="str">
        <f>_xlfn.LET(
    _xlpm.itemBuscado, B575,
    _xlpm.areaBuscada, C575,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TEXT(COUNTIF($C$2:C575, _xlpm.areaBuscada), "0000"),
    _xlpm.codItem &amp; "-" &amp; _xlpm.codArea &amp; "-" &amp; _xlpm.secuencia
)</f>
        <v>-SinArea-0000</v>
      </c>
      <c r="N575" s="77"/>
      <c r="O575" s="32"/>
      <c r="P575" s="32"/>
      <c r="Q575" s="32"/>
      <c r="R575" s="32"/>
    </row>
    <row r="576" spans="3:18" x14ac:dyDescent="0.3">
      <c r="C576" s="11"/>
      <c r="D576" s="32"/>
      <c r="E576" s="11" t="str" cm="1">
        <f t="array" ref="E576">_xlfn.IFS(
    COUNTIF(Herramientas_eléctricas1862106149[Herramientas_eléctricas], B576) &gt; 0, Herramientas_eléctricas1862106149[[#Headers],[Herramientas_eléctricas]],
    COUNTIF(Herramientas_neumáticas1963107150[Herramientas_neumáticas], B576) &gt; 0, Herramientas_neumáticas1963107150[[#Headers],[Herramientas_neumáticas]],
    COUNTIF(Herramientas_de_medición2064108151[Herramientas_de_medición], B576) &gt; 0, Herramientas_de_medición2064108151[[#Headers],[Herramientas_de_medición]],
    COUNTIF(Herrramientas_mecánicas2165109152[Herramientas_mecánicas], B576) &gt; 0, Herrramientas_mecánicas2165109152[[#Headers],[Herramientas_mecánicas]],
    COUNTIF(AH576:AH582, B576) &gt; 0, Herramientas_hidráulicas2266110153[[#Headers],[Herramientas_hidráulicas]],
    COUNTIF(EPP_2367111154[SPCC], B576) &gt; 0, EPP_2367111154[[#Headers],[SPCC]],
   COUNTIF(Herramientas_de_izaje2468112155[Herramientas_de_izaje], B576) &gt; 0, Herramientas_de_izaje2468112155[[#Headers],[Herramientas_de_izaje]],
COUNTIF(Tabla162670114157[Equipos], B576) &gt; 0, Tabla162670114157[[#Headers],[Equipos]],
    TRUE, "Sin clasificación"
)</f>
        <v>Sin clasificación</v>
      </c>
      <c r="I576" s="15"/>
      <c r="J576" s="47"/>
      <c r="K576" s="76"/>
      <c r="L576" s="76"/>
      <c r="M576" s="78" t="str">
        <f>_xlfn.LET(
    _xlpm.itemBuscado, B576,
    _xlpm.areaBuscada, C576,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TEXT(COUNTIF($C$2:C576, _xlpm.areaBuscada), "0000"),
    _xlpm.codItem &amp; "-" &amp; _xlpm.codArea &amp; "-" &amp; _xlpm.secuencia
)</f>
        <v>-SinArea-0000</v>
      </c>
      <c r="N576" s="77"/>
      <c r="O576" s="32"/>
      <c r="P576" s="32"/>
      <c r="Q576" s="32"/>
      <c r="R576" s="32"/>
    </row>
    <row r="577" spans="3:18" x14ac:dyDescent="0.3">
      <c r="C577" s="11"/>
      <c r="D577" s="32"/>
      <c r="E577" s="11" t="str" cm="1">
        <f t="array" ref="E577">_xlfn.IFS(
    COUNTIF(Herramientas_eléctricas1862106149[Herramientas_eléctricas], B577) &gt; 0, Herramientas_eléctricas1862106149[[#Headers],[Herramientas_eléctricas]],
    COUNTIF(Herramientas_neumáticas1963107150[Herramientas_neumáticas], B577) &gt; 0, Herramientas_neumáticas1963107150[[#Headers],[Herramientas_neumáticas]],
    COUNTIF(Herramientas_de_medición2064108151[Herramientas_de_medición], B577) &gt; 0, Herramientas_de_medición2064108151[[#Headers],[Herramientas_de_medición]],
    COUNTIF(Herrramientas_mecánicas2165109152[Herramientas_mecánicas], B577) &gt; 0, Herrramientas_mecánicas2165109152[[#Headers],[Herramientas_mecánicas]],
    COUNTIF(AH577:AH583, B577) &gt; 0, Herramientas_hidráulicas2266110153[[#Headers],[Herramientas_hidráulicas]],
    COUNTIF(EPP_2367111154[SPCC], B577) &gt; 0, EPP_2367111154[[#Headers],[SPCC]],
   COUNTIF(Herramientas_de_izaje2468112155[Herramientas_de_izaje], B577) &gt; 0, Herramientas_de_izaje2468112155[[#Headers],[Herramientas_de_izaje]],
COUNTIF(Tabla162670114157[Equipos], B577) &gt; 0, Tabla162670114157[[#Headers],[Equipos]],
    TRUE, "Sin clasificación"
)</f>
        <v>Sin clasificación</v>
      </c>
      <c r="I577" s="15"/>
      <c r="J577" s="47"/>
      <c r="K577" s="76"/>
      <c r="L577" s="76"/>
      <c r="M577" s="78" t="str">
        <f>_xlfn.LET(
    _xlpm.itemBuscado, B577,
    _xlpm.areaBuscada, C577,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TEXT(COUNTIF($C$2:C577, _xlpm.areaBuscada), "0000"),
    _xlpm.codItem &amp; "-" &amp; _xlpm.codArea &amp; "-" &amp; _xlpm.secuencia
)</f>
        <v>-SinArea-0000</v>
      </c>
      <c r="N577" s="77"/>
      <c r="O577" s="32"/>
      <c r="P577" s="32"/>
      <c r="Q577" s="32"/>
      <c r="R577" s="32"/>
    </row>
    <row r="578" spans="3:18" x14ac:dyDescent="0.3">
      <c r="C578" s="11"/>
      <c r="D578" s="32"/>
      <c r="E578" s="11" t="str" cm="1">
        <f t="array" ref="E578">_xlfn.IFS(
    COUNTIF(Herramientas_eléctricas1862106149[Herramientas_eléctricas], B578) &gt; 0, Herramientas_eléctricas1862106149[[#Headers],[Herramientas_eléctricas]],
    COUNTIF(Herramientas_neumáticas1963107150[Herramientas_neumáticas], B578) &gt; 0, Herramientas_neumáticas1963107150[[#Headers],[Herramientas_neumáticas]],
    COUNTIF(Herramientas_de_medición2064108151[Herramientas_de_medición], B578) &gt; 0, Herramientas_de_medición2064108151[[#Headers],[Herramientas_de_medición]],
    COUNTIF(Herrramientas_mecánicas2165109152[Herramientas_mecánicas], B578) &gt; 0, Herrramientas_mecánicas2165109152[[#Headers],[Herramientas_mecánicas]],
    COUNTIF(AH578:AH584, B578) &gt; 0, Herramientas_hidráulicas2266110153[[#Headers],[Herramientas_hidráulicas]],
    COUNTIF(EPP_2367111154[SPCC], B578) &gt; 0, EPP_2367111154[[#Headers],[SPCC]],
   COUNTIF(Herramientas_de_izaje2468112155[Herramientas_de_izaje], B578) &gt; 0, Herramientas_de_izaje2468112155[[#Headers],[Herramientas_de_izaje]],
COUNTIF(Tabla162670114157[Equipos], B578) &gt; 0, Tabla162670114157[[#Headers],[Equipos]],
    TRUE, "Sin clasificación"
)</f>
        <v>Sin clasificación</v>
      </c>
      <c r="I578" s="15"/>
      <c r="J578" s="47"/>
      <c r="K578" s="76"/>
      <c r="L578" s="76"/>
      <c r="M578" s="78" t="str">
        <f>_xlfn.LET(
    _xlpm.itemBuscado, B578,
    _xlpm.areaBuscada, C578,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TEXT(COUNTIF($C$2:C578, _xlpm.areaBuscada), "0000"),
    _xlpm.codItem &amp; "-" &amp; _xlpm.codArea &amp; "-" &amp; _xlpm.secuencia
)</f>
        <v>-SinArea-0000</v>
      </c>
      <c r="N578" s="77"/>
      <c r="O578" s="32"/>
      <c r="P578" s="32"/>
      <c r="Q578" s="32"/>
      <c r="R578" s="32"/>
    </row>
    <row r="579" spans="3:18" x14ac:dyDescent="0.3">
      <c r="C579" s="11"/>
      <c r="D579" s="32"/>
      <c r="E579" s="11" t="str" cm="1">
        <f t="array" ref="E579">_xlfn.IFS(
    COUNTIF(Herramientas_eléctricas1862106149[Herramientas_eléctricas], B579) &gt; 0, Herramientas_eléctricas1862106149[[#Headers],[Herramientas_eléctricas]],
    COUNTIF(Herramientas_neumáticas1963107150[Herramientas_neumáticas], B579) &gt; 0, Herramientas_neumáticas1963107150[[#Headers],[Herramientas_neumáticas]],
    COUNTIF(Herramientas_de_medición2064108151[Herramientas_de_medición], B579) &gt; 0, Herramientas_de_medición2064108151[[#Headers],[Herramientas_de_medición]],
    COUNTIF(Herrramientas_mecánicas2165109152[Herramientas_mecánicas], B579) &gt; 0, Herrramientas_mecánicas2165109152[[#Headers],[Herramientas_mecánicas]],
    COUNTIF(AH579:AH585, B579) &gt; 0, Herramientas_hidráulicas2266110153[[#Headers],[Herramientas_hidráulicas]],
    COUNTIF(EPP_2367111154[SPCC], B579) &gt; 0, EPP_2367111154[[#Headers],[SPCC]],
   COUNTIF(Herramientas_de_izaje2468112155[Herramientas_de_izaje], B579) &gt; 0, Herramientas_de_izaje2468112155[[#Headers],[Herramientas_de_izaje]],
COUNTIF(Tabla162670114157[Equipos], B579) &gt; 0, Tabla162670114157[[#Headers],[Equipos]],
    TRUE, "Sin clasificación"
)</f>
        <v>Sin clasificación</v>
      </c>
      <c r="I579" s="15"/>
      <c r="J579" s="47"/>
      <c r="K579" s="76"/>
      <c r="L579" s="76"/>
      <c r="M579" s="78" t="str">
        <f>_xlfn.LET(
    _xlpm.itemBuscado, B579,
    _xlpm.areaBuscada, C579,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TEXT(COUNTIF($C$2:C579, _xlpm.areaBuscada), "0000"),
    _xlpm.codItem &amp; "-" &amp; _xlpm.codArea &amp; "-" &amp; _xlpm.secuencia
)</f>
        <v>-SinArea-0000</v>
      </c>
      <c r="N579" s="77"/>
      <c r="O579" s="32"/>
      <c r="P579" s="32"/>
      <c r="Q579" s="32"/>
      <c r="R579" s="32"/>
    </row>
    <row r="580" spans="3:18" x14ac:dyDescent="0.3">
      <c r="C580" s="11"/>
      <c r="D580" s="32"/>
      <c r="E580" s="11" t="str" cm="1">
        <f t="array" ref="E580">_xlfn.IFS(
    COUNTIF(Herramientas_eléctricas1862106149[Herramientas_eléctricas], B580) &gt; 0, Herramientas_eléctricas1862106149[[#Headers],[Herramientas_eléctricas]],
    COUNTIF(Herramientas_neumáticas1963107150[Herramientas_neumáticas], B580) &gt; 0, Herramientas_neumáticas1963107150[[#Headers],[Herramientas_neumáticas]],
    COUNTIF(Herramientas_de_medición2064108151[Herramientas_de_medición], B580) &gt; 0, Herramientas_de_medición2064108151[[#Headers],[Herramientas_de_medición]],
    COUNTIF(Herrramientas_mecánicas2165109152[Herramientas_mecánicas], B580) &gt; 0, Herrramientas_mecánicas2165109152[[#Headers],[Herramientas_mecánicas]],
    COUNTIF(AH580:AH586, B580) &gt; 0, Herramientas_hidráulicas2266110153[[#Headers],[Herramientas_hidráulicas]],
    COUNTIF(EPP_2367111154[SPCC], B580) &gt; 0, EPP_2367111154[[#Headers],[SPCC]],
   COUNTIF(Herramientas_de_izaje2468112155[Herramientas_de_izaje], B580) &gt; 0, Herramientas_de_izaje2468112155[[#Headers],[Herramientas_de_izaje]],
COUNTIF(Tabla162670114157[Equipos], B580) &gt; 0, Tabla162670114157[[#Headers],[Equipos]],
    TRUE, "Sin clasificación"
)</f>
        <v>Sin clasificación</v>
      </c>
      <c r="I580" s="15"/>
      <c r="J580" s="47"/>
      <c r="K580" s="76"/>
      <c r="L580" s="76"/>
      <c r="M580" s="78" t="str">
        <f>_xlfn.LET(
    _xlpm.itemBuscado, B580,
    _xlpm.areaBuscada, C580,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TEXT(COUNTIF($C$2:C580, _xlpm.areaBuscada), "0000"),
    _xlpm.codItem &amp; "-" &amp; _xlpm.codArea &amp; "-" &amp; _xlpm.secuencia
)</f>
        <v>-SinArea-0000</v>
      </c>
      <c r="N580" s="77"/>
      <c r="O580" s="32"/>
      <c r="P580" s="32"/>
      <c r="Q580" s="32"/>
      <c r="R580" s="32"/>
    </row>
    <row r="581" spans="3:18" x14ac:dyDescent="0.3">
      <c r="C581" s="11"/>
      <c r="D581" s="32"/>
      <c r="E581" s="11" t="str" cm="1">
        <f t="array" ref="E581">_xlfn.IFS(
    COUNTIF(Herramientas_eléctricas1862106149[Herramientas_eléctricas], B581) &gt; 0, Herramientas_eléctricas1862106149[[#Headers],[Herramientas_eléctricas]],
    COUNTIF(Herramientas_neumáticas1963107150[Herramientas_neumáticas], B581) &gt; 0, Herramientas_neumáticas1963107150[[#Headers],[Herramientas_neumáticas]],
    COUNTIF(Herramientas_de_medición2064108151[Herramientas_de_medición], B581) &gt; 0, Herramientas_de_medición2064108151[[#Headers],[Herramientas_de_medición]],
    COUNTIF(Herrramientas_mecánicas2165109152[Herramientas_mecánicas], B581) &gt; 0, Herrramientas_mecánicas2165109152[[#Headers],[Herramientas_mecánicas]],
    COUNTIF(AH581:AH587, B581) &gt; 0, Herramientas_hidráulicas2266110153[[#Headers],[Herramientas_hidráulicas]],
    COUNTIF(EPP_2367111154[SPCC], B581) &gt; 0, EPP_2367111154[[#Headers],[SPCC]],
   COUNTIF(Herramientas_de_izaje2468112155[Herramientas_de_izaje], B581) &gt; 0, Herramientas_de_izaje2468112155[[#Headers],[Herramientas_de_izaje]],
COUNTIF(Tabla162670114157[Equipos], B581) &gt; 0, Tabla162670114157[[#Headers],[Equipos]],
    TRUE, "Sin clasificación"
)</f>
        <v>Sin clasificación</v>
      </c>
      <c r="I581" s="15"/>
      <c r="J581" s="47"/>
      <c r="K581" s="76"/>
      <c r="L581" s="76"/>
      <c r="M581" s="78" t="str">
        <f>_xlfn.LET(
    _xlpm.itemBuscado, B581,
    _xlpm.areaBuscada, C581,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TEXT(COUNTIF($C$2:C581, _xlpm.areaBuscada), "0000"),
    _xlpm.codItem &amp; "-" &amp; _xlpm.codArea &amp; "-" &amp; _xlpm.secuencia
)</f>
        <v>-SinArea-0000</v>
      </c>
      <c r="N581" s="77"/>
      <c r="O581" s="32"/>
      <c r="P581" s="32"/>
      <c r="Q581" s="32"/>
      <c r="R581" s="32"/>
    </row>
    <row r="582" spans="3:18" x14ac:dyDescent="0.3">
      <c r="C582" s="11"/>
      <c r="D582" s="32"/>
      <c r="E582" s="11" t="str" cm="1">
        <f t="array" ref="E582">_xlfn.IFS(
    COUNTIF(Herramientas_eléctricas1862106149[Herramientas_eléctricas], B582) &gt; 0, Herramientas_eléctricas1862106149[[#Headers],[Herramientas_eléctricas]],
    COUNTIF(Herramientas_neumáticas1963107150[Herramientas_neumáticas], B582) &gt; 0, Herramientas_neumáticas1963107150[[#Headers],[Herramientas_neumáticas]],
    COUNTIF(Herramientas_de_medición2064108151[Herramientas_de_medición], B582) &gt; 0, Herramientas_de_medición2064108151[[#Headers],[Herramientas_de_medición]],
    COUNTIF(Herrramientas_mecánicas2165109152[Herramientas_mecánicas], B582) &gt; 0, Herrramientas_mecánicas2165109152[[#Headers],[Herramientas_mecánicas]],
    COUNTIF(AH582:AH588, B582) &gt; 0, Herramientas_hidráulicas2266110153[[#Headers],[Herramientas_hidráulicas]],
    COUNTIF(EPP_2367111154[SPCC], B582) &gt; 0, EPP_2367111154[[#Headers],[SPCC]],
   COUNTIF(Herramientas_de_izaje2468112155[Herramientas_de_izaje], B582) &gt; 0, Herramientas_de_izaje2468112155[[#Headers],[Herramientas_de_izaje]],
COUNTIF(Tabla162670114157[Equipos], B582) &gt; 0, Tabla162670114157[[#Headers],[Equipos]],
    TRUE, "Sin clasificación"
)</f>
        <v>Sin clasificación</v>
      </c>
      <c r="I582" s="15"/>
      <c r="J582" s="47"/>
      <c r="K582" s="76"/>
      <c r="L582" s="76"/>
      <c r="M582" s="78" t="str">
        <f>_xlfn.LET(
    _xlpm.itemBuscado, B582,
    _xlpm.areaBuscada, C582,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TEXT(COUNTIF($C$2:C582, _xlpm.areaBuscada), "0000"),
    _xlpm.codItem &amp; "-" &amp; _xlpm.codArea &amp; "-" &amp; _xlpm.secuencia
)</f>
        <v>-SinArea-0000</v>
      </c>
      <c r="N582" s="77"/>
      <c r="O582" s="32"/>
      <c r="P582" s="32"/>
      <c r="Q582" s="32"/>
      <c r="R582" s="32"/>
    </row>
    <row r="583" spans="3:18" x14ac:dyDescent="0.3">
      <c r="C583" s="11"/>
      <c r="D583" s="32"/>
      <c r="E583" s="11" t="str" cm="1">
        <f t="array" ref="E583">_xlfn.IFS(
    COUNTIF(Herramientas_eléctricas1862106149[Herramientas_eléctricas], B583) &gt; 0, Herramientas_eléctricas1862106149[[#Headers],[Herramientas_eléctricas]],
    COUNTIF(Herramientas_neumáticas1963107150[Herramientas_neumáticas], B583) &gt; 0, Herramientas_neumáticas1963107150[[#Headers],[Herramientas_neumáticas]],
    COUNTIF(Herramientas_de_medición2064108151[Herramientas_de_medición], B583) &gt; 0, Herramientas_de_medición2064108151[[#Headers],[Herramientas_de_medición]],
    COUNTIF(Herrramientas_mecánicas2165109152[Herramientas_mecánicas], B583) &gt; 0, Herrramientas_mecánicas2165109152[[#Headers],[Herramientas_mecánicas]],
    COUNTIF(AH583:AH589, B583) &gt; 0, Herramientas_hidráulicas2266110153[[#Headers],[Herramientas_hidráulicas]],
    COUNTIF(EPP_2367111154[SPCC], B583) &gt; 0, EPP_2367111154[[#Headers],[SPCC]],
   COUNTIF(Herramientas_de_izaje2468112155[Herramientas_de_izaje], B583) &gt; 0, Herramientas_de_izaje2468112155[[#Headers],[Herramientas_de_izaje]],
COUNTIF(Tabla162670114157[Equipos], B583) &gt; 0, Tabla162670114157[[#Headers],[Equipos]],
    TRUE, "Sin clasificación"
)</f>
        <v>Sin clasificación</v>
      </c>
      <c r="I583" s="15"/>
      <c r="J583" s="47"/>
      <c r="K583" s="76"/>
      <c r="L583" s="76"/>
      <c r="M583" s="78" t="str">
        <f>_xlfn.LET(
    _xlpm.itemBuscado, B583,
    _xlpm.areaBuscada, C583,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TEXT(COUNTIF($C$2:C583, _xlpm.areaBuscada), "0000"),
    _xlpm.codItem &amp; "-" &amp; _xlpm.codArea &amp; "-" &amp; _xlpm.secuencia
)</f>
        <v>-SinArea-0000</v>
      </c>
      <c r="N583" s="77"/>
      <c r="O583" s="32"/>
      <c r="P583" s="32"/>
      <c r="Q583" s="32"/>
      <c r="R583" s="32"/>
    </row>
    <row r="584" spans="3:18" x14ac:dyDescent="0.3">
      <c r="C584" s="11"/>
      <c r="D584" s="32"/>
      <c r="E584" s="11" t="str" cm="1">
        <f t="array" ref="E584">_xlfn.IFS(
    COUNTIF(Herramientas_eléctricas1862106149[Herramientas_eléctricas], B584) &gt; 0, Herramientas_eléctricas1862106149[[#Headers],[Herramientas_eléctricas]],
    COUNTIF(Herramientas_neumáticas1963107150[Herramientas_neumáticas], B584) &gt; 0, Herramientas_neumáticas1963107150[[#Headers],[Herramientas_neumáticas]],
    COUNTIF(Herramientas_de_medición2064108151[Herramientas_de_medición], B584) &gt; 0, Herramientas_de_medición2064108151[[#Headers],[Herramientas_de_medición]],
    COUNTIF(Herrramientas_mecánicas2165109152[Herramientas_mecánicas], B584) &gt; 0, Herrramientas_mecánicas2165109152[[#Headers],[Herramientas_mecánicas]],
    COUNTIF(AH584:AH590, B584) &gt; 0, Herramientas_hidráulicas2266110153[[#Headers],[Herramientas_hidráulicas]],
    COUNTIF(EPP_2367111154[SPCC], B584) &gt; 0, EPP_2367111154[[#Headers],[SPCC]],
   COUNTIF(Herramientas_de_izaje2468112155[Herramientas_de_izaje], B584) &gt; 0, Herramientas_de_izaje2468112155[[#Headers],[Herramientas_de_izaje]],
COUNTIF(Tabla162670114157[Equipos], B584) &gt; 0, Tabla162670114157[[#Headers],[Equipos]],
    TRUE, "Sin clasificación"
)</f>
        <v>Sin clasificación</v>
      </c>
      <c r="I584" s="15"/>
      <c r="J584" s="47"/>
      <c r="K584" s="76"/>
      <c r="L584" s="76"/>
      <c r="M584" s="78" t="str">
        <f>_xlfn.LET(
    _xlpm.itemBuscado, B584,
    _xlpm.areaBuscada, C584,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TEXT(COUNTIF($C$2:C584, _xlpm.areaBuscada), "0000"),
    _xlpm.codItem &amp; "-" &amp; _xlpm.codArea &amp; "-" &amp; _xlpm.secuencia
)</f>
        <v>-SinArea-0000</v>
      </c>
      <c r="N584" s="77"/>
      <c r="O584" s="32"/>
      <c r="P584" s="32"/>
      <c r="Q584" s="32"/>
      <c r="R584" s="32"/>
    </row>
    <row r="585" spans="3:18" x14ac:dyDescent="0.3">
      <c r="C585" s="11"/>
      <c r="D585" s="32"/>
      <c r="E585" s="11" t="str" cm="1">
        <f t="array" ref="E585">_xlfn.IFS(
    COUNTIF(Herramientas_eléctricas1862106149[Herramientas_eléctricas], B585) &gt; 0, Herramientas_eléctricas1862106149[[#Headers],[Herramientas_eléctricas]],
    COUNTIF(Herramientas_neumáticas1963107150[Herramientas_neumáticas], B585) &gt; 0, Herramientas_neumáticas1963107150[[#Headers],[Herramientas_neumáticas]],
    COUNTIF(Herramientas_de_medición2064108151[Herramientas_de_medición], B585) &gt; 0, Herramientas_de_medición2064108151[[#Headers],[Herramientas_de_medición]],
    COUNTIF(Herrramientas_mecánicas2165109152[Herramientas_mecánicas], B585) &gt; 0, Herrramientas_mecánicas2165109152[[#Headers],[Herramientas_mecánicas]],
    COUNTIF(AH585:AH591, B585) &gt; 0, Herramientas_hidráulicas2266110153[[#Headers],[Herramientas_hidráulicas]],
    COUNTIF(EPP_2367111154[SPCC], B585) &gt; 0, EPP_2367111154[[#Headers],[SPCC]],
   COUNTIF(Herramientas_de_izaje2468112155[Herramientas_de_izaje], B585) &gt; 0, Herramientas_de_izaje2468112155[[#Headers],[Herramientas_de_izaje]],
COUNTIF(Tabla162670114157[Equipos], B585) &gt; 0, Tabla162670114157[[#Headers],[Equipos]],
    TRUE, "Sin clasificación"
)</f>
        <v>Sin clasificación</v>
      </c>
      <c r="I585" s="15"/>
      <c r="J585" s="47"/>
      <c r="K585" s="76"/>
      <c r="L585" s="76"/>
      <c r="M585" s="78" t="str">
        <f>_xlfn.LET(
    _xlpm.itemBuscado, B585,
    _xlpm.areaBuscada, C585,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TEXT(COUNTIF($C$2:C585, _xlpm.areaBuscada), "0000"),
    _xlpm.codItem &amp; "-" &amp; _xlpm.codArea &amp; "-" &amp; _xlpm.secuencia
)</f>
        <v>-SinArea-0000</v>
      </c>
      <c r="N585" s="77"/>
      <c r="O585" s="32"/>
      <c r="P585" s="32"/>
      <c r="Q585" s="32"/>
      <c r="R585" s="32"/>
    </row>
    <row r="586" spans="3:18" x14ac:dyDescent="0.3">
      <c r="C586" s="11"/>
      <c r="D586" s="32"/>
      <c r="E586" s="11" t="str" cm="1">
        <f t="array" ref="E586">_xlfn.IFS(
    COUNTIF(Herramientas_eléctricas1862106149[Herramientas_eléctricas], B586) &gt; 0, Herramientas_eléctricas1862106149[[#Headers],[Herramientas_eléctricas]],
    COUNTIF(Herramientas_neumáticas1963107150[Herramientas_neumáticas], B586) &gt; 0, Herramientas_neumáticas1963107150[[#Headers],[Herramientas_neumáticas]],
    COUNTIF(Herramientas_de_medición2064108151[Herramientas_de_medición], B586) &gt; 0, Herramientas_de_medición2064108151[[#Headers],[Herramientas_de_medición]],
    COUNTIF(Herrramientas_mecánicas2165109152[Herramientas_mecánicas], B586) &gt; 0, Herrramientas_mecánicas2165109152[[#Headers],[Herramientas_mecánicas]],
    COUNTIF(AH586:AH592, B586) &gt; 0, Herramientas_hidráulicas2266110153[[#Headers],[Herramientas_hidráulicas]],
    COUNTIF(EPP_2367111154[SPCC], B586) &gt; 0, EPP_2367111154[[#Headers],[SPCC]],
   COUNTIF(Herramientas_de_izaje2468112155[Herramientas_de_izaje], B586) &gt; 0, Herramientas_de_izaje2468112155[[#Headers],[Herramientas_de_izaje]],
COUNTIF(Tabla162670114157[Equipos], B586) &gt; 0, Tabla162670114157[[#Headers],[Equipos]],
    TRUE, "Sin clasificación"
)</f>
        <v>Sin clasificación</v>
      </c>
      <c r="I586" s="15"/>
      <c r="J586" s="47"/>
      <c r="K586" s="76"/>
      <c r="L586" s="76"/>
      <c r="M586" s="78" t="str">
        <f>_xlfn.LET(
    _xlpm.itemBuscado, B586,
    _xlpm.areaBuscada, C586,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TEXT(COUNTIF($C$2:C586, _xlpm.areaBuscada), "0000"),
    _xlpm.codItem &amp; "-" &amp; _xlpm.codArea &amp; "-" &amp; _xlpm.secuencia
)</f>
        <v>-SinArea-0000</v>
      </c>
      <c r="N586" s="77"/>
      <c r="O586" s="32"/>
      <c r="P586" s="32"/>
      <c r="Q586" s="32"/>
      <c r="R586" s="32"/>
    </row>
    <row r="587" spans="3:18" x14ac:dyDescent="0.3">
      <c r="C587" s="11"/>
      <c r="D587" s="32"/>
      <c r="E587" s="11" t="str" cm="1">
        <f t="array" ref="E587">_xlfn.IFS(
    COUNTIF(Herramientas_eléctricas1862106149[Herramientas_eléctricas], B587) &gt; 0, Herramientas_eléctricas1862106149[[#Headers],[Herramientas_eléctricas]],
    COUNTIF(Herramientas_neumáticas1963107150[Herramientas_neumáticas], B587) &gt; 0, Herramientas_neumáticas1963107150[[#Headers],[Herramientas_neumáticas]],
    COUNTIF(Herramientas_de_medición2064108151[Herramientas_de_medición], B587) &gt; 0, Herramientas_de_medición2064108151[[#Headers],[Herramientas_de_medición]],
    COUNTIF(Herrramientas_mecánicas2165109152[Herramientas_mecánicas], B587) &gt; 0, Herrramientas_mecánicas2165109152[[#Headers],[Herramientas_mecánicas]],
    COUNTIF(AH587:AH593, B587) &gt; 0, Herramientas_hidráulicas2266110153[[#Headers],[Herramientas_hidráulicas]],
    COUNTIF(EPP_2367111154[SPCC], B587) &gt; 0, EPP_2367111154[[#Headers],[SPCC]],
   COUNTIF(Herramientas_de_izaje2468112155[Herramientas_de_izaje], B587) &gt; 0, Herramientas_de_izaje2468112155[[#Headers],[Herramientas_de_izaje]],
COUNTIF(Tabla162670114157[Equipos], B587) &gt; 0, Tabla162670114157[[#Headers],[Equipos]],
    TRUE, "Sin clasificación"
)</f>
        <v>Sin clasificación</v>
      </c>
      <c r="I587" s="15"/>
      <c r="J587" s="47"/>
      <c r="K587" s="76"/>
      <c r="L587" s="76"/>
      <c r="M587" s="78" t="str">
        <f>_xlfn.LET(
    _xlpm.itemBuscado, B587,
    _xlpm.areaBuscada, C587,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TEXT(COUNTIF($C$2:C587, _xlpm.areaBuscada), "0000"),
    _xlpm.codItem &amp; "-" &amp; _xlpm.codArea &amp; "-" &amp; _xlpm.secuencia
)</f>
        <v>-SinArea-0000</v>
      </c>
      <c r="N587" s="77"/>
      <c r="O587" s="32"/>
      <c r="P587" s="32"/>
      <c r="Q587" s="32"/>
      <c r="R587" s="32"/>
    </row>
    <row r="588" spans="3:18" x14ac:dyDescent="0.3">
      <c r="C588" s="11"/>
      <c r="D588" s="32"/>
      <c r="E588" s="11" t="str" cm="1">
        <f t="array" ref="E588">_xlfn.IFS(
    COUNTIF(Herramientas_eléctricas1862106149[Herramientas_eléctricas], B588) &gt; 0, Herramientas_eléctricas1862106149[[#Headers],[Herramientas_eléctricas]],
    COUNTIF(Herramientas_neumáticas1963107150[Herramientas_neumáticas], B588) &gt; 0, Herramientas_neumáticas1963107150[[#Headers],[Herramientas_neumáticas]],
    COUNTIF(Herramientas_de_medición2064108151[Herramientas_de_medición], B588) &gt; 0, Herramientas_de_medición2064108151[[#Headers],[Herramientas_de_medición]],
    COUNTIF(Herrramientas_mecánicas2165109152[Herramientas_mecánicas], B588) &gt; 0, Herrramientas_mecánicas2165109152[[#Headers],[Herramientas_mecánicas]],
    COUNTIF(AH588:AH594, B588) &gt; 0, Herramientas_hidráulicas2266110153[[#Headers],[Herramientas_hidráulicas]],
    COUNTIF(EPP_2367111154[SPCC], B588) &gt; 0, EPP_2367111154[[#Headers],[SPCC]],
   COUNTIF(Herramientas_de_izaje2468112155[Herramientas_de_izaje], B588) &gt; 0, Herramientas_de_izaje2468112155[[#Headers],[Herramientas_de_izaje]],
COUNTIF(Tabla162670114157[Equipos], B588) &gt; 0, Tabla162670114157[[#Headers],[Equipos]],
    TRUE, "Sin clasificación"
)</f>
        <v>Sin clasificación</v>
      </c>
      <c r="I588" s="15"/>
      <c r="J588" s="47"/>
      <c r="K588" s="76"/>
      <c r="L588" s="76"/>
      <c r="M588" s="78" t="str">
        <f>_xlfn.LET(
    _xlpm.itemBuscado, B588,
    _xlpm.areaBuscada, C588,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TEXT(COUNTIF($C$2:C588, _xlpm.areaBuscada), "0000"),
    _xlpm.codItem &amp; "-" &amp; _xlpm.codArea &amp; "-" &amp; _xlpm.secuencia
)</f>
        <v>-SinArea-0000</v>
      </c>
      <c r="N588" s="77"/>
      <c r="O588" s="32"/>
      <c r="P588" s="32"/>
      <c r="Q588" s="32"/>
      <c r="R588" s="32"/>
    </row>
    <row r="589" spans="3:18" x14ac:dyDescent="0.3">
      <c r="C589" s="11"/>
      <c r="D589" s="32"/>
      <c r="E589" s="11" t="str" cm="1">
        <f t="array" ref="E589">_xlfn.IFS(
    COUNTIF(Herramientas_eléctricas1862106149[Herramientas_eléctricas], B589) &gt; 0, Herramientas_eléctricas1862106149[[#Headers],[Herramientas_eléctricas]],
    COUNTIF(Herramientas_neumáticas1963107150[Herramientas_neumáticas], B589) &gt; 0, Herramientas_neumáticas1963107150[[#Headers],[Herramientas_neumáticas]],
    COUNTIF(Herramientas_de_medición2064108151[Herramientas_de_medición], B589) &gt; 0, Herramientas_de_medición2064108151[[#Headers],[Herramientas_de_medición]],
    COUNTIF(Herrramientas_mecánicas2165109152[Herramientas_mecánicas], B589) &gt; 0, Herrramientas_mecánicas2165109152[[#Headers],[Herramientas_mecánicas]],
    COUNTIF(AH589:AH595, B589) &gt; 0, Herramientas_hidráulicas2266110153[[#Headers],[Herramientas_hidráulicas]],
    COUNTIF(EPP_2367111154[SPCC], B589) &gt; 0, EPP_2367111154[[#Headers],[SPCC]],
   COUNTIF(Herramientas_de_izaje2468112155[Herramientas_de_izaje], B589) &gt; 0, Herramientas_de_izaje2468112155[[#Headers],[Herramientas_de_izaje]],
COUNTIF(Tabla162670114157[Equipos], B589) &gt; 0, Tabla162670114157[[#Headers],[Equipos]],
    TRUE, "Sin clasificación"
)</f>
        <v>Sin clasificación</v>
      </c>
      <c r="I589" s="15"/>
      <c r="J589" s="47"/>
      <c r="K589" s="76"/>
      <c r="L589" s="76"/>
      <c r="M589" s="78" t="str">
        <f>_xlfn.LET(
    _xlpm.itemBuscado, B589,
    _xlpm.areaBuscada, C589,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TEXT(COUNTIF($C$2:C589, _xlpm.areaBuscada), "0000"),
    _xlpm.codItem &amp; "-" &amp; _xlpm.codArea &amp; "-" &amp; _xlpm.secuencia
)</f>
        <v>-SinArea-0000</v>
      </c>
      <c r="N589" s="77"/>
      <c r="O589" s="32"/>
      <c r="P589" s="32"/>
      <c r="Q589" s="32"/>
      <c r="R589" s="32"/>
    </row>
    <row r="590" spans="3:18" x14ac:dyDescent="0.3">
      <c r="C590" s="11"/>
      <c r="D590" s="32"/>
      <c r="E590" s="11" t="str" cm="1">
        <f t="array" ref="E590">_xlfn.IFS(
    COUNTIF(Herramientas_eléctricas1862106149[Herramientas_eléctricas], B590) &gt; 0, Herramientas_eléctricas1862106149[[#Headers],[Herramientas_eléctricas]],
    COUNTIF(Herramientas_neumáticas1963107150[Herramientas_neumáticas], B590) &gt; 0, Herramientas_neumáticas1963107150[[#Headers],[Herramientas_neumáticas]],
    COUNTIF(Herramientas_de_medición2064108151[Herramientas_de_medición], B590) &gt; 0, Herramientas_de_medición2064108151[[#Headers],[Herramientas_de_medición]],
    COUNTIF(Herrramientas_mecánicas2165109152[Herramientas_mecánicas], B590) &gt; 0, Herrramientas_mecánicas2165109152[[#Headers],[Herramientas_mecánicas]],
    COUNTIF(AH590:AH596, B590) &gt; 0, Herramientas_hidráulicas2266110153[[#Headers],[Herramientas_hidráulicas]],
    COUNTIF(EPP_2367111154[SPCC], B590) &gt; 0, EPP_2367111154[[#Headers],[SPCC]],
   COUNTIF(Herramientas_de_izaje2468112155[Herramientas_de_izaje], B590) &gt; 0, Herramientas_de_izaje2468112155[[#Headers],[Herramientas_de_izaje]],
COUNTIF(Tabla162670114157[Equipos], B590) &gt; 0, Tabla162670114157[[#Headers],[Equipos]],
    TRUE, "Sin clasificación"
)</f>
        <v>Sin clasificación</v>
      </c>
      <c r="I590" s="15"/>
      <c r="J590" s="47"/>
      <c r="K590" s="76"/>
      <c r="L590" s="76"/>
      <c r="M590" s="78" t="str">
        <f>_xlfn.LET(
    _xlpm.itemBuscado, B590,
    _xlpm.areaBuscada, C590,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TEXT(COUNTIF($C$2:C590, _xlpm.areaBuscada), "0000"),
    _xlpm.codItem &amp; "-" &amp; _xlpm.codArea &amp; "-" &amp; _xlpm.secuencia
)</f>
        <v>-SinArea-0000</v>
      </c>
      <c r="N590" s="77"/>
      <c r="O590" s="32"/>
      <c r="P590" s="32"/>
      <c r="Q590" s="32"/>
      <c r="R590" s="32"/>
    </row>
    <row r="591" spans="3:18" x14ac:dyDescent="0.3">
      <c r="C591" s="11"/>
      <c r="D591" s="32"/>
      <c r="E591" s="11" t="str" cm="1">
        <f t="array" ref="E591">_xlfn.IFS(
    COUNTIF(Herramientas_eléctricas1862106149[Herramientas_eléctricas], B591) &gt; 0, Herramientas_eléctricas1862106149[[#Headers],[Herramientas_eléctricas]],
    COUNTIF(Herramientas_neumáticas1963107150[Herramientas_neumáticas], B591) &gt; 0, Herramientas_neumáticas1963107150[[#Headers],[Herramientas_neumáticas]],
    COUNTIF(Herramientas_de_medición2064108151[Herramientas_de_medición], B591) &gt; 0, Herramientas_de_medición2064108151[[#Headers],[Herramientas_de_medición]],
    COUNTIF(Herrramientas_mecánicas2165109152[Herramientas_mecánicas], B591) &gt; 0, Herrramientas_mecánicas2165109152[[#Headers],[Herramientas_mecánicas]],
    COUNTIF(AH591:AH597, B591) &gt; 0, Herramientas_hidráulicas2266110153[[#Headers],[Herramientas_hidráulicas]],
    COUNTIF(EPP_2367111154[SPCC], B591) &gt; 0, EPP_2367111154[[#Headers],[SPCC]],
   COUNTIF(Herramientas_de_izaje2468112155[Herramientas_de_izaje], B591) &gt; 0, Herramientas_de_izaje2468112155[[#Headers],[Herramientas_de_izaje]],
COUNTIF(Tabla162670114157[Equipos], B591) &gt; 0, Tabla162670114157[[#Headers],[Equipos]],
    TRUE, "Sin clasificación"
)</f>
        <v>Sin clasificación</v>
      </c>
      <c r="I591" s="15"/>
      <c r="J591" s="47"/>
      <c r="K591" s="76"/>
      <c r="L591" s="76"/>
      <c r="M591" s="78" t="str">
        <f>_xlfn.LET(
    _xlpm.itemBuscado, B591,
    _xlpm.areaBuscada, C591,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TEXT(COUNTIF($C$2:C591, _xlpm.areaBuscada), "0000"),
    _xlpm.codItem &amp; "-" &amp; _xlpm.codArea &amp; "-" &amp; _xlpm.secuencia
)</f>
        <v>-SinArea-0000</v>
      </c>
      <c r="N591" s="77"/>
      <c r="O591" s="32"/>
      <c r="P591" s="32"/>
      <c r="Q591" s="32"/>
      <c r="R591" s="32"/>
    </row>
    <row r="592" spans="3:18" x14ac:dyDescent="0.3">
      <c r="C592" s="11"/>
      <c r="D592" s="32"/>
      <c r="E592" s="11" t="str" cm="1">
        <f t="array" ref="E592">_xlfn.IFS(
    COUNTIF(Herramientas_eléctricas1862106149[Herramientas_eléctricas], B592) &gt; 0, Herramientas_eléctricas1862106149[[#Headers],[Herramientas_eléctricas]],
    COUNTIF(Herramientas_neumáticas1963107150[Herramientas_neumáticas], B592) &gt; 0, Herramientas_neumáticas1963107150[[#Headers],[Herramientas_neumáticas]],
    COUNTIF(Herramientas_de_medición2064108151[Herramientas_de_medición], B592) &gt; 0, Herramientas_de_medición2064108151[[#Headers],[Herramientas_de_medición]],
    COUNTIF(Herrramientas_mecánicas2165109152[Herramientas_mecánicas], B592) &gt; 0, Herrramientas_mecánicas2165109152[[#Headers],[Herramientas_mecánicas]],
    COUNTIF(AH592:AH598, B592) &gt; 0, Herramientas_hidráulicas2266110153[[#Headers],[Herramientas_hidráulicas]],
    COUNTIF(EPP_2367111154[SPCC], B592) &gt; 0, EPP_2367111154[[#Headers],[SPCC]],
   COUNTIF(Herramientas_de_izaje2468112155[Herramientas_de_izaje], B592) &gt; 0, Herramientas_de_izaje2468112155[[#Headers],[Herramientas_de_izaje]],
COUNTIF(Tabla162670114157[Equipos], B592) &gt; 0, Tabla162670114157[[#Headers],[Equipos]],
    TRUE, "Sin clasificación"
)</f>
        <v>Sin clasificación</v>
      </c>
      <c r="I592" s="15"/>
      <c r="J592" s="47"/>
      <c r="K592" s="76"/>
      <c r="L592" s="76"/>
      <c r="M592" s="78" t="str">
        <f>_xlfn.LET(
    _xlpm.itemBuscado, B592,
    _xlpm.areaBuscada, C592,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TEXT(COUNTIF($C$2:C592, _xlpm.areaBuscada), "0000"),
    _xlpm.codItem &amp; "-" &amp; _xlpm.codArea &amp; "-" &amp; _xlpm.secuencia
)</f>
        <v>-SinArea-0000</v>
      </c>
      <c r="N592" s="77"/>
      <c r="O592" s="32"/>
      <c r="P592" s="32"/>
      <c r="Q592" s="32"/>
      <c r="R592" s="32"/>
    </row>
    <row r="593" spans="3:18" x14ac:dyDescent="0.3">
      <c r="C593" s="11"/>
      <c r="D593" s="32"/>
      <c r="E593" s="11" t="str" cm="1">
        <f t="array" ref="E593">_xlfn.IFS(
    COUNTIF(Herramientas_eléctricas1862106149[Herramientas_eléctricas], B593) &gt; 0, Herramientas_eléctricas1862106149[[#Headers],[Herramientas_eléctricas]],
    COUNTIF(Herramientas_neumáticas1963107150[Herramientas_neumáticas], B593) &gt; 0, Herramientas_neumáticas1963107150[[#Headers],[Herramientas_neumáticas]],
    COUNTIF(Herramientas_de_medición2064108151[Herramientas_de_medición], B593) &gt; 0, Herramientas_de_medición2064108151[[#Headers],[Herramientas_de_medición]],
    COUNTIF(Herrramientas_mecánicas2165109152[Herramientas_mecánicas], B593) &gt; 0, Herrramientas_mecánicas2165109152[[#Headers],[Herramientas_mecánicas]],
    COUNTIF(AH593:AH599, B593) &gt; 0, Herramientas_hidráulicas2266110153[[#Headers],[Herramientas_hidráulicas]],
    COUNTIF(EPP_2367111154[SPCC], B593) &gt; 0, EPP_2367111154[[#Headers],[SPCC]],
   COUNTIF(Herramientas_de_izaje2468112155[Herramientas_de_izaje], B593) &gt; 0, Herramientas_de_izaje2468112155[[#Headers],[Herramientas_de_izaje]],
COUNTIF(Tabla162670114157[Equipos], B593) &gt; 0, Tabla162670114157[[#Headers],[Equipos]],
    TRUE, "Sin clasificación"
)</f>
        <v>Sin clasificación</v>
      </c>
      <c r="I593" s="15"/>
      <c r="J593" s="47"/>
      <c r="K593" s="76"/>
      <c r="L593" s="76"/>
      <c r="M593" s="78" t="str">
        <f>_xlfn.LET(
    _xlpm.itemBuscado, B593,
    _xlpm.areaBuscada, C593,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TEXT(COUNTIF($C$2:C593, _xlpm.areaBuscada), "0000"),
    _xlpm.codItem &amp; "-" &amp; _xlpm.codArea &amp; "-" &amp; _xlpm.secuencia
)</f>
        <v>-SinArea-0000</v>
      </c>
      <c r="N593" s="77"/>
      <c r="O593" s="32"/>
      <c r="P593" s="32"/>
      <c r="Q593" s="32"/>
      <c r="R593" s="32"/>
    </row>
    <row r="594" spans="3:18" x14ac:dyDescent="0.3">
      <c r="C594" s="11"/>
      <c r="D594" s="32"/>
      <c r="E594" s="11" t="str" cm="1">
        <f t="array" ref="E594">_xlfn.IFS(
    COUNTIF(Herramientas_eléctricas1862106149[Herramientas_eléctricas], B594) &gt; 0, Herramientas_eléctricas1862106149[[#Headers],[Herramientas_eléctricas]],
    COUNTIF(Herramientas_neumáticas1963107150[Herramientas_neumáticas], B594) &gt; 0, Herramientas_neumáticas1963107150[[#Headers],[Herramientas_neumáticas]],
    COUNTIF(Herramientas_de_medición2064108151[Herramientas_de_medición], B594) &gt; 0, Herramientas_de_medición2064108151[[#Headers],[Herramientas_de_medición]],
    COUNTIF(Herrramientas_mecánicas2165109152[Herramientas_mecánicas], B594) &gt; 0, Herrramientas_mecánicas2165109152[[#Headers],[Herramientas_mecánicas]],
    COUNTIF(AH594:AH600, B594) &gt; 0, Herramientas_hidráulicas2266110153[[#Headers],[Herramientas_hidráulicas]],
    COUNTIF(EPP_2367111154[SPCC], B594) &gt; 0, EPP_2367111154[[#Headers],[SPCC]],
   COUNTIF(Herramientas_de_izaje2468112155[Herramientas_de_izaje], B594) &gt; 0, Herramientas_de_izaje2468112155[[#Headers],[Herramientas_de_izaje]],
COUNTIF(Tabla162670114157[Equipos], B594) &gt; 0, Tabla162670114157[[#Headers],[Equipos]],
    TRUE, "Sin clasificación"
)</f>
        <v>Sin clasificación</v>
      </c>
      <c r="I594" s="15"/>
      <c r="J594" s="47"/>
      <c r="K594" s="76"/>
      <c r="L594" s="76"/>
      <c r="M594" s="78" t="str">
        <f>_xlfn.LET(
    _xlpm.itemBuscado, B594,
    _xlpm.areaBuscada, C594,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TEXT(COUNTIF($C$2:C594, _xlpm.areaBuscada), "0000"),
    _xlpm.codItem &amp; "-" &amp; _xlpm.codArea &amp; "-" &amp; _xlpm.secuencia
)</f>
        <v>-SinArea-0000</v>
      </c>
      <c r="N594" s="77"/>
      <c r="O594" s="32"/>
      <c r="P594" s="32"/>
      <c r="Q594" s="32"/>
      <c r="R594" s="32"/>
    </row>
    <row r="595" spans="3:18" x14ac:dyDescent="0.3">
      <c r="C595" s="11"/>
      <c r="D595" s="32"/>
      <c r="E595" s="11" t="str" cm="1">
        <f t="array" ref="E595">_xlfn.IFS(
    COUNTIF(Herramientas_eléctricas1862106149[Herramientas_eléctricas], B595) &gt; 0, Herramientas_eléctricas1862106149[[#Headers],[Herramientas_eléctricas]],
    COUNTIF(Herramientas_neumáticas1963107150[Herramientas_neumáticas], B595) &gt; 0, Herramientas_neumáticas1963107150[[#Headers],[Herramientas_neumáticas]],
    COUNTIF(Herramientas_de_medición2064108151[Herramientas_de_medición], B595) &gt; 0, Herramientas_de_medición2064108151[[#Headers],[Herramientas_de_medición]],
    COUNTIF(Herrramientas_mecánicas2165109152[Herramientas_mecánicas], B595) &gt; 0, Herrramientas_mecánicas2165109152[[#Headers],[Herramientas_mecánicas]],
    COUNTIF(AH595:AH601, B595) &gt; 0, Herramientas_hidráulicas2266110153[[#Headers],[Herramientas_hidráulicas]],
    COUNTIF(EPP_2367111154[SPCC], B595) &gt; 0, EPP_2367111154[[#Headers],[SPCC]],
   COUNTIF(Herramientas_de_izaje2468112155[Herramientas_de_izaje], B595) &gt; 0, Herramientas_de_izaje2468112155[[#Headers],[Herramientas_de_izaje]],
COUNTIF(Tabla162670114157[Equipos], B595) &gt; 0, Tabla162670114157[[#Headers],[Equipos]],
    TRUE, "Sin clasificación"
)</f>
        <v>Sin clasificación</v>
      </c>
      <c r="I595" s="15"/>
      <c r="J595" s="47"/>
      <c r="K595" s="76"/>
      <c r="L595" s="76"/>
      <c r="M595" s="78" t="str">
        <f>_xlfn.LET(
    _xlpm.itemBuscado, B595,
    _xlpm.areaBuscada, C595,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TEXT(COUNTIF($C$2:C595, _xlpm.areaBuscada), "0000"),
    _xlpm.codItem &amp; "-" &amp; _xlpm.codArea &amp; "-" &amp; _xlpm.secuencia
)</f>
        <v>-SinArea-0000</v>
      </c>
      <c r="N595" s="77"/>
      <c r="O595" s="32"/>
      <c r="P595" s="32"/>
      <c r="Q595" s="32"/>
      <c r="R595" s="32"/>
    </row>
    <row r="596" spans="3:18" x14ac:dyDescent="0.3">
      <c r="C596" s="11"/>
      <c r="D596" s="32"/>
      <c r="E596" s="11" t="str" cm="1">
        <f t="array" ref="E596">_xlfn.IFS(
    COUNTIF(Herramientas_eléctricas1862106149[Herramientas_eléctricas], B596) &gt; 0, Herramientas_eléctricas1862106149[[#Headers],[Herramientas_eléctricas]],
    COUNTIF(Herramientas_neumáticas1963107150[Herramientas_neumáticas], B596) &gt; 0, Herramientas_neumáticas1963107150[[#Headers],[Herramientas_neumáticas]],
    COUNTIF(Herramientas_de_medición2064108151[Herramientas_de_medición], B596) &gt; 0, Herramientas_de_medición2064108151[[#Headers],[Herramientas_de_medición]],
    COUNTIF(Herrramientas_mecánicas2165109152[Herramientas_mecánicas], B596) &gt; 0, Herrramientas_mecánicas2165109152[[#Headers],[Herramientas_mecánicas]],
    COUNTIF(AH596:AH602, B596) &gt; 0, Herramientas_hidráulicas2266110153[[#Headers],[Herramientas_hidráulicas]],
    COUNTIF(EPP_2367111154[SPCC], B596) &gt; 0, EPP_2367111154[[#Headers],[SPCC]],
   COUNTIF(Herramientas_de_izaje2468112155[Herramientas_de_izaje], B596) &gt; 0, Herramientas_de_izaje2468112155[[#Headers],[Herramientas_de_izaje]],
COUNTIF(Tabla162670114157[Equipos], B596) &gt; 0, Tabla162670114157[[#Headers],[Equipos]],
    TRUE, "Sin clasificación"
)</f>
        <v>Sin clasificación</v>
      </c>
      <c r="I596" s="15"/>
      <c r="J596" s="47"/>
      <c r="K596" s="76"/>
      <c r="L596" s="76"/>
      <c r="M596" s="78" t="str">
        <f>_xlfn.LET(
    _xlpm.itemBuscado, B596,
    _xlpm.areaBuscada, C596,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TEXT(COUNTIF($C$2:C596, _xlpm.areaBuscada), "0000"),
    _xlpm.codItem &amp; "-" &amp; _xlpm.codArea &amp; "-" &amp; _xlpm.secuencia
)</f>
        <v>-SinArea-0000</v>
      </c>
      <c r="N596" s="77"/>
      <c r="O596" s="32"/>
      <c r="P596" s="32"/>
      <c r="Q596" s="32"/>
      <c r="R596" s="32"/>
    </row>
    <row r="597" spans="3:18" x14ac:dyDescent="0.3">
      <c r="C597" s="11"/>
      <c r="D597" s="32"/>
      <c r="E597" s="11" t="str" cm="1">
        <f t="array" ref="E597">_xlfn.IFS(
    COUNTIF(Herramientas_eléctricas1862106149[Herramientas_eléctricas], B597) &gt; 0, Herramientas_eléctricas1862106149[[#Headers],[Herramientas_eléctricas]],
    COUNTIF(Herramientas_neumáticas1963107150[Herramientas_neumáticas], B597) &gt; 0, Herramientas_neumáticas1963107150[[#Headers],[Herramientas_neumáticas]],
    COUNTIF(Herramientas_de_medición2064108151[Herramientas_de_medición], B597) &gt; 0, Herramientas_de_medición2064108151[[#Headers],[Herramientas_de_medición]],
    COUNTIF(Herrramientas_mecánicas2165109152[Herramientas_mecánicas], B597) &gt; 0, Herrramientas_mecánicas2165109152[[#Headers],[Herramientas_mecánicas]],
    COUNTIF(AH597:AH603, B597) &gt; 0, Herramientas_hidráulicas2266110153[[#Headers],[Herramientas_hidráulicas]],
    COUNTIF(EPP_2367111154[SPCC], B597) &gt; 0, EPP_2367111154[[#Headers],[SPCC]],
   COUNTIF(Herramientas_de_izaje2468112155[Herramientas_de_izaje], B597) &gt; 0, Herramientas_de_izaje2468112155[[#Headers],[Herramientas_de_izaje]],
COUNTIF(Tabla162670114157[Equipos], B597) &gt; 0, Tabla162670114157[[#Headers],[Equipos]],
    TRUE, "Sin clasificación"
)</f>
        <v>Sin clasificación</v>
      </c>
      <c r="I597" s="15"/>
      <c r="J597" s="47"/>
      <c r="K597" s="76"/>
      <c r="L597" s="76"/>
      <c r="M597" s="78" t="str">
        <f>_xlfn.LET(
    _xlpm.itemBuscado, B597,
    _xlpm.areaBuscada, C597,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TEXT(COUNTIF($C$2:C597, _xlpm.areaBuscada), "0000"),
    _xlpm.codItem &amp; "-" &amp; _xlpm.codArea &amp; "-" &amp; _xlpm.secuencia
)</f>
        <v>-SinArea-0000</v>
      </c>
      <c r="N597" s="77"/>
      <c r="O597" s="32"/>
      <c r="P597" s="32"/>
      <c r="Q597" s="32"/>
      <c r="R597" s="32"/>
    </row>
    <row r="598" spans="3:18" x14ac:dyDescent="0.3">
      <c r="C598" s="11"/>
      <c r="D598" s="32"/>
      <c r="E598" s="11" t="str" cm="1">
        <f t="array" ref="E598">_xlfn.IFS(
    COUNTIF(Herramientas_eléctricas1862106149[Herramientas_eléctricas], B598) &gt; 0, Herramientas_eléctricas1862106149[[#Headers],[Herramientas_eléctricas]],
    COUNTIF(Herramientas_neumáticas1963107150[Herramientas_neumáticas], B598) &gt; 0, Herramientas_neumáticas1963107150[[#Headers],[Herramientas_neumáticas]],
    COUNTIF(Herramientas_de_medición2064108151[Herramientas_de_medición], B598) &gt; 0, Herramientas_de_medición2064108151[[#Headers],[Herramientas_de_medición]],
    COUNTIF(Herrramientas_mecánicas2165109152[Herramientas_mecánicas], B598) &gt; 0, Herrramientas_mecánicas2165109152[[#Headers],[Herramientas_mecánicas]],
    COUNTIF(AH598:AH604, B598) &gt; 0, Herramientas_hidráulicas2266110153[[#Headers],[Herramientas_hidráulicas]],
    COUNTIF(EPP_2367111154[SPCC], B598) &gt; 0, EPP_2367111154[[#Headers],[SPCC]],
   COUNTIF(Herramientas_de_izaje2468112155[Herramientas_de_izaje], B598) &gt; 0, Herramientas_de_izaje2468112155[[#Headers],[Herramientas_de_izaje]],
COUNTIF(Tabla162670114157[Equipos], B598) &gt; 0, Tabla162670114157[[#Headers],[Equipos]],
    TRUE, "Sin clasificación"
)</f>
        <v>Sin clasificación</v>
      </c>
      <c r="I598" s="15"/>
      <c r="J598" s="47"/>
      <c r="K598" s="76"/>
      <c r="L598" s="76"/>
      <c r="M598" s="78" t="str">
        <f>_xlfn.LET(
    _xlpm.itemBuscado, B598,
    _xlpm.areaBuscada, C598,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TEXT(COUNTIF($C$2:C598, _xlpm.areaBuscada), "0000"),
    _xlpm.codItem &amp; "-" &amp; _xlpm.codArea &amp; "-" &amp; _xlpm.secuencia
)</f>
        <v>-SinArea-0000</v>
      </c>
      <c r="N598" s="77"/>
      <c r="O598" s="32"/>
      <c r="P598" s="32"/>
      <c r="Q598" s="32"/>
      <c r="R598" s="32"/>
    </row>
    <row r="599" spans="3:18" x14ac:dyDescent="0.3">
      <c r="C599" s="11"/>
      <c r="D599" s="32"/>
      <c r="E599" s="11" t="str" cm="1">
        <f t="array" ref="E599">_xlfn.IFS(
    COUNTIF(Herramientas_eléctricas1862106149[Herramientas_eléctricas], B599) &gt; 0, Herramientas_eléctricas1862106149[[#Headers],[Herramientas_eléctricas]],
    COUNTIF(Herramientas_neumáticas1963107150[Herramientas_neumáticas], B599) &gt; 0, Herramientas_neumáticas1963107150[[#Headers],[Herramientas_neumáticas]],
    COUNTIF(Herramientas_de_medición2064108151[Herramientas_de_medición], B599) &gt; 0, Herramientas_de_medición2064108151[[#Headers],[Herramientas_de_medición]],
    COUNTIF(Herrramientas_mecánicas2165109152[Herramientas_mecánicas], B599) &gt; 0, Herrramientas_mecánicas2165109152[[#Headers],[Herramientas_mecánicas]],
    COUNTIF(AH599:AH605, B599) &gt; 0, Herramientas_hidráulicas2266110153[[#Headers],[Herramientas_hidráulicas]],
    COUNTIF(EPP_2367111154[SPCC], B599) &gt; 0, EPP_2367111154[[#Headers],[SPCC]],
   COUNTIF(Herramientas_de_izaje2468112155[Herramientas_de_izaje], B599) &gt; 0, Herramientas_de_izaje2468112155[[#Headers],[Herramientas_de_izaje]],
COUNTIF(Tabla162670114157[Equipos], B599) &gt; 0, Tabla162670114157[[#Headers],[Equipos]],
    TRUE, "Sin clasificación"
)</f>
        <v>Sin clasificación</v>
      </c>
      <c r="I599" s="15"/>
      <c r="J599" s="47"/>
      <c r="K599" s="76"/>
      <c r="L599" s="76"/>
      <c r="M599" s="78" t="str">
        <f>_xlfn.LET(
    _xlpm.itemBuscado, B599,
    _xlpm.areaBuscada, C599,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TEXT(COUNTIF($C$2:C599, _xlpm.areaBuscada), "0000"),
    _xlpm.codItem &amp; "-" &amp; _xlpm.codArea &amp; "-" &amp; _xlpm.secuencia
)</f>
        <v>-SinArea-0000</v>
      </c>
      <c r="N599" s="77"/>
      <c r="O599" s="32"/>
      <c r="P599" s="32"/>
      <c r="Q599" s="32"/>
      <c r="R599" s="32"/>
    </row>
    <row r="600" spans="3:18" x14ac:dyDescent="0.3">
      <c r="C600" s="11"/>
      <c r="D600" s="32"/>
      <c r="E600" s="11" t="str" cm="1">
        <f t="array" ref="E600">_xlfn.IFS(
    COUNTIF(Herramientas_eléctricas1862106149[Herramientas_eléctricas], B600) &gt; 0, Herramientas_eléctricas1862106149[[#Headers],[Herramientas_eléctricas]],
    COUNTIF(Herramientas_neumáticas1963107150[Herramientas_neumáticas], B600) &gt; 0, Herramientas_neumáticas1963107150[[#Headers],[Herramientas_neumáticas]],
    COUNTIF(Herramientas_de_medición2064108151[Herramientas_de_medición], B600) &gt; 0, Herramientas_de_medición2064108151[[#Headers],[Herramientas_de_medición]],
    COUNTIF(Herrramientas_mecánicas2165109152[Herramientas_mecánicas], B600) &gt; 0, Herrramientas_mecánicas2165109152[[#Headers],[Herramientas_mecánicas]],
    COUNTIF(AH600:AH606, B600) &gt; 0, Herramientas_hidráulicas2266110153[[#Headers],[Herramientas_hidráulicas]],
    COUNTIF(EPP_2367111154[SPCC], B600) &gt; 0, EPP_2367111154[[#Headers],[SPCC]],
   COUNTIF(Herramientas_de_izaje2468112155[Herramientas_de_izaje], B600) &gt; 0, Herramientas_de_izaje2468112155[[#Headers],[Herramientas_de_izaje]],
COUNTIF(Tabla162670114157[Equipos], B600) &gt; 0, Tabla162670114157[[#Headers],[Equipos]],
    TRUE, "Sin clasificación"
)</f>
        <v>Sin clasificación</v>
      </c>
      <c r="I600" s="15"/>
      <c r="J600" s="47"/>
      <c r="K600" s="76"/>
      <c r="L600" s="76"/>
      <c r="M600" s="78" t="str">
        <f>_xlfn.LET(
    _xlpm.itemBuscado, B600,
    _xlpm.areaBuscada, C600,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TEXT(COUNTIF($C$2:C600, _xlpm.areaBuscada), "0000"),
    _xlpm.codItem &amp; "-" &amp; _xlpm.codArea &amp; "-" &amp; _xlpm.secuencia
)</f>
        <v>-SinArea-0000</v>
      </c>
      <c r="N600" s="77"/>
      <c r="O600" s="32"/>
      <c r="P600" s="32"/>
      <c r="Q600" s="32"/>
      <c r="R600" s="32"/>
    </row>
    <row r="601" spans="3:18" x14ac:dyDescent="0.3">
      <c r="C601" s="11"/>
      <c r="D601" s="32"/>
      <c r="E601" s="11" t="str" cm="1">
        <f t="array" ref="E601">_xlfn.IFS(
    COUNTIF(Herramientas_eléctricas1862106149[Herramientas_eléctricas], B601) &gt; 0, Herramientas_eléctricas1862106149[[#Headers],[Herramientas_eléctricas]],
    COUNTIF(Herramientas_neumáticas1963107150[Herramientas_neumáticas], B601) &gt; 0, Herramientas_neumáticas1963107150[[#Headers],[Herramientas_neumáticas]],
    COUNTIF(Herramientas_de_medición2064108151[Herramientas_de_medición], B601) &gt; 0, Herramientas_de_medición2064108151[[#Headers],[Herramientas_de_medición]],
    COUNTIF(Herrramientas_mecánicas2165109152[Herramientas_mecánicas], B601) &gt; 0, Herrramientas_mecánicas2165109152[[#Headers],[Herramientas_mecánicas]],
    COUNTIF(AH601:AH607, B601) &gt; 0, Herramientas_hidráulicas2266110153[[#Headers],[Herramientas_hidráulicas]],
    COUNTIF(EPP_2367111154[SPCC], B601) &gt; 0, EPP_2367111154[[#Headers],[SPCC]],
   COUNTIF(Herramientas_de_izaje2468112155[Herramientas_de_izaje], B601) &gt; 0, Herramientas_de_izaje2468112155[[#Headers],[Herramientas_de_izaje]],
COUNTIF(Tabla162670114157[Equipos], B601) &gt; 0, Tabla162670114157[[#Headers],[Equipos]],
    TRUE, "Sin clasificación"
)</f>
        <v>Sin clasificación</v>
      </c>
      <c r="I601" s="15"/>
      <c r="J601" s="47"/>
      <c r="K601" s="76"/>
      <c r="L601" s="76"/>
      <c r="M601" s="78" t="str">
        <f>_xlfn.LET(
    _xlpm.itemBuscado, B601,
    _xlpm.areaBuscada, C601,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TEXT(COUNTIF($C$2:C601, _xlpm.areaBuscada), "0000"),
    _xlpm.codItem &amp; "-" &amp; _xlpm.codArea &amp; "-" &amp; _xlpm.secuencia
)</f>
        <v>-SinArea-0000</v>
      </c>
      <c r="N601" s="77"/>
      <c r="O601" s="32"/>
      <c r="P601" s="32"/>
      <c r="Q601" s="32"/>
      <c r="R601" s="32"/>
    </row>
    <row r="602" spans="3:18" x14ac:dyDescent="0.3">
      <c r="C602" s="11"/>
      <c r="D602" s="32"/>
      <c r="E602" s="11" t="str" cm="1">
        <f t="array" ref="E602">_xlfn.IFS(
    COUNTIF(Herramientas_eléctricas1862106149[Herramientas_eléctricas], B602) &gt; 0, Herramientas_eléctricas1862106149[[#Headers],[Herramientas_eléctricas]],
    COUNTIF(Herramientas_neumáticas1963107150[Herramientas_neumáticas], B602) &gt; 0, Herramientas_neumáticas1963107150[[#Headers],[Herramientas_neumáticas]],
    COUNTIF(Herramientas_de_medición2064108151[Herramientas_de_medición], B602) &gt; 0, Herramientas_de_medición2064108151[[#Headers],[Herramientas_de_medición]],
    COUNTIF(Herrramientas_mecánicas2165109152[Herramientas_mecánicas], B602) &gt; 0, Herrramientas_mecánicas2165109152[[#Headers],[Herramientas_mecánicas]],
    COUNTIF(AH602:AH608, B602) &gt; 0, Herramientas_hidráulicas2266110153[[#Headers],[Herramientas_hidráulicas]],
    COUNTIF(EPP_2367111154[SPCC], B602) &gt; 0, EPP_2367111154[[#Headers],[SPCC]],
   COUNTIF(Herramientas_de_izaje2468112155[Herramientas_de_izaje], B602) &gt; 0, Herramientas_de_izaje2468112155[[#Headers],[Herramientas_de_izaje]],
COUNTIF(Tabla162670114157[Equipos], B602) &gt; 0, Tabla162670114157[[#Headers],[Equipos]],
    TRUE, "Sin clasificación"
)</f>
        <v>Sin clasificación</v>
      </c>
      <c r="I602" s="15"/>
      <c r="J602" s="47"/>
      <c r="K602" s="76"/>
      <c r="L602" s="76"/>
      <c r="M602" s="78" t="str">
        <f>_xlfn.LET(
    _xlpm.itemBuscado, B602,
    _xlpm.areaBuscada, C602,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TEXT(COUNTIF($C$2:C602, _xlpm.areaBuscada), "0000"),
    _xlpm.codItem &amp; "-" &amp; _xlpm.codArea &amp; "-" &amp; _xlpm.secuencia
)</f>
        <v>-SinArea-0000</v>
      </c>
      <c r="N602" s="77"/>
      <c r="O602" s="32"/>
      <c r="P602" s="32"/>
      <c r="Q602" s="32"/>
      <c r="R602" s="32"/>
    </row>
    <row r="603" spans="3:18" x14ac:dyDescent="0.3">
      <c r="C603" s="11"/>
      <c r="D603" s="32"/>
      <c r="E603" s="11" t="str" cm="1">
        <f t="array" ref="E603">_xlfn.IFS(
    COUNTIF(Herramientas_eléctricas1862106149[Herramientas_eléctricas], B603) &gt; 0, Herramientas_eléctricas1862106149[[#Headers],[Herramientas_eléctricas]],
    COUNTIF(Herramientas_neumáticas1963107150[Herramientas_neumáticas], B603) &gt; 0, Herramientas_neumáticas1963107150[[#Headers],[Herramientas_neumáticas]],
    COUNTIF(Herramientas_de_medición2064108151[Herramientas_de_medición], B603) &gt; 0, Herramientas_de_medición2064108151[[#Headers],[Herramientas_de_medición]],
    COUNTIF(Herrramientas_mecánicas2165109152[Herramientas_mecánicas], B603) &gt; 0, Herrramientas_mecánicas2165109152[[#Headers],[Herramientas_mecánicas]],
    COUNTIF(AH603:AH609, B603) &gt; 0, Herramientas_hidráulicas2266110153[[#Headers],[Herramientas_hidráulicas]],
    COUNTIF(EPP_2367111154[SPCC], B603) &gt; 0, EPP_2367111154[[#Headers],[SPCC]],
   COUNTIF(Herramientas_de_izaje2468112155[Herramientas_de_izaje], B603) &gt; 0, Herramientas_de_izaje2468112155[[#Headers],[Herramientas_de_izaje]],
COUNTIF(Tabla162670114157[Equipos], B603) &gt; 0, Tabla162670114157[[#Headers],[Equipos]],
    TRUE, "Sin clasificación"
)</f>
        <v>Sin clasificación</v>
      </c>
      <c r="I603" s="15"/>
      <c r="J603" s="47"/>
      <c r="K603" s="76"/>
      <c r="L603" s="76"/>
      <c r="M603" s="78" t="str">
        <f>_xlfn.LET(
    _xlpm.itemBuscado, B603,
    _xlpm.areaBuscada, C603,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TEXT(COUNTIF($C$2:C603, _xlpm.areaBuscada), "0000"),
    _xlpm.codItem &amp; "-" &amp; _xlpm.codArea &amp; "-" &amp; _xlpm.secuencia
)</f>
        <v>-SinArea-0000</v>
      </c>
      <c r="N603" s="77"/>
      <c r="O603" s="32"/>
      <c r="P603" s="32"/>
      <c r="Q603" s="32"/>
      <c r="R603" s="32"/>
    </row>
    <row r="604" spans="3:18" x14ac:dyDescent="0.3">
      <c r="C604" s="11"/>
      <c r="D604" s="32"/>
      <c r="E604" s="11" t="str" cm="1">
        <f t="array" ref="E604">_xlfn.IFS(
    COUNTIF(Herramientas_eléctricas1862106149[Herramientas_eléctricas], B604) &gt; 0, Herramientas_eléctricas1862106149[[#Headers],[Herramientas_eléctricas]],
    COUNTIF(Herramientas_neumáticas1963107150[Herramientas_neumáticas], B604) &gt; 0, Herramientas_neumáticas1963107150[[#Headers],[Herramientas_neumáticas]],
    COUNTIF(Herramientas_de_medición2064108151[Herramientas_de_medición], B604) &gt; 0, Herramientas_de_medición2064108151[[#Headers],[Herramientas_de_medición]],
    COUNTIF(Herrramientas_mecánicas2165109152[Herramientas_mecánicas], B604) &gt; 0, Herrramientas_mecánicas2165109152[[#Headers],[Herramientas_mecánicas]],
    COUNTIF(AH604:AH610, B604) &gt; 0, Herramientas_hidráulicas2266110153[[#Headers],[Herramientas_hidráulicas]],
    COUNTIF(EPP_2367111154[SPCC], B604) &gt; 0, EPP_2367111154[[#Headers],[SPCC]],
   COUNTIF(Herramientas_de_izaje2468112155[Herramientas_de_izaje], B604) &gt; 0, Herramientas_de_izaje2468112155[[#Headers],[Herramientas_de_izaje]],
COUNTIF(Tabla162670114157[Equipos], B604) &gt; 0, Tabla162670114157[[#Headers],[Equipos]],
    TRUE, "Sin clasificación"
)</f>
        <v>Sin clasificación</v>
      </c>
      <c r="I604" s="15"/>
      <c r="J604" s="47"/>
      <c r="K604" s="76"/>
      <c r="L604" s="76"/>
      <c r="M604" s="78" t="str">
        <f>_xlfn.LET(
    _xlpm.itemBuscado, B604,
    _xlpm.areaBuscada, C604,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TEXT(COUNTIF($C$2:C604, _xlpm.areaBuscada), "0000"),
    _xlpm.codItem &amp; "-" &amp; _xlpm.codArea &amp; "-" &amp; _xlpm.secuencia
)</f>
        <v>-SinArea-0000</v>
      </c>
      <c r="N604" s="77"/>
      <c r="O604" s="32"/>
      <c r="P604" s="32"/>
      <c r="Q604" s="32"/>
      <c r="R604" s="32"/>
    </row>
    <row r="605" spans="3:18" x14ac:dyDescent="0.3">
      <c r="C605" s="11"/>
      <c r="D605" s="32"/>
      <c r="E605" s="11" t="str" cm="1">
        <f t="array" ref="E605">_xlfn.IFS(
    COUNTIF(Herramientas_eléctricas1862106149[Herramientas_eléctricas], B605) &gt; 0, Herramientas_eléctricas1862106149[[#Headers],[Herramientas_eléctricas]],
    COUNTIF(Herramientas_neumáticas1963107150[Herramientas_neumáticas], B605) &gt; 0, Herramientas_neumáticas1963107150[[#Headers],[Herramientas_neumáticas]],
    COUNTIF(Herramientas_de_medición2064108151[Herramientas_de_medición], B605) &gt; 0, Herramientas_de_medición2064108151[[#Headers],[Herramientas_de_medición]],
    COUNTIF(Herrramientas_mecánicas2165109152[Herramientas_mecánicas], B605) &gt; 0, Herrramientas_mecánicas2165109152[[#Headers],[Herramientas_mecánicas]],
    COUNTIF(AH605:AH611, B605) &gt; 0, Herramientas_hidráulicas2266110153[[#Headers],[Herramientas_hidráulicas]],
    COUNTIF(EPP_2367111154[SPCC], B605) &gt; 0, EPP_2367111154[[#Headers],[SPCC]],
   COUNTIF(Herramientas_de_izaje2468112155[Herramientas_de_izaje], B605) &gt; 0, Herramientas_de_izaje2468112155[[#Headers],[Herramientas_de_izaje]],
COUNTIF(Tabla162670114157[Equipos], B605) &gt; 0, Tabla162670114157[[#Headers],[Equipos]],
    TRUE, "Sin clasificación"
)</f>
        <v>Sin clasificación</v>
      </c>
      <c r="I605" s="15"/>
      <c r="J605" s="47"/>
      <c r="K605" s="76"/>
      <c r="L605" s="76"/>
      <c r="M605" s="78" t="str">
        <f>_xlfn.LET(
    _xlpm.itemBuscado, B605,
    _xlpm.areaBuscada, C605,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TEXT(COUNTIF($C$2:C605, _xlpm.areaBuscada), "0000"),
    _xlpm.codItem &amp; "-" &amp; _xlpm.codArea &amp; "-" &amp; _xlpm.secuencia
)</f>
        <v>-SinArea-0000</v>
      </c>
      <c r="N605" s="77"/>
      <c r="O605" s="32"/>
      <c r="P605" s="32"/>
      <c r="Q605" s="32"/>
      <c r="R605" s="32"/>
    </row>
    <row r="606" spans="3:18" x14ac:dyDescent="0.3">
      <c r="C606" s="11"/>
      <c r="D606" s="32"/>
      <c r="E606" s="11" t="str" cm="1">
        <f t="array" ref="E606">_xlfn.IFS(
    COUNTIF(Herramientas_eléctricas1862106149[Herramientas_eléctricas], B606) &gt; 0, Herramientas_eléctricas1862106149[[#Headers],[Herramientas_eléctricas]],
    COUNTIF(Herramientas_neumáticas1963107150[Herramientas_neumáticas], B606) &gt; 0, Herramientas_neumáticas1963107150[[#Headers],[Herramientas_neumáticas]],
    COUNTIF(Herramientas_de_medición2064108151[Herramientas_de_medición], B606) &gt; 0, Herramientas_de_medición2064108151[[#Headers],[Herramientas_de_medición]],
    COUNTIF(Herrramientas_mecánicas2165109152[Herramientas_mecánicas], B606) &gt; 0, Herrramientas_mecánicas2165109152[[#Headers],[Herramientas_mecánicas]],
    COUNTIF(AH606:AH612, B606) &gt; 0, Herramientas_hidráulicas2266110153[[#Headers],[Herramientas_hidráulicas]],
    COUNTIF(EPP_2367111154[SPCC], B606) &gt; 0, EPP_2367111154[[#Headers],[SPCC]],
   COUNTIF(Herramientas_de_izaje2468112155[Herramientas_de_izaje], B606) &gt; 0, Herramientas_de_izaje2468112155[[#Headers],[Herramientas_de_izaje]],
COUNTIF(Tabla162670114157[Equipos], B606) &gt; 0, Tabla162670114157[[#Headers],[Equipos]],
    TRUE, "Sin clasificación"
)</f>
        <v>Sin clasificación</v>
      </c>
      <c r="I606" s="15"/>
      <c r="J606" s="47"/>
      <c r="K606" s="76"/>
      <c r="L606" s="76"/>
      <c r="M606" s="78" t="str">
        <f>_xlfn.LET(
    _xlpm.itemBuscado, B606,
    _xlpm.areaBuscada, C606,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TEXT(COUNTIF($C$2:C606, _xlpm.areaBuscada), "0000"),
    _xlpm.codItem &amp; "-" &amp; _xlpm.codArea &amp; "-" &amp; _xlpm.secuencia
)</f>
        <v>-SinArea-0000</v>
      </c>
      <c r="N606" s="77"/>
      <c r="O606" s="32"/>
      <c r="P606" s="32"/>
      <c r="Q606" s="32"/>
      <c r="R606" s="32"/>
    </row>
    <row r="607" spans="3:18" x14ac:dyDescent="0.3">
      <c r="C607" s="11"/>
      <c r="D607" s="32"/>
      <c r="E607" s="11" t="str" cm="1">
        <f t="array" ref="E607">_xlfn.IFS(
    COUNTIF(Herramientas_eléctricas1862106149[Herramientas_eléctricas], B607) &gt; 0, Herramientas_eléctricas1862106149[[#Headers],[Herramientas_eléctricas]],
    COUNTIF(Herramientas_neumáticas1963107150[Herramientas_neumáticas], B607) &gt; 0, Herramientas_neumáticas1963107150[[#Headers],[Herramientas_neumáticas]],
    COUNTIF(Herramientas_de_medición2064108151[Herramientas_de_medición], B607) &gt; 0, Herramientas_de_medición2064108151[[#Headers],[Herramientas_de_medición]],
    COUNTIF(Herrramientas_mecánicas2165109152[Herramientas_mecánicas], B607) &gt; 0, Herrramientas_mecánicas2165109152[[#Headers],[Herramientas_mecánicas]],
    COUNTIF(AH607:AH613, B607) &gt; 0, Herramientas_hidráulicas2266110153[[#Headers],[Herramientas_hidráulicas]],
    COUNTIF(EPP_2367111154[SPCC], B607) &gt; 0, EPP_2367111154[[#Headers],[SPCC]],
   COUNTIF(Herramientas_de_izaje2468112155[Herramientas_de_izaje], B607) &gt; 0, Herramientas_de_izaje2468112155[[#Headers],[Herramientas_de_izaje]],
COUNTIF(Tabla162670114157[Equipos], B607) &gt; 0, Tabla162670114157[[#Headers],[Equipos]],
    TRUE, "Sin clasificación"
)</f>
        <v>Sin clasificación</v>
      </c>
      <c r="I607" s="15"/>
      <c r="J607" s="47"/>
      <c r="K607" s="76"/>
      <c r="L607" s="76"/>
      <c r="M607" s="78" t="str">
        <f>_xlfn.LET(
    _xlpm.itemBuscado, B607,
    _xlpm.areaBuscada, C607,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TEXT(COUNTIF($C$2:C607, _xlpm.areaBuscada), "0000"),
    _xlpm.codItem &amp; "-" &amp; _xlpm.codArea &amp; "-" &amp; _xlpm.secuencia
)</f>
        <v>-SinArea-0000</v>
      </c>
      <c r="N607" s="77"/>
      <c r="O607" s="32"/>
      <c r="P607" s="32"/>
      <c r="Q607" s="32"/>
      <c r="R607" s="32"/>
    </row>
    <row r="608" spans="3:18" x14ac:dyDescent="0.3">
      <c r="C608" s="11"/>
      <c r="D608" s="32"/>
      <c r="E608" s="11" t="str" cm="1">
        <f t="array" ref="E608">_xlfn.IFS(
    COUNTIF(Herramientas_eléctricas1862106149[Herramientas_eléctricas], B608) &gt; 0, Herramientas_eléctricas1862106149[[#Headers],[Herramientas_eléctricas]],
    COUNTIF(Herramientas_neumáticas1963107150[Herramientas_neumáticas], B608) &gt; 0, Herramientas_neumáticas1963107150[[#Headers],[Herramientas_neumáticas]],
    COUNTIF(Herramientas_de_medición2064108151[Herramientas_de_medición], B608) &gt; 0, Herramientas_de_medición2064108151[[#Headers],[Herramientas_de_medición]],
    COUNTIF(Herrramientas_mecánicas2165109152[Herramientas_mecánicas], B608) &gt; 0, Herrramientas_mecánicas2165109152[[#Headers],[Herramientas_mecánicas]],
    COUNTIF(AH608:AH614, B608) &gt; 0, Herramientas_hidráulicas2266110153[[#Headers],[Herramientas_hidráulicas]],
    COUNTIF(EPP_2367111154[SPCC], B608) &gt; 0, EPP_2367111154[[#Headers],[SPCC]],
   COUNTIF(Herramientas_de_izaje2468112155[Herramientas_de_izaje], B608) &gt; 0, Herramientas_de_izaje2468112155[[#Headers],[Herramientas_de_izaje]],
COUNTIF(Tabla162670114157[Equipos], B608) &gt; 0, Tabla162670114157[[#Headers],[Equipos]],
    TRUE, "Sin clasificación"
)</f>
        <v>Sin clasificación</v>
      </c>
      <c r="I608" s="15"/>
      <c r="J608" s="47"/>
      <c r="K608" s="76"/>
      <c r="L608" s="76"/>
      <c r="M608" s="78" t="str">
        <f>_xlfn.LET(
    _xlpm.itemBuscado, B608,
    _xlpm.areaBuscada, C608,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TEXT(COUNTIF($C$2:C608, _xlpm.areaBuscada), "0000"),
    _xlpm.codItem &amp; "-" &amp; _xlpm.codArea &amp; "-" &amp; _xlpm.secuencia
)</f>
        <v>-SinArea-0000</v>
      </c>
      <c r="N608" s="77"/>
      <c r="O608" s="32"/>
      <c r="P608" s="32"/>
      <c r="Q608" s="32"/>
      <c r="R608" s="32"/>
    </row>
    <row r="609" spans="3:18" x14ac:dyDescent="0.3">
      <c r="C609" s="11"/>
      <c r="D609" s="32"/>
      <c r="E609" s="11" t="str" cm="1">
        <f t="array" ref="E609">_xlfn.IFS(
    COUNTIF(Herramientas_eléctricas1862106149[Herramientas_eléctricas], B609) &gt; 0, Herramientas_eléctricas1862106149[[#Headers],[Herramientas_eléctricas]],
    COUNTIF(Herramientas_neumáticas1963107150[Herramientas_neumáticas], B609) &gt; 0, Herramientas_neumáticas1963107150[[#Headers],[Herramientas_neumáticas]],
    COUNTIF(Herramientas_de_medición2064108151[Herramientas_de_medición], B609) &gt; 0, Herramientas_de_medición2064108151[[#Headers],[Herramientas_de_medición]],
    COUNTIF(Herrramientas_mecánicas2165109152[Herramientas_mecánicas], B609) &gt; 0, Herrramientas_mecánicas2165109152[[#Headers],[Herramientas_mecánicas]],
    COUNTIF(AH609:AH615, B609) &gt; 0, Herramientas_hidráulicas2266110153[[#Headers],[Herramientas_hidráulicas]],
    COUNTIF(EPP_2367111154[SPCC], B609) &gt; 0, EPP_2367111154[[#Headers],[SPCC]],
   COUNTIF(Herramientas_de_izaje2468112155[Herramientas_de_izaje], B609) &gt; 0, Herramientas_de_izaje2468112155[[#Headers],[Herramientas_de_izaje]],
COUNTIF(Tabla162670114157[Equipos], B609) &gt; 0, Tabla162670114157[[#Headers],[Equipos]],
    TRUE, "Sin clasificación"
)</f>
        <v>Sin clasificación</v>
      </c>
      <c r="I609" s="15"/>
      <c r="J609" s="47"/>
      <c r="K609" s="76"/>
      <c r="L609" s="76"/>
      <c r="M609" s="78" t="str">
        <f>_xlfn.LET(
    _xlpm.itemBuscado, B609,
    _xlpm.areaBuscada, C609,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TEXT(COUNTIF($C$2:C609, _xlpm.areaBuscada), "0000"),
    _xlpm.codItem &amp; "-" &amp; _xlpm.codArea &amp; "-" &amp; _xlpm.secuencia
)</f>
        <v>-SinArea-0000</v>
      </c>
      <c r="N609" s="77"/>
      <c r="O609" s="32"/>
      <c r="P609" s="32"/>
      <c r="Q609" s="32"/>
      <c r="R609" s="32"/>
    </row>
    <row r="610" spans="3:18" x14ac:dyDescent="0.3">
      <c r="C610" s="11"/>
      <c r="D610" s="32"/>
      <c r="E610" s="11" t="str" cm="1">
        <f t="array" ref="E610">_xlfn.IFS(
    COUNTIF(Herramientas_eléctricas1862106149[Herramientas_eléctricas], B610) &gt; 0, Herramientas_eléctricas1862106149[[#Headers],[Herramientas_eléctricas]],
    COUNTIF(Herramientas_neumáticas1963107150[Herramientas_neumáticas], B610) &gt; 0, Herramientas_neumáticas1963107150[[#Headers],[Herramientas_neumáticas]],
    COUNTIF(Herramientas_de_medición2064108151[Herramientas_de_medición], B610) &gt; 0, Herramientas_de_medición2064108151[[#Headers],[Herramientas_de_medición]],
    COUNTIF(Herrramientas_mecánicas2165109152[Herramientas_mecánicas], B610) &gt; 0, Herrramientas_mecánicas2165109152[[#Headers],[Herramientas_mecánicas]],
    COUNTIF(AH610:AH616, B610) &gt; 0, Herramientas_hidráulicas2266110153[[#Headers],[Herramientas_hidráulicas]],
    COUNTIF(EPP_2367111154[SPCC], B610) &gt; 0, EPP_2367111154[[#Headers],[SPCC]],
   COUNTIF(Herramientas_de_izaje2468112155[Herramientas_de_izaje], B610) &gt; 0, Herramientas_de_izaje2468112155[[#Headers],[Herramientas_de_izaje]],
COUNTIF(Tabla162670114157[Equipos], B610) &gt; 0, Tabla162670114157[[#Headers],[Equipos]],
    TRUE, "Sin clasificación"
)</f>
        <v>Sin clasificación</v>
      </c>
      <c r="I610" s="15"/>
      <c r="J610" s="47"/>
      <c r="K610" s="76"/>
      <c r="L610" s="76"/>
      <c r="M610" s="78" t="str">
        <f>_xlfn.LET(
    _xlpm.itemBuscado, B610,
    _xlpm.areaBuscada, C610,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TEXT(COUNTIF($C$2:C610, _xlpm.areaBuscada), "0000"),
    _xlpm.codItem &amp; "-" &amp; _xlpm.codArea &amp; "-" &amp; _xlpm.secuencia
)</f>
        <v>-SinArea-0000</v>
      </c>
      <c r="N610" s="77"/>
      <c r="O610" s="32"/>
      <c r="P610" s="32"/>
      <c r="Q610" s="32"/>
      <c r="R610" s="32"/>
    </row>
    <row r="611" spans="3:18" x14ac:dyDescent="0.3">
      <c r="C611" s="11"/>
      <c r="D611" s="32"/>
      <c r="E611" s="11" t="str" cm="1">
        <f t="array" ref="E611">_xlfn.IFS(
    COUNTIF(Herramientas_eléctricas1862106149[Herramientas_eléctricas], B611) &gt; 0, Herramientas_eléctricas1862106149[[#Headers],[Herramientas_eléctricas]],
    COUNTIF(Herramientas_neumáticas1963107150[Herramientas_neumáticas], B611) &gt; 0, Herramientas_neumáticas1963107150[[#Headers],[Herramientas_neumáticas]],
    COUNTIF(Herramientas_de_medición2064108151[Herramientas_de_medición], B611) &gt; 0, Herramientas_de_medición2064108151[[#Headers],[Herramientas_de_medición]],
    COUNTIF(Herrramientas_mecánicas2165109152[Herramientas_mecánicas], B611) &gt; 0, Herrramientas_mecánicas2165109152[[#Headers],[Herramientas_mecánicas]],
    COUNTIF(AH611:AH617, B611) &gt; 0, Herramientas_hidráulicas2266110153[[#Headers],[Herramientas_hidráulicas]],
    COUNTIF(EPP_2367111154[SPCC], B611) &gt; 0, EPP_2367111154[[#Headers],[SPCC]],
   COUNTIF(Herramientas_de_izaje2468112155[Herramientas_de_izaje], B611) &gt; 0, Herramientas_de_izaje2468112155[[#Headers],[Herramientas_de_izaje]],
COUNTIF(Tabla162670114157[Equipos], B611) &gt; 0, Tabla162670114157[[#Headers],[Equipos]],
    TRUE, "Sin clasificación"
)</f>
        <v>Sin clasificación</v>
      </c>
      <c r="I611" s="15"/>
      <c r="J611" s="47"/>
      <c r="K611" s="76"/>
      <c r="L611" s="76"/>
      <c r="M611" s="78" t="str">
        <f>_xlfn.LET(
    _xlpm.itemBuscado, B611,
    _xlpm.areaBuscada, C611,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TEXT(COUNTIF($C$2:C611, _xlpm.areaBuscada), "0000"),
    _xlpm.codItem &amp; "-" &amp; _xlpm.codArea &amp; "-" &amp; _xlpm.secuencia
)</f>
        <v>-SinArea-0000</v>
      </c>
      <c r="N611" s="77"/>
      <c r="O611" s="32"/>
      <c r="P611" s="32"/>
      <c r="Q611" s="32"/>
      <c r="R611" s="32"/>
    </row>
    <row r="612" spans="3:18" x14ac:dyDescent="0.3">
      <c r="C612" s="11"/>
    </row>
    <row r="613" spans="3:18" x14ac:dyDescent="0.3">
      <c r="C613" s="11"/>
    </row>
    <row r="614" spans="3:18" x14ac:dyDescent="0.3">
      <c r="C614" s="11"/>
    </row>
    <row r="615" spans="3:18" x14ac:dyDescent="0.3">
      <c r="C615" s="11"/>
    </row>
    <row r="616" spans="3:18" x14ac:dyDescent="0.3">
      <c r="C616" s="11"/>
    </row>
    <row r="617" spans="3:18" x14ac:dyDescent="0.3">
      <c r="C617" s="11"/>
    </row>
    <row r="618" spans="3:18" x14ac:dyDescent="0.3">
      <c r="C618" s="11"/>
    </row>
  </sheetData>
  <phoneticPr fontId="13" type="noConversion"/>
  <dataValidations count="9">
    <dataValidation type="list" allowBlank="1" showInputMessage="1" showErrorMessage="1" sqref="E2:E611" xr:uid="{0A40D69D-F344-47E6-96B5-62520C461784}">
      <formula1>$AD$1:$AK$1</formula1>
    </dataValidation>
    <dataValidation type="list" allowBlank="1" showInputMessage="1" showErrorMessage="1" sqref="Q2:Q611" xr:uid="{070FB9D3-59CC-4AF5-AF4D-04E96A86B007}">
      <formula1>$X$2:$X$4</formula1>
    </dataValidation>
    <dataValidation type="whole" allowBlank="1" showInputMessage="1" showErrorMessage="1" sqref="D2:D139" xr:uid="{3CA3D61F-0179-47D4-958E-2BF165F44C6B}">
      <formula1>1</formula1>
      <formula2>100</formula2>
    </dataValidation>
    <dataValidation type="list" allowBlank="1" showInputMessage="1" promptTitle="Guia" prompt="Si tiene dudas sobre que dato colocar consulte las siguientes tablas y no olvide revisar los comentarios_x000a__x000a_" sqref="F2:H139" xr:uid="{147860FE-8AE0-4064-A9BE-F5D893052D13}">
      <formula1>INDIRECT($E$2:$E$611)</formula1>
    </dataValidation>
    <dataValidation type="list" allowBlank="1" showInputMessage="1" showErrorMessage="1" sqref="P2:P611" xr:uid="{A9D4855D-A702-4DC4-BD30-01D4AD663C4D}">
      <formula1>$Z$10:$Z$12</formula1>
    </dataValidation>
    <dataValidation allowBlank="1" showInputMessage="1" showErrorMessage="1" sqref="D140:D618" xr:uid="{1860200D-4B16-4BC0-BB78-B140011B0F1A}"/>
    <dataValidation type="list" allowBlank="1" showInputMessage="1" promptTitle="Guia" prompt="puede realizar Las siguientes opciones_x000a_si eligio electricos tiene las siguientes opciones de una posible sublista_x000a_" sqref="F140:H613" xr:uid="{E3B579B7-96F0-4DA8-8C9D-D3AC739B65D7}">
      <formula1>INDIRECT($E$2:$E$611)</formula1>
    </dataValidation>
    <dataValidation type="list" allowBlank="1" showInputMessage="1" showErrorMessage="1" sqref="C2:C618" xr:uid="{B89169B9-87D8-402F-A6BA-1E5ED5F34772}">
      <formula1>$U$2:$U$12</formula1>
    </dataValidation>
    <dataValidation type="list" allowBlank="1" showInputMessage="1" showErrorMessage="1" sqref="E612:E615" xr:uid="{9877EE5C-0DE1-4036-9377-F58586BBF3E9}">
      <formula1>$AA$2:$AA$7</formula1>
    </dataValidation>
  </dataValidations>
  <pageMargins left="0.7" right="0.7" top="0.75" bottom="0.75" header="0.3" footer="0.3"/>
  <legacyDrawing r:id="rId1"/>
  <tableParts count="43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DF3A5D7-8719-4590-97D7-41B7A9770471}">
          <x14:formula1>
            <xm:f>Hoja2!$B$3:$B$80</xm:f>
          </x14:formula1>
          <xm:sqref>B2:B34</xm:sqref>
        </x14:dataValidation>
        <x14:dataValidation type="list" allowBlank="1" showInputMessage="1" showErrorMessage="1" xr:uid="{91C5ADD1-4D78-4ED1-AA82-56CC4F32E2AD}">
          <x14:formula1>
            <xm:f>Hoja2!$B$3:$B$79</xm:f>
          </x14:formula1>
          <xm:sqref>B35:B611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BA8C3-478A-4C52-AD7B-AB65C0EE6768}">
  <dimension ref="B1:BM618"/>
  <sheetViews>
    <sheetView zoomScale="85" zoomScaleNormal="85" workbookViewId="0">
      <pane xSplit="3" topLeftCell="D1" activePane="topRight" state="frozen"/>
      <selection pane="topRight" activeCell="I42" sqref="I42"/>
    </sheetView>
  </sheetViews>
  <sheetFormatPr baseColWidth="10" defaultColWidth="8.88671875" defaultRowHeight="14.4" x14ac:dyDescent="0.3"/>
  <cols>
    <col min="2" max="2" width="10.5546875" customWidth="1"/>
    <col min="3" max="3" width="14.6640625" customWidth="1"/>
    <col min="4" max="4" width="17.33203125" customWidth="1"/>
    <col min="5" max="5" width="25.44140625" customWidth="1"/>
    <col min="6" max="6" width="36.33203125" customWidth="1"/>
    <col min="7" max="7" width="18.88671875" customWidth="1"/>
    <col min="8" max="8" width="13.88671875" customWidth="1"/>
    <col min="9" max="9" width="15.109375" customWidth="1"/>
    <col min="10" max="10" width="22.6640625" customWidth="1"/>
    <col min="11" max="11" width="21.33203125" customWidth="1"/>
    <col min="12" max="12" width="23.109375" customWidth="1"/>
    <col min="13" max="13" width="17.44140625" customWidth="1"/>
    <col min="14" max="14" width="24.109375" customWidth="1"/>
    <col min="15" max="15" width="18.6640625" customWidth="1"/>
    <col min="16" max="16" width="43.6640625" customWidth="1"/>
    <col min="17" max="17" width="15.6640625" customWidth="1"/>
    <col min="18" max="18" width="11.6640625" customWidth="1"/>
    <col min="19" max="19" width="18.6640625" customWidth="1"/>
    <col min="22" max="22" width="11.33203125" customWidth="1"/>
    <col min="24" max="24" width="19.5546875" customWidth="1"/>
    <col min="25" max="25" width="23.44140625" bestFit="1" customWidth="1"/>
    <col min="26" max="26" width="21.33203125" customWidth="1"/>
    <col min="27" max="27" width="22.33203125" customWidth="1"/>
    <col min="28" max="28" width="24" customWidth="1"/>
    <col min="29" max="29" width="24.44140625" customWidth="1"/>
    <col min="30" max="30" width="26.109375" customWidth="1"/>
    <col min="31" max="31" width="23.6640625" customWidth="1"/>
    <col min="32" max="32" width="24" customWidth="1"/>
    <col min="33" max="33" width="21.33203125" customWidth="1"/>
    <col min="34" max="34" width="21.109375" customWidth="1"/>
    <col min="35" max="35" width="19.44140625" bestFit="1" customWidth="1"/>
    <col min="36" max="36" width="22.5546875" customWidth="1"/>
    <col min="37" max="37" width="29.6640625" customWidth="1"/>
    <col min="38" max="38" width="25" customWidth="1"/>
    <col min="39" max="39" width="26.6640625" customWidth="1"/>
    <col min="40" max="40" width="28.33203125" customWidth="1"/>
    <col min="41" max="41" width="27.109375" customWidth="1"/>
    <col min="42" max="44" width="33.6640625" customWidth="1"/>
    <col min="45" max="45" width="22.5546875" customWidth="1"/>
    <col min="46" max="46" width="26.109375" customWidth="1"/>
    <col min="47" max="47" width="25.33203125" customWidth="1"/>
    <col min="48" max="48" width="21.109375" customWidth="1"/>
    <col min="49" max="49" width="19" customWidth="1"/>
    <col min="50" max="50" width="15.5546875" customWidth="1"/>
    <col min="51" max="51" width="18.33203125" customWidth="1"/>
    <col min="52" max="52" width="18.109375" customWidth="1"/>
  </cols>
  <sheetData>
    <row r="1" spans="2:65" ht="21.6" customHeight="1" x14ac:dyDescent="0.3">
      <c r="B1" s="36" t="s">
        <v>200</v>
      </c>
      <c r="C1" s="36" t="s">
        <v>201</v>
      </c>
      <c r="D1" s="36" t="s">
        <v>202</v>
      </c>
      <c r="E1" s="36" t="s">
        <v>203</v>
      </c>
      <c r="F1" s="37" t="s">
        <v>204</v>
      </c>
      <c r="G1" s="36" t="s">
        <v>205</v>
      </c>
      <c r="H1" s="36" t="s">
        <v>206</v>
      </c>
      <c r="I1" s="36" t="s">
        <v>342</v>
      </c>
      <c r="J1" s="37" t="s">
        <v>207</v>
      </c>
      <c r="K1" s="37" t="s">
        <v>343</v>
      </c>
      <c r="L1" s="37" t="s">
        <v>208</v>
      </c>
      <c r="M1" s="37" t="s">
        <v>209</v>
      </c>
      <c r="N1" s="37" t="s">
        <v>210</v>
      </c>
      <c r="O1" s="38" t="s">
        <v>211</v>
      </c>
      <c r="P1" s="37" t="s">
        <v>212</v>
      </c>
      <c r="Q1" s="39"/>
      <c r="R1" s="40" t="s">
        <v>213</v>
      </c>
      <c r="S1" s="41" t="s">
        <v>201</v>
      </c>
      <c r="U1" s="42" t="s">
        <v>213</v>
      </c>
      <c r="V1" s="43" t="s">
        <v>211</v>
      </c>
      <c r="X1" s="44" t="s">
        <v>213</v>
      </c>
      <c r="Y1" s="45" t="s">
        <v>214</v>
      </c>
      <c r="AA1" s="46"/>
      <c r="AB1" s="1" t="s">
        <v>4</v>
      </c>
      <c r="AC1" s="2" t="s">
        <v>5</v>
      </c>
      <c r="AD1" s="3" t="s">
        <v>6</v>
      </c>
      <c r="AE1" s="2" t="s">
        <v>7</v>
      </c>
      <c r="AF1" s="3" t="s">
        <v>8</v>
      </c>
      <c r="AG1" s="3" t="s">
        <v>160</v>
      </c>
      <c r="AH1" s="2" t="s">
        <v>9</v>
      </c>
      <c r="AI1" s="4" t="s">
        <v>10</v>
      </c>
      <c r="AJ1" t="s">
        <v>11</v>
      </c>
      <c r="AK1" t="s">
        <v>12</v>
      </c>
      <c r="AN1" t="s">
        <v>215</v>
      </c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</row>
    <row r="2" spans="2:65" ht="26.4" customHeight="1" x14ac:dyDescent="0.3">
      <c r="C2" s="11"/>
      <c r="D2">
        <v>1</v>
      </c>
      <c r="E2" s="11" t="str" cm="1">
        <f t="array" ref="E2">_xlfn.IFS(
    COUNTIF(Herramientas_eléctricas1862106[Herramientas_eléctricas], B2) &gt; 0, Herramientas_eléctricas1862106[[#Headers],[Herramientas_eléctricas]],
    COUNTIF(Herramientas_neumáticas1963107[Herramientas_neumáticas], B2) &gt; 0, Herramientas_neumáticas1963107[[#Headers],[Herramientas_neumáticas]],
    COUNTIF(Herramientas_de_medición2064108[Herramientas_de_medición], B2) &gt; 0, Herramientas_de_medición2064108[[#Headers],[Herramientas_de_medición]],
    COUNTIF(Herrramientas_mecánicas2165109[Herramientas_mecánicas], B2) &gt; 0, Herrramientas_mecánicas2165109[[#Headers],[Herramientas_mecánicas]],
    COUNTIF(AF2:AF8, B2) &gt; 0, Herramientas_hidráulicas2266110[[#Headers],[Herramientas_hidráulicas]],
    COUNTIF(EPP_2367111[SPCC], B2) &gt; 0, EPP_2367111[[#Headers],[SPCC]],
   COUNTIF(Herramientas_de_izaje2468112[Herramientas_de_izaje], B2) &gt; 0, Herramientas_de_izaje2468112[[#Headers],[Herramientas_de_izaje]],
COUNTIF(Tabla162670114[Equipos], B2) &gt; 0, Tabla162670114[[#Headers],[Equipos]],
    TRUE, "Sin clasificación"
)</f>
        <v>Sin clasificación</v>
      </c>
      <c r="F2" s="15"/>
      <c r="G2" s="15"/>
      <c r="H2" s="47"/>
      <c r="J2" s="47"/>
      <c r="K2" s="47" t="str">
        <f>_xlfn.LET(
    _xlpm.itemBuscado, B2,
    _xlpm.areaBuscada, C2,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TEXT(COUNTIF($C$2:C2, _xlpm.areaBuscada), "0000"),
    _xlpm.codItem &amp; "-" &amp; _xlpm.codArea &amp; "-" &amp; _xlpm.secuencia
)</f>
        <v>-SinArea-0000</v>
      </c>
      <c r="M2" s="15"/>
      <c r="O2" s="48"/>
      <c r="R2" s="49">
        <v>1</v>
      </c>
      <c r="S2" s="50" t="s">
        <v>171</v>
      </c>
      <c r="U2" s="51">
        <v>1</v>
      </c>
      <c r="V2" s="52" t="s">
        <v>216</v>
      </c>
      <c r="X2" s="51">
        <v>1</v>
      </c>
      <c r="Y2" s="52" t="s">
        <v>4</v>
      </c>
      <c r="AB2" s="5" t="s">
        <v>13</v>
      </c>
      <c r="AC2" t="s">
        <v>14</v>
      </c>
      <c r="AD2" t="s">
        <v>15</v>
      </c>
      <c r="AE2" t="s">
        <v>16</v>
      </c>
      <c r="AF2" s="6" t="s">
        <v>17</v>
      </c>
      <c r="AG2" t="s">
        <v>18</v>
      </c>
      <c r="AH2" t="s">
        <v>19</v>
      </c>
      <c r="AI2" s="6" t="s">
        <v>20</v>
      </c>
      <c r="AJ2" t="s">
        <v>21</v>
      </c>
      <c r="AK2" s="7" t="s">
        <v>22</v>
      </c>
      <c r="AN2" s="25" t="s">
        <v>217</v>
      </c>
      <c r="AO2" t="s">
        <v>218</v>
      </c>
      <c r="AP2" t="s">
        <v>219</v>
      </c>
      <c r="AQ2" s="25" t="s">
        <v>220</v>
      </c>
      <c r="AR2" t="s">
        <v>221</v>
      </c>
      <c r="AX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</row>
    <row r="3" spans="2:65" ht="29.25" customHeight="1" x14ac:dyDescent="0.3">
      <c r="C3" s="11"/>
      <c r="D3">
        <v>1</v>
      </c>
      <c r="E3" s="11" t="str" cm="1">
        <f t="array" ref="E3">_xlfn.IFS(
    COUNTIF(Herramientas_eléctricas1862106[Herramientas_eléctricas], B3) &gt; 0, Herramientas_eléctricas1862106[[#Headers],[Herramientas_eléctricas]],
    COUNTIF(Herramientas_neumáticas1963107[Herramientas_neumáticas], B3) &gt; 0, Herramientas_neumáticas1963107[[#Headers],[Herramientas_neumáticas]],
    COUNTIF(Herramientas_de_medición2064108[Herramientas_de_medición], B3) &gt; 0, Herramientas_de_medición2064108[[#Headers],[Herramientas_de_medición]],
    COUNTIF(Herrramientas_mecánicas2165109[Herramientas_mecánicas], B3) &gt; 0, Herrramientas_mecánicas2165109[[#Headers],[Herramientas_mecánicas]],
    COUNTIF(AF3:AF9, B3) &gt; 0, Herramientas_hidráulicas2266110[[#Headers],[Herramientas_hidráulicas]],
    COUNTIF(EPP_2367111[SPCC], B3) &gt; 0, EPP_2367111[[#Headers],[SPCC]],
   COUNTIF(Herramientas_de_izaje2468112[Herramientas_de_izaje], B3) &gt; 0, Herramientas_de_izaje2468112[[#Headers],[Herramientas_de_izaje]],
COUNTIF(Tabla162670114[Equipos], B3) &gt; 0, Tabla162670114[[#Headers],[Equipos]],
    TRUE, "Sin clasificación"
)</f>
        <v>Sin clasificación</v>
      </c>
      <c r="F3" s="15"/>
      <c r="G3" s="15"/>
      <c r="H3" s="47"/>
      <c r="J3" s="47"/>
      <c r="K3" s="47" t="str">
        <f>_xlfn.LET(
    _xlpm.itemBuscado, B3,
    _xlpm.areaBuscada, C3,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TEXT(COUNTIF($C$2:C3, _xlpm.areaBuscada), "0000"),
    _xlpm.codItem &amp; "-" &amp; _xlpm.codArea &amp; "-" &amp; _xlpm.secuencia
)</f>
        <v>-SinArea-0000</v>
      </c>
      <c r="M3" s="15"/>
      <c r="O3" s="48"/>
      <c r="R3" s="49">
        <v>2</v>
      </c>
      <c r="S3" s="50" t="s">
        <v>172</v>
      </c>
      <c r="U3" s="51">
        <v>2</v>
      </c>
      <c r="V3" s="52" t="s">
        <v>222</v>
      </c>
      <c r="X3" s="51">
        <v>2</v>
      </c>
      <c r="Y3" s="53" t="s">
        <v>5</v>
      </c>
      <c r="AB3" s="6" t="s">
        <v>23</v>
      </c>
      <c r="AC3" t="s">
        <v>24</v>
      </c>
      <c r="AD3" t="s">
        <v>25</v>
      </c>
      <c r="AE3" t="s">
        <v>26</v>
      </c>
      <c r="AF3" s="6" t="s">
        <v>27</v>
      </c>
      <c r="AG3" t="s">
        <v>28</v>
      </c>
      <c r="AH3" t="s">
        <v>29</v>
      </c>
      <c r="AJ3" s="8" t="s">
        <v>30</v>
      </c>
      <c r="AK3" s="9" t="s">
        <v>31</v>
      </c>
      <c r="AN3" s="25" t="s">
        <v>223</v>
      </c>
      <c r="AO3" t="s">
        <v>70</v>
      </c>
      <c r="AX3" s="11"/>
      <c r="AY3" s="11"/>
      <c r="AZ3" s="11"/>
      <c r="BA3" s="11"/>
      <c r="BB3" s="11"/>
      <c r="BC3" s="11"/>
      <c r="BD3" s="11"/>
      <c r="BE3" s="11"/>
      <c r="BF3" s="54"/>
      <c r="BG3" s="54"/>
      <c r="BH3" s="11"/>
      <c r="BI3" s="11"/>
      <c r="BJ3" s="11"/>
      <c r="BK3" s="11"/>
      <c r="BL3" s="11"/>
      <c r="BM3" s="11"/>
    </row>
    <row r="4" spans="2:65" ht="33" customHeight="1" x14ac:dyDescent="0.3">
      <c r="C4" s="11"/>
      <c r="D4">
        <v>1</v>
      </c>
      <c r="E4" s="11" t="str" cm="1">
        <f t="array" ref="E4">_xlfn.IFS(
    COUNTIF(Herramientas_eléctricas1862106[Herramientas_eléctricas], B4) &gt; 0, Herramientas_eléctricas1862106[[#Headers],[Herramientas_eléctricas]],
    COUNTIF(Herramientas_neumáticas1963107[Herramientas_neumáticas], B4) &gt; 0, Herramientas_neumáticas1963107[[#Headers],[Herramientas_neumáticas]],
    COUNTIF(Herramientas_de_medición2064108[Herramientas_de_medición], B4) &gt; 0, Herramientas_de_medición2064108[[#Headers],[Herramientas_de_medición]],
    COUNTIF(Herrramientas_mecánicas2165109[Herramientas_mecánicas], B4) &gt; 0, Herrramientas_mecánicas2165109[[#Headers],[Herramientas_mecánicas]],
    COUNTIF(AF4:AF10, B4) &gt; 0, Herramientas_hidráulicas2266110[[#Headers],[Herramientas_hidráulicas]],
    COUNTIF(EPP_2367111[SPCC], B4) &gt; 0, EPP_2367111[[#Headers],[SPCC]],
   COUNTIF(Herramientas_de_izaje2468112[Herramientas_de_izaje], B4) &gt; 0, Herramientas_de_izaje2468112[[#Headers],[Herramientas_de_izaje]],
COUNTIF(Tabla162670114[Equipos], B4) &gt; 0, Tabla162670114[[#Headers],[Equipos]],
    TRUE, "Sin clasificación"
)</f>
        <v>Sin clasificación</v>
      </c>
      <c r="F4" s="15"/>
      <c r="G4" s="15"/>
      <c r="H4" s="47"/>
      <c r="J4" s="47"/>
      <c r="K4" s="47" t="str">
        <f>_xlfn.LET(
    _xlpm.itemBuscado, B4,
    _xlpm.areaBuscada, C4,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TEXT(COUNTIF($C$2:C4, _xlpm.areaBuscada), "0000"),
    _xlpm.codItem &amp; "-" &amp; _xlpm.codArea &amp; "-" &amp; _xlpm.secuencia
)</f>
        <v>-SinArea-0000</v>
      </c>
      <c r="M4" s="15"/>
      <c r="O4" s="48"/>
      <c r="R4" s="49">
        <v>3</v>
      </c>
      <c r="S4" s="50" t="s">
        <v>173</v>
      </c>
      <c r="U4" s="55">
        <v>3</v>
      </c>
      <c r="V4" s="56" t="s">
        <v>224</v>
      </c>
      <c r="X4" s="51">
        <v>3</v>
      </c>
      <c r="Y4" s="53" t="s">
        <v>6</v>
      </c>
      <c r="AB4" s="10" t="s">
        <v>32</v>
      </c>
      <c r="AC4" t="s">
        <v>33</v>
      </c>
      <c r="AD4" t="s">
        <v>34</v>
      </c>
      <c r="AE4" t="s">
        <v>35</v>
      </c>
      <c r="AF4" s="5" t="s">
        <v>36</v>
      </c>
      <c r="AG4" s="11" t="s">
        <v>37</v>
      </c>
      <c r="AH4" t="s">
        <v>38</v>
      </c>
      <c r="AJ4" s="11" t="s">
        <v>39</v>
      </c>
      <c r="AK4" s="7" t="s">
        <v>40</v>
      </c>
      <c r="AN4" s="25" t="s">
        <v>225</v>
      </c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</row>
    <row r="5" spans="2:65" x14ac:dyDescent="0.3">
      <c r="C5" s="11"/>
      <c r="D5">
        <v>1</v>
      </c>
      <c r="E5" s="11" t="str" cm="1">
        <f t="array" ref="E5">_xlfn.IFS(
    COUNTIF(Herramientas_eléctricas1862106[Herramientas_eléctricas], B5) &gt; 0, Herramientas_eléctricas1862106[[#Headers],[Herramientas_eléctricas]],
    COUNTIF(Herramientas_neumáticas1963107[Herramientas_neumáticas], B5) &gt; 0, Herramientas_neumáticas1963107[[#Headers],[Herramientas_neumáticas]],
    COUNTIF(Herramientas_de_medición2064108[Herramientas_de_medición], B5) &gt; 0, Herramientas_de_medición2064108[[#Headers],[Herramientas_de_medición]],
    COUNTIF(Herrramientas_mecánicas2165109[Herramientas_mecánicas], B5) &gt; 0, Herrramientas_mecánicas2165109[[#Headers],[Herramientas_mecánicas]],
    COUNTIF(AF5:AF11, B5) &gt; 0, Herramientas_hidráulicas2266110[[#Headers],[Herramientas_hidráulicas]],
    COUNTIF(EPP_2367111[SPCC], B5) &gt; 0, EPP_2367111[[#Headers],[SPCC]],
   COUNTIF(Herramientas_de_izaje2468112[Herramientas_de_izaje], B5) &gt; 0, Herramientas_de_izaje2468112[[#Headers],[Herramientas_de_izaje]],
COUNTIF(Tabla162670114[Equipos], B5) &gt; 0, Tabla162670114[[#Headers],[Equipos]],
    TRUE, "Sin clasificación"
)</f>
        <v>Sin clasificación</v>
      </c>
      <c r="F5" s="15"/>
      <c r="G5" s="15"/>
      <c r="H5" s="47"/>
      <c r="J5" s="47"/>
      <c r="K5" s="47" t="str">
        <f>_xlfn.LET(
    _xlpm.itemBuscado, B5,
    _xlpm.areaBuscada, C5,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TEXT(COUNTIF($C$2:C5, _xlpm.areaBuscada), "0000"),
    _xlpm.codItem &amp; "-" &amp; _xlpm.codArea &amp; "-" &amp; _xlpm.secuencia
)</f>
        <v>-SinArea-0000</v>
      </c>
      <c r="M5" s="15"/>
      <c r="O5" s="48"/>
      <c r="R5" s="49">
        <v>4</v>
      </c>
      <c r="S5" s="50" t="s">
        <v>174</v>
      </c>
      <c r="X5" s="51">
        <v>4</v>
      </c>
      <c r="Y5" s="53" t="s">
        <v>7</v>
      </c>
      <c r="AB5" t="s">
        <v>41</v>
      </c>
      <c r="AC5" t="s">
        <v>42</v>
      </c>
      <c r="AD5" t="s">
        <v>43</v>
      </c>
      <c r="AE5" t="s">
        <v>44</v>
      </c>
      <c r="AF5" s="5" t="s">
        <v>45</v>
      </c>
      <c r="AH5" t="s">
        <v>46</v>
      </c>
      <c r="AJ5" s="12" t="s">
        <v>47</v>
      </c>
      <c r="AK5" s="9" t="s">
        <v>48</v>
      </c>
      <c r="AN5" s="25" t="s">
        <v>226</v>
      </c>
      <c r="AO5" t="s">
        <v>80</v>
      </c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</row>
    <row r="6" spans="2:65" ht="30" customHeight="1" x14ac:dyDescent="0.3">
      <c r="C6" s="11"/>
      <c r="D6">
        <v>1</v>
      </c>
      <c r="E6" s="11" t="str" cm="1">
        <f t="array" ref="E6">_xlfn.IFS(
    COUNTIF(Herramientas_eléctricas1862106[Herramientas_eléctricas], B6) &gt; 0, Herramientas_eléctricas1862106[[#Headers],[Herramientas_eléctricas]],
    COUNTIF(Herramientas_neumáticas1963107[Herramientas_neumáticas], B6) &gt; 0, Herramientas_neumáticas1963107[[#Headers],[Herramientas_neumáticas]],
    COUNTIF(Herramientas_de_medición2064108[Herramientas_de_medición], B6) &gt; 0, Herramientas_de_medición2064108[[#Headers],[Herramientas_de_medición]],
    COUNTIF(Herrramientas_mecánicas2165109[Herramientas_mecánicas], B6) &gt; 0, Herrramientas_mecánicas2165109[[#Headers],[Herramientas_mecánicas]],
    COUNTIF(AF6:AF12, B6) &gt; 0, Herramientas_hidráulicas2266110[[#Headers],[Herramientas_hidráulicas]],
    COUNTIF(EPP_2367111[SPCC], B6) &gt; 0, EPP_2367111[[#Headers],[SPCC]],
   COUNTIF(Herramientas_de_izaje2468112[Herramientas_de_izaje], B6) &gt; 0, Herramientas_de_izaje2468112[[#Headers],[Herramientas_de_izaje]],
COUNTIF(Tabla162670114[Equipos], B6) &gt; 0, Tabla162670114[[#Headers],[Equipos]],
    TRUE, "Sin clasificación"
)</f>
        <v>Sin clasificación</v>
      </c>
      <c r="F6" s="15"/>
      <c r="G6" s="15"/>
      <c r="H6" s="47"/>
      <c r="J6" s="47"/>
      <c r="K6" s="47" t="str">
        <f>_xlfn.LET(
    _xlpm.itemBuscado, B6,
    _xlpm.areaBuscada, C6,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TEXT(COUNTIF($C$2:C6, _xlpm.areaBuscada), "0000"),
    _xlpm.codItem &amp; "-" &amp; _xlpm.codArea &amp; "-" &amp; _xlpm.secuencia
)</f>
        <v>-SinArea-0000</v>
      </c>
      <c r="M6" s="15"/>
      <c r="O6" s="48"/>
      <c r="R6" s="49">
        <v>5</v>
      </c>
      <c r="S6" s="50" t="s">
        <v>175</v>
      </c>
      <c r="X6" s="51">
        <v>5</v>
      </c>
      <c r="Y6" s="53" t="s">
        <v>8</v>
      </c>
      <c r="AB6" t="s">
        <v>49</v>
      </c>
      <c r="AC6" t="s">
        <v>36</v>
      </c>
      <c r="AD6" t="s">
        <v>50</v>
      </c>
      <c r="AE6" t="s">
        <v>51</v>
      </c>
      <c r="AF6" s="5" t="s">
        <v>52</v>
      </c>
      <c r="AJ6" t="s">
        <v>53</v>
      </c>
      <c r="AK6" s="7" t="s">
        <v>54</v>
      </c>
      <c r="AN6" s="25" t="s">
        <v>227</v>
      </c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</row>
    <row r="7" spans="2:65" ht="30" customHeight="1" x14ac:dyDescent="0.3">
      <c r="C7" s="11"/>
      <c r="D7">
        <v>1</v>
      </c>
      <c r="E7" s="11" t="str" cm="1">
        <f t="array" ref="E7">_xlfn.IFS(
    COUNTIF(Herramientas_eléctricas1862106[Herramientas_eléctricas], B7) &gt; 0, Herramientas_eléctricas1862106[[#Headers],[Herramientas_eléctricas]],
    COUNTIF(Herramientas_neumáticas1963107[Herramientas_neumáticas], B7) &gt; 0, Herramientas_neumáticas1963107[[#Headers],[Herramientas_neumáticas]],
    COUNTIF(Herramientas_de_medición2064108[Herramientas_de_medición], B7) &gt; 0, Herramientas_de_medición2064108[[#Headers],[Herramientas_de_medición]],
    COUNTIF(Herrramientas_mecánicas2165109[Herramientas_mecánicas], B7) &gt; 0, Herrramientas_mecánicas2165109[[#Headers],[Herramientas_mecánicas]],
    COUNTIF(AF7:AF13, B7) &gt; 0, Herramientas_hidráulicas2266110[[#Headers],[Herramientas_hidráulicas]],
    COUNTIF(EPP_2367111[SPCC], B7) &gt; 0, EPP_2367111[[#Headers],[SPCC]],
   COUNTIF(Herramientas_de_izaje2468112[Herramientas_de_izaje], B7) &gt; 0, Herramientas_de_izaje2468112[[#Headers],[Herramientas_de_izaje]],
COUNTIF(Tabla162670114[Equipos], B7) &gt; 0, Tabla162670114[[#Headers],[Equipos]],
    TRUE, "Sin clasificación"
)</f>
        <v>Sin clasificación</v>
      </c>
      <c r="F7" s="15"/>
      <c r="G7" s="15"/>
      <c r="H7" s="47"/>
      <c r="J7" s="47"/>
      <c r="K7" s="47" t="str">
        <f>_xlfn.LET(
    _xlpm.itemBuscado, B7,
    _xlpm.areaBuscada, C7,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TEXT(COUNTIF($C$2:C7, _xlpm.areaBuscada), "0000"),
    _xlpm.codItem &amp; "-" &amp; _xlpm.codArea &amp; "-" &amp; _xlpm.secuencia
)</f>
        <v>-SinArea-0000</v>
      </c>
      <c r="M7" s="15"/>
      <c r="O7" s="48"/>
      <c r="R7" s="49">
        <v>6</v>
      </c>
      <c r="S7" s="50" t="s">
        <v>176</v>
      </c>
      <c r="X7" s="55">
        <v>6</v>
      </c>
      <c r="Y7" s="56" t="s">
        <v>10</v>
      </c>
      <c r="AB7" t="s">
        <v>55</v>
      </c>
      <c r="AD7" s="11" t="s">
        <v>56</v>
      </c>
      <c r="AE7" s="5" t="s">
        <v>57</v>
      </c>
      <c r="AF7" t="s">
        <v>58</v>
      </c>
      <c r="AK7" s="13" t="s">
        <v>59</v>
      </c>
      <c r="AN7" s="15" t="s">
        <v>228</v>
      </c>
      <c r="AO7" s="15" t="s">
        <v>229</v>
      </c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</row>
    <row r="8" spans="2:65" ht="33.6" customHeight="1" x14ac:dyDescent="0.3">
      <c r="C8" s="11"/>
      <c r="D8">
        <v>1</v>
      </c>
      <c r="E8" s="11" t="str" cm="1">
        <f t="array" ref="E8">_xlfn.IFS(
    COUNTIF(Herramientas_eléctricas1862106[Herramientas_eléctricas], B8) &gt; 0, Herramientas_eléctricas1862106[[#Headers],[Herramientas_eléctricas]],
    COUNTIF(Herramientas_neumáticas1963107[Herramientas_neumáticas], B8) &gt; 0, Herramientas_neumáticas1963107[[#Headers],[Herramientas_neumáticas]],
    COUNTIF(Herramientas_de_medición2064108[Herramientas_de_medición], B8) &gt; 0, Herramientas_de_medición2064108[[#Headers],[Herramientas_de_medición]],
    COUNTIF(Herrramientas_mecánicas2165109[Herramientas_mecánicas], B8) &gt; 0, Herrramientas_mecánicas2165109[[#Headers],[Herramientas_mecánicas]],
    COUNTIF(AF8:AF14, B8) &gt; 0, Herramientas_hidráulicas2266110[[#Headers],[Herramientas_hidráulicas]],
    COUNTIF(EPP_2367111[SPCC], B8) &gt; 0, EPP_2367111[[#Headers],[SPCC]],
   COUNTIF(Herramientas_de_izaje2468112[Herramientas_de_izaje], B8) &gt; 0, Herramientas_de_izaje2468112[[#Headers],[Herramientas_de_izaje]],
COUNTIF(Tabla162670114[Equipos], B8) &gt; 0, Tabla162670114[[#Headers],[Equipos]],
    TRUE, "Sin clasificación"
)</f>
        <v>Sin clasificación</v>
      </c>
      <c r="F8" s="15"/>
      <c r="G8" s="15"/>
      <c r="H8" s="47"/>
      <c r="J8" s="47"/>
      <c r="K8" s="47" t="str">
        <f>_xlfn.LET(
    _xlpm.itemBuscado, B8,
    _xlpm.areaBuscada, C8,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TEXT(COUNTIF($C$2:C8, _xlpm.areaBuscada), "0000"),
    _xlpm.codItem &amp; "-" &amp; _xlpm.codArea &amp; "-" &amp; _xlpm.secuencia
)</f>
        <v>-SinArea-0000</v>
      </c>
      <c r="M8" s="15"/>
      <c r="O8" s="48"/>
      <c r="R8" s="49">
        <v>7</v>
      </c>
      <c r="S8" s="50" t="s">
        <v>177</v>
      </c>
      <c r="AB8" t="s">
        <v>60</v>
      </c>
      <c r="AD8" s="11" t="s">
        <v>61</v>
      </c>
      <c r="AE8" t="s">
        <v>62</v>
      </c>
      <c r="AF8" t="s">
        <v>35</v>
      </c>
      <c r="AK8" s="14" t="s">
        <v>63</v>
      </c>
      <c r="AN8" s="25" t="s">
        <v>230</v>
      </c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</row>
    <row r="9" spans="2:65" ht="30" customHeight="1" x14ac:dyDescent="0.3">
      <c r="C9" s="11"/>
      <c r="D9">
        <v>1</v>
      </c>
      <c r="E9" s="11" t="str" cm="1">
        <f t="array" ref="E9">_xlfn.IFS(
    COUNTIF(Herramientas_eléctricas1862106[Herramientas_eléctricas], B9) &gt; 0, Herramientas_eléctricas1862106[[#Headers],[Herramientas_eléctricas]],
    COUNTIF(Herramientas_neumáticas1963107[Herramientas_neumáticas], B9) &gt; 0, Herramientas_neumáticas1963107[[#Headers],[Herramientas_neumáticas]],
    COUNTIF(Herramientas_de_medición2064108[Herramientas_de_medición], B9) &gt; 0, Herramientas_de_medición2064108[[#Headers],[Herramientas_de_medición]],
    COUNTIF(Herrramientas_mecánicas2165109[Herramientas_mecánicas], B9) &gt; 0, Herrramientas_mecánicas2165109[[#Headers],[Herramientas_mecánicas]],
    COUNTIF(AF9:AF15, B9) &gt; 0, Herramientas_hidráulicas2266110[[#Headers],[Herramientas_hidráulicas]],
    COUNTIF(EPP_2367111[SPCC], B9) &gt; 0, EPP_2367111[[#Headers],[SPCC]],
   COUNTIF(Herramientas_de_izaje2468112[Herramientas_de_izaje], B9) &gt; 0, Herramientas_de_izaje2468112[[#Headers],[Herramientas_de_izaje]],
COUNTIF(Tabla162670114[Equipos], B9) &gt; 0, Tabla162670114[[#Headers],[Equipos]],
    TRUE, "Sin clasificación"
)</f>
        <v>Sin clasificación</v>
      </c>
      <c r="F9" s="15"/>
      <c r="G9" s="15"/>
      <c r="H9" s="47"/>
      <c r="J9" s="47"/>
      <c r="K9" s="47" t="str">
        <f>_xlfn.LET(
    _xlpm.itemBuscado, B9,
    _xlpm.areaBuscada, C9,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TEXT(COUNTIF($C$2:C9, _xlpm.areaBuscada), "0000"),
    _xlpm.codItem &amp; "-" &amp; _xlpm.codArea &amp; "-" &amp; _xlpm.secuencia
)</f>
        <v>-SinArea-0000</v>
      </c>
      <c r="M9" s="15"/>
      <c r="O9" s="48"/>
      <c r="R9" s="49">
        <v>8</v>
      </c>
      <c r="S9" s="57" t="s">
        <v>178</v>
      </c>
      <c r="X9" s="58" t="s">
        <v>210</v>
      </c>
      <c r="AB9" t="s">
        <v>64</v>
      </c>
      <c r="AD9" s="15" t="s">
        <v>65</v>
      </c>
      <c r="AE9" t="s">
        <v>66</v>
      </c>
      <c r="AF9" s="16"/>
      <c r="AK9" s="9" t="s">
        <v>67</v>
      </c>
      <c r="AN9" s="25" t="s">
        <v>231</v>
      </c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</row>
    <row r="10" spans="2:65" ht="26.4" customHeight="1" x14ac:dyDescent="0.3">
      <c r="C10" s="11"/>
      <c r="D10">
        <v>1</v>
      </c>
      <c r="E10" s="11" t="str" cm="1">
        <f t="array" ref="E10">_xlfn.IFS(
    COUNTIF(Herramientas_eléctricas1862106[Herramientas_eléctricas], B10) &gt; 0, Herramientas_eléctricas1862106[[#Headers],[Herramientas_eléctricas]],
    COUNTIF(Herramientas_neumáticas1963107[Herramientas_neumáticas], B10) &gt; 0, Herramientas_neumáticas1963107[[#Headers],[Herramientas_neumáticas]],
    COUNTIF(Herramientas_de_medición2064108[Herramientas_de_medición], B10) &gt; 0, Herramientas_de_medición2064108[[#Headers],[Herramientas_de_medición]],
    COUNTIF(Herrramientas_mecánicas2165109[Herramientas_mecánicas], B10) &gt; 0, Herrramientas_mecánicas2165109[[#Headers],[Herramientas_mecánicas]],
    COUNTIF(AF10:AF16, B10) &gt; 0, Herramientas_hidráulicas2266110[[#Headers],[Herramientas_hidráulicas]],
    COUNTIF(EPP_2367111[SPCC], B10) &gt; 0, EPP_2367111[[#Headers],[SPCC]],
   COUNTIF(Herramientas_de_izaje2468112[Herramientas_de_izaje], B10) &gt; 0, Herramientas_de_izaje2468112[[#Headers],[Herramientas_de_izaje]],
COUNTIF(Tabla162670114[Equipos], B10) &gt; 0, Tabla162670114[[#Headers],[Equipos]],
    TRUE, "Sin clasificación"
)</f>
        <v>Sin clasificación</v>
      </c>
      <c r="F10" s="15"/>
      <c r="G10" s="15"/>
      <c r="H10" s="47"/>
      <c r="J10" s="47"/>
      <c r="K10" s="47" t="str">
        <f>_xlfn.LET(
    _xlpm.itemBuscado, B10,
    _xlpm.areaBuscada, C10,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TEXT(COUNTIF($C$2:C10, _xlpm.areaBuscada), "0000"),
    _xlpm.codItem &amp; "-" &amp; _xlpm.codArea &amp; "-" &amp; _xlpm.secuencia
)</f>
        <v>-SinArea-0000</v>
      </c>
      <c r="M10" s="15"/>
      <c r="O10" s="48"/>
      <c r="R10" s="49">
        <v>9</v>
      </c>
      <c r="S10" s="57" t="s">
        <v>179</v>
      </c>
      <c r="X10" s="59" t="s">
        <v>232</v>
      </c>
      <c r="AB10" s="17" t="s">
        <v>68</v>
      </c>
      <c r="AD10" s="15" t="s">
        <v>69</v>
      </c>
      <c r="AE10" t="s">
        <v>70</v>
      </c>
      <c r="AK10" s="18" t="s">
        <v>71</v>
      </c>
      <c r="AN10" s="15" t="s">
        <v>95</v>
      </c>
    </row>
    <row r="11" spans="2:65" ht="33.6" customHeight="1" x14ac:dyDescent="0.3">
      <c r="C11" s="11"/>
      <c r="E11" s="11" t="str" cm="1">
        <f t="array" ref="E11">_xlfn.IFS(
    COUNTIF(Herramientas_eléctricas1862106[Herramientas_eléctricas], B11) &gt; 0, Herramientas_eléctricas1862106[[#Headers],[Herramientas_eléctricas]],
    COUNTIF(Herramientas_neumáticas1963107[Herramientas_neumáticas], B11) &gt; 0, Herramientas_neumáticas1963107[[#Headers],[Herramientas_neumáticas]],
    COUNTIF(Herramientas_de_medición2064108[Herramientas_de_medición], B11) &gt; 0, Herramientas_de_medición2064108[[#Headers],[Herramientas_de_medición]],
    COUNTIF(Herrramientas_mecánicas2165109[Herramientas_mecánicas], B11) &gt; 0, Herrramientas_mecánicas2165109[[#Headers],[Herramientas_mecánicas]],
    COUNTIF(AF11:AF17, B11) &gt; 0, Herramientas_hidráulicas2266110[[#Headers],[Herramientas_hidráulicas]],
    COUNTIF(EPP_2367111[SPCC], B11) &gt; 0, EPP_2367111[[#Headers],[SPCC]],
   COUNTIF(Herramientas_de_izaje2468112[Herramientas_de_izaje], B11) &gt; 0, Herramientas_de_izaje2468112[[#Headers],[Herramientas_de_izaje]],
COUNTIF(Tabla162670114[Equipos], B11) &gt; 0, Tabla162670114[[#Headers],[Equipos]],
    TRUE, "Sin clasificación"
)</f>
        <v>Sin clasificación</v>
      </c>
      <c r="F11" s="15"/>
      <c r="G11" s="15"/>
      <c r="H11" s="85"/>
      <c r="J11" s="47"/>
      <c r="K11" s="47" t="str">
        <f>_xlfn.LET(
    _xlpm.itemBuscado, B11,
    _xlpm.areaBuscada, C11,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TEXT(COUNTIF($C$2:C11, _xlpm.areaBuscada), "0000"),
    _xlpm.codItem &amp; "-" &amp; _xlpm.codArea &amp; "-" &amp; _xlpm.secuencia
)</f>
        <v>-SinArea-0000</v>
      </c>
      <c r="M11" s="15"/>
      <c r="O11" s="48"/>
      <c r="R11" s="60">
        <v>10</v>
      </c>
      <c r="S11" s="61" t="s">
        <v>180</v>
      </c>
      <c r="X11" s="59" t="s">
        <v>233</v>
      </c>
      <c r="AB11" s="8" t="s">
        <v>72</v>
      </c>
      <c r="AD11" s="15" t="s">
        <v>73</v>
      </c>
      <c r="AE11" t="s">
        <v>74</v>
      </c>
      <c r="AK11" s="18" t="s">
        <v>75</v>
      </c>
      <c r="AY11" s="62"/>
    </row>
    <row r="12" spans="2:65" ht="28.8" x14ac:dyDescent="0.3">
      <c r="C12" s="11"/>
      <c r="E12" s="11" t="str" cm="1">
        <f t="array" ref="E12">_xlfn.IFS(
    COUNTIF(Herramientas_eléctricas1862106[Herramientas_eléctricas], B12) &gt; 0, Herramientas_eléctricas1862106[[#Headers],[Herramientas_eléctricas]],
    COUNTIF(Herramientas_neumáticas1963107[Herramientas_neumáticas], B12) &gt; 0, Herramientas_neumáticas1963107[[#Headers],[Herramientas_neumáticas]],
    COUNTIF(Herramientas_de_medición2064108[Herramientas_de_medición], B12) &gt; 0, Herramientas_de_medición2064108[[#Headers],[Herramientas_de_medición]],
    COUNTIF(Herrramientas_mecánicas2165109[Herramientas_mecánicas], B12) &gt; 0, Herrramientas_mecánicas2165109[[#Headers],[Herramientas_mecánicas]],
    COUNTIF(AF12:AF18, B12) &gt; 0, Herramientas_hidráulicas2266110[[#Headers],[Herramientas_hidráulicas]],
    COUNTIF(EPP_2367111[SPCC], B12) &gt; 0, EPP_2367111[[#Headers],[SPCC]],
   COUNTIF(Herramientas_de_izaje2468112[Herramientas_de_izaje], B12) &gt; 0, Herramientas_de_izaje2468112[[#Headers],[Herramientas_de_izaje]],
COUNTIF(Tabla162670114[Equipos], B12) &gt; 0, Tabla162670114[[#Headers],[Equipos]],
    TRUE, "Sin clasificación"
)</f>
        <v>Sin clasificación</v>
      </c>
      <c r="F12" s="15"/>
      <c r="G12" s="15"/>
      <c r="H12" s="47"/>
      <c r="J12" s="47"/>
      <c r="K12" s="47" t="str">
        <f>_xlfn.LET(
    _xlpm.itemBuscado, B12,
    _xlpm.areaBuscada, C12,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TEXT(COUNTIF($C$2:C12, _xlpm.areaBuscada), "0000"),
    _xlpm.codItem &amp; "-" &amp; _xlpm.codArea &amp; "-" &amp; _xlpm.secuencia
)</f>
        <v>-SinArea-0000</v>
      </c>
      <c r="M12" s="15"/>
      <c r="O12" s="48"/>
      <c r="R12" s="60">
        <v>11</v>
      </c>
      <c r="S12" s="61" t="s">
        <v>181</v>
      </c>
      <c r="X12" s="33" t="s">
        <v>234</v>
      </c>
      <c r="AB12" t="s">
        <v>19</v>
      </c>
      <c r="AC12" t="s">
        <v>76</v>
      </c>
      <c r="AD12" s="15" t="s">
        <v>77</v>
      </c>
      <c r="AE12" t="s">
        <v>78</v>
      </c>
      <c r="AK12" s="19" t="s">
        <v>79</v>
      </c>
      <c r="AN12" s="11"/>
    </row>
    <row r="13" spans="2:65" x14ac:dyDescent="0.3">
      <c r="C13" s="11"/>
      <c r="E13" s="11" t="str" cm="1">
        <f t="array" ref="E13">_xlfn.IFS(
    COUNTIF(Herramientas_eléctricas1862106[Herramientas_eléctricas], B13) &gt; 0, Herramientas_eléctricas1862106[[#Headers],[Herramientas_eléctricas]],
    COUNTIF(Herramientas_neumáticas1963107[Herramientas_neumáticas], B13) &gt; 0, Herramientas_neumáticas1963107[[#Headers],[Herramientas_neumáticas]],
    COUNTIF(Herramientas_de_medición2064108[Herramientas_de_medición], B13) &gt; 0, Herramientas_de_medición2064108[[#Headers],[Herramientas_de_medición]],
    COUNTIF(Herrramientas_mecánicas2165109[Herramientas_mecánicas], B13) &gt; 0, Herrramientas_mecánicas2165109[[#Headers],[Herramientas_mecánicas]],
    COUNTIF(AF13:AF19, B13) &gt; 0, Herramientas_hidráulicas2266110[[#Headers],[Herramientas_hidráulicas]],
    COUNTIF(EPP_2367111[SPCC], B13) &gt; 0, EPP_2367111[[#Headers],[SPCC]],
   COUNTIF(Herramientas_de_izaje2468112[Herramientas_de_izaje], B13) &gt; 0, Herramientas_de_izaje2468112[[#Headers],[Herramientas_de_izaje]],
COUNTIF(Tabla162670114[Equipos], B13) &gt; 0, Tabla162670114[[#Headers],[Equipos]],
    TRUE, "Sin clasificación"
)</f>
        <v>Sin clasificación</v>
      </c>
      <c r="F13" s="15"/>
      <c r="G13" s="15"/>
      <c r="H13" s="47"/>
      <c r="J13" s="47"/>
      <c r="K13" s="47" t="str">
        <f>_xlfn.LET(
    _xlpm.itemBuscado, B13,
    _xlpm.areaBuscada, C13,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TEXT(COUNTIF($C$2:C13, _xlpm.areaBuscada), "0000"),
    _xlpm.codItem &amp; "-" &amp; _xlpm.codArea &amp; "-" &amp; _xlpm.secuencia
)</f>
        <v>-SinArea-0000</v>
      </c>
      <c r="M13" s="15"/>
      <c r="O13" s="48"/>
      <c r="AB13" t="s">
        <v>80</v>
      </c>
      <c r="AD13" s="15" t="s">
        <v>81</v>
      </c>
      <c r="AE13" t="s">
        <v>82</v>
      </c>
      <c r="AK13" s="20" t="s">
        <v>83</v>
      </c>
      <c r="AN13" s="11"/>
      <c r="AS13" s="11"/>
    </row>
    <row r="14" spans="2:65" x14ac:dyDescent="0.3">
      <c r="C14" s="11"/>
      <c r="E14" s="11" t="str" cm="1">
        <f t="array" ref="E14">_xlfn.IFS(
    COUNTIF(Herramientas_eléctricas1862106[Herramientas_eléctricas], B14) &gt; 0, Herramientas_eléctricas1862106[[#Headers],[Herramientas_eléctricas]],
    COUNTIF(Herramientas_neumáticas1963107[Herramientas_neumáticas], B14) &gt; 0, Herramientas_neumáticas1963107[[#Headers],[Herramientas_neumáticas]],
    COUNTIF(Herramientas_de_medición2064108[Herramientas_de_medición], B14) &gt; 0, Herramientas_de_medición2064108[[#Headers],[Herramientas_de_medición]],
    COUNTIF(Herrramientas_mecánicas2165109[Herramientas_mecánicas], B14) &gt; 0, Herrramientas_mecánicas2165109[[#Headers],[Herramientas_mecánicas]],
    COUNTIF(AF14:AF20, B14) &gt; 0, Herramientas_hidráulicas2266110[[#Headers],[Herramientas_hidráulicas]],
    COUNTIF(EPP_2367111[SPCC], B14) &gt; 0, EPP_2367111[[#Headers],[SPCC]],
   COUNTIF(Herramientas_de_izaje2468112[Herramientas_de_izaje], B14) &gt; 0, Herramientas_de_izaje2468112[[#Headers],[Herramientas_de_izaje]],
COUNTIF(Tabla162670114[Equipos], B14) &gt; 0, Tabla162670114[[#Headers],[Equipos]],
    TRUE, "Sin clasificación"
)</f>
        <v>Sin clasificación</v>
      </c>
      <c r="F14" s="15"/>
      <c r="G14" s="15"/>
      <c r="H14" s="47"/>
      <c r="J14" s="47"/>
      <c r="K14" s="47" t="str">
        <f>_xlfn.LET(
    _xlpm.itemBuscado, B14,
    _xlpm.areaBuscada, C14,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TEXT(COUNTIF($C$2:C14, _xlpm.areaBuscada), "0000"),
    _xlpm.codItem &amp; "-" &amp; _xlpm.codArea &amp; "-" &amp; _xlpm.secuencia
)</f>
        <v>-SinArea-0000</v>
      </c>
      <c r="M14" s="15"/>
      <c r="O14" s="48"/>
      <c r="AB14" t="s">
        <v>84</v>
      </c>
      <c r="AD14" s="15" t="s">
        <v>85</v>
      </c>
      <c r="AE14" t="s">
        <v>86</v>
      </c>
      <c r="AK14" s="18" t="s">
        <v>87</v>
      </c>
    </row>
    <row r="15" spans="2:65" ht="43.95" customHeight="1" x14ac:dyDescent="0.3">
      <c r="C15" s="11"/>
      <c r="E15" s="11" t="str" cm="1">
        <f t="array" ref="E15">_xlfn.IFS(
    COUNTIF(Herramientas_eléctricas1862106[Herramientas_eléctricas], B15) &gt; 0, Herramientas_eléctricas1862106[[#Headers],[Herramientas_eléctricas]],
    COUNTIF(Herramientas_neumáticas1963107[Herramientas_neumáticas], B15) &gt; 0, Herramientas_neumáticas1963107[[#Headers],[Herramientas_neumáticas]],
    COUNTIF(Herramientas_de_medición2064108[Herramientas_de_medición], B15) &gt; 0, Herramientas_de_medición2064108[[#Headers],[Herramientas_de_medición]],
    COUNTIF(Herrramientas_mecánicas2165109[Herramientas_mecánicas], B15) &gt; 0, Herrramientas_mecánicas2165109[[#Headers],[Herramientas_mecánicas]],
    COUNTIF(AF15:AF21, B15) &gt; 0, Herramientas_hidráulicas2266110[[#Headers],[Herramientas_hidráulicas]],
    COUNTIF(EPP_2367111[SPCC], B15) &gt; 0, EPP_2367111[[#Headers],[SPCC]],
   COUNTIF(Herramientas_de_izaje2468112[Herramientas_de_izaje], B15) &gt; 0, Herramientas_de_izaje2468112[[#Headers],[Herramientas_de_izaje]],
COUNTIF(Tabla162670114[Equipos], B15) &gt; 0, Tabla162670114[[#Headers],[Equipos]],
    TRUE, "Sin clasificación"
)</f>
        <v>Sin clasificación</v>
      </c>
      <c r="F15" s="15"/>
      <c r="G15" s="15"/>
      <c r="H15" s="47"/>
      <c r="J15" s="47"/>
      <c r="K15" s="47" t="str">
        <f>_xlfn.LET(
    _xlpm.itemBuscado, B15,
    _xlpm.areaBuscada, C15,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TEXT(COUNTIF($C$2:C15, _xlpm.areaBuscada), "0000"),
    _xlpm.codItem &amp; "-" &amp; _xlpm.codArea &amp; "-" &amp; _xlpm.secuencia
)</f>
        <v>-SinArea-0000</v>
      </c>
      <c r="M15" s="15"/>
      <c r="O15" s="48"/>
      <c r="AB15" t="s">
        <v>88</v>
      </c>
      <c r="AD15" t="s">
        <v>89</v>
      </c>
      <c r="AE15" t="s">
        <v>90</v>
      </c>
      <c r="AK15" s="21" t="s">
        <v>91</v>
      </c>
      <c r="AN15" s="11"/>
    </row>
    <row r="16" spans="2:65" x14ac:dyDescent="0.3">
      <c r="C16" s="11"/>
      <c r="E16" s="11" t="str" cm="1">
        <f t="array" ref="E16">_xlfn.IFS(
    COUNTIF(Herramientas_eléctricas1862106[Herramientas_eléctricas], B16) &gt; 0, Herramientas_eléctricas1862106[[#Headers],[Herramientas_eléctricas]],
    COUNTIF(Herramientas_neumáticas1963107[Herramientas_neumáticas], B16) &gt; 0, Herramientas_neumáticas1963107[[#Headers],[Herramientas_neumáticas]],
    COUNTIF(Herramientas_de_medición2064108[Herramientas_de_medición], B16) &gt; 0, Herramientas_de_medición2064108[[#Headers],[Herramientas_de_medición]],
    COUNTIF(Herrramientas_mecánicas2165109[Herramientas_mecánicas], B16) &gt; 0, Herrramientas_mecánicas2165109[[#Headers],[Herramientas_mecánicas]],
    COUNTIF(AF16:AF22, B16) &gt; 0, Herramientas_hidráulicas2266110[[#Headers],[Herramientas_hidráulicas]],
    COUNTIF(EPP_2367111[SPCC], B16) &gt; 0, EPP_2367111[[#Headers],[SPCC]],
   COUNTIF(Herramientas_de_izaje2468112[Herramientas_de_izaje], B16) &gt; 0, Herramientas_de_izaje2468112[[#Headers],[Herramientas_de_izaje]],
COUNTIF(Tabla162670114[Equipos], B16) &gt; 0, Tabla162670114[[#Headers],[Equipos]],
    TRUE, "Sin clasificación"
)</f>
        <v>Sin clasificación</v>
      </c>
      <c r="F16" s="15"/>
      <c r="G16" s="15"/>
      <c r="H16" s="47"/>
      <c r="J16" s="47"/>
      <c r="K16" s="47" t="str">
        <f>_xlfn.LET(
    _xlpm.itemBuscado, B16,
    _xlpm.areaBuscada, C16,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TEXT(COUNTIF($C$2:C16, _xlpm.areaBuscada), "0000"),
    _xlpm.codItem &amp; "-" &amp; _xlpm.codArea &amp; "-" &amp; _xlpm.secuencia
)</f>
        <v>-SinArea-0000</v>
      </c>
      <c r="M16" s="15"/>
      <c r="O16" s="48"/>
      <c r="AB16" t="s">
        <v>41</v>
      </c>
      <c r="AD16" t="s">
        <v>62</v>
      </c>
      <c r="AE16" s="11" t="s">
        <v>92</v>
      </c>
      <c r="AF16" s="22"/>
      <c r="AK16" s="23" t="s">
        <v>93</v>
      </c>
    </row>
    <row r="17" spans="3:40" x14ac:dyDescent="0.3">
      <c r="C17" s="11"/>
      <c r="E17" s="11" t="str" cm="1">
        <f t="array" ref="E17">_xlfn.IFS(
    COUNTIF(Herramientas_eléctricas1862106[Herramientas_eléctricas], B17) &gt; 0, Herramientas_eléctricas1862106[[#Headers],[Herramientas_eléctricas]],
    COUNTIF(Herramientas_neumáticas1963107[Herramientas_neumáticas], B17) &gt; 0, Herramientas_neumáticas1963107[[#Headers],[Herramientas_neumáticas]],
    COUNTIF(Herramientas_de_medición2064108[Herramientas_de_medición], B17) &gt; 0, Herramientas_de_medición2064108[[#Headers],[Herramientas_de_medición]],
    COUNTIF(Herrramientas_mecánicas2165109[Herramientas_mecánicas], B17) &gt; 0, Herrramientas_mecánicas2165109[[#Headers],[Herramientas_mecánicas]],
    COUNTIF(AF17:AF23, B17) &gt; 0, Herramientas_hidráulicas2266110[[#Headers],[Herramientas_hidráulicas]],
    COUNTIF(EPP_2367111[SPCC], B17) &gt; 0, EPP_2367111[[#Headers],[SPCC]],
   COUNTIF(Herramientas_de_izaje2468112[Herramientas_de_izaje], B17) &gt; 0, Herramientas_de_izaje2468112[[#Headers],[Herramientas_de_izaje]],
COUNTIF(Tabla162670114[Equipos], B17) &gt; 0, Tabla162670114[[#Headers],[Equipos]],
    TRUE, "Sin clasificación"
)</f>
        <v>Sin clasificación</v>
      </c>
      <c r="F17" s="15"/>
      <c r="G17" s="15"/>
      <c r="H17" s="47"/>
      <c r="J17" s="47"/>
      <c r="K17" s="47" t="str">
        <f>_xlfn.LET(
    _xlpm.itemBuscado, B17,
    _xlpm.areaBuscada, C17,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TEXT(COUNTIF($C$2:C17, _xlpm.areaBuscada), "0000"),
    _xlpm.codItem &amp; "-" &amp; _xlpm.codArea &amp; "-" &amp; _xlpm.secuencia
)</f>
        <v>-SinArea-0000</v>
      </c>
      <c r="M17" s="15"/>
      <c r="O17" s="48"/>
      <c r="AB17" s="24" t="s">
        <v>94</v>
      </c>
      <c r="AE17" s="15" t="s">
        <v>95</v>
      </c>
      <c r="AF17" s="14"/>
      <c r="AK17" s="25" t="s">
        <v>96</v>
      </c>
      <c r="AN17" s="11"/>
    </row>
    <row r="18" spans="3:40" x14ac:dyDescent="0.3">
      <c r="C18" s="11"/>
      <c r="E18" s="11" t="str" cm="1">
        <f t="array" ref="E18">_xlfn.IFS(
    COUNTIF(Herramientas_eléctricas1862106[Herramientas_eléctricas], B18) &gt; 0, Herramientas_eléctricas1862106[[#Headers],[Herramientas_eléctricas]],
    COUNTIF(Herramientas_neumáticas1963107[Herramientas_neumáticas], B18) &gt; 0, Herramientas_neumáticas1963107[[#Headers],[Herramientas_neumáticas]],
    COUNTIF(Herramientas_de_medición2064108[Herramientas_de_medición], B18) &gt; 0, Herramientas_de_medición2064108[[#Headers],[Herramientas_de_medición]],
    COUNTIF(Herrramientas_mecánicas2165109[Herramientas_mecánicas], B18) &gt; 0, Herrramientas_mecánicas2165109[[#Headers],[Herramientas_mecánicas]],
    COUNTIF(AF18:AF24, B18) &gt; 0, Herramientas_hidráulicas2266110[[#Headers],[Herramientas_hidráulicas]],
    COUNTIF(EPP_2367111[SPCC], B18) &gt; 0, EPP_2367111[[#Headers],[SPCC]],
   COUNTIF(Herramientas_de_izaje2468112[Herramientas_de_izaje], B18) &gt; 0, Herramientas_de_izaje2468112[[#Headers],[Herramientas_de_izaje]],
COUNTIF(Tabla162670114[Equipos], B18) &gt; 0, Tabla162670114[[#Headers],[Equipos]],
    TRUE, "Sin clasificación"
)</f>
        <v>Sin clasificación</v>
      </c>
      <c r="F18" s="15"/>
      <c r="G18" s="15"/>
      <c r="H18" s="47"/>
      <c r="J18" s="47"/>
      <c r="K18" s="47" t="str">
        <f>_xlfn.LET(
    _xlpm.itemBuscado, B18,
    _xlpm.areaBuscada, C18,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TEXT(COUNTIF($C$2:C18, _xlpm.areaBuscada), "0000"),
    _xlpm.codItem &amp; "-" &amp; _xlpm.codArea &amp; "-" &amp; _xlpm.secuencia
)</f>
        <v>-SinArea-0000</v>
      </c>
      <c r="M18" s="15"/>
      <c r="O18" s="48"/>
      <c r="AB18" t="s">
        <v>97</v>
      </c>
      <c r="AE18" t="s">
        <v>98</v>
      </c>
      <c r="AK18" s="25" t="s">
        <v>99</v>
      </c>
    </row>
    <row r="19" spans="3:40" x14ac:dyDescent="0.3">
      <c r="C19" s="11"/>
      <c r="E19" s="11" t="str" cm="1">
        <f t="array" ref="E19">_xlfn.IFS(
    COUNTIF(Herramientas_eléctricas1862106[Herramientas_eléctricas], B19) &gt; 0, Herramientas_eléctricas1862106[[#Headers],[Herramientas_eléctricas]],
    COUNTIF(Herramientas_neumáticas1963107[Herramientas_neumáticas], B19) &gt; 0, Herramientas_neumáticas1963107[[#Headers],[Herramientas_neumáticas]],
    COUNTIF(Herramientas_de_medición2064108[Herramientas_de_medición], B19) &gt; 0, Herramientas_de_medición2064108[[#Headers],[Herramientas_de_medición]],
    COUNTIF(Herrramientas_mecánicas2165109[Herramientas_mecánicas], B19) &gt; 0, Herrramientas_mecánicas2165109[[#Headers],[Herramientas_mecánicas]],
    COUNTIF(AF19:AF25, B19) &gt; 0, Herramientas_hidráulicas2266110[[#Headers],[Herramientas_hidráulicas]],
    COUNTIF(EPP_2367111[SPCC], B19) &gt; 0, EPP_2367111[[#Headers],[SPCC]],
   COUNTIF(Herramientas_de_izaje2468112[Herramientas_de_izaje], B19) &gt; 0, Herramientas_de_izaje2468112[[#Headers],[Herramientas_de_izaje]],
COUNTIF(Tabla162670114[Equipos], B19) &gt; 0, Tabla162670114[[#Headers],[Equipos]],
    TRUE, "Sin clasificación"
)</f>
        <v>Sin clasificación</v>
      </c>
      <c r="F19" s="15"/>
      <c r="G19" s="15"/>
      <c r="H19" s="47"/>
      <c r="J19" s="47"/>
      <c r="K19" s="47" t="str">
        <f>_xlfn.LET(
    _xlpm.itemBuscado, B19,
    _xlpm.areaBuscada, C19,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TEXT(COUNTIF($C$2:C19, _xlpm.areaBuscada), "0000"),
    _xlpm.codItem &amp; "-" &amp; _xlpm.codArea &amp; "-" &amp; _xlpm.secuencia
)</f>
        <v>-SinArea-0000</v>
      </c>
      <c r="M19" s="15"/>
      <c r="O19" s="48"/>
      <c r="AB19" t="s">
        <v>42</v>
      </c>
      <c r="AE19" s="11" t="s">
        <v>41</v>
      </c>
      <c r="AK19" t="s">
        <v>100</v>
      </c>
    </row>
    <row r="20" spans="3:40" x14ac:dyDescent="0.3">
      <c r="C20" s="11"/>
      <c r="E20" s="11" t="str" cm="1">
        <f t="array" ref="E20">_xlfn.IFS(
    COUNTIF(Herramientas_eléctricas1862106[Herramientas_eléctricas], B20) &gt; 0, Herramientas_eléctricas1862106[[#Headers],[Herramientas_eléctricas]],
    COUNTIF(Herramientas_neumáticas1963107[Herramientas_neumáticas], B20) &gt; 0, Herramientas_neumáticas1963107[[#Headers],[Herramientas_neumáticas]],
    COUNTIF(Herramientas_de_medición2064108[Herramientas_de_medición], B20) &gt; 0, Herramientas_de_medición2064108[[#Headers],[Herramientas_de_medición]],
    COUNTIF(Herrramientas_mecánicas2165109[Herramientas_mecánicas], B20) &gt; 0, Herrramientas_mecánicas2165109[[#Headers],[Herramientas_mecánicas]],
    COUNTIF(AF20:AF26, B20) &gt; 0, Herramientas_hidráulicas2266110[[#Headers],[Herramientas_hidráulicas]],
    COUNTIF(EPP_2367111[SPCC], B20) &gt; 0, EPP_2367111[[#Headers],[SPCC]],
   COUNTIF(Herramientas_de_izaje2468112[Herramientas_de_izaje], B20) &gt; 0, Herramientas_de_izaje2468112[[#Headers],[Herramientas_de_izaje]],
COUNTIF(Tabla162670114[Equipos], B20) &gt; 0, Tabla162670114[[#Headers],[Equipos]],
    TRUE, "Sin clasificación"
)</f>
        <v>Sin clasificación</v>
      </c>
      <c r="F20" s="15"/>
      <c r="G20" s="15"/>
      <c r="H20" s="47"/>
      <c r="J20" s="47"/>
      <c r="K20" s="47" t="str">
        <f>_xlfn.LET(
    _xlpm.itemBuscado, B20,
    _xlpm.areaBuscada, C20,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TEXT(COUNTIF($C$2:C20, _xlpm.areaBuscada), "0000"),
    _xlpm.codItem &amp; "-" &amp; _xlpm.codArea &amp; "-" &amp; _xlpm.secuencia
)</f>
        <v>-SinArea-0000</v>
      </c>
      <c r="M20" s="15"/>
      <c r="O20" s="48" t="s">
        <v>224</v>
      </c>
      <c r="AB20" t="s">
        <v>101</v>
      </c>
      <c r="AE20" t="s">
        <v>102</v>
      </c>
      <c r="AK20" s="26" t="s">
        <v>103</v>
      </c>
    </row>
    <row r="21" spans="3:40" x14ac:dyDescent="0.3">
      <c r="C21" s="11"/>
      <c r="E21" s="11" t="str" cm="1">
        <f t="array" ref="E21">_xlfn.IFS(
    COUNTIF(Herramientas_eléctricas1862106[Herramientas_eléctricas], B21) &gt; 0, Herramientas_eléctricas1862106[[#Headers],[Herramientas_eléctricas]],
    COUNTIF(Herramientas_neumáticas1963107[Herramientas_neumáticas], B21) &gt; 0, Herramientas_neumáticas1963107[[#Headers],[Herramientas_neumáticas]],
    COUNTIF(Herramientas_de_medición2064108[Herramientas_de_medición], B21) &gt; 0, Herramientas_de_medición2064108[[#Headers],[Herramientas_de_medición]],
    COUNTIF(Herrramientas_mecánicas2165109[Herramientas_mecánicas], B21) &gt; 0, Herrramientas_mecánicas2165109[[#Headers],[Herramientas_mecánicas]],
    COUNTIF(AF21:AF27, B21) &gt; 0, Herramientas_hidráulicas2266110[[#Headers],[Herramientas_hidráulicas]],
    COUNTIF(EPP_2367111[SPCC], B21) &gt; 0, EPP_2367111[[#Headers],[SPCC]],
   COUNTIF(Herramientas_de_izaje2468112[Herramientas_de_izaje], B21) &gt; 0, Herramientas_de_izaje2468112[[#Headers],[Herramientas_de_izaje]],
COUNTIF(Tabla162670114[Equipos], B21) &gt; 0, Tabla162670114[[#Headers],[Equipos]],
    TRUE, "Sin clasificación"
)</f>
        <v>Sin clasificación</v>
      </c>
      <c r="F21" s="15"/>
      <c r="G21" s="15"/>
      <c r="H21" s="47"/>
      <c r="J21" s="47"/>
      <c r="K21" s="47" t="str">
        <f>_xlfn.LET(
    _xlpm.itemBuscado, B21,
    _xlpm.areaBuscada, C21,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TEXT(COUNTIF($C$2:C21, _xlpm.areaBuscada), "0000"),
    _xlpm.codItem &amp; "-" &amp; _xlpm.codArea &amp; "-" &amp; _xlpm.secuencia
)</f>
        <v>-SinArea-0000</v>
      </c>
      <c r="M21" s="15"/>
      <c r="O21" s="48"/>
      <c r="AB21" s="6"/>
      <c r="AE21" s="6" t="s">
        <v>20</v>
      </c>
    </row>
    <row r="22" spans="3:40" x14ac:dyDescent="0.3">
      <c r="C22" s="11"/>
      <c r="E22" s="11" t="str" cm="1">
        <f t="array" ref="E22">_xlfn.IFS(
    COUNTIF(Herramientas_eléctricas1862106[Herramientas_eléctricas], B22) &gt; 0, Herramientas_eléctricas1862106[[#Headers],[Herramientas_eléctricas]],
    COUNTIF(Herramientas_neumáticas1963107[Herramientas_neumáticas], B22) &gt; 0, Herramientas_neumáticas1963107[[#Headers],[Herramientas_neumáticas]],
    COUNTIF(Herramientas_de_medición2064108[Herramientas_de_medición], B22) &gt; 0, Herramientas_de_medición2064108[[#Headers],[Herramientas_de_medición]],
    COUNTIF(Herrramientas_mecánicas2165109[Herramientas_mecánicas], B22) &gt; 0, Herrramientas_mecánicas2165109[[#Headers],[Herramientas_mecánicas]],
    COUNTIF(AF22:AF28, B22) &gt; 0, Herramientas_hidráulicas2266110[[#Headers],[Herramientas_hidráulicas]],
    COUNTIF(EPP_2367111[SPCC], B22) &gt; 0, EPP_2367111[[#Headers],[SPCC]],
   COUNTIF(Herramientas_de_izaje2468112[Herramientas_de_izaje], B22) &gt; 0, Herramientas_de_izaje2468112[[#Headers],[Herramientas_de_izaje]],
COUNTIF(Tabla162670114[Equipos], B22) &gt; 0, Tabla162670114[[#Headers],[Equipos]],
    TRUE, "Sin clasificación"
)</f>
        <v>Sin clasificación</v>
      </c>
      <c r="F22" s="15"/>
      <c r="G22" s="15"/>
      <c r="H22" s="47"/>
      <c r="J22" s="47"/>
      <c r="K22" s="47" t="str">
        <f>_xlfn.LET(
    _xlpm.itemBuscado, B22,
    _xlpm.areaBuscada, C22,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TEXT(COUNTIF($C$2:C22, _xlpm.areaBuscada), "0000"),
    _xlpm.codItem &amp; "-" &amp; _xlpm.codArea &amp; "-" &amp; _xlpm.secuencia
)</f>
        <v>-SinArea-0000</v>
      </c>
      <c r="M22" s="15"/>
      <c r="O22" s="48"/>
    </row>
    <row r="23" spans="3:40" x14ac:dyDescent="0.3">
      <c r="C23" s="11"/>
      <c r="E23" s="11" t="str" cm="1">
        <f t="array" ref="E23">_xlfn.IFS(
    COUNTIF(Herramientas_eléctricas1862106[Herramientas_eléctricas], B23) &gt; 0, Herramientas_eléctricas1862106[[#Headers],[Herramientas_eléctricas]],
    COUNTIF(Herramientas_neumáticas1963107[Herramientas_neumáticas], B23) &gt; 0, Herramientas_neumáticas1963107[[#Headers],[Herramientas_neumáticas]],
    COUNTIF(Herramientas_de_medición2064108[Herramientas_de_medición], B23) &gt; 0, Herramientas_de_medición2064108[[#Headers],[Herramientas_de_medición]],
    COUNTIF(Herrramientas_mecánicas2165109[Herramientas_mecánicas], B23) &gt; 0, Herrramientas_mecánicas2165109[[#Headers],[Herramientas_mecánicas]],
    COUNTIF(AF23:AF29, B23) &gt; 0, Herramientas_hidráulicas2266110[[#Headers],[Herramientas_hidráulicas]],
    COUNTIF(EPP_2367111[SPCC], B23) &gt; 0, EPP_2367111[[#Headers],[SPCC]],
   COUNTIF(Herramientas_de_izaje2468112[Herramientas_de_izaje], B23) &gt; 0, Herramientas_de_izaje2468112[[#Headers],[Herramientas_de_izaje]],
COUNTIF(Tabla162670114[Equipos], B23) &gt; 0, Tabla162670114[[#Headers],[Equipos]],
    TRUE, "Sin clasificación"
)</f>
        <v>Sin clasificación</v>
      </c>
      <c r="F23" s="15"/>
      <c r="G23" s="15"/>
      <c r="H23" s="47"/>
      <c r="J23" s="47"/>
      <c r="K23" s="47" t="str">
        <f>_xlfn.LET(
    _xlpm.itemBuscado, B23,
    _xlpm.areaBuscada, C23,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TEXT(COUNTIF($C$2:C23, _xlpm.areaBuscada), "0000"),
    _xlpm.codItem &amp; "-" &amp; _xlpm.codArea &amp; "-" &amp; _xlpm.secuencia
)</f>
        <v>-SinArea-0000</v>
      </c>
      <c r="M23" s="15"/>
      <c r="O23" s="48"/>
    </row>
    <row r="24" spans="3:40" x14ac:dyDescent="0.3">
      <c r="C24" s="11"/>
      <c r="E24" s="11" t="str" cm="1">
        <f t="array" ref="E24">_xlfn.IFS(
    COUNTIF(Herramientas_eléctricas1862106[Herramientas_eléctricas], B24) &gt; 0, Herramientas_eléctricas1862106[[#Headers],[Herramientas_eléctricas]],
    COUNTIF(Herramientas_neumáticas1963107[Herramientas_neumáticas], B24) &gt; 0, Herramientas_neumáticas1963107[[#Headers],[Herramientas_neumáticas]],
    COUNTIF(Herramientas_de_medición2064108[Herramientas_de_medición], B24) &gt; 0, Herramientas_de_medición2064108[[#Headers],[Herramientas_de_medición]],
    COUNTIF(Herrramientas_mecánicas2165109[Herramientas_mecánicas], B24) &gt; 0, Herrramientas_mecánicas2165109[[#Headers],[Herramientas_mecánicas]],
    COUNTIF(AF24:AF30, B24) &gt; 0, Herramientas_hidráulicas2266110[[#Headers],[Herramientas_hidráulicas]],
    COUNTIF(EPP_2367111[SPCC], B24) &gt; 0, EPP_2367111[[#Headers],[SPCC]],
   COUNTIF(Herramientas_de_izaje2468112[Herramientas_de_izaje], B24) &gt; 0, Herramientas_de_izaje2468112[[#Headers],[Herramientas_de_izaje]],
COUNTIF(Tabla162670114[Equipos], B24) &gt; 0, Tabla162670114[[#Headers],[Equipos]],
    TRUE, "Sin clasificación"
)</f>
        <v>Sin clasificación</v>
      </c>
      <c r="F24" s="15"/>
      <c r="G24" s="15"/>
      <c r="H24" s="47"/>
      <c r="J24" s="47"/>
      <c r="K24" s="47" t="str">
        <f>_xlfn.LET(
    _xlpm.itemBuscado, B24,
    _xlpm.areaBuscada, C24,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TEXT(COUNTIF($C$2:C24, _xlpm.areaBuscada), "0000"),
    _xlpm.codItem &amp; "-" &amp; _xlpm.codArea &amp; "-" &amp; _xlpm.secuencia
)</f>
        <v>-SinArea-0000</v>
      </c>
      <c r="M24" s="15"/>
      <c r="O24" s="48" t="s">
        <v>224</v>
      </c>
      <c r="AL24" s="18"/>
    </row>
    <row r="25" spans="3:40" x14ac:dyDescent="0.3">
      <c r="C25" s="11"/>
      <c r="E25" s="11" t="str" cm="1">
        <f t="array" ref="E25">_xlfn.IFS(
    COUNTIF(Herramientas_eléctricas1862106[Herramientas_eléctricas], B25) &gt; 0, Herramientas_eléctricas1862106[[#Headers],[Herramientas_eléctricas]],
    COUNTIF(Herramientas_neumáticas1963107[Herramientas_neumáticas], B25) &gt; 0, Herramientas_neumáticas1963107[[#Headers],[Herramientas_neumáticas]],
    COUNTIF(Herramientas_de_medición2064108[Herramientas_de_medición], B25) &gt; 0, Herramientas_de_medición2064108[[#Headers],[Herramientas_de_medición]],
    COUNTIF(Herrramientas_mecánicas2165109[Herramientas_mecánicas], B25) &gt; 0, Herrramientas_mecánicas2165109[[#Headers],[Herramientas_mecánicas]],
    COUNTIF(AF25:AF31, B25) &gt; 0, Herramientas_hidráulicas2266110[[#Headers],[Herramientas_hidráulicas]],
    COUNTIF(EPP_2367111[SPCC], B25) &gt; 0, EPP_2367111[[#Headers],[SPCC]],
   COUNTIF(Herramientas_de_izaje2468112[Herramientas_de_izaje], B25) &gt; 0, Herramientas_de_izaje2468112[[#Headers],[Herramientas_de_izaje]],
COUNTIF(Tabla162670114[Equipos], B25) &gt; 0, Tabla162670114[[#Headers],[Equipos]],
    TRUE, "Sin clasificación"
)</f>
        <v>Sin clasificación</v>
      </c>
      <c r="F25" s="15"/>
      <c r="G25" s="15"/>
      <c r="H25" s="47"/>
      <c r="J25" s="47"/>
      <c r="K25" s="47" t="str">
        <f>_xlfn.LET(
    _xlpm.itemBuscado, B25,
    _xlpm.areaBuscada, C25,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TEXT(COUNTIF($C$2:C25, _xlpm.areaBuscada), "0000"),
    _xlpm.codItem &amp; "-" &amp; _xlpm.codArea &amp; "-" &amp; _xlpm.secuencia
)</f>
        <v>-SinArea-0000</v>
      </c>
      <c r="M25" s="15"/>
      <c r="O25" s="48"/>
      <c r="AL25" s="22"/>
    </row>
    <row r="26" spans="3:40" x14ac:dyDescent="0.3">
      <c r="C26" s="11"/>
      <c r="E26" s="11" t="str" cm="1">
        <f t="array" ref="E26">_xlfn.IFS(
    COUNTIF(Herramientas_eléctricas1862106[Herramientas_eléctricas], B26) &gt; 0, Herramientas_eléctricas1862106[[#Headers],[Herramientas_eléctricas]],
    COUNTIF(Herramientas_neumáticas1963107[Herramientas_neumáticas], B26) &gt; 0, Herramientas_neumáticas1963107[[#Headers],[Herramientas_neumáticas]],
    COUNTIF(Herramientas_de_medición2064108[Herramientas_de_medición], B26) &gt; 0, Herramientas_de_medición2064108[[#Headers],[Herramientas_de_medición]],
    COUNTIF(Herrramientas_mecánicas2165109[Herramientas_mecánicas], B26) &gt; 0, Herrramientas_mecánicas2165109[[#Headers],[Herramientas_mecánicas]],
    COUNTIF(AF26:AF32, B26) &gt; 0, Herramientas_hidráulicas2266110[[#Headers],[Herramientas_hidráulicas]],
    COUNTIF(EPP_2367111[SPCC], B26) &gt; 0, EPP_2367111[[#Headers],[SPCC]],
   COUNTIF(Herramientas_de_izaje2468112[Herramientas_de_izaje], B26) &gt; 0, Herramientas_de_izaje2468112[[#Headers],[Herramientas_de_izaje]],
COUNTIF(Tabla162670114[Equipos], B26) &gt; 0, Tabla162670114[[#Headers],[Equipos]],
    TRUE, "Sin clasificación"
)</f>
        <v>Sin clasificación</v>
      </c>
      <c r="F26" s="15"/>
      <c r="G26" s="15"/>
      <c r="H26" s="47"/>
      <c r="J26" s="47"/>
      <c r="K26" s="47" t="str">
        <f>_xlfn.LET(
    _xlpm.itemBuscado, B26,
    _xlpm.areaBuscada, C26,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TEXT(COUNTIF($C$2:C26, _xlpm.areaBuscada), "0000"),
    _xlpm.codItem &amp; "-" &amp; _xlpm.codArea &amp; "-" &amp; _xlpm.secuencia
)</f>
        <v>-SinArea-0000</v>
      </c>
      <c r="M26" s="15"/>
      <c r="O26" s="48" t="s">
        <v>224</v>
      </c>
      <c r="AC26" s="18"/>
      <c r="AM26" t="s">
        <v>235</v>
      </c>
    </row>
    <row r="27" spans="3:40" ht="28.8" x14ac:dyDescent="0.3">
      <c r="C27" s="11"/>
      <c r="E27" s="11" t="str" cm="1">
        <f t="array" ref="E27">_xlfn.IFS(
    COUNTIF(Herramientas_eléctricas1862106[Herramientas_eléctricas], B27) &gt; 0, Herramientas_eléctricas1862106[[#Headers],[Herramientas_eléctricas]],
    COUNTIF(Herramientas_neumáticas1963107[Herramientas_neumáticas], B27) &gt; 0, Herramientas_neumáticas1963107[[#Headers],[Herramientas_neumáticas]],
    COUNTIF(Herramientas_de_medición2064108[Herramientas_de_medición], B27) &gt; 0, Herramientas_de_medición2064108[[#Headers],[Herramientas_de_medición]],
    COUNTIF(Herrramientas_mecánicas2165109[Herramientas_mecánicas], B27) &gt; 0, Herrramientas_mecánicas2165109[[#Headers],[Herramientas_mecánicas]],
    COUNTIF(AF27:AF33, B27) &gt; 0, Herramientas_hidráulicas2266110[[#Headers],[Herramientas_hidráulicas]],
    COUNTIF(EPP_2367111[SPCC], B27) &gt; 0, EPP_2367111[[#Headers],[SPCC]],
   COUNTIF(Herramientas_de_izaje2468112[Herramientas_de_izaje], B27) &gt; 0, Herramientas_de_izaje2468112[[#Headers],[Herramientas_de_izaje]],
COUNTIF(Tabla162670114[Equipos], B27) &gt; 0, Tabla162670114[[#Headers],[Equipos]],
    TRUE, "Sin clasificación"
)</f>
        <v>Sin clasificación</v>
      </c>
      <c r="F27" s="15"/>
      <c r="G27" s="15"/>
      <c r="H27" s="47"/>
      <c r="J27" s="47"/>
      <c r="K27" s="47" t="str">
        <f>_xlfn.LET(
    _xlpm.itemBuscado, B27,
    _xlpm.areaBuscada, C27,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TEXT(COUNTIF($C$2:C27, _xlpm.areaBuscada), "0000"),
    _xlpm.codItem &amp; "-" &amp; _xlpm.codArea &amp; "-" &amp; _xlpm.secuencia
)</f>
        <v>-SinArea-0000</v>
      </c>
      <c r="M27" s="15"/>
      <c r="O27" s="48"/>
      <c r="AB27" s="11" t="s">
        <v>236</v>
      </c>
      <c r="AC27" s="11" t="s">
        <v>237</v>
      </c>
      <c r="AD27" s="11" t="s">
        <v>238</v>
      </c>
      <c r="AE27" s="11" t="s">
        <v>239</v>
      </c>
      <c r="AF27" s="11" t="s">
        <v>240</v>
      </c>
      <c r="AG27" s="11" t="s">
        <v>241</v>
      </c>
      <c r="AH27" s="11" t="s">
        <v>242</v>
      </c>
      <c r="AI27" s="11" t="s">
        <v>243</v>
      </c>
      <c r="AJ27" s="11" t="s">
        <v>244</v>
      </c>
      <c r="AK27" s="11" t="s">
        <v>245</v>
      </c>
    </row>
    <row r="28" spans="3:40" x14ac:dyDescent="0.3">
      <c r="C28" s="11"/>
      <c r="E28" s="11" t="str" cm="1">
        <f t="array" ref="E28">_xlfn.IFS(
    COUNTIF(Herramientas_eléctricas1862106[Herramientas_eléctricas], B28) &gt; 0, Herramientas_eléctricas1862106[[#Headers],[Herramientas_eléctricas]],
    COUNTIF(Herramientas_neumáticas1963107[Herramientas_neumáticas], B28) &gt; 0, Herramientas_neumáticas1963107[[#Headers],[Herramientas_neumáticas]],
    COUNTIF(Herramientas_de_medición2064108[Herramientas_de_medición], B28) &gt; 0, Herramientas_de_medición2064108[[#Headers],[Herramientas_de_medición]],
    COUNTIF(Herrramientas_mecánicas2165109[Herramientas_mecánicas], B28) &gt; 0, Herrramientas_mecánicas2165109[[#Headers],[Herramientas_mecánicas]],
    COUNTIF(AF28:AF34, B28) &gt; 0, Herramientas_hidráulicas2266110[[#Headers],[Herramientas_hidráulicas]],
    COUNTIF(EPP_2367111[SPCC], B28) &gt; 0, EPP_2367111[[#Headers],[SPCC]],
   COUNTIF(Herramientas_de_izaje2468112[Herramientas_de_izaje], B28) &gt; 0, Herramientas_de_izaje2468112[[#Headers],[Herramientas_de_izaje]],
COUNTIF(Tabla162670114[Equipos], B28) &gt; 0, Tabla162670114[[#Headers],[Equipos]],
    TRUE, "Sin clasificación"
)</f>
        <v>Sin clasificación</v>
      </c>
      <c r="F28" s="15"/>
      <c r="G28" s="15"/>
      <c r="H28" s="47"/>
      <c r="J28" s="47"/>
      <c r="K28" s="47" t="str">
        <f>_xlfn.LET(
    _xlpm.itemBuscado, B28,
    _xlpm.areaBuscada, C28,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TEXT(COUNTIF($C$2:C28, _xlpm.areaBuscada), "0000"),
    _xlpm.codItem &amp; "-" &amp; _xlpm.codArea &amp; "-" &amp; _xlpm.secuencia
)</f>
        <v>-SinArea-0000</v>
      </c>
      <c r="M28" s="15"/>
      <c r="O28" s="48"/>
    </row>
    <row r="29" spans="3:40" x14ac:dyDescent="0.3">
      <c r="C29" s="11"/>
      <c r="E29" s="11" t="str" cm="1">
        <f t="array" ref="E29">_xlfn.IFS(
    COUNTIF(Herramientas_eléctricas1862106[Herramientas_eléctricas], B29) &gt; 0, Herramientas_eléctricas1862106[[#Headers],[Herramientas_eléctricas]],
    COUNTIF(Herramientas_neumáticas1963107[Herramientas_neumáticas], B29) &gt; 0, Herramientas_neumáticas1963107[[#Headers],[Herramientas_neumáticas]],
    COUNTIF(Herramientas_de_medición2064108[Herramientas_de_medición], B29) &gt; 0, Herramientas_de_medición2064108[[#Headers],[Herramientas_de_medición]],
    COUNTIF(Herrramientas_mecánicas2165109[Herramientas_mecánicas], B29) &gt; 0, Herrramientas_mecánicas2165109[[#Headers],[Herramientas_mecánicas]],
    COUNTIF(AF29:AF35, B29) &gt; 0, Herramientas_hidráulicas2266110[[#Headers],[Herramientas_hidráulicas]],
    COUNTIF(EPP_2367111[SPCC], B29) &gt; 0, EPP_2367111[[#Headers],[SPCC]],
   COUNTIF(Herramientas_de_izaje2468112[Herramientas_de_izaje], B29) &gt; 0, Herramientas_de_izaje2468112[[#Headers],[Herramientas_de_izaje]],
COUNTIF(Tabla162670114[Equipos], B29) &gt; 0, Tabla162670114[[#Headers],[Equipos]],
    TRUE, "Sin clasificación"
)</f>
        <v>Sin clasificación</v>
      </c>
      <c r="F29" s="15"/>
      <c r="G29" s="15"/>
      <c r="H29" s="47"/>
      <c r="J29" s="47"/>
      <c r="K29" s="47" t="str">
        <f>_xlfn.LET(
    _xlpm.itemBuscado, B29,
    _xlpm.areaBuscada, C29,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TEXT(COUNTIF($C$2:C29, _xlpm.areaBuscada), "0000"),
    _xlpm.codItem &amp; "-" &amp; _xlpm.codArea &amp; "-" &amp; _xlpm.secuencia
)</f>
        <v>-SinArea-0000</v>
      </c>
      <c r="M29" s="15"/>
      <c r="O29" s="48"/>
      <c r="AB29" t="s">
        <v>246</v>
      </c>
      <c r="AC29" t="s">
        <v>97</v>
      </c>
      <c r="AD29" t="s">
        <v>34</v>
      </c>
      <c r="AE29" t="s">
        <v>66</v>
      </c>
      <c r="AF29" s="63" t="s">
        <v>247</v>
      </c>
      <c r="AH29" t="s">
        <v>19</v>
      </c>
      <c r="AK29" t="s">
        <v>75</v>
      </c>
    </row>
    <row r="30" spans="3:40" ht="28.8" x14ac:dyDescent="0.3">
      <c r="C30" s="11"/>
      <c r="E30" s="11" t="str" cm="1">
        <f t="array" ref="E30">_xlfn.IFS(
    COUNTIF(Herramientas_eléctricas1862106[Herramientas_eléctricas], B30) &gt; 0, Herramientas_eléctricas1862106[[#Headers],[Herramientas_eléctricas]],
    COUNTIF(Herramientas_neumáticas1963107[Herramientas_neumáticas], B30) &gt; 0, Herramientas_neumáticas1963107[[#Headers],[Herramientas_neumáticas]],
    COUNTIF(Herramientas_de_medición2064108[Herramientas_de_medición], B30) &gt; 0, Herramientas_de_medición2064108[[#Headers],[Herramientas_de_medición]],
    COUNTIF(Herrramientas_mecánicas2165109[Herramientas_mecánicas], B30) &gt; 0, Herrramientas_mecánicas2165109[[#Headers],[Herramientas_mecánicas]],
    COUNTIF(AF30:AF36, B30) &gt; 0, Herramientas_hidráulicas2266110[[#Headers],[Herramientas_hidráulicas]],
    COUNTIF(EPP_2367111[SPCC], B30) &gt; 0, EPP_2367111[[#Headers],[SPCC]],
   COUNTIF(Herramientas_de_izaje2468112[Herramientas_de_izaje], B30) &gt; 0, Herramientas_de_izaje2468112[[#Headers],[Herramientas_de_izaje]],
COUNTIF(Tabla162670114[Equipos], B30) &gt; 0, Tabla162670114[[#Headers],[Equipos]],
    TRUE, "Sin clasificación"
)</f>
        <v>Sin clasificación</v>
      </c>
      <c r="F30" s="15"/>
      <c r="G30" s="15"/>
      <c r="H30" s="47"/>
      <c r="J30" s="47"/>
      <c r="K30" s="47" t="str">
        <f>_xlfn.LET(
    _xlpm.itemBuscado, B30,
    _xlpm.areaBuscada, C30,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TEXT(COUNTIF($C$2:C30, _xlpm.areaBuscada), "0000"),
    _xlpm.codItem &amp; "-" &amp; _xlpm.codArea &amp; "-" &amp; _xlpm.secuencia
)</f>
        <v>-SinArea-0000</v>
      </c>
      <c r="M30" s="15"/>
      <c r="O30" s="48" t="s">
        <v>224</v>
      </c>
      <c r="AB30" s="22" t="s">
        <v>248</v>
      </c>
      <c r="AC30" t="s">
        <v>17</v>
      </c>
      <c r="AD30" s="18" t="s">
        <v>249</v>
      </c>
      <c r="AE30" t="s">
        <v>250</v>
      </c>
      <c r="AF30" s="64" t="s">
        <v>251</v>
      </c>
      <c r="AH30" t="s">
        <v>252</v>
      </c>
      <c r="AK30" s="18" t="s">
        <v>253</v>
      </c>
    </row>
    <row r="31" spans="3:40" x14ac:dyDescent="0.3">
      <c r="C31" s="11"/>
      <c r="E31" s="11" t="str" cm="1">
        <f t="array" ref="E31">_xlfn.IFS(
    COUNTIF(Herramientas_eléctricas1862106[Herramientas_eléctricas], B31) &gt; 0, Herramientas_eléctricas1862106[[#Headers],[Herramientas_eléctricas]],
    COUNTIF(Herramientas_neumáticas1963107[Herramientas_neumáticas], B31) &gt; 0, Herramientas_neumáticas1963107[[#Headers],[Herramientas_neumáticas]],
    COUNTIF(Herramientas_de_medición2064108[Herramientas_de_medición], B31) &gt; 0, Herramientas_de_medición2064108[[#Headers],[Herramientas_de_medición]],
    COUNTIF(Herrramientas_mecánicas2165109[Herramientas_mecánicas], B31) &gt; 0, Herrramientas_mecánicas2165109[[#Headers],[Herramientas_mecánicas]],
    COUNTIF(AF31:AF37, B31) &gt; 0, Herramientas_hidráulicas2266110[[#Headers],[Herramientas_hidráulicas]],
    COUNTIF(EPP_2367111[SPCC], B31) &gt; 0, EPP_2367111[[#Headers],[SPCC]],
   COUNTIF(Herramientas_de_izaje2468112[Herramientas_de_izaje], B31) &gt; 0, Herramientas_de_izaje2468112[[#Headers],[Herramientas_de_izaje]],
COUNTIF(Tabla162670114[Equipos], B31) &gt; 0, Tabla162670114[[#Headers],[Equipos]],
    TRUE, "Sin clasificación"
)</f>
        <v>Sin clasificación</v>
      </c>
      <c r="F31" s="15"/>
      <c r="G31" s="15"/>
      <c r="H31" s="47"/>
      <c r="J31" s="47"/>
      <c r="K31" s="47" t="str">
        <f>_xlfn.LET(
    _xlpm.itemBuscado, B31,
    _xlpm.areaBuscada, C31,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TEXT(COUNTIF($C$2:C31, _xlpm.areaBuscada), "0000"),
    _xlpm.codItem &amp; "-" &amp; _xlpm.codArea &amp; "-" &amp; _xlpm.secuencia
)</f>
        <v>-SinArea-0000</v>
      </c>
      <c r="M31" s="15"/>
      <c r="O31" s="48"/>
      <c r="AB31" s="65" t="s">
        <v>254</v>
      </c>
      <c r="AD31" t="s">
        <v>255</v>
      </c>
      <c r="AK31" s="26" t="s">
        <v>256</v>
      </c>
    </row>
    <row r="32" spans="3:40" ht="28.5" customHeight="1" x14ac:dyDescent="0.3">
      <c r="C32" s="11"/>
      <c r="E32" s="11" t="str" cm="1">
        <f t="array" ref="E32">_xlfn.IFS(
    COUNTIF(Herramientas_eléctricas1862106[Herramientas_eléctricas], B32) &gt; 0, Herramientas_eléctricas1862106[[#Headers],[Herramientas_eléctricas]],
    COUNTIF(Herramientas_neumáticas1963107[Herramientas_neumáticas], B32) &gt; 0, Herramientas_neumáticas1963107[[#Headers],[Herramientas_neumáticas]],
    COUNTIF(Herramientas_de_medición2064108[Herramientas_de_medición], B32) &gt; 0, Herramientas_de_medición2064108[[#Headers],[Herramientas_de_medición]],
    COUNTIF(Herrramientas_mecánicas2165109[Herramientas_mecánicas], B32) &gt; 0, Herrramientas_mecánicas2165109[[#Headers],[Herramientas_mecánicas]],
    COUNTIF(AF32:AF38, B32) &gt; 0, Herramientas_hidráulicas2266110[[#Headers],[Herramientas_hidráulicas]],
    COUNTIF(EPP_2367111[SPCC], B32) &gt; 0, EPP_2367111[[#Headers],[SPCC]],
   COUNTIF(Herramientas_de_izaje2468112[Herramientas_de_izaje], B32) &gt; 0, Herramientas_de_izaje2468112[[#Headers],[Herramientas_de_izaje]],
COUNTIF(Tabla162670114[Equipos], B32) &gt; 0, Tabla162670114[[#Headers],[Equipos]],
    TRUE, "Sin clasificación"
)</f>
        <v>Sin clasificación</v>
      </c>
      <c r="F32" s="15"/>
      <c r="G32" s="15"/>
      <c r="H32" s="47"/>
      <c r="J32" s="47"/>
      <c r="K32" s="47" t="str">
        <f>_xlfn.LET(
    _xlpm.itemBuscado, B32,
    _xlpm.areaBuscada, C32,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TEXT(COUNTIF($C$2:C32, _xlpm.areaBuscada), "0000"),
    _xlpm.codItem &amp; "-" &amp; _xlpm.codArea &amp; "-" &amp; _xlpm.secuencia
)</f>
        <v>-SinArea-0000</v>
      </c>
      <c r="M32" s="15"/>
      <c r="O32" s="48"/>
    </row>
    <row r="33" spans="3:40" x14ac:dyDescent="0.3">
      <c r="C33" s="11"/>
      <c r="E33" s="11" t="str" cm="1">
        <f t="array" ref="E33">_xlfn.IFS(
    COUNTIF(Herramientas_eléctricas1862106[Herramientas_eléctricas], B33) &gt; 0, Herramientas_eléctricas1862106[[#Headers],[Herramientas_eléctricas]],
    COUNTIF(Herramientas_neumáticas1963107[Herramientas_neumáticas], B33) &gt; 0, Herramientas_neumáticas1963107[[#Headers],[Herramientas_neumáticas]],
    COUNTIF(Herramientas_de_medición2064108[Herramientas_de_medición], B33) &gt; 0, Herramientas_de_medición2064108[[#Headers],[Herramientas_de_medición]],
    COUNTIF(Herrramientas_mecánicas2165109[Herramientas_mecánicas], B33) &gt; 0, Herrramientas_mecánicas2165109[[#Headers],[Herramientas_mecánicas]],
    COUNTIF(AF33:AF39, B33) &gt; 0, Herramientas_hidráulicas2266110[[#Headers],[Herramientas_hidráulicas]],
    COUNTIF(EPP_2367111[SPCC], B33) &gt; 0, EPP_2367111[[#Headers],[SPCC]],
   COUNTIF(Herramientas_de_izaje2468112[Herramientas_de_izaje], B33) &gt; 0, Herramientas_de_izaje2468112[[#Headers],[Herramientas_de_izaje]],
COUNTIF(Tabla162670114[Equipos], B33) &gt; 0, Tabla162670114[[#Headers],[Equipos]],
    TRUE, "Sin clasificación"
)</f>
        <v>Sin clasificación</v>
      </c>
      <c r="F33" s="15"/>
      <c r="G33" s="15"/>
      <c r="H33" s="47"/>
      <c r="J33" s="47"/>
      <c r="K33" s="47" t="str">
        <f>_xlfn.LET(
    _xlpm.itemBuscado, B33,
    _xlpm.areaBuscada, C33,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TEXT(COUNTIF($C$2:C33, _xlpm.areaBuscada), "0000"),
    _xlpm.codItem &amp; "-" &amp; _xlpm.codArea &amp; "-" &amp; _xlpm.secuencia
)</f>
        <v>-SinArea-0000</v>
      </c>
      <c r="M33" s="15"/>
      <c r="O33" s="48"/>
      <c r="AB33" t="s">
        <v>68</v>
      </c>
      <c r="AC33" t="s">
        <v>36</v>
      </c>
      <c r="AD33" t="s">
        <v>257</v>
      </c>
      <c r="AE33" t="s">
        <v>258</v>
      </c>
    </row>
    <row r="34" spans="3:40" x14ac:dyDescent="0.3">
      <c r="C34" s="11"/>
      <c r="E34" s="11" t="str" cm="1">
        <f t="array" ref="E34">_xlfn.IFS(
    COUNTIF(Herramientas_eléctricas1862106[Herramientas_eléctricas], B34) &gt; 0, Herramientas_eléctricas1862106[[#Headers],[Herramientas_eléctricas]],
    COUNTIF(Herramientas_neumáticas1963107[Herramientas_neumáticas], B34) &gt; 0, Herramientas_neumáticas1963107[[#Headers],[Herramientas_neumáticas]],
    COUNTIF(Herramientas_de_medición2064108[Herramientas_de_medición], B34) &gt; 0, Herramientas_de_medición2064108[[#Headers],[Herramientas_de_medición]],
    COUNTIF(Herrramientas_mecánicas2165109[Herramientas_mecánicas], B34) &gt; 0, Herrramientas_mecánicas2165109[[#Headers],[Herramientas_mecánicas]],
    COUNTIF(AF34:AF40, B34) &gt; 0, Herramientas_hidráulicas2266110[[#Headers],[Herramientas_hidráulicas]],
    COUNTIF(EPP_2367111[SPCC], B34) &gt; 0, EPP_2367111[[#Headers],[SPCC]],
   COUNTIF(Herramientas_de_izaje2468112[Herramientas_de_izaje], B34) &gt; 0, Herramientas_de_izaje2468112[[#Headers],[Herramientas_de_izaje]],
COUNTIF(Tabla162670114[Equipos], B34) &gt; 0, Tabla162670114[[#Headers],[Equipos]],
    TRUE, "Sin clasificación"
)</f>
        <v>Sin clasificación</v>
      </c>
      <c r="F34" s="15"/>
      <c r="G34" s="15"/>
      <c r="H34" s="47"/>
      <c r="J34" s="47"/>
      <c r="K34" s="47" t="str">
        <f>_xlfn.LET(
    _xlpm.itemBuscado, B34,
    _xlpm.areaBuscada, C34,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TEXT(COUNTIF($C$2:C34, _xlpm.areaBuscada), "0000"),
    _xlpm.codItem &amp; "-" &amp; _xlpm.codArea &amp; "-" &amp; _xlpm.secuencia
)</f>
        <v>-SinArea-0000</v>
      </c>
      <c r="M34" s="15"/>
      <c r="O34" s="48"/>
      <c r="AB34" s="20" t="s">
        <v>259</v>
      </c>
      <c r="AC34" t="s">
        <v>260</v>
      </c>
      <c r="AD34" s="19" t="s">
        <v>261</v>
      </c>
      <c r="AE34" s="22" t="s">
        <v>262</v>
      </c>
    </row>
    <row r="35" spans="3:40" ht="28.8" x14ac:dyDescent="0.3">
      <c r="C35" s="11"/>
      <c r="E35" s="11" t="str" cm="1">
        <f t="array" ref="E35">_xlfn.IFS(
    COUNTIF(Herramientas_eléctricas1862106[Herramientas_eléctricas], B35) &gt; 0, Herramientas_eléctricas1862106[[#Headers],[Herramientas_eléctricas]],
    COUNTIF(Herramientas_neumáticas1963107[Herramientas_neumáticas], B35) &gt; 0, Herramientas_neumáticas1963107[[#Headers],[Herramientas_neumáticas]],
    COUNTIF(Herramientas_de_medición2064108[Herramientas_de_medición], B35) &gt; 0, Herramientas_de_medición2064108[[#Headers],[Herramientas_de_medición]],
    COUNTIF(Herrramientas_mecánicas2165109[Herramientas_mecánicas], B35) &gt; 0, Herrramientas_mecánicas2165109[[#Headers],[Herramientas_mecánicas]],
    COUNTIF(AF35:AF41, B35) &gt; 0, Herramientas_hidráulicas2266110[[#Headers],[Herramientas_hidráulicas]],
    COUNTIF(EPP_2367111[SPCC], B35) &gt; 0, EPP_2367111[[#Headers],[SPCC]],
   COUNTIF(Herramientas_de_izaje2468112[Herramientas_de_izaje], B35) &gt; 0, Herramientas_de_izaje2468112[[#Headers],[Herramientas_de_izaje]],
COUNTIF(Tabla162670114[Equipos], B35) &gt; 0, Tabla162670114[[#Headers],[Equipos]],
    TRUE, "Sin clasificación"
)</f>
        <v>Sin clasificación</v>
      </c>
      <c r="F35" s="15"/>
      <c r="G35" s="15"/>
      <c r="H35" s="47"/>
      <c r="J35" s="47"/>
      <c r="K35" s="47" t="str">
        <f>_xlfn.LET(
    _xlpm.itemBuscado, B35,
    _xlpm.areaBuscada, C35,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TEXT(COUNTIF($C$2:C35, _xlpm.areaBuscada), "0000"),
    _xlpm.codItem &amp; "-" &amp; _xlpm.codArea &amp; "-" &amp; _xlpm.secuencia
)</f>
        <v>-SinArea-0000</v>
      </c>
      <c r="M35" s="15"/>
      <c r="O35" s="48"/>
      <c r="AB35" s="66" t="s">
        <v>263</v>
      </c>
      <c r="AD35" s="13" t="s">
        <v>264</v>
      </c>
      <c r="AE35" s="67" t="s">
        <v>265</v>
      </c>
    </row>
    <row r="36" spans="3:40" x14ac:dyDescent="0.3">
      <c r="C36" s="11"/>
      <c r="E36" s="11"/>
      <c r="F36" s="15"/>
      <c r="G36" s="15"/>
      <c r="H36" s="47"/>
      <c r="J36" s="47"/>
      <c r="K36" s="47" t="str">
        <f>_xlfn.LET(
    _xlpm.itemBuscado, B36,
    _xlpm.areaBuscada, C36,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TEXT(COUNTIF($C$2:C36, _xlpm.areaBuscada), "0000"),
    _xlpm.codItem &amp; "-" &amp; _xlpm.codArea &amp; "-" &amp; _xlpm.secuencia
)</f>
        <v>-SinArea-0000</v>
      </c>
      <c r="M36" s="15"/>
      <c r="O36" s="48"/>
      <c r="AD36" s="68" t="s">
        <v>266</v>
      </c>
      <c r="AE36" s="22" t="s">
        <v>267</v>
      </c>
    </row>
    <row r="37" spans="3:40" x14ac:dyDescent="0.3">
      <c r="C37" s="11"/>
      <c r="E37" s="11"/>
      <c r="F37" s="15"/>
      <c r="G37" s="15"/>
      <c r="H37" s="47"/>
      <c r="J37" s="47"/>
      <c r="K37" s="47" t="str">
        <f>_xlfn.LET(
    _xlpm.itemBuscado, B37,
    _xlpm.areaBuscada, C37,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TEXT(COUNTIF($C$2:C37, _xlpm.areaBuscada), "0000"),
    _xlpm.codItem &amp; "-" &amp; _xlpm.codArea &amp; "-" &amp; _xlpm.secuencia
)</f>
        <v>-SinArea-0000</v>
      </c>
      <c r="M37" s="15"/>
      <c r="O37" s="48"/>
      <c r="AE37" s="18" t="s">
        <v>268</v>
      </c>
    </row>
    <row r="38" spans="3:40" x14ac:dyDescent="0.3">
      <c r="C38" s="11"/>
      <c r="E38" s="11"/>
      <c r="F38" s="15"/>
      <c r="G38" s="15"/>
      <c r="H38" s="47"/>
      <c r="J38" s="47"/>
      <c r="K38" s="47" t="str">
        <f>_xlfn.LET(
    _xlpm.itemBuscado, B38,
    _xlpm.areaBuscada, C38,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TEXT(COUNTIF($C$2:C38, _xlpm.areaBuscada), "0000"),
    _xlpm.codItem &amp; "-" &amp; _xlpm.codArea &amp; "-" &amp; _xlpm.secuencia
)</f>
        <v>-SinArea-0000</v>
      </c>
      <c r="M38" s="15"/>
      <c r="O38" s="48"/>
      <c r="AB38" s="69" t="s">
        <v>24</v>
      </c>
      <c r="AD38" t="s">
        <v>269</v>
      </c>
      <c r="AE38" s="18" t="s">
        <v>270</v>
      </c>
    </row>
    <row r="39" spans="3:40" ht="22.8" x14ac:dyDescent="0.3">
      <c r="C39" s="11"/>
      <c r="E39" s="11"/>
      <c r="F39" s="15"/>
      <c r="G39" s="15"/>
      <c r="H39" s="47"/>
      <c r="J39" s="47"/>
      <c r="K39" s="47" t="str">
        <f>_xlfn.LET(
    _xlpm.itemBuscado, B39,
    _xlpm.areaBuscada, C39,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TEXT(COUNTIF($C$2:C39, _xlpm.areaBuscada), "0000"),
    _xlpm.codItem &amp; "-" &amp; _xlpm.codArea &amp; "-" &amp; _xlpm.secuencia
)</f>
        <v>-SinArea-0000</v>
      </c>
      <c r="M39" s="15"/>
      <c r="O39" s="48"/>
      <c r="AB39" s="62" t="s">
        <v>271</v>
      </c>
      <c r="AD39" s="68" t="s">
        <v>272</v>
      </c>
      <c r="AE39" s="22" t="s">
        <v>273</v>
      </c>
    </row>
    <row r="40" spans="3:40" x14ac:dyDescent="0.3">
      <c r="C40" s="11"/>
      <c r="E40" s="11"/>
      <c r="F40" s="15"/>
      <c r="G40" s="15"/>
      <c r="H40" s="47"/>
      <c r="J40" s="47"/>
      <c r="K40" s="47" t="str">
        <f>_xlfn.LET(
    _xlpm.itemBuscado, B40,
    _xlpm.areaBuscada, C40,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TEXT(COUNTIF($C$2:C40, _xlpm.areaBuscada), "0000"),
    _xlpm.codItem &amp; "-" &amp; _xlpm.codArea &amp; "-" &amp; _xlpm.secuencia
)</f>
        <v>-SinArea-0000</v>
      </c>
      <c r="M40" s="15"/>
      <c r="O40" s="48"/>
      <c r="AB40" s="70" t="s">
        <v>17</v>
      </c>
      <c r="AE40" t="s">
        <v>274</v>
      </c>
    </row>
    <row r="41" spans="3:40" x14ac:dyDescent="0.3">
      <c r="C41" s="11"/>
      <c r="E41" s="11"/>
      <c r="F41" s="15"/>
      <c r="G41" s="15"/>
      <c r="H41" s="47"/>
      <c r="J41" s="47"/>
      <c r="K41" s="47" t="str">
        <f>_xlfn.LET(
    _xlpm.itemBuscado, B41,
    _xlpm.areaBuscada, C41,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TEXT(COUNTIF($C$2:C41, _xlpm.areaBuscada), "0000"),
    _xlpm.codItem &amp; "-" &amp; _xlpm.codArea &amp; "-" &amp; _xlpm.secuencia
)</f>
        <v>-SinArea-0000</v>
      </c>
      <c r="M41" s="15"/>
      <c r="O41" s="48"/>
      <c r="AD41" t="s">
        <v>61</v>
      </c>
    </row>
    <row r="42" spans="3:40" x14ac:dyDescent="0.3">
      <c r="C42" s="11"/>
      <c r="E42" s="11"/>
      <c r="F42" s="15"/>
      <c r="G42" s="15"/>
      <c r="H42" s="47"/>
      <c r="J42" s="47"/>
      <c r="K42" s="47" t="str">
        <f>_xlfn.LET(
    _xlpm.itemBuscado, B42,
    _xlpm.areaBuscada, C42,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TEXT(COUNTIF($C$2:C42, _xlpm.areaBuscada), "0000"),
    _xlpm.codItem &amp; "-" &amp; _xlpm.codArea &amp; "-" &amp; _xlpm.secuencia
)</f>
        <v>-SinArea-0000</v>
      </c>
      <c r="M42" s="15"/>
      <c r="O42" s="48"/>
      <c r="AB42" s="71" t="s">
        <v>94</v>
      </c>
      <c r="AD42" t="s">
        <v>275</v>
      </c>
    </row>
    <row r="43" spans="3:40" ht="28.8" x14ac:dyDescent="0.3">
      <c r="C43" s="11"/>
      <c r="E43" s="11"/>
      <c r="F43" s="15"/>
      <c r="G43" s="15"/>
      <c r="H43" s="47"/>
      <c r="J43" s="47"/>
      <c r="K43" s="47" t="str">
        <f>_xlfn.LET(
    _xlpm.itemBuscado, B43,
    _xlpm.areaBuscada, C43,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TEXT(COUNTIF($C$2:C43, _xlpm.areaBuscada), "0000"),
    _xlpm.codItem &amp; "-" &amp; _xlpm.codArea &amp; "-" &amp; _xlpm.secuencia
)</f>
        <v>-SinArea-0000</v>
      </c>
      <c r="M43" s="15"/>
      <c r="O43" s="48"/>
      <c r="AB43" s="72" t="s">
        <v>276</v>
      </c>
      <c r="AD43" s="20" t="s">
        <v>277</v>
      </c>
      <c r="AE43" t="s">
        <v>98</v>
      </c>
    </row>
    <row r="44" spans="3:40" x14ac:dyDescent="0.3">
      <c r="C44" s="11"/>
      <c r="E44" s="11"/>
      <c r="F44" s="15"/>
      <c r="G44" s="15"/>
      <c r="H44" s="47"/>
      <c r="J44" s="47"/>
      <c r="K44" s="47" t="str">
        <f>_xlfn.LET(
    _xlpm.itemBuscado, B44,
    _xlpm.areaBuscada, C44,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TEXT(COUNTIF($C$2:C44, _xlpm.areaBuscada), "0000"),
    _xlpm.codItem &amp; "-" &amp; _xlpm.codArea &amp; "-" &amp; _xlpm.secuencia
)</f>
        <v>-SinArea-0000</v>
      </c>
      <c r="M44" s="15"/>
      <c r="O44" s="48"/>
      <c r="AB44" s="73" t="s">
        <v>278</v>
      </c>
      <c r="AD44" s="18" t="s">
        <v>279</v>
      </c>
      <c r="AE44" s="26" t="s">
        <v>280</v>
      </c>
    </row>
    <row r="45" spans="3:40" x14ac:dyDescent="0.3">
      <c r="C45" s="11"/>
      <c r="E45" s="11"/>
      <c r="F45" s="15"/>
      <c r="G45" s="15"/>
      <c r="H45" s="47"/>
      <c r="J45" s="47"/>
      <c r="K45" s="47" t="str">
        <f>_xlfn.LET(
    _xlpm.itemBuscado, B45,
    _xlpm.areaBuscada, C45,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TEXT(COUNTIF($C$2:C45, _xlpm.areaBuscada), "0000"),
    _xlpm.codItem &amp; "-" &amp; _xlpm.codArea &amp; "-" &amp; _xlpm.secuencia
)</f>
        <v>-SinArea-0000</v>
      </c>
      <c r="M45" s="15"/>
      <c r="O45" s="48"/>
      <c r="AB45" t="s">
        <v>42</v>
      </c>
      <c r="AD45" s="26" t="s">
        <v>281</v>
      </c>
    </row>
    <row r="46" spans="3:40" x14ac:dyDescent="0.3">
      <c r="C46" s="11"/>
      <c r="E46" s="11"/>
      <c r="F46" s="15"/>
      <c r="G46" s="15"/>
      <c r="H46" s="47"/>
      <c r="J46" s="47"/>
      <c r="K46" s="47" t="str">
        <f>_xlfn.LET(
    _xlpm.itemBuscado, B46,
    _xlpm.areaBuscada, C46,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TEXT(COUNTIF($C$2:C46, _xlpm.areaBuscada), "0000"),
    _xlpm.codItem &amp; "-" &amp; _xlpm.codArea &amp; "-" &amp; _xlpm.secuencia
)</f>
        <v>-SinArea-0000</v>
      </c>
      <c r="M46" s="15"/>
      <c r="O46" s="48"/>
    </row>
    <row r="47" spans="3:40" x14ac:dyDescent="0.3">
      <c r="C47" s="11"/>
      <c r="E47" s="11"/>
      <c r="F47" s="15"/>
      <c r="G47" s="15"/>
      <c r="H47" s="47"/>
      <c r="J47" s="47"/>
      <c r="K47" s="47" t="str">
        <f>_xlfn.LET(
    _xlpm.itemBuscado, B47,
    _xlpm.areaBuscada, C47,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TEXT(COUNTIF($C$2:C47, _xlpm.areaBuscada), "0000"),
    _xlpm.codItem &amp; "-" &amp; _xlpm.codArea &amp; "-" &amp; _xlpm.secuencia
)</f>
        <v>-SinArea-0000</v>
      </c>
      <c r="M47" s="15"/>
      <c r="O47" s="48"/>
      <c r="AB47" t="s">
        <v>41</v>
      </c>
      <c r="AE47" t="s">
        <v>282</v>
      </c>
    </row>
    <row r="48" spans="3:40" ht="28.8" x14ac:dyDescent="0.3">
      <c r="C48" s="11"/>
      <c r="E48" s="11"/>
      <c r="F48" s="15"/>
      <c r="G48" s="15"/>
      <c r="H48" s="47"/>
      <c r="J48" s="47"/>
      <c r="K48" s="47" t="str">
        <f>_xlfn.LET(
    _xlpm.itemBuscado, B48,
    _xlpm.areaBuscada, C48,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TEXT(COUNTIF($C$2:C48, _xlpm.areaBuscada), "0000"),
    _xlpm.codItem &amp; "-" &amp; _xlpm.codArea &amp; "-" &amp; _xlpm.secuencia
)</f>
        <v>-SinArea-0000</v>
      </c>
      <c r="M48" s="15"/>
      <c r="O48" s="48"/>
      <c r="AB48" t="s">
        <v>41</v>
      </c>
      <c r="AD48" t="s">
        <v>283</v>
      </c>
      <c r="AE48" s="74" t="s">
        <v>284</v>
      </c>
      <c r="AN48" t="s">
        <v>74</v>
      </c>
    </row>
    <row r="49" spans="3:40" x14ac:dyDescent="0.3">
      <c r="C49" s="11"/>
      <c r="E49" s="11"/>
      <c r="F49" s="15"/>
      <c r="G49" s="15"/>
      <c r="H49" s="47"/>
      <c r="J49" s="47"/>
      <c r="K49" s="47" t="str">
        <f>_xlfn.LET(
    _xlpm.itemBuscado, B49,
    _xlpm.areaBuscada, C49,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TEXT(COUNTIF($C$2:C49, _xlpm.areaBuscada), "0000"),
    _xlpm.codItem &amp; "-" &amp; _xlpm.codArea &amp; "-" &amp; _xlpm.secuencia
)</f>
        <v>-SinArea-0000</v>
      </c>
      <c r="M49" s="15"/>
      <c r="O49" s="48"/>
      <c r="AB49" t="s">
        <v>285</v>
      </c>
      <c r="AD49" t="s">
        <v>286</v>
      </c>
      <c r="AN49" s="22" t="s">
        <v>74</v>
      </c>
    </row>
    <row r="50" spans="3:40" x14ac:dyDescent="0.3">
      <c r="C50" s="11"/>
      <c r="E50" s="11"/>
      <c r="F50" s="15"/>
      <c r="G50" s="15"/>
      <c r="H50" s="47"/>
      <c r="J50" s="47"/>
      <c r="K50" s="47" t="str">
        <f>_xlfn.LET(
    _xlpm.itemBuscado, B50,
    _xlpm.areaBuscada, C50,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TEXT(COUNTIF($C$2:C50, _xlpm.areaBuscada), "0000"),
    _xlpm.codItem &amp; "-" &amp; _xlpm.codArea &amp; "-" &amp; _xlpm.secuencia
)</f>
        <v>-SinArea-0000</v>
      </c>
      <c r="M50" s="15"/>
      <c r="O50" s="48"/>
      <c r="AB50" t="s">
        <v>287</v>
      </c>
      <c r="AD50" t="s">
        <v>288</v>
      </c>
      <c r="AE50" t="s">
        <v>289</v>
      </c>
      <c r="AN50" s="18" t="s">
        <v>290</v>
      </c>
    </row>
    <row r="51" spans="3:40" x14ac:dyDescent="0.3">
      <c r="C51" s="11"/>
      <c r="E51" s="11"/>
      <c r="F51" s="15"/>
      <c r="G51" s="15"/>
      <c r="H51" s="47"/>
      <c r="J51" s="47"/>
      <c r="K51" s="47" t="str">
        <f>_xlfn.LET(
    _xlpm.itemBuscado, B51,
    _xlpm.areaBuscada, C51,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TEXT(COUNTIF($C$2:C51, _xlpm.areaBuscada), "0000"),
    _xlpm.codItem &amp; "-" &amp; _xlpm.codArea &amp; "-" &amp; _xlpm.secuencia
)</f>
        <v>-SinArea-0000</v>
      </c>
      <c r="M51" s="15"/>
      <c r="O51" s="48"/>
      <c r="AE51" s="22" t="s">
        <v>291</v>
      </c>
    </row>
    <row r="52" spans="3:40" x14ac:dyDescent="0.3">
      <c r="C52" s="11"/>
      <c r="E52" s="11"/>
      <c r="F52" s="15"/>
      <c r="G52" s="15"/>
      <c r="H52" s="47"/>
      <c r="J52" s="47"/>
      <c r="K52" s="47" t="str">
        <f>_xlfn.LET(
    _xlpm.itemBuscado, B52,
    _xlpm.areaBuscada, C52,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TEXT(COUNTIF($C$2:C52, _xlpm.areaBuscada), "0000"),
    _xlpm.codItem &amp; "-" &amp; _xlpm.codArea &amp; "-" &amp; _xlpm.secuencia
)</f>
        <v>-SinArea-0000</v>
      </c>
      <c r="M52" s="15"/>
      <c r="O52" s="48"/>
      <c r="AB52" t="s">
        <v>60</v>
      </c>
      <c r="AE52" s="67" t="s">
        <v>292</v>
      </c>
    </row>
    <row r="53" spans="3:40" x14ac:dyDescent="0.3">
      <c r="C53" s="11"/>
      <c r="E53" s="11"/>
      <c r="F53" s="15"/>
      <c r="G53" s="15"/>
      <c r="H53" s="47"/>
      <c r="J53" s="47"/>
      <c r="K53" s="47" t="str">
        <f>_xlfn.LET(
    _xlpm.itemBuscado, B53,
    _xlpm.areaBuscada, C53,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TEXT(COUNTIF($C$2:C53, _xlpm.areaBuscada), "0000"),
    _xlpm.codItem &amp; "-" &amp; _xlpm.codArea &amp; "-" &amp; _xlpm.secuencia
)</f>
        <v>-SinArea-0000</v>
      </c>
      <c r="M53" s="15"/>
      <c r="O53" s="48"/>
      <c r="AB53" s="70" t="s">
        <v>293</v>
      </c>
      <c r="AE53" s="22" t="s">
        <v>294</v>
      </c>
    </row>
    <row r="54" spans="3:40" x14ac:dyDescent="0.3">
      <c r="C54" s="11"/>
      <c r="E54" s="11"/>
      <c r="F54" s="15"/>
      <c r="G54" s="15"/>
      <c r="H54" s="47"/>
      <c r="J54" s="47"/>
      <c r="K54" s="47" t="str">
        <f>_xlfn.LET(
    _xlpm.itemBuscado, B54,
    _xlpm.areaBuscada, C54,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TEXT(COUNTIF($C$2:C54, _xlpm.areaBuscada), "0000"),
    _xlpm.codItem &amp; "-" &amp; _xlpm.codArea &amp; "-" &amp; _xlpm.secuencia
)</f>
        <v>-SinArea-0000</v>
      </c>
      <c r="M54" s="15"/>
      <c r="O54" s="48"/>
      <c r="AE54" s="22" t="s">
        <v>295</v>
      </c>
    </row>
    <row r="55" spans="3:40" x14ac:dyDescent="0.3">
      <c r="C55" s="11"/>
      <c r="E55" s="11"/>
      <c r="F55" s="15"/>
      <c r="G55" s="15"/>
      <c r="H55" s="47"/>
      <c r="J55" s="47"/>
      <c r="K55" s="47" t="str">
        <f>_xlfn.LET(
    _xlpm.itemBuscado, B55,
    _xlpm.areaBuscada, C55,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TEXT(COUNTIF($C$2:C55, _xlpm.areaBuscada), "0000"),
    _xlpm.codItem &amp; "-" &amp; _xlpm.codArea &amp; "-" &amp; _xlpm.secuencia
)</f>
        <v>-SinArea-0000</v>
      </c>
      <c r="M55" s="15"/>
      <c r="O55" s="48"/>
      <c r="AE55" s="22" t="s">
        <v>296</v>
      </c>
    </row>
    <row r="56" spans="3:40" x14ac:dyDescent="0.3">
      <c r="C56" s="11"/>
      <c r="E56" s="11"/>
      <c r="F56" s="15"/>
      <c r="G56" s="15"/>
      <c r="H56" s="47"/>
      <c r="J56" s="47"/>
      <c r="K56" s="47" t="str">
        <f>_xlfn.LET(
    _xlpm.itemBuscado, B56,
    _xlpm.areaBuscada, C56,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TEXT(COUNTIF($C$2:C56, _xlpm.areaBuscada), "0000"),
    _xlpm.codItem &amp; "-" &amp; _xlpm.codArea &amp; "-" &amp; _xlpm.secuencia
)</f>
        <v>-SinArea-0000</v>
      </c>
      <c r="M56" s="15"/>
      <c r="O56" s="48"/>
      <c r="AD56" t="s">
        <v>297</v>
      </c>
      <c r="AE56" s="18" t="s">
        <v>298</v>
      </c>
    </row>
    <row r="57" spans="3:40" x14ac:dyDescent="0.3">
      <c r="C57" s="11"/>
      <c r="E57" s="11"/>
      <c r="F57" s="15"/>
      <c r="G57" s="15"/>
      <c r="H57" s="47"/>
      <c r="J57" s="47"/>
      <c r="K57" s="47" t="str">
        <f>_xlfn.LET(
    _xlpm.itemBuscado, B57,
    _xlpm.areaBuscada, C57,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TEXT(COUNTIF($C$2:C57, _xlpm.areaBuscada), "0000"),
    _xlpm.codItem &amp; "-" &amp; _xlpm.codArea &amp; "-" &amp; _xlpm.secuencia
)</f>
        <v>-SinArea-0000</v>
      </c>
      <c r="M57" s="15"/>
      <c r="O57" s="48"/>
      <c r="AD57" t="s">
        <v>299</v>
      </c>
      <c r="AE57" s="22" t="s">
        <v>300</v>
      </c>
    </row>
    <row r="58" spans="3:40" x14ac:dyDescent="0.3">
      <c r="C58" s="11"/>
      <c r="E58" s="11"/>
      <c r="F58" s="15"/>
      <c r="G58" s="15"/>
      <c r="H58" s="47"/>
      <c r="J58" s="47"/>
      <c r="K58" s="47" t="str">
        <f>_xlfn.LET(
    _xlpm.itemBuscado, B58,
    _xlpm.areaBuscada, C58,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TEXT(COUNTIF($C$2:C58, _xlpm.areaBuscada), "0000"),
    _xlpm.codItem &amp; "-" &amp; _xlpm.codArea &amp; "-" &amp; _xlpm.secuencia
)</f>
        <v>-SinArea-0000</v>
      </c>
      <c r="M58" s="15"/>
      <c r="O58" s="48"/>
      <c r="AB58" t="s">
        <v>23</v>
      </c>
      <c r="AE58" s="18" t="s">
        <v>301</v>
      </c>
    </row>
    <row r="59" spans="3:40" x14ac:dyDescent="0.3">
      <c r="C59" s="11"/>
      <c r="E59" s="11"/>
      <c r="F59" s="15"/>
      <c r="G59" s="15"/>
      <c r="H59" s="47"/>
      <c r="J59" s="47"/>
      <c r="K59" s="47" t="str">
        <f>_xlfn.LET(
    _xlpm.itemBuscado, B59,
    _xlpm.areaBuscada, C59,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TEXT(COUNTIF($C$2:C59, _xlpm.areaBuscada), "0000"),
    _xlpm.codItem &amp; "-" &amp; _xlpm.codArea &amp; "-" &amp; _xlpm.secuencia
)</f>
        <v>-SinArea-0000</v>
      </c>
      <c r="M59" s="15"/>
      <c r="O59" s="48"/>
      <c r="AB59" t="s">
        <v>302</v>
      </c>
      <c r="AE59" s="70" t="s">
        <v>303</v>
      </c>
    </row>
    <row r="60" spans="3:40" x14ac:dyDescent="0.3">
      <c r="C60" s="11"/>
      <c r="E60" s="11"/>
      <c r="F60" s="15"/>
      <c r="G60" s="15"/>
      <c r="H60" s="47"/>
      <c r="J60" s="47"/>
      <c r="K60" s="47" t="str">
        <f>_xlfn.LET(
    _xlpm.itemBuscado, B60,
    _xlpm.areaBuscada, C60,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TEXT(COUNTIF($C$2:C60, _xlpm.areaBuscada), "0000"),
    _xlpm.codItem &amp; "-" &amp; _xlpm.codArea &amp; "-" &amp; _xlpm.secuencia
)</f>
        <v>-SinArea-0000</v>
      </c>
      <c r="M60" s="15"/>
      <c r="O60" s="48"/>
      <c r="AD60" t="s">
        <v>62</v>
      </c>
    </row>
    <row r="61" spans="3:40" x14ac:dyDescent="0.3">
      <c r="C61" s="11"/>
      <c r="E61" s="11"/>
      <c r="F61" s="15"/>
      <c r="G61" s="15"/>
      <c r="H61" s="47"/>
      <c r="J61" s="47"/>
      <c r="K61" s="47" t="str">
        <f>_xlfn.LET(
    _xlpm.itemBuscado, B61,
    _xlpm.areaBuscada, C61,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TEXT(COUNTIF($C$2:C61, _xlpm.areaBuscada), "0000"),
    _xlpm.codItem &amp; "-" &amp; _xlpm.codArea &amp; "-" &amp; _xlpm.secuencia
)</f>
        <v>-SinArea-0000</v>
      </c>
      <c r="M61" s="15"/>
      <c r="O61" s="48"/>
      <c r="AD61" s="70" t="s">
        <v>304</v>
      </c>
      <c r="AE61" t="s">
        <v>305</v>
      </c>
    </row>
    <row r="62" spans="3:40" x14ac:dyDescent="0.3">
      <c r="C62" s="11"/>
      <c r="E62" s="11"/>
      <c r="F62" s="15"/>
      <c r="G62" s="15"/>
      <c r="H62" s="47"/>
      <c r="J62" s="47"/>
      <c r="K62" s="47" t="str">
        <f>_xlfn.LET(
    _xlpm.itemBuscado, B62,
    _xlpm.areaBuscada, C62,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TEXT(COUNTIF($C$2:C62, _xlpm.areaBuscada), "0000"),
    _xlpm.codItem &amp; "-" &amp; _xlpm.codArea &amp; "-" &amp; _xlpm.secuencia
)</f>
        <v>-SinArea-0000</v>
      </c>
      <c r="M62" s="15"/>
      <c r="O62" s="48"/>
      <c r="AB62" t="s">
        <v>64</v>
      </c>
      <c r="AE62" t="s">
        <v>306</v>
      </c>
    </row>
    <row r="63" spans="3:40" x14ac:dyDescent="0.3">
      <c r="C63" s="11"/>
      <c r="E63" s="11"/>
      <c r="F63" s="15"/>
      <c r="G63" s="15"/>
      <c r="H63" s="47"/>
      <c r="J63" s="47"/>
      <c r="K63" s="47" t="str">
        <f>_xlfn.LET(
    _xlpm.itemBuscado, B63,
    _xlpm.areaBuscada, C63,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TEXT(COUNTIF($C$2:C63, _xlpm.areaBuscada), "0000"),
    _xlpm.codItem &amp; "-" &amp; _xlpm.codArea &amp; "-" &amp; _xlpm.secuencia
)</f>
        <v>-SinArea-0000</v>
      </c>
      <c r="M63" s="15"/>
      <c r="O63" s="48"/>
      <c r="AB63" s="75" t="s">
        <v>307</v>
      </c>
      <c r="AD63" t="s">
        <v>89</v>
      </c>
    </row>
    <row r="64" spans="3:40" ht="28.8" x14ac:dyDescent="0.3">
      <c r="C64" s="11"/>
      <c r="E64" s="11"/>
      <c r="F64" s="15"/>
      <c r="G64" s="15"/>
      <c r="H64" s="47"/>
      <c r="J64" s="47"/>
      <c r="K64" s="47" t="str">
        <f>_xlfn.LET(
    _xlpm.itemBuscado, B64,
    _xlpm.areaBuscada, C64,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TEXT(COUNTIF($C$2:C64, _xlpm.areaBuscada), "0000"),
    _xlpm.codItem &amp; "-" &amp; _xlpm.codArea &amp; "-" &amp; _xlpm.secuencia
)</f>
        <v>-SinArea-0000</v>
      </c>
      <c r="M64" s="15"/>
      <c r="O64" s="48"/>
      <c r="AB64" s="70" t="s">
        <v>308</v>
      </c>
      <c r="AD64" s="12" t="s">
        <v>309</v>
      </c>
      <c r="AE64" t="s">
        <v>102</v>
      </c>
    </row>
    <row r="65" spans="3:31" x14ac:dyDescent="0.3">
      <c r="C65" s="11"/>
      <c r="E65" s="11"/>
      <c r="F65" s="15"/>
      <c r="G65" s="15"/>
      <c r="H65" s="47"/>
      <c r="J65" s="47"/>
      <c r="K65" s="47" t="str">
        <f>_xlfn.LET(
    _xlpm.itemBuscado, B65,
    _xlpm.areaBuscada, C65,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TEXT(COUNTIF($C$2:C65, _xlpm.areaBuscada), "0000"),
    _xlpm.codItem &amp; "-" &amp; _xlpm.codArea &amp; "-" &amp; _xlpm.secuencia
)</f>
        <v>-SinArea-0000</v>
      </c>
      <c r="M65" s="15"/>
      <c r="O65" s="48"/>
      <c r="AE65" t="s">
        <v>310</v>
      </c>
    </row>
    <row r="66" spans="3:31" x14ac:dyDescent="0.3">
      <c r="C66" s="11"/>
      <c r="E66" s="11"/>
      <c r="F66" s="15"/>
      <c r="G66" s="15"/>
      <c r="H66" s="47"/>
      <c r="J66" s="47"/>
      <c r="K66" s="47" t="str">
        <f>_xlfn.LET(
    _xlpm.itemBuscado, B66,
    _xlpm.areaBuscada, C66,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TEXT(COUNTIF($C$2:C66, _xlpm.areaBuscada), "0000"),
    _xlpm.codItem &amp; "-" &amp; _xlpm.codArea &amp; "-" &amp; _xlpm.secuencia
)</f>
        <v>-SinArea-0000</v>
      </c>
      <c r="M66" s="15"/>
      <c r="O66" s="48"/>
      <c r="AB66" t="s">
        <v>101</v>
      </c>
      <c r="AD66" s="34" t="s">
        <v>73</v>
      </c>
    </row>
    <row r="67" spans="3:31" x14ac:dyDescent="0.3">
      <c r="C67" s="11"/>
      <c r="E67" s="11"/>
      <c r="F67" s="15"/>
      <c r="G67" s="15"/>
      <c r="H67" s="47"/>
      <c r="J67" s="47"/>
      <c r="K67" s="47" t="str">
        <f>_xlfn.LET(
    _xlpm.itemBuscado, B67,
    _xlpm.areaBuscada, C67,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TEXT(COUNTIF($C$2:C67, _xlpm.areaBuscada), "0000"),
    _xlpm.codItem &amp; "-" &amp; _xlpm.codArea &amp; "-" &amp; _xlpm.secuencia
)</f>
        <v>-SinArea-0000</v>
      </c>
      <c r="M67" s="15"/>
      <c r="O67" s="48"/>
      <c r="AB67" t="s">
        <v>311</v>
      </c>
      <c r="AD67" s="22" t="s">
        <v>312</v>
      </c>
      <c r="AE67" t="s">
        <v>313</v>
      </c>
    </row>
    <row r="68" spans="3:31" x14ac:dyDescent="0.3">
      <c r="C68" s="11"/>
      <c r="E68" s="11"/>
      <c r="F68" s="15"/>
      <c r="G68" s="15"/>
      <c r="H68" s="47"/>
      <c r="J68" s="47"/>
      <c r="K68" s="47" t="str">
        <f>_xlfn.LET(
    _xlpm.itemBuscado, B68,
    _xlpm.areaBuscada, C68,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TEXT(COUNTIF($C$2:C68, _xlpm.areaBuscada), "0000"),
    _xlpm.codItem &amp; "-" &amp; _xlpm.codArea &amp; "-" &amp; _xlpm.secuencia
)</f>
        <v>-SinArea-0000</v>
      </c>
      <c r="M68" s="15"/>
      <c r="O68" s="48"/>
      <c r="AE68" s="21" t="s">
        <v>314</v>
      </c>
    </row>
    <row r="69" spans="3:31" x14ac:dyDescent="0.3">
      <c r="C69" s="11"/>
      <c r="E69" s="11"/>
      <c r="F69" s="15"/>
      <c r="G69" s="15"/>
      <c r="H69" s="47"/>
      <c r="J69" s="47"/>
      <c r="K69" s="47" t="str">
        <f>_xlfn.LET(
    _xlpm.itemBuscado, B69,
    _xlpm.areaBuscada, C69,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TEXT(COUNTIF($C$2:C69, _xlpm.areaBuscada), "0000"),
    _xlpm.codItem &amp; "-" &amp; _xlpm.codArea &amp; "-" &amp; _xlpm.secuencia
)</f>
        <v>-SinArea-0000</v>
      </c>
      <c r="M69" s="15"/>
      <c r="O69" s="48"/>
      <c r="AE69" s="70" t="s">
        <v>315</v>
      </c>
    </row>
    <row r="70" spans="3:31" x14ac:dyDescent="0.3">
      <c r="C70" s="11"/>
      <c r="E70" s="11"/>
      <c r="F70" s="15"/>
      <c r="G70" s="15"/>
      <c r="H70" s="47"/>
      <c r="J70" s="47"/>
      <c r="K70" s="47" t="str">
        <f>_xlfn.LET(
    _xlpm.itemBuscado, B70,
    _xlpm.areaBuscada, C70,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TEXT(COUNTIF($C$2:C70, _xlpm.areaBuscada), "0000"),
    _xlpm.codItem &amp; "-" &amp; _xlpm.codArea &amp; "-" &amp; _xlpm.secuencia
)</f>
        <v>-SinArea-0000</v>
      </c>
      <c r="M70" s="15"/>
      <c r="O70" s="48"/>
    </row>
    <row r="71" spans="3:31" x14ac:dyDescent="0.3">
      <c r="C71" s="11"/>
      <c r="E71" s="11"/>
      <c r="F71" s="15"/>
      <c r="G71" s="15"/>
      <c r="H71" s="47"/>
      <c r="J71" s="47"/>
      <c r="K71" s="47" t="str">
        <f>_xlfn.LET(
    _xlpm.itemBuscado, B71,
    _xlpm.areaBuscada, C71,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TEXT(COUNTIF($C$2:C71, _xlpm.areaBuscada), "0000"),
    _xlpm.codItem &amp; "-" &amp; _xlpm.codArea &amp; "-" &amp; _xlpm.secuencia
)</f>
        <v>-SinArea-0000</v>
      </c>
      <c r="M71" s="15"/>
      <c r="O71" s="48"/>
    </row>
    <row r="72" spans="3:31" x14ac:dyDescent="0.3">
      <c r="C72" s="11"/>
      <c r="E72" s="11"/>
      <c r="F72" s="15"/>
      <c r="G72" s="15"/>
      <c r="H72" s="47"/>
      <c r="J72" s="47"/>
      <c r="K72" s="47" t="str">
        <f>_xlfn.LET(
    _xlpm.itemBuscado, B72,
    _xlpm.areaBuscada, C72,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TEXT(COUNTIF($C$2:C72, _xlpm.areaBuscada), "0000"),
    _xlpm.codItem &amp; "-" &amp; _xlpm.codArea &amp; "-" &amp; _xlpm.secuencia
)</f>
        <v>-SinArea-0000</v>
      </c>
      <c r="M72" s="15"/>
      <c r="O72" s="48"/>
    </row>
    <row r="73" spans="3:31" x14ac:dyDescent="0.3">
      <c r="C73" s="11"/>
      <c r="E73" s="11"/>
      <c r="F73" s="15"/>
      <c r="G73" s="15"/>
      <c r="H73" s="47"/>
      <c r="J73" s="47"/>
      <c r="K73" s="47" t="str">
        <f>_xlfn.LET(
    _xlpm.itemBuscado, B73,
    _xlpm.areaBuscada, C73,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TEXT(COUNTIF($C$2:C73, _xlpm.areaBuscada), "0000"),
    _xlpm.codItem &amp; "-" &amp; _xlpm.codArea &amp; "-" &amp; _xlpm.secuencia
)</f>
        <v>-SinArea-0000</v>
      </c>
      <c r="M73" s="15"/>
      <c r="O73" s="48"/>
    </row>
    <row r="74" spans="3:31" x14ac:dyDescent="0.3">
      <c r="C74" s="11"/>
      <c r="E74" s="11"/>
      <c r="F74" s="15"/>
      <c r="G74" s="15"/>
      <c r="H74" s="47"/>
      <c r="J74" s="47"/>
      <c r="K74" s="47" t="str">
        <f>_xlfn.LET(
    _xlpm.itemBuscado, B74,
    _xlpm.areaBuscada, C74,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TEXT(COUNTIF($C$2:C74, _xlpm.areaBuscada), "0000"),
    _xlpm.codItem &amp; "-" &amp; _xlpm.codArea &amp; "-" &amp; _xlpm.secuencia
)</f>
        <v>-SinArea-0000</v>
      </c>
      <c r="M74" s="15"/>
      <c r="O74" s="48"/>
    </row>
    <row r="75" spans="3:31" ht="57.6" x14ac:dyDescent="0.3">
      <c r="C75" s="11"/>
      <c r="E75" s="11"/>
      <c r="F75" s="15"/>
      <c r="G75" s="15"/>
      <c r="H75" s="47"/>
      <c r="J75" s="47"/>
      <c r="K75" s="47" t="str">
        <f>_xlfn.LET(
    _xlpm.itemBuscado, B75,
    _xlpm.areaBuscada, C75,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TEXT(COUNTIF($C$2:C75, _xlpm.areaBuscada), "0000"),
    _xlpm.codItem &amp; "-" &amp; _xlpm.codArea &amp; "-" &amp; _xlpm.secuencia
)</f>
        <v>-SinArea-0000</v>
      </c>
      <c r="M75" s="15"/>
      <c r="O75" s="48"/>
      <c r="AB75" s="11" t="s">
        <v>316</v>
      </c>
    </row>
    <row r="76" spans="3:31" x14ac:dyDescent="0.3">
      <c r="C76" s="11"/>
      <c r="E76" s="11"/>
      <c r="F76" s="15"/>
      <c r="G76" s="15"/>
      <c r="H76" s="47"/>
      <c r="J76" s="47"/>
      <c r="K76" s="47" t="str">
        <f>_xlfn.LET(
    _xlpm.itemBuscado, B76,
    _xlpm.areaBuscada, C76,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TEXT(COUNTIF($C$2:C76, _xlpm.areaBuscada), "0000"),
    _xlpm.codItem &amp; "-" &amp; _xlpm.codArea &amp; "-" &amp; _xlpm.secuencia
)</f>
        <v>-SinArea-0000</v>
      </c>
      <c r="M76" s="15"/>
      <c r="O76" s="48"/>
    </row>
    <row r="77" spans="3:31" x14ac:dyDescent="0.3">
      <c r="C77" s="11"/>
      <c r="E77" s="11"/>
      <c r="F77" s="15"/>
      <c r="G77" s="15"/>
      <c r="H77" s="47"/>
      <c r="J77" s="47"/>
      <c r="K77" s="47" t="str">
        <f>_xlfn.LET(
    _xlpm.itemBuscado, B77,
    _xlpm.areaBuscada, C77,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TEXT(COUNTIF($C$2:C77, _xlpm.areaBuscada), "0000"),
    _xlpm.codItem &amp; "-" &amp; _xlpm.codArea &amp; "-" &amp; _xlpm.secuencia
)</f>
        <v>-SinArea-0000</v>
      </c>
      <c r="M77" s="15"/>
      <c r="O77" s="48"/>
    </row>
    <row r="78" spans="3:31" x14ac:dyDescent="0.3">
      <c r="C78" s="11"/>
      <c r="E78" s="11"/>
      <c r="F78" s="15"/>
      <c r="G78" s="15"/>
      <c r="H78" s="47"/>
      <c r="J78" s="47"/>
      <c r="K78" s="47" t="str">
        <f>_xlfn.LET(
    _xlpm.itemBuscado, B78,
    _xlpm.areaBuscada, C78,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TEXT(COUNTIF($C$2:C78, _xlpm.areaBuscada), "0000"),
    _xlpm.codItem &amp; "-" &amp; _xlpm.codArea &amp; "-" &amp; _xlpm.secuencia
)</f>
        <v>-SinArea-0000</v>
      </c>
      <c r="M78" s="15"/>
      <c r="O78" s="48"/>
    </row>
    <row r="79" spans="3:31" x14ac:dyDescent="0.3">
      <c r="C79" s="11"/>
      <c r="E79" s="11"/>
      <c r="F79" s="15"/>
      <c r="G79" s="15"/>
      <c r="H79" s="47"/>
      <c r="J79" s="47"/>
      <c r="K79" s="47" t="str">
        <f>_xlfn.LET(
    _xlpm.itemBuscado, B79,
    _xlpm.areaBuscada, C79,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TEXT(COUNTIF($C$2:C79, _xlpm.areaBuscada), "0000"),
    _xlpm.codItem &amp; "-" &amp; _xlpm.codArea &amp; "-" &amp; _xlpm.secuencia
)</f>
        <v>-SinArea-0000</v>
      </c>
      <c r="M79" s="15"/>
      <c r="O79" s="48"/>
    </row>
    <row r="80" spans="3:31" x14ac:dyDescent="0.3">
      <c r="C80" s="11"/>
      <c r="E80" s="11"/>
      <c r="F80" s="15"/>
      <c r="G80" s="15"/>
      <c r="H80" s="47"/>
      <c r="J80" s="47"/>
      <c r="K80" s="47" t="str">
        <f>_xlfn.LET(
    _xlpm.itemBuscado, B80,
    _xlpm.areaBuscada, C80,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TEXT(COUNTIF($C$2:C80, _xlpm.areaBuscada), "0000"),
    _xlpm.codItem &amp; "-" &amp; _xlpm.codArea &amp; "-" &amp; _xlpm.secuencia
)</f>
        <v>-SinArea-0000</v>
      </c>
      <c r="M80" s="15"/>
      <c r="O80" s="48"/>
    </row>
    <row r="81" spans="3:15" x14ac:dyDescent="0.3">
      <c r="C81" s="11"/>
      <c r="E81" s="11"/>
      <c r="F81" s="15"/>
      <c r="G81" s="15"/>
      <c r="H81" s="47"/>
      <c r="J81" s="47"/>
      <c r="K81" s="47" t="str">
        <f>_xlfn.LET(
    _xlpm.itemBuscado, B81,
    _xlpm.areaBuscada, C81,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TEXT(COUNTIF($C$2:C81, _xlpm.areaBuscada), "0000"),
    _xlpm.codItem &amp; "-" &amp; _xlpm.codArea &amp; "-" &amp; _xlpm.secuencia
)</f>
        <v>-SinArea-0000</v>
      </c>
      <c r="M81" s="15"/>
      <c r="O81" s="48"/>
    </row>
    <row r="82" spans="3:15" x14ac:dyDescent="0.3">
      <c r="C82" s="11"/>
      <c r="E82" s="11"/>
      <c r="F82" s="15"/>
      <c r="G82" s="15"/>
      <c r="H82" s="47"/>
      <c r="J82" s="47"/>
      <c r="K82" s="47" t="str">
        <f>_xlfn.LET(
    _xlpm.itemBuscado, B82,
    _xlpm.areaBuscada, C82,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TEXT(COUNTIF($C$2:C82, _xlpm.areaBuscada), "0000"),
    _xlpm.codItem &amp; "-" &amp; _xlpm.codArea &amp; "-" &amp; _xlpm.secuencia
)</f>
        <v>-SinArea-0000</v>
      </c>
      <c r="M82" s="15"/>
      <c r="O82" s="48"/>
    </row>
    <row r="83" spans="3:15" x14ac:dyDescent="0.3">
      <c r="C83" s="11"/>
      <c r="E83" s="11"/>
      <c r="F83" s="15"/>
      <c r="G83" s="15"/>
      <c r="H83" s="47"/>
      <c r="J83" s="47"/>
      <c r="K83" s="47" t="str">
        <f>_xlfn.LET(
    _xlpm.itemBuscado, B83,
    _xlpm.areaBuscada, C83,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TEXT(COUNTIF($C$2:C83, _xlpm.areaBuscada), "0000"),
    _xlpm.codItem &amp; "-" &amp; _xlpm.codArea &amp; "-" &amp; _xlpm.secuencia
)</f>
        <v>-SinArea-0000</v>
      </c>
      <c r="M83" s="15"/>
      <c r="O83" s="48"/>
    </row>
    <row r="84" spans="3:15" x14ac:dyDescent="0.3">
      <c r="C84" s="11"/>
      <c r="E84" s="11"/>
      <c r="F84" s="15"/>
      <c r="G84" s="15"/>
      <c r="H84" s="47"/>
      <c r="J84" s="47"/>
      <c r="K84" s="47" t="str">
        <f>_xlfn.LET(
    _xlpm.itemBuscado, B84,
    _xlpm.areaBuscada, C84,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TEXT(COUNTIF($C$2:C84, _xlpm.areaBuscada), "0000"),
    _xlpm.codItem &amp; "-" &amp; _xlpm.codArea &amp; "-" &amp; _xlpm.secuencia
)</f>
        <v>-SinArea-0000</v>
      </c>
      <c r="M84" s="15"/>
      <c r="O84" s="48"/>
    </row>
    <row r="85" spans="3:15" x14ac:dyDescent="0.3">
      <c r="C85" s="11"/>
      <c r="E85" s="11"/>
      <c r="F85" s="15"/>
      <c r="G85" s="15"/>
      <c r="H85" s="47"/>
      <c r="J85" s="47"/>
      <c r="K85" s="47" t="str">
        <f>_xlfn.LET(
    _xlpm.itemBuscado, B85,
    _xlpm.areaBuscada, C85,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TEXT(COUNTIF($C$2:C85, _xlpm.areaBuscada), "0000"),
    _xlpm.codItem &amp; "-" &amp; _xlpm.codArea &amp; "-" &amp; _xlpm.secuencia
)</f>
        <v>-SinArea-0000</v>
      </c>
      <c r="M85" s="15"/>
      <c r="O85" s="48"/>
    </row>
    <row r="86" spans="3:15" x14ac:dyDescent="0.3">
      <c r="C86" s="11"/>
      <c r="E86" s="11"/>
      <c r="F86" s="15"/>
      <c r="G86" s="15"/>
      <c r="H86" s="47"/>
      <c r="J86" s="47"/>
      <c r="K86" s="47" t="str">
        <f>_xlfn.LET(
    _xlpm.itemBuscado, B86,
    _xlpm.areaBuscada, C86,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TEXT(COUNTIF($C$2:C86, _xlpm.areaBuscada), "0000"),
    _xlpm.codItem &amp; "-" &amp; _xlpm.codArea &amp; "-" &amp; _xlpm.secuencia
)</f>
        <v>-SinArea-0000</v>
      </c>
      <c r="M86" s="15"/>
      <c r="O86" s="48"/>
    </row>
    <row r="87" spans="3:15" x14ac:dyDescent="0.3">
      <c r="C87" s="11"/>
      <c r="E87" s="11"/>
      <c r="F87" s="15"/>
      <c r="G87" s="15"/>
      <c r="H87" s="47"/>
      <c r="J87" s="47"/>
      <c r="K87" s="47" t="str">
        <f>_xlfn.LET(
    _xlpm.itemBuscado, B87,
    _xlpm.areaBuscada, C87,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TEXT(COUNTIF($C$2:C87, _xlpm.areaBuscada), "0000"),
    _xlpm.codItem &amp; "-" &amp; _xlpm.codArea &amp; "-" &amp; _xlpm.secuencia
)</f>
        <v>-SinArea-0000</v>
      </c>
      <c r="M87" s="15"/>
      <c r="O87" s="48"/>
    </row>
    <row r="88" spans="3:15" x14ac:dyDescent="0.3">
      <c r="C88" s="11"/>
      <c r="E88" s="11"/>
      <c r="F88" s="15"/>
      <c r="G88" s="15"/>
      <c r="H88" s="47"/>
      <c r="J88" s="47"/>
      <c r="K88" s="47" t="str">
        <f>_xlfn.LET(
    _xlpm.itemBuscado, B88,
    _xlpm.areaBuscada, C88,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TEXT(COUNTIF($C$2:C88, _xlpm.areaBuscada), "0000"),
    _xlpm.codItem &amp; "-" &amp; _xlpm.codArea &amp; "-" &amp; _xlpm.secuencia
)</f>
        <v>-SinArea-0000</v>
      </c>
      <c r="M88" s="15"/>
      <c r="O88" s="48"/>
    </row>
    <row r="89" spans="3:15" x14ac:dyDescent="0.3">
      <c r="C89" s="11"/>
      <c r="E89" s="11"/>
      <c r="F89" s="15"/>
      <c r="G89" s="15"/>
      <c r="H89" s="47"/>
      <c r="J89" s="47"/>
      <c r="K89" s="47" t="str">
        <f>_xlfn.LET(
    _xlpm.itemBuscado, B89,
    _xlpm.areaBuscada, C89,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TEXT(COUNTIF($C$2:C89, _xlpm.areaBuscada), "0000"),
    _xlpm.codItem &amp; "-" &amp; _xlpm.codArea &amp; "-" &amp; _xlpm.secuencia
)</f>
        <v>-SinArea-0000</v>
      </c>
      <c r="M89" s="15"/>
      <c r="O89" s="48"/>
    </row>
    <row r="90" spans="3:15" x14ac:dyDescent="0.3">
      <c r="C90" s="11"/>
      <c r="E90" s="11"/>
      <c r="F90" s="15"/>
      <c r="G90" s="15"/>
      <c r="H90" s="47"/>
      <c r="J90" s="47"/>
      <c r="K90" s="47" t="str">
        <f>_xlfn.LET(
    _xlpm.itemBuscado, B90,
    _xlpm.areaBuscada, C90,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TEXT(COUNTIF($C$2:C90, _xlpm.areaBuscada), "0000"),
    _xlpm.codItem &amp; "-" &amp; _xlpm.codArea &amp; "-" &amp; _xlpm.secuencia
)</f>
        <v>-SinArea-0000</v>
      </c>
      <c r="M90" s="15"/>
      <c r="O90" s="48"/>
    </row>
    <row r="91" spans="3:15" x14ac:dyDescent="0.3">
      <c r="C91" s="11"/>
      <c r="E91" s="11"/>
      <c r="F91" s="15"/>
      <c r="G91" s="15"/>
      <c r="H91" s="47"/>
      <c r="J91" s="47"/>
      <c r="K91" s="47" t="str">
        <f>_xlfn.LET(
    _xlpm.itemBuscado, B91,
    _xlpm.areaBuscada, C91,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TEXT(COUNTIF($C$2:C91, _xlpm.areaBuscada), "0000"),
    _xlpm.codItem &amp; "-" &amp; _xlpm.codArea &amp; "-" &amp; _xlpm.secuencia
)</f>
        <v>-SinArea-0000</v>
      </c>
      <c r="M91" s="15"/>
      <c r="O91" s="48"/>
    </row>
    <row r="92" spans="3:15" x14ac:dyDescent="0.3">
      <c r="C92" s="11"/>
      <c r="E92" s="11"/>
      <c r="F92" s="15"/>
      <c r="G92" s="15"/>
      <c r="H92" s="47"/>
      <c r="J92" s="47"/>
      <c r="K92" s="47" t="str">
        <f>_xlfn.LET(
    _xlpm.itemBuscado, B92,
    _xlpm.areaBuscada, C92,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TEXT(COUNTIF($C$2:C92, _xlpm.areaBuscada), "0000"),
    _xlpm.codItem &amp; "-" &amp; _xlpm.codArea &amp; "-" &amp; _xlpm.secuencia
)</f>
        <v>-SinArea-0000</v>
      </c>
      <c r="M92" s="15"/>
      <c r="O92" s="48"/>
    </row>
    <row r="93" spans="3:15" x14ac:dyDescent="0.3">
      <c r="C93" s="11"/>
      <c r="E93" s="11"/>
      <c r="F93" s="15"/>
      <c r="G93" s="15"/>
      <c r="H93" s="47"/>
      <c r="J93" s="47"/>
      <c r="K93" s="47" t="str">
        <f>_xlfn.LET(
    _xlpm.itemBuscado, B93,
    _xlpm.areaBuscada, C93,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TEXT(COUNTIF($C$2:C93, _xlpm.areaBuscada), "0000"),
    _xlpm.codItem &amp; "-" &amp; _xlpm.codArea &amp; "-" &amp; _xlpm.secuencia
)</f>
        <v>-SinArea-0000</v>
      </c>
      <c r="M93" s="15"/>
      <c r="O93" s="48"/>
    </row>
    <row r="94" spans="3:15" x14ac:dyDescent="0.3">
      <c r="C94" s="11"/>
      <c r="E94" s="11"/>
      <c r="F94" s="15"/>
      <c r="G94" s="15"/>
      <c r="H94" s="47"/>
      <c r="J94" s="47"/>
      <c r="K94" s="47" t="str">
        <f>_xlfn.LET(
    _xlpm.itemBuscado, B94,
    _xlpm.areaBuscada, C94,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TEXT(COUNTIF($C$2:C94, _xlpm.areaBuscada), "0000"),
    _xlpm.codItem &amp; "-" &amp; _xlpm.codArea &amp; "-" &amp; _xlpm.secuencia
)</f>
        <v>-SinArea-0000</v>
      </c>
      <c r="M94" s="15"/>
      <c r="O94" s="48"/>
    </row>
    <row r="95" spans="3:15" x14ac:dyDescent="0.3">
      <c r="C95" s="11"/>
      <c r="E95" s="11"/>
      <c r="F95" s="15"/>
      <c r="G95" s="15"/>
      <c r="H95" s="47"/>
      <c r="J95" s="47"/>
      <c r="K95" s="47" t="str">
        <f>_xlfn.LET(
    _xlpm.itemBuscado, B95,
    _xlpm.areaBuscada, C95,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TEXT(COUNTIF($C$2:C95, _xlpm.areaBuscada), "0000"),
    _xlpm.codItem &amp; "-" &amp; _xlpm.codArea &amp; "-" &amp; _xlpm.secuencia
)</f>
        <v>-SinArea-0000</v>
      </c>
      <c r="M95" s="15"/>
      <c r="O95" s="48"/>
    </row>
    <row r="96" spans="3:15" x14ac:dyDescent="0.3">
      <c r="C96" s="11"/>
      <c r="E96" s="11"/>
      <c r="F96" s="15"/>
      <c r="G96" s="15"/>
      <c r="H96" s="47"/>
      <c r="J96" s="47"/>
      <c r="K96" s="47" t="str">
        <f>_xlfn.LET(
    _xlpm.itemBuscado, B96,
    _xlpm.areaBuscada, C96,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TEXT(COUNTIF($C$2:C96, _xlpm.areaBuscada), "0000"),
    _xlpm.codItem &amp; "-" &amp; _xlpm.codArea &amp; "-" &amp; _xlpm.secuencia
)</f>
        <v>-SinArea-0000</v>
      </c>
      <c r="M96" s="15"/>
      <c r="O96" s="48"/>
    </row>
    <row r="97" spans="3:15" x14ac:dyDescent="0.3">
      <c r="C97" s="11"/>
      <c r="E97" s="11"/>
      <c r="F97" s="15"/>
      <c r="G97" s="15"/>
      <c r="H97" s="47"/>
      <c r="J97" s="47"/>
      <c r="K97" s="47" t="str">
        <f>_xlfn.LET(
    _xlpm.itemBuscado, B97,
    _xlpm.areaBuscada, C97,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TEXT(COUNTIF($C$2:C97, _xlpm.areaBuscada), "0000"),
    _xlpm.codItem &amp; "-" &amp; _xlpm.codArea &amp; "-" &amp; _xlpm.secuencia
)</f>
        <v>-SinArea-0000</v>
      </c>
      <c r="M97" s="15"/>
      <c r="O97" s="48"/>
    </row>
    <row r="98" spans="3:15" x14ac:dyDescent="0.3">
      <c r="C98" s="11"/>
      <c r="E98" s="11"/>
      <c r="F98" s="15"/>
      <c r="G98" s="15"/>
      <c r="H98" s="47"/>
      <c r="J98" s="47"/>
      <c r="K98" s="47" t="str">
        <f>_xlfn.LET(
    _xlpm.itemBuscado, B98,
    _xlpm.areaBuscada, C98,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TEXT(COUNTIF($C$2:C98, _xlpm.areaBuscada), "0000"),
    _xlpm.codItem &amp; "-" &amp; _xlpm.codArea &amp; "-" &amp; _xlpm.secuencia
)</f>
        <v>-SinArea-0000</v>
      </c>
      <c r="M98" s="15"/>
      <c r="O98" s="48"/>
    </row>
    <row r="99" spans="3:15" x14ac:dyDescent="0.3">
      <c r="C99" s="11"/>
      <c r="E99" s="11"/>
      <c r="F99" s="15"/>
      <c r="G99" s="15"/>
      <c r="H99" s="47"/>
      <c r="J99" s="47"/>
      <c r="K99" s="47" t="str">
        <f>_xlfn.LET(
    _xlpm.itemBuscado, B99,
    _xlpm.areaBuscada, C99,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TEXT(COUNTIF($C$2:C99, _xlpm.areaBuscada), "0000"),
    _xlpm.codItem &amp; "-" &amp; _xlpm.codArea &amp; "-" &amp; _xlpm.secuencia
)</f>
        <v>-SinArea-0000</v>
      </c>
      <c r="M99" s="15"/>
      <c r="O99" s="48"/>
    </row>
    <row r="100" spans="3:15" x14ac:dyDescent="0.3">
      <c r="C100" s="11"/>
      <c r="E100" s="11"/>
      <c r="F100" s="15"/>
      <c r="G100" s="15"/>
      <c r="H100" s="47"/>
      <c r="J100" s="47"/>
      <c r="K100" s="47" t="str">
        <f>_xlfn.LET(
    _xlpm.itemBuscado, B100,
    _xlpm.areaBuscada, C100,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TEXT(COUNTIF($C$2:C100, _xlpm.areaBuscada), "0000"),
    _xlpm.codItem &amp; "-" &amp; _xlpm.codArea &amp; "-" &amp; _xlpm.secuencia
)</f>
        <v>-SinArea-0000</v>
      </c>
      <c r="M100" s="15"/>
      <c r="O100" s="48"/>
    </row>
    <row r="101" spans="3:15" x14ac:dyDescent="0.3">
      <c r="C101" s="11"/>
      <c r="E101" s="11"/>
      <c r="F101" s="15"/>
      <c r="G101" s="15"/>
      <c r="H101" s="47"/>
      <c r="J101" s="47"/>
      <c r="K101" s="47" t="str">
        <f>_xlfn.LET(
    _xlpm.itemBuscado, B101,
    _xlpm.areaBuscada, C101,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TEXT(COUNTIF($C$2:C101, _xlpm.areaBuscada), "0000"),
    _xlpm.codItem &amp; "-" &amp; _xlpm.codArea &amp; "-" &amp; _xlpm.secuencia
)</f>
        <v>-SinArea-0000</v>
      </c>
      <c r="M101" s="15"/>
      <c r="O101" s="48"/>
    </row>
    <row r="102" spans="3:15" x14ac:dyDescent="0.3">
      <c r="C102" s="11"/>
      <c r="E102" s="11"/>
      <c r="F102" s="15"/>
      <c r="G102" s="15"/>
      <c r="H102" s="47"/>
      <c r="J102" s="47"/>
      <c r="K102" s="47" t="str">
        <f>_xlfn.LET(
    _xlpm.itemBuscado, B102,
    _xlpm.areaBuscada, C102,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TEXT(COUNTIF($C$2:C102, _xlpm.areaBuscada), "0000"),
    _xlpm.codItem &amp; "-" &amp; _xlpm.codArea &amp; "-" &amp; _xlpm.secuencia
)</f>
        <v>-SinArea-0000</v>
      </c>
      <c r="M102" s="15"/>
      <c r="O102" s="48"/>
    </row>
    <row r="103" spans="3:15" x14ac:dyDescent="0.3">
      <c r="C103" s="11"/>
      <c r="E103" s="11"/>
      <c r="F103" s="15"/>
      <c r="G103" s="15"/>
      <c r="H103" s="47"/>
      <c r="J103" s="47"/>
      <c r="K103" s="47" t="str">
        <f>_xlfn.LET(
    _xlpm.itemBuscado, B103,
    _xlpm.areaBuscada, C103,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TEXT(COUNTIF($C$2:C103, _xlpm.areaBuscada), "0000"),
    _xlpm.codItem &amp; "-" &amp; _xlpm.codArea &amp; "-" &amp; _xlpm.secuencia
)</f>
        <v>-SinArea-0000</v>
      </c>
      <c r="M103" s="15"/>
      <c r="O103" s="48"/>
    </row>
    <row r="104" spans="3:15" x14ac:dyDescent="0.3">
      <c r="C104" s="11"/>
      <c r="E104" s="11"/>
      <c r="F104" s="15"/>
      <c r="G104" s="15"/>
      <c r="H104" s="47"/>
      <c r="J104" s="47"/>
      <c r="K104" s="47" t="str">
        <f>_xlfn.LET(
    _xlpm.itemBuscado, B104,
    _xlpm.areaBuscada, C104,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TEXT(COUNTIF($C$2:C104, _xlpm.areaBuscada), "0000"),
    _xlpm.codItem &amp; "-" &amp; _xlpm.codArea &amp; "-" &amp; _xlpm.secuencia
)</f>
        <v>-SinArea-0000</v>
      </c>
      <c r="M104" s="15"/>
      <c r="O104" s="48"/>
    </row>
    <row r="105" spans="3:15" x14ac:dyDescent="0.3">
      <c r="C105" s="11"/>
      <c r="E105" s="11"/>
      <c r="F105" s="15"/>
      <c r="G105" s="15"/>
      <c r="H105" s="47"/>
      <c r="J105" s="47"/>
      <c r="K105" s="47" t="str">
        <f>_xlfn.LET(
    _xlpm.itemBuscado, B105,
    _xlpm.areaBuscada, C105,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TEXT(COUNTIF($C$2:C105, _xlpm.areaBuscada), "0000"),
    _xlpm.codItem &amp; "-" &amp; _xlpm.codArea &amp; "-" &amp; _xlpm.secuencia
)</f>
        <v>-SinArea-0000</v>
      </c>
      <c r="M105" s="15"/>
      <c r="O105" s="48"/>
    </row>
    <row r="106" spans="3:15" x14ac:dyDescent="0.3">
      <c r="C106" s="11"/>
      <c r="E106" s="11"/>
      <c r="F106" s="15"/>
      <c r="G106" s="15"/>
      <c r="H106" s="47"/>
      <c r="J106" s="47"/>
      <c r="K106" s="47" t="str">
        <f>_xlfn.LET(
    _xlpm.itemBuscado, B106,
    _xlpm.areaBuscada, C106,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TEXT(COUNTIF($C$2:C106, _xlpm.areaBuscada), "0000"),
    _xlpm.codItem &amp; "-" &amp; _xlpm.codArea &amp; "-" &amp; _xlpm.secuencia
)</f>
        <v>-SinArea-0000</v>
      </c>
      <c r="M106" s="15"/>
      <c r="O106" s="48"/>
    </row>
    <row r="107" spans="3:15" x14ac:dyDescent="0.3">
      <c r="C107" s="11"/>
      <c r="E107" s="11"/>
      <c r="F107" s="15"/>
      <c r="G107" s="15"/>
      <c r="H107" s="47"/>
      <c r="J107" s="47"/>
      <c r="K107" s="47" t="str">
        <f>_xlfn.LET(
    _xlpm.itemBuscado, B107,
    _xlpm.areaBuscada, C107,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TEXT(COUNTIF($C$2:C107, _xlpm.areaBuscada), "0000"),
    _xlpm.codItem &amp; "-" &amp; _xlpm.codArea &amp; "-" &amp; _xlpm.secuencia
)</f>
        <v>-SinArea-0000</v>
      </c>
      <c r="M107" s="15"/>
      <c r="O107" s="48"/>
    </row>
    <row r="108" spans="3:15" x14ac:dyDescent="0.3">
      <c r="C108" s="11"/>
      <c r="E108" s="11"/>
      <c r="F108" s="15"/>
      <c r="G108" s="15"/>
      <c r="H108" s="47"/>
      <c r="J108" s="47"/>
      <c r="K108" s="47" t="str">
        <f>_xlfn.LET(
    _xlpm.itemBuscado, B108,
    _xlpm.areaBuscada, C108,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TEXT(COUNTIF($C$2:C108, _xlpm.areaBuscada), "0000"),
    _xlpm.codItem &amp; "-" &amp; _xlpm.codArea &amp; "-" &amp; _xlpm.secuencia
)</f>
        <v>-SinArea-0000</v>
      </c>
      <c r="M108" s="15"/>
      <c r="O108" s="48"/>
    </row>
    <row r="109" spans="3:15" x14ac:dyDescent="0.3">
      <c r="C109" s="11"/>
      <c r="E109" s="11"/>
      <c r="F109" s="15"/>
      <c r="G109" s="15"/>
      <c r="H109" s="47"/>
      <c r="J109" s="47"/>
      <c r="K109" s="47" t="str">
        <f>_xlfn.LET(
    _xlpm.itemBuscado, B109,
    _xlpm.areaBuscada, C109,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TEXT(COUNTIF($C$2:C109, _xlpm.areaBuscada), "0000"),
    _xlpm.codItem &amp; "-" &amp; _xlpm.codArea &amp; "-" &amp; _xlpm.secuencia
)</f>
        <v>-SinArea-0000</v>
      </c>
      <c r="M109" s="15"/>
      <c r="O109" s="48"/>
    </row>
    <row r="110" spans="3:15" x14ac:dyDescent="0.3">
      <c r="C110" s="11"/>
      <c r="E110" s="11"/>
      <c r="F110" s="15"/>
      <c r="G110" s="15"/>
      <c r="H110" s="47"/>
      <c r="J110" s="47"/>
      <c r="K110" s="47" t="str">
        <f>_xlfn.LET(
    _xlpm.itemBuscado, B110,
    _xlpm.areaBuscada, C110,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TEXT(COUNTIF($C$2:C110, _xlpm.areaBuscada), "0000"),
    _xlpm.codItem &amp; "-" &amp; _xlpm.codArea &amp; "-" &amp; _xlpm.secuencia
)</f>
        <v>-SinArea-0000</v>
      </c>
      <c r="M110" s="15"/>
      <c r="O110" s="48"/>
    </row>
    <row r="111" spans="3:15" x14ac:dyDescent="0.3">
      <c r="C111" s="11"/>
      <c r="E111" s="11"/>
      <c r="F111" s="15"/>
      <c r="G111" s="15"/>
      <c r="H111" s="47"/>
      <c r="J111" s="47"/>
      <c r="K111" s="47" t="str">
        <f>_xlfn.LET(
    _xlpm.itemBuscado, B111,
    _xlpm.areaBuscada, C111,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TEXT(COUNTIF($C$2:C111, _xlpm.areaBuscada), "0000"),
    _xlpm.codItem &amp; "-" &amp; _xlpm.codArea &amp; "-" &amp; _xlpm.secuencia
)</f>
        <v>-SinArea-0000</v>
      </c>
      <c r="M111" s="15"/>
      <c r="O111" s="48"/>
    </row>
    <row r="112" spans="3:15" x14ac:dyDescent="0.3">
      <c r="C112" s="11"/>
      <c r="E112" s="11"/>
      <c r="F112" s="15"/>
      <c r="G112" s="15"/>
      <c r="H112" s="47"/>
      <c r="J112" s="47"/>
      <c r="K112" s="47" t="str">
        <f>_xlfn.LET(
    _xlpm.itemBuscado, B112,
    _xlpm.areaBuscada, C112,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TEXT(COUNTIF($C$2:C112, _xlpm.areaBuscada), "0000"),
    _xlpm.codItem &amp; "-" &amp; _xlpm.codArea &amp; "-" &amp; _xlpm.secuencia
)</f>
        <v>-SinArea-0000</v>
      </c>
      <c r="M112" s="15"/>
      <c r="O112" s="48"/>
    </row>
    <row r="113" spans="3:15" x14ac:dyDescent="0.3">
      <c r="C113" s="11"/>
      <c r="E113" s="11"/>
      <c r="F113" s="15"/>
      <c r="G113" s="15"/>
      <c r="H113" s="47"/>
      <c r="J113" s="47"/>
      <c r="K113" s="47" t="str">
        <f>_xlfn.LET(
    _xlpm.itemBuscado, B113,
    _xlpm.areaBuscada, C113,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TEXT(COUNTIF($C$2:C113, _xlpm.areaBuscada), "0000"),
    _xlpm.codItem &amp; "-" &amp; _xlpm.codArea &amp; "-" &amp; _xlpm.secuencia
)</f>
        <v>-SinArea-0000</v>
      </c>
      <c r="M113" s="15"/>
      <c r="O113" s="48"/>
    </row>
    <row r="114" spans="3:15" x14ac:dyDescent="0.3">
      <c r="C114" s="11"/>
      <c r="E114" s="11"/>
      <c r="F114" s="15"/>
      <c r="G114" s="15"/>
      <c r="H114" s="47"/>
      <c r="J114" s="47"/>
      <c r="K114" s="47" t="str">
        <f>_xlfn.LET(
    _xlpm.itemBuscado, B114,
    _xlpm.areaBuscada, C114,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TEXT(COUNTIF($C$2:C114, _xlpm.areaBuscada), "0000"),
    _xlpm.codItem &amp; "-" &amp; _xlpm.codArea &amp; "-" &amp; _xlpm.secuencia
)</f>
        <v>-SinArea-0000</v>
      </c>
      <c r="M114" s="15"/>
      <c r="O114" s="48"/>
    </row>
    <row r="115" spans="3:15" x14ac:dyDescent="0.3">
      <c r="C115" s="11"/>
      <c r="E115" s="11"/>
      <c r="F115" s="15"/>
      <c r="G115" s="15"/>
      <c r="H115" s="47"/>
      <c r="J115" s="47"/>
      <c r="K115" s="47" t="str">
        <f>_xlfn.LET(
    _xlpm.itemBuscado, B115,
    _xlpm.areaBuscada, C115,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TEXT(COUNTIF($C$2:C115, _xlpm.areaBuscada), "0000"),
    _xlpm.codItem &amp; "-" &amp; _xlpm.codArea &amp; "-" &amp; _xlpm.secuencia
)</f>
        <v>-SinArea-0000</v>
      </c>
      <c r="M115" s="15"/>
      <c r="O115" s="48"/>
    </row>
    <row r="116" spans="3:15" x14ac:dyDescent="0.3">
      <c r="C116" s="11"/>
      <c r="E116" s="11"/>
      <c r="F116" s="15"/>
      <c r="G116" s="15"/>
      <c r="H116" s="47"/>
      <c r="J116" s="47"/>
      <c r="K116" s="47" t="str">
        <f>_xlfn.LET(
    _xlpm.itemBuscado, B116,
    _xlpm.areaBuscada, C116,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TEXT(COUNTIF($C$2:C116, _xlpm.areaBuscada), "0000"),
    _xlpm.codItem &amp; "-" &amp; _xlpm.codArea &amp; "-" &amp; _xlpm.secuencia
)</f>
        <v>-SinArea-0000</v>
      </c>
      <c r="M116" s="15"/>
      <c r="O116" s="48"/>
    </row>
    <row r="117" spans="3:15" x14ac:dyDescent="0.3">
      <c r="C117" s="11"/>
      <c r="E117" s="11"/>
      <c r="F117" s="15"/>
      <c r="G117" s="15"/>
      <c r="H117" s="47"/>
      <c r="J117" s="47"/>
      <c r="K117" s="47" t="str">
        <f>_xlfn.LET(
    _xlpm.itemBuscado, B117,
    _xlpm.areaBuscada, C117,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TEXT(COUNTIF($C$2:C117, _xlpm.areaBuscada), "0000"),
    _xlpm.codItem &amp; "-" &amp; _xlpm.codArea &amp; "-" &amp; _xlpm.secuencia
)</f>
        <v>-SinArea-0000</v>
      </c>
      <c r="M117" s="15"/>
      <c r="O117" s="48"/>
    </row>
    <row r="118" spans="3:15" x14ac:dyDescent="0.3">
      <c r="C118" s="11"/>
      <c r="E118" s="11"/>
      <c r="F118" s="15"/>
      <c r="G118" s="15"/>
      <c r="H118" s="47"/>
      <c r="J118" s="47"/>
      <c r="K118" s="47" t="str">
        <f>_xlfn.LET(
    _xlpm.itemBuscado, B118,
    _xlpm.areaBuscada, C118,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TEXT(COUNTIF($C$2:C118, _xlpm.areaBuscada), "0000"),
    _xlpm.codItem &amp; "-" &amp; _xlpm.codArea &amp; "-" &amp; _xlpm.secuencia
)</f>
        <v>-SinArea-0000</v>
      </c>
      <c r="M118" s="15"/>
      <c r="O118" s="48"/>
    </row>
    <row r="119" spans="3:15" x14ac:dyDescent="0.3">
      <c r="C119" s="11"/>
      <c r="E119" s="11"/>
      <c r="F119" s="15"/>
      <c r="G119" s="15"/>
      <c r="H119" s="47"/>
      <c r="J119" s="47"/>
      <c r="K119" s="47" t="str">
        <f>_xlfn.LET(
    _xlpm.itemBuscado, B119,
    _xlpm.areaBuscada, C119,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TEXT(COUNTIF($C$2:C119, _xlpm.areaBuscada), "0000"),
    _xlpm.codItem &amp; "-" &amp; _xlpm.codArea &amp; "-" &amp; _xlpm.secuencia
)</f>
        <v>-SinArea-0000</v>
      </c>
      <c r="M119" s="15"/>
      <c r="O119" s="48"/>
    </row>
    <row r="120" spans="3:15" x14ac:dyDescent="0.3">
      <c r="C120" s="11"/>
      <c r="E120" s="11"/>
      <c r="F120" s="15"/>
      <c r="G120" s="15"/>
      <c r="H120" s="47"/>
      <c r="J120" s="47"/>
      <c r="K120" s="47" t="str">
        <f>_xlfn.LET(
    _xlpm.itemBuscado, B120,
    _xlpm.areaBuscada, C120,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TEXT(COUNTIF($C$2:C120, _xlpm.areaBuscada), "0000"),
    _xlpm.codItem &amp; "-" &amp; _xlpm.codArea &amp; "-" &amp; _xlpm.secuencia
)</f>
        <v>-SinArea-0000</v>
      </c>
      <c r="M120" s="15"/>
      <c r="O120" s="48"/>
    </row>
    <row r="121" spans="3:15" x14ac:dyDescent="0.3">
      <c r="C121" s="11"/>
      <c r="E121" s="11"/>
      <c r="F121" s="15"/>
      <c r="G121" s="15"/>
      <c r="H121" s="47"/>
      <c r="J121" s="47"/>
      <c r="K121" s="47" t="str">
        <f>_xlfn.LET(
    _xlpm.itemBuscado, B121,
    _xlpm.areaBuscada, C121,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TEXT(COUNTIF($C$2:C121, _xlpm.areaBuscada), "0000"),
    _xlpm.codItem &amp; "-" &amp; _xlpm.codArea &amp; "-" &amp; _xlpm.secuencia
)</f>
        <v>-SinArea-0000</v>
      </c>
      <c r="M121" s="15"/>
      <c r="O121" s="48"/>
    </row>
    <row r="122" spans="3:15" x14ac:dyDescent="0.3">
      <c r="C122" s="11"/>
      <c r="E122" s="11"/>
      <c r="F122" s="15"/>
      <c r="G122" s="15"/>
      <c r="H122" s="47"/>
      <c r="J122" s="47"/>
      <c r="K122" s="47" t="str">
        <f>_xlfn.LET(
    _xlpm.itemBuscado, B122,
    _xlpm.areaBuscada, C122,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TEXT(COUNTIF($C$2:C122, _xlpm.areaBuscada), "0000"),
    _xlpm.codItem &amp; "-" &amp; _xlpm.codArea &amp; "-" &amp; _xlpm.secuencia
)</f>
        <v>-SinArea-0000</v>
      </c>
      <c r="M122" s="15"/>
      <c r="O122" s="48"/>
    </row>
    <row r="123" spans="3:15" x14ac:dyDescent="0.3">
      <c r="C123" s="11"/>
      <c r="E123" s="11"/>
      <c r="F123" s="15"/>
      <c r="G123" s="15"/>
      <c r="H123" s="47"/>
      <c r="J123" s="47"/>
      <c r="K123" s="47" t="str">
        <f>_xlfn.LET(
    _xlpm.itemBuscado, B123,
    _xlpm.areaBuscada, C123,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TEXT(COUNTIF($C$2:C123, _xlpm.areaBuscada), "0000"),
    _xlpm.codItem &amp; "-" &amp; _xlpm.codArea &amp; "-" &amp; _xlpm.secuencia
)</f>
        <v>-SinArea-0000</v>
      </c>
      <c r="M123" s="15"/>
      <c r="O123" s="48"/>
    </row>
    <row r="124" spans="3:15" x14ac:dyDescent="0.3">
      <c r="C124" s="11"/>
      <c r="E124" s="11"/>
      <c r="F124" s="15"/>
      <c r="G124" s="15"/>
      <c r="H124" s="47"/>
      <c r="J124" s="47"/>
      <c r="K124" s="47" t="str">
        <f>_xlfn.LET(
    _xlpm.itemBuscado, B124,
    _xlpm.areaBuscada, C124,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TEXT(COUNTIF($C$2:C124, _xlpm.areaBuscada), "0000"),
    _xlpm.codItem &amp; "-" &amp; _xlpm.codArea &amp; "-" &amp; _xlpm.secuencia
)</f>
        <v>-SinArea-0000</v>
      </c>
      <c r="M124" s="15"/>
      <c r="O124" s="48"/>
    </row>
    <row r="125" spans="3:15" x14ac:dyDescent="0.3">
      <c r="C125" s="11"/>
      <c r="E125" s="11"/>
      <c r="F125" s="15"/>
      <c r="G125" s="15"/>
      <c r="H125" s="47"/>
      <c r="J125" s="47"/>
      <c r="K125" s="47" t="str">
        <f>_xlfn.LET(
    _xlpm.itemBuscado, B125,
    _xlpm.areaBuscada, C125,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TEXT(COUNTIF($C$2:C125, _xlpm.areaBuscada), "0000"),
    _xlpm.codItem &amp; "-" &amp; _xlpm.codArea &amp; "-" &amp; _xlpm.secuencia
)</f>
        <v>-SinArea-0000</v>
      </c>
      <c r="M125" s="15"/>
      <c r="O125" s="48"/>
    </row>
    <row r="126" spans="3:15" x14ac:dyDescent="0.3">
      <c r="C126" s="11"/>
      <c r="E126" s="11"/>
      <c r="F126" s="15"/>
      <c r="G126" s="15"/>
      <c r="H126" s="47"/>
      <c r="J126" s="47"/>
      <c r="K126" s="47" t="str">
        <f>_xlfn.LET(
    _xlpm.itemBuscado, B126,
    _xlpm.areaBuscada, C126,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TEXT(COUNTIF($C$2:C126, _xlpm.areaBuscada), "0000"),
    _xlpm.codItem &amp; "-" &amp; _xlpm.codArea &amp; "-" &amp; _xlpm.secuencia
)</f>
        <v>-SinArea-0000</v>
      </c>
      <c r="M126" s="15"/>
      <c r="O126" s="48"/>
    </row>
    <row r="127" spans="3:15" x14ac:dyDescent="0.3">
      <c r="C127" s="11"/>
      <c r="E127" s="11"/>
      <c r="F127" s="15"/>
      <c r="G127" s="15"/>
      <c r="H127" s="47"/>
      <c r="J127" s="47"/>
      <c r="K127" s="47" t="str">
        <f>_xlfn.LET(
    _xlpm.itemBuscado, B127,
    _xlpm.areaBuscada, C127,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TEXT(COUNTIF($C$2:C127, _xlpm.areaBuscada), "0000"),
    _xlpm.codItem &amp; "-" &amp; _xlpm.codArea &amp; "-" &amp; _xlpm.secuencia
)</f>
        <v>-SinArea-0000</v>
      </c>
      <c r="M127" s="15"/>
      <c r="O127" s="48"/>
    </row>
    <row r="128" spans="3:15" x14ac:dyDescent="0.3">
      <c r="C128" s="11"/>
      <c r="E128" s="11"/>
      <c r="F128" s="15"/>
      <c r="G128" s="15"/>
      <c r="H128" s="47"/>
      <c r="J128" s="47"/>
      <c r="K128" s="47" t="str">
        <f>_xlfn.LET(
    _xlpm.itemBuscado, B128,
    _xlpm.areaBuscada, C128,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TEXT(COUNTIF($C$2:C128, _xlpm.areaBuscada), "0000"),
    _xlpm.codItem &amp; "-" &amp; _xlpm.codArea &amp; "-" &amp; _xlpm.secuencia
)</f>
        <v>-SinArea-0000</v>
      </c>
      <c r="M128" s="15"/>
      <c r="O128" s="48"/>
    </row>
    <row r="129" spans="3:16" x14ac:dyDescent="0.3">
      <c r="C129" s="11"/>
      <c r="E129" s="11"/>
      <c r="F129" s="15"/>
      <c r="G129" s="15"/>
      <c r="H129" s="47"/>
      <c r="J129" s="47"/>
      <c r="K129" s="47" t="str">
        <f>_xlfn.LET(
    _xlpm.itemBuscado, B129,
    _xlpm.areaBuscada, C129,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TEXT(COUNTIF($C$2:C129, _xlpm.areaBuscada), "0000"),
    _xlpm.codItem &amp; "-" &amp; _xlpm.codArea &amp; "-" &amp; _xlpm.secuencia
)</f>
        <v>-SinArea-0000</v>
      </c>
      <c r="M129" s="15"/>
      <c r="O129" s="48"/>
    </row>
    <row r="130" spans="3:16" x14ac:dyDescent="0.3">
      <c r="C130" s="11"/>
      <c r="E130" s="11"/>
      <c r="F130" s="15"/>
      <c r="G130" s="15"/>
      <c r="H130" s="47"/>
      <c r="J130" s="47"/>
      <c r="K130" s="47" t="str">
        <f>_xlfn.LET(
    _xlpm.itemBuscado, B130,
    _xlpm.areaBuscada, C130,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TEXT(COUNTIF($C$2:C130, _xlpm.areaBuscada), "0000"),
    _xlpm.codItem &amp; "-" &amp; _xlpm.codArea &amp; "-" &amp; _xlpm.secuencia
)</f>
        <v>-SinArea-0000</v>
      </c>
      <c r="M130" s="15"/>
      <c r="O130" s="48"/>
    </row>
    <row r="131" spans="3:16" x14ac:dyDescent="0.3">
      <c r="C131" s="11"/>
      <c r="E131" s="11"/>
      <c r="F131" s="15"/>
      <c r="G131" s="15"/>
      <c r="H131" s="47"/>
      <c r="J131" s="47"/>
      <c r="K131" s="47" t="str">
        <f>_xlfn.LET(
    _xlpm.itemBuscado, B131,
    _xlpm.areaBuscada, C131,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TEXT(COUNTIF($C$2:C131, _xlpm.areaBuscada), "0000"),
    _xlpm.codItem &amp; "-" &amp; _xlpm.codArea &amp; "-" &amp; _xlpm.secuencia
)</f>
        <v>-SinArea-0000</v>
      </c>
      <c r="M131" s="15"/>
      <c r="O131" s="48"/>
    </row>
    <row r="132" spans="3:16" x14ac:dyDescent="0.3">
      <c r="C132" s="11"/>
      <c r="E132" s="11"/>
      <c r="F132" s="15"/>
      <c r="G132" s="15"/>
      <c r="H132" s="47"/>
      <c r="J132" s="47"/>
      <c r="K132" s="47" t="str">
        <f>_xlfn.LET(
    _xlpm.itemBuscado, B132,
    _xlpm.areaBuscada, C132,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TEXT(COUNTIF($C$2:C132, _xlpm.areaBuscada), "0000"),
    _xlpm.codItem &amp; "-" &amp; _xlpm.codArea &amp; "-" &amp; _xlpm.secuencia
)</f>
        <v>-SinArea-0000</v>
      </c>
      <c r="M132" s="15"/>
      <c r="O132" s="48"/>
    </row>
    <row r="133" spans="3:16" x14ac:dyDescent="0.3">
      <c r="C133" s="11"/>
      <c r="E133" s="11"/>
      <c r="F133" s="15"/>
      <c r="G133" s="15"/>
      <c r="H133" s="47"/>
      <c r="J133" s="47"/>
      <c r="K133" s="47" t="str">
        <f>_xlfn.LET(
    _xlpm.itemBuscado, B133,
    _xlpm.areaBuscada, C133,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TEXT(COUNTIF($C$2:C133, _xlpm.areaBuscada), "0000"),
    _xlpm.codItem &amp; "-" &amp; _xlpm.codArea &amp; "-" &amp; _xlpm.secuencia
)</f>
        <v>-SinArea-0000</v>
      </c>
      <c r="M133" s="15"/>
      <c r="O133" s="48"/>
    </row>
    <row r="134" spans="3:16" x14ac:dyDescent="0.3">
      <c r="C134" s="11"/>
      <c r="E134" s="11"/>
      <c r="F134" s="15"/>
      <c r="G134" s="15"/>
      <c r="H134" s="47"/>
      <c r="J134" s="47"/>
      <c r="K134" s="47" t="str">
        <f>_xlfn.LET(
    _xlpm.itemBuscado, B134,
    _xlpm.areaBuscada, C134,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TEXT(COUNTIF($C$2:C134, _xlpm.areaBuscada), "0000"),
    _xlpm.codItem &amp; "-" &amp; _xlpm.codArea &amp; "-" &amp; _xlpm.secuencia
)</f>
        <v>-SinArea-0000</v>
      </c>
      <c r="M134" s="15"/>
      <c r="O134" s="48"/>
    </row>
    <row r="135" spans="3:16" x14ac:dyDescent="0.3">
      <c r="C135" s="11"/>
      <c r="E135" s="11"/>
      <c r="F135" s="15"/>
      <c r="G135" s="15"/>
      <c r="H135" s="47"/>
      <c r="J135" s="47"/>
      <c r="K135" s="47" t="str">
        <f>_xlfn.LET(
    _xlpm.itemBuscado, B135,
    _xlpm.areaBuscada, C135,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TEXT(COUNTIF($C$2:C135, _xlpm.areaBuscada), "0000"),
    _xlpm.codItem &amp; "-" &amp; _xlpm.codArea &amp; "-" &amp; _xlpm.secuencia
)</f>
        <v>-SinArea-0000</v>
      </c>
      <c r="M135" s="15"/>
      <c r="O135" s="48"/>
    </row>
    <row r="136" spans="3:16" x14ac:dyDescent="0.3">
      <c r="C136" s="11"/>
      <c r="E136" s="11"/>
      <c r="F136" s="15"/>
      <c r="G136" s="15"/>
      <c r="H136" s="47"/>
      <c r="J136" s="47"/>
      <c r="K136" s="47" t="str">
        <f>_xlfn.LET(
    _xlpm.itemBuscado, B136,
    _xlpm.areaBuscada, C136,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TEXT(COUNTIF($C$2:C136, _xlpm.areaBuscada), "0000"),
    _xlpm.codItem &amp; "-" &amp; _xlpm.codArea &amp; "-" &amp; _xlpm.secuencia
)</f>
        <v>-SinArea-0000</v>
      </c>
      <c r="M136" s="15"/>
      <c r="O136" s="48"/>
    </row>
    <row r="137" spans="3:16" x14ac:dyDescent="0.3">
      <c r="C137" s="11"/>
      <c r="E137" s="11"/>
      <c r="F137" s="15"/>
      <c r="G137" s="15"/>
      <c r="H137" s="47"/>
      <c r="J137" s="47"/>
      <c r="K137" s="47" t="str">
        <f>_xlfn.LET(
    _xlpm.itemBuscado, B137,
    _xlpm.areaBuscada, C137,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TEXT(COUNTIF($C$2:C137, _xlpm.areaBuscada), "0000"),
    _xlpm.codItem &amp; "-" &amp; _xlpm.codArea &amp; "-" &amp; _xlpm.secuencia
)</f>
        <v>-SinArea-0000</v>
      </c>
      <c r="M137" s="15"/>
      <c r="O137" s="48"/>
    </row>
    <row r="138" spans="3:16" x14ac:dyDescent="0.3">
      <c r="C138" s="11"/>
      <c r="E138" s="11"/>
      <c r="F138" s="15"/>
      <c r="G138" s="15"/>
      <c r="H138" s="47"/>
      <c r="J138" s="47"/>
      <c r="K138" s="47" t="str">
        <f>_xlfn.LET(
    _xlpm.itemBuscado, B138,
    _xlpm.areaBuscada, C138,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TEXT(COUNTIF($C$2:C138, _xlpm.areaBuscada), "0000"),
    _xlpm.codItem &amp; "-" &amp; _xlpm.codArea &amp; "-" &amp; _xlpm.secuencia
)</f>
        <v>-SinArea-0000</v>
      </c>
      <c r="M138" s="15"/>
      <c r="O138" s="48"/>
    </row>
    <row r="139" spans="3:16" x14ac:dyDescent="0.3">
      <c r="C139" s="11"/>
      <c r="E139" s="11"/>
      <c r="F139" s="15"/>
      <c r="G139" s="15"/>
      <c r="H139" s="47"/>
      <c r="J139" s="47"/>
      <c r="K139" s="47" t="str">
        <f>_xlfn.LET(
    _xlpm.itemBuscado, B139,
    _xlpm.areaBuscada, C139,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TEXT(COUNTIF($C$2:C139, _xlpm.areaBuscada), "0000"),
    _xlpm.codItem &amp; "-" &amp; _xlpm.codArea &amp; "-" &amp; _xlpm.secuencia
)</f>
        <v>-SinArea-0000</v>
      </c>
      <c r="M139" s="15"/>
      <c r="O139" s="48"/>
    </row>
    <row r="140" spans="3:16" x14ac:dyDescent="0.3">
      <c r="C140" s="11"/>
      <c r="D140" s="32"/>
      <c r="E140" s="11"/>
      <c r="F140" s="15"/>
      <c r="G140" s="15"/>
      <c r="H140" s="47"/>
      <c r="I140" s="76"/>
      <c r="J140" s="47"/>
      <c r="K140" s="47" t="str">
        <f>_xlfn.LET(
    _xlpm.itemBuscado, B140,
    _xlpm.areaBuscada, C140,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TEXT(COUNTIF($C$2:C140, _xlpm.areaBuscada), "0000"),
    _xlpm.codItem &amp; "-" &amp; _xlpm.codArea &amp; "-" &amp; _xlpm.secuencia
)</f>
        <v>-SinArea-0000</v>
      </c>
      <c r="L140" s="77"/>
      <c r="M140" s="15"/>
      <c r="N140" s="32"/>
      <c r="O140" s="48"/>
    </row>
    <row r="141" spans="3:16" x14ac:dyDescent="0.3">
      <c r="C141" s="11"/>
      <c r="D141" s="32"/>
      <c r="E141" s="11"/>
      <c r="G141" s="15"/>
      <c r="H141" s="47"/>
      <c r="I141" s="76"/>
      <c r="J141" s="76"/>
      <c r="K141" s="78" t="str">
        <f>_xlfn.LET(
    _xlpm.itemBuscado, B141,
    _xlpm.areaBuscada, C141,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TEXT(COUNTIF($C$2:C141, _xlpm.areaBuscada), "0000"),
    _xlpm.codItem &amp; "-" &amp; _xlpm.codArea &amp; "-" &amp; _xlpm.secuencia
)</f>
        <v>-SinArea-0000</v>
      </c>
      <c r="L141" s="77"/>
      <c r="M141" s="32"/>
      <c r="N141" s="32"/>
      <c r="O141" s="32"/>
      <c r="P141" s="32"/>
    </row>
    <row r="142" spans="3:16" x14ac:dyDescent="0.3">
      <c r="C142" s="11"/>
      <c r="D142" s="32"/>
      <c r="E142" s="11"/>
      <c r="G142" s="15"/>
      <c r="H142" s="47"/>
      <c r="I142" s="76"/>
      <c r="J142" s="76"/>
      <c r="K142" s="78" t="str">
        <f>_xlfn.LET(
    _xlpm.itemBuscado, B142,
    _xlpm.areaBuscada, C142,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TEXT(COUNTIF($C$2:C142, _xlpm.areaBuscada), "0000"),
    _xlpm.codItem &amp; "-" &amp; _xlpm.codArea &amp; "-" &amp; _xlpm.secuencia
)</f>
        <v>-SinArea-0000</v>
      </c>
      <c r="L142" s="77"/>
      <c r="M142" s="32"/>
      <c r="N142" s="32"/>
      <c r="O142" s="32"/>
      <c r="P142" s="32"/>
    </row>
    <row r="143" spans="3:16" x14ac:dyDescent="0.3">
      <c r="C143" s="11"/>
      <c r="D143" s="32"/>
      <c r="E143" s="11"/>
      <c r="G143" s="15"/>
      <c r="H143" s="47"/>
      <c r="I143" s="76"/>
      <c r="J143" s="76"/>
      <c r="K143" s="78" t="str">
        <f>_xlfn.LET(
    _xlpm.itemBuscado, B143,
    _xlpm.areaBuscada, C143,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TEXT(COUNTIF($C$2:C143, _xlpm.areaBuscada), "0000"),
    _xlpm.codItem &amp; "-" &amp; _xlpm.codArea &amp; "-" &amp; _xlpm.secuencia
)</f>
        <v>-SinArea-0000</v>
      </c>
      <c r="L143" s="77"/>
      <c r="M143" s="32"/>
      <c r="N143" s="32"/>
      <c r="O143" s="32"/>
      <c r="P143" s="32"/>
    </row>
    <row r="144" spans="3:16" x14ac:dyDescent="0.3">
      <c r="C144" s="11"/>
      <c r="D144" s="32"/>
      <c r="E144" s="11"/>
      <c r="G144" s="15"/>
      <c r="H144" s="47"/>
      <c r="I144" s="76"/>
      <c r="J144" s="76"/>
      <c r="K144" s="78" t="str">
        <f>_xlfn.LET(
    _xlpm.itemBuscado, B144,
    _xlpm.areaBuscada, C144,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TEXT(COUNTIF($C$2:C144, _xlpm.areaBuscada), "0000"),
    _xlpm.codItem &amp; "-" &amp; _xlpm.codArea &amp; "-" &amp; _xlpm.secuencia
)</f>
        <v>-SinArea-0000</v>
      </c>
      <c r="L144" s="77"/>
      <c r="M144" s="32"/>
      <c r="N144" s="32"/>
      <c r="O144" s="32"/>
      <c r="P144" s="32"/>
    </row>
    <row r="145" spans="3:16" x14ac:dyDescent="0.3">
      <c r="C145" s="11"/>
      <c r="D145" s="32"/>
      <c r="E145" s="11"/>
      <c r="G145" s="15"/>
      <c r="H145" s="47"/>
      <c r="I145" s="76"/>
      <c r="J145" s="76"/>
      <c r="K145" s="78" t="str">
        <f>_xlfn.LET(
    _xlpm.itemBuscado, B145,
    _xlpm.areaBuscada, C145,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TEXT(COUNTIF($C$2:C145, _xlpm.areaBuscada), "0000"),
    _xlpm.codItem &amp; "-" &amp; _xlpm.codArea &amp; "-" &amp; _xlpm.secuencia
)</f>
        <v>-SinArea-0000</v>
      </c>
      <c r="L145" s="77"/>
      <c r="M145" s="32"/>
      <c r="N145" s="32"/>
      <c r="O145" s="32"/>
      <c r="P145" s="32"/>
    </row>
    <row r="146" spans="3:16" x14ac:dyDescent="0.3">
      <c r="C146" s="11"/>
      <c r="D146" s="32"/>
      <c r="E146" s="11"/>
      <c r="G146" s="15"/>
      <c r="H146" s="47"/>
      <c r="I146" s="76"/>
      <c r="J146" s="76"/>
      <c r="K146" s="78" t="str">
        <f>_xlfn.LET(
    _xlpm.itemBuscado, B146,
    _xlpm.areaBuscada, C146,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TEXT(COUNTIF($C$2:C146, _xlpm.areaBuscada), "0000"),
    _xlpm.codItem &amp; "-" &amp; _xlpm.codArea &amp; "-" &amp; _xlpm.secuencia
)</f>
        <v>-SinArea-0000</v>
      </c>
      <c r="L146" s="77"/>
      <c r="M146" s="32"/>
      <c r="N146" s="32"/>
      <c r="O146" s="32"/>
      <c r="P146" s="32"/>
    </row>
    <row r="147" spans="3:16" x14ac:dyDescent="0.3">
      <c r="C147" s="11"/>
      <c r="D147" s="32"/>
      <c r="E147" s="11"/>
      <c r="G147" s="15"/>
      <c r="H147" s="47"/>
      <c r="I147" s="76"/>
      <c r="J147" s="76"/>
      <c r="K147" s="78" t="str">
        <f>_xlfn.LET(
    _xlpm.itemBuscado, B147,
    _xlpm.areaBuscada, C147,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TEXT(COUNTIF($C$2:C147, _xlpm.areaBuscada), "0000"),
    _xlpm.codItem &amp; "-" &amp; _xlpm.codArea &amp; "-" &amp; _xlpm.secuencia
)</f>
        <v>-SinArea-0000</v>
      </c>
      <c r="L147" s="77"/>
      <c r="M147" s="32"/>
      <c r="N147" s="32"/>
      <c r="O147" s="32"/>
      <c r="P147" s="32"/>
    </row>
    <row r="148" spans="3:16" x14ac:dyDescent="0.3">
      <c r="C148" s="11"/>
      <c r="D148" s="32"/>
      <c r="E148" s="11"/>
      <c r="G148" s="15"/>
      <c r="H148" s="47"/>
      <c r="I148" s="76"/>
      <c r="J148" s="76"/>
      <c r="K148" s="78" t="str">
        <f>_xlfn.LET(
    _xlpm.itemBuscado, B148,
    _xlpm.areaBuscada, C148,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TEXT(COUNTIF($C$2:C148, _xlpm.areaBuscada), "0000"),
    _xlpm.codItem &amp; "-" &amp; _xlpm.codArea &amp; "-" &amp; _xlpm.secuencia
)</f>
        <v>-SinArea-0000</v>
      </c>
      <c r="L148" s="77"/>
      <c r="M148" s="32"/>
      <c r="N148" s="32"/>
      <c r="O148" s="32"/>
      <c r="P148" s="32"/>
    </row>
    <row r="149" spans="3:16" x14ac:dyDescent="0.3">
      <c r="C149" s="11"/>
      <c r="D149" s="32"/>
      <c r="E149" s="11"/>
      <c r="G149" s="15"/>
      <c r="H149" s="47"/>
      <c r="I149" s="76"/>
      <c r="J149" s="76"/>
      <c r="K149" s="78" t="str">
        <f>_xlfn.LET(
    _xlpm.itemBuscado, B149,
    _xlpm.areaBuscada, C149,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TEXT(COUNTIF($C$2:C149, _xlpm.areaBuscada), "0000"),
    _xlpm.codItem &amp; "-" &amp; _xlpm.codArea &amp; "-" &amp; _xlpm.secuencia
)</f>
        <v>-SinArea-0000</v>
      </c>
      <c r="L149" s="77"/>
      <c r="M149" s="32"/>
      <c r="N149" s="32"/>
      <c r="O149" s="32"/>
      <c r="P149" s="32"/>
    </row>
    <row r="150" spans="3:16" x14ac:dyDescent="0.3">
      <c r="C150" s="11"/>
      <c r="D150" s="32"/>
      <c r="E150" s="11"/>
      <c r="G150" s="15"/>
      <c r="H150" s="47"/>
      <c r="I150" s="76"/>
      <c r="J150" s="76"/>
      <c r="K150" s="78" t="str">
        <f>_xlfn.LET(
    _xlpm.itemBuscado, B150,
    _xlpm.areaBuscada, C150,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TEXT(COUNTIF($C$2:C150, _xlpm.areaBuscada), "0000"),
    _xlpm.codItem &amp; "-" &amp; _xlpm.codArea &amp; "-" &amp; _xlpm.secuencia
)</f>
        <v>-SinArea-0000</v>
      </c>
      <c r="L150" s="77"/>
      <c r="M150" s="32"/>
      <c r="N150" s="32"/>
      <c r="O150" s="32"/>
      <c r="P150" s="32"/>
    </row>
    <row r="151" spans="3:16" x14ac:dyDescent="0.3">
      <c r="C151" s="11"/>
      <c r="D151" s="32"/>
      <c r="E151" s="11"/>
      <c r="G151" s="15"/>
      <c r="H151" s="47"/>
      <c r="I151" s="76"/>
      <c r="J151" s="76"/>
      <c r="K151" s="78" t="str">
        <f>_xlfn.LET(
    _xlpm.itemBuscado, B151,
    _xlpm.areaBuscada, C151,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TEXT(COUNTIF($C$2:C151, _xlpm.areaBuscada), "0000"),
    _xlpm.codItem &amp; "-" &amp; _xlpm.codArea &amp; "-" &amp; _xlpm.secuencia
)</f>
        <v>-SinArea-0000</v>
      </c>
      <c r="L151" s="77"/>
      <c r="M151" s="32"/>
      <c r="N151" s="32"/>
      <c r="O151" s="32"/>
      <c r="P151" s="32"/>
    </row>
    <row r="152" spans="3:16" x14ac:dyDescent="0.3">
      <c r="C152" s="11"/>
      <c r="D152" s="32"/>
      <c r="E152" s="11"/>
      <c r="G152" s="15"/>
      <c r="H152" s="47"/>
      <c r="I152" s="76"/>
      <c r="J152" s="76"/>
      <c r="K152" s="78" t="str">
        <f>_xlfn.LET(
    _xlpm.itemBuscado, B152,
    _xlpm.areaBuscada, C152,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TEXT(COUNTIF($C$2:C152, _xlpm.areaBuscada), "0000"),
    _xlpm.codItem &amp; "-" &amp; _xlpm.codArea &amp; "-" &amp; _xlpm.secuencia
)</f>
        <v>-SinArea-0000</v>
      </c>
      <c r="L152" s="77"/>
      <c r="M152" s="32"/>
      <c r="N152" s="32"/>
      <c r="O152" s="32"/>
      <c r="P152" s="32"/>
    </row>
    <row r="153" spans="3:16" x14ac:dyDescent="0.3">
      <c r="C153" s="11"/>
      <c r="D153" s="32"/>
      <c r="E153" s="11"/>
      <c r="G153" s="15"/>
      <c r="H153" s="47"/>
      <c r="I153" s="76"/>
      <c r="J153" s="76"/>
      <c r="K153" s="78" t="str">
        <f>_xlfn.LET(
    _xlpm.itemBuscado, B153,
    _xlpm.areaBuscada, C153,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TEXT(COUNTIF($C$2:C153, _xlpm.areaBuscada), "0000"),
    _xlpm.codItem &amp; "-" &amp; _xlpm.codArea &amp; "-" &amp; _xlpm.secuencia
)</f>
        <v>-SinArea-0000</v>
      </c>
      <c r="L153" s="77"/>
      <c r="M153" s="32"/>
      <c r="N153" s="32"/>
      <c r="O153" s="32"/>
      <c r="P153" s="32"/>
    </row>
    <row r="154" spans="3:16" x14ac:dyDescent="0.3">
      <c r="C154" s="11"/>
      <c r="D154" s="32"/>
      <c r="E154" s="11"/>
      <c r="G154" s="15"/>
      <c r="H154" s="47"/>
      <c r="I154" s="76"/>
      <c r="J154" s="76"/>
      <c r="K154" s="78" t="str">
        <f>_xlfn.LET(
    _xlpm.itemBuscado, B154,
    _xlpm.areaBuscada, C154,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TEXT(COUNTIF($C$2:C154, _xlpm.areaBuscada), "0000"),
    _xlpm.codItem &amp; "-" &amp; _xlpm.codArea &amp; "-" &amp; _xlpm.secuencia
)</f>
        <v>-SinArea-0000</v>
      </c>
      <c r="L154" s="77"/>
      <c r="M154" s="32"/>
      <c r="N154" s="32"/>
      <c r="O154" s="32"/>
      <c r="P154" s="32"/>
    </row>
    <row r="155" spans="3:16" x14ac:dyDescent="0.3">
      <c r="C155" s="11"/>
      <c r="D155" s="32"/>
      <c r="E155" s="11"/>
      <c r="G155" s="15"/>
      <c r="H155" s="47"/>
      <c r="I155" s="76"/>
      <c r="J155" s="76"/>
      <c r="K155" s="78" t="str">
        <f>_xlfn.LET(
    _xlpm.itemBuscado, B155,
    _xlpm.areaBuscada, C155,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TEXT(COUNTIF($C$2:C155, _xlpm.areaBuscada), "0000"),
    _xlpm.codItem &amp; "-" &amp; _xlpm.codArea &amp; "-" &amp; _xlpm.secuencia
)</f>
        <v>-SinArea-0000</v>
      </c>
      <c r="L155" s="77"/>
      <c r="M155" s="32"/>
      <c r="N155" s="32"/>
      <c r="O155" s="32"/>
      <c r="P155" s="32"/>
    </row>
    <row r="156" spans="3:16" x14ac:dyDescent="0.3">
      <c r="C156" s="11"/>
      <c r="D156" s="32"/>
      <c r="E156" s="11"/>
      <c r="G156" s="15"/>
      <c r="H156" s="47"/>
      <c r="I156" s="76"/>
      <c r="J156" s="76"/>
      <c r="K156" s="78" t="str">
        <f>_xlfn.LET(
    _xlpm.itemBuscado, B156,
    _xlpm.areaBuscada, C156,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TEXT(COUNTIF($C$2:C156, _xlpm.areaBuscada), "0000"),
    _xlpm.codItem &amp; "-" &amp; _xlpm.codArea &amp; "-" &amp; _xlpm.secuencia
)</f>
        <v>-SinArea-0000</v>
      </c>
      <c r="L156" s="77"/>
      <c r="M156" s="32"/>
      <c r="N156" s="32"/>
      <c r="O156" s="32"/>
      <c r="P156" s="32"/>
    </row>
    <row r="157" spans="3:16" x14ac:dyDescent="0.3">
      <c r="C157" s="11"/>
      <c r="D157" s="32"/>
      <c r="E157" s="11"/>
      <c r="G157" s="15"/>
      <c r="H157" s="47"/>
      <c r="I157" s="76"/>
      <c r="J157" s="76"/>
      <c r="K157" s="78" t="str">
        <f>_xlfn.LET(
    _xlpm.itemBuscado, B157,
    _xlpm.areaBuscada, C157,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TEXT(COUNTIF($C$2:C157, _xlpm.areaBuscada), "0000"),
    _xlpm.codItem &amp; "-" &amp; _xlpm.codArea &amp; "-" &amp; _xlpm.secuencia
)</f>
        <v>-SinArea-0000</v>
      </c>
      <c r="L157" s="77"/>
      <c r="M157" s="32"/>
      <c r="N157" s="32"/>
      <c r="O157" s="32"/>
      <c r="P157" s="32"/>
    </row>
    <row r="158" spans="3:16" x14ac:dyDescent="0.3">
      <c r="C158" s="11"/>
      <c r="D158" s="32"/>
      <c r="E158" s="11"/>
      <c r="G158" s="15"/>
      <c r="H158" s="47"/>
      <c r="I158" s="76"/>
      <c r="J158" s="76"/>
      <c r="K158" s="78" t="str">
        <f>_xlfn.LET(
    _xlpm.itemBuscado, B158,
    _xlpm.areaBuscada, C158,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TEXT(COUNTIF($C$2:C158, _xlpm.areaBuscada), "0000"),
    _xlpm.codItem &amp; "-" &amp; _xlpm.codArea &amp; "-" &amp; _xlpm.secuencia
)</f>
        <v>-SinArea-0000</v>
      </c>
      <c r="L158" s="77"/>
      <c r="M158" s="32"/>
      <c r="N158" s="32"/>
      <c r="O158" s="32"/>
      <c r="P158" s="32"/>
    </row>
    <row r="159" spans="3:16" x14ac:dyDescent="0.3">
      <c r="C159" s="11"/>
      <c r="D159" s="32"/>
      <c r="E159" s="11"/>
      <c r="G159" s="15"/>
      <c r="H159" s="47"/>
      <c r="I159" s="76"/>
      <c r="J159" s="76"/>
      <c r="K159" s="78" t="str">
        <f>_xlfn.LET(
    _xlpm.itemBuscado, B159,
    _xlpm.areaBuscada, C159,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TEXT(COUNTIF($C$2:C159, _xlpm.areaBuscada), "0000"),
    _xlpm.codItem &amp; "-" &amp; _xlpm.codArea &amp; "-" &amp; _xlpm.secuencia
)</f>
        <v>-SinArea-0000</v>
      </c>
      <c r="L159" s="77"/>
      <c r="M159" s="32"/>
      <c r="N159" s="32"/>
      <c r="O159" s="32"/>
      <c r="P159" s="32"/>
    </row>
    <row r="160" spans="3:16" x14ac:dyDescent="0.3">
      <c r="C160" s="11"/>
      <c r="D160" s="32"/>
      <c r="E160" s="11"/>
      <c r="G160" s="15"/>
      <c r="H160" s="47"/>
      <c r="I160" s="76"/>
      <c r="J160" s="76"/>
      <c r="K160" s="78" t="str">
        <f>_xlfn.LET(
    _xlpm.itemBuscado, B160,
    _xlpm.areaBuscada, C160,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TEXT(COUNTIF($C$2:C160, _xlpm.areaBuscada), "0000"),
    _xlpm.codItem &amp; "-" &amp; _xlpm.codArea &amp; "-" &amp; _xlpm.secuencia
)</f>
        <v>-SinArea-0000</v>
      </c>
      <c r="L160" s="77"/>
      <c r="M160" s="32"/>
      <c r="N160" s="32"/>
      <c r="O160" s="32"/>
      <c r="P160" s="32"/>
    </row>
    <row r="161" spans="3:16" x14ac:dyDescent="0.3">
      <c r="C161" s="11"/>
      <c r="D161" s="32"/>
      <c r="E161" s="11"/>
      <c r="G161" s="15"/>
      <c r="H161" s="47"/>
      <c r="I161" s="76"/>
      <c r="J161" s="76"/>
      <c r="K161" s="78" t="str">
        <f>_xlfn.LET(
    _xlpm.itemBuscado, B161,
    _xlpm.areaBuscada, C161,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TEXT(COUNTIF($C$2:C161, _xlpm.areaBuscada), "0000"),
    _xlpm.codItem &amp; "-" &amp; _xlpm.codArea &amp; "-" &amp; _xlpm.secuencia
)</f>
        <v>-SinArea-0000</v>
      </c>
      <c r="L161" s="77"/>
      <c r="M161" s="32"/>
      <c r="N161" s="32"/>
      <c r="O161" s="32"/>
      <c r="P161" s="32"/>
    </row>
    <row r="162" spans="3:16" x14ac:dyDescent="0.3">
      <c r="C162" s="11"/>
      <c r="D162" s="32"/>
      <c r="E162" s="11"/>
      <c r="G162" s="15"/>
      <c r="H162" s="47"/>
      <c r="I162" s="76"/>
      <c r="J162" s="76"/>
      <c r="K162" s="78" t="str">
        <f>_xlfn.LET(
    _xlpm.itemBuscado, B162,
    _xlpm.areaBuscada, C162,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TEXT(COUNTIF($C$2:C162, _xlpm.areaBuscada), "0000"),
    _xlpm.codItem &amp; "-" &amp; _xlpm.codArea &amp; "-" &amp; _xlpm.secuencia
)</f>
        <v>-SinArea-0000</v>
      </c>
      <c r="L162" s="77"/>
      <c r="M162" s="32"/>
      <c r="N162" s="32"/>
      <c r="O162" s="32"/>
      <c r="P162" s="32"/>
    </row>
    <row r="163" spans="3:16" x14ac:dyDescent="0.3">
      <c r="C163" s="11"/>
      <c r="D163" s="32"/>
      <c r="E163" s="11"/>
      <c r="G163" s="15"/>
      <c r="H163" s="47"/>
      <c r="I163" s="76"/>
      <c r="J163" s="76"/>
      <c r="K163" s="78" t="str">
        <f>_xlfn.LET(
    _xlpm.itemBuscado, B163,
    _xlpm.areaBuscada, C163,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TEXT(COUNTIF($C$2:C163, _xlpm.areaBuscada), "0000"),
    _xlpm.codItem &amp; "-" &amp; _xlpm.codArea &amp; "-" &amp; _xlpm.secuencia
)</f>
        <v>-SinArea-0000</v>
      </c>
      <c r="L163" s="77"/>
      <c r="M163" s="32"/>
      <c r="N163" s="32"/>
      <c r="O163" s="32"/>
      <c r="P163" s="32"/>
    </row>
    <row r="164" spans="3:16" x14ac:dyDescent="0.3">
      <c r="C164" s="11"/>
      <c r="D164" s="32"/>
      <c r="E164" s="11"/>
      <c r="G164" s="15"/>
      <c r="H164" s="47"/>
      <c r="I164" s="76"/>
      <c r="J164" s="76"/>
      <c r="K164" s="78" t="str">
        <f>_xlfn.LET(
    _xlpm.itemBuscado, B164,
    _xlpm.areaBuscada, C164,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TEXT(COUNTIF($C$2:C164, _xlpm.areaBuscada), "0000"),
    _xlpm.codItem &amp; "-" &amp; _xlpm.codArea &amp; "-" &amp; _xlpm.secuencia
)</f>
        <v>-SinArea-0000</v>
      </c>
      <c r="L164" s="77"/>
      <c r="M164" s="32"/>
      <c r="N164" s="32"/>
      <c r="O164" s="32"/>
      <c r="P164" s="32"/>
    </row>
    <row r="165" spans="3:16" x14ac:dyDescent="0.3">
      <c r="C165" s="11"/>
      <c r="D165" s="32"/>
      <c r="E165" s="11"/>
      <c r="G165" s="15"/>
      <c r="H165" s="47"/>
      <c r="I165" s="76"/>
      <c r="J165" s="76"/>
      <c r="K165" s="78" t="str">
        <f>_xlfn.LET(
    _xlpm.itemBuscado, B165,
    _xlpm.areaBuscada, C165,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TEXT(COUNTIF($C$2:C165, _xlpm.areaBuscada), "0000"),
    _xlpm.codItem &amp; "-" &amp; _xlpm.codArea &amp; "-" &amp; _xlpm.secuencia
)</f>
        <v>-SinArea-0000</v>
      </c>
      <c r="L165" s="77"/>
      <c r="M165" s="32"/>
      <c r="N165" s="32"/>
      <c r="O165" s="32"/>
      <c r="P165" s="32"/>
    </row>
    <row r="166" spans="3:16" x14ac:dyDescent="0.3">
      <c r="C166" s="11"/>
      <c r="D166" s="32"/>
      <c r="E166" s="11"/>
      <c r="G166" s="15"/>
      <c r="H166" s="47"/>
      <c r="I166" s="76"/>
      <c r="J166" s="76"/>
      <c r="K166" s="78" t="str">
        <f>_xlfn.LET(
    _xlpm.itemBuscado, B166,
    _xlpm.areaBuscada, C166,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TEXT(COUNTIF($C$2:C166, _xlpm.areaBuscada), "0000"),
    _xlpm.codItem &amp; "-" &amp; _xlpm.codArea &amp; "-" &amp; _xlpm.secuencia
)</f>
        <v>-SinArea-0000</v>
      </c>
      <c r="L166" s="77"/>
      <c r="M166" s="32"/>
      <c r="N166" s="32"/>
      <c r="O166" s="32"/>
      <c r="P166" s="32"/>
    </row>
    <row r="167" spans="3:16" x14ac:dyDescent="0.3">
      <c r="C167" s="11"/>
      <c r="D167" s="32"/>
      <c r="E167" s="11"/>
      <c r="G167" s="15"/>
      <c r="H167" s="47"/>
      <c r="I167" s="76"/>
      <c r="J167" s="76"/>
      <c r="K167" s="78" t="str">
        <f>_xlfn.LET(
    _xlpm.itemBuscado, B167,
    _xlpm.areaBuscada, C167,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TEXT(COUNTIF($C$2:C167, _xlpm.areaBuscada), "0000"),
    _xlpm.codItem &amp; "-" &amp; _xlpm.codArea &amp; "-" &amp; _xlpm.secuencia
)</f>
        <v>-SinArea-0000</v>
      </c>
      <c r="L167" s="77"/>
      <c r="M167" s="32"/>
      <c r="N167" s="32"/>
      <c r="O167" s="32"/>
      <c r="P167" s="32"/>
    </row>
    <row r="168" spans="3:16" x14ac:dyDescent="0.3">
      <c r="C168" s="11"/>
      <c r="D168" s="32"/>
      <c r="E168" s="11"/>
      <c r="G168" s="15"/>
      <c r="H168" s="47"/>
      <c r="I168" s="76"/>
      <c r="J168" s="76"/>
      <c r="K168" s="78" t="str">
        <f>_xlfn.LET(
    _xlpm.itemBuscado, B168,
    _xlpm.areaBuscada, C168,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TEXT(COUNTIF($C$2:C168, _xlpm.areaBuscada), "0000"),
    _xlpm.codItem &amp; "-" &amp; _xlpm.codArea &amp; "-" &amp; _xlpm.secuencia
)</f>
        <v>-SinArea-0000</v>
      </c>
      <c r="L168" s="77"/>
      <c r="M168" s="32"/>
      <c r="N168" s="32"/>
      <c r="O168" s="32"/>
      <c r="P168" s="32"/>
    </row>
    <row r="169" spans="3:16" x14ac:dyDescent="0.3">
      <c r="C169" s="11"/>
      <c r="D169" s="32"/>
      <c r="E169" s="11"/>
      <c r="G169" s="15"/>
      <c r="H169" s="47"/>
      <c r="I169" s="76"/>
      <c r="J169" s="76"/>
      <c r="K169" s="78" t="str">
        <f>_xlfn.LET(
    _xlpm.itemBuscado, B169,
    _xlpm.areaBuscada, C169,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TEXT(COUNTIF($C$2:C169, _xlpm.areaBuscada), "0000"),
    _xlpm.codItem &amp; "-" &amp; _xlpm.codArea &amp; "-" &amp; _xlpm.secuencia
)</f>
        <v>-SinArea-0000</v>
      </c>
      <c r="L169" s="77"/>
      <c r="M169" s="32"/>
      <c r="N169" s="32"/>
      <c r="O169" s="32"/>
      <c r="P169" s="32"/>
    </row>
    <row r="170" spans="3:16" x14ac:dyDescent="0.3">
      <c r="C170" s="11"/>
      <c r="D170" s="32"/>
      <c r="E170" s="11"/>
      <c r="G170" s="15"/>
      <c r="H170" s="47"/>
      <c r="I170" s="76"/>
      <c r="J170" s="76"/>
      <c r="K170" s="78" t="str">
        <f>_xlfn.LET(
    _xlpm.itemBuscado, B170,
    _xlpm.areaBuscada, C170,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TEXT(COUNTIF($C$2:C170, _xlpm.areaBuscada), "0000"),
    _xlpm.codItem &amp; "-" &amp; _xlpm.codArea &amp; "-" &amp; _xlpm.secuencia
)</f>
        <v>-SinArea-0000</v>
      </c>
      <c r="L170" s="77"/>
      <c r="M170" s="32"/>
      <c r="N170" s="32"/>
      <c r="O170" s="32"/>
      <c r="P170" s="32"/>
    </row>
    <row r="171" spans="3:16" x14ac:dyDescent="0.3">
      <c r="C171" s="11"/>
      <c r="D171" s="32"/>
      <c r="E171" s="11"/>
      <c r="G171" s="15"/>
      <c r="H171" s="47"/>
      <c r="I171" s="76"/>
      <c r="J171" s="76"/>
      <c r="K171" s="78" t="str">
        <f>_xlfn.LET(
    _xlpm.itemBuscado, B171,
    _xlpm.areaBuscada, C171,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TEXT(COUNTIF($C$2:C171, _xlpm.areaBuscada), "0000"),
    _xlpm.codItem &amp; "-" &amp; _xlpm.codArea &amp; "-" &amp; _xlpm.secuencia
)</f>
        <v>-SinArea-0000</v>
      </c>
      <c r="L171" s="77"/>
      <c r="M171" s="32"/>
      <c r="N171" s="32"/>
      <c r="O171" s="32"/>
      <c r="P171" s="32"/>
    </row>
    <row r="172" spans="3:16" x14ac:dyDescent="0.3">
      <c r="C172" s="11"/>
      <c r="D172" s="32"/>
      <c r="E172" s="11"/>
      <c r="G172" s="15"/>
      <c r="H172" s="47"/>
      <c r="I172" s="76"/>
      <c r="J172" s="76"/>
      <c r="K172" s="78" t="str">
        <f>_xlfn.LET(
    _xlpm.itemBuscado, B172,
    _xlpm.areaBuscada, C172,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TEXT(COUNTIF($C$2:C172, _xlpm.areaBuscada), "0000"),
    _xlpm.codItem &amp; "-" &amp; _xlpm.codArea &amp; "-" &amp; _xlpm.secuencia
)</f>
        <v>-SinArea-0000</v>
      </c>
      <c r="L172" s="77"/>
      <c r="M172" s="32"/>
      <c r="N172" s="32"/>
      <c r="O172" s="32"/>
      <c r="P172" s="32"/>
    </row>
    <row r="173" spans="3:16" x14ac:dyDescent="0.3">
      <c r="C173" s="11"/>
      <c r="D173" s="32"/>
      <c r="E173" s="11"/>
      <c r="G173" s="15"/>
      <c r="H173" s="47"/>
      <c r="I173" s="76"/>
      <c r="J173" s="76"/>
      <c r="K173" s="78" t="str">
        <f>_xlfn.LET(
    _xlpm.itemBuscado, B173,
    _xlpm.areaBuscada, C173,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TEXT(COUNTIF($C$2:C173, _xlpm.areaBuscada), "0000"),
    _xlpm.codItem &amp; "-" &amp; _xlpm.codArea &amp; "-" &amp; _xlpm.secuencia
)</f>
        <v>-SinArea-0000</v>
      </c>
      <c r="L173" s="77"/>
      <c r="M173" s="32"/>
      <c r="N173" s="32"/>
      <c r="O173" s="32"/>
      <c r="P173" s="32"/>
    </row>
    <row r="174" spans="3:16" x14ac:dyDescent="0.3">
      <c r="C174" s="11"/>
      <c r="D174" s="32"/>
      <c r="E174" s="11"/>
      <c r="G174" s="15"/>
      <c r="H174" s="47"/>
      <c r="I174" s="76"/>
      <c r="J174" s="76"/>
      <c r="K174" s="78" t="str">
        <f>_xlfn.LET(
    _xlpm.itemBuscado, B174,
    _xlpm.areaBuscada, C174,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TEXT(COUNTIF($C$2:C174, _xlpm.areaBuscada), "0000"),
    _xlpm.codItem &amp; "-" &amp; _xlpm.codArea &amp; "-" &amp; _xlpm.secuencia
)</f>
        <v>-SinArea-0000</v>
      </c>
      <c r="L174" s="77"/>
      <c r="M174" s="32"/>
      <c r="N174" s="32"/>
      <c r="O174" s="32"/>
      <c r="P174" s="32"/>
    </row>
    <row r="175" spans="3:16" x14ac:dyDescent="0.3">
      <c r="C175" s="11"/>
      <c r="D175" s="32"/>
      <c r="E175" s="11"/>
      <c r="G175" s="15"/>
      <c r="H175" s="47"/>
      <c r="I175" s="76"/>
      <c r="J175" s="76"/>
      <c r="K175" s="78" t="str">
        <f>_xlfn.LET(
    _xlpm.itemBuscado, B175,
    _xlpm.areaBuscada, C175,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TEXT(COUNTIF($C$2:C175, _xlpm.areaBuscada), "0000"),
    _xlpm.codItem &amp; "-" &amp; _xlpm.codArea &amp; "-" &amp; _xlpm.secuencia
)</f>
        <v>-SinArea-0000</v>
      </c>
      <c r="L175" s="77"/>
      <c r="M175" s="32"/>
      <c r="N175" s="32"/>
      <c r="O175" s="32"/>
      <c r="P175" s="32"/>
    </row>
    <row r="176" spans="3:16" x14ac:dyDescent="0.3">
      <c r="C176" s="11"/>
      <c r="D176" s="32"/>
      <c r="E176" s="11"/>
      <c r="G176" s="15"/>
      <c r="H176" s="47"/>
      <c r="I176" s="76"/>
      <c r="J176" s="76"/>
      <c r="K176" s="78" t="str">
        <f>_xlfn.LET(
    _xlpm.itemBuscado, B176,
    _xlpm.areaBuscada, C176,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TEXT(COUNTIF($C$2:C176, _xlpm.areaBuscada), "0000"),
    _xlpm.codItem &amp; "-" &amp; _xlpm.codArea &amp; "-" &amp; _xlpm.secuencia
)</f>
        <v>-SinArea-0000</v>
      </c>
      <c r="L176" s="77"/>
      <c r="M176" s="32"/>
      <c r="N176" s="32"/>
      <c r="O176" s="32"/>
      <c r="P176" s="32"/>
    </row>
    <row r="177" spans="3:16" x14ac:dyDescent="0.3">
      <c r="C177" s="11"/>
      <c r="D177" s="32"/>
      <c r="E177" s="11"/>
      <c r="G177" s="15"/>
      <c r="H177" s="47"/>
      <c r="I177" s="76"/>
      <c r="J177" s="76"/>
      <c r="K177" s="78" t="str">
        <f>_xlfn.LET(
    _xlpm.itemBuscado, B177,
    _xlpm.areaBuscada, C177,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TEXT(COUNTIF($C$2:C177, _xlpm.areaBuscada), "0000"),
    _xlpm.codItem &amp; "-" &amp; _xlpm.codArea &amp; "-" &amp; _xlpm.secuencia
)</f>
        <v>-SinArea-0000</v>
      </c>
      <c r="L177" s="77"/>
      <c r="M177" s="32"/>
      <c r="N177" s="32"/>
      <c r="O177" s="32"/>
      <c r="P177" s="32"/>
    </row>
    <row r="178" spans="3:16" x14ac:dyDescent="0.3">
      <c r="C178" s="11"/>
      <c r="D178" s="32"/>
      <c r="E178" s="11"/>
      <c r="G178" s="15"/>
      <c r="H178" s="47"/>
      <c r="I178" s="76"/>
      <c r="J178" s="76"/>
      <c r="K178" s="78" t="str">
        <f>_xlfn.LET(
    _xlpm.itemBuscado, B178,
    _xlpm.areaBuscada, C178,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TEXT(COUNTIF($C$2:C178, _xlpm.areaBuscada), "0000"),
    _xlpm.codItem &amp; "-" &amp; _xlpm.codArea &amp; "-" &amp; _xlpm.secuencia
)</f>
        <v>-SinArea-0000</v>
      </c>
      <c r="L178" s="77"/>
      <c r="M178" s="32"/>
      <c r="N178" s="32"/>
      <c r="O178" s="32"/>
      <c r="P178" s="32"/>
    </row>
    <row r="179" spans="3:16" x14ac:dyDescent="0.3">
      <c r="C179" s="11"/>
      <c r="D179" s="32"/>
      <c r="E179" s="11"/>
      <c r="G179" s="15"/>
      <c r="H179" s="47"/>
      <c r="I179" s="76"/>
      <c r="J179" s="76"/>
      <c r="K179" s="78" t="str">
        <f>_xlfn.LET(
    _xlpm.itemBuscado, B179,
    _xlpm.areaBuscada, C179,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TEXT(COUNTIF($C$2:C179, _xlpm.areaBuscada), "0000"),
    _xlpm.codItem &amp; "-" &amp; _xlpm.codArea &amp; "-" &amp; _xlpm.secuencia
)</f>
        <v>-SinArea-0000</v>
      </c>
      <c r="L179" s="77"/>
      <c r="M179" s="32"/>
      <c r="N179" s="32"/>
      <c r="O179" s="32"/>
      <c r="P179" s="32"/>
    </row>
    <row r="180" spans="3:16" x14ac:dyDescent="0.3">
      <c r="C180" s="11"/>
      <c r="D180" s="32"/>
      <c r="E180" s="11"/>
      <c r="G180" s="15"/>
      <c r="H180" s="47"/>
      <c r="I180" s="76"/>
      <c r="J180" s="76"/>
      <c r="K180" s="78" t="str">
        <f>_xlfn.LET(
    _xlpm.itemBuscado, B180,
    _xlpm.areaBuscada, C180,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TEXT(COUNTIF($C$2:C180, _xlpm.areaBuscada), "0000"),
    _xlpm.codItem &amp; "-" &amp; _xlpm.codArea &amp; "-" &amp; _xlpm.secuencia
)</f>
        <v>-SinArea-0000</v>
      </c>
      <c r="L180" s="77"/>
      <c r="M180" s="32"/>
      <c r="N180" s="32"/>
      <c r="O180" s="32"/>
      <c r="P180" s="32"/>
    </row>
    <row r="181" spans="3:16" x14ac:dyDescent="0.3">
      <c r="C181" s="11"/>
      <c r="D181" s="32"/>
      <c r="E181" s="11"/>
      <c r="G181" s="15"/>
      <c r="H181" s="47"/>
      <c r="I181" s="76"/>
      <c r="J181" s="76"/>
      <c r="K181" s="78" t="str">
        <f>_xlfn.LET(
    _xlpm.itemBuscado, B181,
    _xlpm.areaBuscada, C181,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TEXT(COUNTIF($C$2:C181, _xlpm.areaBuscada), "0000"),
    _xlpm.codItem &amp; "-" &amp; _xlpm.codArea &amp; "-" &amp; _xlpm.secuencia
)</f>
        <v>-SinArea-0000</v>
      </c>
      <c r="L181" s="77"/>
      <c r="M181" s="32"/>
      <c r="N181" s="32"/>
      <c r="O181" s="32"/>
      <c r="P181" s="32"/>
    </row>
    <row r="182" spans="3:16" x14ac:dyDescent="0.3">
      <c r="C182" s="11"/>
      <c r="D182" s="32"/>
      <c r="E182" s="11"/>
      <c r="G182" s="15"/>
      <c r="H182" s="47"/>
      <c r="I182" s="76"/>
      <c r="J182" s="76"/>
      <c r="K182" s="78" t="str">
        <f>_xlfn.LET(
    _xlpm.itemBuscado, B182,
    _xlpm.areaBuscada, C182,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TEXT(COUNTIF($C$2:C182, _xlpm.areaBuscada), "0000"),
    _xlpm.codItem &amp; "-" &amp; _xlpm.codArea &amp; "-" &amp; _xlpm.secuencia
)</f>
        <v>-SinArea-0000</v>
      </c>
      <c r="L182" s="77"/>
      <c r="M182" s="32"/>
      <c r="N182" s="32"/>
      <c r="O182" s="32"/>
      <c r="P182" s="32"/>
    </row>
    <row r="183" spans="3:16" x14ac:dyDescent="0.3">
      <c r="C183" s="11"/>
      <c r="D183" s="32"/>
      <c r="E183" s="11"/>
      <c r="G183" s="15"/>
      <c r="H183" s="47"/>
      <c r="I183" s="76"/>
      <c r="J183" s="76"/>
      <c r="K183" s="78" t="str">
        <f>_xlfn.LET(
    _xlpm.itemBuscado, B183,
    _xlpm.areaBuscada, C183,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TEXT(COUNTIF($C$2:C183, _xlpm.areaBuscada), "0000"),
    _xlpm.codItem &amp; "-" &amp; _xlpm.codArea &amp; "-" &amp; _xlpm.secuencia
)</f>
        <v>-SinArea-0000</v>
      </c>
      <c r="L183" s="77"/>
      <c r="M183" s="32"/>
      <c r="N183" s="32"/>
      <c r="O183" s="32"/>
      <c r="P183" s="32"/>
    </row>
    <row r="184" spans="3:16" x14ac:dyDescent="0.3">
      <c r="C184" s="11"/>
      <c r="D184" s="32"/>
      <c r="E184" s="11"/>
      <c r="G184" s="15"/>
      <c r="H184" s="47"/>
      <c r="I184" s="76"/>
      <c r="J184" s="76"/>
      <c r="K184" s="78" t="str">
        <f>_xlfn.LET(
    _xlpm.itemBuscado, B184,
    _xlpm.areaBuscada, C184,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TEXT(COUNTIF($C$2:C184, _xlpm.areaBuscada), "0000"),
    _xlpm.codItem &amp; "-" &amp; _xlpm.codArea &amp; "-" &amp; _xlpm.secuencia
)</f>
        <v>-SinArea-0000</v>
      </c>
      <c r="L184" s="77"/>
      <c r="M184" s="32"/>
      <c r="N184" s="32"/>
      <c r="O184" s="32"/>
      <c r="P184" s="32"/>
    </row>
    <row r="185" spans="3:16" x14ac:dyDescent="0.3">
      <c r="C185" s="11"/>
      <c r="D185" s="32"/>
      <c r="E185" s="11"/>
      <c r="G185" s="15"/>
      <c r="H185" s="47"/>
      <c r="I185" s="76"/>
      <c r="J185" s="76"/>
      <c r="K185" s="78" t="str">
        <f>_xlfn.LET(
    _xlpm.itemBuscado, B185,
    _xlpm.areaBuscada, C185,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TEXT(COUNTIF($C$2:C185, _xlpm.areaBuscada), "0000"),
    _xlpm.codItem &amp; "-" &amp; _xlpm.codArea &amp; "-" &amp; _xlpm.secuencia
)</f>
        <v>-SinArea-0000</v>
      </c>
      <c r="L185" s="77"/>
      <c r="M185" s="32"/>
      <c r="N185" s="32"/>
      <c r="O185" s="32"/>
      <c r="P185" s="32"/>
    </row>
    <row r="186" spans="3:16" x14ac:dyDescent="0.3">
      <c r="C186" s="11"/>
      <c r="D186" s="32"/>
      <c r="E186" s="11"/>
      <c r="G186" s="15"/>
      <c r="H186" s="47"/>
      <c r="I186" s="76"/>
      <c r="J186" s="76"/>
      <c r="K186" s="78" t="str">
        <f>_xlfn.LET(
    _xlpm.itemBuscado, B186,
    _xlpm.areaBuscada, C186,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TEXT(COUNTIF($C$2:C186, _xlpm.areaBuscada), "0000"),
    _xlpm.codItem &amp; "-" &amp; _xlpm.codArea &amp; "-" &amp; _xlpm.secuencia
)</f>
        <v>-SinArea-0000</v>
      </c>
      <c r="L186" s="77"/>
      <c r="M186" s="32"/>
      <c r="N186" s="32"/>
      <c r="O186" s="32"/>
      <c r="P186" s="32"/>
    </row>
    <row r="187" spans="3:16" x14ac:dyDescent="0.3">
      <c r="C187" s="11"/>
      <c r="D187" s="32"/>
      <c r="E187" s="11"/>
      <c r="G187" s="15"/>
      <c r="H187" s="47"/>
      <c r="I187" s="76"/>
      <c r="J187" s="76"/>
      <c r="K187" s="78" t="str">
        <f>_xlfn.LET(
    _xlpm.itemBuscado, B187,
    _xlpm.areaBuscada, C187,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TEXT(COUNTIF($C$2:C187, _xlpm.areaBuscada), "0000"),
    _xlpm.codItem &amp; "-" &amp; _xlpm.codArea &amp; "-" &amp; _xlpm.secuencia
)</f>
        <v>-SinArea-0000</v>
      </c>
      <c r="L187" s="77"/>
      <c r="M187" s="32"/>
      <c r="N187" s="32"/>
      <c r="O187" s="32"/>
      <c r="P187" s="32"/>
    </row>
    <row r="188" spans="3:16" x14ac:dyDescent="0.3">
      <c r="C188" s="11"/>
      <c r="D188" s="32"/>
      <c r="E188" s="11"/>
      <c r="G188" s="15"/>
      <c r="H188" s="47"/>
      <c r="I188" s="76"/>
      <c r="J188" s="76"/>
      <c r="K188" s="78" t="str">
        <f>_xlfn.LET(
    _xlpm.itemBuscado, B188,
    _xlpm.areaBuscada, C188,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TEXT(COUNTIF($C$2:C188, _xlpm.areaBuscada), "0000"),
    _xlpm.codItem &amp; "-" &amp; _xlpm.codArea &amp; "-" &amp; _xlpm.secuencia
)</f>
        <v>-SinArea-0000</v>
      </c>
      <c r="L188" s="77"/>
      <c r="M188" s="32"/>
      <c r="N188" s="32"/>
      <c r="O188" s="32"/>
      <c r="P188" s="32"/>
    </row>
    <row r="189" spans="3:16" x14ac:dyDescent="0.3">
      <c r="C189" s="11"/>
      <c r="D189" s="32"/>
      <c r="E189" s="11"/>
      <c r="G189" s="15"/>
      <c r="H189" s="47"/>
      <c r="I189" s="76"/>
      <c r="J189" s="76"/>
      <c r="K189" s="78" t="str">
        <f>_xlfn.LET(
    _xlpm.itemBuscado, B189,
    _xlpm.areaBuscada, C189,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TEXT(COUNTIF($C$2:C189, _xlpm.areaBuscada), "0000"),
    _xlpm.codItem &amp; "-" &amp; _xlpm.codArea &amp; "-" &amp; _xlpm.secuencia
)</f>
        <v>-SinArea-0000</v>
      </c>
      <c r="L189" s="77"/>
      <c r="M189" s="32"/>
      <c r="N189" s="32"/>
      <c r="O189" s="32"/>
      <c r="P189" s="32"/>
    </row>
    <row r="190" spans="3:16" x14ac:dyDescent="0.3">
      <c r="C190" s="11"/>
      <c r="D190" s="32"/>
      <c r="E190" s="11"/>
      <c r="G190" s="15"/>
      <c r="H190" s="47"/>
      <c r="I190" s="76"/>
      <c r="J190" s="76"/>
      <c r="K190" s="78" t="str">
        <f>_xlfn.LET(
    _xlpm.itemBuscado, B190,
    _xlpm.areaBuscada, C190,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TEXT(COUNTIF($C$2:C190, _xlpm.areaBuscada), "0000"),
    _xlpm.codItem &amp; "-" &amp; _xlpm.codArea &amp; "-" &amp; _xlpm.secuencia
)</f>
        <v>-SinArea-0000</v>
      </c>
      <c r="L190" s="77"/>
      <c r="M190" s="32"/>
      <c r="N190" s="32"/>
      <c r="O190" s="32"/>
      <c r="P190" s="32"/>
    </row>
    <row r="191" spans="3:16" x14ac:dyDescent="0.3">
      <c r="C191" s="11"/>
      <c r="D191" s="32"/>
      <c r="E191" s="11"/>
      <c r="G191" s="15"/>
      <c r="H191" s="47"/>
      <c r="I191" s="76"/>
      <c r="J191" s="76"/>
      <c r="K191" s="78" t="str">
        <f>_xlfn.LET(
    _xlpm.itemBuscado, B191,
    _xlpm.areaBuscada, C191,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TEXT(COUNTIF($C$2:C191, _xlpm.areaBuscada), "0000"),
    _xlpm.codItem &amp; "-" &amp; _xlpm.codArea &amp; "-" &amp; _xlpm.secuencia
)</f>
        <v>-SinArea-0000</v>
      </c>
      <c r="L191" s="77"/>
      <c r="M191" s="32"/>
      <c r="N191" s="32"/>
      <c r="O191" s="32"/>
      <c r="P191" s="32"/>
    </row>
    <row r="192" spans="3:16" x14ac:dyDescent="0.3">
      <c r="C192" s="11"/>
      <c r="D192" s="32"/>
      <c r="E192" s="11"/>
      <c r="G192" s="15"/>
      <c r="H192" s="47"/>
      <c r="I192" s="76"/>
      <c r="J192" s="76"/>
      <c r="K192" s="78" t="str">
        <f>_xlfn.LET(
    _xlpm.itemBuscado, B192,
    _xlpm.areaBuscada, C192,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TEXT(COUNTIF($C$2:C192, _xlpm.areaBuscada), "0000"),
    _xlpm.codItem &amp; "-" &amp; _xlpm.codArea &amp; "-" &amp; _xlpm.secuencia
)</f>
        <v>-SinArea-0000</v>
      </c>
      <c r="L192" s="77"/>
      <c r="M192" s="32"/>
      <c r="N192" s="32"/>
      <c r="O192" s="32"/>
      <c r="P192" s="32"/>
    </row>
    <row r="193" spans="3:16" x14ac:dyDescent="0.3">
      <c r="C193" s="11"/>
      <c r="D193" s="32"/>
      <c r="E193" s="11"/>
      <c r="G193" s="15"/>
      <c r="H193" s="47"/>
      <c r="I193" s="76"/>
      <c r="J193" s="76"/>
      <c r="K193" s="78" t="str">
        <f>_xlfn.LET(
    _xlpm.itemBuscado, B193,
    _xlpm.areaBuscada, C193,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TEXT(COUNTIF($C$2:C193, _xlpm.areaBuscada), "0000"),
    _xlpm.codItem &amp; "-" &amp; _xlpm.codArea &amp; "-" &amp; _xlpm.secuencia
)</f>
        <v>-SinArea-0000</v>
      </c>
      <c r="L193" s="77"/>
      <c r="M193" s="32"/>
      <c r="N193" s="32"/>
      <c r="O193" s="32"/>
      <c r="P193" s="32"/>
    </row>
    <row r="194" spans="3:16" x14ac:dyDescent="0.3">
      <c r="C194" s="11"/>
      <c r="D194" s="32"/>
      <c r="E194" s="11"/>
      <c r="G194" s="15"/>
      <c r="H194" s="47"/>
      <c r="I194" s="76"/>
      <c r="J194" s="76"/>
      <c r="K194" s="78" t="str">
        <f>_xlfn.LET(
    _xlpm.itemBuscado, B194,
    _xlpm.areaBuscada, C194,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TEXT(COUNTIF($C$2:C194, _xlpm.areaBuscada), "0000"),
    _xlpm.codItem &amp; "-" &amp; _xlpm.codArea &amp; "-" &amp; _xlpm.secuencia
)</f>
        <v>-SinArea-0000</v>
      </c>
      <c r="L194" s="77"/>
      <c r="M194" s="32"/>
      <c r="N194" s="32"/>
      <c r="O194" s="32"/>
      <c r="P194" s="32"/>
    </row>
    <row r="195" spans="3:16" x14ac:dyDescent="0.3">
      <c r="C195" s="11"/>
      <c r="D195" s="32"/>
      <c r="E195" s="11"/>
      <c r="G195" s="15"/>
      <c r="H195" s="47"/>
      <c r="I195" s="76"/>
      <c r="J195" s="76"/>
      <c r="K195" s="78" t="str">
        <f>_xlfn.LET(
    _xlpm.itemBuscado, B195,
    _xlpm.areaBuscada, C195,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TEXT(COUNTIF($C$2:C195, _xlpm.areaBuscada), "0000"),
    _xlpm.codItem &amp; "-" &amp; _xlpm.codArea &amp; "-" &amp; _xlpm.secuencia
)</f>
        <v>-SinArea-0000</v>
      </c>
      <c r="L195" s="77"/>
      <c r="M195" s="32"/>
      <c r="N195" s="32"/>
      <c r="O195" s="32"/>
      <c r="P195" s="32"/>
    </row>
    <row r="196" spans="3:16" x14ac:dyDescent="0.3">
      <c r="C196" s="11"/>
      <c r="D196" s="32"/>
      <c r="E196" s="11"/>
      <c r="G196" s="15"/>
      <c r="H196" s="47"/>
      <c r="I196" s="76"/>
      <c r="J196" s="76"/>
      <c r="K196" s="78" t="str">
        <f>_xlfn.LET(
    _xlpm.itemBuscado, B196,
    _xlpm.areaBuscada, C196,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TEXT(COUNTIF($C$2:C196, _xlpm.areaBuscada), "0000"),
    _xlpm.codItem &amp; "-" &amp; _xlpm.codArea &amp; "-" &amp; _xlpm.secuencia
)</f>
        <v>-SinArea-0000</v>
      </c>
      <c r="L196" s="77"/>
      <c r="M196" s="32"/>
      <c r="N196" s="32"/>
      <c r="O196" s="32"/>
      <c r="P196" s="32"/>
    </row>
    <row r="197" spans="3:16" x14ac:dyDescent="0.3">
      <c r="C197" s="11"/>
      <c r="D197" s="32"/>
      <c r="E197" s="11"/>
      <c r="G197" s="15"/>
      <c r="H197" s="47"/>
      <c r="I197" s="76"/>
      <c r="J197" s="76"/>
      <c r="K197" s="78" t="str">
        <f>_xlfn.LET(
    _xlpm.itemBuscado, B197,
    _xlpm.areaBuscada, C197,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TEXT(COUNTIF($C$2:C197, _xlpm.areaBuscada), "0000"),
    _xlpm.codItem &amp; "-" &amp; _xlpm.codArea &amp; "-" &amp; _xlpm.secuencia
)</f>
        <v>-SinArea-0000</v>
      </c>
      <c r="L197" s="77"/>
      <c r="M197" s="32"/>
      <c r="N197" s="32"/>
      <c r="O197" s="32"/>
      <c r="P197" s="32"/>
    </row>
    <row r="198" spans="3:16" x14ac:dyDescent="0.3">
      <c r="C198" s="11"/>
      <c r="D198" s="32"/>
      <c r="E198" s="11"/>
      <c r="G198" s="15"/>
      <c r="H198" s="47"/>
      <c r="I198" s="76"/>
      <c r="J198" s="76"/>
      <c r="K198" s="78" t="str">
        <f>_xlfn.LET(
    _xlpm.itemBuscado, B198,
    _xlpm.areaBuscada, C198,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TEXT(COUNTIF($C$2:C198, _xlpm.areaBuscada), "0000"),
    _xlpm.codItem &amp; "-" &amp; _xlpm.codArea &amp; "-" &amp; _xlpm.secuencia
)</f>
        <v>-SinArea-0000</v>
      </c>
      <c r="L198" s="77"/>
      <c r="M198" s="32"/>
      <c r="N198" s="32"/>
      <c r="O198" s="32"/>
      <c r="P198" s="32"/>
    </row>
    <row r="199" spans="3:16" x14ac:dyDescent="0.3">
      <c r="C199" s="11"/>
      <c r="D199" s="32"/>
      <c r="E199" s="11"/>
      <c r="G199" s="15"/>
      <c r="H199" s="47"/>
      <c r="I199" s="76"/>
      <c r="J199" s="76"/>
      <c r="K199" s="78" t="str">
        <f>_xlfn.LET(
    _xlpm.itemBuscado, B199,
    _xlpm.areaBuscada, C199,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TEXT(COUNTIF($C$2:C199, _xlpm.areaBuscada), "0000"),
    _xlpm.codItem &amp; "-" &amp; _xlpm.codArea &amp; "-" &amp; _xlpm.secuencia
)</f>
        <v>-SinArea-0000</v>
      </c>
      <c r="L199" s="77"/>
      <c r="M199" s="32"/>
      <c r="N199" s="32"/>
      <c r="O199" s="32"/>
      <c r="P199" s="32"/>
    </row>
    <row r="200" spans="3:16" x14ac:dyDescent="0.3">
      <c r="C200" s="11"/>
      <c r="D200" s="32"/>
      <c r="E200" s="11"/>
      <c r="G200" s="15"/>
      <c r="H200" s="47"/>
      <c r="I200" s="76"/>
      <c r="J200" s="76"/>
      <c r="K200" s="78" t="str">
        <f>_xlfn.LET(
    _xlpm.itemBuscado, B200,
    _xlpm.areaBuscada, C200,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TEXT(COUNTIF($C$2:C200, _xlpm.areaBuscada), "0000"),
    _xlpm.codItem &amp; "-" &amp; _xlpm.codArea &amp; "-" &amp; _xlpm.secuencia
)</f>
        <v>-SinArea-0000</v>
      </c>
      <c r="L200" s="77"/>
      <c r="M200" s="32"/>
      <c r="N200" s="32"/>
      <c r="O200" s="32"/>
      <c r="P200" s="32"/>
    </row>
    <row r="201" spans="3:16" x14ac:dyDescent="0.3">
      <c r="C201" s="11"/>
      <c r="D201" s="32"/>
      <c r="E201" s="11"/>
      <c r="G201" s="15"/>
      <c r="H201" s="47"/>
      <c r="I201" s="76"/>
      <c r="J201" s="76"/>
      <c r="K201" s="78" t="str">
        <f>_xlfn.LET(
    _xlpm.itemBuscado, B201,
    _xlpm.areaBuscada, C201,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TEXT(COUNTIF($C$2:C201, _xlpm.areaBuscada), "0000"),
    _xlpm.codItem &amp; "-" &amp; _xlpm.codArea &amp; "-" &amp; _xlpm.secuencia
)</f>
        <v>-SinArea-0000</v>
      </c>
      <c r="L201" s="77"/>
      <c r="M201" s="32"/>
      <c r="N201" s="32"/>
      <c r="O201" s="32"/>
      <c r="P201" s="32"/>
    </row>
    <row r="202" spans="3:16" x14ac:dyDescent="0.3">
      <c r="C202" s="11"/>
      <c r="D202" s="32"/>
      <c r="E202" s="11"/>
      <c r="G202" s="15"/>
      <c r="H202" s="47"/>
      <c r="I202" s="76"/>
      <c r="J202" s="76"/>
      <c r="K202" s="78" t="str">
        <f>_xlfn.LET(
    _xlpm.itemBuscado, B202,
    _xlpm.areaBuscada, C202,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TEXT(COUNTIF($C$2:C202, _xlpm.areaBuscada), "0000"),
    _xlpm.codItem &amp; "-" &amp; _xlpm.codArea &amp; "-" &amp; _xlpm.secuencia
)</f>
        <v>-SinArea-0000</v>
      </c>
      <c r="L202" s="77"/>
      <c r="M202" s="32"/>
      <c r="N202" s="32"/>
      <c r="O202" s="32"/>
      <c r="P202" s="32"/>
    </row>
    <row r="203" spans="3:16" x14ac:dyDescent="0.3">
      <c r="C203" s="11"/>
      <c r="D203" s="32"/>
      <c r="E203" s="11"/>
      <c r="G203" s="15"/>
      <c r="H203" s="47"/>
      <c r="I203" s="76"/>
      <c r="J203" s="76"/>
      <c r="K203" s="78" t="str">
        <f>_xlfn.LET(
    _xlpm.itemBuscado, B203,
    _xlpm.areaBuscada, C203,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TEXT(COUNTIF($C$2:C203, _xlpm.areaBuscada), "0000"),
    _xlpm.codItem &amp; "-" &amp; _xlpm.codArea &amp; "-" &amp; _xlpm.secuencia
)</f>
        <v>-SinArea-0000</v>
      </c>
      <c r="L203" s="77"/>
      <c r="M203" s="32"/>
      <c r="N203" s="32"/>
      <c r="O203" s="32"/>
      <c r="P203" s="32"/>
    </row>
    <row r="204" spans="3:16" x14ac:dyDescent="0.3">
      <c r="C204" s="11"/>
      <c r="D204" s="32"/>
      <c r="E204" s="11"/>
      <c r="G204" s="15"/>
      <c r="H204" s="47"/>
      <c r="I204" s="76"/>
      <c r="J204" s="76"/>
      <c r="K204" s="78" t="str">
        <f>_xlfn.LET(
    _xlpm.itemBuscado, B204,
    _xlpm.areaBuscada, C204,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TEXT(COUNTIF($C$2:C204, _xlpm.areaBuscada), "0000"),
    _xlpm.codItem &amp; "-" &amp; _xlpm.codArea &amp; "-" &amp; _xlpm.secuencia
)</f>
        <v>-SinArea-0000</v>
      </c>
      <c r="L204" s="77"/>
      <c r="M204" s="32"/>
      <c r="N204" s="32"/>
      <c r="O204" s="32"/>
      <c r="P204" s="32"/>
    </row>
    <row r="205" spans="3:16" x14ac:dyDescent="0.3">
      <c r="C205" s="11"/>
      <c r="D205" s="32"/>
      <c r="E205" s="11"/>
      <c r="G205" s="15"/>
      <c r="H205" s="47"/>
      <c r="I205" s="76"/>
      <c r="J205" s="76"/>
      <c r="K205" s="78" t="str">
        <f>_xlfn.LET(
    _xlpm.itemBuscado, B205,
    _xlpm.areaBuscada, C205,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TEXT(COUNTIF($C$2:C205, _xlpm.areaBuscada), "0000"),
    _xlpm.codItem &amp; "-" &amp; _xlpm.codArea &amp; "-" &amp; _xlpm.secuencia
)</f>
        <v>-SinArea-0000</v>
      </c>
      <c r="L205" s="77"/>
      <c r="M205" s="32"/>
      <c r="N205" s="32"/>
      <c r="O205" s="32"/>
      <c r="P205" s="32"/>
    </row>
    <row r="206" spans="3:16" x14ac:dyDescent="0.3">
      <c r="C206" s="11"/>
      <c r="D206" s="32"/>
      <c r="E206" s="11"/>
      <c r="G206" s="15"/>
      <c r="H206" s="47"/>
      <c r="I206" s="76"/>
      <c r="J206" s="76"/>
      <c r="K206" s="78" t="str">
        <f>_xlfn.LET(
    _xlpm.itemBuscado, B206,
    _xlpm.areaBuscada, C206,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TEXT(COUNTIF($C$2:C206, _xlpm.areaBuscada), "0000"),
    _xlpm.codItem &amp; "-" &amp; _xlpm.codArea &amp; "-" &amp; _xlpm.secuencia
)</f>
        <v>-SinArea-0000</v>
      </c>
      <c r="L206" s="77"/>
      <c r="M206" s="32"/>
      <c r="N206" s="32"/>
      <c r="O206" s="32"/>
      <c r="P206" s="32"/>
    </row>
    <row r="207" spans="3:16" x14ac:dyDescent="0.3">
      <c r="C207" s="11"/>
      <c r="D207" s="32"/>
      <c r="E207" s="11"/>
      <c r="G207" s="15"/>
      <c r="H207" s="47"/>
      <c r="I207" s="76"/>
      <c r="J207" s="76"/>
      <c r="K207" s="78" t="str">
        <f>_xlfn.LET(
    _xlpm.itemBuscado, B207,
    _xlpm.areaBuscada, C207,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TEXT(COUNTIF($C$2:C207, _xlpm.areaBuscada), "0000"),
    _xlpm.codItem &amp; "-" &amp; _xlpm.codArea &amp; "-" &amp; _xlpm.secuencia
)</f>
        <v>-SinArea-0000</v>
      </c>
      <c r="L207" s="77"/>
      <c r="M207" s="32"/>
      <c r="N207" s="32"/>
      <c r="O207" s="32"/>
      <c r="P207" s="32"/>
    </row>
    <row r="208" spans="3:16" x14ac:dyDescent="0.3">
      <c r="C208" s="11"/>
      <c r="D208" s="32"/>
      <c r="E208" s="11"/>
      <c r="G208" s="15"/>
      <c r="H208" s="47"/>
      <c r="I208" s="76"/>
      <c r="J208" s="76"/>
      <c r="K208" s="78" t="str">
        <f>_xlfn.LET(
    _xlpm.itemBuscado, B208,
    _xlpm.areaBuscada, C208,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TEXT(COUNTIF($C$2:C208, _xlpm.areaBuscada), "0000"),
    _xlpm.codItem &amp; "-" &amp; _xlpm.codArea &amp; "-" &amp; _xlpm.secuencia
)</f>
        <v>-SinArea-0000</v>
      </c>
      <c r="L208" s="77"/>
      <c r="M208" s="32"/>
      <c r="N208" s="32"/>
      <c r="O208" s="32"/>
      <c r="P208" s="32"/>
    </row>
    <row r="209" spans="3:16" x14ac:dyDescent="0.3">
      <c r="C209" s="11"/>
      <c r="D209" s="32"/>
      <c r="E209" s="11"/>
      <c r="G209" s="15"/>
      <c r="H209" s="47"/>
      <c r="I209" s="76"/>
      <c r="J209" s="76"/>
      <c r="K209" s="78" t="str">
        <f>_xlfn.LET(
    _xlpm.itemBuscado, B209,
    _xlpm.areaBuscada, C209,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TEXT(COUNTIF($C$2:C209, _xlpm.areaBuscada), "0000"),
    _xlpm.codItem &amp; "-" &amp; _xlpm.codArea &amp; "-" &amp; _xlpm.secuencia
)</f>
        <v>-SinArea-0000</v>
      </c>
      <c r="L209" s="77"/>
      <c r="M209" s="32"/>
      <c r="N209" s="32"/>
      <c r="O209" s="32"/>
      <c r="P209" s="32"/>
    </row>
    <row r="210" spans="3:16" x14ac:dyDescent="0.3">
      <c r="C210" s="11"/>
      <c r="D210" s="32"/>
      <c r="E210" s="11"/>
      <c r="G210" s="15"/>
      <c r="H210" s="47"/>
      <c r="I210" s="76"/>
      <c r="J210" s="76"/>
      <c r="K210" s="78" t="str">
        <f>_xlfn.LET(
    _xlpm.itemBuscado, B210,
    _xlpm.areaBuscada, C210,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TEXT(COUNTIF($C$2:C210, _xlpm.areaBuscada), "0000"),
    _xlpm.codItem &amp; "-" &amp; _xlpm.codArea &amp; "-" &amp; _xlpm.secuencia
)</f>
        <v>-SinArea-0000</v>
      </c>
      <c r="L210" s="77"/>
      <c r="M210" s="32"/>
      <c r="N210" s="32"/>
      <c r="O210" s="32"/>
      <c r="P210" s="32"/>
    </row>
    <row r="211" spans="3:16" x14ac:dyDescent="0.3">
      <c r="C211" s="11"/>
      <c r="D211" s="32"/>
      <c r="E211" s="11"/>
      <c r="G211" s="15"/>
      <c r="H211" s="47"/>
      <c r="I211" s="76"/>
      <c r="J211" s="76"/>
      <c r="K211" s="78" t="str">
        <f>_xlfn.LET(
    _xlpm.itemBuscado, B211,
    _xlpm.areaBuscada, C211,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TEXT(COUNTIF($C$2:C211, _xlpm.areaBuscada), "0000"),
    _xlpm.codItem &amp; "-" &amp; _xlpm.codArea &amp; "-" &amp; _xlpm.secuencia
)</f>
        <v>-SinArea-0000</v>
      </c>
      <c r="L211" s="77"/>
      <c r="M211" s="32"/>
      <c r="N211" s="32"/>
      <c r="O211" s="32"/>
      <c r="P211" s="32"/>
    </row>
    <row r="212" spans="3:16" x14ac:dyDescent="0.3">
      <c r="C212" s="11"/>
      <c r="D212" s="32"/>
      <c r="E212" s="11"/>
      <c r="G212" s="15"/>
      <c r="H212" s="47"/>
      <c r="I212" s="76"/>
      <c r="J212" s="76"/>
      <c r="K212" s="78" t="str">
        <f>_xlfn.LET(
    _xlpm.itemBuscado, B212,
    _xlpm.areaBuscada, C212,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TEXT(COUNTIF($C$2:C212, _xlpm.areaBuscada), "0000"),
    _xlpm.codItem &amp; "-" &amp; _xlpm.codArea &amp; "-" &amp; _xlpm.secuencia
)</f>
        <v>-SinArea-0000</v>
      </c>
      <c r="L212" s="77"/>
      <c r="M212" s="32"/>
      <c r="N212" s="32"/>
      <c r="O212" s="32"/>
      <c r="P212" s="32"/>
    </row>
    <row r="213" spans="3:16" x14ac:dyDescent="0.3">
      <c r="C213" s="11"/>
      <c r="D213" s="32"/>
      <c r="E213" s="11"/>
      <c r="G213" s="15"/>
      <c r="H213" s="47"/>
      <c r="I213" s="76"/>
      <c r="J213" s="76"/>
      <c r="K213" s="78" t="str">
        <f>_xlfn.LET(
    _xlpm.itemBuscado, B213,
    _xlpm.areaBuscada, C213,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TEXT(COUNTIF($C$2:C213, _xlpm.areaBuscada), "0000"),
    _xlpm.codItem &amp; "-" &amp; _xlpm.codArea &amp; "-" &amp; _xlpm.secuencia
)</f>
        <v>-SinArea-0000</v>
      </c>
      <c r="L213" s="77"/>
      <c r="M213" s="32"/>
      <c r="N213" s="32"/>
      <c r="O213" s="32"/>
      <c r="P213" s="32"/>
    </row>
    <row r="214" spans="3:16" x14ac:dyDescent="0.3">
      <c r="C214" s="11"/>
      <c r="D214" s="32"/>
      <c r="E214" s="11"/>
      <c r="G214" s="15"/>
      <c r="H214" s="47"/>
      <c r="I214" s="76"/>
      <c r="J214" s="76"/>
      <c r="K214" s="78" t="str">
        <f>_xlfn.LET(
    _xlpm.itemBuscado, B214,
    _xlpm.areaBuscada, C214,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TEXT(COUNTIF($C$2:C214, _xlpm.areaBuscada), "0000"),
    _xlpm.codItem &amp; "-" &amp; _xlpm.codArea &amp; "-" &amp; _xlpm.secuencia
)</f>
        <v>-SinArea-0000</v>
      </c>
      <c r="L214" s="77"/>
      <c r="M214" s="32"/>
      <c r="N214" s="32"/>
      <c r="O214" s="32"/>
      <c r="P214" s="32"/>
    </row>
    <row r="215" spans="3:16" x14ac:dyDescent="0.3">
      <c r="C215" s="11"/>
      <c r="D215" s="32"/>
      <c r="E215" s="11"/>
      <c r="G215" s="15"/>
      <c r="H215" s="47"/>
      <c r="I215" s="76"/>
      <c r="J215" s="76"/>
      <c r="K215" s="78" t="str">
        <f>_xlfn.LET(
    _xlpm.itemBuscado, B215,
    _xlpm.areaBuscada, C215,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TEXT(COUNTIF($C$2:C215, _xlpm.areaBuscada), "0000"),
    _xlpm.codItem &amp; "-" &amp; _xlpm.codArea &amp; "-" &amp; _xlpm.secuencia
)</f>
        <v>-SinArea-0000</v>
      </c>
      <c r="L215" s="77"/>
      <c r="M215" s="32"/>
      <c r="N215" s="32"/>
      <c r="O215" s="32"/>
      <c r="P215" s="32"/>
    </row>
    <row r="216" spans="3:16" x14ac:dyDescent="0.3">
      <c r="C216" s="11"/>
      <c r="D216" s="32"/>
      <c r="E216" s="11"/>
      <c r="G216" s="15"/>
      <c r="H216" s="47"/>
      <c r="I216" s="76"/>
      <c r="J216" s="76"/>
      <c r="K216" s="78" t="str">
        <f>_xlfn.LET(
    _xlpm.itemBuscado, B216,
    _xlpm.areaBuscada, C216,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TEXT(COUNTIF($C$2:C216, _xlpm.areaBuscada), "0000"),
    _xlpm.codItem &amp; "-" &amp; _xlpm.codArea &amp; "-" &amp; _xlpm.secuencia
)</f>
        <v>-SinArea-0000</v>
      </c>
      <c r="L216" s="77"/>
      <c r="M216" s="32"/>
      <c r="N216" s="32"/>
      <c r="O216" s="32"/>
      <c r="P216" s="32"/>
    </row>
    <row r="217" spans="3:16" x14ac:dyDescent="0.3">
      <c r="C217" s="11"/>
      <c r="D217" s="32"/>
      <c r="E217" s="11"/>
      <c r="G217" s="15"/>
      <c r="H217" s="47"/>
      <c r="I217" s="76"/>
      <c r="J217" s="76"/>
      <c r="K217" s="78" t="str">
        <f>_xlfn.LET(
    _xlpm.itemBuscado, B217,
    _xlpm.areaBuscada, C217,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TEXT(COUNTIF($C$2:C217, _xlpm.areaBuscada), "0000"),
    _xlpm.codItem &amp; "-" &amp; _xlpm.codArea &amp; "-" &amp; _xlpm.secuencia
)</f>
        <v>-SinArea-0000</v>
      </c>
      <c r="L217" s="77"/>
      <c r="M217" s="32"/>
      <c r="N217" s="32"/>
      <c r="O217" s="32"/>
      <c r="P217" s="32"/>
    </row>
    <row r="218" spans="3:16" x14ac:dyDescent="0.3">
      <c r="C218" s="11"/>
      <c r="D218" s="32"/>
      <c r="E218" s="11"/>
      <c r="G218" s="15"/>
      <c r="H218" s="47"/>
      <c r="I218" s="76"/>
      <c r="J218" s="76"/>
      <c r="K218" s="78" t="str">
        <f>_xlfn.LET(
    _xlpm.itemBuscado, B218,
    _xlpm.areaBuscada, C218,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TEXT(COUNTIF($C$2:C218, _xlpm.areaBuscada), "0000"),
    _xlpm.codItem &amp; "-" &amp; _xlpm.codArea &amp; "-" &amp; _xlpm.secuencia
)</f>
        <v>-SinArea-0000</v>
      </c>
      <c r="L218" s="77"/>
      <c r="M218" s="32"/>
      <c r="N218" s="32"/>
      <c r="O218" s="32"/>
      <c r="P218" s="32"/>
    </row>
    <row r="219" spans="3:16" x14ac:dyDescent="0.3">
      <c r="C219" s="11"/>
      <c r="D219" s="32"/>
      <c r="E219" s="11"/>
      <c r="G219" s="15"/>
      <c r="H219" s="47"/>
      <c r="I219" s="76"/>
      <c r="J219" s="76"/>
      <c r="K219" s="78" t="str">
        <f>_xlfn.LET(
    _xlpm.itemBuscado, B219,
    _xlpm.areaBuscada, C219,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TEXT(COUNTIF($C$2:C219, _xlpm.areaBuscada), "0000"),
    _xlpm.codItem &amp; "-" &amp; _xlpm.codArea &amp; "-" &amp; _xlpm.secuencia
)</f>
        <v>-SinArea-0000</v>
      </c>
      <c r="L219" s="77"/>
      <c r="M219" s="32"/>
      <c r="N219" s="32"/>
      <c r="O219" s="32"/>
      <c r="P219" s="32"/>
    </row>
    <row r="220" spans="3:16" x14ac:dyDescent="0.3">
      <c r="C220" s="11"/>
      <c r="D220" s="32"/>
      <c r="E220" s="11"/>
      <c r="G220" s="15"/>
      <c r="H220" s="47"/>
      <c r="I220" s="76"/>
      <c r="J220" s="76"/>
      <c r="K220" s="78" t="str">
        <f>_xlfn.LET(
    _xlpm.itemBuscado, B220,
    _xlpm.areaBuscada, C220,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TEXT(COUNTIF($C$2:C220, _xlpm.areaBuscada), "0000"),
    _xlpm.codItem &amp; "-" &amp; _xlpm.codArea &amp; "-" &amp; _xlpm.secuencia
)</f>
        <v>-SinArea-0000</v>
      </c>
      <c r="L220" s="77"/>
      <c r="M220" s="32"/>
      <c r="N220" s="32"/>
      <c r="O220" s="32"/>
      <c r="P220" s="32"/>
    </row>
    <row r="221" spans="3:16" x14ac:dyDescent="0.3">
      <c r="C221" s="11"/>
      <c r="D221" s="32"/>
      <c r="E221" s="11"/>
      <c r="G221" s="15"/>
      <c r="H221" s="47"/>
      <c r="I221" s="76"/>
      <c r="J221" s="76"/>
      <c r="K221" s="78" t="str">
        <f>_xlfn.LET(
    _xlpm.itemBuscado, B221,
    _xlpm.areaBuscada, C221,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TEXT(COUNTIF($C$2:C221, _xlpm.areaBuscada), "0000"),
    _xlpm.codItem &amp; "-" &amp; _xlpm.codArea &amp; "-" &amp; _xlpm.secuencia
)</f>
        <v>-SinArea-0000</v>
      </c>
      <c r="L221" s="77"/>
      <c r="M221" s="32"/>
      <c r="N221" s="32"/>
      <c r="O221" s="32"/>
      <c r="P221" s="32"/>
    </row>
    <row r="222" spans="3:16" x14ac:dyDescent="0.3">
      <c r="C222" s="11"/>
      <c r="D222" s="32"/>
      <c r="E222" s="11"/>
      <c r="G222" s="15"/>
      <c r="H222" s="47"/>
      <c r="I222" s="76"/>
      <c r="J222" s="76"/>
      <c r="K222" s="78" t="str">
        <f>_xlfn.LET(
    _xlpm.itemBuscado, B222,
    _xlpm.areaBuscada, C222,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TEXT(COUNTIF($C$2:C222, _xlpm.areaBuscada), "0000"),
    _xlpm.codItem &amp; "-" &amp; _xlpm.codArea &amp; "-" &amp; _xlpm.secuencia
)</f>
        <v>-SinArea-0000</v>
      </c>
      <c r="L222" s="77"/>
      <c r="M222" s="32"/>
      <c r="N222" s="32"/>
      <c r="O222" s="32"/>
      <c r="P222" s="32"/>
    </row>
    <row r="223" spans="3:16" x14ac:dyDescent="0.3">
      <c r="C223" s="11"/>
      <c r="D223" s="32"/>
      <c r="E223" s="11"/>
      <c r="G223" s="15"/>
      <c r="H223" s="47"/>
      <c r="I223" s="76"/>
      <c r="J223" s="76"/>
      <c r="K223" s="78" t="str">
        <f>_xlfn.LET(
    _xlpm.itemBuscado, B223,
    _xlpm.areaBuscada, C223,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TEXT(COUNTIF($C$2:C223, _xlpm.areaBuscada), "0000"),
    _xlpm.codItem &amp; "-" &amp; _xlpm.codArea &amp; "-" &amp; _xlpm.secuencia
)</f>
        <v>-SinArea-0000</v>
      </c>
      <c r="L223" s="77"/>
      <c r="M223" s="32"/>
      <c r="N223" s="32"/>
      <c r="O223" s="32"/>
      <c r="P223" s="32"/>
    </row>
    <row r="224" spans="3:16" x14ac:dyDescent="0.3">
      <c r="C224" s="11"/>
      <c r="D224" s="32"/>
      <c r="E224" s="11"/>
      <c r="G224" s="15"/>
      <c r="H224" s="47"/>
      <c r="I224" s="76"/>
      <c r="J224" s="76"/>
      <c r="K224" s="78" t="str">
        <f>_xlfn.LET(
    _xlpm.itemBuscado, B224,
    _xlpm.areaBuscada, C224,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TEXT(COUNTIF($C$2:C224, _xlpm.areaBuscada), "0000"),
    _xlpm.codItem &amp; "-" &amp; _xlpm.codArea &amp; "-" &amp; _xlpm.secuencia
)</f>
        <v>-SinArea-0000</v>
      </c>
      <c r="L224" s="77"/>
      <c r="M224" s="32"/>
      <c r="N224" s="32"/>
      <c r="O224" s="32"/>
      <c r="P224" s="32"/>
    </row>
    <row r="225" spans="3:16" x14ac:dyDescent="0.3">
      <c r="C225" s="11"/>
      <c r="D225" s="32"/>
      <c r="E225" s="11"/>
      <c r="G225" s="15"/>
      <c r="H225" s="47"/>
      <c r="I225" s="76"/>
      <c r="J225" s="76"/>
      <c r="K225" s="78" t="str">
        <f>_xlfn.LET(
    _xlpm.itemBuscado, B225,
    _xlpm.areaBuscada, C225,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TEXT(COUNTIF($C$2:C225, _xlpm.areaBuscada), "0000"),
    _xlpm.codItem &amp; "-" &amp; _xlpm.codArea &amp; "-" &amp; _xlpm.secuencia
)</f>
        <v>-SinArea-0000</v>
      </c>
      <c r="L225" s="77"/>
      <c r="M225" s="32"/>
      <c r="N225" s="32"/>
      <c r="O225" s="32"/>
      <c r="P225" s="32"/>
    </row>
    <row r="226" spans="3:16" x14ac:dyDescent="0.3">
      <c r="C226" s="11"/>
      <c r="D226" s="32"/>
      <c r="E226" s="11"/>
      <c r="G226" s="15"/>
      <c r="H226" s="47"/>
      <c r="I226" s="76"/>
      <c r="J226" s="76"/>
      <c r="K226" s="78" t="str">
        <f>_xlfn.LET(
    _xlpm.itemBuscado, B226,
    _xlpm.areaBuscada, C226,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TEXT(COUNTIF($C$2:C226, _xlpm.areaBuscada), "0000"),
    _xlpm.codItem &amp; "-" &amp; _xlpm.codArea &amp; "-" &amp; _xlpm.secuencia
)</f>
        <v>-SinArea-0000</v>
      </c>
      <c r="L226" s="77"/>
      <c r="M226" s="32"/>
      <c r="N226" s="32"/>
      <c r="O226" s="32"/>
      <c r="P226" s="32"/>
    </row>
    <row r="227" spans="3:16" x14ac:dyDescent="0.3">
      <c r="C227" s="11"/>
      <c r="D227" s="32"/>
      <c r="E227" s="11"/>
      <c r="G227" s="15"/>
      <c r="H227" s="47"/>
      <c r="I227" s="76"/>
      <c r="J227" s="76"/>
      <c r="K227" s="78" t="str">
        <f>_xlfn.LET(
    _xlpm.itemBuscado, B227,
    _xlpm.areaBuscada, C227,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TEXT(COUNTIF($C$2:C227, _xlpm.areaBuscada), "0000"),
    _xlpm.codItem &amp; "-" &amp; _xlpm.codArea &amp; "-" &amp; _xlpm.secuencia
)</f>
        <v>-SinArea-0000</v>
      </c>
      <c r="L227" s="77"/>
      <c r="M227" s="32"/>
      <c r="N227" s="32"/>
      <c r="O227" s="32"/>
      <c r="P227" s="32"/>
    </row>
    <row r="228" spans="3:16" x14ac:dyDescent="0.3">
      <c r="C228" s="11"/>
      <c r="D228" s="32"/>
      <c r="E228" s="11"/>
      <c r="G228" s="15"/>
      <c r="H228" s="47"/>
      <c r="I228" s="76"/>
      <c r="J228" s="76"/>
      <c r="K228" s="78" t="str">
        <f>_xlfn.LET(
    _xlpm.itemBuscado, B228,
    _xlpm.areaBuscada, C228,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TEXT(COUNTIF($C$2:C228, _xlpm.areaBuscada), "0000"),
    _xlpm.codItem &amp; "-" &amp; _xlpm.codArea &amp; "-" &amp; _xlpm.secuencia
)</f>
        <v>-SinArea-0000</v>
      </c>
      <c r="L228" s="77"/>
      <c r="M228" s="32"/>
      <c r="N228" s="32"/>
      <c r="O228" s="32"/>
      <c r="P228" s="32"/>
    </row>
    <row r="229" spans="3:16" x14ac:dyDescent="0.3">
      <c r="C229" s="11"/>
      <c r="D229" s="32"/>
      <c r="E229" s="11"/>
      <c r="G229" s="15"/>
      <c r="H229" s="47"/>
      <c r="I229" s="76"/>
      <c r="J229" s="76"/>
      <c r="K229" s="78" t="str">
        <f>_xlfn.LET(
    _xlpm.itemBuscado, B229,
    _xlpm.areaBuscada, C229,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TEXT(COUNTIF($C$2:C229, _xlpm.areaBuscada), "0000"),
    _xlpm.codItem &amp; "-" &amp; _xlpm.codArea &amp; "-" &amp; _xlpm.secuencia
)</f>
        <v>-SinArea-0000</v>
      </c>
      <c r="L229" s="77"/>
      <c r="M229" s="32"/>
      <c r="N229" s="32"/>
      <c r="O229" s="32"/>
      <c r="P229" s="32"/>
    </row>
    <row r="230" spans="3:16" x14ac:dyDescent="0.3">
      <c r="C230" s="11"/>
      <c r="D230" s="32"/>
      <c r="E230" s="11"/>
      <c r="G230" s="15"/>
      <c r="H230" s="47"/>
      <c r="I230" s="76"/>
      <c r="J230" s="76"/>
      <c r="K230" s="78" t="str">
        <f>_xlfn.LET(
    _xlpm.itemBuscado, B230,
    _xlpm.areaBuscada, C230,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TEXT(COUNTIF($C$2:C230, _xlpm.areaBuscada), "0000"),
    _xlpm.codItem &amp; "-" &amp; _xlpm.codArea &amp; "-" &amp; _xlpm.secuencia
)</f>
        <v>-SinArea-0000</v>
      </c>
      <c r="L230" s="77"/>
      <c r="M230" s="32"/>
      <c r="N230" s="32"/>
      <c r="O230" s="32"/>
      <c r="P230" s="32"/>
    </row>
    <row r="231" spans="3:16" x14ac:dyDescent="0.3">
      <c r="C231" s="11"/>
      <c r="D231" s="32"/>
      <c r="E231" s="11"/>
      <c r="G231" s="15"/>
      <c r="H231" s="47"/>
      <c r="I231" s="76"/>
      <c r="J231" s="76"/>
      <c r="K231" s="78" t="str">
        <f>_xlfn.LET(
    _xlpm.itemBuscado, B231,
    _xlpm.areaBuscada, C231,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TEXT(COUNTIF($C$2:C231, _xlpm.areaBuscada), "0000"),
    _xlpm.codItem &amp; "-" &amp; _xlpm.codArea &amp; "-" &amp; _xlpm.secuencia
)</f>
        <v>-SinArea-0000</v>
      </c>
      <c r="L231" s="77"/>
      <c r="M231" s="32"/>
      <c r="N231" s="32"/>
      <c r="O231" s="32"/>
      <c r="P231" s="32"/>
    </row>
    <row r="232" spans="3:16" x14ac:dyDescent="0.3">
      <c r="C232" s="11"/>
      <c r="D232" s="32"/>
      <c r="E232" s="11"/>
      <c r="G232" s="15"/>
      <c r="H232" s="47"/>
      <c r="I232" s="76"/>
      <c r="J232" s="76"/>
      <c r="K232" s="78" t="str">
        <f>_xlfn.LET(
    _xlpm.itemBuscado, B232,
    _xlpm.areaBuscada, C232,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TEXT(COUNTIF($C$2:C232, _xlpm.areaBuscada), "0000"),
    _xlpm.codItem &amp; "-" &amp; _xlpm.codArea &amp; "-" &amp; _xlpm.secuencia
)</f>
        <v>-SinArea-0000</v>
      </c>
      <c r="L232" s="77"/>
      <c r="M232" s="32"/>
      <c r="N232" s="32"/>
      <c r="O232" s="32"/>
      <c r="P232" s="32"/>
    </row>
    <row r="233" spans="3:16" x14ac:dyDescent="0.3">
      <c r="C233" s="11"/>
      <c r="D233" s="32"/>
      <c r="E233" s="11"/>
      <c r="G233" s="15"/>
      <c r="H233" s="47"/>
      <c r="I233" s="76"/>
      <c r="J233" s="76"/>
      <c r="K233" s="78" t="str">
        <f>_xlfn.LET(
    _xlpm.itemBuscado, B233,
    _xlpm.areaBuscada, C233,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TEXT(COUNTIF($C$2:C233, _xlpm.areaBuscada), "0000"),
    _xlpm.codItem &amp; "-" &amp; _xlpm.codArea &amp; "-" &amp; _xlpm.secuencia
)</f>
        <v>-SinArea-0000</v>
      </c>
      <c r="L233" s="77"/>
      <c r="M233" s="32"/>
      <c r="N233" s="32"/>
      <c r="O233" s="32"/>
      <c r="P233" s="32"/>
    </row>
    <row r="234" spans="3:16" x14ac:dyDescent="0.3">
      <c r="C234" s="11"/>
      <c r="D234" s="32"/>
      <c r="E234" s="11"/>
      <c r="G234" s="15"/>
      <c r="H234" s="47"/>
      <c r="I234" s="76"/>
      <c r="J234" s="76"/>
      <c r="K234" s="78" t="str">
        <f>_xlfn.LET(
    _xlpm.itemBuscado, B234,
    _xlpm.areaBuscada, C234,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TEXT(COUNTIF($C$2:C234, _xlpm.areaBuscada), "0000"),
    _xlpm.codItem &amp; "-" &amp; _xlpm.codArea &amp; "-" &amp; _xlpm.secuencia
)</f>
        <v>-SinArea-0000</v>
      </c>
      <c r="L234" s="77"/>
      <c r="M234" s="32"/>
      <c r="N234" s="32"/>
      <c r="O234" s="32"/>
      <c r="P234" s="32"/>
    </row>
    <row r="235" spans="3:16" x14ac:dyDescent="0.3">
      <c r="C235" s="11"/>
      <c r="D235" s="32"/>
      <c r="E235" s="11"/>
      <c r="G235" s="15"/>
      <c r="H235" s="47"/>
      <c r="I235" s="76"/>
      <c r="J235" s="76"/>
      <c r="K235" s="78" t="str">
        <f>_xlfn.LET(
    _xlpm.itemBuscado, B235,
    _xlpm.areaBuscada, C235,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TEXT(COUNTIF($C$2:C235, _xlpm.areaBuscada), "0000"),
    _xlpm.codItem &amp; "-" &amp; _xlpm.codArea &amp; "-" &amp; _xlpm.secuencia
)</f>
        <v>-SinArea-0000</v>
      </c>
      <c r="L235" s="77"/>
      <c r="M235" s="32"/>
      <c r="N235" s="32"/>
      <c r="O235" s="32"/>
      <c r="P235" s="32"/>
    </row>
    <row r="236" spans="3:16" x14ac:dyDescent="0.3">
      <c r="C236" s="11"/>
      <c r="D236" s="32"/>
      <c r="E236" s="11"/>
      <c r="G236" s="15"/>
      <c r="H236" s="47"/>
      <c r="I236" s="76"/>
      <c r="J236" s="76"/>
      <c r="K236" s="78" t="str">
        <f>_xlfn.LET(
    _xlpm.itemBuscado, B236,
    _xlpm.areaBuscada, C236,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TEXT(COUNTIF($C$2:C236, _xlpm.areaBuscada), "0000"),
    _xlpm.codItem &amp; "-" &amp; _xlpm.codArea &amp; "-" &amp; _xlpm.secuencia
)</f>
        <v>-SinArea-0000</v>
      </c>
      <c r="L236" s="77"/>
      <c r="M236" s="32"/>
      <c r="N236" s="32"/>
      <c r="O236" s="32"/>
      <c r="P236" s="32"/>
    </row>
    <row r="237" spans="3:16" x14ac:dyDescent="0.3">
      <c r="C237" s="11"/>
      <c r="D237" s="32"/>
      <c r="E237" s="11"/>
      <c r="G237" s="15"/>
      <c r="H237" s="47"/>
      <c r="I237" s="76"/>
      <c r="J237" s="76"/>
      <c r="K237" s="78" t="str">
        <f>_xlfn.LET(
    _xlpm.itemBuscado, B237,
    _xlpm.areaBuscada, C237,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TEXT(COUNTIF($C$2:C237, _xlpm.areaBuscada), "0000"),
    _xlpm.codItem &amp; "-" &amp; _xlpm.codArea &amp; "-" &amp; _xlpm.secuencia
)</f>
        <v>-SinArea-0000</v>
      </c>
      <c r="L237" s="77"/>
      <c r="M237" s="32"/>
      <c r="N237" s="32"/>
      <c r="O237" s="32"/>
      <c r="P237" s="32"/>
    </row>
    <row r="238" spans="3:16" x14ac:dyDescent="0.3">
      <c r="C238" s="11"/>
      <c r="D238" s="32"/>
      <c r="E238" s="11"/>
      <c r="G238" s="15"/>
      <c r="H238" s="47"/>
      <c r="I238" s="76"/>
      <c r="J238" s="76"/>
      <c r="K238" s="78" t="str">
        <f>_xlfn.LET(
    _xlpm.itemBuscado, B238,
    _xlpm.areaBuscada, C238,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TEXT(COUNTIF($C$2:C238, _xlpm.areaBuscada), "0000"),
    _xlpm.codItem &amp; "-" &amp; _xlpm.codArea &amp; "-" &amp; _xlpm.secuencia
)</f>
        <v>-SinArea-0000</v>
      </c>
      <c r="L238" s="77"/>
      <c r="M238" s="32"/>
      <c r="N238" s="32"/>
      <c r="O238" s="32"/>
      <c r="P238" s="32"/>
    </row>
    <row r="239" spans="3:16" x14ac:dyDescent="0.3">
      <c r="C239" s="11"/>
      <c r="D239" s="32"/>
      <c r="E239" s="11"/>
      <c r="G239" s="15"/>
      <c r="H239" s="47"/>
      <c r="I239" s="76"/>
      <c r="J239" s="76"/>
      <c r="K239" s="78" t="str">
        <f>_xlfn.LET(
    _xlpm.itemBuscado, B239,
    _xlpm.areaBuscada, C239,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TEXT(COUNTIF($C$2:C239, _xlpm.areaBuscada), "0000"),
    _xlpm.codItem &amp; "-" &amp; _xlpm.codArea &amp; "-" &amp; _xlpm.secuencia
)</f>
        <v>-SinArea-0000</v>
      </c>
      <c r="L239" s="77"/>
      <c r="M239" s="32"/>
      <c r="N239" s="32"/>
      <c r="O239" s="32"/>
      <c r="P239" s="32"/>
    </row>
    <row r="240" spans="3:16" x14ac:dyDescent="0.3">
      <c r="C240" s="11"/>
      <c r="D240" s="32"/>
      <c r="E240" s="11"/>
      <c r="G240" s="15"/>
      <c r="H240" s="47"/>
      <c r="I240" s="76"/>
      <c r="J240" s="76"/>
      <c r="K240" s="78" t="str">
        <f>_xlfn.LET(
    _xlpm.itemBuscado, B240,
    _xlpm.areaBuscada, C240,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TEXT(COUNTIF($C$2:C240, _xlpm.areaBuscada), "0000"),
    _xlpm.codItem &amp; "-" &amp; _xlpm.codArea &amp; "-" &amp; _xlpm.secuencia
)</f>
        <v>-SinArea-0000</v>
      </c>
      <c r="L240" s="77"/>
      <c r="M240" s="32"/>
      <c r="N240" s="32"/>
      <c r="O240" s="32"/>
      <c r="P240" s="32"/>
    </row>
    <row r="241" spans="3:16" x14ac:dyDescent="0.3">
      <c r="C241" s="11"/>
      <c r="D241" s="32"/>
      <c r="E241" s="11"/>
      <c r="G241" s="15"/>
      <c r="H241" s="47"/>
      <c r="I241" s="76"/>
      <c r="J241" s="76"/>
      <c r="K241" s="78" t="str">
        <f>_xlfn.LET(
    _xlpm.itemBuscado, B241,
    _xlpm.areaBuscada, C241,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TEXT(COUNTIF($C$2:C241, _xlpm.areaBuscada), "0000"),
    _xlpm.codItem &amp; "-" &amp; _xlpm.codArea &amp; "-" &amp; _xlpm.secuencia
)</f>
        <v>-SinArea-0000</v>
      </c>
      <c r="L241" s="77"/>
      <c r="M241" s="32"/>
      <c r="N241" s="32"/>
      <c r="O241" s="32"/>
      <c r="P241" s="32"/>
    </row>
    <row r="242" spans="3:16" x14ac:dyDescent="0.3">
      <c r="C242" s="11"/>
      <c r="D242" s="32"/>
      <c r="E242" s="11"/>
      <c r="G242" s="15"/>
      <c r="H242" s="47"/>
      <c r="I242" s="76"/>
      <c r="J242" s="76"/>
      <c r="K242" s="78" t="str">
        <f>_xlfn.LET(
    _xlpm.itemBuscado, B242,
    _xlpm.areaBuscada, C242,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TEXT(COUNTIF($C$2:C242, _xlpm.areaBuscada), "0000"),
    _xlpm.codItem &amp; "-" &amp; _xlpm.codArea &amp; "-" &amp; _xlpm.secuencia
)</f>
        <v>-SinArea-0000</v>
      </c>
      <c r="L242" s="77"/>
      <c r="M242" s="32"/>
      <c r="N242" s="32"/>
      <c r="O242" s="32"/>
      <c r="P242" s="32"/>
    </row>
    <row r="243" spans="3:16" x14ac:dyDescent="0.3">
      <c r="C243" s="11"/>
      <c r="D243" s="32"/>
      <c r="E243" s="11"/>
      <c r="G243" s="15"/>
      <c r="H243" s="47"/>
      <c r="I243" s="76"/>
      <c r="J243" s="76"/>
      <c r="K243" s="78" t="str">
        <f>_xlfn.LET(
    _xlpm.itemBuscado, B243,
    _xlpm.areaBuscada, C243,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TEXT(COUNTIF($C$2:C243, _xlpm.areaBuscada), "0000"),
    _xlpm.codItem &amp; "-" &amp; _xlpm.codArea &amp; "-" &amp; _xlpm.secuencia
)</f>
        <v>-SinArea-0000</v>
      </c>
      <c r="L243" s="77"/>
      <c r="M243" s="32"/>
      <c r="N243" s="32"/>
      <c r="O243" s="32"/>
      <c r="P243" s="32"/>
    </row>
    <row r="244" spans="3:16" x14ac:dyDescent="0.3">
      <c r="C244" s="11"/>
      <c r="D244" s="32"/>
      <c r="E244" s="11"/>
      <c r="G244" s="15"/>
      <c r="H244" s="47"/>
      <c r="I244" s="76"/>
      <c r="J244" s="76"/>
      <c r="K244" s="78" t="str">
        <f>_xlfn.LET(
    _xlpm.itemBuscado, B244,
    _xlpm.areaBuscada, C244,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TEXT(COUNTIF($C$2:C244, _xlpm.areaBuscada), "0000"),
    _xlpm.codItem &amp; "-" &amp; _xlpm.codArea &amp; "-" &amp; _xlpm.secuencia
)</f>
        <v>-SinArea-0000</v>
      </c>
      <c r="L244" s="77"/>
      <c r="M244" s="32"/>
      <c r="N244" s="32"/>
      <c r="O244" s="32"/>
      <c r="P244" s="32"/>
    </row>
    <row r="245" spans="3:16" x14ac:dyDescent="0.3">
      <c r="C245" s="11"/>
      <c r="D245" s="32"/>
      <c r="E245" s="11"/>
      <c r="G245" s="15"/>
      <c r="H245" s="47"/>
      <c r="I245" s="76"/>
      <c r="J245" s="76"/>
      <c r="K245" s="78" t="str">
        <f>_xlfn.LET(
    _xlpm.itemBuscado, B245,
    _xlpm.areaBuscada, C245,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TEXT(COUNTIF($C$2:C245, _xlpm.areaBuscada), "0000"),
    _xlpm.codItem &amp; "-" &amp; _xlpm.codArea &amp; "-" &amp; _xlpm.secuencia
)</f>
        <v>-SinArea-0000</v>
      </c>
      <c r="L245" s="77"/>
      <c r="M245" s="32"/>
      <c r="N245" s="32"/>
      <c r="O245" s="32"/>
      <c r="P245" s="32"/>
    </row>
    <row r="246" spans="3:16" x14ac:dyDescent="0.3">
      <c r="C246" s="11"/>
      <c r="D246" s="32"/>
      <c r="E246" s="11"/>
      <c r="G246" s="15"/>
      <c r="H246" s="47"/>
      <c r="I246" s="76"/>
      <c r="J246" s="76"/>
      <c r="K246" s="78" t="str">
        <f>_xlfn.LET(
    _xlpm.itemBuscado, B246,
    _xlpm.areaBuscada, C246,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TEXT(COUNTIF($C$2:C246, _xlpm.areaBuscada), "0000"),
    _xlpm.codItem &amp; "-" &amp; _xlpm.codArea &amp; "-" &amp; _xlpm.secuencia
)</f>
        <v>-SinArea-0000</v>
      </c>
      <c r="L246" s="77"/>
      <c r="M246" s="32"/>
      <c r="N246" s="32"/>
      <c r="O246" s="32"/>
      <c r="P246" s="32"/>
    </row>
    <row r="247" spans="3:16" x14ac:dyDescent="0.3">
      <c r="C247" s="11"/>
      <c r="D247" s="32"/>
      <c r="E247" s="11"/>
      <c r="G247" s="15"/>
      <c r="H247" s="47"/>
      <c r="I247" s="76"/>
      <c r="J247" s="76"/>
      <c r="K247" s="78" t="str">
        <f>_xlfn.LET(
    _xlpm.itemBuscado, B247,
    _xlpm.areaBuscada, C247,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TEXT(COUNTIF($C$2:C247, _xlpm.areaBuscada), "0000"),
    _xlpm.codItem &amp; "-" &amp; _xlpm.codArea &amp; "-" &amp; _xlpm.secuencia
)</f>
        <v>-SinArea-0000</v>
      </c>
      <c r="L247" s="77"/>
      <c r="M247" s="32"/>
      <c r="N247" s="32"/>
      <c r="O247" s="32"/>
      <c r="P247" s="32"/>
    </row>
    <row r="248" spans="3:16" x14ac:dyDescent="0.3">
      <c r="C248" s="11"/>
      <c r="D248" s="32"/>
      <c r="E248" s="11"/>
      <c r="G248" s="15"/>
      <c r="H248" s="47"/>
      <c r="I248" s="76"/>
      <c r="J248" s="76"/>
      <c r="K248" s="78" t="str">
        <f>_xlfn.LET(
    _xlpm.itemBuscado, B248,
    _xlpm.areaBuscada, C248,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TEXT(COUNTIF($C$2:C248, _xlpm.areaBuscada), "0000"),
    _xlpm.codItem &amp; "-" &amp; _xlpm.codArea &amp; "-" &amp; _xlpm.secuencia
)</f>
        <v>-SinArea-0000</v>
      </c>
      <c r="L248" s="77"/>
      <c r="M248" s="32"/>
      <c r="N248" s="32"/>
      <c r="O248" s="32"/>
      <c r="P248" s="32"/>
    </row>
    <row r="249" spans="3:16" x14ac:dyDescent="0.3">
      <c r="C249" s="11"/>
      <c r="D249" s="32"/>
      <c r="E249" s="11"/>
      <c r="G249" s="15"/>
      <c r="H249" s="47"/>
      <c r="I249" s="76"/>
      <c r="J249" s="76"/>
      <c r="K249" s="78" t="str">
        <f>_xlfn.LET(
    _xlpm.itemBuscado, B249,
    _xlpm.areaBuscada, C249,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TEXT(COUNTIF($C$2:C249, _xlpm.areaBuscada), "0000"),
    _xlpm.codItem &amp; "-" &amp; _xlpm.codArea &amp; "-" &amp; _xlpm.secuencia
)</f>
        <v>-SinArea-0000</v>
      </c>
      <c r="L249" s="77"/>
      <c r="M249" s="32"/>
      <c r="N249" s="32"/>
      <c r="O249" s="32"/>
      <c r="P249" s="32"/>
    </row>
    <row r="250" spans="3:16" x14ac:dyDescent="0.3">
      <c r="C250" s="11"/>
      <c r="D250" s="32"/>
      <c r="E250" s="11"/>
      <c r="G250" s="15"/>
      <c r="H250" s="47"/>
      <c r="I250" s="76"/>
      <c r="J250" s="76"/>
      <c r="K250" s="78" t="str">
        <f>_xlfn.LET(
    _xlpm.itemBuscado, B250,
    _xlpm.areaBuscada, C250,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TEXT(COUNTIF($C$2:C250, _xlpm.areaBuscada), "0000"),
    _xlpm.codItem &amp; "-" &amp; _xlpm.codArea &amp; "-" &amp; _xlpm.secuencia
)</f>
        <v>-SinArea-0000</v>
      </c>
      <c r="L250" s="77"/>
      <c r="M250" s="32"/>
      <c r="N250" s="32"/>
      <c r="O250" s="32"/>
      <c r="P250" s="32"/>
    </row>
    <row r="251" spans="3:16" x14ac:dyDescent="0.3">
      <c r="C251" s="11"/>
      <c r="D251" s="32"/>
      <c r="E251" s="11"/>
      <c r="G251" s="15"/>
      <c r="H251" s="47"/>
      <c r="I251" s="76"/>
      <c r="J251" s="76"/>
      <c r="K251" s="78" t="str">
        <f>_xlfn.LET(
    _xlpm.itemBuscado, B251,
    _xlpm.areaBuscada, C251,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TEXT(COUNTIF($C$2:C251, _xlpm.areaBuscada), "0000"),
    _xlpm.codItem &amp; "-" &amp; _xlpm.codArea &amp; "-" &amp; _xlpm.secuencia
)</f>
        <v>-SinArea-0000</v>
      </c>
      <c r="L251" s="77"/>
      <c r="M251" s="32"/>
      <c r="N251" s="32"/>
      <c r="O251" s="32"/>
      <c r="P251" s="32"/>
    </row>
    <row r="252" spans="3:16" x14ac:dyDescent="0.3">
      <c r="C252" s="11"/>
      <c r="D252" s="32"/>
      <c r="E252" s="11"/>
      <c r="G252" s="15"/>
      <c r="H252" s="47"/>
      <c r="I252" s="76"/>
      <c r="J252" s="76"/>
      <c r="K252" s="78" t="str">
        <f>_xlfn.LET(
    _xlpm.itemBuscado, B252,
    _xlpm.areaBuscada, C252,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TEXT(COUNTIF($C$2:C252, _xlpm.areaBuscada), "0000"),
    _xlpm.codItem &amp; "-" &amp; _xlpm.codArea &amp; "-" &amp; _xlpm.secuencia
)</f>
        <v>-SinArea-0000</v>
      </c>
      <c r="L252" s="77"/>
      <c r="M252" s="32"/>
      <c r="N252" s="32"/>
      <c r="O252" s="32"/>
      <c r="P252" s="32"/>
    </row>
    <row r="253" spans="3:16" x14ac:dyDescent="0.3">
      <c r="C253" s="11"/>
      <c r="D253" s="32"/>
      <c r="E253" s="11"/>
      <c r="G253" s="15"/>
      <c r="H253" s="47"/>
      <c r="I253" s="76"/>
      <c r="J253" s="76"/>
      <c r="K253" s="78" t="str">
        <f>_xlfn.LET(
    _xlpm.itemBuscado, B253,
    _xlpm.areaBuscada, C253,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TEXT(COUNTIF($C$2:C253, _xlpm.areaBuscada), "0000"),
    _xlpm.codItem &amp; "-" &amp; _xlpm.codArea &amp; "-" &amp; _xlpm.secuencia
)</f>
        <v>-SinArea-0000</v>
      </c>
      <c r="L253" s="77"/>
      <c r="M253" s="32"/>
      <c r="N253" s="32"/>
      <c r="O253" s="32"/>
      <c r="P253" s="32"/>
    </row>
    <row r="254" spans="3:16" x14ac:dyDescent="0.3">
      <c r="C254" s="11"/>
      <c r="D254" s="32"/>
      <c r="E254" s="11"/>
      <c r="G254" s="15"/>
      <c r="H254" s="47"/>
      <c r="I254" s="76"/>
      <c r="J254" s="76"/>
      <c r="K254" s="78" t="str">
        <f>_xlfn.LET(
    _xlpm.itemBuscado, B254,
    _xlpm.areaBuscada, C254,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TEXT(COUNTIF($C$2:C254, _xlpm.areaBuscada), "0000"),
    _xlpm.codItem &amp; "-" &amp; _xlpm.codArea &amp; "-" &amp; _xlpm.secuencia
)</f>
        <v>-SinArea-0000</v>
      </c>
      <c r="L254" s="77"/>
      <c r="M254" s="32"/>
      <c r="N254" s="32"/>
      <c r="O254" s="32"/>
      <c r="P254" s="32"/>
    </row>
    <row r="255" spans="3:16" x14ac:dyDescent="0.3">
      <c r="C255" s="11"/>
      <c r="D255" s="32"/>
      <c r="E255" s="11"/>
      <c r="G255" s="15"/>
      <c r="H255" s="47"/>
      <c r="I255" s="76"/>
      <c r="J255" s="76"/>
      <c r="K255" s="78" t="str">
        <f>_xlfn.LET(
    _xlpm.itemBuscado, B255,
    _xlpm.areaBuscada, C255,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TEXT(COUNTIF($C$2:C255, _xlpm.areaBuscada), "0000"),
    _xlpm.codItem &amp; "-" &amp; _xlpm.codArea &amp; "-" &amp; _xlpm.secuencia
)</f>
        <v>-SinArea-0000</v>
      </c>
      <c r="L255" s="77"/>
      <c r="M255" s="32"/>
      <c r="N255" s="32"/>
      <c r="O255" s="32"/>
      <c r="P255" s="32"/>
    </row>
    <row r="256" spans="3:16" x14ac:dyDescent="0.3">
      <c r="C256" s="11"/>
      <c r="D256" s="32"/>
      <c r="E256" s="11"/>
      <c r="G256" s="15"/>
      <c r="H256" s="47"/>
      <c r="I256" s="76"/>
      <c r="J256" s="76"/>
      <c r="K256" s="78" t="str">
        <f>_xlfn.LET(
    _xlpm.itemBuscado, B256,
    _xlpm.areaBuscada, C256,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TEXT(COUNTIF($C$2:C256, _xlpm.areaBuscada), "0000"),
    _xlpm.codItem &amp; "-" &amp; _xlpm.codArea &amp; "-" &amp; _xlpm.secuencia
)</f>
        <v>-SinArea-0000</v>
      </c>
      <c r="L256" s="77"/>
      <c r="M256" s="32"/>
      <c r="N256" s="32"/>
      <c r="O256" s="32"/>
      <c r="P256" s="32"/>
    </row>
    <row r="257" spans="3:16" x14ac:dyDescent="0.3">
      <c r="C257" s="11"/>
      <c r="D257" s="32"/>
      <c r="E257" s="11"/>
      <c r="G257" s="15"/>
      <c r="H257" s="47"/>
      <c r="I257" s="76"/>
      <c r="J257" s="76"/>
      <c r="K257" s="78" t="str">
        <f>_xlfn.LET(
    _xlpm.itemBuscado, B257,
    _xlpm.areaBuscada, C257,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TEXT(COUNTIF($C$2:C257, _xlpm.areaBuscada), "0000"),
    _xlpm.codItem &amp; "-" &amp; _xlpm.codArea &amp; "-" &amp; _xlpm.secuencia
)</f>
        <v>-SinArea-0000</v>
      </c>
      <c r="L257" s="77"/>
      <c r="M257" s="32"/>
      <c r="N257" s="32"/>
      <c r="O257" s="32"/>
      <c r="P257" s="32"/>
    </row>
    <row r="258" spans="3:16" x14ac:dyDescent="0.3">
      <c r="C258" s="11"/>
      <c r="D258" s="32"/>
      <c r="E258" s="11"/>
      <c r="G258" s="15"/>
      <c r="H258" s="47"/>
      <c r="I258" s="76"/>
      <c r="J258" s="76"/>
      <c r="K258" s="78" t="str">
        <f>_xlfn.LET(
    _xlpm.itemBuscado, B258,
    _xlpm.areaBuscada, C258,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TEXT(COUNTIF($C$2:C258, _xlpm.areaBuscada), "0000"),
    _xlpm.codItem &amp; "-" &amp; _xlpm.codArea &amp; "-" &amp; _xlpm.secuencia
)</f>
        <v>-SinArea-0000</v>
      </c>
      <c r="L258" s="77"/>
      <c r="M258" s="32"/>
      <c r="N258" s="32"/>
      <c r="O258" s="32"/>
      <c r="P258" s="32"/>
    </row>
    <row r="259" spans="3:16" x14ac:dyDescent="0.3">
      <c r="C259" s="11"/>
      <c r="D259" s="32"/>
      <c r="E259" s="11"/>
      <c r="G259" s="15"/>
      <c r="H259" s="47"/>
      <c r="I259" s="76"/>
      <c r="J259" s="76"/>
      <c r="K259" s="78" t="str">
        <f>_xlfn.LET(
    _xlpm.itemBuscado, B259,
    _xlpm.areaBuscada, C259,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TEXT(COUNTIF($C$2:C259, _xlpm.areaBuscada), "0000"),
    _xlpm.codItem &amp; "-" &amp; _xlpm.codArea &amp; "-" &amp; _xlpm.secuencia
)</f>
        <v>-SinArea-0000</v>
      </c>
      <c r="L259" s="77"/>
      <c r="M259" s="32"/>
      <c r="N259" s="32"/>
      <c r="O259" s="32"/>
      <c r="P259" s="32"/>
    </row>
    <row r="260" spans="3:16" x14ac:dyDescent="0.3">
      <c r="C260" s="11"/>
      <c r="D260" s="32"/>
      <c r="E260" s="11"/>
      <c r="G260" s="15"/>
      <c r="H260" s="47"/>
      <c r="I260" s="76"/>
      <c r="J260" s="76"/>
      <c r="K260" s="78" t="str">
        <f>_xlfn.LET(
    _xlpm.itemBuscado, B260,
    _xlpm.areaBuscada, C260,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TEXT(COUNTIF($C$2:C260, _xlpm.areaBuscada), "0000"),
    _xlpm.codItem &amp; "-" &amp; _xlpm.codArea &amp; "-" &amp; _xlpm.secuencia
)</f>
        <v>-SinArea-0000</v>
      </c>
      <c r="L260" s="77"/>
      <c r="M260" s="32"/>
      <c r="N260" s="32"/>
      <c r="O260" s="32"/>
      <c r="P260" s="32"/>
    </row>
    <row r="261" spans="3:16" x14ac:dyDescent="0.3">
      <c r="C261" s="11"/>
      <c r="D261" s="32"/>
      <c r="E261" s="11"/>
      <c r="G261" s="15"/>
      <c r="H261" s="47"/>
      <c r="I261" s="76"/>
      <c r="J261" s="76"/>
      <c r="K261" s="78" t="str">
        <f>_xlfn.LET(
    _xlpm.itemBuscado, B261,
    _xlpm.areaBuscada, C261,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TEXT(COUNTIF($C$2:C261, _xlpm.areaBuscada), "0000"),
    _xlpm.codItem &amp; "-" &amp; _xlpm.codArea &amp; "-" &amp; _xlpm.secuencia
)</f>
        <v>-SinArea-0000</v>
      </c>
      <c r="L261" s="77"/>
      <c r="M261" s="32"/>
      <c r="N261" s="32"/>
      <c r="O261" s="32"/>
      <c r="P261" s="32"/>
    </row>
    <row r="262" spans="3:16" x14ac:dyDescent="0.3">
      <c r="C262" s="11"/>
      <c r="D262" s="32"/>
      <c r="E262" s="11"/>
      <c r="G262" s="15"/>
      <c r="H262" s="47"/>
      <c r="I262" s="76"/>
      <c r="J262" s="76"/>
      <c r="K262" s="78" t="str">
        <f>_xlfn.LET(
    _xlpm.itemBuscado, B262,
    _xlpm.areaBuscada, C262,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TEXT(COUNTIF($C$2:C262, _xlpm.areaBuscada), "0000"),
    _xlpm.codItem &amp; "-" &amp; _xlpm.codArea &amp; "-" &amp; _xlpm.secuencia
)</f>
        <v>-SinArea-0000</v>
      </c>
      <c r="L262" s="77"/>
      <c r="M262" s="32"/>
      <c r="N262" s="32"/>
      <c r="O262" s="32"/>
      <c r="P262" s="32"/>
    </row>
    <row r="263" spans="3:16" x14ac:dyDescent="0.3">
      <c r="C263" s="11"/>
      <c r="D263" s="32"/>
      <c r="E263" s="11"/>
      <c r="G263" s="15"/>
      <c r="H263" s="47"/>
      <c r="I263" s="76"/>
      <c r="J263" s="76"/>
      <c r="K263" s="78" t="str">
        <f>_xlfn.LET(
    _xlpm.itemBuscado, B263,
    _xlpm.areaBuscada, C263,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TEXT(COUNTIF($C$2:C263, _xlpm.areaBuscada), "0000"),
    _xlpm.codItem &amp; "-" &amp; _xlpm.codArea &amp; "-" &amp; _xlpm.secuencia
)</f>
        <v>-SinArea-0000</v>
      </c>
      <c r="L263" s="77"/>
      <c r="M263" s="32"/>
      <c r="N263" s="32"/>
      <c r="O263" s="32"/>
      <c r="P263" s="32"/>
    </row>
    <row r="264" spans="3:16" x14ac:dyDescent="0.3">
      <c r="C264" s="11"/>
      <c r="D264" s="32"/>
      <c r="E264" s="11"/>
      <c r="G264" s="15"/>
      <c r="H264" s="47"/>
      <c r="I264" s="76"/>
      <c r="J264" s="76"/>
      <c r="K264" s="78" t="str">
        <f>_xlfn.LET(
    _xlpm.itemBuscado, B264,
    _xlpm.areaBuscada, C264,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TEXT(COUNTIF($C$2:C264, _xlpm.areaBuscada), "0000"),
    _xlpm.codItem &amp; "-" &amp; _xlpm.codArea &amp; "-" &amp; _xlpm.secuencia
)</f>
        <v>-SinArea-0000</v>
      </c>
      <c r="L264" s="77"/>
      <c r="M264" s="32"/>
      <c r="N264" s="32"/>
      <c r="O264" s="32"/>
      <c r="P264" s="32"/>
    </row>
    <row r="265" spans="3:16" x14ac:dyDescent="0.3">
      <c r="C265" s="11"/>
      <c r="D265" s="32"/>
      <c r="E265" s="11"/>
      <c r="G265" s="15"/>
      <c r="H265" s="47"/>
      <c r="I265" s="76"/>
      <c r="J265" s="76"/>
      <c r="K265" s="78" t="str">
        <f>_xlfn.LET(
    _xlpm.itemBuscado, B265,
    _xlpm.areaBuscada, C265,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TEXT(COUNTIF($C$2:C265, _xlpm.areaBuscada), "0000"),
    _xlpm.codItem &amp; "-" &amp; _xlpm.codArea &amp; "-" &amp; _xlpm.secuencia
)</f>
        <v>-SinArea-0000</v>
      </c>
      <c r="L265" s="77"/>
      <c r="M265" s="32"/>
      <c r="N265" s="32"/>
      <c r="O265" s="32"/>
      <c r="P265" s="32"/>
    </row>
    <row r="266" spans="3:16" x14ac:dyDescent="0.3">
      <c r="C266" s="11"/>
      <c r="D266" s="32"/>
      <c r="E266" s="11"/>
      <c r="G266" s="15"/>
      <c r="H266" s="47"/>
      <c r="I266" s="76"/>
      <c r="J266" s="76"/>
      <c r="K266" s="78" t="str">
        <f>_xlfn.LET(
    _xlpm.itemBuscado, B266,
    _xlpm.areaBuscada, C266,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TEXT(COUNTIF($C$2:C266, _xlpm.areaBuscada), "0000"),
    _xlpm.codItem &amp; "-" &amp; _xlpm.codArea &amp; "-" &amp; _xlpm.secuencia
)</f>
        <v>-SinArea-0000</v>
      </c>
      <c r="L266" s="77"/>
      <c r="M266" s="32"/>
      <c r="N266" s="32"/>
      <c r="O266" s="32"/>
      <c r="P266" s="32"/>
    </row>
    <row r="267" spans="3:16" x14ac:dyDescent="0.3">
      <c r="C267" s="11"/>
      <c r="D267" s="32"/>
      <c r="E267" s="11"/>
      <c r="G267" s="15"/>
      <c r="H267" s="47"/>
      <c r="I267" s="76"/>
      <c r="J267" s="76"/>
      <c r="K267" s="78" t="str">
        <f>_xlfn.LET(
    _xlpm.itemBuscado, B267,
    _xlpm.areaBuscada, C267,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TEXT(COUNTIF($C$2:C267, _xlpm.areaBuscada), "0000"),
    _xlpm.codItem &amp; "-" &amp; _xlpm.codArea &amp; "-" &amp; _xlpm.secuencia
)</f>
        <v>-SinArea-0000</v>
      </c>
      <c r="L267" s="77"/>
      <c r="M267" s="32"/>
      <c r="N267" s="32"/>
      <c r="O267" s="32"/>
      <c r="P267" s="32"/>
    </row>
    <row r="268" spans="3:16" x14ac:dyDescent="0.3">
      <c r="C268" s="11"/>
      <c r="D268" s="32"/>
      <c r="E268" s="11"/>
      <c r="G268" s="15"/>
      <c r="H268" s="47"/>
      <c r="I268" s="76"/>
      <c r="J268" s="76"/>
      <c r="K268" s="78" t="str">
        <f>_xlfn.LET(
    _xlpm.itemBuscado, B268,
    _xlpm.areaBuscada, C268,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TEXT(COUNTIF($C$2:C268, _xlpm.areaBuscada), "0000"),
    _xlpm.codItem &amp; "-" &amp; _xlpm.codArea &amp; "-" &amp; _xlpm.secuencia
)</f>
        <v>-SinArea-0000</v>
      </c>
      <c r="L268" s="77"/>
      <c r="M268" s="32"/>
      <c r="N268" s="32"/>
      <c r="O268" s="32"/>
      <c r="P268" s="32"/>
    </row>
    <row r="269" spans="3:16" x14ac:dyDescent="0.3">
      <c r="C269" s="11"/>
      <c r="D269" s="32"/>
      <c r="E269" s="11"/>
      <c r="G269" s="15"/>
      <c r="H269" s="47"/>
      <c r="I269" s="76"/>
      <c r="J269" s="76"/>
      <c r="K269" s="78" t="str">
        <f>_xlfn.LET(
    _xlpm.itemBuscado, B269,
    _xlpm.areaBuscada, C269,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TEXT(COUNTIF($C$2:C269, _xlpm.areaBuscada), "0000"),
    _xlpm.codItem &amp; "-" &amp; _xlpm.codArea &amp; "-" &amp; _xlpm.secuencia
)</f>
        <v>-SinArea-0000</v>
      </c>
      <c r="L269" s="77"/>
      <c r="M269" s="32"/>
      <c r="N269" s="32"/>
      <c r="O269" s="32"/>
      <c r="P269" s="32"/>
    </row>
    <row r="270" spans="3:16" x14ac:dyDescent="0.3">
      <c r="C270" s="11"/>
      <c r="D270" s="32"/>
      <c r="E270" s="11"/>
      <c r="G270" s="15"/>
      <c r="H270" s="47"/>
      <c r="I270" s="76"/>
      <c r="J270" s="76"/>
      <c r="K270" s="78" t="str">
        <f>_xlfn.LET(
    _xlpm.itemBuscado, B270,
    _xlpm.areaBuscada, C270,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TEXT(COUNTIF($C$2:C270, _xlpm.areaBuscada), "0000"),
    _xlpm.codItem &amp; "-" &amp; _xlpm.codArea &amp; "-" &amp; _xlpm.secuencia
)</f>
        <v>-SinArea-0000</v>
      </c>
      <c r="L270" s="77"/>
      <c r="M270" s="32"/>
      <c r="N270" s="32"/>
      <c r="O270" s="32"/>
      <c r="P270" s="32"/>
    </row>
    <row r="271" spans="3:16" x14ac:dyDescent="0.3">
      <c r="C271" s="11"/>
      <c r="D271" s="32"/>
      <c r="E271" s="11"/>
      <c r="G271" s="15"/>
      <c r="H271" s="47"/>
      <c r="I271" s="76"/>
      <c r="J271" s="76"/>
      <c r="K271" s="78" t="str">
        <f>_xlfn.LET(
    _xlpm.itemBuscado, B271,
    _xlpm.areaBuscada, C271,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TEXT(COUNTIF($C$2:C271, _xlpm.areaBuscada), "0000"),
    _xlpm.codItem &amp; "-" &amp; _xlpm.codArea &amp; "-" &amp; _xlpm.secuencia
)</f>
        <v>-SinArea-0000</v>
      </c>
      <c r="L271" s="77"/>
      <c r="M271" s="32"/>
      <c r="N271" s="32"/>
      <c r="O271" s="32"/>
      <c r="P271" s="32"/>
    </row>
    <row r="272" spans="3:16" x14ac:dyDescent="0.3">
      <c r="C272" s="11"/>
      <c r="D272" s="32"/>
      <c r="E272" s="11"/>
      <c r="G272" s="15"/>
      <c r="H272" s="47"/>
      <c r="I272" s="76"/>
      <c r="J272" s="76"/>
      <c r="K272" s="78" t="str">
        <f>_xlfn.LET(
    _xlpm.itemBuscado, B272,
    _xlpm.areaBuscada, C272,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TEXT(COUNTIF($C$2:C272, _xlpm.areaBuscada), "0000"),
    _xlpm.codItem &amp; "-" &amp; _xlpm.codArea &amp; "-" &amp; _xlpm.secuencia
)</f>
        <v>-SinArea-0000</v>
      </c>
      <c r="L272" s="77"/>
      <c r="M272" s="32"/>
      <c r="N272" s="32"/>
      <c r="O272" s="32"/>
      <c r="P272" s="32"/>
    </row>
    <row r="273" spans="3:16" x14ac:dyDescent="0.3">
      <c r="C273" s="11"/>
      <c r="D273" s="32"/>
      <c r="E273" s="11"/>
      <c r="G273" s="15"/>
      <c r="H273" s="47"/>
      <c r="I273" s="76"/>
      <c r="J273" s="76"/>
      <c r="K273" s="78" t="str">
        <f>_xlfn.LET(
    _xlpm.itemBuscado, B273,
    _xlpm.areaBuscada, C273,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TEXT(COUNTIF($C$2:C273, _xlpm.areaBuscada), "0000"),
    _xlpm.codItem &amp; "-" &amp; _xlpm.codArea &amp; "-" &amp; _xlpm.secuencia
)</f>
        <v>-SinArea-0000</v>
      </c>
      <c r="L273" s="77"/>
      <c r="M273" s="32"/>
      <c r="N273" s="32"/>
      <c r="O273" s="32"/>
      <c r="P273" s="32"/>
    </row>
    <row r="274" spans="3:16" x14ac:dyDescent="0.3">
      <c r="C274" s="11"/>
      <c r="D274" s="32"/>
      <c r="E274" s="11"/>
      <c r="G274" s="15"/>
      <c r="H274" s="47"/>
      <c r="I274" s="76"/>
      <c r="J274" s="76"/>
      <c r="K274" s="78" t="str">
        <f>_xlfn.LET(
    _xlpm.itemBuscado, B274,
    _xlpm.areaBuscada, C274,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TEXT(COUNTIF($C$2:C274, _xlpm.areaBuscada), "0000"),
    _xlpm.codItem &amp; "-" &amp; _xlpm.codArea &amp; "-" &amp; _xlpm.secuencia
)</f>
        <v>-SinArea-0000</v>
      </c>
      <c r="L274" s="77"/>
      <c r="M274" s="32"/>
      <c r="N274" s="32"/>
      <c r="O274" s="32"/>
      <c r="P274" s="32"/>
    </row>
    <row r="275" spans="3:16" x14ac:dyDescent="0.3">
      <c r="C275" s="11"/>
      <c r="D275" s="32"/>
      <c r="E275" s="11"/>
      <c r="G275" s="15"/>
      <c r="H275" s="47"/>
      <c r="I275" s="76"/>
      <c r="J275" s="76"/>
      <c r="K275" s="78" t="str">
        <f>_xlfn.LET(
    _xlpm.itemBuscado, B275,
    _xlpm.areaBuscada, C275,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TEXT(COUNTIF($C$2:C275, _xlpm.areaBuscada), "0000"),
    _xlpm.codItem &amp; "-" &amp; _xlpm.codArea &amp; "-" &amp; _xlpm.secuencia
)</f>
        <v>-SinArea-0000</v>
      </c>
      <c r="L275" s="77"/>
      <c r="M275" s="32"/>
      <c r="N275" s="32"/>
      <c r="O275" s="32"/>
      <c r="P275" s="32"/>
    </row>
    <row r="276" spans="3:16" x14ac:dyDescent="0.3">
      <c r="C276" s="11"/>
      <c r="D276" s="32"/>
      <c r="E276" s="11"/>
      <c r="G276" s="15"/>
      <c r="H276" s="47"/>
      <c r="I276" s="76"/>
      <c r="J276" s="76"/>
      <c r="K276" s="78" t="str">
        <f>_xlfn.LET(
    _xlpm.itemBuscado, B276,
    _xlpm.areaBuscada, C276,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TEXT(COUNTIF($C$2:C276, _xlpm.areaBuscada), "0000"),
    _xlpm.codItem &amp; "-" &amp; _xlpm.codArea &amp; "-" &amp; _xlpm.secuencia
)</f>
        <v>-SinArea-0000</v>
      </c>
      <c r="L276" s="77"/>
      <c r="M276" s="32"/>
      <c r="N276" s="32"/>
      <c r="O276" s="32"/>
      <c r="P276" s="32"/>
    </row>
    <row r="277" spans="3:16" x14ac:dyDescent="0.3">
      <c r="C277" s="11"/>
      <c r="D277" s="32"/>
      <c r="E277" s="11"/>
      <c r="G277" s="15"/>
      <c r="H277" s="47"/>
      <c r="I277" s="76"/>
      <c r="J277" s="76"/>
      <c r="K277" s="78" t="str">
        <f>_xlfn.LET(
    _xlpm.itemBuscado, B277,
    _xlpm.areaBuscada, C277,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TEXT(COUNTIF($C$2:C277, _xlpm.areaBuscada), "0000"),
    _xlpm.codItem &amp; "-" &amp; _xlpm.codArea &amp; "-" &amp; _xlpm.secuencia
)</f>
        <v>-SinArea-0000</v>
      </c>
      <c r="L277" s="77"/>
      <c r="M277" s="32"/>
      <c r="N277" s="32"/>
      <c r="O277" s="32"/>
      <c r="P277" s="32"/>
    </row>
    <row r="278" spans="3:16" x14ac:dyDescent="0.3">
      <c r="C278" s="11"/>
      <c r="D278" s="32"/>
      <c r="E278" s="11"/>
      <c r="G278" s="15"/>
      <c r="H278" s="47"/>
      <c r="I278" s="76"/>
      <c r="J278" s="76"/>
      <c r="K278" s="78" t="str">
        <f>_xlfn.LET(
    _xlpm.itemBuscado, B278,
    _xlpm.areaBuscada, C278,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TEXT(COUNTIF($C$2:C278, _xlpm.areaBuscada), "0000"),
    _xlpm.codItem &amp; "-" &amp; _xlpm.codArea &amp; "-" &amp; _xlpm.secuencia
)</f>
        <v>-SinArea-0000</v>
      </c>
      <c r="L278" s="77"/>
      <c r="M278" s="32"/>
      <c r="N278" s="32"/>
      <c r="O278" s="32"/>
      <c r="P278" s="32"/>
    </row>
    <row r="279" spans="3:16" x14ac:dyDescent="0.3">
      <c r="C279" s="11"/>
      <c r="D279" s="32"/>
      <c r="E279" s="11"/>
      <c r="G279" s="15"/>
      <c r="H279" s="47"/>
      <c r="I279" s="76"/>
      <c r="J279" s="76"/>
      <c r="K279" s="78" t="str">
        <f>_xlfn.LET(
    _xlpm.itemBuscado, B279,
    _xlpm.areaBuscada, C279,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TEXT(COUNTIF($C$2:C279, _xlpm.areaBuscada), "0000"),
    _xlpm.codItem &amp; "-" &amp; _xlpm.codArea &amp; "-" &amp; _xlpm.secuencia
)</f>
        <v>-SinArea-0000</v>
      </c>
      <c r="L279" s="77"/>
      <c r="M279" s="32"/>
      <c r="N279" s="32"/>
      <c r="O279" s="32"/>
      <c r="P279" s="32"/>
    </row>
    <row r="280" spans="3:16" x14ac:dyDescent="0.3">
      <c r="C280" s="11"/>
      <c r="D280" s="32"/>
      <c r="E280" s="11"/>
      <c r="G280" s="15"/>
      <c r="H280" s="47"/>
      <c r="I280" s="76"/>
      <c r="J280" s="76"/>
      <c r="K280" s="78" t="str">
        <f>_xlfn.LET(
    _xlpm.itemBuscado, B280,
    _xlpm.areaBuscada, C280,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TEXT(COUNTIF($C$2:C280, _xlpm.areaBuscada), "0000"),
    _xlpm.codItem &amp; "-" &amp; _xlpm.codArea &amp; "-" &amp; _xlpm.secuencia
)</f>
        <v>-SinArea-0000</v>
      </c>
      <c r="L280" s="77"/>
      <c r="M280" s="32"/>
      <c r="N280" s="32"/>
      <c r="O280" s="32"/>
      <c r="P280" s="32"/>
    </row>
    <row r="281" spans="3:16" x14ac:dyDescent="0.3">
      <c r="C281" s="11"/>
      <c r="D281" s="32"/>
      <c r="E281" s="11"/>
      <c r="G281" s="15"/>
      <c r="H281" s="47"/>
      <c r="I281" s="76"/>
      <c r="J281" s="76"/>
      <c r="K281" s="78" t="str">
        <f>_xlfn.LET(
    _xlpm.itemBuscado, B281,
    _xlpm.areaBuscada, C281,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TEXT(COUNTIF($C$2:C281, _xlpm.areaBuscada), "0000"),
    _xlpm.codItem &amp; "-" &amp; _xlpm.codArea &amp; "-" &amp; _xlpm.secuencia
)</f>
        <v>-SinArea-0000</v>
      </c>
      <c r="L281" s="77"/>
      <c r="M281" s="32"/>
      <c r="N281" s="32"/>
      <c r="O281" s="32"/>
      <c r="P281" s="32"/>
    </row>
    <row r="282" spans="3:16" x14ac:dyDescent="0.3">
      <c r="C282" s="11"/>
      <c r="D282" s="32"/>
      <c r="E282" s="11"/>
      <c r="G282" s="15"/>
      <c r="H282" s="47"/>
      <c r="I282" s="76"/>
      <c r="J282" s="76"/>
      <c r="K282" s="78" t="str">
        <f>_xlfn.LET(
    _xlpm.itemBuscado, B282,
    _xlpm.areaBuscada, C282,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TEXT(COUNTIF($C$2:C282, _xlpm.areaBuscada), "0000"),
    _xlpm.codItem &amp; "-" &amp; _xlpm.codArea &amp; "-" &amp; _xlpm.secuencia
)</f>
        <v>-SinArea-0000</v>
      </c>
      <c r="L282" s="77"/>
      <c r="M282" s="32"/>
      <c r="N282" s="32"/>
      <c r="O282" s="32"/>
      <c r="P282" s="32"/>
    </row>
    <row r="283" spans="3:16" x14ac:dyDescent="0.3">
      <c r="C283" s="11"/>
      <c r="D283" s="32"/>
      <c r="E283" s="11"/>
      <c r="G283" s="15"/>
      <c r="H283" s="47"/>
      <c r="I283" s="76"/>
      <c r="J283" s="76"/>
      <c r="K283" s="78" t="str">
        <f>_xlfn.LET(
    _xlpm.itemBuscado, B283,
    _xlpm.areaBuscada, C283,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TEXT(COUNTIF($C$2:C283, _xlpm.areaBuscada), "0000"),
    _xlpm.codItem &amp; "-" &amp; _xlpm.codArea &amp; "-" &amp; _xlpm.secuencia
)</f>
        <v>-SinArea-0000</v>
      </c>
      <c r="L283" s="77"/>
      <c r="M283" s="32"/>
      <c r="N283" s="32"/>
      <c r="O283" s="32"/>
      <c r="P283" s="32"/>
    </row>
    <row r="284" spans="3:16" x14ac:dyDescent="0.3">
      <c r="C284" s="11"/>
      <c r="D284" s="32"/>
      <c r="E284" s="11"/>
      <c r="G284" s="15"/>
      <c r="H284" s="47"/>
      <c r="I284" s="76"/>
      <c r="J284" s="76"/>
      <c r="K284" s="78" t="str">
        <f>_xlfn.LET(
    _xlpm.itemBuscado, B284,
    _xlpm.areaBuscada, C284,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TEXT(COUNTIF($C$2:C284, _xlpm.areaBuscada), "0000"),
    _xlpm.codItem &amp; "-" &amp; _xlpm.codArea &amp; "-" &amp; _xlpm.secuencia
)</f>
        <v>-SinArea-0000</v>
      </c>
      <c r="L284" s="77"/>
      <c r="M284" s="32"/>
      <c r="N284" s="32"/>
      <c r="O284" s="32"/>
      <c r="P284" s="32"/>
    </row>
    <row r="285" spans="3:16" x14ac:dyDescent="0.3">
      <c r="C285" s="11"/>
      <c r="D285" s="32"/>
      <c r="E285" s="11"/>
      <c r="G285" s="15"/>
      <c r="H285" s="47"/>
      <c r="I285" s="76"/>
      <c r="J285" s="76"/>
      <c r="K285" s="78" t="str">
        <f>_xlfn.LET(
    _xlpm.itemBuscado, B285,
    _xlpm.areaBuscada, C285,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TEXT(COUNTIF($C$2:C285, _xlpm.areaBuscada), "0000"),
    _xlpm.codItem &amp; "-" &amp; _xlpm.codArea &amp; "-" &amp; _xlpm.secuencia
)</f>
        <v>-SinArea-0000</v>
      </c>
      <c r="L285" s="77"/>
      <c r="M285" s="32"/>
      <c r="N285" s="32"/>
      <c r="O285" s="32"/>
      <c r="P285" s="32"/>
    </row>
    <row r="286" spans="3:16" x14ac:dyDescent="0.3">
      <c r="C286" s="11"/>
      <c r="D286" s="32"/>
      <c r="E286" s="11"/>
      <c r="G286" s="15"/>
      <c r="H286" s="47"/>
      <c r="I286" s="76"/>
      <c r="J286" s="76"/>
      <c r="K286" s="78" t="str">
        <f>_xlfn.LET(
    _xlpm.itemBuscado, B286,
    _xlpm.areaBuscada, C286,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TEXT(COUNTIF($C$2:C286, _xlpm.areaBuscada), "0000"),
    _xlpm.codItem &amp; "-" &amp; _xlpm.codArea &amp; "-" &amp; _xlpm.secuencia
)</f>
        <v>-SinArea-0000</v>
      </c>
      <c r="L286" s="77"/>
      <c r="M286" s="32"/>
      <c r="N286" s="32"/>
      <c r="O286" s="32"/>
      <c r="P286" s="32"/>
    </row>
    <row r="287" spans="3:16" x14ac:dyDescent="0.3">
      <c r="C287" s="11"/>
      <c r="D287" s="32"/>
      <c r="E287" s="11"/>
      <c r="G287" s="15"/>
      <c r="H287" s="47"/>
      <c r="I287" s="76"/>
      <c r="J287" s="76"/>
      <c r="K287" s="78" t="str">
        <f>_xlfn.LET(
    _xlpm.itemBuscado, B287,
    _xlpm.areaBuscada, C287,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TEXT(COUNTIF($C$2:C287, _xlpm.areaBuscada), "0000"),
    _xlpm.codItem &amp; "-" &amp; _xlpm.codArea &amp; "-" &amp; _xlpm.secuencia
)</f>
        <v>-SinArea-0000</v>
      </c>
      <c r="L287" s="77"/>
      <c r="M287" s="32"/>
      <c r="N287" s="32"/>
      <c r="O287" s="32"/>
      <c r="P287" s="32"/>
    </row>
    <row r="288" spans="3:16" x14ac:dyDescent="0.3">
      <c r="C288" s="11"/>
      <c r="D288" s="32"/>
      <c r="E288" s="11"/>
      <c r="G288" s="15"/>
      <c r="H288" s="47"/>
      <c r="I288" s="76"/>
      <c r="J288" s="76"/>
      <c r="K288" s="78" t="str">
        <f>_xlfn.LET(
    _xlpm.itemBuscado, B288,
    _xlpm.areaBuscada, C288,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TEXT(COUNTIF($C$2:C288, _xlpm.areaBuscada), "0000"),
    _xlpm.codItem &amp; "-" &amp; _xlpm.codArea &amp; "-" &amp; _xlpm.secuencia
)</f>
        <v>-SinArea-0000</v>
      </c>
      <c r="L288" s="77"/>
      <c r="M288" s="32"/>
      <c r="N288" s="32"/>
      <c r="O288" s="32"/>
      <c r="P288" s="32"/>
    </row>
    <row r="289" spans="3:16" x14ac:dyDescent="0.3">
      <c r="C289" s="11"/>
      <c r="D289" s="32"/>
      <c r="E289" s="11"/>
      <c r="G289" s="15"/>
      <c r="H289" s="47"/>
      <c r="I289" s="76"/>
      <c r="J289" s="76"/>
      <c r="K289" s="78" t="str">
        <f>_xlfn.LET(
    _xlpm.itemBuscado, B289,
    _xlpm.areaBuscada, C289,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TEXT(COUNTIF($C$2:C289, _xlpm.areaBuscada), "0000"),
    _xlpm.codItem &amp; "-" &amp; _xlpm.codArea &amp; "-" &amp; _xlpm.secuencia
)</f>
        <v>-SinArea-0000</v>
      </c>
      <c r="L289" s="77"/>
      <c r="M289" s="32"/>
      <c r="N289" s="32"/>
      <c r="O289" s="32"/>
      <c r="P289" s="32"/>
    </row>
    <row r="290" spans="3:16" x14ac:dyDescent="0.3">
      <c r="C290" s="11"/>
      <c r="D290" s="32"/>
      <c r="E290" s="11"/>
      <c r="G290" s="15"/>
      <c r="H290" s="47"/>
      <c r="I290" s="76"/>
      <c r="J290" s="76"/>
      <c r="K290" s="78" t="str">
        <f>_xlfn.LET(
    _xlpm.itemBuscado, B290,
    _xlpm.areaBuscada, C290,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TEXT(COUNTIF($C$2:C290, _xlpm.areaBuscada), "0000"),
    _xlpm.codItem &amp; "-" &amp; _xlpm.codArea &amp; "-" &amp; _xlpm.secuencia
)</f>
        <v>-SinArea-0000</v>
      </c>
      <c r="L290" s="77"/>
      <c r="M290" s="32"/>
      <c r="N290" s="32"/>
      <c r="O290" s="32"/>
      <c r="P290" s="32"/>
    </row>
    <row r="291" spans="3:16" x14ac:dyDescent="0.3">
      <c r="C291" s="11"/>
      <c r="D291" s="32"/>
      <c r="E291" s="11"/>
      <c r="G291" s="15"/>
      <c r="H291" s="47"/>
      <c r="I291" s="76"/>
      <c r="J291" s="76"/>
      <c r="K291" s="78" t="str">
        <f>_xlfn.LET(
    _xlpm.itemBuscado, B291,
    _xlpm.areaBuscada, C291,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TEXT(COUNTIF($C$2:C291, _xlpm.areaBuscada), "0000"),
    _xlpm.codItem &amp; "-" &amp; _xlpm.codArea &amp; "-" &amp; _xlpm.secuencia
)</f>
        <v>-SinArea-0000</v>
      </c>
      <c r="L291" s="77"/>
      <c r="M291" s="32"/>
      <c r="N291" s="32"/>
      <c r="O291" s="32"/>
      <c r="P291" s="32"/>
    </row>
    <row r="292" spans="3:16" x14ac:dyDescent="0.3">
      <c r="C292" s="11"/>
      <c r="D292" s="32"/>
      <c r="E292" s="11"/>
      <c r="G292" s="15"/>
      <c r="H292" s="47"/>
      <c r="I292" s="76"/>
      <c r="J292" s="76"/>
      <c r="K292" s="78" t="str">
        <f>_xlfn.LET(
    _xlpm.itemBuscado, B292,
    _xlpm.areaBuscada, C292,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TEXT(COUNTIF($C$2:C292, _xlpm.areaBuscada), "0000"),
    _xlpm.codItem &amp; "-" &amp; _xlpm.codArea &amp; "-" &amp; _xlpm.secuencia
)</f>
        <v>-SinArea-0000</v>
      </c>
      <c r="L292" s="77"/>
      <c r="M292" s="32"/>
      <c r="N292" s="32"/>
      <c r="O292" s="32"/>
      <c r="P292" s="32"/>
    </row>
    <row r="293" spans="3:16" x14ac:dyDescent="0.3">
      <c r="C293" s="11"/>
      <c r="D293" s="32"/>
      <c r="E293" s="11"/>
      <c r="G293" s="15"/>
      <c r="H293" s="47"/>
      <c r="I293" s="76"/>
      <c r="J293" s="76"/>
      <c r="K293" s="78" t="str">
        <f>_xlfn.LET(
    _xlpm.itemBuscado, B293,
    _xlpm.areaBuscada, C293,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TEXT(COUNTIF($C$2:C293, _xlpm.areaBuscada), "0000"),
    _xlpm.codItem &amp; "-" &amp; _xlpm.codArea &amp; "-" &amp; _xlpm.secuencia
)</f>
        <v>-SinArea-0000</v>
      </c>
      <c r="L293" s="77"/>
      <c r="M293" s="32"/>
      <c r="N293" s="32"/>
      <c r="O293" s="32"/>
      <c r="P293" s="32"/>
    </row>
    <row r="294" spans="3:16" x14ac:dyDescent="0.3">
      <c r="C294" s="11"/>
      <c r="D294" s="32"/>
      <c r="E294" s="11"/>
      <c r="G294" s="15"/>
      <c r="H294" s="47"/>
      <c r="I294" s="76"/>
      <c r="J294" s="76"/>
      <c r="K294" s="78" t="str">
        <f>_xlfn.LET(
    _xlpm.itemBuscado, B294,
    _xlpm.areaBuscada, C294,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TEXT(COUNTIF($C$2:C294, _xlpm.areaBuscada), "0000"),
    _xlpm.codItem &amp; "-" &amp; _xlpm.codArea &amp; "-" &amp; _xlpm.secuencia
)</f>
        <v>-SinArea-0000</v>
      </c>
      <c r="L294" s="77"/>
      <c r="M294" s="32"/>
      <c r="N294" s="32"/>
      <c r="O294" s="32"/>
      <c r="P294" s="32"/>
    </row>
    <row r="295" spans="3:16" x14ac:dyDescent="0.3">
      <c r="C295" s="11"/>
      <c r="D295" s="32"/>
      <c r="E295" s="11"/>
      <c r="G295" s="15"/>
      <c r="H295" s="47"/>
      <c r="I295" s="76"/>
      <c r="J295" s="76"/>
      <c r="K295" s="78" t="str">
        <f>_xlfn.LET(
    _xlpm.itemBuscado, B295,
    _xlpm.areaBuscada, C295,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TEXT(COUNTIF($C$2:C295, _xlpm.areaBuscada), "0000"),
    _xlpm.codItem &amp; "-" &amp; _xlpm.codArea &amp; "-" &amp; _xlpm.secuencia
)</f>
        <v>-SinArea-0000</v>
      </c>
      <c r="L295" s="77"/>
      <c r="M295" s="32"/>
      <c r="N295" s="32"/>
      <c r="O295" s="32"/>
      <c r="P295" s="32"/>
    </row>
    <row r="296" spans="3:16" x14ac:dyDescent="0.3">
      <c r="C296" s="11"/>
      <c r="D296" s="32"/>
      <c r="E296" s="11"/>
      <c r="G296" s="15"/>
      <c r="H296" s="47"/>
      <c r="I296" s="76"/>
      <c r="J296" s="76"/>
      <c r="K296" s="78" t="str">
        <f>_xlfn.LET(
    _xlpm.itemBuscado, B296,
    _xlpm.areaBuscada, C296,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TEXT(COUNTIF($C$2:C296, _xlpm.areaBuscada), "0000"),
    _xlpm.codItem &amp; "-" &amp; _xlpm.codArea &amp; "-" &amp; _xlpm.secuencia
)</f>
        <v>-SinArea-0000</v>
      </c>
      <c r="L296" s="77"/>
      <c r="M296" s="32"/>
      <c r="N296" s="32"/>
      <c r="O296" s="32"/>
      <c r="P296" s="32"/>
    </row>
    <row r="297" spans="3:16" x14ac:dyDescent="0.3">
      <c r="C297" s="11"/>
      <c r="D297" s="32"/>
      <c r="E297" s="11"/>
      <c r="G297" s="15"/>
      <c r="H297" s="47"/>
      <c r="I297" s="76"/>
      <c r="J297" s="76"/>
      <c r="K297" s="78" t="str">
        <f>_xlfn.LET(
    _xlpm.itemBuscado, B297,
    _xlpm.areaBuscada, C297,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TEXT(COUNTIF($C$2:C297, _xlpm.areaBuscada), "0000"),
    _xlpm.codItem &amp; "-" &amp; _xlpm.codArea &amp; "-" &amp; _xlpm.secuencia
)</f>
        <v>-SinArea-0000</v>
      </c>
      <c r="L297" s="77"/>
      <c r="M297" s="32"/>
      <c r="N297" s="32"/>
      <c r="O297" s="32"/>
      <c r="P297" s="32"/>
    </row>
    <row r="298" spans="3:16" x14ac:dyDescent="0.3">
      <c r="C298" s="11"/>
      <c r="D298" s="32"/>
      <c r="E298" s="11"/>
      <c r="G298" s="15"/>
      <c r="H298" s="47"/>
      <c r="I298" s="76"/>
      <c r="J298" s="76"/>
      <c r="K298" s="78" t="str">
        <f>_xlfn.LET(
    _xlpm.itemBuscado, B298,
    _xlpm.areaBuscada, C298,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TEXT(COUNTIF($C$2:C298, _xlpm.areaBuscada), "0000"),
    _xlpm.codItem &amp; "-" &amp; _xlpm.codArea &amp; "-" &amp; _xlpm.secuencia
)</f>
        <v>-SinArea-0000</v>
      </c>
      <c r="L298" s="77"/>
      <c r="M298" s="32"/>
      <c r="N298" s="32"/>
      <c r="O298" s="32"/>
      <c r="P298" s="32"/>
    </row>
    <row r="299" spans="3:16" x14ac:dyDescent="0.3">
      <c r="C299" s="11"/>
      <c r="D299" s="32"/>
      <c r="E299" s="11"/>
      <c r="G299" s="15"/>
      <c r="H299" s="47"/>
      <c r="I299" s="76"/>
      <c r="J299" s="76"/>
      <c r="K299" s="78" t="str">
        <f>_xlfn.LET(
    _xlpm.itemBuscado, B299,
    _xlpm.areaBuscada, C299,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TEXT(COUNTIF($C$2:C299, _xlpm.areaBuscada), "0000"),
    _xlpm.codItem &amp; "-" &amp; _xlpm.codArea &amp; "-" &amp; _xlpm.secuencia
)</f>
        <v>-SinArea-0000</v>
      </c>
      <c r="L299" s="77"/>
      <c r="M299" s="32"/>
      <c r="N299" s="32"/>
      <c r="O299" s="32"/>
      <c r="P299" s="32"/>
    </row>
    <row r="300" spans="3:16" x14ac:dyDescent="0.3">
      <c r="C300" s="11"/>
      <c r="D300" s="32"/>
      <c r="E300" s="11"/>
      <c r="G300" s="15"/>
      <c r="H300" s="47"/>
      <c r="I300" s="76"/>
      <c r="J300" s="76"/>
      <c r="K300" s="78" t="str">
        <f>_xlfn.LET(
    _xlpm.itemBuscado, B300,
    _xlpm.areaBuscada, C300,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TEXT(COUNTIF($C$2:C300, _xlpm.areaBuscada), "0000"),
    _xlpm.codItem &amp; "-" &amp; _xlpm.codArea &amp; "-" &amp; _xlpm.secuencia
)</f>
        <v>-SinArea-0000</v>
      </c>
      <c r="L300" s="77"/>
      <c r="M300" s="32"/>
      <c r="N300" s="32"/>
      <c r="O300" s="32"/>
      <c r="P300" s="32"/>
    </row>
    <row r="301" spans="3:16" x14ac:dyDescent="0.3">
      <c r="C301" s="11"/>
      <c r="D301" s="32"/>
      <c r="E301" s="11"/>
      <c r="G301" s="15"/>
      <c r="H301" s="47"/>
      <c r="I301" s="76"/>
      <c r="J301" s="76"/>
      <c r="K301" s="78" t="str">
        <f>_xlfn.LET(
    _xlpm.itemBuscado, B301,
    _xlpm.areaBuscada, C301,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TEXT(COUNTIF($C$2:C301, _xlpm.areaBuscada), "0000"),
    _xlpm.codItem &amp; "-" &amp; _xlpm.codArea &amp; "-" &amp; _xlpm.secuencia
)</f>
        <v>-SinArea-0000</v>
      </c>
      <c r="L301" s="77"/>
      <c r="M301" s="32"/>
      <c r="N301" s="32"/>
      <c r="O301" s="32"/>
      <c r="P301" s="32"/>
    </row>
    <row r="302" spans="3:16" x14ac:dyDescent="0.3">
      <c r="C302" s="11"/>
      <c r="D302" s="32"/>
      <c r="E302" s="11"/>
      <c r="G302" s="15"/>
      <c r="H302" s="47"/>
      <c r="I302" s="76"/>
      <c r="J302" s="76"/>
      <c r="K302" s="78" t="str">
        <f>_xlfn.LET(
    _xlpm.itemBuscado, B302,
    _xlpm.areaBuscada, C302,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TEXT(COUNTIF($C$2:C302, _xlpm.areaBuscada), "0000"),
    _xlpm.codItem &amp; "-" &amp; _xlpm.codArea &amp; "-" &amp; _xlpm.secuencia
)</f>
        <v>-SinArea-0000</v>
      </c>
      <c r="L302" s="77"/>
      <c r="M302" s="32"/>
      <c r="N302" s="32"/>
      <c r="O302" s="32"/>
      <c r="P302" s="32"/>
    </row>
    <row r="303" spans="3:16" x14ac:dyDescent="0.3">
      <c r="C303" s="11"/>
      <c r="D303" s="32"/>
      <c r="E303" s="11"/>
      <c r="G303" s="15"/>
      <c r="H303" s="47"/>
      <c r="I303" s="76"/>
      <c r="J303" s="76"/>
      <c r="K303" s="78" t="str">
        <f>_xlfn.LET(
    _xlpm.itemBuscado, B303,
    _xlpm.areaBuscada, C303,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TEXT(COUNTIF($C$2:C303, _xlpm.areaBuscada), "0000"),
    _xlpm.codItem &amp; "-" &amp; _xlpm.codArea &amp; "-" &amp; _xlpm.secuencia
)</f>
        <v>-SinArea-0000</v>
      </c>
      <c r="L303" s="77"/>
      <c r="M303" s="32"/>
      <c r="N303" s="32"/>
      <c r="O303" s="32"/>
      <c r="P303" s="32"/>
    </row>
    <row r="304" spans="3:16" x14ac:dyDescent="0.3">
      <c r="C304" s="11"/>
      <c r="D304" s="32"/>
      <c r="E304" s="11"/>
      <c r="G304" s="15"/>
      <c r="H304" s="47"/>
      <c r="I304" s="76"/>
      <c r="J304" s="76"/>
      <c r="K304" s="78" t="str">
        <f>_xlfn.LET(
    _xlpm.itemBuscado, B304,
    _xlpm.areaBuscada, C304,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TEXT(COUNTIF($C$2:C304, _xlpm.areaBuscada), "0000"),
    _xlpm.codItem &amp; "-" &amp; _xlpm.codArea &amp; "-" &amp; _xlpm.secuencia
)</f>
        <v>-SinArea-0000</v>
      </c>
      <c r="L304" s="77"/>
      <c r="M304" s="32"/>
      <c r="N304" s="32"/>
      <c r="O304" s="32"/>
      <c r="P304" s="32"/>
    </row>
    <row r="305" spans="3:16" x14ac:dyDescent="0.3">
      <c r="C305" s="11"/>
      <c r="D305" s="32"/>
      <c r="E305" s="11"/>
      <c r="G305" s="15"/>
      <c r="H305" s="47"/>
      <c r="I305" s="76"/>
      <c r="J305" s="76"/>
      <c r="K305" s="78" t="str">
        <f>_xlfn.LET(
    _xlpm.itemBuscado, B305,
    _xlpm.areaBuscada, C305,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TEXT(COUNTIF($C$2:C305, _xlpm.areaBuscada), "0000"),
    _xlpm.codItem &amp; "-" &amp; _xlpm.codArea &amp; "-" &amp; _xlpm.secuencia
)</f>
        <v>-SinArea-0000</v>
      </c>
      <c r="L305" s="77"/>
      <c r="M305" s="32"/>
      <c r="N305" s="32"/>
      <c r="O305" s="32"/>
      <c r="P305" s="32"/>
    </row>
    <row r="306" spans="3:16" x14ac:dyDescent="0.3">
      <c r="C306" s="11"/>
      <c r="D306" s="32"/>
      <c r="E306" s="11"/>
      <c r="G306" s="15"/>
      <c r="H306" s="47"/>
      <c r="I306" s="76"/>
      <c r="J306" s="76"/>
      <c r="K306" s="78" t="str">
        <f>_xlfn.LET(
    _xlpm.itemBuscado, B306,
    _xlpm.areaBuscada, C306,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TEXT(COUNTIF($C$2:C306, _xlpm.areaBuscada), "0000"),
    _xlpm.codItem &amp; "-" &amp; _xlpm.codArea &amp; "-" &amp; _xlpm.secuencia
)</f>
        <v>-SinArea-0000</v>
      </c>
      <c r="L306" s="77"/>
      <c r="M306" s="32"/>
      <c r="N306" s="32"/>
      <c r="O306" s="32"/>
      <c r="P306" s="32"/>
    </row>
    <row r="307" spans="3:16" x14ac:dyDescent="0.3">
      <c r="C307" s="11"/>
      <c r="D307" s="32"/>
      <c r="E307" s="11"/>
      <c r="G307" s="15"/>
      <c r="H307" s="47"/>
      <c r="I307" s="76"/>
      <c r="J307" s="76"/>
      <c r="K307" s="78" t="str">
        <f>_xlfn.LET(
    _xlpm.itemBuscado, B307,
    _xlpm.areaBuscada, C307,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TEXT(COUNTIF($C$2:C307, _xlpm.areaBuscada), "0000"),
    _xlpm.codItem &amp; "-" &amp; _xlpm.codArea &amp; "-" &amp; _xlpm.secuencia
)</f>
        <v>-SinArea-0000</v>
      </c>
      <c r="L307" s="77"/>
      <c r="M307" s="32"/>
      <c r="N307" s="32"/>
      <c r="O307" s="32"/>
      <c r="P307" s="32"/>
    </row>
    <row r="308" spans="3:16" x14ac:dyDescent="0.3">
      <c r="C308" s="11"/>
      <c r="D308" s="32"/>
      <c r="E308" s="11"/>
      <c r="G308" s="15"/>
      <c r="H308" s="47"/>
      <c r="I308" s="76"/>
      <c r="J308" s="76"/>
      <c r="K308" s="78" t="str">
        <f>_xlfn.LET(
    _xlpm.itemBuscado, B308,
    _xlpm.areaBuscada, C308,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TEXT(COUNTIF($C$2:C308, _xlpm.areaBuscada), "0000"),
    _xlpm.codItem &amp; "-" &amp; _xlpm.codArea &amp; "-" &amp; _xlpm.secuencia
)</f>
        <v>-SinArea-0000</v>
      </c>
      <c r="L308" s="77"/>
      <c r="M308" s="32"/>
      <c r="N308" s="32"/>
      <c r="O308" s="32"/>
      <c r="P308" s="32"/>
    </row>
    <row r="309" spans="3:16" x14ac:dyDescent="0.3">
      <c r="C309" s="11"/>
      <c r="D309" s="32"/>
      <c r="E309" s="11"/>
      <c r="G309" s="15"/>
      <c r="H309" s="47"/>
      <c r="I309" s="76"/>
      <c r="J309" s="76"/>
      <c r="K309" s="78" t="str">
        <f>_xlfn.LET(
    _xlpm.itemBuscado, B309,
    _xlpm.areaBuscada, C309,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TEXT(COUNTIF($C$2:C309, _xlpm.areaBuscada), "0000"),
    _xlpm.codItem &amp; "-" &amp; _xlpm.codArea &amp; "-" &amp; _xlpm.secuencia
)</f>
        <v>-SinArea-0000</v>
      </c>
      <c r="L309" s="77"/>
      <c r="M309" s="32"/>
      <c r="N309" s="32"/>
      <c r="O309" s="32"/>
      <c r="P309" s="32"/>
    </row>
    <row r="310" spans="3:16" x14ac:dyDescent="0.3">
      <c r="C310" s="11"/>
      <c r="D310" s="32"/>
      <c r="E310" s="11"/>
      <c r="G310" s="15"/>
      <c r="H310" s="47"/>
      <c r="I310" s="76"/>
      <c r="J310" s="76"/>
      <c r="K310" s="78" t="str">
        <f>_xlfn.LET(
    _xlpm.itemBuscado, B310,
    _xlpm.areaBuscada, C310,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TEXT(COUNTIF($C$2:C310, _xlpm.areaBuscada), "0000"),
    _xlpm.codItem &amp; "-" &amp; _xlpm.codArea &amp; "-" &amp; _xlpm.secuencia
)</f>
        <v>-SinArea-0000</v>
      </c>
      <c r="L310" s="77"/>
      <c r="M310" s="32"/>
      <c r="N310" s="32"/>
      <c r="O310" s="32"/>
      <c r="P310" s="32"/>
    </row>
    <row r="311" spans="3:16" x14ac:dyDescent="0.3">
      <c r="C311" s="11"/>
      <c r="D311" s="32"/>
      <c r="E311" s="11"/>
      <c r="G311" s="15"/>
      <c r="H311" s="47"/>
      <c r="I311" s="76"/>
      <c r="J311" s="76"/>
      <c r="K311" s="78" t="str">
        <f>_xlfn.LET(
    _xlpm.itemBuscado, B311,
    _xlpm.areaBuscada, C311,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TEXT(COUNTIF($C$2:C311, _xlpm.areaBuscada), "0000"),
    _xlpm.codItem &amp; "-" &amp; _xlpm.codArea &amp; "-" &amp; _xlpm.secuencia
)</f>
        <v>-SinArea-0000</v>
      </c>
      <c r="L311" s="77"/>
      <c r="M311" s="32"/>
      <c r="N311" s="32"/>
      <c r="O311" s="32"/>
      <c r="P311" s="32"/>
    </row>
    <row r="312" spans="3:16" x14ac:dyDescent="0.3">
      <c r="C312" s="11"/>
      <c r="D312" s="32"/>
      <c r="E312" s="11"/>
      <c r="G312" s="15"/>
      <c r="H312" s="47"/>
      <c r="I312" s="76"/>
      <c r="J312" s="76"/>
      <c r="K312" s="78" t="str">
        <f>_xlfn.LET(
    _xlpm.itemBuscado, B312,
    _xlpm.areaBuscada, C312,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TEXT(COUNTIF($C$2:C312, _xlpm.areaBuscada), "0000"),
    _xlpm.codItem &amp; "-" &amp; _xlpm.codArea &amp; "-" &amp; _xlpm.secuencia
)</f>
        <v>-SinArea-0000</v>
      </c>
      <c r="L312" s="77"/>
      <c r="M312" s="32"/>
      <c r="N312" s="32"/>
      <c r="O312" s="32"/>
      <c r="P312" s="32"/>
    </row>
    <row r="313" spans="3:16" x14ac:dyDescent="0.3">
      <c r="C313" s="11"/>
      <c r="D313" s="32"/>
      <c r="E313" s="11"/>
      <c r="G313" s="15"/>
      <c r="H313" s="47"/>
      <c r="I313" s="76"/>
      <c r="J313" s="76"/>
      <c r="K313" s="78" t="str">
        <f>_xlfn.LET(
    _xlpm.itemBuscado, B313,
    _xlpm.areaBuscada, C313,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TEXT(COUNTIF($C$2:C313, _xlpm.areaBuscada), "0000"),
    _xlpm.codItem &amp; "-" &amp; _xlpm.codArea &amp; "-" &amp; _xlpm.secuencia
)</f>
        <v>-SinArea-0000</v>
      </c>
      <c r="L313" s="77"/>
      <c r="M313" s="32"/>
      <c r="N313" s="32"/>
      <c r="O313" s="32"/>
      <c r="P313" s="32"/>
    </row>
    <row r="314" spans="3:16" x14ac:dyDescent="0.3">
      <c r="C314" s="11"/>
      <c r="D314" s="32"/>
      <c r="E314" s="11"/>
      <c r="G314" s="15"/>
      <c r="H314" s="47"/>
      <c r="I314" s="76"/>
      <c r="J314" s="76"/>
      <c r="K314" s="78" t="str">
        <f>_xlfn.LET(
    _xlpm.itemBuscado, B314,
    _xlpm.areaBuscada, C314,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TEXT(COUNTIF($C$2:C314, _xlpm.areaBuscada), "0000"),
    _xlpm.codItem &amp; "-" &amp; _xlpm.codArea &amp; "-" &amp; _xlpm.secuencia
)</f>
        <v>-SinArea-0000</v>
      </c>
      <c r="L314" s="77"/>
      <c r="M314" s="32"/>
      <c r="N314" s="32"/>
      <c r="O314" s="32"/>
      <c r="P314" s="32"/>
    </row>
    <row r="315" spans="3:16" x14ac:dyDescent="0.3">
      <c r="C315" s="11"/>
      <c r="D315" s="32"/>
      <c r="E315" s="11"/>
      <c r="G315" s="15"/>
      <c r="H315" s="47"/>
      <c r="I315" s="76"/>
      <c r="J315" s="76"/>
      <c r="K315" s="78" t="str">
        <f>_xlfn.LET(
    _xlpm.itemBuscado, B315,
    _xlpm.areaBuscada, C315,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TEXT(COUNTIF($C$2:C315, _xlpm.areaBuscada), "0000"),
    _xlpm.codItem &amp; "-" &amp; _xlpm.codArea &amp; "-" &amp; _xlpm.secuencia
)</f>
        <v>-SinArea-0000</v>
      </c>
      <c r="L315" s="77"/>
      <c r="M315" s="32"/>
      <c r="N315" s="32"/>
      <c r="O315" s="32"/>
      <c r="P315" s="32"/>
    </row>
    <row r="316" spans="3:16" x14ac:dyDescent="0.3">
      <c r="C316" s="11"/>
      <c r="D316" s="32"/>
      <c r="E316" s="11"/>
      <c r="G316" s="15"/>
      <c r="H316" s="47"/>
      <c r="I316" s="76"/>
      <c r="J316" s="76"/>
      <c r="K316" s="78" t="str">
        <f>_xlfn.LET(
    _xlpm.itemBuscado, B316,
    _xlpm.areaBuscada, C316,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TEXT(COUNTIF($C$2:C316, _xlpm.areaBuscada), "0000"),
    _xlpm.codItem &amp; "-" &amp; _xlpm.codArea &amp; "-" &amp; _xlpm.secuencia
)</f>
        <v>-SinArea-0000</v>
      </c>
      <c r="L316" s="77"/>
      <c r="M316" s="32"/>
      <c r="N316" s="32"/>
      <c r="O316" s="32"/>
      <c r="P316" s="32"/>
    </row>
    <row r="317" spans="3:16" x14ac:dyDescent="0.3">
      <c r="C317" s="11"/>
      <c r="D317" s="32"/>
      <c r="E317" s="11"/>
      <c r="G317" s="15"/>
      <c r="H317" s="47"/>
      <c r="I317" s="76"/>
      <c r="J317" s="76"/>
      <c r="K317" s="78" t="str">
        <f>_xlfn.LET(
    _xlpm.itemBuscado, B317,
    _xlpm.areaBuscada, C317,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TEXT(COUNTIF($C$2:C317, _xlpm.areaBuscada), "0000"),
    _xlpm.codItem &amp; "-" &amp; _xlpm.codArea &amp; "-" &amp; _xlpm.secuencia
)</f>
        <v>-SinArea-0000</v>
      </c>
      <c r="L317" s="77"/>
      <c r="M317" s="32"/>
      <c r="N317" s="32"/>
      <c r="O317" s="32"/>
      <c r="P317" s="32"/>
    </row>
    <row r="318" spans="3:16" x14ac:dyDescent="0.3">
      <c r="C318" s="11"/>
      <c r="D318" s="32"/>
      <c r="E318" s="11"/>
      <c r="G318" s="15"/>
      <c r="H318" s="47"/>
      <c r="I318" s="76"/>
      <c r="J318" s="76"/>
      <c r="K318" s="78" t="str">
        <f>_xlfn.LET(
    _xlpm.itemBuscado, B318,
    _xlpm.areaBuscada, C318,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TEXT(COUNTIF($C$2:C318, _xlpm.areaBuscada), "0000"),
    _xlpm.codItem &amp; "-" &amp; _xlpm.codArea &amp; "-" &amp; _xlpm.secuencia
)</f>
        <v>-SinArea-0000</v>
      </c>
      <c r="L318" s="77"/>
      <c r="M318" s="32"/>
      <c r="N318" s="32"/>
      <c r="O318" s="32"/>
      <c r="P318" s="32"/>
    </row>
    <row r="319" spans="3:16" x14ac:dyDescent="0.3">
      <c r="C319" s="11"/>
      <c r="D319" s="32"/>
      <c r="E319" s="11"/>
      <c r="G319" s="15"/>
      <c r="H319" s="47"/>
      <c r="I319" s="76"/>
      <c r="J319" s="76"/>
      <c r="K319" s="78" t="str">
        <f>_xlfn.LET(
    _xlpm.itemBuscado, B319,
    _xlpm.areaBuscada, C319,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TEXT(COUNTIF($C$2:C319, _xlpm.areaBuscada), "0000"),
    _xlpm.codItem &amp; "-" &amp; _xlpm.codArea &amp; "-" &amp; _xlpm.secuencia
)</f>
        <v>-SinArea-0000</v>
      </c>
      <c r="L319" s="77"/>
      <c r="M319" s="32"/>
      <c r="N319" s="32"/>
      <c r="O319" s="32"/>
      <c r="P319" s="32"/>
    </row>
    <row r="320" spans="3:16" x14ac:dyDescent="0.3">
      <c r="C320" s="11"/>
      <c r="D320" s="32"/>
      <c r="E320" s="11"/>
      <c r="G320" s="15"/>
      <c r="H320" s="47"/>
      <c r="I320" s="76"/>
      <c r="J320" s="76"/>
      <c r="K320" s="78" t="str">
        <f>_xlfn.LET(
    _xlpm.itemBuscado, B320,
    _xlpm.areaBuscada, C320,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TEXT(COUNTIF($C$2:C320, _xlpm.areaBuscada), "0000"),
    _xlpm.codItem &amp; "-" &amp; _xlpm.codArea &amp; "-" &amp; _xlpm.secuencia
)</f>
        <v>-SinArea-0000</v>
      </c>
      <c r="L320" s="77"/>
      <c r="M320" s="32"/>
      <c r="N320" s="32"/>
      <c r="O320" s="32"/>
      <c r="P320" s="32"/>
    </row>
    <row r="321" spans="3:16" x14ac:dyDescent="0.3">
      <c r="C321" s="11"/>
      <c r="D321" s="32"/>
      <c r="E321" s="11"/>
      <c r="G321" s="15"/>
      <c r="H321" s="47"/>
      <c r="I321" s="76"/>
      <c r="J321" s="76"/>
      <c r="K321" s="78" t="str">
        <f>_xlfn.LET(
    _xlpm.itemBuscado, B321,
    _xlpm.areaBuscada, C321,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TEXT(COUNTIF($C$2:C321, _xlpm.areaBuscada), "0000"),
    _xlpm.codItem &amp; "-" &amp; _xlpm.codArea &amp; "-" &amp; _xlpm.secuencia
)</f>
        <v>-SinArea-0000</v>
      </c>
      <c r="L321" s="77"/>
      <c r="M321" s="32"/>
      <c r="N321" s="32"/>
      <c r="O321" s="32"/>
      <c r="P321" s="32"/>
    </row>
    <row r="322" spans="3:16" x14ac:dyDescent="0.3">
      <c r="C322" s="11"/>
      <c r="D322" s="32"/>
      <c r="E322" s="11"/>
      <c r="G322" s="15"/>
      <c r="H322" s="47"/>
      <c r="I322" s="76"/>
      <c r="J322" s="76"/>
      <c r="K322" s="78" t="str">
        <f>_xlfn.LET(
    _xlpm.itemBuscado, B322,
    _xlpm.areaBuscada, C322,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TEXT(COUNTIF($C$2:C322, _xlpm.areaBuscada), "0000"),
    _xlpm.codItem &amp; "-" &amp; _xlpm.codArea &amp; "-" &amp; _xlpm.secuencia
)</f>
        <v>-SinArea-0000</v>
      </c>
      <c r="L322" s="77"/>
      <c r="M322" s="32"/>
      <c r="N322" s="32"/>
      <c r="O322" s="32"/>
      <c r="P322" s="32"/>
    </row>
    <row r="323" spans="3:16" x14ac:dyDescent="0.3">
      <c r="C323" s="11"/>
      <c r="D323" s="32"/>
      <c r="E323" s="11"/>
      <c r="G323" s="15"/>
      <c r="H323" s="47"/>
      <c r="I323" s="76"/>
      <c r="J323" s="76"/>
      <c r="K323" s="78" t="str">
        <f>_xlfn.LET(
    _xlpm.itemBuscado, B323,
    _xlpm.areaBuscada, C323,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TEXT(COUNTIF($C$2:C323, _xlpm.areaBuscada), "0000"),
    _xlpm.codItem &amp; "-" &amp; _xlpm.codArea &amp; "-" &amp; _xlpm.secuencia
)</f>
        <v>-SinArea-0000</v>
      </c>
      <c r="L323" s="77"/>
      <c r="M323" s="32"/>
      <c r="N323" s="32"/>
      <c r="O323" s="32"/>
      <c r="P323" s="32"/>
    </row>
    <row r="324" spans="3:16" x14ac:dyDescent="0.3">
      <c r="C324" s="11"/>
      <c r="D324" s="32"/>
      <c r="E324" s="11"/>
      <c r="G324" s="15"/>
      <c r="H324" s="47"/>
      <c r="I324" s="76"/>
      <c r="J324" s="76"/>
      <c r="K324" s="78" t="str">
        <f>_xlfn.LET(
    _xlpm.itemBuscado, B324,
    _xlpm.areaBuscada, C324,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TEXT(COUNTIF($C$2:C324, _xlpm.areaBuscada), "0000"),
    _xlpm.codItem &amp; "-" &amp; _xlpm.codArea &amp; "-" &amp; _xlpm.secuencia
)</f>
        <v>-SinArea-0000</v>
      </c>
      <c r="L324" s="77"/>
      <c r="M324" s="32"/>
      <c r="N324" s="32"/>
      <c r="O324" s="32"/>
      <c r="P324" s="32"/>
    </row>
    <row r="325" spans="3:16" x14ac:dyDescent="0.3">
      <c r="C325" s="11"/>
      <c r="D325" s="32"/>
      <c r="E325" s="11"/>
      <c r="G325" s="15"/>
      <c r="H325" s="47"/>
      <c r="I325" s="76"/>
      <c r="J325" s="76"/>
      <c r="K325" s="78" t="str">
        <f>_xlfn.LET(
    _xlpm.itemBuscado, B325,
    _xlpm.areaBuscada, C325,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TEXT(COUNTIF($C$2:C325, _xlpm.areaBuscada), "0000"),
    _xlpm.codItem &amp; "-" &amp; _xlpm.codArea &amp; "-" &amp; _xlpm.secuencia
)</f>
        <v>-SinArea-0000</v>
      </c>
      <c r="L325" s="77"/>
      <c r="M325" s="32"/>
      <c r="N325" s="32"/>
      <c r="O325" s="32"/>
      <c r="P325" s="32"/>
    </row>
    <row r="326" spans="3:16" x14ac:dyDescent="0.3">
      <c r="C326" s="11"/>
      <c r="D326" s="32"/>
      <c r="E326" s="11"/>
      <c r="G326" s="15"/>
      <c r="H326" s="47"/>
      <c r="I326" s="76"/>
      <c r="J326" s="76"/>
      <c r="K326" s="78" t="str">
        <f>_xlfn.LET(
    _xlpm.itemBuscado, B326,
    _xlpm.areaBuscada, C326,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TEXT(COUNTIF($C$2:C326, _xlpm.areaBuscada), "0000"),
    _xlpm.codItem &amp; "-" &amp; _xlpm.codArea &amp; "-" &amp; _xlpm.secuencia
)</f>
        <v>-SinArea-0000</v>
      </c>
      <c r="L326" s="77"/>
      <c r="M326" s="32"/>
      <c r="N326" s="32"/>
      <c r="O326" s="32"/>
      <c r="P326" s="32"/>
    </row>
    <row r="327" spans="3:16" x14ac:dyDescent="0.3">
      <c r="C327" s="11"/>
      <c r="D327" s="32"/>
      <c r="E327" s="11"/>
      <c r="G327" s="15"/>
      <c r="H327" s="47"/>
      <c r="I327" s="76"/>
      <c r="J327" s="76"/>
      <c r="K327" s="78" t="str">
        <f>_xlfn.LET(
    _xlpm.itemBuscado, B327,
    _xlpm.areaBuscada, C327,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TEXT(COUNTIF($C$2:C327, _xlpm.areaBuscada), "0000"),
    _xlpm.codItem &amp; "-" &amp; _xlpm.codArea &amp; "-" &amp; _xlpm.secuencia
)</f>
        <v>-SinArea-0000</v>
      </c>
      <c r="L327" s="77"/>
      <c r="M327" s="32"/>
      <c r="N327" s="32"/>
      <c r="O327" s="32"/>
      <c r="P327" s="32"/>
    </row>
    <row r="328" spans="3:16" x14ac:dyDescent="0.3">
      <c r="C328" s="11"/>
      <c r="D328" s="32"/>
      <c r="E328" s="11"/>
      <c r="G328" s="15"/>
      <c r="H328" s="47"/>
      <c r="I328" s="76"/>
      <c r="J328" s="76"/>
      <c r="K328" s="78" t="str">
        <f>_xlfn.LET(
    _xlpm.itemBuscado, B328,
    _xlpm.areaBuscada, C328,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TEXT(COUNTIF($C$2:C328, _xlpm.areaBuscada), "0000"),
    _xlpm.codItem &amp; "-" &amp; _xlpm.codArea &amp; "-" &amp; _xlpm.secuencia
)</f>
        <v>-SinArea-0000</v>
      </c>
      <c r="L328" s="77"/>
      <c r="M328" s="32"/>
      <c r="N328" s="32"/>
      <c r="O328" s="32"/>
      <c r="P328" s="32"/>
    </row>
    <row r="329" spans="3:16" x14ac:dyDescent="0.3">
      <c r="C329" s="11"/>
      <c r="D329" s="32"/>
      <c r="E329" s="11"/>
      <c r="G329" s="15"/>
      <c r="H329" s="47"/>
      <c r="I329" s="76"/>
      <c r="J329" s="76"/>
      <c r="K329" s="78" t="str">
        <f>_xlfn.LET(
    _xlpm.itemBuscado, B329,
    _xlpm.areaBuscada, C329,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TEXT(COUNTIF($C$2:C329, _xlpm.areaBuscada), "0000"),
    _xlpm.codItem &amp; "-" &amp; _xlpm.codArea &amp; "-" &amp; _xlpm.secuencia
)</f>
        <v>-SinArea-0000</v>
      </c>
      <c r="L329" s="77"/>
      <c r="M329" s="32"/>
      <c r="N329" s="32"/>
      <c r="O329" s="32"/>
      <c r="P329" s="32"/>
    </row>
    <row r="330" spans="3:16" x14ac:dyDescent="0.3">
      <c r="C330" s="11"/>
      <c r="D330" s="32"/>
      <c r="E330" s="11"/>
      <c r="G330" s="15"/>
      <c r="H330" s="47"/>
      <c r="I330" s="76"/>
      <c r="J330" s="76"/>
      <c r="K330" s="78" t="str">
        <f>_xlfn.LET(
    _xlpm.itemBuscado, B330,
    _xlpm.areaBuscada, C330,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TEXT(COUNTIF($C$2:C330, _xlpm.areaBuscada), "0000"),
    _xlpm.codItem &amp; "-" &amp; _xlpm.codArea &amp; "-" &amp; _xlpm.secuencia
)</f>
        <v>-SinArea-0000</v>
      </c>
      <c r="L330" s="77"/>
      <c r="M330" s="32"/>
      <c r="N330" s="32"/>
      <c r="O330" s="32"/>
      <c r="P330" s="32"/>
    </row>
    <row r="331" spans="3:16" x14ac:dyDescent="0.3">
      <c r="C331" s="11"/>
      <c r="D331" s="32"/>
      <c r="E331" s="11"/>
      <c r="G331" s="15"/>
      <c r="H331" s="47"/>
      <c r="I331" s="76"/>
      <c r="J331" s="76"/>
      <c r="K331" s="78" t="str">
        <f>_xlfn.LET(
    _xlpm.itemBuscado, B331,
    _xlpm.areaBuscada, C331,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TEXT(COUNTIF($C$2:C331, _xlpm.areaBuscada), "0000"),
    _xlpm.codItem &amp; "-" &amp; _xlpm.codArea &amp; "-" &amp; _xlpm.secuencia
)</f>
        <v>-SinArea-0000</v>
      </c>
      <c r="L331" s="77"/>
      <c r="M331" s="32"/>
      <c r="N331" s="32"/>
      <c r="O331" s="32"/>
      <c r="P331" s="32"/>
    </row>
    <row r="332" spans="3:16" x14ac:dyDescent="0.3">
      <c r="C332" s="11"/>
      <c r="D332" s="32"/>
      <c r="E332" s="11"/>
      <c r="G332" s="15"/>
      <c r="H332" s="47"/>
      <c r="I332" s="76"/>
      <c r="J332" s="76"/>
      <c r="K332" s="78" t="str">
        <f>_xlfn.LET(
    _xlpm.itemBuscado, B332,
    _xlpm.areaBuscada, C332,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TEXT(COUNTIF($C$2:C332, _xlpm.areaBuscada), "0000"),
    _xlpm.codItem &amp; "-" &amp; _xlpm.codArea &amp; "-" &amp; _xlpm.secuencia
)</f>
        <v>-SinArea-0000</v>
      </c>
      <c r="L332" s="77"/>
      <c r="M332" s="32"/>
      <c r="N332" s="32"/>
      <c r="O332" s="32"/>
      <c r="P332" s="32"/>
    </row>
    <row r="333" spans="3:16" x14ac:dyDescent="0.3">
      <c r="C333" s="11"/>
      <c r="D333" s="32"/>
      <c r="E333" s="11"/>
      <c r="G333" s="15"/>
      <c r="H333" s="47"/>
      <c r="I333" s="76"/>
      <c r="J333" s="76"/>
      <c r="K333" s="78" t="str">
        <f>_xlfn.LET(
    _xlpm.itemBuscado, B333,
    _xlpm.areaBuscada, C333,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TEXT(COUNTIF($C$2:C333, _xlpm.areaBuscada), "0000"),
    _xlpm.codItem &amp; "-" &amp; _xlpm.codArea &amp; "-" &amp; _xlpm.secuencia
)</f>
        <v>-SinArea-0000</v>
      </c>
      <c r="L333" s="77"/>
      <c r="M333" s="32"/>
      <c r="N333" s="32"/>
      <c r="O333" s="32"/>
      <c r="P333" s="32"/>
    </row>
    <row r="334" spans="3:16" x14ac:dyDescent="0.3">
      <c r="C334" s="11"/>
      <c r="D334" s="32"/>
      <c r="E334" s="11"/>
      <c r="G334" s="15"/>
      <c r="H334" s="47"/>
      <c r="I334" s="76"/>
      <c r="J334" s="76"/>
      <c r="K334" s="78" t="str">
        <f>_xlfn.LET(
    _xlpm.itemBuscado, B334,
    _xlpm.areaBuscada, C334,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TEXT(COUNTIF($C$2:C334, _xlpm.areaBuscada), "0000"),
    _xlpm.codItem &amp; "-" &amp; _xlpm.codArea &amp; "-" &amp; _xlpm.secuencia
)</f>
        <v>-SinArea-0000</v>
      </c>
      <c r="L334" s="77"/>
      <c r="M334" s="32"/>
      <c r="N334" s="32"/>
      <c r="O334" s="32"/>
      <c r="P334" s="32"/>
    </row>
    <row r="335" spans="3:16" x14ac:dyDescent="0.3">
      <c r="C335" s="11"/>
      <c r="D335" s="32"/>
      <c r="E335" s="11"/>
      <c r="G335" s="15"/>
      <c r="H335" s="47"/>
      <c r="I335" s="76"/>
      <c r="J335" s="76"/>
      <c r="K335" s="78" t="str">
        <f>_xlfn.LET(
    _xlpm.itemBuscado, B335,
    _xlpm.areaBuscada, C335,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TEXT(COUNTIF($C$2:C335, _xlpm.areaBuscada), "0000"),
    _xlpm.codItem &amp; "-" &amp; _xlpm.codArea &amp; "-" &amp; _xlpm.secuencia
)</f>
        <v>-SinArea-0000</v>
      </c>
      <c r="L335" s="77"/>
      <c r="M335" s="32"/>
      <c r="N335" s="32"/>
      <c r="O335" s="32"/>
      <c r="P335" s="32"/>
    </row>
    <row r="336" spans="3:16" x14ac:dyDescent="0.3">
      <c r="C336" s="11"/>
      <c r="D336" s="32"/>
      <c r="E336" s="11"/>
      <c r="G336" s="15"/>
      <c r="H336" s="47"/>
      <c r="I336" s="76"/>
      <c r="J336" s="76"/>
      <c r="K336" s="78" t="str">
        <f>_xlfn.LET(
    _xlpm.itemBuscado, B336,
    _xlpm.areaBuscada, C336,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TEXT(COUNTIF($C$2:C336, _xlpm.areaBuscada), "0000"),
    _xlpm.codItem &amp; "-" &amp; _xlpm.codArea &amp; "-" &amp; _xlpm.secuencia
)</f>
        <v>-SinArea-0000</v>
      </c>
      <c r="L336" s="77"/>
      <c r="M336" s="32"/>
      <c r="N336" s="32"/>
      <c r="O336" s="32"/>
      <c r="P336" s="32"/>
    </row>
    <row r="337" spans="3:16" x14ac:dyDescent="0.3">
      <c r="C337" s="11"/>
      <c r="D337" s="32"/>
      <c r="E337" s="11"/>
      <c r="G337" s="15"/>
      <c r="H337" s="47"/>
      <c r="I337" s="76"/>
      <c r="J337" s="76"/>
      <c r="K337" s="78" t="str">
        <f>_xlfn.LET(
    _xlpm.itemBuscado, B337,
    _xlpm.areaBuscada, C337,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TEXT(COUNTIF($C$2:C337, _xlpm.areaBuscada), "0000"),
    _xlpm.codItem &amp; "-" &amp; _xlpm.codArea &amp; "-" &amp; _xlpm.secuencia
)</f>
        <v>-SinArea-0000</v>
      </c>
      <c r="L337" s="77"/>
      <c r="M337" s="32"/>
      <c r="N337" s="32"/>
      <c r="O337" s="32"/>
      <c r="P337" s="32"/>
    </row>
    <row r="338" spans="3:16" x14ac:dyDescent="0.3">
      <c r="C338" s="11"/>
      <c r="D338" s="32"/>
      <c r="E338" s="11"/>
      <c r="G338" s="15"/>
      <c r="H338" s="47"/>
      <c r="I338" s="76"/>
      <c r="J338" s="76"/>
      <c r="K338" s="78" t="str">
        <f>_xlfn.LET(
    _xlpm.itemBuscado, B338,
    _xlpm.areaBuscada, C338,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TEXT(COUNTIF($C$2:C338, _xlpm.areaBuscada), "0000"),
    _xlpm.codItem &amp; "-" &amp; _xlpm.codArea &amp; "-" &amp; _xlpm.secuencia
)</f>
        <v>-SinArea-0000</v>
      </c>
      <c r="L338" s="77"/>
      <c r="M338" s="32"/>
      <c r="N338" s="32"/>
      <c r="O338" s="32"/>
      <c r="P338" s="32"/>
    </row>
    <row r="339" spans="3:16" x14ac:dyDescent="0.3">
      <c r="C339" s="11"/>
      <c r="D339" s="32"/>
      <c r="E339" s="11"/>
      <c r="G339" s="15"/>
      <c r="H339" s="47"/>
      <c r="I339" s="76"/>
      <c r="J339" s="76"/>
      <c r="K339" s="78" t="str">
        <f>_xlfn.LET(
    _xlpm.itemBuscado, B339,
    _xlpm.areaBuscada, C339,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TEXT(COUNTIF($C$2:C339, _xlpm.areaBuscada), "0000"),
    _xlpm.codItem &amp; "-" &amp; _xlpm.codArea &amp; "-" &amp; _xlpm.secuencia
)</f>
        <v>-SinArea-0000</v>
      </c>
      <c r="L339" s="77"/>
      <c r="M339" s="32"/>
      <c r="N339" s="32"/>
      <c r="O339" s="32"/>
      <c r="P339" s="32"/>
    </row>
    <row r="340" spans="3:16" x14ac:dyDescent="0.3">
      <c r="C340" s="11"/>
      <c r="D340" s="32"/>
      <c r="E340" s="11"/>
      <c r="G340" s="15"/>
      <c r="H340" s="47"/>
      <c r="I340" s="76"/>
      <c r="J340" s="76"/>
      <c r="K340" s="78" t="str">
        <f>_xlfn.LET(
    _xlpm.itemBuscado, B340,
    _xlpm.areaBuscada, C340,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TEXT(COUNTIF($C$2:C340, _xlpm.areaBuscada), "0000"),
    _xlpm.codItem &amp; "-" &amp; _xlpm.codArea &amp; "-" &amp; _xlpm.secuencia
)</f>
        <v>-SinArea-0000</v>
      </c>
      <c r="L340" s="77"/>
      <c r="M340" s="32"/>
      <c r="N340" s="32"/>
      <c r="O340" s="32"/>
      <c r="P340" s="32"/>
    </row>
    <row r="341" spans="3:16" x14ac:dyDescent="0.3">
      <c r="C341" s="11"/>
      <c r="D341" s="32"/>
      <c r="E341" s="11"/>
      <c r="G341" s="15"/>
      <c r="H341" s="47"/>
      <c r="I341" s="76"/>
      <c r="J341" s="76"/>
      <c r="K341" s="78" t="str">
        <f>_xlfn.LET(
    _xlpm.itemBuscado, B341,
    _xlpm.areaBuscada, C341,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TEXT(COUNTIF($C$2:C341, _xlpm.areaBuscada), "0000"),
    _xlpm.codItem &amp; "-" &amp; _xlpm.codArea &amp; "-" &amp; _xlpm.secuencia
)</f>
        <v>-SinArea-0000</v>
      </c>
      <c r="L341" s="77"/>
      <c r="M341" s="32"/>
      <c r="N341" s="32"/>
      <c r="O341" s="32"/>
      <c r="P341" s="32"/>
    </row>
    <row r="342" spans="3:16" x14ac:dyDescent="0.3">
      <c r="C342" s="11"/>
      <c r="D342" s="32"/>
      <c r="E342" s="11"/>
      <c r="G342" s="15"/>
      <c r="H342" s="47"/>
      <c r="I342" s="76"/>
      <c r="J342" s="76"/>
      <c r="K342" s="78" t="str">
        <f>_xlfn.LET(
    _xlpm.itemBuscado, B342,
    _xlpm.areaBuscada, C342,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TEXT(COUNTIF($C$2:C342, _xlpm.areaBuscada), "0000"),
    _xlpm.codItem &amp; "-" &amp; _xlpm.codArea &amp; "-" &amp; _xlpm.secuencia
)</f>
        <v>-SinArea-0000</v>
      </c>
      <c r="L342" s="77"/>
      <c r="M342" s="32"/>
      <c r="N342" s="32"/>
      <c r="O342" s="32"/>
      <c r="P342" s="32"/>
    </row>
    <row r="343" spans="3:16" x14ac:dyDescent="0.3">
      <c r="C343" s="11"/>
      <c r="D343" s="32"/>
      <c r="E343" s="11"/>
      <c r="G343" s="15"/>
      <c r="H343" s="47"/>
      <c r="I343" s="76"/>
      <c r="J343" s="76"/>
      <c r="K343" s="78" t="str">
        <f>_xlfn.LET(
    _xlpm.itemBuscado, B343,
    _xlpm.areaBuscada, C343,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TEXT(COUNTIF($C$2:C343, _xlpm.areaBuscada), "0000"),
    _xlpm.codItem &amp; "-" &amp; _xlpm.codArea &amp; "-" &amp; _xlpm.secuencia
)</f>
        <v>-SinArea-0000</v>
      </c>
      <c r="L343" s="77"/>
      <c r="M343" s="32"/>
      <c r="N343" s="32"/>
      <c r="O343" s="32"/>
      <c r="P343" s="32"/>
    </row>
    <row r="344" spans="3:16" x14ac:dyDescent="0.3">
      <c r="C344" s="11"/>
      <c r="D344" s="32"/>
      <c r="E344" s="11"/>
      <c r="G344" s="15"/>
      <c r="H344" s="47"/>
      <c r="I344" s="76"/>
      <c r="J344" s="76"/>
      <c r="K344" s="78" t="str">
        <f>_xlfn.LET(
    _xlpm.itemBuscado, B344,
    _xlpm.areaBuscada, C344,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TEXT(COUNTIF($C$2:C344, _xlpm.areaBuscada), "0000"),
    _xlpm.codItem &amp; "-" &amp; _xlpm.codArea &amp; "-" &amp; _xlpm.secuencia
)</f>
        <v>-SinArea-0000</v>
      </c>
      <c r="L344" s="77"/>
      <c r="M344" s="32"/>
      <c r="N344" s="32"/>
      <c r="O344" s="32"/>
      <c r="P344" s="32"/>
    </row>
    <row r="345" spans="3:16" x14ac:dyDescent="0.3">
      <c r="C345" s="11"/>
      <c r="D345" s="32"/>
      <c r="E345" s="11"/>
      <c r="G345" s="15"/>
      <c r="H345" s="47"/>
      <c r="I345" s="76"/>
      <c r="J345" s="76"/>
      <c r="K345" s="78" t="str">
        <f>_xlfn.LET(
    _xlpm.itemBuscado, B345,
    _xlpm.areaBuscada, C345,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TEXT(COUNTIF($C$2:C345, _xlpm.areaBuscada), "0000"),
    _xlpm.codItem &amp; "-" &amp; _xlpm.codArea &amp; "-" &amp; _xlpm.secuencia
)</f>
        <v>-SinArea-0000</v>
      </c>
      <c r="L345" s="77"/>
      <c r="M345" s="32"/>
      <c r="N345" s="32"/>
      <c r="O345" s="32"/>
      <c r="P345" s="32"/>
    </row>
    <row r="346" spans="3:16" x14ac:dyDescent="0.3">
      <c r="C346" s="11"/>
      <c r="D346" s="32"/>
      <c r="E346" s="11"/>
      <c r="G346" s="15"/>
      <c r="H346" s="47"/>
      <c r="I346" s="76"/>
      <c r="J346" s="76"/>
      <c r="K346" s="78" t="str">
        <f>_xlfn.LET(
    _xlpm.itemBuscado, B346,
    _xlpm.areaBuscada, C346,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TEXT(COUNTIF($C$2:C346, _xlpm.areaBuscada), "0000"),
    _xlpm.codItem &amp; "-" &amp; _xlpm.codArea &amp; "-" &amp; _xlpm.secuencia
)</f>
        <v>-SinArea-0000</v>
      </c>
      <c r="L346" s="77"/>
      <c r="M346" s="32"/>
      <c r="N346" s="32"/>
      <c r="O346" s="32"/>
      <c r="P346" s="32"/>
    </row>
    <row r="347" spans="3:16" x14ac:dyDescent="0.3">
      <c r="C347" s="11"/>
      <c r="D347" s="32"/>
      <c r="E347" s="11"/>
      <c r="G347" s="15"/>
      <c r="H347" s="47"/>
      <c r="I347" s="76"/>
      <c r="J347" s="76"/>
      <c r="K347" s="78" t="str">
        <f>_xlfn.LET(
    _xlpm.itemBuscado, B347,
    _xlpm.areaBuscada, C347,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TEXT(COUNTIF($C$2:C347, _xlpm.areaBuscada), "0000"),
    _xlpm.codItem &amp; "-" &amp; _xlpm.codArea &amp; "-" &amp; _xlpm.secuencia
)</f>
        <v>-SinArea-0000</v>
      </c>
      <c r="L347" s="77"/>
      <c r="M347" s="32"/>
      <c r="N347" s="32"/>
      <c r="O347" s="32"/>
      <c r="P347" s="32"/>
    </row>
    <row r="348" spans="3:16" x14ac:dyDescent="0.3">
      <c r="C348" s="11"/>
      <c r="D348" s="32"/>
      <c r="E348" s="11"/>
      <c r="G348" s="15"/>
      <c r="H348" s="47"/>
      <c r="I348" s="76"/>
      <c r="J348" s="76"/>
      <c r="K348" s="78" t="str">
        <f>_xlfn.LET(
    _xlpm.itemBuscado, B348,
    _xlpm.areaBuscada, C348,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TEXT(COUNTIF($C$2:C348, _xlpm.areaBuscada), "0000"),
    _xlpm.codItem &amp; "-" &amp; _xlpm.codArea &amp; "-" &amp; _xlpm.secuencia
)</f>
        <v>-SinArea-0000</v>
      </c>
      <c r="L348" s="77"/>
      <c r="M348" s="32"/>
      <c r="N348" s="32"/>
      <c r="O348" s="32"/>
      <c r="P348" s="32"/>
    </row>
    <row r="349" spans="3:16" x14ac:dyDescent="0.3">
      <c r="C349" s="11"/>
      <c r="D349" s="32"/>
      <c r="E349" s="11"/>
      <c r="G349" s="15"/>
      <c r="H349" s="47"/>
      <c r="I349" s="76"/>
      <c r="J349" s="76"/>
      <c r="K349" s="78" t="str">
        <f>_xlfn.LET(
    _xlpm.itemBuscado, B349,
    _xlpm.areaBuscada, C349,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TEXT(COUNTIF($C$2:C349, _xlpm.areaBuscada), "0000"),
    _xlpm.codItem &amp; "-" &amp; _xlpm.codArea &amp; "-" &amp; _xlpm.secuencia
)</f>
        <v>-SinArea-0000</v>
      </c>
      <c r="L349" s="77"/>
      <c r="M349" s="32"/>
      <c r="N349" s="32"/>
      <c r="O349" s="32"/>
      <c r="P349" s="32"/>
    </row>
    <row r="350" spans="3:16" x14ac:dyDescent="0.3">
      <c r="C350" s="11"/>
      <c r="D350" s="32"/>
      <c r="E350" s="11"/>
      <c r="G350" s="15"/>
      <c r="H350" s="47"/>
      <c r="I350" s="76"/>
      <c r="J350" s="76"/>
      <c r="K350" s="78" t="str">
        <f>_xlfn.LET(
    _xlpm.itemBuscado, B350,
    _xlpm.areaBuscada, C350,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TEXT(COUNTIF($C$2:C350, _xlpm.areaBuscada), "0000"),
    _xlpm.codItem &amp; "-" &amp; _xlpm.codArea &amp; "-" &amp; _xlpm.secuencia
)</f>
        <v>-SinArea-0000</v>
      </c>
      <c r="L350" s="77"/>
      <c r="M350" s="32"/>
      <c r="N350" s="32"/>
      <c r="O350" s="32"/>
      <c r="P350" s="32"/>
    </row>
    <row r="351" spans="3:16" x14ac:dyDescent="0.3">
      <c r="C351" s="11"/>
      <c r="D351" s="32"/>
      <c r="E351" s="11"/>
      <c r="G351" s="15"/>
      <c r="H351" s="47"/>
      <c r="I351" s="76"/>
      <c r="J351" s="76"/>
      <c r="K351" s="78" t="str">
        <f>_xlfn.LET(
    _xlpm.itemBuscado, B351,
    _xlpm.areaBuscada, C351,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TEXT(COUNTIF($C$2:C351, _xlpm.areaBuscada), "0000"),
    _xlpm.codItem &amp; "-" &amp; _xlpm.codArea &amp; "-" &amp; _xlpm.secuencia
)</f>
        <v>-SinArea-0000</v>
      </c>
      <c r="L351" s="77"/>
      <c r="M351" s="32"/>
      <c r="N351" s="32"/>
      <c r="O351" s="32"/>
      <c r="P351" s="32"/>
    </row>
    <row r="352" spans="3:16" x14ac:dyDescent="0.3">
      <c r="C352" s="11"/>
      <c r="D352" s="32"/>
      <c r="E352" s="11"/>
      <c r="G352" s="15"/>
      <c r="H352" s="47"/>
      <c r="I352" s="76"/>
      <c r="J352" s="76"/>
      <c r="K352" s="78" t="str">
        <f>_xlfn.LET(
    _xlpm.itemBuscado, B352,
    _xlpm.areaBuscada, C352,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TEXT(COUNTIF($C$2:C352, _xlpm.areaBuscada), "0000"),
    _xlpm.codItem &amp; "-" &amp; _xlpm.codArea &amp; "-" &amp; _xlpm.secuencia
)</f>
        <v>-SinArea-0000</v>
      </c>
      <c r="L352" s="77"/>
      <c r="M352" s="32"/>
      <c r="N352" s="32"/>
      <c r="O352" s="32"/>
      <c r="P352" s="32"/>
    </row>
    <row r="353" spans="3:16" x14ac:dyDescent="0.3">
      <c r="C353" s="11"/>
      <c r="D353" s="32"/>
      <c r="E353" s="11"/>
      <c r="G353" s="15"/>
      <c r="H353" s="47"/>
      <c r="I353" s="76"/>
      <c r="J353" s="76"/>
      <c r="K353" s="78" t="str">
        <f>_xlfn.LET(
    _xlpm.itemBuscado, B353,
    _xlpm.areaBuscada, C353,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TEXT(COUNTIF($C$2:C353, _xlpm.areaBuscada), "0000"),
    _xlpm.codItem &amp; "-" &amp; _xlpm.codArea &amp; "-" &amp; _xlpm.secuencia
)</f>
        <v>-SinArea-0000</v>
      </c>
      <c r="L353" s="77"/>
      <c r="M353" s="32"/>
      <c r="N353" s="32"/>
      <c r="O353" s="32"/>
      <c r="P353" s="32"/>
    </row>
    <row r="354" spans="3:16" x14ac:dyDescent="0.3">
      <c r="C354" s="11"/>
      <c r="D354" s="32"/>
      <c r="E354" s="11"/>
      <c r="G354" s="15"/>
      <c r="H354" s="47"/>
      <c r="I354" s="76"/>
      <c r="J354" s="76"/>
      <c r="K354" s="78" t="str">
        <f>_xlfn.LET(
    _xlpm.itemBuscado, B354,
    _xlpm.areaBuscada, C354,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TEXT(COUNTIF($C$2:C354, _xlpm.areaBuscada), "0000"),
    _xlpm.codItem &amp; "-" &amp; _xlpm.codArea &amp; "-" &amp; _xlpm.secuencia
)</f>
        <v>-SinArea-0000</v>
      </c>
      <c r="L354" s="77"/>
      <c r="M354" s="32"/>
      <c r="N354" s="32"/>
      <c r="O354" s="32"/>
      <c r="P354" s="32"/>
    </row>
    <row r="355" spans="3:16" x14ac:dyDescent="0.3">
      <c r="C355" s="11"/>
      <c r="D355" s="32"/>
      <c r="E355" s="11"/>
      <c r="G355" s="15"/>
      <c r="H355" s="47"/>
      <c r="I355" s="76"/>
      <c r="J355" s="76"/>
      <c r="K355" s="78" t="str">
        <f>_xlfn.LET(
    _xlpm.itemBuscado, B355,
    _xlpm.areaBuscada, C355,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TEXT(COUNTIF($C$2:C355, _xlpm.areaBuscada), "0000"),
    _xlpm.codItem &amp; "-" &amp; _xlpm.codArea &amp; "-" &amp; _xlpm.secuencia
)</f>
        <v>-SinArea-0000</v>
      </c>
      <c r="L355" s="77"/>
      <c r="M355" s="32"/>
      <c r="N355" s="32"/>
      <c r="O355" s="32"/>
      <c r="P355" s="32"/>
    </row>
    <row r="356" spans="3:16" x14ac:dyDescent="0.3">
      <c r="C356" s="11"/>
      <c r="D356" s="32"/>
      <c r="E356" s="11"/>
      <c r="G356" s="15"/>
      <c r="H356" s="47"/>
      <c r="I356" s="76"/>
      <c r="J356" s="76"/>
      <c r="K356" s="78" t="str">
        <f>_xlfn.LET(
    _xlpm.itemBuscado, B356,
    _xlpm.areaBuscada, C356,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TEXT(COUNTIF($C$2:C356, _xlpm.areaBuscada), "0000"),
    _xlpm.codItem &amp; "-" &amp; _xlpm.codArea &amp; "-" &amp; _xlpm.secuencia
)</f>
        <v>-SinArea-0000</v>
      </c>
      <c r="L356" s="77"/>
      <c r="M356" s="32"/>
      <c r="N356" s="32"/>
      <c r="O356" s="32"/>
      <c r="P356" s="32"/>
    </row>
    <row r="357" spans="3:16" x14ac:dyDescent="0.3">
      <c r="C357" s="11"/>
      <c r="D357" s="32"/>
      <c r="E357" s="11"/>
      <c r="G357" s="15"/>
      <c r="H357" s="47"/>
      <c r="I357" s="76"/>
      <c r="J357" s="76"/>
      <c r="K357" s="78" t="str">
        <f>_xlfn.LET(
    _xlpm.itemBuscado, B357,
    _xlpm.areaBuscada, C357,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TEXT(COUNTIF($C$2:C357, _xlpm.areaBuscada), "0000"),
    _xlpm.codItem &amp; "-" &amp; _xlpm.codArea &amp; "-" &amp; _xlpm.secuencia
)</f>
        <v>-SinArea-0000</v>
      </c>
      <c r="L357" s="77"/>
      <c r="M357" s="32"/>
      <c r="N357" s="32"/>
      <c r="O357" s="32"/>
      <c r="P357" s="32"/>
    </row>
    <row r="358" spans="3:16" x14ac:dyDescent="0.3">
      <c r="C358" s="11"/>
      <c r="D358" s="32"/>
      <c r="E358" s="11"/>
      <c r="G358" s="15"/>
      <c r="H358" s="47"/>
      <c r="I358" s="76"/>
      <c r="J358" s="76"/>
      <c r="K358" s="78" t="str">
        <f>_xlfn.LET(
    _xlpm.itemBuscado, B358,
    _xlpm.areaBuscada, C358,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TEXT(COUNTIF($C$2:C358, _xlpm.areaBuscada), "0000"),
    _xlpm.codItem &amp; "-" &amp; _xlpm.codArea &amp; "-" &amp; _xlpm.secuencia
)</f>
        <v>-SinArea-0000</v>
      </c>
      <c r="L358" s="77"/>
      <c r="M358" s="32"/>
      <c r="N358" s="32"/>
      <c r="O358" s="32"/>
      <c r="P358" s="32"/>
    </row>
    <row r="359" spans="3:16" x14ac:dyDescent="0.3">
      <c r="C359" s="11"/>
      <c r="D359" s="32"/>
      <c r="E359" s="11"/>
      <c r="G359" s="15"/>
      <c r="H359" s="47"/>
      <c r="I359" s="76"/>
      <c r="J359" s="76"/>
      <c r="K359" s="78" t="str">
        <f>_xlfn.LET(
    _xlpm.itemBuscado, B359,
    _xlpm.areaBuscada, C359,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TEXT(COUNTIF($C$2:C359, _xlpm.areaBuscada), "0000"),
    _xlpm.codItem &amp; "-" &amp; _xlpm.codArea &amp; "-" &amp; _xlpm.secuencia
)</f>
        <v>-SinArea-0000</v>
      </c>
      <c r="L359" s="77"/>
      <c r="M359" s="32"/>
      <c r="N359" s="32"/>
      <c r="O359" s="32"/>
      <c r="P359" s="32"/>
    </row>
    <row r="360" spans="3:16" x14ac:dyDescent="0.3">
      <c r="C360" s="11"/>
      <c r="D360" s="32"/>
      <c r="E360" s="11"/>
      <c r="G360" s="15"/>
      <c r="H360" s="47"/>
      <c r="I360" s="76"/>
      <c r="J360" s="76"/>
      <c r="K360" s="78" t="str">
        <f>_xlfn.LET(
    _xlpm.itemBuscado, B360,
    _xlpm.areaBuscada, C360,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TEXT(COUNTIF($C$2:C360, _xlpm.areaBuscada), "0000"),
    _xlpm.codItem &amp; "-" &amp; _xlpm.codArea &amp; "-" &amp; _xlpm.secuencia
)</f>
        <v>-SinArea-0000</v>
      </c>
      <c r="L360" s="77"/>
      <c r="M360" s="32"/>
      <c r="N360" s="32"/>
      <c r="O360" s="32"/>
      <c r="P360" s="32"/>
    </row>
    <row r="361" spans="3:16" x14ac:dyDescent="0.3">
      <c r="C361" s="11"/>
      <c r="D361" s="32"/>
      <c r="E361" s="11"/>
      <c r="G361" s="15"/>
      <c r="H361" s="47"/>
      <c r="I361" s="76"/>
      <c r="J361" s="76"/>
      <c r="K361" s="78" t="str">
        <f>_xlfn.LET(
    _xlpm.itemBuscado, B361,
    _xlpm.areaBuscada, C361,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TEXT(COUNTIF($C$2:C361, _xlpm.areaBuscada), "0000"),
    _xlpm.codItem &amp; "-" &amp; _xlpm.codArea &amp; "-" &amp; _xlpm.secuencia
)</f>
        <v>-SinArea-0000</v>
      </c>
      <c r="L361" s="77"/>
      <c r="M361" s="32"/>
      <c r="N361" s="32"/>
      <c r="O361" s="32"/>
      <c r="P361" s="32"/>
    </row>
    <row r="362" spans="3:16" x14ac:dyDescent="0.3">
      <c r="C362" s="11"/>
      <c r="D362" s="32"/>
      <c r="E362" s="11"/>
      <c r="G362" s="15"/>
      <c r="H362" s="47"/>
      <c r="I362" s="76"/>
      <c r="J362" s="76"/>
      <c r="K362" s="78" t="str">
        <f>_xlfn.LET(
    _xlpm.itemBuscado, B362,
    _xlpm.areaBuscada, C362,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TEXT(COUNTIF($C$2:C362, _xlpm.areaBuscada), "0000"),
    _xlpm.codItem &amp; "-" &amp; _xlpm.codArea &amp; "-" &amp; _xlpm.secuencia
)</f>
        <v>-SinArea-0000</v>
      </c>
      <c r="L362" s="77"/>
      <c r="M362" s="32"/>
      <c r="N362" s="32"/>
      <c r="O362" s="32"/>
      <c r="P362" s="32"/>
    </row>
    <row r="363" spans="3:16" x14ac:dyDescent="0.3">
      <c r="C363" s="11"/>
      <c r="D363" s="32"/>
      <c r="E363" s="11"/>
      <c r="G363" s="15"/>
      <c r="H363" s="47"/>
      <c r="I363" s="76"/>
      <c r="J363" s="76"/>
      <c r="K363" s="78" t="str">
        <f>_xlfn.LET(
    _xlpm.itemBuscado, B363,
    _xlpm.areaBuscada, C363,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TEXT(COUNTIF($C$2:C363, _xlpm.areaBuscada), "0000"),
    _xlpm.codItem &amp; "-" &amp; _xlpm.codArea &amp; "-" &amp; _xlpm.secuencia
)</f>
        <v>-SinArea-0000</v>
      </c>
      <c r="L363" s="77"/>
      <c r="M363" s="32"/>
      <c r="N363" s="32"/>
      <c r="O363" s="32"/>
      <c r="P363" s="32"/>
    </row>
    <row r="364" spans="3:16" x14ac:dyDescent="0.3">
      <c r="C364" s="11"/>
      <c r="D364" s="32"/>
      <c r="E364" s="11"/>
      <c r="G364" s="15"/>
      <c r="H364" s="47"/>
      <c r="I364" s="76"/>
      <c r="J364" s="76"/>
      <c r="K364" s="78" t="str">
        <f>_xlfn.LET(
    _xlpm.itemBuscado, B364,
    _xlpm.areaBuscada, C364,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TEXT(COUNTIF($C$2:C364, _xlpm.areaBuscada), "0000"),
    _xlpm.codItem &amp; "-" &amp; _xlpm.codArea &amp; "-" &amp; _xlpm.secuencia
)</f>
        <v>-SinArea-0000</v>
      </c>
      <c r="L364" s="77"/>
      <c r="M364" s="32"/>
      <c r="N364" s="32"/>
      <c r="O364" s="32"/>
      <c r="P364" s="32"/>
    </row>
    <row r="365" spans="3:16" x14ac:dyDescent="0.3">
      <c r="C365" s="11"/>
      <c r="D365" s="32"/>
      <c r="E365" s="11"/>
      <c r="G365" s="15"/>
      <c r="H365" s="47"/>
      <c r="I365" s="76"/>
      <c r="J365" s="76"/>
      <c r="K365" s="78" t="str">
        <f>_xlfn.LET(
    _xlpm.itemBuscado, B365,
    _xlpm.areaBuscada, C365,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TEXT(COUNTIF($C$2:C365, _xlpm.areaBuscada), "0000"),
    _xlpm.codItem &amp; "-" &amp; _xlpm.codArea &amp; "-" &amp; _xlpm.secuencia
)</f>
        <v>-SinArea-0000</v>
      </c>
      <c r="L365" s="77"/>
      <c r="M365" s="32"/>
      <c r="N365" s="32"/>
      <c r="O365" s="32"/>
      <c r="P365" s="32"/>
    </row>
    <row r="366" spans="3:16" x14ac:dyDescent="0.3">
      <c r="C366" s="11"/>
      <c r="D366" s="32"/>
      <c r="E366" s="11"/>
      <c r="G366" s="15"/>
      <c r="H366" s="47"/>
      <c r="I366" s="76"/>
      <c r="J366" s="76"/>
      <c r="K366" s="78" t="str">
        <f>_xlfn.LET(
    _xlpm.itemBuscado, B366,
    _xlpm.areaBuscada, C366,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TEXT(COUNTIF($C$2:C366, _xlpm.areaBuscada), "0000"),
    _xlpm.codItem &amp; "-" &amp; _xlpm.codArea &amp; "-" &amp; _xlpm.secuencia
)</f>
        <v>-SinArea-0000</v>
      </c>
      <c r="L366" s="77"/>
      <c r="M366" s="32"/>
      <c r="N366" s="32"/>
      <c r="O366" s="32"/>
      <c r="P366" s="32"/>
    </row>
    <row r="367" spans="3:16" x14ac:dyDescent="0.3">
      <c r="C367" s="11"/>
      <c r="D367" s="32"/>
      <c r="E367" s="11"/>
      <c r="G367" s="15"/>
      <c r="H367" s="47"/>
      <c r="I367" s="76"/>
      <c r="J367" s="76"/>
      <c r="K367" s="78" t="str">
        <f>_xlfn.LET(
    _xlpm.itemBuscado, B367,
    _xlpm.areaBuscada, C367,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TEXT(COUNTIF($C$2:C367, _xlpm.areaBuscada), "0000"),
    _xlpm.codItem &amp; "-" &amp; _xlpm.codArea &amp; "-" &amp; _xlpm.secuencia
)</f>
        <v>-SinArea-0000</v>
      </c>
      <c r="L367" s="77"/>
      <c r="M367" s="32"/>
      <c r="N367" s="32"/>
      <c r="O367" s="32"/>
      <c r="P367" s="32"/>
    </row>
    <row r="368" spans="3:16" x14ac:dyDescent="0.3">
      <c r="C368" s="11"/>
      <c r="D368" s="32"/>
      <c r="E368" s="11"/>
      <c r="G368" s="15"/>
      <c r="H368" s="47"/>
      <c r="I368" s="76"/>
      <c r="J368" s="76"/>
      <c r="K368" s="78" t="str">
        <f>_xlfn.LET(
    _xlpm.itemBuscado, B368,
    _xlpm.areaBuscada, C368,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TEXT(COUNTIF($C$2:C368, _xlpm.areaBuscada), "0000"),
    _xlpm.codItem &amp; "-" &amp; _xlpm.codArea &amp; "-" &amp; _xlpm.secuencia
)</f>
        <v>-SinArea-0000</v>
      </c>
      <c r="L368" s="77"/>
      <c r="M368" s="32"/>
      <c r="N368" s="32"/>
      <c r="O368" s="32"/>
      <c r="P368" s="32"/>
    </row>
    <row r="369" spans="3:16" x14ac:dyDescent="0.3">
      <c r="C369" s="11"/>
      <c r="D369" s="32"/>
      <c r="E369" s="11"/>
      <c r="G369" s="15"/>
      <c r="H369" s="47"/>
      <c r="I369" s="76"/>
      <c r="J369" s="76"/>
      <c r="K369" s="78" t="str">
        <f>_xlfn.LET(
    _xlpm.itemBuscado, B369,
    _xlpm.areaBuscada, C369,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TEXT(COUNTIF($C$2:C369, _xlpm.areaBuscada), "0000"),
    _xlpm.codItem &amp; "-" &amp; _xlpm.codArea &amp; "-" &amp; _xlpm.secuencia
)</f>
        <v>-SinArea-0000</v>
      </c>
      <c r="L369" s="77"/>
      <c r="M369" s="32"/>
      <c r="N369" s="32"/>
      <c r="O369" s="32"/>
      <c r="P369" s="32"/>
    </row>
    <row r="370" spans="3:16" x14ac:dyDescent="0.3">
      <c r="C370" s="11"/>
      <c r="D370" s="32"/>
      <c r="E370" s="11"/>
      <c r="G370" s="15"/>
      <c r="H370" s="47"/>
      <c r="I370" s="76"/>
      <c r="J370" s="76"/>
      <c r="K370" s="78" t="str">
        <f>_xlfn.LET(
    _xlpm.itemBuscado, B370,
    _xlpm.areaBuscada, C370,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TEXT(COUNTIF($C$2:C370, _xlpm.areaBuscada), "0000"),
    _xlpm.codItem &amp; "-" &amp; _xlpm.codArea &amp; "-" &amp; _xlpm.secuencia
)</f>
        <v>-SinArea-0000</v>
      </c>
      <c r="L370" s="77"/>
      <c r="M370" s="32"/>
      <c r="N370" s="32"/>
      <c r="O370" s="32"/>
      <c r="P370" s="32"/>
    </row>
    <row r="371" spans="3:16" x14ac:dyDescent="0.3">
      <c r="C371" s="11"/>
      <c r="D371" s="32"/>
      <c r="E371" s="11"/>
      <c r="G371" s="15"/>
      <c r="H371" s="47"/>
      <c r="I371" s="76"/>
      <c r="J371" s="76"/>
      <c r="K371" s="78" t="str">
        <f>_xlfn.LET(
    _xlpm.itemBuscado, B371,
    _xlpm.areaBuscada, C371,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TEXT(COUNTIF($C$2:C371, _xlpm.areaBuscada), "0000"),
    _xlpm.codItem &amp; "-" &amp; _xlpm.codArea &amp; "-" &amp; _xlpm.secuencia
)</f>
        <v>-SinArea-0000</v>
      </c>
      <c r="L371" s="77"/>
      <c r="M371" s="32"/>
      <c r="N371" s="32"/>
      <c r="O371" s="32"/>
      <c r="P371" s="32"/>
    </row>
    <row r="372" spans="3:16" x14ac:dyDescent="0.3">
      <c r="C372" s="11"/>
      <c r="D372" s="32"/>
      <c r="E372" s="11"/>
      <c r="G372" s="15"/>
      <c r="H372" s="47"/>
      <c r="I372" s="76"/>
      <c r="J372" s="76"/>
      <c r="K372" s="78" t="str">
        <f>_xlfn.LET(
    _xlpm.itemBuscado, B372,
    _xlpm.areaBuscada, C372,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TEXT(COUNTIF($C$2:C372, _xlpm.areaBuscada), "0000"),
    _xlpm.codItem &amp; "-" &amp; _xlpm.codArea &amp; "-" &amp; _xlpm.secuencia
)</f>
        <v>-SinArea-0000</v>
      </c>
      <c r="L372" s="77"/>
      <c r="M372" s="32"/>
      <c r="N372" s="32"/>
      <c r="O372" s="32"/>
      <c r="P372" s="32"/>
    </row>
    <row r="373" spans="3:16" x14ac:dyDescent="0.3">
      <c r="C373" s="11"/>
      <c r="D373" s="32"/>
      <c r="E373" s="11"/>
      <c r="G373" s="15"/>
      <c r="H373" s="47"/>
      <c r="I373" s="76"/>
      <c r="J373" s="76"/>
      <c r="K373" s="78" t="str">
        <f>_xlfn.LET(
    _xlpm.itemBuscado, B373,
    _xlpm.areaBuscada, C373,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TEXT(COUNTIF($C$2:C373, _xlpm.areaBuscada), "0000"),
    _xlpm.codItem &amp; "-" &amp; _xlpm.codArea &amp; "-" &amp; _xlpm.secuencia
)</f>
        <v>-SinArea-0000</v>
      </c>
      <c r="L373" s="77"/>
      <c r="M373" s="32"/>
      <c r="N373" s="32"/>
      <c r="O373" s="32"/>
      <c r="P373" s="32"/>
    </row>
    <row r="374" spans="3:16" x14ac:dyDescent="0.3">
      <c r="C374" s="11"/>
      <c r="D374" s="32"/>
      <c r="E374" s="11"/>
      <c r="G374" s="15"/>
      <c r="H374" s="47"/>
      <c r="I374" s="76"/>
      <c r="J374" s="76"/>
      <c r="K374" s="78" t="str">
        <f>_xlfn.LET(
    _xlpm.itemBuscado, B374,
    _xlpm.areaBuscada, C374,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TEXT(COUNTIF($C$2:C374, _xlpm.areaBuscada), "0000"),
    _xlpm.codItem &amp; "-" &amp; _xlpm.codArea &amp; "-" &amp; _xlpm.secuencia
)</f>
        <v>-SinArea-0000</v>
      </c>
      <c r="L374" s="77"/>
      <c r="M374" s="32"/>
      <c r="N374" s="32"/>
      <c r="O374" s="32"/>
      <c r="P374" s="32"/>
    </row>
    <row r="375" spans="3:16" x14ac:dyDescent="0.3">
      <c r="C375" s="11"/>
      <c r="D375" s="32"/>
      <c r="E375" s="11"/>
      <c r="G375" s="15"/>
      <c r="H375" s="47"/>
      <c r="I375" s="76"/>
      <c r="J375" s="76"/>
      <c r="K375" s="78" t="str">
        <f>_xlfn.LET(
    _xlpm.itemBuscado, B375,
    _xlpm.areaBuscada, C375,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TEXT(COUNTIF($C$2:C375, _xlpm.areaBuscada), "0000"),
    _xlpm.codItem &amp; "-" &amp; _xlpm.codArea &amp; "-" &amp; _xlpm.secuencia
)</f>
        <v>-SinArea-0000</v>
      </c>
      <c r="L375" s="77"/>
      <c r="M375" s="32"/>
      <c r="N375" s="32"/>
      <c r="O375" s="32"/>
      <c r="P375" s="32"/>
    </row>
    <row r="376" spans="3:16" x14ac:dyDescent="0.3">
      <c r="C376" s="11"/>
      <c r="D376" s="32"/>
      <c r="E376" s="11"/>
      <c r="G376" s="15"/>
      <c r="H376" s="47"/>
      <c r="I376" s="76"/>
      <c r="J376" s="76"/>
      <c r="K376" s="78" t="str">
        <f>_xlfn.LET(
    _xlpm.itemBuscado, B376,
    _xlpm.areaBuscada, C376,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TEXT(COUNTIF($C$2:C376, _xlpm.areaBuscada), "0000"),
    _xlpm.codItem &amp; "-" &amp; _xlpm.codArea &amp; "-" &amp; _xlpm.secuencia
)</f>
        <v>-SinArea-0000</v>
      </c>
      <c r="L376" s="77"/>
      <c r="M376" s="32"/>
      <c r="N376" s="32"/>
      <c r="O376" s="32"/>
      <c r="P376" s="32"/>
    </row>
    <row r="377" spans="3:16" x14ac:dyDescent="0.3">
      <c r="C377" s="11"/>
      <c r="D377" s="32"/>
      <c r="E377" s="11"/>
      <c r="G377" s="15"/>
      <c r="H377" s="47"/>
      <c r="I377" s="76"/>
      <c r="J377" s="76"/>
      <c r="K377" s="78" t="str">
        <f>_xlfn.LET(
    _xlpm.itemBuscado, B377,
    _xlpm.areaBuscada, C377,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TEXT(COUNTIF($C$2:C377, _xlpm.areaBuscada), "0000"),
    _xlpm.codItem &amp; "-" &amp; _xlpm.codArea &amp; "-" &amp; _xlpm.secuencia
)</f>
        <v>-SinArea-0000</v>
      </c>
      <c r="L377" s="77"/>
      <c r="M377" s="32"/>
      <c r="N377" s="32"/>
      <c r="O377" s="32"/>
      <c r="P377" s="32"/>
    </row>
    <row r="378" spans="3:16" x14ac:dyDescent="0.3">
      <c r="C378" s="11"/>
      <c r="D378" s="32"/>
      <c r="E378" s="11"/>
      <c r="G378" s="15"/>
      <c r="H378" s="47"/>
      <c r="I378" s="76"/>
      <c r="J378" s="76"/>
      <c r="K378" s="78" t="str">
        <f>_xlfn.LET(
    _xlpm.itemBuscado, B378,
    _xlpm.areaBuscada, C378,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TEXT(COUNTIF($C$2:C378, _xlpm.areaBuscada), "0000"),
    _xlpm.codItem &amp; "-" &amp; _xlpm.codArea &amp; "-" &amp; _xlpm.secuencia
)</f>
        <v>-SinArea-0000</v>
      </c>
      <c r="L378" s="77"/>
      <c r="M378" s="32"/>
      <c r="N378" s="32"/>
      <c r="O378" s="32"/>
      <c r="P378" s="32"/>
    </row>
    <row r="379" spans="3:16" x14ac:dyDescent="0.3">
      <c r="C379" s="11"/>
      <c r="D379" s="32"/>
      <c r="E379" s="11"/>
      <c r="G379" s="15"/>
      <c r="H379" s="47"/>
      <c r="I379" s="76"/>
      <c r="J379" s="76"/>
      <c r="K379" s="78" t="str">
        <f>_xlfn.LET(
    _xlpm.itemBuscado, B379,
    _xlpm.areaBuscada, C379,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TEXT(COUNTIF($C$2:C379, _xlpm.areaBuscada), "0000"),
    _xlpm.codItem &amp; "-" &amp; _xlpm.codArea &amp; "-" &amp; _xlpm.secuencia
)</f>
        <v>-SinArea-0000</v>
      </c>
      <c r="L379" s="77"/>
      <c r="M379" s="32"/>
      <c r="N379" s="32"/>
      <c r="O379" s="32"/>
      <c r="P379" s="32"/>
    </row>
    <row r="380" spans="3:16" x14ac:dyDescent="0.3">
      <c r="C380" s="11"/>
      <c r="D380" s="32"/>
      <c r="E380" s="11"/>
      <c r="G380" s="15"/>
      <c r="H380" s="47"/>
      <c r="I380" s="76"/>
      <c r="J380" s="76"/>
      <c r="K380" s="78" t="str">
        <f>_xlfn.LET(
    _xlpm.itemBuscado, B380,
    _xlpm.areaBuscada, C380,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TEXT(COUNTIF($C$2:C380, _xlpm.areaBuscada), "0000"),
    _xlpm.codItem &amp; "-" &amp; _xlpm.codArea &amp; "-" &amp; _xlpm.secuencia
)</f>
        <v>-SinArea-0000</v>
      </c>
      <c r="L380" s="77"/>
      <c r="M380" s="32"/>
      <c r="N380" s="32"/>
      <c r="O380" s="32"/>
      <c r="P380" s="32"/>
    </row>
    <row r="381" spans="3:16" x14ac:dyDescent="0.3">
      <c r="C381" s="11"/>
      <c r="D381" s="32"/>
      <c r="E381" s="11"/>
      <c r="G381" s="15"/>
      <c r="H381" s="47"/>
      <c r="I381" s="76"/>
      <c r="J381" s="76"/>
      <c r="K381" s="78" t="str">
        <f>_xlfn.LET(
    _xlpm.itemBuscado, B381,
    _xlpm.areaBuscada, C381,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TEXT(COUNTIF($C$2:C381, _xlpm.areaBuscada), "0000"),
    _xlpm.codItem &amp; "-" &amp; _xlpm.codArea &amp; "-" &amp; _xlpm.secuencia
)</f>
        <v>-SinArea-0000</v>
      </c>
      <c r="L381" s="77"/>
      <c r="M381" s="32"/>
      <c r="N381" s="32"/>
      <c r="O381" s="32"/>
      <c r="P381" s="32"/>
    </row>
    <row r="382" spans="3:16" x14ac:dyDescent="0.3">
      <c r="C382" s="11"/>
      <c r="D382" s="32"/>
      <c r="E382" s="11"/>
      <c r="G382" s="15"/>
      <c r="H382" s="47"/>
      <c r="I382" s="76"/>
      <c r="J382" s="76"/>
      <c r="K382" s="78" t="str">
        <f>_xlfn.LET(
    _xlpm.itemBuscado, B382,
    _xlpm.areaBuscada, C382,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TEXT(COUNTIF($C$2:C382, _xlpm.areaBuscada), "0000"),
    _xlpm.codItem &amp; "-" &amp; _xlpm.codArea &amp; "-" &amp; _xlpm.secuencia
)</f>
        <v>-SinArea-0000</v>
      </c>
      <c r="L382" s="77"/>
      <c r="M382" s="32"/>
      <c r="N382" s="32"/>
      <c r="O382" s="32"/>
      <c r="P382" s="32"/>
    </row>
    <row r="383" spans="3:16" x14ac:dyDescent="0.3">
      <c r="C383" s="11"/>
      <c r="D383" s="32"/>
      <c r="E383" s="11"/>
      <c r="G383" s="15"/>
      <c r="H383" s="47"/>
      <c r="I383" s="76"/>
      <c r="J383" s="76"/>
      <c r="K383" s="78" t="str">
        <f>_xlfn.LET(
    _xlpm.itemBuscado, B383,
    _xlpm.areaBuscada, C383,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TEXT(COUNTIF($C$2:C383, _xlpm.areaBuscada), "0000"),
    _xlpm.codItem &amp; "-" &amp; _xlpm.codArea &amp; "-" &amp; _xlpm.secuencia
)</f>
        <v>-SinArea-0000</v>
      </c>
      <c r="L383" s="77"/>
      <c r="M383" s="32"/>
      <c r="N383" s="32"/>
      <c r="O383" s="32"/>
      <c r="P383" s="32"/>
    </row>
    <row r="384" spans="3:16" x14ac:dyDescent="0.3">
      <c r="C384" s="11"/>
      <c r="D384" s="32"/>
      <c r="E384" s="11"/>
      <c r="G384" s="15"/>
      <c r="H384" s="47"/>
      <c r="I384" s="76"/>
      <c r="J384" s="76"/>
      <c r="K384" s="78" t="str">
        <f>_xlfn.LET(
    _xlpm.itemBuscado, B384,
    _xlpm.areaBuscada, C384,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TEXT(COUNTIF($C$2:C384, _xlpm.areaBuscada), "0000"),
    _xlpm.codItem &amp; "-" &amp; _xlpm.codArea &amp; "-" &amp; _xlpm.secuencia
)</f>
        <v>-SinArea-0000</v>
      </c>
      <c r="L384" s="77"/>
      <c r="M384" s="32"/>
      <c r="N384" s="32"/>
      <c r="O384" s="32"/>
      <c r="P384" s="32"/>
    </row>
    <row r="385" spans="3:16" x14ac:dyDescent="0.3">
      <c r="C385" s="11"/>
      <c r="D385" s="32"/>
      <c r="E385" s="11"/>
      <c r="G385" s="15"/>
      <c r="H385" s="47"/>
      <c r="I385" s="76"/>
      <c r="J385" s="76"/>
      <c r="K385" s="78" t="str">
        <f>_xlfn.LET(
    _xlpm.itemBuscado, B385,
    _xlpm.areaBuscada, C385,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TEXT(COUNTIF($C$2:C385, _xlpm.areaBuscada), "0000"),
    _xlpm.codItem &amp; "-" &amp; _xlpm.codArea &amp; "-" &amp; _xlpm.secuencia
)</f>
        <v>-SinArea-0000</v>
      </c>
      <c r="L385" s="77"/>
      <c r="M385" s="32"/>
      <c r="N385" s="32"/>
      <c r="O385" s="32"/>
      <c r="P385" s="32"/>
    </row>
    <row r="386" spans="3:16" x14ac:dyDescent="0.3">
      <c r="C386" s="11"/>
      <c r="D386" s="32"/>
      <c r="E386" s="11"/>
      <c r="G386" s="15"/>
      <c r="H386" s="47"/>
      <c r="I386" s="76"/>
      <c r="J386" s="76"/>
      <c r="K386" s="78" t="str">
        <f>_xlfn.LET(
    _xlpm.itemBuscado, B386,
    _xlpm.areaBuscada, C386,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TEXT(COUNTIF($C$2:C386, _xlpm.areaBuscada), "0000"),
    _xlpm.codItem &amp; "-" &amp; _xlpm.codArea &amp; "-" &amp; _xlpm.secuencia
)</f>
        <v>-SinArea-0000</v>
      </c>
      <c r="L386" s="77"/>
      <c r="M386" s="32"/>
      <c r="N386" s="32"/>
      <c r="O386" s="32"/>
      <c r="P386" s="32"/>
    </row>
    <row r="387" spans="3:16" x14ac:dyDescent="0.3">
      <c r="C387" s="11"/>
      <c r="D387" s="32"/>
      <c r="E387" s="11"/>
      <c r="G387" s="15"/>
      <c r="H387" s="47"/>
      <c r="I387" s="76"/>
      <c r="J387" s="76"/>
      <c r="K387" s="78" t="str">
        <f>_xlfn.LET(
    _xlpm.itemBuscado, B387,
    _xlpm.areaBuscada, C387,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TEXT(COUNTIF($C$2:C387, _xlpm.areaBuscada), "0000"),
    _xlpm.codItem &amp; "-" &amp; _xlpm.codArea &amp; "-" &amp; _xlpm.secuencia
)</f>
        <v>-SinArea-0000</v>
      </c>
      <c r="L387" s="77"/>
      <c r="M387" s="32"/>
      <c r="N387" s="32"/>
      <c r="O387" s="32"/>
      <c r="P387" s="32"/>
    </row>
    <row r="388" spans="3:16" x14ac:dyDescent="0.3">
      <c r="C388" s="11"/>
      <c r="D388" s="32"/>
      <c r="E388" s="11"/>
      <c r="G388" s="15"/>
      <c r="H388" s="47"/>
      <c r="I388" s="76"/>
      <c r="J388" s="76"/>
      <c r="K388" s="78" t="str">
        <f>_xlfn.LET(
    _xlpm.itemBuscado, B388,
    _xlpm.areaBuscada, C388,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TEXT(COUNTIF($C$2:C388, _xlpm.areaBuscada), "0000"),
    _xlpm.codItem &amp; "-" &amp; _xlpm.codArea &amp; "-" &amp; _xlpm.secuencia
)</f>
        <v>-SinArea-0000</v>
      </c>
      <c r="L388" s="77"/>
      <c r="M388" s="32"/>
      <c r="N388" s="32"/>
      <c r="O388" s="32"/>
      <c r="P388" s="32"/>
    </row>
    <row r="389" spans="3:16" x14ac:dyDescent="0.3">
      <c r="C389" s="11"/>
      <c r="D389" s="32"/>
      <c r="E389" s="11"/>
      <c r="G389" s="15"/>
      <c r="H389" s="47"/>
      <c r="I389" s="76"/>
      <c r="J389" s="76"/>
      <c r="K389" s="78" t="str">
        <f>_xlfn.LET(
    _xlpm.itemBuscado, B389,
    _xlpm.areaBuscada, C389,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TEXT(COUNTIF($C$2:C389, _xlpm.areaBuscada), "0000"),
    _xlpm.codItem &amp; "-" &amp; _xlpm.codArea &amp; "-" &amp; _xlpm.secuencia
)</f>
        <v>-SinArea-0000</v>
      </c>
      <c r="L389" s="77"/>
      <c r="M389" s="32"/>
      <c r="N389" s="32"/>
      <c r="O389" s="32"/>
      <c r="P389" s="32"/>
    </row>
    <row r="390" spans="3:16" x14ac:dyDescent="0.3">
      <c r="C390" s="11"/>
      <c r="D390" s="32"/>
      <c r="E390" s="11"/>
      <c r="G390" s="15"/>
      <c r="H390" s="47"/>
      <c r="I390" s="76"/>
      <c r="J390" s="76"/>
      <c r="K390" s="78" t="str">
        <f>_xlfn.LET(
    _xlpm.itemBuscado, B390,
    _xlpm.areaBuscada, C390,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TEXT(COUNTIF($C$2:C390, _xlpm.areaBuscada), "0000"),
    _xlpm.codItem &amp; "-" &amp; _xlpm.codArea &amp; "-" &amp; _xlpm.secuencia
)</f>
        <v>-SinArea-0000</v>
      </c>
      <c r="L390" s="77"/>
      <c r="M390" s="32"/>
      <c r="N390" s="32"/>
      <c r="O390" s="32"/>
      <c r="P390" s="32"/>
    </row>
    <row r="391" spans="3:16" x14ac:dyDescent="0.3">
      <c r="C391" s="11"/>
      <c r="D391" s="32"/>
      <c r="E391" s="11"/>
      <c r="G391" s="15"/>
      <c r="H391" s="47"/>
      <c r="I391" s="76"/>
      <c r="J391" s="76"/>
      <c r="K391" s="78" t="str">
        <f>_xlfn.LET(
    _xlpm.itemBuscado, B391,
    _xlpm.areaBuscada, C391,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TEXT(COUNTIF($C$2:C391, _xlpm.areaBuscada), "0000"),
    _xlpm.codItem &amp; "-" &amp; _xlpm.codArea &amp; "-" &amp; _xlpm.secuencia
)</f>
        <v>-SinArea-0000</v>
      </c>
      <c r="L391" s="77"/>
      <c r="M391" s="32"/>
      <c r="N391" s="32"/>
      <c r="O391" s="32"/>
      <c r="P391" s="32"/>
    </row>
    <row r="392" spans="3:16" x14ac:dyDescent="0.3">
      <c r="C392" s="11"/>
      <c r="D392" s="32"/>
      <c r="E392" s="11"/>
      <c r="G392" s="15"/>
      <c r="H392" s="47"/>
      <c r="I392" s="76"/>
      <c r="J392" s="76"/>
      <c r="K392" s="78" t="str">
        <f>_xlfn.LET(
    _xlpm.itemBuscado, B392,
    _xlpm.areaBuscada, C392,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TEXT(COUNTIF($C$2:C392, _xlpm.areaBuscada), "0000"),
    _xlpm.codItem &amp; "-" &amp; _xlpm.codArea &amp; "-" &amp; _xlpm.secuencia
)</f>
        <v>-SinArea-0000</v>
      </c>
      <c r="L392" s="77"/>
      <c r="M392" s="32"/>
      <c r="N392" s="32"/>
      <c r="O392" s="32"/>
      <c r="P392" s="32"/>
    </row>
    <row r="393" spans="3:16" x14ac:dyDescent="0.3">
      <c r="C393" s="11"/>
      <c r="D393" s="32"/>
      <c r="E393" s="11"/>
      <c r="G393" s="15"/>
      <c r="H393" s="47"/>
      <c r="I393" s="76"/>
      <c r="J393" s="76"/>
      <c r="K393" s="78" t="str">
        <f>_xlfn.LET(
    _xlpm.itemBuscado, B393,
    _xlpm.areaBuscada, C393,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TEXT(COUNTIF($C$2:C393, _xlpm.areaBuscada), "0000"),
    _xlpm.codItem &amp; "-" &amp; _xlpm.codArea &amp; "-" &amp; _xlpm.secuencia
)</f>
        <v>-SinArea-0000</v>
      </c>
      <c r="L393" s="77"/>
      <c r="M393" s="32"/>
      <c r="N393" s="32"/>
      <c r="O393" s="32"/>
      <c r="P393" s="32"/>
    </row>
    <row r="394" spans="3:16" x14ac:dyDescent="0.3">
      <c r="C394" s="11"/>
      <c r="D394" s="32"/>
      <c r="E394" s="11"/>
      <c r="G394" s="15"/>
      <c r="H394" s="47"/>
      <c r="I394" s="76"/>
      <c r="J394" s="76"/>
      <c r="K394" s="78" t="str">
        <f>_xlfn.LET(
    _xlpm.itemBuscado, B394,
    _xlpm.areaBuscada, C394,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TEXT(COUNTIF($C$2:C394, _xlpm.areaBuscada), "0000"),
    _xlpm.codItem &amp; "-" &amp; _xlpm.codArea &amp; "-" &amp; _xlpm.secuencia
)</f>
        <v>-SinArea-0000</v>
      </c>
      <c r="L394" s="77"/>
      <c r="M394" s="32"/>
      <c r="N394" s="32"/>
      <c r="O394" s="32"/>
      <c r="P394" s="32"/>
    </row>
    <row r="395" spans="3:16" x14ac:dyDescent="0.3">
      <c r="C395" s="11"/>
      <c r="D395" s="32"/>
      <c r="E395" s="11"/>
      <c r="G395" s="15"/>
      <c r="H395" s="47"/>
      <c r="I395" s="76"/>
      <c r="J395" s="76"/>
      <c r="K395" s="78" t="str">
        <f>_xlfn.LET(
    _xlpm.itemBuscado, B395,
    _xlpm.areaBuscada, C395,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TEXT(COUNTIF($C$2:C395, _xlpm.areaBuscada), "0000"),
    _xlpm.codItem &amp; "-" &amp; _xlpm.codArea &amp; "-" &amp; _xlpm.secuencia
)</f>
        <v>-SinArea-0000</v>
      </c>
      <c r="L395" s="77"/>
      <c r="M395" s="32"/>
      <c r="N395" s="32"/>
      <c r="O395" s="32"/>
      <c r="P395" s="32"/>
    </row>
    <row r="396" spans="3:16" x14ac:dyDescent="0.3">
      <c r="C396" s="11"/>
      <c r="D396" s="32"/>
      <c r="E396" s="11"/>
      <c r="G396" s="15"/>
      <c r="H396" s="47"/>
      <c r="I396" s="76"/>
      <c r="J396" s="76"/>
      <c r="K396" s="78" t="str">
        <f>_xlfn.LET(
    _xlpm.itemBuscado, B396,
    _xlpm.areaBuscada, C396,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TEXT(COUNTIF($C$2:C396, _xlpm.areaBuscada), "0000"),
    _xlpm.codItem &amp; "-" &amp; _xlpm.codArea &amp; "-" &amp; _xlpm.secuencia
)</f>
        <v>-SinArea-0000</v>
      </c>
      <c r="L396" s="77"/>
      <c r="M396" s="32"/>
      <c r="N396" s="32"/>
      <c r="O396" s="32"/>
      <c r="P396" s="32"/>
    </row>
    <row r="397" spans="3:16" x14ac:dyDescent="0.3">
      <c r="C397" s="11"/>
      <c r="D397" s="32"/>
      <c r="E397" s="11"/>
      <c r="G397" s="15"/>
      <c r="H397" s="47"/>
      <c r="I397" s="76"/>
      <c r="J397" s="76"/>
      <c r="K397" s="78" t="str">
        <f>_xlfn.LET(
    _xlpm.itemBuscado, B397,
    _xlpm.areaBuscada, C397,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TEXT(COUNTIF($C$2:C397, _xlpm.areaBuscada), "0000"),
    _xlpm.codItem &amp; "-" &amp; _xlpm.codArea &amp; "-" &amp; _xlpm.secuencia
)</f>
        <v>-SinArea-0000</v>
      </c>
      <c r="L397" s="77"/>
      <c r="M397" s="32"/>
      <c r="N397" s="32"/>
      <c r="O397" s="32"/>
      <c r="P397" s="32"/>
    </row>
    <row r="398" spans="3:16" x14ac:dyDescent="0.3">
      <c r="C398" s="11"/>
      <c r="D398" s="32"/>
      <c r="E398" s="11"/>
      <c r="G398" s="15"/>
      <c r="H398" s="47"/>
      <c r="I398" s="76"/>
      <c r="J398" s="76"/>
      <c r="K398" s="78" t="str">
        <f>_xlfn.LET(
    _xlpm.itemBuscado, B398,
    _xlpm.areaBuscada, C398,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TEXT(COUNTIF($C$2:C398, _xlpm.areaBuscada), "0000"),
    _xlpm.codItem &amp; "-" &amp; _xlpm.codArea &amp; "-" &amp; _xlpm.secuencia
)</f>
        <v>-SinArea-0000</v>
      </c>
      <c r="L398" s="77"/>
      <c r="M398" s="32"/>
      <c r="N398" s="32"/>
      <c r="O398" s="32"/>
      <c r="P398" s="32"/>
    </row>
    <row r="399" spans="3:16" x14ac:dyDescent="0.3">
      <c r="C399" s="11"/>
      <c r="D399" s="32"/>
      <c r="E399" s="11"/>
      <c r="G399" s="15"/>
      <c r="H399" s="47"/>
      <c r="I399" s="76"/>
      <c r="J399" s="76"/>
      <c r="K399" s="78" t="str">
        <f>_xlfn.LET(
    _xlpm.itemBuscado, B399,
    _xlpm.areaBuscada, C399,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TEXT(COUNTIF($C$2:C399, _xlpm.areaBuscada), "0000"),
    _xlpm.codItem &amp; "-" &amp; _xlpm.codArea &amp; "-" &amp; _xlpm.secuencia
)</f>
        <v>-SinArea-0000</v>
      </c>
      <c r="L399" s="77"/>
      <c r="M399" s="32"/>
      <c r="N399" s="32"/>
      <c r="O399" s="32"/>
      <c r="P399" s="32"/>
    </row>
    <row r="400" spans="3:16" x14ac:dyDescent="0.3">
      <c r="C400" s="11"/>
      <c r="D400" s="32"/>
      <c r="E400" s="11"/>
      <c r="G400" s="15"/>
      <c r="H400" s="47"/>
      <c r="I400" s="76"/>
      <c r="J400" s="76"/>
      <c r="K400" s="78" t="str">
        <f>_xlfn.LET(
    _xlpm.itemBuscado, B400,
    _xlpm.areaBuscada, C400,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TEXT(COUNTIF($C$2:C400, _xlpm.areaBuscada), "0000"),
    _xlpm.codItem &amp; "-" &amp; _xlpm.codArea &amp; "-" &amp; _xlpm.secuencia
)</f>
        <v>-SinArea-0000</v>
      </c>
      <c r="L400" s="77"/>
      <c r="M400" s="32"/>
      <c r="N400" s="32"/>
      <c r="O400" s="32"/>
      <c r="P400" s="32"/>
    </row>
    <row r="401" spans="3:16" x14ac:dyDescent="0.3">
      <c r="C401" s="11"/>
      <c r="D401" s="32"/>
      <c r="E401" s="11"/>
      <c r="G401" s="15"/>
      <c r="H401" s="47"/>
      <c r="I401" s="76"/>
      <c r="J401" s="76"/>
      <c r="K401" s="78" t="str">
        <f>_xlfn.LET(
    _xlpm.itemBuscado, B401,
    _xlpm.areaBuscada, C401,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TEXT(COUNTIF($C$2:C401, _xlpm.areaBuscada), "0000"),
    _xlpm.codItem &amp; "-" &amp; _xlpm.codArea &amp; "-" &amp; _xlpm.secuencia
)</f>
        <v>-SinArea-0000</v>
      </c>
      <c r="L401" s="77"/>
      <c r="M401" s="32"/>
      <c r="N401" s="32"/>
      <c r="O401" s="32"/>
      <c r="P401" s="32"/>
    </row>
    <row r="402" spans="3:16" x14ac:dyDescent="0.3">
      <c r="C402" s="11"/>
      <c r="D402" s="32"/>
      <c r="E402" s="11"/>
      <c r="G402" s="15"/>
      <c r="H402" s="47"/>
      <c r="I402" s="76"/>
      <c r="J402" s="76"/>
      <c r="K402" s="78" t="str">
        <f>_xlfn.LET(
    _xlpm.itemBuscado, B402,
    _xlpm.areaBuscada, C402,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TEXT(COUNTIF($C$2:C402, _xlpm.areaBuscada), "0000"),
    _xlpm.codItem &amp; "-" &amp; _xlpm.codArea &amp; "-" &amp; _xlpm.secuencia
)</f>
        <v>-SinArea-0000</v>
      </c>
      <c r="L402" s="77"/>
      <c r="M402" s="32"/>
      <c r="N402" s="32"/>
      <c r="O402" s="32"/>
      <c r="P402" s="32"/>
    </row>
    <row r="403" spans="3:16" x14ac:dyDescent="0.3">
      <c r="C403" s="11"/>
      <c r="D403" s="32"/>
      <c r="E403" s="11"/>
      <c r="G403" s="15"/>
      <c r="H403" s="47"/>
      <c r="I403" s="76"/>
      <c r="J403" s="76"/>
      <c r="K403" s="78" t="str">
        <f>_xlfn.LET(
    _xlpm.itemBuscado, B403,
    _xlpm.areaBuscada, C403,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TEXT(COUNTIF($C$2:C403, _xlpm.areaBuscada), "0000"),
    _xlpm.codItem &amp; "-" &amp; _xlpm.codArea &amp; "-" &amp; _xlpm.secuencia
)</f>
        <v>-SinArea-0000</v>
      </c>
      <c r="L403" s="77"/>
      <c r="M403" s="32"/>
      <c r="N403" s="32"/>
      <c r="O403" s="32"/>
      <c r="P403" s="32"/>
    </row>
    <row r="404" spans="3:16" x14ac:dyDescent="0.3">
      <c r="C404" s="11"/>
      <c r="D404" s="32"/>
      <c r="E404" s="11"/>
      <c r="G404" s="15"/>
      <c r="H404" s="47"/>
      <c r="I404" s="76"/>
      <c r="J404" s="76"/>
      <c r="K404" s="78" t="str">
        <f>_xlfn.LET(
    _xlpm.itemBuscado, B404,
    _xlpm.areaBuscada, C404,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TEXT(COUNTIF($C$2:C404, _xlpm.areaBuscada), "0000"),
    _xlpm.codItem &amp; "-" &amp; _xlpm.codArea &amp; "-" &amp; _xlpm.secuencia
)</f>
        <v>-SinArea-0000</v>
      </c>
      <c r="L404" s="77"/>
      <c r="M404" s="32"/>
      <c r="N404" s="32"/>
      <c r="O404" s="32"/>
      <c r="P404" s="32"/>
    </row>
    <row r="405" spans="3:16" x14ac:dyDescent="0.3">
      <c r="C405" s="11"/>
      <c r="D405" s="32"/>
      <c r="E405" s="11"/>
      <c r="G405" s="15"/>
      <c r="H405" s="47"/>
      <c r="I405" s="76"/>
      <c r="J405" s="76"/>
      <c r="K405" s="78" t="str">
        <f>_xlfn.LET(
    _xlpm.itemBuscado, B405,
    _xlpm.areaBuscada, C405,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TEXT(COUNTIF($C$2:C405, _xlpm.areaBuscada), "0000"),
    _xlpm.codItem &amp; "-" &amp; _xlpm.codArea &amp; "-" &amp; _xlpm.secuencia
)</f>
        <v>-SinArea-0000</v>
      </c>
      <c r="L405" s="77"/>
      <c r="M405" s="32"/>
      <c r="N405" s="32"/>
      <c r="O405" s="32"/>
      <c r="P405" s="32"/>
    </row>
    <row r="406" spans="3:16" x14ac:dyDescent="0.3">
      <c r="C406" s="11"/>
      <c r="D406" s="32"/>
      <c r="E406" s="11"/>
      <c r="G406" s="15"/>
      <c r="H406" s="47"/>
      <c r="I406" s="76"/>
      <c r="J406" s="76"/>
      <c r="K406" s="78" t="str">
        <f>_xlfn.LET(
    _xlpm.itemBuscado, B406,
    _xlpm.areaBuscada, C406,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TEXT(COUNTIF($C$2:C406, _xlpm.areaBuscada), "0000"),
    _xlpm.codItem &amp; "-" &amp; _xlpm.codArea &amp; "-" &amp; _xlpm.secuencia
)</f>
        <v>-SinArea-0000</v>
      </c>
      <c r="L406" s="77"/>
      <c r="M406" s="32"/>
      <c r="N406" s="32"/>
      <c r="O406" s="32"/>
      <c r="P406" s="32"/>
    </row>
    <row r="407" spans="3:16" x14ac:dyDescent="0.3">
      <c r="C407" s="11"/>
      <c r="D407" s="32"/>
      <c r="E407" s="11"/>
      <c r="G407" s="15"/>
      <c r="H407" s="47"/>
      <c r="I407" s="76"/>
      <c r="J407" s="76"/>
      <c r="K407" s="78" t="str">
        <f>_xlfn.LET(
    _xlpm.itemBuscado, B407,
    _xlpm.areaBuscada, C407,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TEXT(COUNTIF($C$2:C407, _xlpm.areaBuscada), "0000"),
    _xlpm.codItem &amp; "-" &amp; _xlpm.codArea &amp; "-" &amp; _xlpm.secuencia
)</f>
        <v>-SinArea-0000</v>
      </c>
      <c r="L407" s="77"/>
      <c r="M407" s="32"/>
      <c r="N407" s="32"/>
      <c r="O407" s="32"/>
      <c r="P407" s="32"/>
    </row>
    <row r="408" spans="3:16" x14ac:dyDescent="0.3">
      <c r="C408" s="11"/>
      <c r="D408" s="32"/>
      <c r="E408" s="11"/>
      <c r="G408" s="15"/>
      <c r="H408" s="47"/>
      <c r="I408" s="76"/>
      <c r="J408" s="76"/>
      <c r="K408" s="78" t="str">
        <f>_xlfn.LET(
    _xlpm.itemBuscado, B408,
    _xlpm.areaBuscada, C408,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TEXT(COUNTIF($C$2:C408, _xlpm.areaBuscada), "0000"),
    _xlpm.codItem &amp; "-" &amp; _xlpm.codArea &amp; "-" &amp; _xlpm.secuencia
)</f>
        <v>-SinArea-0000</v>
      </c>
      <c r="L408" s="77"/>
      <c r="M408" s="32"/>
      <c r="N408" s="32"/>
      <c r="O408" s="32"/>
      <c r="P408" s="32"/>
    </row>
    <row r="409" spans="3:16" x14ac:dyDescent="0.3">
      <c r="C409" s="11"/>
      <c r="D409" s="32"/>
      <c r="E409" s="11"/>
      <c r="G409" s="15"/>
      <c r="H409" s="47"/>
      <c r="I409" s="76"/>
      <c r="J409" s="76"/>
      <c r="K409" s="78" t="str">
        <f>_xlfn.LET(
    _xlpm.itemBuscado, B409,
    _xlpm.areaBuscada, C409,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TEXT(COUNTIF($C$2:C409, _xlpm.areaBuscada), "0000"),
    _xlpm.codItem &amp; "-" &amp; _xlpm.codArea &amp; "-" &amp; _xlpm.secuencia
)</f>
        <v>-SinArea-0000</v>
      </c>
      <c r="L409" s="77"/>
      <c r="M409" s="32"/>
      <c r="N409" s="32"/>
      <c r="O409" s="32"/>
      <c r="P409" s="32"/>
    </row>
    <row r="410" spans="3:16" x14ac:dyDescent="0.3">
      <c r="C410" s="11"/>
      <c r="D410" s="32"/>
      <c r="E410" s="11"/>
      <c r="G410" s="15"/>
      <c r="H410" s="47"/>
      <c r="I410" s="76"/>
      <c r="J410" s="76"/>
      <c r="K410" s="78" t="str">
        <f>_xlfn.LET(
    _xlpm.itemBuscado, B410,
    _xlpm.areaBuscada, C410,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TEXT(COUNTIF($C$2:C410, _xlpm.areaBuscada), "0000"),
    _xlpm.codItem &amp; "-" &amp; _xlpm.codArea &amp; "-" &amp; _xlpm.secuencia
)</f>
        <v>-SinArea-0000</v>
      </c>
      <c r="L410" s="77"/>
      <c r="M410" s="32"/>
      <c r="N410" s="32"/>
      <c r="O410" s="32"/>
      <c r="P410" s="32"/>
    </row>
    <row r="411" spans="3:16" x14ac:dyDescent="0.3">
      <c r="C411" s="11"/>
      <c r="D411" s="32"/>
      <c r="E411" s="11"/>
      <c r="G411" s="15"/>
      <c r="H411" s="47"/>
      <c r="I411" s="76"/>
      <c r="J411" s="76"/>
      <c r="K411" s="78" t="str">
        <f>_xlfn.LET(
    _xlpm.itemBuscado, B411,
    _xlpm.areaBuscada, C411,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TEXT(COUNTIF($C$2:C411, _xlpm.areaBuscada), "0000"),
    _xlpm.codItem &amp; "-" &amp; _xlpm.codArea &amp; "-" &amp; _xlpm.secuencia
)</f>
        <v>-SinArea-0000</v>
      </c>
      <c r="L411" s="77"/>
      <c r="M411" s="32"/>
      <c r="N411" s="32"/>
      <c r="O411" s="32"/>
      <c r="P411" s="32"/>
    </row>
    <row r="412" spans="3:16" x14ac:dyDescent="0.3">
      <c r="C412" s="11"/>
      <c r="D412" s="32"/>
      <c r="E412" s="11"/>
      <c r="G412" s="15"/>
      <c r="H412" s="47"/>
      <c r="I412" s="76"/>
      <c r="J412" s="76"/>
      <c r="K412" s="78" t="str">
        <f>_xlfn.LET(
    _xlpm.itemBuscado, B412,
    _xlpm.areaBuscada, C412,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TEXT(COUNTIF($C$2:C412, _xlpm.areaBuscada), "0000"),
    _xlpm.codItem &amp; "-" &amp; _xlpm.codArea &amp; "-" &amp; _xlpm.secuencia
)</f>
        <v>-SinArea-0000</v>
      </c>
      <c r="L412" s="77"/>
      <c r="M412" s="32"/>
      <c r="N412" s="32"/>
      <c r="O412" s="32"/>
      <c r="P412" s="32"/>
    </row>
    <row r="413" spans="3:16" x14ac:dyDescent="0.3">
      <c r="C413" s="11"/>
      <c r="D413" s="32"/>
      <c r="E413" s="11"/>
      <c r="G413" s="15"/>
      <c r="H413" s="47"/>
      <c r="I413" s="76"/>
      <c r="J413" s="76"/>
      <c r="K413" s="78" t="str">
        <f>_xlfn.LET(
    _xlpm.itemBuscado, B413,
    _xlpm.areaBuscada, C413,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TEXT(COUNTIF($C$2:C413, _xlpm.areaBuscada), "0000"),
    _xlpm.codItem &amp; "-" &amp; _xlpm.codArea &amp; "-" &amp; _xlpm.secuencia
)</f>
        <v>-SinArea-0000</v>
      </c>
      <c r="L413" s="77"/>
      <c r="M413" s="32"/>
      <c r="N413" s="32"/>
      <c r="O413" s="32"/>
      <c r="P413" s="32"/>
    </row>
    <row r="414" spans="3:16" x14ac:dyDescent="0.3">
      <c r="C414" s="11"/>
      <c r="D414" s="32"/>
      <c r="E414" s="11"/>
      <c r="G414" s="15"/>
      <c r="H414" s="47"/>
      <c r="I414" s="76"/>
      <c r="J414" s="76"/>
      <c r="K414" s="78" t="str">
        <f>_xlfn.LET(
    _xlpm.itemBuscado, B414,
    _xlpm.areaBuscada, C414,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TEXT(COUNTIF($C$2:C414, _xlpm.areaBuscada), "0000"),
    _xlpm.codItem &amp; "-" &amp; _xlpm.codArea &amp; "-" &amp; _xlpm.secuencia
)</f>
        <v>-SinArea-0000</v>
      </c>
      <c r="L414" s="77"/>
      <c r="M414" s="32"/>
      <c r="N414" s="32"/>
      <c r="O414" s="32"/>
      <c r="P414" s="32"/>
    </row>
    <row r="415" spans="3:16" x14ac:dyDescent="0.3">
      <c r="C415" s="11"/>
      <c r="D415" s="32"/>
      <c r="E415" s="11"/>
      <c r="G415" s="15"/>
      <c r="H415" s="47"/>
      <c r="I415" s="76"/>
      <c r="J415" s="76"/>
      <c r="K415" s="78" t="str">
        <f>_xlfn.LET(
    _xlpm.itemBuscado, B415,
    _xlpm.areaBuscada, C415,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TEXT(COUNTIF($C$2:C415, _xlpm.areaBuscada), "0000"),
    _xlpm.codItem &amp; "-" &amp; _xlpm.codArea &amp; "-" &amp; _xlpm.secuencia
)</f>
        <v>-SinArea-0000</v>
      </c>
      <c r="L415" s="77"/>
      <c r="M415" s="32"/>
      <c r="N415" s="32"/>
      <c r="O415" s="32"/>
      <c r="P415" s="32"/>
    </row>
    <row r="416" spans="3:16" x14ac:dyDescent="0.3">
      <c r="C416" s="11"/>
      <c r="D416" s="32"/>
      <c r="E416" s="11"/>
      <c r="G416" s="15"/>
      <c r="H416" s="47"/>
      <c r="I416" s="76"/>
      <c r="J416" s="76"/>
      <c r="K416" s="78" t="str">
        <f>_xlfn.LET(
    _xlpm.itemBuscado, B416,
    _xlpm.areaBuscada, C416,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TEXT(COUNTIF($C$2:C416, _xlpm.areaBuscada), "0000"),
    _xlpm.codItem &amp; "-" &amp; _xlpm.codArea &amp; "-" &amp; _xlpm.secuencia
)</f>
        <v>-SinArea-0000</v>
      </c>
      <c r="L416" s="77"/>
      <c r="M416" s="32"/>
      <c r="N416" s="32"/>
      <c r="O416" s="32"/>
      <c r="P416" s="32"/>
    </row>
    <row r="417" spans="3:16" x14ac:dyDescent="0.3">
      <c r="C417" s="11"/>
      <c r="D417" s="32"/>
      <c r="E417" s="11"/>
      <c r="G417" s="15"/>
      <c r="H417" s="47"/>
      <c r="I417" s="76"/>
      <c r="J417" s="76"/>
      <c r="K417" s="78" t="str">
        <f>_xlfn.LET(
    _xlpm.itemBuscado, B417,
    _xlpm.areaBuscada, C417,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TEXT(COUNTIF($C$2:C417, _xlpm.areaBuscada), "0000"),
    _xlpm.codItem &amp; "-" &amp; _xlpm.codArea &amp; "-" &amp; _xlpm.secuencia
)</f>
        <v>-SinArea-0000</v>
      </c>
      <c r="L417" s="77"/>
      <c r="M417" s="32"/>
      <c r="N417" s="32"/>
      <c r="O417" s="32"/>
      <c r="P417" s="32"/>
    </row>
    <row r="418" spans="3:16" x14ac:dyDescent="0.3">
      <c r="C418" s="11"/>
      <c r="D418" s="32"/>
      <c r="E418" s="11"/>
      <c r="G418" s="15"/>
      <c r="H418" s="47"/>
      <c r="I418" s="76"/>
      <c r="J418" s="76"/>
      <c r="K418" s="78" t="str">
        <f>_xlfn.LET(
    _xlpm.itemBuscado, B418,
    _xlpm.areaBuscada, C418,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TEXT(COUNTIF($C$2:C418, _xlpm.areaBuscada), "0000"),
    _xlpm.codItem &amp; "-" &amp; _xlpm.codArea &amp; "-" &amp; _xlpm.secuencia
)</f>
        <v>-SinArea-0000</v>
      </c>
      <c r="L418" s="77"/>
      <c r="M418" s="32"/>
      <c r="N418" s="32"/>
      <c r="O418" s="32"/>
      <c r="P418" s="32"/>
    </row>
    <row r="419" spans="3:16" x14ac:dyDescent="0.3">
      <c r="C419" s="11"/>
      <c r="D419" s="32"/>
      <c r="E419" s="11"/>
      <c r="G419" s="15"/>
      <c r="H419" s="47"/>
      <c r="I419" s="76"/>
      <c r="J419" s="76"/>
      <c r="K419" s="78" t="str">
        <f>_xlfn.LET(
    _xlpm.itemBuscado, B419,
    _xlpm.areaBuscada, C419,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TEXT(COUNTIF($C$2:C419, _xlpm.areaBuscada), "0000"),
    _xlpm.codItem &amp; "-" &amp; _xlpm.codArea &amp; "-" &amp; _xlpm.secuencia
)</f>
        <v>-SinArea-0000</v>
      </c>
      <c r="L419" s="77"/>
      <c r="M419" s="32"/>
      <c r="N419" s="32"/>
      <c r="O419" s="32"/>
      <c r="P419" s="32"/>
    </row>
    <row r="420" spans="3:16" x14ac:dyDescent="0.3">
      <c r="C420" s="11"/>
      <c r="D420" s="32"/>
      <c r="E420" s="11"/>
      <c r="G420" s="15"/>
      <c r="H420" s="47"/>
      <c r="I420" s="76"/>
      <c r="J420" s="76"/>
      <c r="K420" s="78" t="str">
        <f>_xlfn.LET(
    _xlpm.itemBuscado, B420,
    _xlpm.areaBuscada, C420,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TEXT(COUNTIF($C$2:C420, _xlpm.areaBuscada), "0000"),
    _xlpm.codItem &amp; "-" &amp; _xlpm.codArea &amp; "-" &amp; _xlpm.secuencia
)</f>
        <v>-SinArea-0000</v>
      </c>
      <c r="L420" s="77"/>
      <c r="M420" s="32"/>
      <c r="N420" s="32"/>
      <c r="O420" s="32"/>
      <c r="P420" s="32"/>
    </row>
    <row r="421" spans="3:16" x14ac:dyDescent="0.3">
      <c r="C421" s="11"/>
      <c r="D421" s="32"/>
      <c r="E421" s="11"/>
      <c r="G421" s="15"/>
      <c r="H421" s="47"/>
      <c r="I421" s="76"/>
      <c r="J421" s="76"/>
      <c r="K421" s="78" t="str">
        <f>_xlfn.LET(
    _xlpm.itemBuscado, B421,
    _xlpm.areaBuscada, C421,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TEXT(COUNTIF($C$2:C421, _xlpm.areaBuscada), "0000"),
    _xlpm.codItem &amp; "-" &amp; _xlpm.codArea &amp; "-" &amp; _xlpm.secuencia
)</f>
        <v>-SinArea-0000</v>
      </c>
      <c r="L421" s="77"/>
      <c r="M421" s="32"/>
      <c r="N421" s="32"/>
      <c r="O421" s="32"/>
      <c r="P421" s="32"/>
    </row>
    <row r="422" spans="3:16" x14ac:dyDescent="0.3">
      <c r="C422" s="11"/>
      <c r="D422" s="32"/>
      <c r="E422" s="11"/>
      <c r="G422" s="15"/>
      <c r="H422" s="47"/>
      <c r="I422" s="76"/>
      <c r="J422" s="76"/>
      <c r="K422" s="78" t="str">
        <f>_xlfn.LET(
    _xlpm.itemBuscado, B422,
    _xlpm.areaBuscada, C422,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TEXT(COUNTIF($C$2:C422, _xlpm.areaBuscada), "0000"),
    _xlpm.codItem &amp; "-" &amp; _xlpm.codArea &amp; "-" &amp; _xlpm.secuencia
)</f>
        <v>-SinArea-0000</v>
      </c>
      <c r="L422" s="77"/>
      <c r="M422" s="32"/>
      <c r="N422" s="32"/>
      <c r="O422" s="32"/>
      <c r="P422" s="32"/>
    </row>
    <row r="423" spans="3:16" x14ac:dyDescent="0.3">
      <c r="C423" s="11"/>
      <c r="D423" s="32"/>
      <c r="E423" s="11"/>
      <c r="G423" s="15"/>
      <c r="H423" s="47"/>
      <c r="I423" s="76"/>
      <c r="J423" s="76"/>
      <c r="K423" s="78" t="str">
        <f>_xlfn.LET(
    _xlpm.itemBuscado, B423,
    _xlpm.areaBuscada, C423,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TEXT(COUNTIF($C$2:C423, _xlpm.areaBuscada), "0000"),
    _xlpm.codItem &amp; "-" &amp; _xlpm.codArea &amp; "-" &amp; _xlpm.secuencia
)</f>
        <v>-SinArea-0000</v>
      </c>
      <c r="L423" s="77"/>
      <c r="M423" s="32"/>
      <c r="N423" s="32"/>
      <c r="O423" s="32"/>
      <c r="P423" s="32"/>
    </row>
    <row r="424" spans="3:16" x14ac:dyDescent="0.3">
      <c r="C424" s="11"/>
      <c r="D424" s="32"/>
      <c r="E424" s="11"/>
      <c r="G424" s="15"/>
      <c r="H424" s="47"/>
      <c r="I424" s="76"/>
      <c r="J424" s="76"/>
      <c r="K424" s="78" t="str">
        <f>_xlfn.LET(
    _xlpm.itemBuscado, B424,
    _xlpm.areaBuscada, C424,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TEXT(COUNTIF($C$2:C424, _xlpm.areaBuscada), "0000"),
    _xlpm.codItem &amp; "-" &amp; _xlpm.codArea &amp; "-" &amp; _xlpm.secuencia
)</f>
        <v>-SinArea-0000</v>
      </c>
      <c r="L424" s="77"/>
      <c r="M424" s="32"/>
      <c r="N424" s="32"/>
      <c r="O424" s="32"/>
      <c r="P424" s="32"/>
    </row>
    <row r="425" spans="3:16" x14ac:dyDescent="0.3">
      <c r="C425" s="11"/>
      <c r="D425" s="32"/>
      <c r="E425" s="11"/>
      <c r="G425" s="15"/>
      <c r="H425" s="47"/>
      <c r="I425" s="76"/>
      <c r="J425" s="76"/>
      <c r="K425" s="78" t="str">
        <f>_xlfn.LET(
    _xlpm.itemBuscado, B425,
    _xlpm.areaBuscada, C425,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TEXT(COUNTIF($C$2:C425, _xlpm.areaBuscada), "0000"),
    _xlpm.codItem &amp; "-" &amp; _xlpm.codArea &amp; "-" &amp; _xlpm.secuencia
)</f>
        <v>-SinArea-0000</v>
      </c>
      <c r="L425" s="77"/>
      <c r="M425" s="32"/>
      <c r="N425" s="32"/>
      <c r="O425" s="32"/>
      <c r="P425" s="32"/>
    </row>
    <row r="426" spans="3:16" x14ac:dyDescent="0.3">
      <c r="C426" s="11"/>
      <c r="D426" s="32"/>
      <c r="E426" s="11"/>
      <c r="G426" s="15"/>
      <c r="H426" s="47"/>
      <c r="I426" s="76"/>
      <c r="J426" s="76"/>
      <c r="K426" s="78" t="str">
        <f>_xlfn.LET(
    _xlpm.itemBuscado, B426,
    _xlpm.areaBuscada, C426,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TEXT(COUNTIF($C$2:C426, _xlpm.areaBuscada), "0000"),
    _xlpm.codItem &amp; "-" &amp; _xlpm.codArea &amp; "-" &amp; _xlpm.secuencia
)</f>
        <v>-SinArea-0000</v>
      </c>
      <c r="L426" s="77"/>
      <c r="M426" s="32"/>
      <c r="N426" s="32"/>
      <c r="O426" s="32"/>
      <c r="P426" s="32"/>
    </row>
    <row r="427" spans="3:16" x14ac:dyDescent="0.3">
      <c r="C427" s="11"/>
      <c r="D427" s="32"/>
      <c r="E427" s="11"/>
      <c r="G427" s="15"/>
      <c r="H427" s="47"/>
      <c r="I427" s="76"/>
      <c r="J427" s="76"/>
      <c r="K427" s="78" t="str">
        <f>_xlfn.LET(
    _xlpm.itemBuscado, B427,
    _xlpm.areaBuscada, C427,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TEXT(COUNTIF($C$2:C427, _xlpm.areaBuscada), "0000"),
    _xlpm.codItem &amp; "-" &amp; _xlpm.codArea &amp; "-" &amp; _xlpm.secuencia
)</f>
        <v>-SinArea-0000</v>
      </c>
      <c r="L427" s="77"/>
      <c r="M427" s="32"/>
      <c r="N427" s="32"/>
      <c r="O427" s="32"/>
      <c r="P427" s="32"/>
    </row>
    <row r="428" spans="3:16" x14ac:dyDescent="0.3">
      <c r="C428" s="11"/>
      <c r="D428" s="32"/>
      <c r="E428" s="11"/>
      <c r="G428" s="15"/>
      <c r="H428" s="47"/>
      <c r="I428" s="76"/>
      <c r="J428" s="76"/>
      <c r="K428" s="78" t="str">
        <f>_xlfn.LET(
    _xlpm.itemBuscado, B428,
    _xlpm.areaBuscada, C428,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TEXT(COUNTIF($C$2:C428, _xlpm.areaBuscada), "0000"),
    _xlpm.codItem &amp; "-" &amp; _xlpm.codArea &amp; "-" &amp; _xlpm.secuencia
)</f>
        <v>-SinArea-0000</v>
      </c>
      <c r="L428" s="77"/>
      <c r="M428" s="32"/>
      <c r="N428" s="32"/>
      <c r="O428" s="32"/>
      <c r="P428" s="32"/>
    </row>
    <row r="429" spans="3:16" x14ac:dyDescent="0.3">
      <c r="C429" s="11"/>
      <c r="D429" s="32"/>
      <c r="E429" s="11"/>
      <c r="G429" s="15"/>
      <c r="H429" s="47"/>
      <c r="I429" s="76"/>
      <c r="J429" s="76"/>
      <c r="K429" s="78" t="str">
        <f>_xlfn.LET(
    _xlpm.itemBuscado, B429,
    _xlpm.areaBuscada, C429,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TEXT(COUNTIF($C$2:C429, _xlpm.areaBuscada), "0000"),
    _xlpm.codItem &amp; "-" &amp; _xlpm.codArea &amp; "-" &amp; _xlpm.secuencia
)</f>
        <v>-SinArea-0000</v>
      </c>
      <c r="L429" s="77"/>
      <c r="M429" s="32"/>
      <c r="N429" s="32"/>
      <c r="O429" s="32"/>
      <c r="P429" s="32"/>
    </row>
    <row r="430" spans="3:16" x14ac:dyDescent="0.3">
      <c r="C430" s="11"/>
      <c r="D430" s="32"/>
      <c r="E430" s="11"/>
      <c r="G430" s="15"/>
      <c r="H430" s="47"/>
      <c r="I430" s="76"/>
      <c r="J430" s="76"/>
      <c r="K430" s="78" t="str">
        <f>_xlfn.LET(
    _xlpm.itemBuscado, B430,
    _xlpm.areaBuscada, C430,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TEXT(COUNTIF($C$2:C430, _xlpm.areaBuscada), "0000"),
    _xlpm.codItem &amp; "-" &amp; _xlpm.codArea &amp; "-" &amp; _xlpm.secuencia
)</f>
        <v>-SinArea-0000</v>
      </c>
      <c r="L430" s="77"/>
      <c r="M430" s="32"/>
      <c r="N430" s="32"/>
      <c r="O430" s="32"/>
      <c r="P430" s="32"/>
    </row>
    <row r="431" spans="3:16" x14ac:dyDescent="0.3">
      <c r="C431" s="11"/>
      <c r="D431" s="32"/>
      <c r="E431" s="11"/>
      <c r="G431" s="15"/>
      <c r="H431" s="47"/>
      <c r="I431" s="76"/>
      <c r="J431" s="76"/>
      <c r="K431" s="78" t="str">
        <f>_xlfn.LET(
    _xlpm.itemBuscado, B431,
    _xlpm.areaBuscada, C431,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TEXT(COUNTIF($C$2:C431, _xlpm.areaBuscada), "0000"),
    _xlpm.codItem &amp; "-" &amp; _xlpm.codArea &amp; "-" &amp; _xlpm.secuencia
)</f>
        <v>-SinArea-0000</v>
      </c>
      <c r="L431" s="77"/>
      <c r="M431" s="32"/>
      <c r="N431" s="32"/>
      <c r="O431" s="32"/>
      <c r="P431" s="32"/>
    </row>
    <row r="432" spans="3:16" x14ac:dyDescent="0.3">
      <c r="C432" s="11"/>
      <c r="D432" s="32"/>
      <c r="E432" s="11"/>
      <c r="G432" s="15"/>
      <c r="H432" s="47"/>
      <c r="I432" s="76"/>
      <c r="J432" s="76"/>
      <c r="K432" s="78" t="str">
        <f>_xlfn.LET(
    _xlpm.itemBuscado, B432,
    _xlpm.areaBuscada, C432,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TEXT(COUNTIF($C$2:C432, _xlpm.areaBuscada), "0000"),
    _xlpm.codItem &amp; "-" &amp; _xlpm.codArea &amp; "-" &amp; _xlpm.secuencia
)</f>
        <v>-SinArea-0000</v>
      </c>
      <c r="L432" s="77"/>
      <c r="M432" s="32"/>
      <c r="N432" s="32"/>
      <c r="O432" s="32"/>
      <c r="P432" s="32"/>
    </row>
    <row r="433" spans="3:16" x14ac:dyDescent="0.3">
      <c r="C433" s="11"/>
      <c r="D433" s="32"/>
      <c r="E433" s="11"/>
      <c r="G433" s="15"/>
      <c r="H433" s="47"/>
      <c r="I433" s="76"/>
      <c r="J433" s="76"/>
      <c r="K433" s="78" t="str">
        <f>_xlfn.LET(
    _xlpm.itemBuscado, B433,
    _xlpm.areaBuscada, C433,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TEXT(COUNTIF($C$2:C433, _xlpm.areaBuscada), "0000"),
    _xlpm.codItem &amp; "-" &amp; _xlpm.codArea &amp; "-" &amp; _xlpm.secuencia
)</f>
        <v>-SinArea-0000</v>
      </c>
      <c r="L433" s="77"/>
      <c r="M433" s="32"/>
      <c r="N433" s="32"/>
      <c r="O433" s="32"/>
      <c r="P433" s="32"/>
    </row>
    <row r="434" spans="3:16" x14ac:dyDescent="0.3">
      <c r="C434" s="11"/>
      <c r="D434" s="32"/>
      <c r="E434" s="11"/>
      <c r="G434" s="15"/>
      <c r="H434" s="47"/>
      <c r="I434" s="76"/>
      <c r="J434" s="76"/>
      <c r="K434" s="78" t="str">
        <f>_xlfn.LET(
    _xlpm.itemBuscado, B434,
    _xlpm.areaBuscada, C434,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TEXT(COUNTIF($C$2:C434, _xlpm.areaBuscada), "0000"),
    _xlpm.codItem &amp; "-" &amp; _xlpm.codArea &amp; "-" &amp; _xlpm.secuencia
)</f>
        <v>-SinArea-0000</v>
      </c>
      <c r="L434" s="77"/>
      <c r="M434" s="32"/>
      <c r="N434" s="32"/>
      <c r="O434" s="32"/>
      <c r="P434" s="32"/>
    </row>
    <row r="435" spans="3:16" x14ac:dyDescent="0.3">
      <c r="C435" s="11"/>
      <c r="D435" s="32"/>
      <c r="E435" s="11"/>
      <c r="G435" s="15"/>
      <c r="H435" s="47"/>
      <c r="I435" s="76"/>
      <c r="J435" s="76"/>
      <c r="K435" s="78" t="str">
        <f>_xlfn.LET(
    _xlpm.itemBuscado, B435,
    _xlpm.areaBuscada, C435,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TEXT(COUNTIF($C$2:C435, _xlpm.areaBuscada), "0000"),
    _xlpm.codItem &amp; "-" &amp; _xlpm.codArea &amp; "-" &amp; _xlpm.secuencia
)</f>
        <v>-SinArea-0000</v>
      </c>
      <c r="L435" s="77"/>
      <c r="M435" s="32"/>
      <c r="N435" s="32"/>
      <c r="O435" s="32"/>
      <c r="P435" s="32"/>
    </row>
    <row r="436" spans="3:16" x14ac:dyDescent="0.3">
      <c r="C436" s="11"/>
      <c r="D436" s="32"/>
      <c r="E436" s="11"/>
      <c r="G436" s="15"/>
      <c r="H436" s="47"/>
      <c r="I436" s="76"/>
      <c r="J436" s="76"/>
      <c r="K436" s="78" t="str">
        <f>_xlfn.LET(
    _xlpm.itemBuscado, B436,
    _xlpm.areaBuscada, C436,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TEXT(COUNTIF($C$2:C436, _xlpm.areaBuscada), "0000"),
    _xlpm.codItem &amp; "-" &amp; _xlpm.codArea &amp; "-" &amp; _xlpm.secuencia
)</f>
        <v>-SinArea-0000</v>
      </c>
      <c r="L436" s="77"/>
      <c r="M436" s="32"/>
      <c r="N436" s="32"/>
      <c r="O436" s="32"/>
      <c r="P436" s="32"/>
    </row>
    <row r="437" spans="3:16" x14ac:dyDescent="0.3">
      <c r="C437" s="11"/>
      <c r="D437" s="32"/>
      <c r="E437" s="11"/>
      <c r="G437" s="15"/>
      <c r="H437" s="47"/>
      <c r="I437" s="76"/>
      <c r="J437" s="76"/>
      <c r="K437" s="78" t="str">
        <f>_xlfn.LET(
    _xlpm.itemBuscado, B437,
    _xlpm.areaBuscada, C437,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TEXT(COUNTIF($C$2:C437, _xlpm.areaBuscada), "0000"),
    _xlpm.codItem &amp; "-" &amp; _xlpm.codArea &amp; "-" &amp; _xlpm.secuencia
)</f>
        <v>-SinArea-0000</v>
      </c>
      <c r="L437" s="77"/>
      <c r="M437" s="32"/>
      <c r="N437" s="32"/>
      <c r="O437" s="32"/>
      <c r="P437" s="32"/>
    </row>
    <row r="438" spans="3:16" x14ac:dyDescent="0.3">
      <c r="C438" s="11"/>
      <c r="D438" s="32"/>
      <c r="E438" s="11"/>
      <c r="G438" s="15"/>
      <c r="H438" s="47"/>
      <c r="I438" s="76"/>
      <c r="J438" s="76"/>
      <c r="K438" s="78" t="str">
        <f>_xlfn.LET(
    _xlpm.itemBuscado, B438,
    _xlpm.areaBuscada, C438,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TEXT(COUNTIF($C$2:C438, _xlpm.areaBuscada), "0000"),
    _xlpm.codItem &amp; "-" &amp; _xlpm.codArea &amp; "-" &amp; _xlpm.secuencia
)</f>
        <v>-SinArea-0000</v>
      </c>
      <c r="L438" s="77"/>
      <c r="M438" s="32"/>
      <c r="N438" s="32"/>
      <c r="O438" s="32"/>
      <c r="P438" s="32"/>
    </row>
    <row r="439" spans="3:16" x14ac:dyDescent="0.3">
      <c r="C439" s="11"/>
      <c r="D439" s="32"/>
      <c r="E439" s="11"/>
      <c r="G439" s="15"/>
      <c r="H439" s="47"/>
      <c r="I439" s="76"/>
      <c r="J439" s="76"/>
      <c r="K439" s="78" t="str">
        <f>_xlfn.LET(
    _xlpm.itemBuscado, B439,
    _xlpm.areaBuscada, C439,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TEXT(COUNTIF($C$2:C439, _xlpm.areaBuscada), "0000"),
    _xlpm.codItem &amp; "-" &amp; _xlpm.codArea &amp; "-" &amp; _xlpm.secuencia
)</f>
        <v>-SinArea-0000</v>
      </c>
      <c r="L439" s="77"/>
      <c r="M439" s="32"/>
      <c r="N439" s="32"/>
      <c r="O439" s="32"/>
      <c r="P439" s="32"/>
    </row>
    <row r="440" spans="3:16" x14ac:dyDescent="0.3">
      <c r="C440" s="11"/>
      <c r="D440" s="32"/>
      <c r="E440" s="11"/>
      <c r="G440" s="15"/>
      <c r="H440" s="47"/>
      <c r="I440" s="76"/>
      <c r="J440" s="76"/>
      <c r="K440" s="78" t="str">
        <f>_xlfn.LET(
    _xlpm.itemBuscado, B440,
    _xlpm.areaBuscada, C440,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TEXT(COUNTIF($C$2:C440, _xlpm.areaBuscada), "0000"),
    _xlpm.codItem &amp; "-" &amp; _xlpm.codArea &amp; "-" &amp; _xlpm.secuencia
)</f>
        <v>-SinArea-0000</v>
      </c>
      <c r="L440" s="77"/>
      <c r="M440" s="32"/>
      <c r="N440" s="32"/>
      <c r="O440" s="32"/>
      <c r="P440" s="32"/>
    </row>
    <row r="441" spans="3:16" x14ac:dyDescent="0.3">
      <c r="C441" s="11"/>
      <c r="D441" s="32"/>
      <c r="E441" s="11"/>
      <c r="G441" s="15"/>
      <c r="H441" s="47"/>
      <c r="I441" s="76"/>
      <c r="J441" s="76"/>
      <c r="K441" s="78" t="str">
        <f>_xlfn.LET(
    _xlpm.itemBuscado, B441,
    _xlpm.areaBuscada, C441,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TEXT(COUNTIF($C$2:C441, _xlpm.areaBuscada), "0000"),
    _xlpm.codItem &amp; "-" &amp; _xlpm.codArea &amp; "-" &amp; _xlpm.secuencia
)</f>
        <v>-SinArea-0000</v>
      </c>
      <c r="L441" s="77"/>
      <c r="M441" s="32"/>
      <c r="N441" s="32"/>
      <c r="O441" s="32"/>
      <c r="P441" s="32"/>
    </row>
    <row r="442" spans="3:16" x14ac:dyDescent="0.3">
      <c r="C442" s="11"/>
      <c r="D442" s="32"/>
      <c r="E442" s="11"/>
      <c r="G442" s="15"/>
      <c r="H442" s="47"/>
      <c r="I442" s="76"/>
      <c r="J442" s="76"/>
      <c r="K442" s="78" t="str">
        <f>_xlfn.LET(
    _xlpm.itemBuscado, B442,
    _xlpm.areaBuscada, C442,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TEXT(COUNTIF($C$2:C442, _xlpm.areaBuscada), "0000"),
    _xlpm.codItem &amp; "-" &amp; _xlpm.codArea &amp; "-" &amp; _xlpm.secuencia
)</f>
        <v>-SinArea-0000</v>
      </c>
      <c r="L442" s="77"/>
      <c r="M442" s="32"/>
      <c r="N442" s="32"/>
      <c r="O442" s="32"/>
      <c r="P442" s="32"/>
    </row>
    <row r="443" spans="3:16" x14ac:dyDescent="0.3">
      <c r="C443" s="11"/>
      <c r="D443" s="32"/>
      <c r="E443" s="11"/>
      <c r="G443" s="15"/>
      <c r="H443" s="47"/>
      <c r="I443" s="76"/>
      <c r="J443" s="76"/>
      <c r="K443" s="78" t="str">
        <f>_xlfn.LET(
    _xlpm.itemBuscado, B443,
    _xlpm.areaBuscada, C443,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TEXT(COUNTIF($C$2:C443, _xlpm.areaBuscada), "0000"),
    _xlpm.codItem &amp; "-" &amp; _xlpm.codArea &amp; "-" &amp; _xlpm.secuencia
)</f>
        <v>-SinArea-0000</v>
      </c>
      <c r="L443" s="77"/>
      <c r="M443" s="32"/>
      <c r="N443" s="32"/>
      <c r="O443" s="32"/>
      <c r="P443" s="32"/>
    </row>
    <row r="444" spans="3:16" x14ac:dyDescent="0.3">
      <c r="C444" s="11"/>
      <c r="D444" s="32"/>
      <c r="E444" s="11"/>
      <c r="G444" s="15"/>
      <c r="H444" s="47"/>
      <c r="I444" s="76"/>
      <c r="J444" s="76"/>
      <c r="K444" s="78" t="str">
        <f>_xlfn.LET(
    _xlpm.itemBuscado, B444,
    _xlpm.areaBuscada, C444,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TEXT(COUNTIF($C$2:C444, _xlpm.areaBuscada), "0000"),
    _xlpm.codItem &amp; "-" &amp; _xlpm.codArea &amp; "-" &amp; _xlpm.secuencia
)</f>
        <v>-SinArea-0000</v>
      </c>
      <c r="L444" s="77"/>
      <c r="M444" s="32"/>
      <c r="N444" s="32"/>
      <c r="O444" s="32"/>
      <c r="P444" s="32"/>
    </row>
    <row r="445" spans="3:16" x14ac:dyDescent="0.3">
      <c r="C445" s="11"/>
      <c r="D445" s="32"/>
      <c r="E445" s="11"/>
      <c r="G445" s="15"/>
      <c r="H445" s="47"/>
      <c r="I445" s="76"/>
      <c r="J445" s="76"/>
      <c r="K445" s="78" t="str">
        <f>_xlfn.LET(
    _xlpm.itemBuscado, B445,
    _xlpm.areaBuscada, C445,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TEXT(COUNTIF($C$2:C445, _xlpm.areaBuscada), "0000"),
    _xlpm.codItem &amp; "-" &amp; _xlpm.codArea &amp; "-" &amp; _xlpm.secuencia
)</f>
        <v>-SinArea-0000</v>
      </c>
      <c r="L445" s="77"/>
      <c r="M445" s="32"/>
      <c r="N445" s="32"/>
      <c r="O445" s="32"/>
      <c r="P445" s="32"/>
    </row>
    <row r="446" spans="3:16" x14ac:dyDescent="0.3">
      <c r="C446" s="11"/>
      <c r="D446" s="32"/>
      <c r="E446" s="11"/>
      <c r="G446" s="15"/>
      <c r="H446" s="47"/>
      <c r="I446" s="76"/>
      <c r="J446" s="76"/>
      <c r="K446" s="78" t="str">
        <f>_xlfn.LET(
    _xlpm.itemBuscado, B446,
    _xlpm.areaBuscada, C446,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TEXT(COUNTIF($C$2:C446, _xlpm.areaBuscada), "0000"),
    _xlpm.codItem &amp; "-" &amp; _xlpm.codArea &amp; "-" &amp; _xlpm.secuencia
)</f>
        <v>-SinArea-0000</v>
      </c>
      <c r="L446" s="77"/>
      <c r="M446" s="32"/>
      <c r="N446" s="32"/>
      <c r="O446" s="32"/>
      <c r="P446" s="32"/>
    </row>
    <row r="447" spans="3:16" x14ac:dyDescent="0.3">
      <c r="C447" s="11"/>
      <c r="D447" s="32"/>
      <c r="E447" s="11"/>
      <c r="G447" s="15"/>
      <c r="H447" s="47"/>
      <c r="I447" s="76"/>
      <c r="J447" s="76"/>
      <c r="K447" s="78" t="str">
        <f>_xlfn.LET(
    _xlpm.itemBuscado, B447,
    _xlpm.areaBuscada, C447,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TEXT(COUNTIF($C$2:C447, _xlpm.areaBuscada), "0000"),
    _xlpm.codItem &amp; "-" &amp; _xlpm.codArea &amp; "-" &amp; _xlpm.secuencia
)</f>
        <v>-SinArea-0000</v>
      </c>
      <c r="L447" s="77"/>
      <c r="M447" s="32"/>
      <c r="N447" s="32"/>
      <c r="O447" s="32"/>
      <c r="P447" s="32"/>
    </row>
    <row r="448" spans="3:16" x14ac:dyDescent="0.3">
      <c r="C448" s="11"/>
      <c r="D448" s="32"/>
      <c r="E448" s="11"/>
      <c r="G448" s="15"/>
      <c r="H448" s="47"/>
      <c r="I448" s="76"/>
      <c r="J448" s="76"/>
      <c r="K448" s="78" t="str">
        <f>_xlfn.LET(
    _xlpm.itemBuscado, B448,
    _xlpm.areaBuscada, C448,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TEXT(COUNTIF($C$2:C448, _xlpm.areaBuscada), "0000"),
    _xlpm.codItem &amp; "-" &amp; _xlpm.codArea &amp; "-" &amp; _xlpm.secuencia
)</f>
        <v>-SinArea-0000</v>
      </c>
      <c r="L448" s="77"/>
      <c r="M448" s="32"/>
      <c r="N448" s="32"/>
      <c r="O448" s="32"/>
      <c r="P448" s="32"/>
    </row>
    <row r="449" spans="3:16" x14ac:dyDescent="0.3">
      <c r="C449" s="11"/>
      <c r="D449" s="32"/>
      <c r="E449" s="11"/>
      <c r="G449" s="15"/>
      <c r="H449" s="47"/>
      <c r="I449" s="76"/>
      <c r="J449" s="76"/>
      <c r="K449" s="78" t="str">
        <f>_xlfn.LET(
    _xlpm.itemBuscado, B449,
    _xlpm.areaBuscada, C449,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TEXT(COUNTIF($C$2:C449, _xlpm.areaBuscada), "0000"),
    _xlpm.codItem &amp; "-" &amp; _xlpm.codArea &amp; "-" &amp; _xlpm.secuencia
)</f>
        <v>-SinArea-0000</v>
      </c>
      <c r="L449" s="77"/>
      <c r="M449" s="32"/>
      <c r="N449" s="32"/>
      <c r="O449" s="32"/>
      <c r="P449" s="32"/>
    </row>
    <row r="450" spans="3:16" x14ac:dyDescent="0.3">
      <c r="C450" s="11"/>
      <c r="D450" s="32"/>
      <c r="E450" s="11"/>
      <c r="G450" s="15"/>
      <c r="H450" s="47"/>
      <c r="I450" s="76"/>
      <c r="J450" s="76"/>
      <c r="K450" s="78" t="str">
        <f>_xlfn.LET(
    _xlpm.itemBuscado, B450,
    _xlpm.areaBuscada, C450,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TEXT(COUNTIF($C$2:C450, _xlpm.areaBuscada), "0000"),
    _xlpm.codItem &amp; "-" &amp; _xlpm.codArea &amp; "-" &amp; _xlpm.secuencia
)</f>
        <v>-SinArea-0000</v>
      </c>
      <c r="L450" s="77"/>
      <c r="M450" s="32"/>
      <c r="N450" s="32"/>
      <c r="O450" s="32"/>
      <c r="P450" s="32"/>
    </row>
    <row r="451" spans="3:16" x14ac:dyDescent="0.3">
      <c r="C451" s="11"/>
      <c r="D451" s="32"/>
      <c r="E451" s="11"/>
      <c r="G451" s="15"/>
      <c r="H451" s="47"/>
      <c r="I451" s="76"/>
      <c r="J451" s="76"/>
      <c r="K451" s="78" t="str">
        <f>_xlfn.LET(
    _xlpm.itemBuscado, B451,
    _xlpm.areaBuscada, C451,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TEXT(COUNTIF($C$2:C451, _xlpm.areaBuscada), "0000"),
    _xlpm.codItem &amp; "-" &amp; _xlpm.codArea &amp; "-" &amp; _xlpm.secuencia
)</f>
        <v>-SinArea-0000</v>
      </c>
      <c r="L451" s="77"/>
      <c r="M451" s="32"/>
      <c r="N451" s="32"/>
      <c r="O451" s="32"/>
      <c r="P451" s="32"/>
    </row>
    <row r="452" spans="3:16" x14ac:dyDescent="0.3">
      <c r="C452" s="11"/>
      <c r="D452" s="32"/>
      <c r="E452" s="11"/>
      <c r="G452" s="15"/>
      <c r="H452" s="47"/>
      <c r="I452" s="76"/>
      <c r="J452" s="76"/>
      <c r="K452" s="78" t="str">
        <f>_xlfn.LET(
    _xlpm.itemBuscado, B452,
    _xlpm.areaBuscada, C452,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TEXT(COUNTIF($C$2:C452, _xlpm.areaBuscada), "0000"),
    _xlpm.codItem &amp; "-" &amp; _xlpm.codArea &amp; "-" &amp; _xlpm.secuencia
)</f>
        <v>-SinArea-0000</v>
      </c>
      <c r="L452" s="77"/>
      <c r="M452" s="32"/>
      <c r="N452" s="32"/>
      <c r="O452" s="32"/>
      <c r="P452" s="32"/>
    </row>
    <row r="453" spans="3:16" x14ac:dyDescent="0.3">
      <c r="C453" s="11"/>
      <c r="D453" s="32"/>
      <c r="E453" s="11"/>
      <c r="G453" s="15"/>
      <c r="H453" s="47"/>
      <c r="I453" s="76"/>
      <c r="J453" s="76"/>
      <c r="K453" s="78" t="str">
        <f>_xlfn.LET(
    _xlpm.itemBuscado, B453,
    _xlpm.areaBuscada, C453,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TEXT(COUNTIF($C$2:C453, _xlpm.areaBuscada), "0000"),
    _xlpm.codItem &amp; "-" &amp; _xlpm.codArea &amp; "-" &amp; _xlpm.secuencia
)</f>
        <v>-SinArea-0000</v>
      </c>
      <c r="L453" s="77"/>
      <c r="M453" s="32"/>
      <c r="N453" s="32"/>
      <c r="O453" s="32"/>
      <c r="P453" s="32"/>
    </row>
    <row r="454" spans="3:16" x14ac:dyDescent="0.3">
      <c r="C454" s="11"/>
      <c r="D454" s="32"/>
      <c r="E454" s="11"/>
      <c r="G454" s="15"/>
      <c r="H454" s="47"/>
      <c r="I454" s="76"/>
      <c r="J454" s="76"/>
      <c r="K454" s="78" t="str">
        <f>_xlfn.LET(
    _xlpm.itemBuscado, B454,
    _xlpm.areaBuscada, C454,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TEXT(COUNTIF($C$2:C454, _xlpm.areaBuscada), "0000"),
    _xlpm.codItem &amp; "-" &amp; _xlpm.codArea &amp; "-" &amp; _xlpm.secuencia
)</f>
        <v>-SinArea-0000</v>
      </c>
      <c r="L454" s="77"/>
      <c r="M454" s="32"/>
      <c r="N454" s="32"/>
      <c r="O454" s="32"/>
      <c r="P454" s="32"/>
    </row>
    <row r="455" spans="3:16" x14ac:dyDescent="0.3">
      <c r="C455" s="11"/>
      <c r="D455" s="32"/>
      <c r="E455" s="11"/>
      <c r="G455" s="15"/>
      <c r="H455" s="47"/>
      <c r="I455" s="76"/>
      <c r="J455" s="76"/>
      <c r="K455" s="78" t="str">
        <f>_xlfn.LET(
    _xlpm.itemBuscado, B455,
    _xlpm.areaBuscada, C455,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TEXT(COUNTIF($C$2:C455, _xlpm.areaBuscada), "0000"),
    _xlpm.codItem &amp; "-" &amp; _xlpm.codArea &amp; "-" &amp; _xlpm.secuencia
)</f>
        <v>-SinArea-0000</v>
      </c>
      <c r="L455" s="77"/>
      <c r="M455" s="32"/>
      <c r="N455" s="32"/>
      <c r="O455" s="32"/>
      <c r="P455" s="32"/>
    </row>
    <row r="456" spans="3:16" x14ac:dyDescent="0.3">
      <c r="C456" s="11"/>
      <c r="D456" s="32"/>
      <c r="E456" s="11"/>
      <c r="G456" s="15"/>
      <c r="H456" s="47"/>
      <c r="I456" s="76"/>
      <c r="J456" s="76"/>
      <c r="K456" s="78" t="str">
        <f>_xlfn.LET(
    _xlpm.itemBuscado, B456,
    _xlpm.areaBuscada, C456,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TEXT(COUNTIF($C$2:C456, _xlpm.areaBuscada), "0000"),
    _xlpm.codItem &amp; "-" &amp; _xlpm.codArea &amp; "-" &amp; _xlpm.secuencia
)</f>
        <v>-SinArea-0000</v>
      </c>
      <c r="L456" s="77"/>
      <c r="M456" s="32"/>
      <c r="N456" s="32"/>
      <c r="O456" s="32"/>
      <c r="P456" s="32"/>
    </row>
    <row r="457" spans="3:16" x14ac:dyDescent="0.3">
      <c r="C457" s="11"/>
      <c r="D457" s="32"/>
      <c r="E457" s="11"/>
      <c r="G457" s="15"/>
      <c r="H457" s="47"/>
      <c r="I457" s="76"/>
      <c r="J457" s="76"/>
      <c r="K457" s="78" t="str">
        <f>_xlfn.LET(
    _xlpm.itemBuscado, B457,
    _xlpm.areaBuscada, C457,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TEXT(COUNTIF($C$2:C457, _xlpm.areaBuscada), "0000"),
    _xlpm.codItem &amp; "-" &amp; _xlpm.codArea &amp; "-" &amp; _xlpm.secuencia
)</f>
        <v>-SinArea-0000</v>
      </c>
      <c r="L457" s="77"/>
      <c r="M457" s="32"/>
      <c r="N457" s="32"/>
      <c r="O457" s="32"/>
      <c r="P457" s="32"/>
    </row>
    <row r="458" spans="3:16" x14ac:dyDescent="0.3">
      <c r="C458" s="11"/>
      <c r="D458" s="32"/>
      <c r="E458" s="11"/>
      <c r="G458" s="15"/>
      <c r="H458" s="47"/>
      <c r="I458" s="76"/>
      <c r="J458" s="76"/>
      <c r="K458" s="78" t="str">
        <f>_xlfn.LET(
    _xlpm.itemBuscado, B458,
    _xlpm.areaBuscada, C458,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TEXT(COUNTIF($C$2:C458, _xlpm.areaBuscada), "0000"),
    _xlpm.codItem &amp; "-" &amp; _xlpm.codArea &amp; "-" &amp; _xlpm.secuencia
)</f>
        <v>-SinArea-0000</v>
      </c>
      <c r="L458" s="77"/>
      <c r="M458" s="32"/>
      <c r="N458" s="32"/>
      <c r="O458" s="32"/>
      <c r="P458" s="32"/>
    </row>
    <row r="459" spans="3:16" x14ac:dyDescent="0.3">
      <c r="C459" s="11"/>
      <c r="D459" s="32"/>
      <c r="E459" s="11"/>
      <c r="G459" s="15"/>
      <c r="H459" s="47"/>
      <c r="I459" s="76"/>
      <c r="J459" s="76"/>
      <c r="K459" s="78" t="str">
        <f>_xlfn.LET(
    _xlpm.itemBuscado, B459,
    _xlpm.areaBuscada, C459,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TEXT(COUNTIF($C$2:C459, _xlpm.areaBuscada), "0000"),
    _xlpm.codItem &amp; "-" &amp; _xlpm.codArea &amp; "-" &amp; _xlpm.secuencia
)</f>
        <v>-SinArea-0000</v>
      </c>
      <c r="L459" s="77"/>
      <c r="M459" s="32"/>
      <c r="N459" s="32"/>
      <c r="O459" s="32"/>
      <c r="P459" s="32"/>
    </row>
    <row r="460" spans="3:16" x14ac:dyDescent="0.3">
      <c r="C460" s="11"/>
      <c r="D460" s="32"/>
      <c r="E460" s="11"/>
      <c r="G460" s="15"/>
      <c r="H460" s="47"/>
      <c r="I460" s="76"/>
      <c r="J460" s="76"/>
      <c r="K460" s="78" t="str">
        <f>_xlfn.LET(
    _xlpm.itemBuscado, B460,
    _xlpm.areaBuscada, C460,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TEXT(COUNTIF($C$2:C460, _xlpm.areaBuscada), "0000"),
    _xlpm.codItem &amp; "-" &amp; _xlpm.codArea &amp; "-" &amp; _xlpm.secuencia
)</f>
        <v>-SinArea-0000</v>
      </c>
      <c r="L460" s="77"/>
      <c r="M460" s="32"/>
      <c r="N460" s="32"/>
      <c r="O460" s="32"/>
      <c r="P460" s="32"/>
    </row>
    <row r="461" spans="3:16" x14ac:dyDescent="0.3">
      <c r="C461" s="11"/>
      <c r="D461" s="32"/>
      <c r="E461" s="11"/>
      <c r="G461" s="15"/>
      <c r="H461" s="47"/>
      <c r="I461" s="76"/>
      <c r="J461" s="76"/>
      <c r="K461" s="78" t="str">
        <f>_xlfn.LET(
    _xlpm.itemBuscado, B461,
    _xlpm.areaBuscada, C461,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TEXT(COUNTIF($C$2:C461, _xlpm.areaBuscada), "0000"),
    _xlpm.codItem &amp; "-" &amp; _xlpm.codArea &amp; "-" &amp; _xlpm.secuencia
)</f>
        <v>-SinArea-0000</v>
      </c>
      <c r="L461" s="77"/>
      <c r="M461" s="32"/>
      <c r="N461" s="32"/>
      <c r="O461" s="32"/>
      <c r="P461" s="32"/>
    </row>
    <row r="462" spans="3:16" x14ac:dyDescent="0.3">
      <c r="C462" s="11"/>
      <c r="D462" s="32"/>
      <c r="E462" s="11"/>
      <c r="G462" s="15"/>
      <c r="H462" s="47"/>
      <c r="I462" s="76"/>
      <c r="J462" s="76"/>
      <c r="K462" s="78" t="str">
        <f>_xlfn.LET(
    _xlpm.itemBuscado, B462,
    _xlpm.areaBuscada, C462,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TEXT(COUNTIF($C$2:C462, _xlpm.areaBuscada), "0000"),
    _xlpm.codItem &amp; "-" &amp; _xlpm.codArea &amp; "-" &amp; _xlpm.secuencia
)</f>
        <v>-SinArea-0000</v>
      </c>
      <c r="L462" s="77"/>
      <c r="M462" s="32"/>
      <c r="N462" s="32"/>
      <c r="O462" s="32"/>
      <c r="P462" s="32"/>
    </row>
    <row r="463" spans="3:16" x14ac:dyDescent="0.3">
      <c r="C463" s="11"/>
      <c r="D463" s="32"/>
      <c r="E463" s="11"/>
      <c r="G463" s="15"/>
      <c r="H463" s="47"/>
      <c r="I463" s="76"/>
      <c r="J463" s="76"/>
      <c r="K463" s="78" t="str">
        <f>_xlfn.LET(
    _xlpm.itemBuscado, B463,
    _xlpm.areaBuscada, C463,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TEXT(COUNTIF($C$2:C463, _xlpm.areaBuscada), "0000"),
    _xlpm.codItem &amp; "-" &amp; _xlpm.codArea &amp; "-" &amp; _xlpm.secuencia
)</f>
        <v>-SinArea-0000</v>
      </c>
      <c r="L463" s="77"/>
      <c r="M463" s="32"/>
      <c r="N463" s="32"/>
      <c r="O463" s="32"/>
      <c r="P463" s="32"/>
    </row>
    <row r="464" spans="3:16" x14ac:dyDescent="0.3">
      <c r="C464" s="11"/>
      <c r="D464" s="32"/>
      <c r="E464" s="11"/>
      <c r="G464" s="15"/>
      <c r="H464" s="47"/>
      <c r="I464" s="76"/>
      <c r="J464" s="76"/>
      <c r="K464" s="78" t="str">
        <f>_xlfn.LET(
    _xlpm.itemBuscado, B464,
    _xlpm.areaBuscada, C464,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TEXT(COUNTIF($C$2:C464, _xlpm.areaBuscada), "0000"),
    _xlpm.codItem &amp; "-" &amp; _xlpm.codArea &amp; "-" &amp; _xlpm.secuencia
)</f>
        <v>-SinArea-0000</v>
      </c>
      <c r="L464" s="77"/>
      <c r="M464" s="32"/>
      <c r="N464" s="32"/>
      <c r="O464" s="32"/>
      <c r="P464" s="32"/>
    </row>
    <row r="465" spans="3:16" x14ac:dyDescent="0.3">
      <c r="C465" s="11"/>
      <c r="D465" s="32"/>
      <c r="E465" s="11"/>
      <c r="G465" s="15"/>
      <c r="H465" s="47"/>
      <c r="I465" s="76"/>
      <c r="J465" s="76"/>
      <c r="K465" s="78" t="str">
        <f>_xlfn.LET(
    _xlpm.itemBuscado, B465,
    _xlpm.areaBuscada, C465,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TEXT(COUNTIF($C$2:C465, _xlpm.areaBuscada), "0000"),
    _xlpm.codItem &amp; "-" &amp; _xlpm.codArea &amp; "-" &amp; _xlpm.secuencia
)</f>
        <v>-SinArea-0000</v>
      </c>
      <c r="L465" s="77"/>
      <c r="M465" s="32"/>
      <c r="N465" s="32"/>
      <c r="O465" s="32"/>
      <c r="P465" s="32"/>
    </row>
    <row r="466" spans="3:16" x14ac:dyDescent="0.3">
      <c r="C466" s="11"/>
      <c r="D466" s="32"/>
      <c r="E466" s="11"/>
      <c r="G466" s="15"/>
      <c r="H466" s="47"/>
      <c r="I466" s="76"/>
      <c r="J466" s="76"/>
      <c r="K466" s="78" t="str">
        <f>_xlfn.LET(
    _xlpm.itemBuscado, B466,
    _xlpm.areaBuscada, C466,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TEXT(COUNTIF($C$2:C466, _xlpm.areaBuscada), "0000"),
    _xlpm.codItem &amp; "-" &amp; _xlpm.codArea &amp; "-" &amp; _xlpm.secuencia
)</f>
        <v>-SinArea-0000</v>
      </c>
      <c r="L466" s="77"/>
      <c r="M466" s="32"/>
      <c r="N466" s="32"/>
      <c r="O466" s="32"/>
      <c r="P466" s="32"/>
    </row>
    <row r="467" spans="3:16" x14ac:dyDescent="0.3">
      <c r="C467" s="11"/>
      <c r="D467" s="32"/>
      <c r="E467" s="11"/>
      <c r="G467" s="15"/>
      <c r="H467" s="47"/>
      <c r="I467" s="76"/>
      <c r="J467" s="76"/>
      <c r="K467" s="78" t="str">
        <f>_xlfn.LET(
    _xlpm.itemBuscado, B467,
    _xlpm.areaBuscada, C467,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TEXT(COUNTIF($C$2:C467, _xlpm.areaBuscada), "0000"),
    _xlpm.codItem &amp; "-" &amp; _xlpm.codArea &amp; "-" &amp; _xlpm.secuencia
)</f>
        <v>-SinArea-0000</v>
      </c>
      <c r="L467" s="77"/>
      <c r="M467" s="32"/>
      <c r="N467" s="32"/>
      <c r="O467" s="32"/>
      <c r="P467" s="32"/>
    </row>
    <row r="468" spans="3:16" x14ac:dyDescent="0.3">
      <c r="C468" s="11"/>
      <c r="D468" s="32"/>
      <c r="E468" s="11"/>
      <c r="G468" s="15"/>
      <c r="H468" s="47"/>
      <c r="I468" s="76"/>
      <c r="J468" s="76"/>
      <c r="K468" s="78" t="str">
        <f>_xlfn.LET(
    _xlpm.itemBuscado, B468,
    _xlpm.areaBuscada, C468,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TEXT(COUNTIF($C$2:C468, _xlpm.areaBuscada), "0000"),
    _xlpm.codItem &amp; "-" &amp; _xlpm.codArea &amp; "-" &amp; _xlpm.secuencia
)</f>
        <v>-SinArea-0000</v>
      </c>
      <c r="L468" s="77"/>
      <c r="M468" s="32"/>
      <c r="N468" s="32"/>
      <c r="O468" s="32"/>
      <c r="P468" s="32"/>
    </row>
    <row r="469" spans="3:16" x14ac:dyDescent="0.3">
      <c r="C469" s="11"/>
      <c r="D469" s="32"/>
      <c r="E469" s="11"/>
      <c r="G469" s="15"/>
      <c r="H469" s="47"/>
      <c r="I469" s="76"/>
      <c r="J469" s="76"/>
      <c r="K469" s="78" t="str">
        <f>_xlfn.LET(
    _xlpm.itemBuscado, B469,
    _xlpm.areaBuscada, C469,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TEXT(COUNTIF($C$2:C469, _xlpm.areaBuscada), "0000"),
    _xlpm.codItem &amp; "-" &amp; _xlpm.codArea &amp; "-" &amp; _xlpm.secuencia
)</f>
        <v>-SinArea-0000</v>
      </c>
      <c r="L469" s="77"/>
      <c r="M469" s="32"/>
      <c r="N469" s="32"/>
      <c r="O469" s="32"/>
      <c r="P469" s="32"/>
    </row>
    <row r="470" spans="3:16" x14ac:dyDescent="0.3">
      <c r="C470" s="11"/>
      <c r="D470" s="32"/>
      <c r="E470" s="11"/>
      <c r="G470" s="15"/>
      <c r="H470" s="47"/>
      <c r="I470" s="76"/>
      <c r="J470" s="76"/>
      <c r="K470" s="78" t="str">
        <f>_xlfn.LET(
    _xlpm.itemBuscado, B470,
    _xlpm.areaBuscada, C470,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TEXT(COUNTIF($C$2:C470, _xlpm.areaBuscada), "0000"),
    _xlpm.codItem &amp; "-" &amp; _xlpm.codArea &amp; "-" &amp; _xlpm.secuencia
)</f>
        <v>-SinArea-0000</v>
      </c>
      <c r="L470" s="77"/>
      <c r="M470" s="32"/>
      <c r="N470" s="32"/>
      <c r="O470" s="32"/>
      <c r="P470" s="32"/>
    </row>
    <row r="471" spans="3:16" x14ac:dyDescent="0.3">
      <c r="C471" s="11"/>
      <c r="D471" s="32"/>
      <c r="E471" s="11"/>
      <c r="G471" s="15"/>
      <c r="H471" s="47"/>
      <c r="I471" s="76"/>
      <c r="J471" s="76"/>
      <c r="K471" s="78" t="str">
        <f>_xlfn.LET(
    _xlpm.itemBuscado, B471,
    _xlpm.areaBuscada, C471,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TEXT(COUNTIF($C$2:C471, _xlpm.areaBuscada), "0000"),
    _xlpm.codItem &amp; "-" &amp; _xlpm.codArea &amp; "-" &amp; _xlpm.secuencia
)</f>
        <v>-SinArea-0000</v>
      </c>
      <c r="L471" s="77"/>
      <c r="M471" s="32"/>
      <c r="N471" s="32"/>
      <c r="O471" s="32"/>
      <c r="P471" s="32"/>
    </row>
    <row r="472" spans="3:16" x14ac:dyDescent="0.3">
      <c r="C472" s="11"/>
      <c r="D472" s="32"/>
      <c r="E472" s="11"/>
      <c r="G472" s="15"/>
      <c r="H472" s="47"/>
      <c r="I472" s="76"/>
      <c r="J472" s="76"/>
      <c r="K472" s="78" t="str">
        <f>_xlfn.LET(
    _xlpm.itemBuscado, B472,
    _xlpm.areaBuscada, C472,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TEXT(COUNTIF($C$2:C472, _xlpm.areaBuscada), "0000"),
    _xlpm.codItem &amp; "-" &amp; _xlpm.codArea &amp; "-" &amp; _xlpm.secuencia
)</f>
        <v>-SinArea-0000</v>
      </c>
      <c r="L472" s="77"/>
      <c r="M472" s="32"/>
      <c r="N472" s="32"/>
      <c r="O472" s="32"/>
      <c r="P472" s="32"/>
    </row>
    <row r="473" spans="3:16" x14ac:dyDescent="0.3">
      <c r="C473" s="11"/>
      <c r="D473" s="32"/>
      <c r="E473" s="11"/>
      <c r="G473" s="15"/>
      <c r="H473" s="47"/>
      <c r="I473" s="76"/>
      <c r="J473" s="76"/>
      <c r="K473" s="78" t="str">
        <f>_xlfn.LET(
    _xlpm.itemBuscado, B473,
    _xlpm.areaBuscada, C473,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TEXT(COUNTIF($C$2:C473, _xlpm.areaBuscada), "0000"),
    _xlpm.codItem &amp; "-" &amp; _xlpm.codArea &amp; "-" &amp; _xlpm.secuencia
)</f>
        <v>-SinArea-0000</v>
      </c>
      <c r="L473" s="77"/>
      <c r="M473" s="32"/>
      <c r="N473" s="32"/>
      <c r="O473" s="32"/>
      <c r="P473" s="32"/>
    </row>
    <row r="474" spans="3:16" x14ac:dyDescent="0.3">
      <c r="C474" s="11"/>
      <c r="D474" s="32"/>
      <c r="E474" s="11"/>
      <c r="G474" s="15"/>
      <c r="H474" s="47"/>
      <c r="I474" s="76"/>
      <c r="J474" s="76"/>
      <c r="K474" s="78" t="str">
        <f>_xlfn.LET(
    _xlpm.itemBuscado, B474,
    _xlpm.areaBuscada, C474,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TEXT(COUNTIF($C$2:C474, _xlpm.areaBuscada), "0000"),
    _xlpm.codItem &amp; "-" &amp; _xlpm.codArea &amp; "-" &amp; _xlpm.secuencia
)</f>
        <v>-SinArea-0000</v>
      </c>
      <c r="L474" s="77"/>
      <c r="M474" s="32"/>
      <c r="N474" s="32"/>
      <c r="O474" s="32"/>
      <c r="P474" s="32"/>
    </row>
    <row r="475" spans="3:16" x14ac:dyDescent="0.3">
      <c r="C475" s="11"/>
      <c r="D475" s="32"/>
      <c r="E475" s="11"/>
      <c r="G475" s="15"/>
      <c r="H475" s="47"/>
      <c r="I475" s="76"/>
      <c r="J475" s="76"/>
      <c r="K475" s="78" t="str">
        <f>_xlfn.LET(
    _xlpm.itemBuscado, B475,
    _xlpm.areaBuscada, C475,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TEXT(COUNTIF($C$2:C475, _xlpm.areaBuscada), "0000"),
    _xlpm.codItem &amp; "-" &amp; _xlpm.codArea &amp; "-" &amp; _xlpm.secuencia
)</f>
        <v>-SinArea-0000</v>
      </c>
      <c r="L475" s="77"/>
      <c r="M475" s="32"/>
      <c r="N475" s="32"/>
      <c r="O475" s="32"/>
      <c r="P475" s="32"/>
    </row>
    <row r="476" spans="3:16" x14ac:dyDescent="0.3">
      <c r="C476" s="11"/>
      <c r="D476" s="32"/>
      <c r="E476" s="11"/>
      <c r="G476" s="15"/>
      <c r="H476" s="47"/>
      <c r="I476" s="76"/>
      <c r="J476" s="76"/>
      <c r="K476" s="78" t="str">
        <f>_xlfn.LET(
    _xlpm.itemBuscado, B476,
    _xlpm.areaBuscada, C476,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TEXT(COUNTIF($C$2:C476, _xlpm.areaBuscada), "0000"),
    _xlpm.codItem &amp; "-" &amp; _xlpm.codArea &amp; "-" &amp; _xlpm.secuencia
)</f>
        <v>-SinArea-0000</v>
      </c>
      <c r="L476" s="77"/>
      <c r="M476" s="32"/>
      <c r="N476" s="32"/>
      <c r="O476" s="32"/>
      <c r="P476" s="32"/>
    </row>
    <row r="477" spans="3:16" x14ac:dyDescent="0.3">
      <c r="C477" s="11"/>
      <c r="D477" s="32"/>
      <c r="E477" s="11"/>
      <c r="G477" s="15"/>
      <c r="H477" s="47"/>
      <c r="I477" s="76"/>
      <c r="J477" s="76"/>
      <c r="K477" s="78" t="str">
        <f>_xlfn.LET(
    _xlpm.itemBuscado, B477,
    _xlpm.areaBuscada, C477,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TEXT(COUNTIF($C$2:C477, _xlpm.areaBuscada), "0000"),
    _xlpm.codItem &amp; "-" &amp; _xlpm.codArea &amp; "-" &amp; _xlpm.secuencia
)</f>
        <v>-SinArea-0000</v>
      </c>
      <c r="L477" s="77"/>
      <c r="M477" s="32"/>
      <c r="N477" s="32"/>
      <c r="O477" s="32"/>
      <c r="P477" s="32"/>
    </row>
    <row r="478" spans="3:16" x14ac:dyDescent="0.3">
      <c r="C478" s="11"/>
      <c r="D478" s="32"/>
      <c r="E478" s="11"/>
      <c r="G478" s="15"/>
      <c r="H478" s="47"/>
      <c r="I478" s="76"/>
      <c r="J478" s="76"/>
      <c r="K478" s="78" t="str">
        <f>_xlfn.LET(
    _xlpm.itemBuscado, B478,
    _xlpm.areaBuscada, C478,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TEXT(COUNTIF($C$2:C478, _xlpm.areaBuscada), "0000"),
    _xlpm.codItem &amp; "-" &amp; _xlpm.codArea &amp; "-" &amp; _xlpm.secuencia
)</f>
        <v>-SinArea-0000</v>
      </c>
      <c r="L478" s="77"/>
      <c r="M478" s="32"/>
      <c r="N478" s="32"/>
      <c r="O478" s="32"/>
      <c r="P478" s="32"/>
    </row>
    <row r="479" spans="3:16" x14ac:dyDescent="0.3">
      <c r="C479" s="11"/>
      <c r="D479" s="32"/>
      <c r="E479" s="11"/>
      <c r="G479" s="15"/>
      <c r="H479" s="47"/>
      <c r="I479" s="76"/>
      <c r="J479" s="76"/>
      <c r="K479" s="78" t="str">
        <f>_xlfn.LET(
    _xlpm.itemBuscado, B479,
    _xlpm.areaBuscada, C479,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TEXT(COUNTIF($C$2:C479, _xlpm.areaBuscada), "0000"),
    _xlpm.codItem &amp; "-" &amp; _xlpm.codArea &amp; "-" &amp; _xlpm.secuencia
)</f>
        <v>-SinArea-0000</v>
      </c>
      <c r="L479" s="77"/>
      <c r="M479" s="32"/>
      <c r="N479" s="32"/>
      <c r="O479" s="32"/>
      <c r="P479" s="32"/>
    </row>
    <row r="480" spans="3:16" x14ac:dyDescent="0.3">
      <c r="C480" s="11"/>
      <c r="D480" s="32"/>
      <c r="E480" s="11"/>
      <c r="G480" s="15"/>
      <c r="H480" s="47"/>
      <c r="I480" s="76"/>
      <c r="J480" s="76"/>
      <c r="K480" s="78" t="str">
        <f>_xlfn.LET(
    _xlpm.itemBuscado, B480,
    _xlpm.areaBuscada, C480,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TEXT(COUNTIF($C$2:C480, _xlpm.areaBuscada), "0000"),
    _xlpm.codItem &amp; "-" &amp; _xlpm.codArea &amp; "-" &amp; _xlpm.secuencia
)</f>
        <v>-SinArea-0000</v>
      </c>
      <c r="L480" s="77"/>
      <c r="M480" s="32"/>
      <c r="N480" s="32"/>
      <c r="O480" s="32"/>
      <c r="P480" s="32"/>
    </row>
    <row r="481" spans="3:16" x14ac:dyDescent="0.3">
      <c r="C481" s="11"/>
      <c r="D481" s="32"/>
      <c r="E481" s="11"/>
      <c r="G481" s="15"/>
      <c r="H481" s="47"/>
      <c r="I481" s="76"/>
      <c r="J481" s="76"/>
      <c r="K481" s="78" t="str">
        <f>_xlfn.LET(
    _xlpm.itemBuscado, B481,
    _xlpm.areaBuscada, C481,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TEXT(COUNTIF($C$2:C481, _xlpm.areaBuscada), "0000"),
    _xlpm.codItem &amp; "-" &amp; _xlpm.codArea &amp; "-" &amp; _xlpm.secuencia
)</f>
        <v>-SinArea-0000</v>
      </c>
      <c r="L481" s="77"/>
      <c r="M481" s="32"/>
      <c r="N481" s="32"/>
      <c r="O481" s="32"/>
      <c r="P481" s="32"/>
    </row>
    <row r="482" spans="3:16" x14ac:dyDescent="0.3">
      <c r="C482" s="11"/>
      <c r="D482" s="32"/>
      <c r="E482" s="11"/>
      <c r="G482" s="15"/>
      <c r="H482" s="47"/>
      <c r="I482" s="76"/>
      <c r="J482" s="76"/>
      <c r="K482" s="78" t="str">
        <f>_xlfn.LET(
    _xlpm.itemBuscado, B482,
    _xlpm.areaBuscada, C482,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TEXT(COUNTIF($C$2:C482, _xlpm.areaBuscada), "0000"),
    _xlpm.codItem &amp; "-" &amp; _xlpm.codArea &amp; "-" &amp; _xlpm.secuencia
)</f>
        <v>-SinArea-0000</v>
      </c>
      <c r="L482" s="77"/>
      <c r="M482" s="32"/>
      <c r="N482" s="32"/>
      <c r="O482" s="32"/>
      <c r="P482" s="32"/>
    </row>
    <row r="483" spans="3:16" x14ac:dyDescent="0.3">
      <c r="C483" s="11"/>
      <c r="D483" s="32"/>
      <c r="E483" s="11"/>
      <c r="G483" s="15"/>
      <c r="H483" s="47"/>
      <c r="I483" s="76"/>
      <c r="J483" s="76"/>
      <c r="K483" s="78" t="str">
        <f>_xlfn.LET(
    _xlpm.itemBuscado, B483,
    _xlpm.areaBuscada, C483,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TEXT(COUNTIF($C$2:C483, _xlpm.areaBuscada), "0000"),
    _xlpm.codItem &amp; "-" &amp; _xlpm.codArea &amp; "-" &amp; _xlpm.secuencia
)</f>
        <v>-SinArea-0000</v>
      </c>
      <c r="L483" s="77"/>
      <c r="M483" s="32"/>
      <c r="N483" s="32"/>
      <c r="O483" s="32"/>
      <c r="P483" s="32"/>
    </row>
    <row r="484" spans="3:16" x14ac:dyDescent="0.3">
      <c r="C484" s="11"/>
      <c r="D484" s="32"/>
      <c r="E484" s="11"/>
      <c r="G484" s="15"/>
      <c r="H484" s="47"/>
      <c r="I484" s="76"/>
      <c r="J484" s="76"/>
      <c r="K484" s="78" t="str">
        <f>_xlfn.LET(
    _xlpm.itemBuscado, B484,
    _xlpm.areaBuscada, C484,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TEXT(COUNTIF($C$2:C484, _xlpm.areaBuscada), "0000"),
    _xlpm.codItem &amp; "-" &amp; _xlpm.codArea &amp; "-" &amp; _xlpm.secuencia
)</f>
        <v>-SinArea-0000</v>
      </c>
      <c r="L484" s="77"/>
      <c r="M484" s="32"/>
      <c r="N484" s="32"/>
      <c r="O484" s="32"/>
      <c r="P484" s="32"/>
    </row>
    <row r="485" spans="3:16" x14ac:dyDescent="0.3">
      <c r="C485" s="11"/>
      <c r="D485" s="32"/>
      <c r="E485" s="11"/>
      <c r="G485" s="15"/>
      <c r="H485" s="47"/>
      <c r="I485" s="76"/>
      <c r="J485" s="76"/>
      <c r="K485" s="78" t="str">
        <f>_xlfn.LET(
    _xlpm.itemBuscado, B485,
    _xlpm.areaBuscada, C485,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TEXT(COUNTIF($C$2:C485, _xlpm.areaBuscada), "0000"),
    _xlpm.codItem &amp; "-" &amp; _xlpm.codArea &amp; "-" &amp; _xlpm.secuencia
)</f>
        <v>-SinArea-0000</v>
      </c>
      <c r="L485" s="77"/>
      <c r="M485" s="32"/>
      <c r="N485" s="32"/>
      <c r="O485" s="32"/>
      <c r="P485" s="32"/>
    </row>
    <row r="486" spans="3:16" x14ac:dyDescent="0.3">
      <c r="C486" s="11"/>
      <c r="D486" s="32"/>
      <c r="E486" s="11"/>
      <c r="G486" s="15"/>
      <c r="H486" s="47"/>
      <c r="I486" s="76"/>
      <c r="J486" s="76"/>
      <c r="K486" s="78" t="str">
        <f>_xlfn.LET(
    _xlpm.itemBuscado, B486,
    _xlpm.areaBuscada, C486,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TEXT(COUNTIF($C$2:C486, _xlpm.areaBuscada), "0000"),
    _xlpm.codItem &amp; "-" &amp; _xlpm.codArea &amp; "-" &amp; _xlpm.secuencia
)</f>
        <v>-SinArea-0000</v>
      </c>
      <c r="L486" s="77"/>
      <c r="M486" s="32"/>
      <c r="N486" s="32"/>
      <c r="O486" s="32"/>
      <c r="P486" s="32"/>
    </row>
    <row r="487" spans="3:16" x14ac:dyDescent="0.3">
      <c r="C487" s="11"/>
      <c r="D487" s="32"/>
      <c r="E487" s="11"/>
      <c r="G487" s="15"/>
      <c r="H487" s="47"/>
      <c r="I487" s="76"/>
      <c r="J487" s="76"/>
      <c r="K487" s="78" t="str">
        <f>_xlfn.LET(
    _xlpm.itemBuscado, B487,
    _xlpm.areaBuscada, C487,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TEXT(COUNTIF($C$2:C487, _xlpm.areaBuscada), "0000"),
    _xlpm.codItem &amp; "-" &amp; _xlpm.codArea &amp; "-" &amp; _xlpm.secuencia
)</f>
        <v>-SinArea-0000</v>
      </c>
      <c r="L487" s="77"/>
      <c r="M487" s="32"/>
      <c r="N487" s="32"/>
      <c r="O487" s="32"/>
      <c r="P487" s="32"/>
    </row>
    <row r="488" spans="3:16" x14ac:dyDescent="0.3">
      <c r="C488" s="11"/>
      <c r="D488" s="32"/>
      <c r="E488" s="11"/>
      <c r="G488" s="15"/>
      <c r="H488" s="47"/>
      <c r="I488" s="76"/>
      <c r="J488" s="76"/>
      <c r="K488" s="78" t="str">
        <f>_xlfn.LET(
    _xlpm.itemBuscado, B488,
    _xlpm.areaBuscada, C488,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TEXT(COUNTIF($C$2:C488, _xlpm.areaBuscada), "0000"),
    _xlpm.codItem &amp; "-" &amp; _xlpm.codArea &amp; "-" &amp; _xlpm.secuencia
)</f>
        <v>-SinArea-0000</v>
      </c>
      <c r="L488" s="77"/>
      <c r="M488" s="32"/>
      <c r="N488" s="32"/>
      <c r="O488" s="32"/>
      <c r="P488" s="32"/>
    </row>
    <row r="489" spans="3:16" x14ac:dyDescent="0.3">
      <c r="C489" s="11"/>
      <c r="D489" s="32"/>
      <c r="E489" s="11"/>
      <c r="G489" s="15"/>
      <c r="H489" s="47"/>
      <c r="I489" s="76"/>
      <c r="J489" s="76"/>
      <c r="K489" s="78" t="str">
        <f>_xlfn.LET(
    _xlpm.itemBuscado, B489,
    _xlpm.areaBuscada, C489,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TEXT(COUNTIF($C$2:C489, _xlpm.areaBuscada), "0000"),
    _xlpm.codItem &amp; "-" &amp; _xlpm.codArea &amp; "-" &amp; _xlpm.secuencia
)</f>
        <v>-SinArea-0000</v>
      </c>
      <c r="L489" s="77"/>
      <c r="M489" s="32"/>
      <c r="N489" s="32"/>
      <c r="O489" s="32"/>
      <c r="P489" s="32"/>
    </row>
    <row r="490" spans="3:16" x14ac:dyDescent="0.3">
      <c r="C490" s="11"/>
      <c r="D490" s="32"/>
      <c r="E490" s="11"/>
      <c r="G490" s="15"/>
      <c r="H490" s="47"/>
      <c r="I490" s="76"/>
      <c r="J490" s="76"/>
      <c r="K490" s="78" t="str">
        <f>_xlfn.LET(
    _xlpm.itemBuscado, B490,
    _xlpm.areaBuscada, C490,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TEXT(COUNTIF($C$2:C490, _xlpm.areaBuscada), "0000"),
    _xlpm.codItem &amp; "-" &amp; _xlpm.codArea &amp; "-" &amp; _xlpm.secuencia
)</f>
        <v>-SinArea-0000</v>
      </c>
      <c r="L490" s="77"/>
      <c r="M490" s="32"/>
      <c r="N490" s="32"/>
      <c r="O490" s="32"/>
      <c r="P490" s="32"/>
    </row>
    <row r="491" spans="3:16" x14ac:dyDescent="0.3">
      <c r="C491" s="11"/>
      <c r="D491" s="32"/>
      <c r="E491" s="11"/>
      <c r="G491" s="15"/>
      <c r="H491" s="47"/>
      <c r="I491" s="76"/>
      <c r="J491" s="76"/>
      <c r="K491" s="78" t="str">
        <f>_xlfn.LET(
    _xlpm.itemBuscado, B491,
    _xlpm.areaBuscada, C491,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TEXT(COUNTIF($C$2:C491, _xlpm.areaBuscada), "0000"),
    _xlpm.codItem &amp; "-" &amp; _xlpm.codArea &amp; "-" &amp; _xlpm.secuencia
)</f>
        <v>-SinArea-0000</v>
      </c>
      <c r="L491" s="77"/>
      <c r="M491" s="32"/>
      <c r="N491" s="32"/>
      <c r="O491" s="32"/>
      <c r="P491" s="32"/>
    </row>
    <row r="492" spans="3:16" x14ac:dyDescent="0.3">
      <c r="C492" s="11"/>
      <c r="D492" s="32"/>
      <c r="E492" s="11"/>
      <c r="G492" s="15"/>
      <c r="H492" s="47"/>
      <c r="I492" s="76"/>
      <c r="J492" s="76"/>
      <c r="K492" s="78" t="str">
        <f>_xlfn.LET(
    _xlpm.itemBuscado, B492,
    _xlpm.areaBuscada, C492,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TEXT(COUNTIF($C$2:C492, _xlpm.areaBuscada), "0000"),
    _xlpm.codItem &amp; "-" &amp; _xlpm.codArea &amp; "-" &amp; _xlpm.secuencia
)</f>
        <v>-SinArea-0000</v>
      </c>
      <c r="L492" s="77"/>
      <c r="M492" s="32"/>
      <c r="N492" s="32"/>
      <c r="O492" s="32"/>
      <c r="P492" s="32"/>
    </row>
    <row r="493" spans="3:16" x14ac:dyDescent="0.3">
      <c r="C493" s="11"/>
      <c r="D493" s="32"/>
      <c r="E493" s="11"/>
      <c r="G493" s="15"/>
      <c r="H493" s="47"/>
      <c r="I493" s="76"/>
      <c r="J493" s="76"/>
      <c r="K493" s="78" t="str">
        <f>_xlfn.LET(
    _xlpm.itemBuscado, B493,
    _xlpm.areaBuscada, C493,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TEXT(COUNTIF($C$2:C493, _xlpm.areaBuscada), "0000"),
    _xlpm.codItem &amp; "-" &amp; _xlpm.codArea &amp; "-" &amp; _xlpm.secuencia
)</f>
        <v>-SinArea-0000</v>
      </c>
      <c r="L493" s="77"/>
      <c r="M493" s="32"/>
      <c r="N493" s="32"/>
      <c r="O493" s="32"/>
      <c r="P493" s="32"/>
    </row>
    <row r="494" spans="3:16" x14ac:dyDescent="0.3">
      <c r="C494" s="11"/>
      <c r="D494" s="32"/>
      <c r="E494" s="11"/>
      <c r="G494" s="15"/>
      <c r="H494" s="47"/>
      <c r="I494" s="76"/>
      <c r="J494" s="76"/>
      <c r="K494" s="78" t="str">
        <f>_xlfn.LET(
    _xlpm.itemBuscado, B494,
    _xlpm.areaBuscada, C494,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TEXT(COUNTIF($C$2:C494, _xlpm.areaBuscada), "0000"),
    _xlpm.codItem &amp; "-" &amp; _xlpm.codArea &amp; "-" &amp; _xlpm.secuencia
)</f>
        <v>-SinArea-0000</v>
      </c>
      <c r="L494" s="77"/>
      <c r="M494" s="32"/>
      <c r="N494" s="32"/>
      <c r="O494" s="32"/>
      <c r="P494" s="32"/>
    </row>
    <row r="495" spans="3:16" x14ac:dyDescent="0.3">
      <c r="C495" s="11"/>
      <c r="D495" s="32"/>
      <c r="E495" s="11"/>
      <c r="G495" s="15"/>
      <c r="H495" s="47"/>
      <c r="I495" s="76"/>
      <c r="J495" s="76"/>
      <c r="K495" s="78" t="str">
        <f>_xlfn.LET(
    _xlpm.itemBuscado, B495,
    _xlpm.areaBuscada, C495,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TEXT(COUNTIF($C$2:C495, _xlpm.areaBuscada), "0000"),
    _xlpm.codItem &amp; "-" &amp; _xlpm.codArea &amp; "-" &amp; _xlpm.secuencia
)</f>
        <v>-SinArea-0000</v>
      </c>
      <c r="L495" s="77"/>
      <c r="M495" s="32"/>
      <c r="N495" s="32"/>
      <c r="O495" s="32"/>
      <c r="P495" s="32"/>
    </row>
    <row r="496" spans="3:16" x14ac:dyDescent="0.3">
      <c r="C496" s="11"/>
      <c r="D496" s="32"/>
      <c r="E496" s="11"/>
      <c r="G496" s="15"/>
      <c r="H496" s="47"/>
      <c r="I496" s="76"/>
      <c r="J496" s="76"/>
      <c r="K496" s="78" t="str">
        <f>_xlfn.LET(
    _xlpm.itemBuscado, B496,
    _xlpm.areaBuscada, C496,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TEXT(COUNTIF($C$2:C496, _xlpm.areaBuscada), "0000"),
    _xlpm.codItem &amp; "-" &amp; _xlpm.codArea &amp; "-" &amp; _xlpm.secuencia
)</f>
        <v>-SinArea-0000</v>
      </c>
      <c r="L496" s="77"/>
      <c r="M496" s="32"/>
      <c r="N496" s="32"/>
      <c r="O496" s="32"/>
      <c r="P496" s="32"/>
    </row>
    <row r="497" spans="3:16" x14ac:dyDescent="0.3">
      <c r="C497" s="11"/>
      <c r="D497" s="32"/>
      <c r="E497" s="11"/>
      <c r="G497" s="15"/>
      <c r="H497" s="47"/>
      <c r="I497" s="76"/>
      <c r="J497" s="76"/>
      <c r="K497" s="78" t="str">
        <f>_xlfn.LET(
    _xlpm.itemBuscado, B497,
    _xlpm.areaBuscada, C497,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TEXT(COUNTIF($C$2:C497, _xlpm.areaBuscada), "0000"),
    _xlpm.codItem &amp; "-" &amp; _xlpm.codArea &amp; "-" &amp; _xlpm.secuencia
)</f>
        <v>-SinArea-0000</v>
      </c>
      <c r="L497" s="77"/>
      <c r="M497" s="32"/>
      <c r="N497" s="32"/>
      <c r="O497" s="32"/>
      <c r="P497" s="32"/>
    </row>
    <row r="498" spans="3:16" x14ac:dyDescent="0.3">
      <c r="C498" s="11"/>
      <c r="D498" s="32"/>
      <c r="E498" s="11"/>
      <c r="G498" s="15"/>
      <c r="H498" s="47"/>
      <c r="I498" s="76"/>
      <c r="J498" s="76"/>
      <c r="K498" s="78" t="str">
        <f>_xlfn.LET(
    _xlpm.itemBuscado, B498,
    _xlpm.areaBuscada, C498,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TEXT(COUNTIF($C$2:C498, _xlpm.areaBuscada), "0000"),
    _xlpm.codItem &amp; "-" &amp; _xlpm.codArea &amp; "-" &amp; _xlpm.secuencia
)</f>
        <v>-SinArea-0000</v>
      </c>
      <c r="L498" s="77"/>
      <c r="M498" s="32"/>
      <c r="N498" s="32"/>
      <c r="O498" s="32"/>
      <c r="P498" s="32"/>
    </row>
    <row r="499" spans="3:16" x14ac:dyDescent="0.3">
      <c r="C499" s="11"/>
      <c r="D499" s="32"/>
      <c r="E499" s="11"/>
      <c r="G499" s="15"/>
      <c r="H499" s="47"/>
      <c r="I499" s="76"/>
      <c r="J499" s="76"/>
      <c r="K499" s="78" t="str">
        <f>_xlfn.LET(
    _xlpm.itemBuscado, B499,
    _xlpm.areaBuscada, C499,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TEXT(COUNTIF($C$2:C499, _xlpm.areaBuscada), "0000"),
    _xlpm.codItem &amp; "-" &amp; _xlpm.codArea &amp; "-" &amp; _xlpm.secuencia
)</f>
        <v>-SinArea-0000</v>
      </c>
      <c r="L499" s="77"/>
      <c r="M499" s="32"/>
      <c r="N499" s="32"/>
      <c r="O499" s="32"/>
      <c r="P499" s="32"/>
    </row>
    <row r="500" spans="3:16" x14ac:dyDescent="0.3">
      <c r="C500" s="11"/>
      <c r="D500" s="32"/>
      <c r="E500" s="11"/>
      <c r="G500" s="15"/>
      <c r="H500" s="47"/>
      <c r="I500" s="76"/>
      <c r="J500" s="76"/>
      <c r="K500" s="78" t="str">
        <f>_xlfn.LET(
    _xlpm.itemBuscado, B500,
    _xlpm.areaBuscada, C500,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TEXT(COUNTIF($C$2:C500, _xlpm.areaBuscada), "0000"),
    _xlpm.codItem &amp; "-" &amp; _xlpm.codArea &amp; "-" &amp; _xlpm.secuencia
)</f>
        <v>-SinArea-0000</v>
      </c>
      <c r="L500" s="77"/>
      <c r="M500" s="32"/>
      <c r="N500" s="32"/>
      <c r="O500" s="32"/>
      <c r="P500" s="32"/>
    </row>
    <row r="501" spans="3:16" x14ac:dyDescent="0.3">
      <c r="C501" s="11"/>
      <c r="D501" s="32"/>
      <c r="E501" s="11"/>
      <c r="G501" s="15"/>
      <c r="H501" s="47"/>
      <c r="I501" s="76"/>
      <c r="J501" s="76"/>
      <c r="K501" s="78" t="str">
        <f>_xlfn.LET(
    _xlpm.itemBuscado, B501,
    _xlpm.areaBuscada, C501,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TEXT(COUNTIF($C$2:C501, _xlpm.areaBuscada), "0000"),
    _xlpm.codItem &amp; "-" &amp; _xlpm.codArea &amp; "-" &amp; _xlpm.secuencia
)</f>
        <v>-SinArea-0000</v>
      </c>
      <c r="L501" s="77"/>
      <c r="M501" s="32"/>
      <c r="N501" s="32"/>
      <c r="O501" s="32"/>
      <c r="P501" s="32"/>
    </row>
    <row r="502" spans="3:16" x14ac:dyDescent="0.3">
      <c r="C502" s="11"/>
      <c r="D502" s="32"/>
      <c r="E502" s="11"/>
      <c r="G502" s="15"/>
      <c r="H502" s="47"/>
      <c r="I502" s="76"/>
      <c r="J502" s="76"/>
      <c r="K502" s="78" t="str">
        <f>_xlfn.LET(
    _xlpm.itemBuscado, B502,
    _xlpm.areaBuscada, C502,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TEXT(COUNTIF($C$2:C502, _xlpm.areaBuscada), "0000"),
    _xlpm.codItem &amp; "-" &amp; _xlpm.codArea &amp; "-" &amp; _xlpm.secuencia
)</f>
        <v>-SinArea-0000</v>
      </c>
      <c r="L502" s="77"/>
      <c r="M502" s="32"/>
      <c r="N502" s="32"/>
      <c r="O502" s="32"/>
      <c r="P502" s="32"/>
    </row>
    <row r="503" spans="3:16" x14ac:dyDescent="0.3">
      <c r="C503" s="11"/>
      <c r="D503" s="32"/>
      <c r="E503" s="11"/>
      <c r="G503" s="15"/>
      <c r="H503" s="47"/>
      <c r="I503" s="76"/>
      <c r="J503" s="76"/>
      <c r="K503" s="78" t="str">
        <f>_xlfn.LET(
    _xlpm.itemBuscado, B503,
    _xlpm.areaBuscada, C503,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TEXT(COUNTIF($C$2:C503, _xlpm.areaBuscada), "0000"),
    _xlpm.codItem &amp; "-" &amp; _xlpm.codArea &amp; "-" &amp; _xlpm.secuencia
)</f>
        <v>-SinArea-0000</v>
      </c>
      <c r="L503" s="77"/>
      <c r="M503" s="32"/>
      <c r="N503" s="32"/>
      <c r="O503" s="32"/>
      <c r="P503" s="32"/>
    </row>
    <row r="504" spans="3:16" x14ac:dyDescent="0.3">
      <c r="C504" s="11"/>
      <c r="D504" s="32"/>
      <c r="E504" s="11"/>
      <c r="G504" s="15"/>
      <c r="H504" s="47"/>
      <c r="I504" s="76"/>
      <c r="J504" s="76"/>
      <c r="K504" s="78" t="str">
        <f>_xlfn.LET(
    _xlpm.itemBuscado, B504,
    _xlpm.areaBuscada, C504,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TEXT(COUNTIF($C$2:C504, _xlpm.areaBuscada), "0000"),
    _xlpm.codItem &amp; "-" &amp; _xlpm.codArea &amp; "-" &amp; _xlpm.secuencia
)</f>
        <v>-SinArea-0000</v>
      </c>
      <c r="L504" s="77"/>
      <c r="M504" s="32"/>
      <c r="N504" s="32"/>
      <c r="O504" s="32"/>
      <c r="P504" s="32"/>
    </row>
    <row r="505" spans="3:16" x14ac:dyDescent="0.3">
      <c r="C505" s="11"/>
      <c r="D505" s="32"/>
      <c r="E505" s="11"/>
      <c r="G505" s="15"/>
      <c r="H505" s="47"/>
      <c r="I505" s="76"/>
      <c r="J505" s="76"/>
      <c r="K505" s="78" t="str">
        <f>_xlfn.LET(
    _xlpm.itemBuscado, B505,
    _xlpm.areaBuscada, C505,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TEXT(COUNTIF($C$2:C505, _xlpm.areaBuscada), "0000"),
    _xlpm.codItem &amp; "-" &amp; _xlpm.codArea &amp; "-" &amp; _xlpm.secuencia
)</f>
        <v>-SinArea-0000</v>
      </c>
      <c r="L505" s="77"/>
      <c r="M505" s="32"/>
      <c r="N505" s="32"/>
      <c r="O505" s="32"/>
      <c r="P505" s="32"/>
    </row>
    <row r="506" spans="3:16" x14ac:dyDescent="0.3">
      <c r="C506" s="11"/>
      <c r="D506" s="32"/>
      <c r="E506" s="11"/>
      <c r="G506" s="15"/>
      <c r="H506" s="47"/>
      <c r="I506" s="76"/>
      <c r="J506" s="76"/>
      <c r="K506" s="78" t="str">
        <f>_xlfn.LET(
    _xlpm.itemBuscado, B506,
    _xlpm.areaBuscada, C506,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TEXT(COUNTIF($C$2:C506, _xlpm.areaBuscada), "0000"),
    _xlpm.codItem &amp; "-" &amp; _xlpm.codArea &amp; "-" &amp; _xlpm.secuencia
)</f>
        <v>-SinArea-0000</v>
      </c>
      <c r="L506" s="77"/>
      <c r="M506" s="32"/>
      <c r="N506" s="32"/>
      <c r="O506" s="32"/>
      <c r="P506" s="32"/>
    </row>
    <row r="507" spans="3:16" x14ac:dyDescent="0.3">
      <c r="C507" s="11"/>
      <c r="D507" s="32"/>
      <c r="E507" s="11"/>
      <c r="G507" s="15"/>
      <c r="H507" s="47"/>
      <c r="I507" s="76"/>
      <c r="J507" s="76"/>
      <c r="K507" s="78" t="str">
        <f>_xlfn.LET(
    _xlpm.itemBuscado, B507,
    _xlpm.areaBuscada, C507,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TEXT(COUNTIF($C$2:C507, _xlpm.areaBuscada), "0000"),
    _xlpm.codItem &amp; "-" &amp; _xlpm.codArea &amp; "-" &amp; _xlpm.secuencia
)</f>
        <v>-SinArea-0000</v>
      </c>
      <c r="L507" s="77"/>
      <c r="M507" s="32"/>
      <c r="N507" s="32"/>
      <c r="O507" s="32"/>
      <c r="P507" s="32"/>
    </row>
    <row r="508" spans="3:16" x14ac:dyDescent="0.3">
      <c r="C508" s="11"/>
      <c r="D508" s="32"/>
      <c r="E508" s="11"/>
      <c r="G508" s="15"/>
      <c r="H508" s="47"/>
      <c r="I508" s="76"/>
      <c r="J508" s="76"/>
      <c r="K508" s="78" t="str">
        <f>_xlfn.LET(
    _xlpm.itemBuscado, B508,
    _xlpm.areaBuscada, C508,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TEXT(COUNTIF($C$2:C508, _xlpm.areaBuscada), "0000"),
    _xlpm.codItem &amp; "-" &amp; _xlpm.codArea &amp; "-" &amp; _xlpm.secuencia
)</f>
        <v>-SinArea-0000</v>
      </c>
      <c r="L508" s="77"/>
      <c r="M508" s="32"/>
      <c r="N508" s="32"/>
      <c r="O508" s="32"/>
      <c r="P508" s="32"/>
    </row>
    <row r="509" spans="3:16" x14ac:dyDescent="0.3">
      <c r="C509" s="11"/>
      <c r="D509" s="32"/>
      <c r="E509" s="11"/>
      <c r="G509" s="15"/>
      <c r="H509" s="47"/>
      <c r="I509" s="76"/>
      <c r="J509" s="76"/>
      <c r="K509" s="78" t="str">
        <f>_xlfn.LET(
    _xlpm.itemBuscado, B509,
    _xlpm.areaBuscada, C509,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TEXT(COUNTIF($C$2:C509, _xlpm.areaBuscada), "0000"),
    _xlpm.codItem &amp; "-" &amp; _xlpm.codArea &amp; "-" &amp; _xlpm.secuencia
)</f>
        <v>-SinArea-0000</v>
      </c>
      <c r="L509" s="77"/>
      <c r="M509" s="32"/>
      <c r="N509" s="32"/>
      <c r="O509" s="32"/>
      <c r="P509" s="32"/>
    </row>
    <row r="510" spans="3:16" x14ac:dyDescent="0.3">
      <c r="C510" s="11"/>
      <c r="D510" s="32"/>
      <c r="E510" s="11"/>
      <c r="G510" s="15"/>
      <c r="H510" s="47"/>
      <c r="I510" s="76"/>
      <c r="J510" s="76"/>
      <c r="K510" s="78" t="str">
        <f>_xlfn.LET(
    _xlpm.itemBuscado, B510,
    _xlpm.areaBuscada, C510,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TEXT(COUNTIF($C$2:C510, _xlpm.areaBuscada), "0000"),
    _xlpm.codItem &amp; "-" &amp; _xlpm.codArea &amp; "-" &amp; _xlpm.secuencia
)</f>
        <v>-SinArea-0000</v>
      </c>
      <c r="L510" s="77"/>
      <c r="M510" s="32"/>
      <c r="N510" s="32"/>
      <c r="O510" s="32"/>
      <c r="P510" s="32"/>
    </row>
    <row r="511" spans="3:16" x14ac:dyDescent="0.3">
      <c r="C511" s="11"/>
      <c r="D511" s="32"/>
      <c r="E511" s="11"/>
      <c r="G511" s="15"/>
      <c r="H511" s="47"/>
      <c r="I511" s="76"/>
      <c r="J511" s="76"/>
      <c r="K511" s="78" t="str">
        <f>_xlfn.LET(
    _xlpm.itemBuscado, B511,
    _xlpm.areaBuscada, C511,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TEXT(COUNTIF($C$2:C511, _xlpm.areaBuscada), "0000"),
    _xlpm.codItem &amp; "-" &amp; _xlpm.codArea &amp; "-" &amp; _xlpm.secuencia
)</f>
        <v>-SinArea-0000</v>
      </c>
      <c r="L511" s="77"/>
      <c r="M511" s="32"/>
      <c r="N511" s="32"/>
      <c r="O511" s="32"/>
      <c r="P511" s="32"/>
    </row>
    <row r="512" spans="3:16" x14ac:dyDescent="0.3">
      <c r="C512" s="11"/>
      <c r="D512" s="32"/>
      <c r="E512" s="11"/>
      <c r="G512" s="15"/>
      <c r="H512" s="47"/>
      <c r="I512" s="76"/>
      <c r="J512" s="76"/>
      <c r="K512" s="78" t="str">
        <f>_xlfn.LET(
    _xlpm.itemBuscado, B512,
    _xlpm.areaBuscada, C512,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TEXT(COUNTIF($C$2:C512, _xlpm.areaBuscada), "0000"),
    _xlpm.codItem &amp; "-" &amp; _xlpm.codArea &amp; "-" &amp; _xlpm.secuencia
)</f>
        <v>-SinArea-0000</v>
      </c>
      <c r="L512" s="77"/>
      <c r="M512" s="32"/>
      <c r="N512" s="32"/>
      <c r="O512" s="32"/>
      <c r="P512" s="32"/>
    </row>
    <row r="513" spans="3:16" x14ac:dyDescent="0.3">
      <c r="C513" s="11"/>
      <c r="D513" s="32"/>
      <c r="E513" s="11"/>
      <c r="G513" s="15"/>
      <c r="H513" s="47"/>
      <c r="I513" s="76"/>
      <c r="J513" s="76"/>
      <c r="K513" s="78" t="str">
        <f>_xlfn.LET(
    _xlpm.itemBuscado, B513,
    _xlpm.areaBuscada, C513,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TEXT(COUNTIF($C$2:C513, _xlpm.areaBuscada), "0000"),
    _xlpm.codItem &amp; "-" &amp; _xlpm.codArea &amp; "-" &amp; _xlpm.secuencia
)</f>
        <v>-SinArea-0000</v>
      </c>
      <c r="L513" s="77"/>
      <c r="M513" s="32"/>
      <c r="N513" s="32"/>
      <c r="O513" s="32"/>
      <c r="P513" s="32"/>
    </row>
    <row r="514" spans="3:16" x14ac:dyDescent="0.3">
      <c r="C514" s="11"/>
      <c r="D514" s="32"/>
      <c r="E514" s="11"/>
      <c r="G514" s="15"/>
      <c r="H514" s="47"/>
      <c r="I514" s="76"/>
      <c r="J514" s="76"/>
      <c r="K514" s="78" t="str">
        <f>_xlfn.LET(
    _xlpm.itemBuscado, B514,
    _xlpm.areaBuscada, C514,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TEXT(COUNTIF($C$2:C514, _xlpm.areaBuscada), "0000"),
    _xlpm.codItem &amp; "-" &amp; _xlpm.codArea &amp; "-" &amp; _xlpm.secuencia
)</f>
        <v>-SinArea-0000</v>
      </c>
      <c r="L514" s="77"/>
      <c r="M514" s="32"/>
      <c r="N514" s="32"/>
      <c r="O514" s="32"/>
      <c r="P514" s="32"/>
    </row>
    <row r="515" spans="3:16" x14ac:dyDescent="0.3">
      <c r="C515" s="11"/>
      <c r="D515" s="32"/>
      <c r="E515" s="11"/>
      <c r="G515" s="15"/>
      <c r="H515" s="47"/>
      <c r="I515" s="76"/>
      <c r="J515" s="76"/>
      <c r="K515" s="78" t="str">
        <f>_xlfn.LET(
    _xlpm.itemBuscado, B515,
    _xlpm.areaBuscada, C515,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TEXT(COUNTIF($C$2:C515, _xlpm.areaBuscada), "0000"),
    _xlpm.codItem &amp; "-" &amp; _xlpm.codArea &amp; "-" &amp; _xlpm.secuencia
)</f>
        <v>-SinArea-0000</v>
      </c>
      <c r="L515" s="77"/>
      <c r="M515" s="32"/>
      <c r="N515" s="32"/>
      <c r="O515" s="32"/>
      <c r="P515" s="32"/>
    </row>
    <row r="516" spans="3:16" x14ac:dyDescent="0.3">
      <c r="C516" s="11"/>
      <c r="D516" s="32"/>
      <c r="E516" s="11"/>
      <c r="G516" s="15"/>
      <c r="H516" s="47"/>
      <c r="I516" s="76"/>
      <c r="J516" s="76"/>
      <c r="K516" s="78" t="str">
        <f>_xlfn.LET(
    _xlpm.itemBuscado, B516,
    _xlpm.areaBuscada, C516,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TEXT(COUNTIF($C$2:C516, _xlpm.areaBuscada), "0000"),
    _xlpm.codItem &amp; "-" &amp; _xlpm.codArea &amp; "-" &amp; _xlpm.secuencia
)</f>
        <v>-SinArea-0000</v>
      </c>
      <c r="L516" s="77"/>
      <c r="M516" s="32"/>
      <c r="N516" s="32"/>
      <c r="O516" s="32"/>
      <c r="P516" s="32"/>
    </row>
    <row r="517" spans="3:16" x14ac:dyDescent="0.3">
      <c r="C517" s="11"/>
      <c r="D517" s="32"/>
      <c r="E517" s="11"/>
      <c r="G517" s="15"/>
      <c r="H517" s="47"/>
      <c r="I517" s="76"/>
      <c r="J517" s="76"/>
      <c r="K517" s="78" t="str">
        <f>_xlfn.LET(
    _xlpm.itemBuscado, B517,
    _xlpm.areaBuscada, C517,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TEXT(COUNTIF($C$2:C517, _xlpm.areaBuscada), "0000"),
    _xlpm.codItem &amp; "-" &amp; _xlpm.codArea &amp; "-" &amp; _xlpm.secuencia
)</f>
        <v>-SinArea-0000</v>
      </c>
      <c r="L517" s="77"/>
      <c r="M517" s="32"/>
      <c r="N517" s="32"/>
      <c r="O517" s="32"/>
      <c r="P517" s="32"/>
    </row>
    <row r="518" spans="3:16" x14ac:dyDescent="0.3">
      <c r="C518" s="11"/>
      <c r="D518" s="32"/>
      <c r="E518" s="11"/>
      <c r="G518" s="15"/>
      <c r="H518" s="47"/>
      <c r="I518" s="76"/>
      <c r="J518" s="76"/>
      <c r="K518" s="78" t="str">
        <f>_xlfn.LET(
    _xlpm.itemBuscado, B518,
    _xlpm.areaBuscada, C518,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TEXT(COUNTIF($C$2:C518, _xlpm.areaBuscada), "0000"),
    _xlpm.codItem &amp; "-" &amp; _xlpm.codArea &amp; "-" &amp; _xlpm.secuencia
)</f>
        <v>-SinArea-0000</v>
      </c>
      <c r="L518" s="77"/>
      <c r="M518" s="32"/>
      <c r="N518" s="32"/>
      <c r="O518" s="32"/>
      <c r="P518" s="32"/>
    </row>
    <row r="519" spans="3:16" x14ac:dyDescent="0.3">
      <c r="C519" s="11"/>
      <c r="D519" s="32"/>
      <c r="E519" s="11"/>
      <c r="G519" s="15"/>
      <c r="H519" s="47"/>
      <c r="I519" s="76"/>
      <c r="J519" s="76"/>
      <c r="K519" s="78" t="str">
        <f>_xlfn.LET(
    _xlpm.itemBuscado, B519,
    _xlpm.areaBuscada, C519,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TEXT(COUNTIF($C$2:C519, _xlpm.areaBuscada), "0000"),
    _xlpm.codItem &amp; "-" &amp; _xlpm.codArea &amp; "-" &amp; _xlpm.secuencia
)</f>
        <v>-SinArea-0000</v>
      </c>
      <c r="L519" s="77"/>
      <c r="M519" s="32"/>
      <c r="N519" s="32"/>
      <c r="O519" s="32"/>
      <c r="P519" s="32"/>
    </row>
    <row r="520" spans="3:16" x14ac:dyDescent="0.3">
      <c r="C520" s="11"/>
      <c r="D520" s="32"/>
      <c r="E520" s="11"/>
      <c r="G520" s="15"/>
      <c r="H520" s="47"/>
      <c r="I520" s="76"/>
      <c r="J520" s="76"/>
      <c r="K520" s="78" t="str">
        <f>_xlfn.LET(
    _xlpm.itemBuscado, B520,
    _xlpm.areaBuscada, C520,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TEXT(COUNTIF($C$2:C520, _xlpm.areaBuscada), "0000"),
    _xlpm.codItem &amp; "-" &amp; _xlpm.codArea &amp; "-" &amp; _xlpm.secuencia
)</f>
        <v>-SinArea-0000</v>
      </c>
      <c r="L520" s="77"/>
      <c r="M520" s="32"/>
      <c r="N520" s="32"/>
      <c r="O520" s="32"/>
      <c r="P520" s="32"/>
    </row>
    <row r="521" spans="3:16" x14ac:dyDescent="0.3">
      <c r="C521" s="11"/>
      <c r="D521" s="32"/>
      <c r="E521" s="11"/>
      <c r="G521" s="15"/>
      <c r="H521" s="47"/>
      <c r="I521" s="76"/>
      <c r="J521" s="76"/>
      <c r="K521" s="78" t="str">
        <f>_xlfn.LET(
    _xlpm.itemBuscado, B521,
    _xlpm.areaBuscada, C521,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TEXT(COUNTIF($C$2:C521, _xlpm.areaBuscada), "0000"),
    _xlpm.codItem &amp; "-" &amp; _xlpm.codArea &amp; "-" &amp; _xlpm.secuencia
)</f>
        <v>-SinArea-0000</v>
      </c>
      <c r="L521" s="77"/>
      <c r="M521" s="32"/>
      <c r="N521" s="32"/>
      <c r="O521" s="32"/>
      <c r="P521" s="32"/>
    </row>
    <row r="522" spans="3:16" x14ac:dyDescent="0.3">
      <c r="C522" s="11"/>
      <c r="D522" s="32"/>
      <c r="E522" s="11"/>
      <c r="G522" s="15"/>
      <c r="H522" s="47"/>
      <c r="I522" s="76"/>
      <c r="J522" s="76"/>
      <c r="K522" s="78" t="str">
        <f>_xlfn.LET(
    _xlpm.itemBuscado, B522,
    _xlpm.areaBuscada, C522,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TEXT(COUNTIF($C$2:C522, _xlpm.areaBuscada), "0000"),
    _xlpm.codItem &amp; "-" &amp; _xlpm.codArea &amp; "-" &amp; _xlpm.secuencia
)</f>
        <v>-SinArea-0000</v>
      </c>
      <c r="L522" s="77"/>
      <c r="M522" s="32"/>
      <c r="N522" s="32"/>
      <c r="O522" s="32"/>
      <c r="P522" s="32"/>
    </row>
    <row r="523" spans="3:16" x14ac:dyDescent="0.3">
      <c r="C523" s="11"/>
      <c r="D523" s="32"/>
      <c r="E523" s="11"/>
      <c r="G523" s="15"/>
      <c r="H523" s="47"/>
      <c r="I523" s="76"/>
      <c r="J523" s="76"/>
      <c r="K523" s="78" t="str">
        <f>_xlfn.LET(
    _xlpm.itemBuscado, B523,
    _xlpm.areaBuscada, C523,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TEXT(COUNTIF($C$2:C523, _xlpm.areaBuscada), "0000"),
    _xlpm.codItem &amp; "-" &amp; _xlpm.codArea &amp; "-" &amp; _xlpm.secuencia
)</f>
        <v>-SinArea-0000</v>
      </c>
      <c r="L523" s="77"/>
      <c r="M523" s="32"/>
      <c r="N523" s="32"/>
      <c r="O523" s="32"/>
      <c r="P523" s="32"/>
    </row>
    <row r="524" spans="3:16" x14ac:dyDescent="0.3">
      <c r="C524" s="11"/>
      <c r="D524" s="32"/>
      <c r="E524" s="11"/>
      <c r="G524" s="15"/>
      <c r="H524" s="47"/>
      <c r="I524" s="76"/>
      <c r="J524" s="76"/>
      <c r="K524" s="78" t="str">
        <f>_xlfn.LET(
    _xlpm.itemBuscado, B524,
    _xlpm.areaBuscada, C524,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TEXT(COUNTIF($C$2:C524, _xlpm.areaBuscada), "0000"),
    _xlpm.codItem &amp; "-" &amp; _xlpm.codArea &amp; "-" &amp; _xlpm.secuencia
)</f>
        <v>-SinArea-0000</v>
      </c>
      <c r="L524" s="77"/>
      <c r="M524" s="32"/>
      <c r="N524" s="32"/>
      <c r="O524" s="32"/>
      <c r="P524" s="32"/>
    </row>
    <row r="525" spans="3:16" x14ac:dyDescent="0.3">
      <c r="C525" s="11"/>
      <c r="D525" s="32"/>
      <c r="E525" s="11"/>
      <c r="G525" s="15"/>
      <c r="H525" s="47"/>
      <c r="I525" s="76"/>
      <c r="J525" s="76"/>
      <c r="K525" s="78" t="str">
        <f>_xlfn.LET(
    _xlpm.itemBuscado, B525,
    _xlpm.areaBuscada, C525,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TEXT(COUNTIF($C$2:C525, _xlpm.areaBuscada), "0000"),
    _xlpm.codItem &amp; "-" &amp; _xlpm.codArea &amp; "-" &amp; _xlpm.secuencia
)</f>
        <v>-SinArea-0000</v>
      </c>
      <c r="L525" s="77"/>
      <c r="M525" s="32"/>
      <c r="N525" s="32"/>
      <c r="O525" s="32"/>
      <c r="P525" s="32"/>
    </row>
    <row r="526" spans="3:16" x14ac:dyDescent="0.3">
      <c r="C526" s="11"/>
      <c r="D526" s="32"/>
      <c r="E526" s="11"/>
      <c r="G526" s="15"/>
      <c r="H526" s="47"/>
      <c r="I526" s="76"/>
      <c r="J526" s="76"/>
      <c r="K526" s="78" t="str">
        <f>_xlfn.LET(
    _xlpm.itemBuscado, B526,
    _xlpm.areaBuscada, C526,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TEXT(COUNTIF($C$2:C526, _xlpm.areaBuscada), "0000"),
    _xlpm.codItem &amp; "-" &amp; _xlpm.codArea &amp; "-" &amp; _xlpm.secuencia
)</f>
        <v>-SinArea-0000</v>
      </c>
      <c r="L526" s="77"/>
      <c r="M526" s="32"/>
      <c r="N526" s="32"/>
      <c r="O526" s="32"/>
      <c r="P526" s="32"/>
    </row>
    <row r="527" spans="3:16" x14ac:dyDescent="0.3">
      <c r="C527" s="11"/>
      <c r="D527" s="32"/>
      <c r="E527" s="11"/>
      <c r="G527" s="15"/>
      <c r="H527" s="47"/>
      <c r="I527" s="76"/>
      <c r="J527" s="76"/>
      <c r="K527" s="78" t="str">
        <f>_xlfn.LET(
    _xlpm.itemBuscado, B527,
    _xlpm.areaBuscada, C527,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TEXT(COUNTIF($C$2:C527, _xlpm.areaBuscada), "0000"),
    _xlpm.codItem &amp; "-" &amp; _xlpm.codArea &amp; "-" &amp; _xlpm.secuencia
)</f>
        <v>-SinArea-0000</v>
      </c>
      <c r="L527" s="77"/>
      <c r="M527" s="32"/>
      <c r="N527" s="32"/>
      <c r="O527" s="32"/>
      <c r="P527" s="32"/>
    </row>
    <row r="528" spans="3:16" x14ac:dyDescent="0.3">
      <c r="C528" s="11"/>
      <c r="D528" s="32"/>
      <c r="E528" s="11"/>
      <c r="G528" s="15"/>
      <c r="H528" s="47"/>
      <c r="I528" s="76"/>
      <c r="J528" s="76"/>
      <c r="K528" s="78" t="str">
        <f>_xlfn.LET(
    _xlpm.itemBuscado, B528,
    _xlpm.areaBuscada, C528,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TEXT(COUNTIF($C$2:C528, _xlpm.areaBuscada), "0000"),
    _xlpm.codItem &amp; "-" &amp; _xlpm.codArea &amp; "-" &amp; _xlpm.secuencia
)</f>
        <v>-SinArea-0000</v>
      </c>
      <c r="L528" s="77"/>
      <c r="M528" s="32"/>
      <c r="N528" s="32"/>
      <c r="O528" s="32"/>
      <c r="P528" s="32"/>
    </row>
    <row r="529" spans="3:16" x14ac:dyDescent="0.3">
      <c r="C529" s="11"/>
      <c r="D529" s="32"/>
      <c r="E529" s="11"/>
      <c r="G529" s="15"/>
      <c r="H529" s="47"/>
      <c r="I529" s="76"/>
      <c r="J529" s="76"/>
      <c r="K529" s="78" t="str">
        <f>_xlfn.LET(
    _xlpm.itemBuscado, B529,
    _xlpm.areaBuscada, C529,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TEXT(COUNTIF($C$2:C529, _xlpm.areaBuscada), "0000"),
    _xlpm.codItem &amp; "-" &amp; _xlpm.codArea &amp; "-" &amp; _xlpm.secuencia
)</f>
        <v>-SinArea-0000</v>
      </c>
      <c r="L529" s="77"/>
      <c r="M529" s="32"/>
      <c r="N529" s="32"/>
      <c r="O529" s="32"/>
      <c r="P529" s="32"/>
    </row>
    <row r="530" spans="3:16" x14ac:dyDescent="0.3">
      <c r="C530" s="11"/>
      <c r="D530" s="32"/>
      <c r="E530" s="11"/>
      <c r="G530" s="15"/>
      <c r="H530" s="47"/>
      <c r="I530" s="76"/>
      <c r="J530" s="76"/>
      <c r="K530" s="78" t="str">
        <f>_xlfn.LET(
    _xlpm.itemBuscado, B530,
    _xlpm.areaBuscada, C530,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TEXT(COUNTIF($C$2:C530, _xlpm.areaBuscada), "0000"),
    _xlpm.codItem &amp; "-" &amp; _xlpm.codArea &amp; "-" &amp; _xlpm.secuencia
)</f>
        <v>-SinArea-0000</v>
      </c>
      <c r="L530" s="77"/>
      <c r="M530" s="32"/>
      <c r="N530" s="32"/>
      <c r="O530" s="32"/>
      <c r="P530" s="32"/>
    </row>
    <row r="531" spans="3:16" x14ac:dyDescent="0.3">
      <c r="C531" s="11"/>
      <c r="D531" s="32"/>
      <c r="E531" s="11"/>
      <c r="G531" s="15"/>
      <c r="H531" s="47"/>
      <c r="I531" s="76"/>
      <c r="J531" s="76"/>
      <c r="K531" s="78" t="str">
        <f>_xlfn.LET(
    _xlpm.itemBuscado, B531,
    _xlpm.areaBuscada, C531,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TEXT(COUNTIF($C$2:C531, _xlpm.areaBuscada), "0000"),
    _xlpm.codItem &amp; "-" &amp; _xlpm.codArea &amp; "-" &amp; _xlpm.secuencia
)</f>
        <v>-SinArea-0000</v>
      </c>
      <c r="L531" s="77"/>
      <c r="M531" s="32"/>
      <c r="N531" s="32"/>
      <c r="O531" s="32"/>
      <c r="P531" s="32"/>
    </row>
    <row r="532" spans="3:16" x14ac:dyDescent="0.3">
      <c r="C532" s="11"/>
      <c r="D532" s="32"/>
      <c r="E532" s="11"/>
      <c r="G532" s="15"/>
      <c r="H532" s="47"/>
      <c r="I532" s="76"/>
      <c r="J532" s="76"/>
      <c r="K532" s="78" t="str">
        <f>_xlfn.LET(
    _xlpm.itemBuscado, B532,
    _xlpm.areaBuscada, C532,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TEXT(COUNTIF($C$2:C532, _xlpm.areaBuscada), "0000"),
    _xlpm.codItem &amp; "-" &amp; _xlpm.codArea &amp; "-" &amp; _xlpm.secuencia
)</f>
        <v>-SinArea-0000</v>
      </c>
      <c r="L532" s="77"/>
      <c r="M532" s="32"/>
      <c r="N532" s="32"/>
      <c r="O532" s="32"/>
      <c r="P532" s="32"/>
    </row>
    <row r="533" spans="3:16" x14ac:dyDescent="0.3">
      <c r="C533" s="11"/>
      <c r="D533" s="32"/>
      <c r="E533" s="11"/>
      <c r="G533" s="15"/>
      <c r="H533" s="47"/>
      <c r="I533" s="76"/>
      <c r="J533" s="76"/>
      <c r="K533" s="78" t="str">
        <f>_xlfn.LET(
    _xlpm.itemBuscado, B533,
    _xlpm.areaBuscada, C533,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TEXT(COUNTIF($C$2:C533, _xlpm.areaBuscada), "0000"),
    _xlpm.codItem &amp; "-" &amp; _xlpm.codArea &amp; "-" &amp; _xlpm.secuencia
)</f>
        <v>-SinArea-0000</v>
      </c>
      <c r="L533" s="77"/>
      <c r="M533" s="32"/>
      <c r="N533" s="32"/>
      <c r="O533" s="32"/>
      <c r="P533" s="32"/>
    </row>
    <row r="534" spans="3:16" x14ac:dyDescent="0.3">
      <c r="C534" s="11"/>
      <c r="D534" s="32"/>
      <c r="E534" s="11"/>
      <c r="G534" s="15"/>
      <c r="H534" s="78"/>
      <c r="I534" s="76"/>
      <c r="J534" s="76"/>
      <c r="K534" s="78" t="str">
        <f>_xlfn.LET(
    _xlpm.itemBuscado, B534,
    _xlpm.areaBuscada, C534,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TEXT(COUNTIF($C$2:C534, _xlpm.areaBuscada), "0000"),
    _xlpm.codItem &amp; "-" &amp; _xlpm.codArea &amp; "-" &amp; _xlpm.secuencia
)</f>
        <v>-SinArea-0000</v>
      </c>
      <c r="L534" s="77"/>
      <c r="M534" s="32"/>
      <c r="N534" s="32"/>
      <c r="O534" s="32"/>
      <c r="P534" s="32"/>
    </row>
    <row r="535" spans="3:16" x14ac:dyDescent="0.3">
      <c r="C535" s="11"/>
      <c r="D535" s="32"/>
      <c r="E535" s="11"/>
      <c r="G535" s="15"/>
      <c r="H535" s="47"/>
      <c r="I535" s="76"/>
      <c r="J535" s="76"/>
      <c r="K535" s="78" t="str">
        <f>_xlfn.LET(
    _xlpm.itemBuscado, B535,
    _xlpm.areaBuscada, C535,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TEXT(COUNTIF($C$2:C535, _xlpm.areaBuscada), "0000"),
    _xlpm.codItem &amp; "-" &amp; _xlpm.codArea &amp; "-" &amp; _xlpm.secuencia
)</f>
        <v>-SinArea-0000</v>
      </c>
      <c r="L535" s="77"/>
      <c r="M535" s="32"/>
      <c r="N535" s="32"/>
      <c r="O535" s="32"/>
      <c r="P535" s="32"/>
    </row>
    <row r="536" spans="3:16" x14ac:dyDescent="0.3">
      <c r="C536" s="11"/>
      <c r="D536" s="32"/>
      <c r="E536" s="11"/>
      <c r="G536" s="15"/>
      <c r="H536" s="47"/>
      <c r="I536" s="76"/>
      <c r="J536" s="76"/>
      <c r="K536" s="78" t="str">
        <f>_xlfn.LET(
    _xlpm.itemBuscado, B536,
    _xlpm.areaBuscada, C536,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TEXT(COUNTIF($C$2:C536, _xlpm.areaBuscada), "0000"),
    _xlpm.codItem &amp; "-" &amp; _xlpm.codArea &amp; "-" &amp; _xlpm.secuencia
)</f>
        <v>-SinArea-0000</v>
      </c>
      <c r="L536" s="77"/>
      <c r="M536" s="32"/>
      <c r="N536" s="32"/>
      <c r="O536" s="32"/>
      <c r="P536" s="32"/>
    </row>
    <row r="537" spans="3:16" x14ac:dyDescent="0.3">
      <c r="C537" s="11"/>
      <c r="D537" s="32"/>
      <c r="E537" s="11"/>
      <c r="G537" s="15"/>
      <c r="H537" s="47"/>
      <c r="I537" s="76"/>
      <c r="J537" s="76"/>
      <c r="K537" s="78" t="str">
        <f>_xlfn.LET(
    _xlpm.itemBuscado, B537,
    _xlpm.areaBuscada, C537,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TEXT(COUNTIF($C$2:C537, _xlpm.areaBuscada), "0000"),
    _xlpm.codItem &amp; "-" &amp; _xlpm.codArea &amp; "-" &amp; _xlpm.secuencia
)</f>
        <v>-SinArea-0000</v>
      </c>
      <c r="L537" s="77"/>
      <c r="M537" s="32"/>
      <c r="N537" s="32"/>
      <c r="O537" s="32"/>
      <c r="P537" s="32"/>
    </row>
    <row r="538" spans="3:16" x14ac:dyDescent="0.3">
      <c r="C538" s="11"/>
      <c r="D538" s="32"/>
      <c r="E538" s="11"/>
      <c r="G538" s="15"/>
      <c r="H538" s="47"/>
      <c r="I538" s="76"/>
      <c r="J538" s="76"/>
      <c r="K538" s="78" t="str">
        <f>_xlfn.LET(
    _xlpm.itemBuscado, B538,
    _xlpm.areaBuscada, C538,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TEXT(COUNTIF($C$2:C538, _xlpm.areaBuscada), "0000"),
    _xlpm.codItem &amp; "-" &amp; _xlpm.codArea &amp; "-" &amp; _xlpm.secuencia
)</f>
        <v>-SinArea-0000</v>
      </c>
      <c r="L538" s="77"/>
      <c r="M538" s="32"/>
      <c r="N538" s="32"/>
      <c r="O538" s="32"/>
      <c r="P538" s="32"/>
    </row>
    <row r="539" spans="3:16" x14ac:dyDescent="0.3">
      <c r="C539" s="11"/>
      <c r="D539" s="32"/>
      <c r="E539" s="11"/>
      <c r="G539" s="15"/>
      <c r="H539" s="47"/>
      <c r="I539" s="76"/>
      <c r="J539" s="76"/>
      <c r="K539" s="78" t="str">
        <f>_xlfn.LET(
    _xlpm.itemBuscado, B539,
    _xlpm.areaBuscada, C539,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TEXT(COUNTIF($C$2:C539, _xlpm.areaBuscada), "0000"),
    _xlpm.codItem &amp; "-" &amp; _xlpm.codArea &amp; "-" &amp; _xlpm.secuencia
)</f>
        <v>-SinArea-0000</v>
      </c>
      <c r="L539" s="77"/>
      <c r="M539" s="32"/>
      <c r="N539" s="32"/>
      <c r="O539" s="32"/>
      <c r="P539" s="32"/>
    </row>
    <row r="540" spans="3:16" x14ac:dyDescent="0.3">
      <c r="C540" s="11"/>
      <c r="D540" s="32"/>
      <c r="E540" s="11"/>
      <c r="G540" s="15"/>
      <c r="H540" s="47"/>
      <c r="I540" s="76"/>
      <c r="J540" s="76"/>
      <c r="K540" s="78" t="str">
        <f>_xlfn.LET(
    _xlpm.itemBuscado, B540,
    _xlpm.areaBuscada, C540,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TEXT(COUNTIF($C$2:C540, _xlpm.areaBuscada), "0000"),
    _xlpm.codItem &amp; "-" &amp; _xlpm.codArea &amp; "-" &amp; _xlpm.secuencia
)</f>
        <v>-SinArea-0000</v>
      </c>
      <c r="L540" s="77"/>
      <c r="M540" s="32"/>
      <c r="N540" s="32"/>
      <c r="O540" s="32"/>
      <c r="P540" s="32"/>
    </row>
    <row r="541" spans="3:16" x14ac:dyDescent="0.3">
      <c r="C541" s="11"/>
      <c r="D541" s="32"/>
      <c r="E541" s="11"/>
      <c r="G541" s="15"/>
      <c r="H541" s="47"/>
      <c r="I541" s="76"/>
      <c r="J541" s="76"/>
      <c r="K541" s="78" t="str">
        <f>_xlfn.LET(
    _xlpm.itemBuscado, B541,
    _xlpm.areaBuscada, C541,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TEXT(COUNTIF($C$2:C541, _xlpm.areaBuscada), "0000"),
    _xlpm.codItem &amp; "-" &amp; _xlpm.codArea &amp; "-" &amp; _xlpm.secuencia
)</f>
        <v>-SinArea-0000</v>
      </c>
      <c r="L541" s="77"/>
      <c r="M541" s="32"/>
      <c r="N541" s="32"/>
      <c r="O541" s="32"/>
      <c r="P541" s="32"/>
    </row>
    <row r="542" spans="3:16" x14ac:dyDescent="0.3">
      <c r="C542" s="11"/>
      <c r="D542" s="32"/>
      <c r="E542" s="11"/>
      <c r="G542" s="15"/>
      <c r="H542" s="47"/>
      <c r="I542" s="76"/>
      <c r="J542" s="76"/>
      <c r="K542" s="78" t="str">
        <f>_xlfn.LET(
    _xlpm.itemBuscado, B542,
    _xlpm.areaBuscada, C542,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TEXT(COUNTIF($C$2:C542, _xlpm.areaBuscada), "0000"),
    _xlpm.codItem &amp; "-" &amp; _xlpm.codArea &amp; "-" &amp; _xlpm.secuencia
)</f>
        <v>-SinArea-0000</v>
      </c>
      <c r="L542" s="77"/>
      <c r="M542" s="32"/>
      <c r="N542" s="32"/>
      <c r="O542" s="32"/>
      <c r="P542" s="32"/>
    </row>
    <row r="543" spans="3:16" x14ac:dyDescent="0.3">
      <c r="C543" s="11"/>
      <c r="D543" s="32"/>
      <c r="E543" s="11"/>
      <c r="G543" s="15"/>
      <c r="H543" s="47"/>
      <c r="I543" s="76"/>
      <c r="J543" s="76"/>
      <c r="K543" s="78" t="str">
        <f>_xlfn.LET(
    _xlpm.itemBuscado, B543,
    _xlpm.areaBuscada, C543,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TEXT(COUNTIF($C$2:C543, _xlpm.areaBuscada), "0000"),
    _xlpm.codItem &amp; "-" &amp; _xlpm.codArea &amp; "-" &amp; _xlpm.secuencia
)</f>
        <v>-SinArea-0000</v>
      </c>
      <c r="L543" s="77"/>
      <c r="M543" s="32"/>
      <c r="N543" s="32"/>
      <c r="O543" s="32"/>
      <c r="P543" s="32"/>
    </row>
    <row r="544" spans="3:16" x14ac:dyDescent="0.3">
      <c r="C544" s="11"/>
      <c r="D544" s="32"/>
      <c r="E544" s="11"/>
      <c r="G544" s="15"/>
      <c r="H544" s="47"/>
      <c r="I544" s="76"/>
      <c r="J544" s="76"/>
      <c r="K544" s="78" t="str">
        <f>_xlfn.LET(
    _xlpm.itemBuscado, B544,
    _xlpm.areaBuscada, C544,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TEXT(COUNTIF($C$2:C544, _xlpm.areaBuscada), "0000"),
    _xlpm.codItem &amp; "-" &amp; _xlpm.codArea &amp; "-" &amp; _xlpm.secuencia
)</f>
        <v>-SinArea-0000</v>
      </c>
      <c r="L544" s="77"/>
      <c r="M544" s="32"/>
      <c r="N544" s="32"/>
      <c r="O544" s="32"/>
      <c r="P544" s="32"/>
    </row>
    <row r="545" spans="3:16" x14ac:dyDescent="0.3">
      <c r="C545" s="11"/>
      <c r="D545" s="32"/>
      <c r="E545" s="11"/>
      <c r="G545" s="15"/>
      <c r="H545" s="47"/>
      <c r="I545" s="76"/>
      <c r="J545" s="76"/>
      <c r="K545" s="78" t="str">
        <f>_xlfn.LET(
    _xlpm.itemBuscado, B545,
    _xlpm.areaBuscada, C545,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TEXT(COUNTIF($C$2:C545, _xlpm.areaBuscada), "0000"),
    _xlpm.codItem &amp; "-" &amp; _xlpm.codArea &amp; "-" &amp; _xlpm.secuencia
)</f>
        <v>-SinArea-0000</v>
      </c>
      <c r="L545" s="77"/>
      <c r="M545" s="32"/>
      <c r="N545" s="32"/>
      <c r="O545" s="32"/>
      <c r="P545" s="32"/>
    </row>
    <row r="546" spans="3:16" x14ac:dyDescent="0.3">
      <c r="C546" s="11"/>
      <c r="D546" s="32"/>
      <c r="E546" s="11"/>
      <c r="G546" s="15"/>
      <c r="H546" s="47"/>
      <c r="I546" s="76"/>
      <c r="J546" s="76"/>
      <c r="K546" s="78" t="str">
        <f>_xlfn.LET(
    _xlpm.itemBuscado, B546,
    _xlpm.areaBuscada, C546,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TEXT(COUNTIF($C$2:C546, _xlpm.areaBuscada), "0000"),
    _xlpm.codItem &amp; "-" &amp; _xlpm.codArea &amp; "-" &amp; _xlpm.secuencia
)</f>
        <v>-SinArea-0000</v>
      </c>
      <c r="L546" s="77"/>
      <c r="M546" s="32"/>
      <c r="N546" s="32"/>
      <c r="O546" s="32"/>
      <c r="P546" s="32"/>
    </row>
    <row r="547" spans="3:16" x14ac:dyDescent="0.3">
      <c r="C547" s="11"/>
      <c r="D547" s="32"/>
      <c r="E547" s="11"/>
      <c r="G547" s="15"/>
      <c r="H547" s="47"/>
      <c r="I547" s="76"/>
      <c r="J547" s="76"/>
      <c r="K547" s="78" t="str">
        <f>_xlfn.LET(
    _xlpm.itemBuscado, B547,
    _xlpm.areaBuscada, C547,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TEXT(COUNTIF($C$2:C547, _xlpm.areaBuscada), "0000"),
    _xlpm.codItem &amp; "-" &amp; _xlpm.codArea &amp; "-" &amp; _xlpm.secuencia
)</f>
        <v>-SinArea-0000</v>
      </c>
      <c r="L547" s="77"/>
      <c r="M547" s="32"/>
      <c r="N547" s="32"/>
      <c r="O547" s="32"/>
      <c r="P547" s="32"/>
    </row>
    <row r="548" spans="3:16" x14ac:dyDescent="0.3">
      <c r="C548" s="11"/>
      <c r="D548" s="32"/>
      <c r="E548" s="11"/>
      <c r="G548" s="15"/>
      <c r="H548" s="47"/>
      <c r="I548" s="76"/>
      <c r="J548" s="76"/>
      <c r="K548" s="78" t="str">
        <f>_xlfn.LET(
    _xlpm.itemBuscado, B548,
    _xlpm.areaBuscada, C548,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TEXT(COUNTIF($C$2:C548, _xlpm.areaBuscada), "0000"),
    _xlpm.codItem &amp; "-" &amp; _xlpm.codArea &amp; "-" &amp; _xlpm.secuencia
)</f>
        <v>-SinArea-0000</v>
      </c>
      <c r="L548" s="77"/>
      <c r="M548" s="32"/>
      <c r="N548" s="32"/>
      <c r="O548" s="32"/>
      <c r="P548" s="32"/>
    </row>
    <row r="549" spans="3:16" x14ac:dyDescent="0.3">
      <c r="C549" s="11"/>
      <c r="D549" s="32"/>
      <c r="E549" s="11"/>
      <c r="G549" s="15"/>
      <c r="H549" s="47"/>
      <c r="I549" s="76"/>
      <c r="J549" s="76"/>
      <c r="K549" s="78" t="str">
        <f>_xlfn.LET(
    _xlpm.itemBuscado, B549,
    _xlpm.areaBuscada, C549,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TEXT(COUNTIF($C$2:C549, _xlpm.areaBuscada), "0000"),
    _xlpm.codItem &amp; "-" &amp; _xlpm.codArea &amp; "-" &amp; _xlpm.secuencia
)</f>
        <v>-SinArea-0000</v>
      </c>
      <c r="L549" s="77"/>
      <c r="M549" s="32"/>
      <c r="N549" s="32"/>
      <c r="O549" s="32"/>
      <c r="P549" s="32"/>
    </row>
    <row r="550" spans="3:16" x14ac:dyDescent="0.3">
      <c r="C550" s="11"/>
      <c r="D550" s="32"/>
      <c r="E550" s="11"/>
      <c r="G550" s="15"/>
      <c r="H550" s="47"/>
      <c r="I550" s="76"/>
      <c r="J550" s="76"/>
      <c r="K550" s="78" t="str">
        <f>_xlfn.LET(
    _xlpm.itemBuscado, B550,
    _xlpm.areaBuscada, C550,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TEXT(COUNTIF($C$2:C550, _xlpm.areaBuscada), "0000"),
    _xlpm.codItem &amp; "-" &amp; _xlpm.codArea &amp; "-" &amp; _xlpm.secuencia
)</f>
        <v>-SinArea-0000</v>
      </c>
      <c r="L550" s="77"/>
      <c r="M550" s="32"/>
      <c r="N550" s="32"/>
      <c r="O550" s="32"/>
      <c r="P550" s="32"/>
    </row>
    <row r="551" spans="3:16" x14ac:dyDescent="0.3">
      <c r="C551" s="11"/>
      <c r="D551" s="32"/>
      <c r="E551" s="11"/>
      <c r="G551" s="15"/>
      <c r="H551" s="47"/>
      <c r="I551" s="76"/>
      <c r="J551" s="76"/>
      <c r="K551" s="78" t="str">
        <f>_xlfn.LET(
    _xlpm.itemBuscado, B551,
    _xlpm.areaBuscada, C551,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TEXT(COUNTIF($C$2:C551, _xlpm.areaBuscada), "0000"),
    _xlpm.codItem &amp; "-" &amp; _xlpm.codArea &amp; "-" &amp; _xlpm.secuencia
)</f>
        <v>-SinArea-0000</v>
      </c>
      <c r="L551" s="77"/>
      <c r="M551" s="32"/>
      <c r="N551" s="32"/>
      <c r="O551" s="32"/>
      <c r="P551" s="32"/>
    </row>
    <row r="552" spans="3:16" x14ac:dyDescent="0.3">
      <c r="C552" s="11"/>
      <c r="D552" s="32"/>
      <c r="E552" s="11"/>
      <c r="G552" s="15"/>
      <c r="H552" s="47"/>
      <c r="I552" s="76"/>
      <c r="J552" s="76"/>
      <c r="K552" s="78" t="str">
        <f>_xlfn.LET(
    _xlpm.itemBuscado, B552,
    _xlpm.areaBuscada, C552,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TEXT(COUNTIF($C$2:C552, _xlpm.areaBuscada), "0000"),
    _xlpm.codItem &amp; "-" &amp; _xlpm.codArea &amp; "-" &amp; _xlpm.secuencia
)</f>
        <v>-SinArea-0000</v>
      </c>
      <c r="L552" s="77"/>
      <c r="M552" s="32"/>
      <c r="N552" s="32"/>
      <c r="O552" s="32"/>
      <c r="P552" s="32"/>
    </row>
    <row r="553" spans="3:16" x14ac:dyDescent="0.3">
      <c r="C553" s="11"/>
      <c r="D553" s="32"/>
      <c r="E553" s="11"/>
      <c r="G553" s="15"/>
      <c r="H553" s="47"/>
      <c r="I553" s="76"/>
      <c r="J553" s="76"/>
      <c r="K553" s="78" t="str">
        <f>_xlfn.LET(
    _xlpm.itemBuscado, B553,
    _xlpm.areaBuscada, C553,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TEXT(COUNTIF($C$2:C553, _xlpm.areaBuscada), "0000"),
    _xlpm.codItem &amp; "-" &amp; _xlpm.codArea &amp; "-" &amp; _xlpm.secuencia
)</f>
        <v>-SinArea-0000</v>
      </c>
      <c r="L553" s="77"/>
      <c r="M553" s="32"/>
      <c r="N553" s="32"/>
      <c r="O553" s="32"/>
      <c r="P553" s="32"/>
    </row>
    <row r="554" spans="3:16" x14ac:dyDescent="0.3">
      <c r="C554" s="11"/>
      <c r="D554" s="32"/>
      <c r="E554" s="11"/>
      <c r="G554" s="15"/>
      <c r="H554" s="47"/>
      <c r="I554" s="76"/>
      <c r="J554" s="76"/>
      <c r="K554" s="78" t="str">
        <f>_xlfn.LET(
    _xlpm.itemBuscado, B554,
    _xlpm.areaBuscada, C554,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TEXT(COUNTIF($C$2:C554, _xlpm.areaBuscada), "0000"),
    _xlpm.codItem &amp; "-" &amp; _xlpm.codArea &amp; "-" &amp; _xlpm.secuencia
)</f>
        <v>-SinArea-0000</v>
      </c>
      <c r="L554" s="77"/>
      <c r="M554" s="32"/>
      <c r="N554" s="32"/>
      <c r="O554" s="32"/>
      <c r="P554" s="32"/>
    </row>
    <row r="555" spans="3:16" x14ac:dyDescent="0.3">
      <c r="C555" s="11"/>
      <c r="D555" s="32"/>
      <c r="E555" s="11"/>
      <c r="G555" s="15"/>
      <c r="H555" s="47"/>
      <c r="I555" s="76"/>
      <c r="J555" s="76"/>
      <c r="K555" s="78" t="str">
        <f>_xlfn.LET(
    _xlpm.itemBuscado, B555,
    _xlpm.areaBuscada, C555,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TEXT(COUNTIF($C$2:C555, _xlpm.areaBuscada), "0000"),
    _xlpm.codItem &amp; "-" &amp; _xlpm.codArea &amp; "-" &amp; _xlpm.secuencia
)</f>
        <v>-SinArea-0000</v>
      </c>
      <c r="L555" s="77"/>
      <c r="M555" s="32"/>
      <c r="N555" s="32"/>
      <c r="O555" s="32"/>
      <c r="P555" s="32"/>
    </row>
    <row r="556" spans="3:16" x14ac:dyDescent="0.3">
      <c r="C556" s="11"/>
      <c r="D556" s="32"/>
      <c r="E556" s="11"/>
      <c r="G556" s="15"/>
      <c r="H556" s="47"/>
      <c r="I556" s="76"/>
      <c r="J556" s="76"/>
      <c r="K556" s="78" t="str">
        <f>_xlfn.LET(
    _xlpm.itemBuscado, B556,
    _xlpm.areaBuscada, C556,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TEXT(COUNTIF($C$2:C556, _xlpm.areaBuscada), "0000"),
    _xlpm.codItem &amp; "-" &amp; _xlpm.codArea &amp; "-" &amp; _xlpm.secuencia
)</f>
        <v>-SinArea-0000</v>
      </c>
      <c r="L556" s="77"/>
      <c r="M556" s="32"/>
      <c r="N556" s="32"/>
      <c r="O556" s="32"/>
      <c r="P556" s="32"/>
    </row>
    <row r="557" spans="3:16" x14ac:dyDescent="0.3">
      <c r="C557" s="11"/>
      <c r="D557" s="32"/>
      <c r="E557" s="11"/>
      <c r="G557" s="15"/>
      <c r="H557" s="47"/>
      <c r="I557" s="76"/>
      <c r="J557" s="76"/>
      <c r="K557" s="78" t="str">
        <f>_xlfn.LET(
    _xlpm.itemBuscado, B557,
    _xlpm.areaBuscada, C557,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TEXT(COUNTIF($C$2:C557, _xlpm.areaBuscada), "0000"),
    _xlpm.codItem &amp; "-" &amp; _xlpm.codArea &amp; "-" &amp; _xlpm.secuencia
)</f>
        <v>-SinArea-0000</v>
      </c>
      <c r="L557" s="77"/>
      <c r="M557" s="32"/>
      <c r="N557" s="32"/>
      <c r="O557" s="32"/>
      <c r="P557" s="32"/>
    </row>
    <row r="558" spans="3:16" x14ac:dyDescent="0.3">
      <c r="C558" s="11"/>
      <c r="D558" s="32"/>
      <c r="E558" s="11"/>
      <c r="G558" s="15"/>
      <c r="H558" s="47"/>
      <c r="I558" s="76"/>
      <c r="J558" s="76"/>
      <c r="K558" s="78" t="str">
        <f>_xlfn.LET(
    _xlpm.itemBuscado, B558,
    _xlpm.areaBuscada, C558,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TEXT(COUNTIF($C$2:C558, _xlpm.areaBuscada), "0000"),
    _xlpm.codItem &amp; "-" &amp; _xlpm.codArea &amp; "-" &amp; _xlpm.secuencia
)</f>
        <v>-SinArea-0000</v>
      </c>
      <c r="L558" s="77"/>
      <c r="M558" s="32"/>
      <c r="N558" s="32"/>
      <c r="O558" s="32"/>
      <c r="P558" s="32"/>
    </row>
    <row r="559" spans="3:16" x14ac:dyDescent="0.3">
      <c r="C559" s="11"/>
      <c r="D559" s="32"/>
      <c r="E559" s="11"/>
      <c r="G559" s="15"/>
      <c r="H559" s="47"/>
      <c r="I559" s="76"/>
      <c r="J559" s="76"/>
      <c r="K559" s="78" t="str">
        <f>_xlfn.LET(
    _xlpm.itemBuscado, B559,
    _xlpm.areaBuscada, C559,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TEXT(COUNTIF($C$2:C559, _xlpm.areaBuscada), "0000"),
    _xlpm.codItem &amp; "-" &amp; _xlpm.codArea &amp; "-" &amp; _xlpm.secuencia
)</f>
        <v>-SinArea-0000</v>
      </c>
      <c r="L559" s="77"/>
      <c r="M559" s="32"/>
      <c r="N559" s="32"/>
      <c r="O559" s="32"/>
      <c r="P559" s="32"/>
    </row>
    <row r="560" spans="3:16" x14ac:dyDescent="0.3">
      <c r="C560" s="11"/>
      <c r="D560" s="32"/>
      <c r="E560" s="11"/>
      <c r="G560" s="15"/>
      <c r="H560" s="47"/>
      <c r="I560" s="76"/>
      <c r="J560" s="76"/>
      <c r="K560" s="78" t="str">
        <f>_xlfn.LET(
    _xlpm.itemBuscado, B560,
    _xlpm.areaBuscada, C560,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TEXT(COUNTIF($C$2:C560, _xlpm.areaBuscada), "0000"),
    _xlpm.codItem &amp; "-" &amp; _xlpm.codArea &amp; "-" &amp; _xlpm.secuencia
)</f>
        <v>-SinArea-0000</v>
      </c>
      <c r="L560" s="77"/>
      <c r="M560" s="32"/>
      <c r="N560" s="32"/>
      <c r="O560" s="32"/>
      <c r="P560" s="32"/>
    </row>
    <row r="561" spans="3:16" x14ac:dyDescent="0.3">
      <c r="C561" s="11"/>
      <c r="D561" s="32"/>
      <c r="E561" s="11"/>
      <c r="G561" s="15"/>
      <c r="H561" s="47"/>
      <c r="I561" s="76"/>
      <c r="J561" s="76"/>
      <c r="K561" s="78" t="str">
        <f>_xlfn.LET(
    _xlpm.itemBuscado, B561,
    _xlpm.areaBuscada, C561,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TEXT(COUNTIF($C$2:C561, _xlpm.areaBuscada), "0000"),
    _xlpm.codItem &amp; "-" &amp; _xlpm.codArea &amp; "-" &amp; _xlpm.secuencia
)</f>
        <v>-SinArea-0000</v>
      </c>
      <c r="L561" s="77"/>
      <c r="M561" s="32"/>
      <c r="N561" s="32"/>
      <c r="O561" s="32"/>
      <c r="P561" s="32"/>
    </row>
    <row r="562" spans="3:16" x14ac:dyDescent="0.3">
      <c r="C562" s="11"/>
      <c r="D562" s="32"/>
      <c r="E562" s="11"/>
      <c r="G562" s="15"/>
      <c r="H562" s="47"/>
      <c r="I562" s="76"/>
      <c r="J562" s="76"/>
      <c r="K562" s="78" t="str">
        <f>_xlfn.LET(
    _xlpm.itemBuscado, B562,
    _xlpm.areaBuscada, C562,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TEXT(COUNTIF($C$2:C562, _xlpm.areaBuscada), "0000"),
    _xlpm.codItem &amp; "-" &amp; _xlpm.codArea &amp; "-" &amp; _xlpm.secuencia
)</f>
        <v>-SinArea-0000</v>
      </c>
      <c r="L562" s="77"/>
      <c r="M562" s="32"/>
      <c r="N562" s="32"/>
      <c r="O562" s="32"/>
      <c r="P562" s="32"/>
    </row>
    <row r="563" spans="3:16" x14ac:dyDescent="0.3">
      <c r="C563" s="11"/>
      <c r="D563" s="32"/>
      <c r="E563" s="11"/>
      <c r="G563" s="15"/>
      <c r="H563" s="47"/>
      <c r="I563" s="76"/>
      <c r="J563" s="76"/>
      <c r="K563" s="78" t="str">
        <f>_xlfn.LET(
    _xlpm.itemBuscado, B563,
    _xlpm.areaBuscada, C563,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TEXT(COUNTIF($C$2:C563, _xlpm.areaBuscada), "0000"),
    _xlpm.codItem &amp; "-" &amp; _xlpm.codArea &amp; "-" &amp; _xlpm.secuencia
)</f>
        <v>-SinArea-0000</v>
      </c>
      <c r="L563" s="77"/>
      <c r="M563" s="32"/>
      <c r="N563" s="32"/>
      <c r="O563" s="32"/>
      <c r="P563" s="32"/>
    </row>
    <row r="564" spans="3:16" x14ac:dyDescent="0.3">
      <c r="C564" s="11"/>
      <c r="D564" s="32"/>
      <c r="E564" s="11"/>
      <c r="G564" s="15"/>
      <c r="H564" s="47"/>
      <c r="I564" s="76"/>
      <c r="J564" s="76"/>
      <c r="K564" s="78" t="str">
        <f>_xlfn.LET(
    _xlpm.itemBuscado, B564,
    _xlpm.areaBuscada, C564,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TEXT(COUNTIF($C$2:C564, _xlpm.areaBuscada), "0000"),
    _xlpm.codItem &amp; "-" &amp; _xlpm.codArea &amp; "-" &amp; _xlpm.secuencia
)</f>
        <v>-SinArea-0000</v>
      </c>
      <c r="L564" s="77"/>
      <c r="M564" s="32"/>
      <c r="N564" s="32"/>
      <c r="O564" s="32"/>
      <c r="P564" s="32"/>
    </row>
    <row r="565" spans="3:16" x14ac:dyDescent="0.3">
      <c r="C565" s="11"/>
      <c r="D565" s="32"/>
      <c r="E565" s="11"/>
      <c r="G565" s="15"/>
      <c r="H565" s="47"/>
      <c r="I565" s="76"/>
      <c r="J565" s="76"/>
      <c r="K565" s="78" t="str">
        <f>_xlfn.LET(
    _xlpm.itemBuscado, B565,
    _xlpm.areaBuscada, C565,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TEXT(COUNTIF($C$2:C565, _xlpm.areaBuscada), "0000"),
    _xlpm.codItem &amp; "-" &amp; _xlpm.codArea &amp; "-" &amp; _xlpm.secuencia
)</f>
        <v>-SinArea-0000</v>
      </c>
      <c r="L565" s="77"/>
      <c r="M565" s="32"/>
      <c r="N565" s="32"/>
      <c r="O565" s="32"/>
      <c r="P565" s="32"/>
    </row>
    <row r="566" spans="3:16" x14ac:dyDescent="0.3">
      <c r="C566" s="11"/>
      <c r="D566" s="32"/>
      <c r="E566" s="11"/>
      <c r="G566" s="15"/>
      <c r="H566" s="47"/>
      <c r="I566" s="76"/>
      <c r="J566" s="76"/>
      <c r="K566" s="78" t="str">
        <f>_xlfn.LET(
    _xlpm.itemBuscado, B566,
    _xlpm.areaBuscada, C566,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TEXT(COUNTIF($C$2:C566, _xlpm.areaBuscada), "0000"),
    _xlpm.codItem &amp; "-" &amp; _xlpm.codArea &amp; "-" &amp; _xlpm.secuencia
)</f>
        <v>-SinArea-0000</v>
      </c>
      <c r="L566" s="77"/>
      <c r="M566" s="32"/>
      <c r="N566" s="32"/>
      <c r="O566" s="32"/>
      <c r="P566" s="32"/>
    </row>
    <row r="567" spans="3:16" x14ac:dyDescent="0.3">
      <c r="C567" s="11"/>
      <c r="D567" s="32"/>
      <c r="E567" s="11"/>
      <c r="G567" s="15"/>
      <c r="H567" s="47"/>
      <c r="I567" s="76"/>
      <c r="J567" s="76"/>
      <c r="K567" s="78" t="str">
        <f>_xlfn.LET(
    _xlpm.itemBuscado, B567,
    _xlpm.areaBuscada, C567,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TEXT(COUNTIF($C$2:C567, _xlpm.areaBuscada), "0000"),
    _xlpm.codItem &amp; "-" &amp; _xlpm.codArea &amp; "-" &amp; _xlpm.secuencia
)</f>
        <v>-SinArea-0000</v>
      </c>
      <c r="L567" s="77"/>
      <c r="M567" s="32"/>
      <c r="N567" s="32"/>
      <c r="O567" s="32"/>
      <c r="P567" s="32"/>
    </row>
    <row r="568" spans="3:16" x14ac:dyDescent="0.3">
      <c r="C568" s="11"/>
      <c r="D568" s="32"/>
      <c r="E568" s="11"/>
      <c r="G568" s="15"/>
      <c r="H568" s="47"/>
      <c r="I568" s="76"/>
      <c r="J568" s="76"/>
      <c r="K568" s="78" t="str">
        <f>_xlfn.LET(
    _xlpm.itemBuscado, B568,
    _xlpm.areaBuscada, C568,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TEXT(COUNTIF($C$2:C568, _xlpm.areaBuscada), "0000"),
    _xlpm.codItem &amp; "-" &amp; _xlpm.codArea &amp; "-" &amp; _xlpm.secuencia
)</f>
        <v>-SinArea-0000</v>
      </c>
      <c r="L568" s="77"/>
      <c r="M568" s="32"/>
      <c r="N568" s="32"/>
      <c r="O568" s="32"/>
      <c r="P568" s="32"/>
    </row>
    <row r="569" spans="3:16" x14ac:dyDescent="0.3">
      <c r="C569" s="11"/>
      <c r="D569" s="32"/>
      <c r="E569" s="11"/>
      <c r="G569" s="15"/>
      <c r="H569" s="47"/>
      <c r="I569" s="76"/>
      <c r="J569" s="76"/>
      <c r="K569" s="78" t="str">
        <f>_xlfn.LET(
    _xlpm.itemBuscado, B569,
    _xlpm.areaBuscada, C569,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TEXT(COUNTIF($C$2:C569, _xlpm.areaBuscada), "0000"),
    _xlpm.codItem &amp; "-" &amp; _xlpm.codArea &amp; "-" &amp; _xlpm.secuencia
)</f>
        <v>-SinArea-0000</v>
      </c>
      <c r="L569" s="77"/>
      <c r="M569" s="32"/>
      <c r="N569" s="32"/>
      <c r="O569" s="32"/>
      <c r="P569" s="32"/>
    </row>
    <row r="570" spans="3:16" x14ac:dyDescent="0.3">
      <c r="C570" s="11"/>
      <c r="D570" s="32"/>
      <c r="E570" s="11"/>
      <c r="G570" s="15"/>
      <c r="H570" s="47"/>
      <c r="I570" s="76"/>
      <c r="J570" s="76"/>
      <c r="K570" s="78" t="str">
        <f>_xlfn.LET(
    _xlpm.itemBuscado, B570,
    _xlpm.areaBuscada, C570,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TEXT(COUNTIF($C$2:C570, _xlpm.areaBuscada), "0000"),
    _xlpm.codItem &amp; "-" &amp; _xlpm.codArea &amp; "-" &amp; _xlpm.secuencia
)</f>
        <v>-SinArea-0000</v>
      </c>
      <c r="L570" s="77"/>
      <c r="M570" s="32"/>
      <c r="N570" s="32"/>
      <c r="O570" s="32"/>
      <c r="P570" s="32"/>
    </row>
    <row r="571" spans="3:16" x14ac:dyDescent="0.3">
      <c r="C571" s="11"/>
      <c r="D571" s="32"/>
      <c r="E571" s="11"/>
      <c r="G571" s="15"/>
      <c r="H571" s="47"/>
      <c r="I571" s="76"/>
      <c r="J571" s="76"/>
      <c r="K571" s="78" t="str">
        <f>_xlfn.LET(
    _xlpm.itemBuscado, B571,
    _xlpm.areaBuscada, C571,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TEXT(COUNTIF($C$2:C571, _xlpm.areaBuscada), "0000"),
    _xlpm.codItem &amp; "-" &amp; _xlpm.codArea &amp; "-" &amp; _xlpm.secuencia
)</f>
        <v>-SinArea-0000</v>
      </c>
      <c r="L571" s="77"/>
      <c r="M571" s="32"/>
      <c r="N571" s="32"/>
      <c r="O571" s="32"/>
      <c r="P571" s="32"/>
    </row>
    <row r="572" spans="3:16" x14ac:dyDescent="0.3">
      <c r="C572" s="11"/>
      <c r="D572" s="32"/>
      <c r="E572" s="11"/>
      <c r="G572" s="15"/>
      <c r="H572" s="47"/>
      <c r="I572" s="76"/>
      <c r="J572" s="76"/>
      <c r="K572" s="78" t="str">
        <f>_xlfn.LET(
    _xlpm.itemBuscado, B572,
    _xlpm.areaBuscada, C572,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TEXT(COUNTIF($C$2:C572, _xlpm.areaBuscada), "0000"),
    _xlpm.codItem &amp; "-" &amp; _xlpm.codArea &amp; "-" &amp; _xlpm.secuencia
)</f>
        <v>-SinArea-0000</v>
      </c>
      <c r="L572" s="77"/>
      <c r="M572" s="32"/>
      <c r="N572" s="32"/>
      <c r="O572" s="32"/>
      <c r="P572" s="32"/>
    </row>
    <row r="573" spans="3:16" x14ac:dyDescent="0.3">
      <c r="C573" s="11"/>
      <c r="D573" s="32"/>
      <c r="E573" s="11"/>
      <c r="G573" s="15"/>
      <c r="H573" s="47"/>
      <c r="I573" s="76"/>
      <c r="J573" s="76"/>
      <c r="K573" s="78" t="str">
        <f>_xlfn.LET(
    _xlpm.itemBuscado, B573,
    _xlpm.areaBuscada, C573,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TEXT(COUNTIF($C$2:C573, _xlpm.areaBuscada), "0000"),
    _xlpm.codItem &amp; "-" &amp; _xlpm.codArea &amp; "-" &amp; _xlpm.secuencia
)</f>
        <v>-SinArea-0000</v>
      </c>
      <c r="L573" s="77"/>
      <c r="M573" s="32"/>
      <c r="N573" s="32"/>
      <c r="O573" s="32"/>
      <c r="P573" s="32"/>
    </row>
    <row r="574" spans="3:16" x14ac:dyDescent="0.3">
      <c r="C574" s="11"/>
      <c r="D574" s="32"/>
      <c r="E574" s="11"/>
      <c r="G574" s="15"/>
      <c r="H574" s="47"/>
      <c r="I574" s="76"/>
      <c r="J574" s="76"/>
      <c r="K574" s="78" t="str">
        <f>_xlfn.LET(
    _xlpm.itemBuscado, B574,
    _xlpm.areaBuscada, C574,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TEXT(COUNTIF($C$2:C574, _xlpm.areaBuscada), "0000"),
    _xlpm.codItem &amp; "-" &amp; _xlpm.codArea &amp; "-" &amp; _xlpm.secuencia
)</f>
        <v>-SinArea-0000</v>
      </c>
      <c r="L574" s="77"/>
      <c r="M574" s="32"/>
      <c r="N574" s="32"/>
      <c r="O574" s="32"/>
      <c r="P574" s="32"/>
    </row>
    <row r="575" spans="3:16" x14ac:dyDescent="0.3">
      <c r="C575" s="11"/>
      <c r="D575" s="32"/>
      <c r="E575" s="11"/>
      <c r="G575" s="15"/>
      <c r="H575" s="47"/>
      <c r="I575" s="76"/>
      <c r="J575" s="76"/>
      <c r="K575" s="78" t="str">
        <f>_xlfn.LET(
    _xlpm.itemBuscado, B575,
    _xlpm.areaBuscada, C575,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TEXT(COUNTIF($C$2:C575, _xlpm.areaBuscada), "0000"),
    _xlpm.codItem &amp; "-" &amp; _xlpm.codArea &amp; "-" &amp; _xlpm.secuencia
)</f>
        <v>-SinArea-0000</v>
      </c>
      <c r="L575" s="77"/>
      <c r="M575" s="32"/>
      <c r="N575" s="32"/>
      <c r="O575" s="32"/>
      <c r="P575" s="32"/>
    </row>
    <row r="576" spans="3:16" x14ac:dyDescent="0.3">
      <c r="C576" s="11"/>
      <c r="D576" s="32"/>
      <c r="E576" s="11"/>
      <c r="G576" s="15"/>
      <c r="H576" s="47"/>
      <c r="I576" s="76"/>
      <c r="J576" s="76"/>
      <c r="K576" s="78" t="str">
        <f>_xlfn.LET(
    _xlpm.itemBuscado, B576,
    _xlpm.areaBuscada, C576,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TEXT(COUNTIF($C$2:C576, _xlpm.areaBuscada), "0000"),
    _xlpm.codItem &amp; "-" &amp; _xlpm.codArea &amp; "-" &amp; _xlpm.secuencia
)</f>
        <v>-SinArea-0000</v>
      </c>
      <c r="L576" s="77"/>
      <c r="M576" s="32"/>
      <c r="N576" s="32"/>
      <c r="O576" s="32"/>
      <c r="P576" s="32"/>
    </row>
    <row r="577" spans="3:16" x14ac:dyDescent="0.3">
      <c r="C577" s="11"/>
      <c r="D577" s="32"/>
      <c r="E577" s="11"/>
      <c r="G577" s="15"/>
      <c r="H577" s="47"/>
      <c r="I577" s="76"/>
      <c r="J577" s="76"/>
      <c r="K577" s="78" t="str">
        <f>_xlfn.LET(
    _xlpm.itemBuscado, B577,
    _xlpm.areaBuscada, C577,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TEXT(COUNTIF($C$2:C577, _xlpm.areaBuscada), "0000"),
    _xlpm.codItem &amp; "-" &amp; _xlpm.codArea &amp; "-" &amp; _xlpm.secuencia
)</f>
        <v>-SinArea-0000</v>
      </c>
      <c r="L577" s="77"/>
      <c r="M577" s="32"/>
      <c r="N577" s="32"/>
      <c r="O577" s="32"/>
      <c r="P577" s="32"/>
    </row>
    <row r="578" spans="3:16" x14ac:dyDescent="0.3">
      <c r="C578" s="11"/>
      <c r="D578" s="32"/>
      <c r="E578" s="11"/>
      <c r="G578" s="15"/>
      <c r="H578" s="47"/>
      <c r="I578" s="76"/>
      <c r="J578" s="76"/>
      <c r="K578" s="78" t="str">
        <f>_xlfn.LET(
    _xlpm.itemBuscado, B578,
    _xlpm.areaBuscada, C578,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TEXT(COUNTIF($C$2:C578, _xlpm.areaBuscada), "0000"),
    _xlpm.codItem &amp; "-" &amp; _xlpm.codArea &amp; "-" &amp; _xlpm.secuencia
)</f>
        <v>-SinArea-0000</v>
      </c>
      <c r="L578" s="77"/>
      <c r="M578" s="32"/>
      <c r="N578" s="32"/>
      <c r="O578" s="32"/>
      <c r="P578" s="32"/>
    </row>
    <row r="579" spans="3:16" x14ac:dyDescent="0.3">
      <c r="C579" s="11"/>
      <c r="D579" s="32"/>
      <c r="E579" s="11"/>
      <c r="G579" s="15"/>
      <c r="H579" s="47"/>
      <c r="I579" s="76"/>
      <c r="J579" s="76"/>
      <c r="K579" s="78" t="str">
        <f>_xlfn.LET(
    _xlpm.itemBuscado, B579,
    _xlpm.areaBuscada, C579,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TEXT(COUNTIF($C$2:C579, _xlpm.areaBuscada), "0000"),
    _xlpm.codItem &amp; "-" &amp; _xlpm.codArea &amp; "-" &amp; _xlpm.secuencia
)</f>
        <v>-SinArea-0000</v>
      </c>
      <c r="L579" s="77"/>
      <c r="M579" s="32"/>
      <c r="N579" s="32"/>
      <c r="O579" s="32"/>
      <c r="P579" s="32"/>
    </row>
    <row r="580" spans="3:16" x14ac:dyDescent="0.3">
      <c r="C580" s="11"/>
      <c r="D580" s="32"/>
      <c r="E580" s="11"/>
      <c r="G580" s="15"/>
      <c r="H580" s="47"/>
      <c r="I580" s="76"/>
      <c r="J580" s="76"/>
      <c r="K580" s="78" t="str">
        <f>_xlfn.LET(
    _xlpm.itemBuscado, B580,
    _xlpm.areaBuscada, C580,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TEXT(COUNTIF($C$2:C580, _xlpm.areaBuscada), "0000"),
    _xlpm.codItem &amp; "-" &amp; _xlpm.codArea &amp; "-" &amp; _xlpm.secuencia
)</f>
        <v>-SinArea-0000</v>
      </c>
      <c r="L580" s="77"/>
      <c r="M580" s="32"/>
      <c r="N580" s="32"/>
      <c r="O580" s="32"/>
      <c r="P580" s="32"/>
    </row>
    <row r="581" spans="3:16" x14ac:dyDescent="0.3">
      <c r="C581" s="11"/>
      <c r="D581" s="32"/>
      <c r="E581" s="11"/>
      <c r="G581" s="15"/>
      <c r="H581" s="47"/>
      <c r="I581" s="76"/>
      <c r="J581" s="76"/>
      <c r="K581" s="78" t="str">
        <f>_xlfn.LET(
    _xlpm.itemBuscado, B581,
    _xlpm.areaBuscada, C581,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TEXT(COUNTIF($C$2:C581, _xlpm.areaBuscada), "0000"),
    _xlpm.codItem &amp; "-" &amp; _xlpm.codArea &amp; "-" &amp; _xlpm.secuencia
)</f>
        <v>-SinArea-0000</v>
      </c>
      <c r="L581" s="77"/>
      <c r="M581" s="32"/>
      <c r="N581" s="32"/>
      <c r="O581" s="32"/>
      <c r="P581" s="32"/>
    </row>
    <row r="582" spans="3:16" x14ac:dyDescent="0.3">
      <c r="C582" s="11"/>
      <c r="D582" s="32"/>
      <c r="E582" s="11"/>
      <c r="G582" s="15"/>
      <c r="H582" s="47"/>
      <c r="I582" s="76"/>
      <c r="J582" s="76"/>
      <c r="K582" s="78" t="str">
        <f>_xlfn.LET(
    _xlpm.itemBuscado, B582,
    _xlpm.areaBuscada, C582,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TEXT(COUNTIF($C$2:C582, _xlpm.areaBuscada), "0000"),
    _xlpm.codItem &amp; "-" &amp; _xlpm.codArea &amp; "-" &amp; _xlpm.secuencia
)</f>
        <v>-SinArea-0000</v>
      </c>
      <c r="L582" s="77"/>
      <c r="M582" s="32"/>
      <c r="N582" s="32"/>
      <c r="O582" s="32"/>
      <c r="P582" s="32"/>
    </row>
    <row r="583" spans="3:16" x14ac:dyDescent="0.3">
      <c r="C583" s="11"/>
      <c r="D583" s="32"/>
      <c r="E583" s="11"/>
      <c r="G583" s="15"/>
      <c r="H583" s="47"/>
      <c r="I583" s="76"/>
      <c r="J583" s="76"/>
      <c r="K583" s="78" t="str">
        <f>_xlfn.LET(
    _xlpm.itemBuscado, B583,
    _xlpm.areaBuscada, C583,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TEXT(COUNTIF($C$2:C583, _xlpm.areaBuscada), "0000"),
    _xlpm.codItem &amp; "-" &amp; _xlpm.codArea &amp; "-" &amp; _xlpm.secuencia
)</f>
        <v>-SinArea-0000</v>
      </c>
      <c r="L583" s="77"/>
      <c r="M583" s="32"/>
      <c r="N583" s="32"/>
      <c r="O583" s="32"/>
      <c r="P583" s="32"/>
    </row>
    <row r="584" spans="3:16" x14ac:dyDescent="0.3">
      <c r="C584" s="11"/>
      <c r="D584" s="32"/>
      <c r="E584" s="11"/>
      <c r="G584" s="15"/>
      <c r="H584" s="47"/>
      <c r="I584" s="76"/>
      <c r="J584" s="76"/>
      <c r="K584" s="78" t="str">
        <f>_xlfn.LET(
    _xlpm.itemBuscado, B584,
    _xlpm.areaBuscada, C584,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TEXT(COUNTIF($C$2:C584, _xlpm.areaBuscada), "0000"),
    _xlpm.codItem &amp; "-" &amp; _xlpm.codArea &amp; "-" &amp; _xlpm.secuencia
)</f>
        <v>-SinArea-0000</v>
      </c>
      <c r="L584" s="77"/>
      <c r="M584" s="32"/>
      <c r="N584" s="32"/>
      <c r="O584" s="32"/>
      <c r="P584" s="32"/>
    </row>
    <row r="585" spans="3:16" x14ac:dyDescent="0.3">
      <c r="C585" s="11"/>
      <c r="D585" s="32"/>
      <c r="E585" s="11"/>
      <c r="G585" s="15"/>
      <c r="H585" s="47"/>
      <c r="I585" s="76"/>
      <c r="J585" s="76"/>
      <c r="K585" s="78" t="str">
        <f>_xlfn.LET(
    _xlpm.itemBuscado, B585,
    _xlpm.areaBuscada, C585,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TEXT(COUNTIF($C$2:C585, _xlpm.areaBuscada), "0000"),
    _xlpm.codItem &amp; "-" &amp; _xlpm.codArea &amp; "-" &amp; _xlpm.secuencia
)</f>
        <v>-SinArea-0000</v>
      </c>
      <c r="L585" s="77"/>
      <c r="M585" s="32"/>
      <c r="N585" s="32"/>
      <c r="O585" s="32"/>
      <c r="P585" s="32"/>
    </row>
    <row r="586" spans="3:16" x14ac:dyDescent="0.3">
      <c r="C586" s="11"/>
      <c r="D586" s="32"/>
      <c r="E586" s="11"/>
      <c r="G586" s="15"/>
      <c r="H586" s="47"/>
      <c r="I586" s="76"/>
      <c r="J586" s="76"/>
      <c r="K586" s="78" t="str">
        <f>_xlfn.LET(
    _xlpm.itemBuscado, B586,
    _xlpm.areaBuscada, C586,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TEXT(COUNTIF($C$2:C586, _xlpm.areaBuscada), "0000"),
    _xlpm.codItem &amp; "-" &amp; _xlpm.codArea &amp; "-" &amp; _xlpm.secuencia
)</f>
        <v>-SinArea-0000</v>
      </c>
      <c r="L586" s="77"/>
      <c r="M586" s="32"/>
      <c r="N586" s="32"/>
      <c r="O586" s="32"/>
      <c r="P586" s="32"/>
    </row>
    <row r="587" spans="3:16" x14ac:dyDescent="0.3">
      <c r="C587" s="11"/>
      <c r="D587" s="32"/>
      <c r="E587" s="11"/>
      <c r="G587" s="15"/>
      <c r="H587" s="47"/>
      <c r="I587" s="76"/>
      <c r="J587" s="76"/>
      <c r="K587" s="78" t="str">
        <f>_xlfn.LET(
    _xlpm.itemBuscado, B587,
    _xlpm.areaBuscada, C587,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TEXT(COUNTIF($C$2:C587, _xlpm.areaBuscada), "0000"),
    _xlpm.codItem &amp; "-" &amp; _xlpm.codArea &amp; "-" &amp; _xlpm.secuencia
)</f>
        <v>-SinArea-0000</v>
      </c>
      <c r="L587" s="77"/>
      <c r="M587" s="32"/>
      <c r="N587" s="32"/>
      <c r="O587" s="32"/>
      <c r="P587" s="32"/>
    </row>
    <row r="588" spans="3:16" x14ac:dyDescent="0.3">
      <c r="C588" s="11"/>
      <c r="D588" s="32"/>
      <c r="E588" s="11"/>
      <c r="G588" s="15"/>
      <c r="H588" s="47"/>
      <c r="I588" s="76"/>
      <c r="J588" s="76"/>
      <c r="K588" s="78" t="str">
        <f>_xlfn.LET(
    _xlpm.itemBuscado, B588,
    _xlpm.areaBuscada, C588,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TEXT(COUNTIF($C$2:C588, _xlpm.areaBuscada), "0000"),
    _xlpm.codItem &amp; "-" &amp; _xlpm.codArea &amp; "-" &amp; _xlpm.secuencia
)</f>
        <v>-SinArea-0000</v>
      </c>
      <c r="L588" s="77"/>
      <c r="M588" s="32"/>
      <c r="N588" s="32"/>
      <c r="O588" s="32"/>
      <c r="P588" s="32"/>
    </row>
    <row r="589" spans="3:16" x14ac:dyDescent="0.3">
      <c r="C589" s="11"/>
      <c r="D589" s="32"/>
      <c r="E589" s="11"/>
      <c r="G589" s="15"/>
      <c r="H589" s="47"/>
      <c r="I589" s="76"/>
      <c r="J589" s="76"/>
      <c r="K589" s="78" t="str">
        <f>_xlfn.LET(
    _xlpm.itemBuscado, B589,
    _xlpm.areaBuscada, C589,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TEXT(COUNTIF($C$2:C589, _xlpm.areaBuscada), "0000"),
    _xlpm.codItem &amp; "-" &amp; _xlpm.codArea &amp; "-" &amp; _xlpm.secuencia
)</f>
        <v>-SinArea-0000</v>
      </c>
      <c r="L589" s="77"/>
      <c r="M589" s="32"/>
      <c r="N589" s="32"/>
      <c r="O589" s="32"/>
      <c r="P589" s="32"/>
    </row>
    <row r="590" spans="3:16" x14ac:dyDescent="0.3">
      <c r="C590" s="11"/>
      <c r="D590" s="32"/>
      <c r="E590" s="11"/>
      <c r="G590" s="15"/>
      <c r="H590" s="47"/>
      <c r="I590" s="76"/>
      <c r="J590" s="76"/>
      <c r="K590" s="78" t="str">
        <f>_xlfn.LET(
    _xlpm.itemBuscado, B590,
    _xlpm.areaBuscada, C590,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TEXT(COUNTIF($C$2:C590, _xlpm.areaBuscada), "0000"),
    _xlpm.codItem &amp; "-" &amp; _xlpm.codArea &amp; "-" &amp; _xlpm.secuencia
)</f>
        <v>-SinArea-0000</v>
      </c>
      <c r="L590" s="77"/>
      <c r="M590" s="32"/>
      <c r="N590" s="32"/>
      <c r="O590" s="32"/>
      <c r="P590" s="32"/>
    </row>
    <row r="591" spans="3:16" x14ac:dyDescent="0.3">
      <c r="C591" s="11"/>
      <c r="D591" s="32"/>
      <c r="E591" s="11"/>
      <c r="G591" s="15"/>
      <c r="H591" s="47"/>
      <c r="I591" s="76"/>
      <c r="J591" s="76"/>
      <c r="K591" s="78" t="str">
        <f>_xlfn.LET(
    _xlpm.itemBuscado, B591,
    _xlpm.areaBuscada, C591,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TEXT(COUNTIF($C$2:C591, _xlpm.areaBuscada), "0000"),
    _xlpm.codItem &amp; "-" &amp; _xlpm.codArea &amp; "-" &amp; _xlpm.secuencia
)</f>
        <v>-SinArea-0000</v>
      </c>
      <c r="L591" s="77"/>
      <c r="M591" s="32"/>
      <c r="N591" s="32"/>
      <c r="O591" s="32"/>
      <c r="P591" s="32"/>
    </row>
    <row r="592" spans="3:16" x14ac:dyDescent="0.3">
      <c r="C592" s="11"/>
      <c r="D592" s="32"/>
      <c r="E592" s="11"/>
      <c r="G592" s="15"/>
      <c r="H592" s="47"/>
      <c r="I592" s="76"/>
      <c r="J592" s="76"/>
      <c r="K592" s="78" t="str">
        <f>_xlfn.LET(
    _xlpm.itemBuscado, B592,
    _xlpm.areaBuscada, C592,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TEXT(COUNTIF($C$2:C592, _xlpm.areaBuscada), "0000"),
    _xlpm.codItem &amp; "-" &amp; _xlpm.codArea &amp; "-" &amp; _xlpm.secuencia
)</f>
        <v>-SinArea-0000</v>
      </c>
      <c r="L592" s="77"/>
      <c r="M592" s="32"/>
      <c r="N592" s="32"/>
      <c r="O592" s="32"/>
      <c r="P592" s="32"/>
    </row>
    <row r="593" spans="3:16" x14ac:dyDescent="0.3">
      <c r="C593" s="11"/>
      <c r="D593" s="32"/>
      <c r="E593" s="11"/>
      <c r="G593" s="15"/>
      <c r="H593" s="47"/>
      <c r="I593" s="76"/>
      <c r="J593" s="76"/>
      <c r="K593" s="78" t="str">
        <f>_xlfn.LET(
    _xlpm.itemBuscado, B593,
    _xlpm.areaBuscada, C593,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TEXT(COUNTIF($C$2:C593, _xlpm.areaBuscada), "0000"),
    _xlpm.codItem &amp; "-" &amp; _xlpm.codArea &amp; "-" &amp; _xlpm.secuencia
)</f>
        <v>-SinArea-0000</v>
      </c>
      <c r="L593" s="77"/>
      <c r="M593" s="32"/>
      <c r="N593" s="32"/>
      <c r="O593" s="32"/>
      <c r="P593" s="32"/>
    </row>
    <row r="594" spans="3:16" x14ac:dyDescent="0.3">
      <c r="C594" s="11"/>
      <c r="D594" s="32"/>
      <c r="E594" s="11"/>
      <c r="G594" s="15"/>
      <c r="H594" s="47"/>
      <c r="I594" s="76"/>
      <c r="J594" s="76"/>
      <c r="K594" s="78" t="str">
        <f>_xlfn.LET(
    _xlpm.itemBuscado, B594,
    _xlpm.areaBuscada, C594,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TEXT(COUNTIF($C$2:C594, _xlpm.areaBuscada), "0000"),
    _xlpm.codItem &amp; "-" &amp; _xlpm.codArea &amp; "-" &amp; _xlpm.secuencia
)</f>
        <v>-SinArea-0000</v>
      </c>
      <c r="L594" s="77"/>
      <c r="M594" s="32"/>
      <c r="N594" s="32"/>
      <c r="O594" s="32"/>
      <c r="P594" s="32"/>
    </row>
    <row r="595" spans="3:16" x14ac:dyDescent="0.3">
      <c r="C595" s="11"/>
      <c r="D595" s="32"/>
      <c r="E595" s="11"/>
      <c r="G595" s="15"/>
      <c r="H595" s="47"/>
      <c r="I595" s="76"/>
      <c r="J595" s="76"/>
      <c r="K595" s="78" t="str">
        <f>_xlfn.LET(
    _xlpm.itemBuscado, B595,
    _xlpm.areaBuscada, C595,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TEXT(COUNTIF($C$2:C595, _xlpm.areaBuscada), "0000"),
    _xlpm.codItem &amp; "-" &amp; _xlpm.codArea &amp; "-" &amp; _xlpm.secuencia
)</f>
        <v>-SinArea-0000</v>
      </c>
      <c r="L595" s="77"/>
      <c r="M595" s="32"/>
      <c r="N595" s="32"/>
      <c r="O595" s="32"/>
      <c r="P595" s="32"/>
    </row>
    <row r="596" spans="3:16" x14ac:dyDescent="0.3">
      <c r="C596" s="11"/>
      <c r="D596" s="32"/>
      <c r="E596" s="11"/>
      <c r="G596" s="15"/>
      <c r="H596" s="47"/>
      <c r="I596" s="76"/>
      <c r="J596" s="76"/>
      <c r="K596" s="78" t="str">
        <f>_xlfn.LET(
    _xlpm.itemBuscado, B596,
    _xlpm.areaBuscada, C596,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TEXT(COUNTIF($C$2:C596, _xlpm.areaBuscada), "0000"),
    _xlpm.codItem &amp; "-" &amp; _xlpm.codArea &amp; "-" &amp; _xlpm.secuencia
)</f>
        <v>-SinArea-0000</v>
      </c>
      <c r="L596" s="77"/>
      <c r="M596" s="32"/>
      <c r="N596" s="32"/>
      <c r="O596" s="32"/>
      <c r="P596" s="32"/>
    </row>
    <row r="597" spans="3:16" x14ac:dyDescent="0.3">
      <c r="C597" s="11"/>
      <c r="D597" s="32"/>
      <c r="E597" s="11"/>
      <c r="G597" s="15"/>
      <c r="H597" s="47"/>
      <c r="I597" s="76"/>
      <c r="J597" s="76"/>
      <c r="K597" s="78" t="str">
        <f>_xlfn.LET(
    _xlpm.itemBuscado, B597,
    _xlpm.areaBuscada, C597,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TEXT(COUNTIF($C$2:C597, _xlpm.areaBuscada), "0000"),
    _xlpm.codItem &amp; "-" &amp; _xlpm.codArea &amp; "-" &amp; _xlpm.secuencia
)</f>
        <v>-SinArea-0000</v>
      </c>
      <c r="L597" s="77"/>
      <c r="M597" s="32"/>
      <c r="N597" s="32"/>
      <c r="O597" s="32"/>
      <c r="P597" s="32"/>
    </row>
    <row r="598" spans="3:16" x14ac:dyDescent="0.3">
      <c r="C598" s="11"/>
      <c r="D598" s="32"/>
      <c r="E598" s="11"/>
      <c r="G598" s="15"/>
      <c r="H598" s="47"/>
      <c r="I598" s="76"/>
      <c r="J598" s="76"/>
      <c r="K598" s="78" t="str">
        <f>_xlfn.LET(
    _xlpm.itemBuscado, B598,
    _xlpm.areaBuscada, C598,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TEXT(COUNTIF($C$2:C598, _xlpm.areaBuscada), "0000"),
    _xlpm.codItem &amp; "-" &amp; _xlpm.codArea &amp; "-" &amp; _xlpm.secuencia
)</f>
        <v>-SinArea-0000</v>
      </c>
      <c r="L598" s="77"/>
      <c r="M598" s="32"/>
      <c r="N598" s="32"/>
      <c r="O598" s="32"/>
      <c r="P598" s="32"/>
    </row>
    <row r="599" spans="3:16" x14ac:dyDescent="0.3">
      <c r="C599" s="11"/>
      <c r="D599" s="32"/>
      <c r="E599" s="11"/>
      <c r="G599" s="15"/>
      <c r="H599" s="47"/>
      <c r="I599" s="76"/>
      <c r="J599" s="76"/>
      <c r="K599" s="78" t="str">
        <f>_xlfn.LET(
    _xlpm.itemBuscado, B599,
    _xlpm.areaBuscada, C599,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TEXT(COUNTIF($C$2:C599, _xlpm.areaBuscada), "0000"),
    _xlpm.codItem &amp; "-" &amp; _xlpm.codArea &amp; "-" &amp; _xlpm.secuencia
)</f>
        <v>-SinArea-0000</v>
      </c>
      <c r="L599" s="77"/>
      <c r="M599" s="32"/>
      <c r="N599" s="32"/>
      <c r="O599" s="32"/>
      <c r="P599" s="32"/>
    </row>
    <row r="600" spans="3:16" x14ac:dyDescent="0.3">
      <c r="C600" s="11"/>
      <c r="D600" s="32"/>
      <c r="E600" s="11"/>
      <c r="G600" s="15"/>
      <c r="H600" s="47"/>
      <c r="I600" s="76"/>
      <c r="J600" s="76"/>
      <c r="K600" s="78" t="str">
        <f>_xlfn.LET(
    _xlpm.itemBuscado, B600,
    _xlpm.areaBuscada, C600,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TEXT(COUNTIF($C$2:C600, _xlpm.areaBuscada), "0000"),
    _xlpm.codItem &amp; "-" &amp; _xlpm.codArea &amp; "-" &amp; _xlpm.secuencia
)</f>
        <v>-SinArea-0000</v>
      </c>
      <c r="L600" s="77"/>
      <c r="M600" s="32"/>
      <c r="N600" s="32"/>
      <c r="O600" s="32"/>
      <c r="P600" s="32"/>
    </row>
    <row r="601" spans="3:16" x14ac:dyDescent="0.3">
      <c r="C601" s="11"/>
      <c r="D601" s="32"/>
      <c r="E601" s="11"/>
      <c r="G601" s="15"/>
      <c r="H601" s="47"/>
      <c r="I601" s="76"/>
      <c r="J601" s="76"/>
      <c r="K601" s="78" t="str">
        <f>_xlfn.LET(
    _xlpm.itemBuscado, B601,
    _xlpm.areaBuscada, C601,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TEXT(COUNTIF($C$2:C601, _xlpm.areaBuscada), "0000"),
    _xlpm.codItem &amp; "-" &amp; _xlpm.codArea &amp; "-" &amp; _xlpm.secuencia
)</f>
        <v>-SinArea-0000</v>
      </c>
      <c r="L601" s="77"/>
      <c r="M601" s="32"/>
      <c r="N601" s="32"/>
      <c r="O601" s="32"/>
      <c r="P601" s="32"/>
    </row>
    <row r="602" spans="3:16" x14ac:dyDescent="0.3">
      <c r="C602" s="11"/>
      <c r="D602" s="32"/>
      <c r="E602" s="11"/>
      <c r="G602" s="15"/>
      <c r="H602" s="47"/>
      <c r="I602" s="76"/>
      <c r="J602" s="76"/>
      <c r="K602" s="78" t="str">
        <f>_xlfn.LET(
    _xlpm.itemBuscado, B602,
    _xlpm.areaBuscada, C602,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TEXT(COUNTIF($C$2:C602, _xlpm.areaBuscada), "0000"),
    _xlpm.codItem &amp; "-" &amp; _xlpm.codArea &amp; "-" &amp; _xlpm.secuencia
)</f>
        <v>-SinArea-0000</v>
      </c>
      <c r="L602" s="77"/>
      <c r="M602" s="32"/>
      <c r="N602" s="32"/>
      <c r="O602" s="32"/>
      <c r="P602" s="32"/>
    </row>
    <row r="603" spans="3:16" x14ac:dyDescent="0.3">
      <c r="C603" s="11"/>
      <c r="D603" s="32"/>
      <c r="E603" s="11"/>
      <c r="G603" s="15"/>
      <c r="H603" s="47"/>
      <c r="I603" s="76"/>
      <c r="J603" s="76"/>
      <c r="K603" s="78" t="str">
        <f>_xlfn.LET(
    _xlpm.itemBuscado, B603,
    _xlpm.areaBuscada, C603,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TEXT(COUNTIF($C$2:C603, _xlpm.areaBuscada), "0000"),
    _xlpm.codItem &amp; "-" &amp; _xlpm.codArea &amp; "-" &amp; _xlpm.secuencia
)</f>
        <v>-SinArea-0000</v>
      </c>
      <c r="L603" s="77"/>
      <c r="M603" s="32"/>
      <c r="N603" s="32"/>
      <c r="O603" s="32"/>
      <c r="P603" s="32"/>
    </row>
    <row r="604" spans="3:16" x14ac:dyDescent="0.3">
      <c r="C604" s="11"/>
      <c r="D604" s="32"/>
      <c r="E604" s="11"/>
      <c r="G604" s="15"/>
      <c r="H604" s="47"/>
      <c r="I604" s="76"/>
      <c r="J604" s="76"/>
      <c r="K604" s="78" t="str">
        <f>_xlfn.LET(
    _xlpm.itemBuscado, B604,
    _xlpm.areaBuscada, C604,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TEXT(COUNTIF($C$2:C604, _xlpm.areaBuscada), "0000"),
    _xlpm.codItem &amp; "-" &amp; _xlpm.codArea &amp; "-" &amp; _xlpm.secuencia
)</f>
        <v>-SinArea-0000</v>
      </c>
      <c r="L604" s="77"/>
      <c r="M604" s="32"/>
      <c r="N604" s="32"/>
      <c r="O604" s="32"/>
      <c r="P604" s="32"/>
    </row>
    <row r="605" spans="3:16" x14ac:dyDescent="0.3">
      <c r="C605" s="11"/>
      <c r="D605" s="32"/>
      <c r="E605" s="11"/>
      <c r="G605" s="15"/>
      <c r="H605" s="47"/>
      <c r="I605" s="76"/>
      <c r="J605" s="76"/>
      <c r="K605" s="78" t="str">
        <f>_xlfn.LET(
    _xlpm.itemBuscado, B605,
    _xlpm.areaBuscada, C605,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TEXT(COUNTIF($C$2:C605, _xlpm.areaBuscada), "0000"),
    _xlpm.codItem &amp; "-" &amp; _xlpm.codArea &amp; "-" &amp; _xlpm.secuencia
)</f>
        <v>-SinArea-0000</v>
      </c>
      <c r="L605" s="77"/>
      <c r="M605" s="32"/>
      <c r="N605" s="32"/>
      <c r="O605" s="32"/>
      <c r="P605" s="32"/>
    </row>
    <row r="606" spans="3:16" x14ac:dyDescent="0.3">
      <c r="C606" s="11"/>
      <c r="D606" s="32"/>
      <c r="E606" s="11"/>
      <c r="G606" s="15"/>
      <c r="H606" s="47"/>
      <c r="I606" s="76"/>
      <c r="J606" s="76"/>
      <c r="K606" s="78" t="str">
        <f>_xlfn.LET(
    _xlpm.itemBuscado, B606,
    _xlpm.areaBuscada, C606,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TEXT(COUNTIF($C$2:C606, _xlpm.areaBuscada), "0000"),
    _xlpm.codItem &amp; "-" &amp; _xlpm.codArea &amp; "-" &amp; _xlpm.secuencia
)</f>
        <v>-SinArea-0000</v>
      </c>
      <c r="L606" s="77"/>
      <c r="M606" s="32"/>
      <c r="N606" s="32"/>
      <c r="O606" s="32"/>
      <c r="P606" s="32"/>
    </row>
    <row r="607" spans="3:16" x14ac:dyDescent="0.3">
      <c r="C607" s="11"/>
      <c r="D607" s="32"/>
      <c r="E607" s="11"/>
      <c r="G607" s="15"/>
      <c r="H607" s="47"/>
      <c r="I607" s="76"/>
      <c r="J607" s="76"/>
      <c r="K607" s="78" t="str">
        <f>_xlfn.LET(
    _xlpm.itemBuscado, B607,
    _xlpm.areaBuscada, C607,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TEXT(COUNTIF($C$2:C607, _xlpm.areaBuscada), "0000"),
    _xlpm.codItem &amp; "-" &amp; _xlpm.codArea &amp; "-" &amp; _xlpm.secuencia
)</f>
        <v>-SinArea-0000</v>
      </c>
      <c r="L607" s="77"/>
      <c r="M607" s="32"/>
      <c r="N607" s="32"/>
      <c r="O607" s="32"/>
      <c r="P607" s="32"/>
    </row>
    <row r="608" spans="3:16" x14ac:dyDescent="0.3">
      <c r="C608" s="11"/>
      <c r="D608" s="32"/>
      <c r="E608" s="11"/>
      <c r="G608" s="15"/>
      <c r="H608" s="47"/>
      <c r="I608" s="76"/>
      <c r="J608" s="76"/>
      <c r="K608" s="78" t="str">
        <f>_xlfn.LET(
    _xlpm.itemBuscado, B608,
    _xlpm.areaBuscada, C608,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TEXT(COUNTIF($C$2:C608, _xlpm.areaBuscada), "0000"),
    _xlpm.codItem &amp; "-" &amp; _xlpm.codArea &amp; "-" &amp; _xlpm.secuencia
)</f>
        <v>-SinArea-0000</v>
      </c>
      <c r="L608" s="77"/>
      <c r="M608" s="32"/>
      <c r="N608" s="32"/>
      <c r="O608" s="32"/>
      <c r="P608" s="32"/>
    </row>
    <row r="609" spans="3:16" x14ac:dyDescent="0.3">
      <c r="C609" s="11"/>
      <c r="D609" s="32"/>
      <c r="E609" s="11"/>
      <c r="G609" s="15"/>
      <c r="H609" s="47"/>
      <c r="I609" s="76"/>
      <c r="J609" s="76"/>
      <c r="K609" s="78" t="str">
        <f>_xlfn.LET(
    _xlpm.itemBuscado, B609,
    _xlpm.areaBuscada, C609,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TEXT(COUNTIF($C$2:C609, _xlpm.areaBuscada), "0000"),
    _xlpm.codItem &amp; "-" &amp; _xlpm.codArea &amp; "-" &amp; _xlpm.secuencia
)</f>
        <v>-SinArea-0000</v>
      </c>
      <c r="L609" s="77"/>
      <c r="M609" s="32"/>
      <c r="N609" s="32"/>
      <c r="O609" s="32"/>
      <c r="P609" s="32"/>
    </row>
    <row r="610" spans="3:16" x14ac:dyDescent="0.3">
      <c r="C610" s="11"/>
      <c r="D610" s="32"/>
      <c r="E610" s="11"/>
      <c r="G610" s="15"/>
      <c r="H610" s="47"/>
      <c r="I610" s="76"/>
      <c r="J610" s="76"/>
      <c r="K610" s="78" t="str">
        <f>_xlfn.LET(
    _xlpm.itemBuscado, B610,
    _xlpm.areaBuscada, C610,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TEXT(COUNTIF($C$2:C610, _xlpm.areaBuscada), "0000"),
    _xlpm.codItem &amp; "-" &amp; _xlpm.codArea &amp; "-" &amp; _xlpm.secuencia
)</f>
        <v>-SinArea-0000</v>
      </c>
      <c r="L610" s="77"/>
      <c r="M610" s="32"/>
      <c r="N610" s="32"/>
      <c r="O610" s="32"/>
      <c r="P610" s="32"/>
    </row>
    <row r="611" spans="3:16" x14ac:dyDescent="0.3">
      <c r="C611" s="11"/>
      <c r="D611" s="32"/>
      <c r="E611" s="11"/>
      <c r="G611" s="15"/>
      <c r="H611" s="47"/>
      <c r="I611" s="76"/>
      <c r="J611" s="76"/>
      <c r="K611" s="78" t="str">
        <f>_xlfn.LET(
    _xlpm.itemBuscado, B611,
    _xlpm.areaBuscada, C611,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TEXT(COUNTIF($C$2:C611, _xlpm.areaBuscada), "0000"),
    _xlpm.codItem &amp; "-" &amp; _xlpm.codArea &amp; "-" &amp; _xlpm.secuencia
)</f>
        <v>-SinArea-0000</v>
      </c>
      <c r="L611" s="77"/>
      <c r="M611" s="32"/>
      <c r="N611" s="32"/>
      <c r="O611" s="32"/>
      <c r="P611" s="32"/>
    </row>
    <row r="612" spans="3:16" x14ac:dyDescent="0.3">
      <c r="C612" s="11"/>
    </row>
    <row r="613" spans="3:16" x14ac:dyDescent="0.3">
      <c r="C613" s="11"/>
    </row>
    <row r="614" spans="3:16" x14ac:dyDescent="0.3">
      <c r="C614" s="11"/>
    </row>
    <row r="615" spans="3:16" x14ac:dyDescent="0.3">
      <c r="C615" s="11"/>
    </row>
    <row r="616" spans="3:16" x14ac:dyDescent="0.3">
      <c r="C616" s="11"/>
    </row>
    <row r="617" spans="3:16" x14ac:dyDescent="0.3">
      <c r="C617" s="11"/>
    </row>
    <row r="618" spans="3:16" x14ac:dyDescent="0.3">
      <c r="C618" s="11"/>
    </row>
  </sheetData>
  <dataValidations count="9">
    <dataValidation type="list" allowBlank="1" showInputMessage="1" showErrorMessage="1" sqref="E2:E203" xr:uid="{5C552A40-EFED-4C04-86F4-284D9CAC14F3}">
      <formula1>$AB$1:$AI$1</formula1>
    </dataValidation>
    <dataValidation type="list" allowBlank="1" showInputMessage="1" showErrorMessage="1" sqref="E204:E615" xr:uid="{C00C5516-4E79-457F-9C30-A57D4C1AE380}">
      <formula1>$Y$2:$Y$7</formula1>
    </dataValidation>
    <dataValidation type="list" allowBlank="1" showInputMessage="1" showErrorMessage="1" sqref="C2:C618" xr:uid="{07E0D7B2-ADC1-445A-9FF4-D9BBAF7961B5}">
      <formula1>$S$2:$S$12</formula1>
    </dataValidation>
    <dataValidation type="list" allowBlank="1" showInputMessage="1" promptTitle="Guia" prompt="puede realizar Las siguientes opciones_x000a_si eligio electricos tiene las siguientes opciones de una posible sublista_x000a_" sqref="F140:F613" xr:uid="{51258472-5E37-4ED2-B9BA-AB8C046C57C2}">
      <formula1>INDIRECT($E$2:$E$611)</formula1>
    </dataValidation>
    <dataValidation allowBlank="1" showInputMessage="1" showErrorMessage="1" sqref="D140:D618" xr:uid="{C6B705FF-EA4C-4629-954F-2D910B880311}"/>
    <dataValidation type="list" allowBlank="1" showInputMessage="1" showErrorMessage="1" sqref="N2:N611" xr:uid="{D3E6DEEC-DA62-462B-AAC0-98735B83BFA4}">
      <formula1>$X$10:$X$12</formula1>
    </dataValidation>
    <dataValidation type="list" allowBlank="1" showInputMessage="1" promptTitle="Guia" prompt="Si tiene dudas sobre que dato colocar consulte las siguientes tablas y no olvide revisar los comentarios_x000a__x000a_" sqref="F2:F139" xr:uid="{3102FCCA-14D5-4F94-A222-71F9DF5EF771}">
      <formula1>INDIRECT($E$2:$E$611)</formula1>
    </dataValidation>
    <dataValidation type="whole" allowBlank="1" showInputMessage="1" showErrorMessage="1" sqref="D2:D139" xr:uid="{9687A015-58C8-4C74-A617-7856C5D4B201}">
      <formula1>1</formula1>
      <formula2>100</formula2>
    </dataValidation>
    <dataValidation type="list" allowBlank="1" showInputMessage="1" showErrorMessage="1" sqref="O2:O611" xr:uid="{70A80451-245B-43B2-8D11-0CCCC7A5DE53}">
      <formula1>$V$2:$V$4</formula1>
    </dataValidation>
  </dataValidations>
  <pageMargins left="0.7" right="0.7" top="0.75" bottom="0.75" header="0.3" footer="0.3"/>
  <legacyDrawing r:id="rId1"/>
  <tableParts count="43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8CC4926-644E-4151-B6EB-EAC4ABEE5EA4}">
          <x14:formula1>
            <xm:f>Hoja2!$B$3:$B$79</xm:f>
          </x14:formula1>
          <xm:sqref>B35:B611</xm:sqref>
        </x14:dataValidation>
        <x14:dataValidation type="list" allowBlank="1" showInputMessage="1" showErrorMessage="1" xr:uid="{5C5A1E76-AED7-4E0C-8029-058323897A0C}">
          <x14:formula1>
            <xm:f>Hoja2!$B$3:$B$80</xm:f>
          </x14:formula1>
          <xm:sqref>B2:B34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E6167-6FE2-4EB2-ADAA-D59A295016C9}">
  <dimension ref="A1:BR618"/>
  <sheetViews>
    <sheetView tabSelected="1" topLeftCell="A131" zoomScale="85" zoomScaleNormal="85" workbookViewId="0">
      <pane xSplit="3" topLeftCell="F1" activePane="topRight" state="frozen"/>
      <selection pane="topRight" activeCell="N143" sqref="N143"/>
    </sheetView>
  </sheetViews>
  <sheetFormatPr baseColWidth="10" defaultColWidth="8.88671875" defaultRowHeight="14.4" x14ac:dyDescent="0.3"/>
  <cols>
    <col min="2" max="2" width="10.5546875" customWidth="1"/>
    <col min="3" max="3" width="14.6640625" customWidth="1"/>
    <col min="4" max="4" width="17.33203125" customWidth="1"/>
    <col min="5" max="5" width="25.44140625" customWidth="1"/>
    <col min="6" max="6" width="36.33203125" customWidth="1"/>
    <col min="7" max="7" width="18.88671875" customWidth="1"/>
    <col min="8" max="13" width="13.88671875" customWidth="1"/>
    <col min="14" max="14" width="15.109375" customWidth="1"/>
    <col min="15" max="15" width="22.6640625" customWidth="1"/>
    <col min="16" max="16" width="21.33203125" customWidth="1"/>
    <col min="17" max="17" width="23.109375" customWidth="1"/>
    <col min="18" max="18" width="17.44140625" customWidth="1"/>
    <col min="19" max="19" width="24.109375" customWidth="1"/>
    <col min="20" max="20" width="18.6640625" customWidth="1"/>
    <col min="21" max="21" width="43.6640625" customWidth="1"/>
    <col min="22" max="22" width="15.6640625" customWidth="1"/>
    <col min="23" max="23" width="11.6640625" customWidth="1"/>
    <col min="24" max="24" width="18.6640625" customWidth="1"/>
    <col min="27" max="27" width="11.33203125" customWidth="1"/>
    <col min="29" max="29" width="19.5546875" customWidth="1"/>
    <col min="30" max="30" width="23.44140625" bestFit="1" customWidth="1"/>
    <col min="31" max="31" width="21.33203125" customWidth="1"/>
    <col min="32" max="32" width="22.33203125" customWidth="1"/>
    <col min="33" max="33" width="24" customWidth="1"/>
    <col min="34" max="34" width="24.44140625" customWidth="1"/>
    <col min="35" max="35" width="26.109375" customWidth="1"/>
    <col min="36" max="36" width="23.6640625" customWidth="1"/>
    <col min="37" max="37" width="24" customWidth="1"/>
    <col min="38" max="38" width="21.33203125" customWidth="1"/>
    <col min="39" max="39" width="21.109375" customWidth="1"/>
    <col min="40" max="40" width="19.44140625" bestFit="1" customWidth="1"/>
    <col min="41" max="41" width="22.5546875" customWidth="1"/>
    <col min="42" max="42" width="29.6640625" customWidth="1"/>
    <col min="43" max="43" width="25" customWidth="1"/>
    <col min="44" max="44" width="26.6640625" customWidth="1"/>
    <col min="45" max="45" width="28.33203125" customWidth="1"/>
    <col min="46" max="46" width="27.109375" customWidth="1"/>
    <col min="47" max="49" width="33.6640625" customWidth="1"/>
    <col min="50" max="50" width="22.5546875" customWidth="1"/>
    <col min="51" max="51" width="26.109375" customWidth="1"/>
    <col min="52" max="52" width="25.33203125" customWidth="1"/>
    <col min="53" max="53" width="21.109375" customWidth="1"/>
    <col min="54" max="54" width="19" customWidth="1"/>
    <col min="55" max="55" width="15.5546875" customWidth="1"/>
    <col min="56" max="56" width="18.33203125" customWidth="1"/>
    <col min="57" max="57" width="18.109375" customWidth="1"/>
  </cols>
  <sheetData>
    <row r="1" spans="2:70" ht="21.6" customHeight="1" x14ac:dyDescent="0.3">
      <c r="B1" s="36" t="s">
        <v>200</v>
      </c>
      <c r="C1" s="36" t="s">
        <v>201</v>
      </c>
      <c r="D1" s="36" t="s">
        <v>202</v>
      </c>
      <c r="E1" s="36" t="s">
        <v>203</v>
      </c>
      <c r="F1" s="37" t="s">
        <v>204</v>
      </c>
      <c r="G1" s="36" t="s">
        <v>205</v>
      </c>
      <c r="H1" s="36" t="s">
        <v>206</v>
      </c>
      <c r="I1" s="36" t="s">
        <v>593</v>
      </c>
      <c r="J1" s="37" t="s">
        <v>389</v>
      </c>
      <c r="K1" s="37" t="s">
        <v>567</v>
      </c>
      <c r="L1" s="37" t="s">
        <v>566</v>
      </c>
      <c r="M1" s="37" t="s">
        <v>390</v>
      </c>
      <c r="N1" s="36" t="s">
        <v>342</v>
      </c>
      <c r="O1" s="37" t="s">
        <v>207</v>
      </c>
      <c r="P1" s="37" t="s">
        <v>343</v>
      </c>
      <c r="Q1" s="37" t="s">
        <v>208</v>
      </c>
      <c r="R1" s="37" t="s">
        <v>209</v>
      </c>
      <c r="S1" s="37" t="s">
        <v>210</v>
      </c>
      <c r="T1" s="38" t="s">
        <v>211</v>
      </c>
      <c r="U1" s="37" t="s">
        <v>212</v>
      </c>
      <c r="V1" s="39"/>
      <c r="W1" s="40" t="s">
        <v>213</v>
      </c>
      <c r="X1" s="41" t="s">
        <v>201</v>
      </c>
      <c r="Z1" s="42" t="s">
        <v>213</v>
      </c>
      <c r="AA1" s="43" t="s">
        <v>211</v>
      </c>
      <c r="AC1" s="44" t="s">
        <v>213</v>
      </c>
      <c r="AD1" s="45" t="s">
        <v>214</v>
      </c>
      <c r="AF1" s="46"/>
      <c r="AG1" s="1" t="s">
        <v>4</v>
      </c>
      <c r="AH1" s="2" t="s">
        <v>5</v>
      </c>
      <c r="AI1" s="3" t="s">
        <v>6</v>
      </c>
      <c r="AJ1" s="2" t="s">
        <v>7</v>
      </c>
      <c r="AK1" s="3" t="s">
        <v>8</v>
      </c>
      <c r="AL1" s="3" t="s">
        <v>160</v>
      </c>
      <c r="AM1" s="2" t="s">
        <v>9</v>
      </c>
      <c r="AN1" s="4" t="s">
        <v>10</v>
      </c>
      <c r="AO1" t="s">
        <v>11</v>
      </c>
      <c r="AP1" t="s">
        <v>12</v>
      </c>
      <c r="AS1" t="s">
        <v>215</v>
      </c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</row>
    <row r="2" spans="2:70" ht="26.4" customHeight="1" x14ac:dyDescent="0.3">
      <c r="B2" t="s">
        <v>23</v>
      </c>
      <c r="C2" s="11" t="s">
        <v>177</v>
      </c>
      <c r="D2">
        <v>1</v>
      </c>
      <c r="E2" s="11" t="str" cm="1">
        <f t="array" ref="E2">_xlfn.IFS(
    COUNTIF(Herramientas_eléctricas1862[Herramientas_eléctricas], B2) &gt; 0, Herramientas_eléctricas1862[[#Headers],[Herramientas_eléctricas]],
    COUNTIF(Herramientas_neumáticas1963[Herramientas_neumáticas], B2) &gt; 0, Herramientas_neumáticas1963[[#Headers],[Herramientas_neumáticas]],
    COUNTIF(Herramientas_de_medición2064[Herramientas_de_medición], B2) &gt; 0, Herramientas_de_medición2064[[#Headers],[Herramientas_de_medición]],
    COUNTIF(Herrramientas_mecánicas2165[Herramientas_mecánicas], B2) &gt; 0, Herrramientas_mecánicas2165[[#Headers],[Herramientas_mecánicas]],
    COUNTIF(AK2:AK8, B2) &gt; 0, Herramientas_hidráulicas2266[[#Headers],[Herramientas_hidráulicas]],
    COUNTIF(EPP_2367[SPCC], B2) &gt; 0, EPP_2367[[#Headers],[SPCC]],
   COUNTIF(Herramientas_de_izaje2468[Herramientas_de_izaje], B2) &gt; 0, Herramientas_de_izaje2468[[#Headers],[Herramientas_de_izaje]],
COUNTIF(Tabla162670[Equipos], B2) &gt; 0, Tabla162670[[#Headers],[Equipos]],
    TRUE, "Sin clasificación"
)</f>
        <v>Herramientas_eléctricas</v>
      </c>
      <c r="F2" s="15"/>
      <c r="G2" s="15" t="s">
        <v>572</v>
      </c>
      <c r="H2" s="47" t="s">
        <v>590</v>
      </c>
      <c r="I2" s="87" t="s">
        <v>594</v>
      </c>
      <c r="J2" s="78" t="s">
        <v>595</v>
      </c>
      <c r="K2" s="78" t="s">
        <v>592</v>
      </c>
      <c r="L2" s="78" t="s">
        <v>591</v>
      </c>
      <c r="M2" s="78">
        <v>1500</v>
      </c>
      <c r="O2" s="47">
        <v>604000234</v>
      </c>
      <c r="P2" s="47" t="str">
        <f>_xlfn.LET(
    _xlpm.itemBuscado, B2,
    _xlpm.areaBuscada, C2,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TEXT(COUNTIF($C$2:C2, _xlpm.areaBuscada), "0000"),
    _xlpm.codItem &amp; "-" &amp; _xlpm.codArea &amp; "-" &amp; _xlpm.secuencia
)</f>
        <v>ZE-AM-INS-0001</v>
      </c>
      <c r="R2" s="15"/>
      <c r="T2" s="48"/>
      <c r="U2" t="s">
        <v>596</v>
      </c>
      <c r="W2" s="49">
        <v>1</v>
      </c>
      <c r="X2" s="50" t="s">
        <v>171</v>
      </c>
      <c r="Z2" s="51">
        <v>1</v>
      </c>
      <c r="AA2" s="52" t="s">
        <v>216</v>
      </c>
      <c r="AC2" s="51">
        <v>1</v>
      </c>
      <c r="AD2" s="52" t="s">
        <v>4</v>
      </c>
      <c r="AG2" s="5" t="s">
        <v>13</v>
      </c>
      <c r="AH2" t="s">
        <v>14</v>
      </c>
      <c r="AI2" t="s">
        <v>15</v>
      </c>
      <c r="AJ2" t="s">
        <v>16</v>
      </c>
      <c r="AK2" s="6" t="s">
        <v>17</v>
      </c>
      <c r="AL2" t="s">
        <v>18</v>
      </c>
      <c r="AM2" t="s">
        <v>19</v>
      </c>
      <c r="AN2" s="6" t="s">
        <v>20</v>
      </c>
      <c r="AO2" t="s">
        <v>21</v>
      </c>
      <c r="AP2" s="7" t="s">
        <v>22</v>
      </c>
      <c r="AS2" s="25" t="s">
        <v>217</v>
      </c>
      <c r="AT2" t="s">
        <v>218</v>
      </c>
      <c r="AU2" t="s">
        <v>219</v>
      </c>
      <c r="AV2" s="25" t="s">
        <v>220</v>
      </c>
      <c r="AW2" t="s">
        <v>221</v>
      </c>
      <c r="BC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</row>
    <row r="3" spans="2:70" ht="29.25" customHeight="1" x14ac:dyDescent="0.3">
      <c r="B3" t="s">
        <v>23</v>
      </c>
      <c r="C3" s="11" t="s">
        <v>177</v>
      </c>
      <c r="D3">
        <v>1</v>
      </c>
      <c r="E3" s="11" t="str" cm="1">
        <f t="array" ref="E3">_xlfn.IFS(
    COUNTIF(Herramientas_eléctricas1862[Herramientas_eléctricas], B3) &gt; 0, Herramientas_eléctricas1862[[#Headers],[Herramientas_eléctricas]],
    COUNTIF(Herramientas_neumáticas1963[Herramientas_neumáticas], B3) &gt; 0, Herramientas_neumáticas1963[[#Headers],[Herramientas_neumáticas]],
    COUNTIF(Herramientas_de_medición2064[Herramientas_de_medición], B3) &gt; 0, Herramientas_de_medición2064[[#Headers],[Herramientas_de_medición]],
    COUNTIF(Herrramientas_mecánicas2165[Herramientas_mecánicas], B3) &gt; 0, Herrramientas_mecánicas2165[[#Headers],[Herramientas_mecánicas]],
    COUNTIF(AK3:AK9, B3) &gt; 0, Herramientas_hidráulicas2266[[#Headers],[Herramientas_hidráulicas]],
    COUNTIF(EPP_2367[SPCC], B3) &gt; 0, EPP_2367[[#Headers],[SPCC]],
   COUNTIF(Herramientas_de_izaje2468[Herramientas_de_izaje], B3) &gt; 0, Herramientas_de_izaje2468[[#Headers],[Herramientas_de_izaje]],
COUNTIF(Tabla162670[Equipos], B3) &gt; 0, Tabla162670[[#Headers],[Equipos]],
    TRUE, "Sin clasificación"
)</f>
        <v>Herramientas_eléctricas</v>
      </c>
      <c r="F3" s="15"/>
      <c r="G3" s="15" t="s">
        <v>611</v>
      </c>
      <c r="H3" s="47" t="s">
        <v>612</v>
      </c>
      <c r="I3" s="87"/>
      <c r="J3" s="78"/>
      <c r="K3" s="78"/>
      <c r="L3" s="78">
        <v>18</v>
      </c>
      <c r="M3" s="78"/>
      <c r="N3" t="s">
        <v>613</v>
      </c>
      <c r="O3" s="47"/>
      <c r="P3" s="47" t="str">
        <f>_xlfn.LET(
    _xlpm.itemBuscado, B3,
    _xlpm.areaBuscada, C3,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TEXT(COUNTIF($C$2:C3, _xlpm.areaBuscada), "0000"),
    _xlpm.codItem &amp; "-" &amp; _xlpm.codArea &amp; "-" &amp; _xlpm.secuencia
)</f>
        <v>ZE-AM-INS-0002</v>
      </c>
      <c r="R3" s="15"/>
      <c r="T3" s="48"/>
      <c r="W3" s="49">
        <v>2</v>
      </c>
      <c r="X3" s="50" t="s">
        <v>172</v>
      </c>
      <c r="Z3" s="51">
        <v>2</v>
      </c>
      <c r="AA3" s="52" t="s">
        <v>222</v>
      </c>
      <c r="AC3" s="51">
        <v>2</v>
      </c>
      <c r="AD3" s="53" t="s">
        <v>5</v>
      </c>
      <c r="AG3" s="6" t="s">
        <v>23</v>
      </c>
      <c r="AH3" t="s">
        <v>24</v>
      </c>
      <c r="AI3" t="s">
        <v>25</v>
      </c>
      <c r="AJ3" t="s">
        <v>26</v>
      </c>
      <c r="AK3" s="6" t="s">
        <v>27</v>
      </c>
      <c r="AL3" t="s">
        <v>28</v>
      </c>
      <c r="AM3" t="s">
        <v>29</v>
      </c>
      <c r="AO3" s="8" t="s">
        <v>30</v>
      </c>
      <c r="AP3" s="9" t="s">
        <v>31</v>
      </c>
      <c r="AS3" s="25" t="s">
        <v>223</v>
      </c>
      <c r="AT3" t="s">
        <v>70</v>
      </c>
      <c r="BC3" s="11"/>
      <c r="BD3" s="11"/>
      <c r="BE3" s="11"/>
      <c r="BF3" s="11"/>
      <c r="BG3" s="11"/>
      <c r="BH3" s="11"/>
      <c r="BI3" s="11"/>
      <c r="BJ3" s="11"/>
      <c r="BK3" s="54"/>
      <c r="BL3" s="54"/>
      <c r="BM3" s="11"/>
      <c r="BN3" s="11"/>
      <c r="BO3" s="11"/>
      <c r="BP3" s="11"/>
      <c r="BQ3" s="11"/>
      <c r="BR3" s="11"/>
    </row>
    <row r="4" spans="2:70" ht="33" customHeight="1" x14ac:dyDescent="0.3">
      <c r="B4" t="s">
        <v>23</v>
      </c>
      <c r="C4" s="11" t="s">
        <v>177</v>
      </c>
      <c r="D4">
        <v>1</v>
      </c>
      <c r="E4" s="11" t="str" cm="1">
        <f t="array" ref="E4">_xlfn.IFS(
    COUNTIF(Herramientas_eléctricas1862[Herramientas_eléctricas], B4) &gt; 0, Herramientas_eléctricas1862[[#Headers],[Herramientas_eléctricas]],
    COUNTIF(Herramientas_neumáticas1963[Herramientas_neumáticas], B4) &gt; 0, Herramientas_neumáticas1963[[#Headers],[Herramientas_neumáticas]],
    COUNTIF(Herramientas_de_medición2064[Herramientas_de_medición], B4) &gt; 0, Herramientas_de_medición2064[[#Headers],[Herramientas_de_medición]],
    COUNTIF(Herrramientas_mecánicas2165[Herramientas_mecánicas], B4) &gt; 0, Herrramientas_mecánicas2165[[#Headers],[Herramientas_mecánicas]],
    COUNTIF(AK4:AK10, B4) &gt; 0, Herramientas_hidráulicas2266[[#Headers],[Herramientas_hidráulicas]],
    COUNTIF(EPP_2367[SPCC], B4) &gt; 0, EPP_2367[[#Headers],[SPCC]],
   COUNTIF(Herramientas_de_izaje2468[Herramientas_de_izaje], B4) &gt; 0, Herramientas_de_izaje2468[[#Headers],[Herramientas_de_izaje]],
COUNTIF(Tabla162670[Equipos], B4) &gt; 0, Tabla162670[[#Headers],[Equipos]],
    TRUE, "Sin clasificación"
)</f>
        <v>Herramientas_eléctricas</v>
      </c>
      <c r="F4" s="15"/>
      <c r="G4" s="15" t="s">
        <v>572</v>
      </c>
      <c r="H4" s="15" t="s">
        <v>614</v>
      </c>
      <c r="I4" s="87">
        <v>4.2</v>
      </c>
      <c r="J4" s="78"/>
      <c r="K4" s="78">
        <v>900</v>
      </c>
      <c r="L4" s="78" t="s">
        <v>615</v>
      </c>
      <c r="M4" s="78"/>
      <c r="N4" t="s">
        <v>618</v>
      </c>
      <c r="O4" s="47"/>
      <c r="P4" s="47" t="str">
        <f>_xlfn.LET(
    _xlpm.itemBuscado, B4,
    _xlpm.areaBuscada, C4,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TEXT(COUNTIF($C$2:C4, _xlpm.areaBuscada), "0000"),
    _xlpm.codItem &amp; "-" &amp; _xlpm.codArea &amp; "-" &amp; _xlpm.secuencia
)</f>
        <v>ZE-AM-INS-0003</v>
      </c>
      <c r="R4" s="15"/>
      <c r="T4" s="48"/>
      <c r="W4" s="49">
        <v>3</v>
      </c>
      <c r="X4" s="50" t="s">
        <v>173</v>
      </c>
      <c r="Z4" s="55">
        <v>3</v>
      </c>
      <c r="AA4" s="56" t="s">
        <v>224</v>
      </c>
      <c r="AC4" s="51">
        <v>3</v>
      </c>
      <c r="AD4" s="53" t="s">
        <v>6</v>
      </c>
      <c r="AG4" s="10" t="s">
        <v>32</v>
      </c>
      <c r="AH4" t="s">
        <v>33</v>
      </c>
      <c r="AI4" t="s">
        <v>34</v>
      </c>
      <c r="AJ4" t="s">
        <v>35</v>
      </c>
      <c r="AK4" s="5" t="s">
        <v>36</v>
      </c>
      <c r="AL4" s="11" t="s">
        <v>37</v>
      </c>
      <c r="AM4" t="s">
        <v>38</v>
      </c>
      <c r="AO4" s="11" t="s">
        <v>39</v>
      </c>
      <c r="AP4" s="7" t="s">
        <v>40</v>
      </c>
      <c r="AS4" s="25" t="s">
        <v>225</v>
      </c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</row>
    <row r="5" spans="2:70" ht="28.8" x14ac:dyDescent="0.3">
      <c r="B5" t="s">
        <v>23</v>
      </c>
      <c r="C5" s="11" t="s">
        <v>177</v>
      </c>
      <c r="D5">
        <v>1</v>
      </c>
      <c r="E5" s="11" t="str" cm="1">
        <f t="array" ref="E5">_xlfn.IFS(
    COUNTIF(Herramientas_eléctricas1862[Herramientas_eléctricas], B5) &gt; 0, Herramientas_eléctricas1862[[#Headers],[Herramientas_eléctricas]],
    COUNTIF(Herramientas_neumáticas1963[Herramientas_neumáticas], B5) &gt; 0, Herramientas_neumáticas1963[[#Headers],[Herramientas_neumáticas]],
    COUNTIF(Herramientas_de_medición2064[Herramientas_de_medición], B5) &gt; 0, Herramientas_de_medición2064[[#Headers],[Herramientas_de_medición]],
    COUNTIF(Herrramientas_mecánicas2165[Herramientas_mecánicas], B5) &gt; 0, Herrramientas_mecánicas2165[[#Headers],[Herramientas_mecánicas]],
    COUNTIF(AK5:AK11, B5) &gt; 0, Herramientas_hidráulicas2266[[#Headers],[Herramientas_hidráulicas]],
    COUNTIF(EPP_2367[SPCC], B5) &gt; 0, EPP_2367[[#Headers],[SPCC]],
   COUNTIF(Herramientas_de_izaje2468[Herramientas_de_izaje], B5) &gt; 0, Herramientas_de_izaje2468[[#Headers],[Herramientas_de_izaje]],
COUNTIF(Tabla162670[Equipos], B5) &gt; 0, Tabla162670[[#Headers],[Equipos]],
    TRUE, "Sin clasificación"
)</f>
        <v>Herramientas_eléctricas</v>
      </c>
      <c r="F5" s="15"/>
      <c r="G5" s="15" t="s">
        <v>572</v>
      </c>
      <c r="H5" s="15" t="s">
        <v>614</v>
      </c>
      <c r="I5" s="87">
        <v>4.2</v>
      </c>
      <c r="J5" s="78"/>
      <c r="K5" s="78">
        <v>900</v>
      </c>
      <c r="L5" s="78" t="s">
        <v>616</v>
      </c>
      <c r="M5" s="78"/>
      <c r="N5" t="s">
        <v>617</v>
      </c>
      <c r="O5" s="47"/>
      <c r="P5" s="47" t="str">
        <f>_xlfn.LET(
    _xlpm.itemBuscado, B5,
    _xlpm.areaBuscada, C5,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TEXT(COUNTIF($C$2:C5, _xlpm.areaBuscada), "0000"),
    _xlpm.codItem &amp; "-" &amp; _xlpm.codArea &amp; "-" &amp; _xlpm.secuencia
)</f>
        <v>ZE-AM-INS-0004</v>
      </c>
      <c r="R5" s="15"/>
      <c r="T5" s="48"/>
      <c r="W5" s="49">
        <v>4</v>
      </c>
      <c r="X5" s="50" t="s">
        <v>174</v>
      </c>
      <c r="AC5" s="51">
        <v>4</v>
      </c>
      <c r="AD5" s="53" t="s">
        <v>7</v>
      </c>
      <c r="AG5" t="s">
        <v>41</v>
      </c>
      <c r="AH5" t="s">
        <v>42</v>
      </c>
      <c r="AI5" t="s">
        <v>43</v>
      </c>
      <c r="AJ5" t="s">
        <v>44</v>
      </c>
      <c r="AK5" s="5" t="s">
        <v>45</v>
      </c>
      <c r="AM5" t="s">
        <v>46</v>
      </c>
      <c r="AO5" s="12" t="s">
        <v>47</v>
      </c>
      <c r="AP5" s="9" t="s">
        <v>48</v>
      </c>
      <c r="AS5" s="25" t="s">
        <v>226</v>
      </c>
      <c r="AT5" t="s">
        <v>80</v>
      </c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</row>
    <row r="6" spans="2:70" ht="30" customHeight="1" x14ac:dyDescent="0.3">
      <c r="B6" t="s">
        <v>23</v>
      </c>
      <c r="C6" s="11" t="s">
        <v>176</v>
      </c>
      <c r="D6">
        <v>1</v>
      </c>
      <c r="E6" s="11" t="str" cm="1">
        <f t="array" ref="E6">_xlfn.IFS(
    COUNTIF(Herramientas_eléctricas1862[Herramientas_eléctricas], B6) &gt; 0, Herramientas_eléctricas1862[[#Headers],[Herramientas_eléctricas]],
    COUNTIF(Herramientas_neumáticas1963[Herramientas_neumáticas], B6) &gt; 0, Herramientas_neumáticas1963[[#Headers],[Herramientas_neumáticas]],
    COUNTIF(Herramientas_de_medición2064[Herramientas_de_medición], B6) &gt; 0, Herramientas_de_medición2064[[#Headers],[Herramientas_de_medición]],
    COUNTIF(Herrramientas_mecánicas2165[Herramientas_mecánicas], B6) &gt; 0, Herrramientas_mecánicas2165[[#Headers],[Herramientas_mecánicas]],
    COUNTIF(AK6:AK12, B6) &gt; 0, Herramientas_hidráulicas2266[[#Headers],[Herramientas_hidráulicas]],
    COUNTIF(EPP_2367[SPCC], B6) &gt; 0, EPP_2367[[#Headers],[SPCC]],
   COUNTIF(Herramientas_de_izaje2468[Herramientas_de_izaje], B6) &gt; 0, Herramientas_de_izaje2468[[#Headers],[Herramientas_de_izaje]],
COUNTIF(Tabla162670[Equipos], B6) &gt; 0, Tabla162670[[#Headers],[Equipos]],
    TRUE, "Sin clasificación"
)</f>
        <v>Herramientas_eléctricas</v>
      </c>
      <c r="F6" s="15"/>
      <c r="G6" s="15" t="s">
        <v>639</v>
      </c>
      <c r="H6" s="47" t="s">
        <v>644</v>
      </c>
      <c r="I6" s="87"/>
      <c r="J6" s="78" t="s">
        <v>640</v>
      </c>
      <c r="K6" s="78">
        <v>2200</v>
      </c>
      <c r="L6" s="78">
        <v>220</v>
      </c>
      <c r="M6" s="78">
        <v>8500</v>
      </c>
      <c r="N6" t="s">
        <v>642</v>
      </c>
      <c r="O6" s="47" t="s">
        <v>641</v>
      </c>
      <c r="P6" s="47" t="str">
        <f>_xlfn.LET(
    _xlpm.itemBuscado, B6,
    _xlpm.areaBuscada, C6,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TEXT(COUNTIF($C$2:C6, _xlpm.areaBuscada), "0000"),
    _xlpm.codItem &amp; "-" &amp; _xlpm.codArea &amp; "-" &amp; _xlpm.secuencia
)</f>
        <v>ZE-AM-ELT-0001</v>
      </c>
      <c r="R6" s="15"/>
      <c r="T6" s="48"/>
      <c r="W6" s="49">
        <v>5</v>
      </c>
      <c r="X6" s="50" t="s">
        <v>175</v>
      </c>
      <c r="AC6" s="51">
        <v>5</v>
      </c>
      <c r="AD6" s="53" t="s">
        <v>8</v>
      </c>
      <c r="AG6" t="s">
        <v>49</v>
      </c>
      <c r="AH6" t="s">
        <v>36</v>
      </c>
      <c r="AI6" t="s">
        <v>50</v>
      </c>
      <c r="AJ6" t="s">
        <v>51</v>
      </c>
      <c r="AK6" s="5" t="s">
        <v>52</v>
      </c>
      <c r="AO6" t="s">
        <v>53</v>
      </c>
      <c r="AP6" s="7" t="s">
        <v>54</v>
      </c>
      <c r="AS6" s="25" t="s">
        <v>227</v>
      </c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</row>
    <row r="7" spans="2:70" ht="30" customHeight="1" x14ac:dyDescent="0.3">
      <c r="B7" t="s">
        <v>23</v>
      </c>
      <c r="C7" s="11" t="s">
        <v>176</v>
      </c>
      <c r="D7">
        <v>1</v>
      </c>
      <c r="E7" s="11" t="str" cm="1">
        <f t="array" ref="E7">_xlfn.IFS(
    COUNTIF(Herramientas_eléctricas1862[Herramientas_eléctricas], B7) &gt; 0, Herramientas_eléctricas1862[[#Headers],[Herramientas_eléctricas]],
    COUNTIF(Herramientas_neumáticas1963[Herramientas_neumáticas], B7) &gt; 0, Herramientas_neumáticas1963[[#Headers],[Herramientas_neumáticas]],
    COUNTIF(Herramientas_de_medición2064[Herramientas_de_medición], B7) &gt; 0, Herramientas_de_medición2064[[#Headers],[Herramientas_de_medición]],
    COUNTIF(Herrramientas_mecánicas2165[Herramientas_mecánicas], B7) &gt; 0, Herrramientas_mecánicas2165[[#Headers],[Herramientas_mecánicas]],
    COUNTIF(AK7:AK13, B7) &gt; 0, Herramientas_hidráulicas2266[[#Headers],[Herramientas_hidráulicas]],
    COUNTIF(EPP_2367[SPCC], B7) &gt; 0, EPP_2367[[#Headers],[SPCC]],
   COUNTIF(Herramientas_de_izaje2468[Herramientas_de_izaje], B7) &gt; 0, Herramientas_de_izaje2468[[#Headers],[Herramientas_de_izaje]],
COUNTIF(Tabla162670[Equipos], B7) &gt; 0, Tabla162670[[#Headers],[Equipos]],
    TRUE, "Sin clasificación"
)</f>
        <v>Herramientas_eléctricas</v>
      </c>
      <c r="F7" s="15"/>
      <c r="G7" s="15" t="s">
        <v>639</v>
      </c>
      <c r="H7" s="47" t="s">
        <v>644</v>
      </c>
      <c r="I7" s="87"/>
      <c r="J7" s="78" t="s">
        <v>640</v>
      </c>
      <c r="K7" s="78">
        <v>2200</v>
      </c>
      <c r="L7" s="78">
        <v>220</v>
      </c>
      <c r="M7" s="78" t="s">
        <v>643</v>
      </c>
      <c r="N7" t="s">
        <v>646</v>
      </c>
      <c r="O7" s="47" t="s">
        <v>645</v>
      </c>
      <c r="P7" s="47" t="str">
        <f>_xlfn.LET(
    _xlpm.itemBuscado, B7,
    _xlpm.areaBuscada, C7,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TEXT(COUNTIF($C$2:C7, _xlpm.areaBuscada), "0000"),
    _xlpm.codItem &amp; "-" &amp; _xlpm.codArea &amp; "-" &amp; _xlpm.secuencia
)</f>
        <v>ZE-AM-ELT-0002</v>
      </c>
      <c r="R7" s="15"/>
      <c r="T7" s="48"/>
      <c r="W7" s="49">
        <v>6</v>
      </c>
      <c r="X7" s="50" t="s">
        <v>176</v>
      </c>
      <c r="AC7" s="55">
        <v>6</v>
      </c>
      <c r="AD7" s="56" t="s">
        <v>10</v>
      </c>
      <c r="AG7" t="s">
        <v>55</v>
      </c>
      <c r="AI7" s="11" t="s">
        <v>56</v>
      </c>
      <c r="AJ7" s="5" t="s">
        <v>57</v>
      </c>
      <c r="AK7" t="s">
        <v>58</v>
      </c>
      <c r="AP7" s="13" t="s">
        <v>59</v>
      </c>
      <c r="AS7" s="15" t="s">
        <v>228</v>
      </c>
      <c r="AT7" s="15" t="s">
        <v>229</v>
      </c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</row>
    <row r="8" spans="2:70" ht="33.6" customHeight="1" x14ac:dyDescent="0.3">
      <c r="B8" t="s">
        <v>23</v>
      </c>
      <c r="C8" s="11" t="s">
        <v>176</v>
      </c>
      <c r="D8">
        <v>1</v>
      </c>
      <c r="E8" s="11" t="str" cm="1">
        <f t="array" ref="E8">_xlfn.IFS(
    COUNTIF(Herramientas_eléctricas1862[Herramientas_eléctricas], B8) &gt; 0, Herramientas_eléctricas1862[[#Headers],[Herramientas_eléctricas]],
    COUNTIF(Herramientas_neumáticas1963[Herramientas_neumáticas], B8) &gt; 0, Herramientas_neumáticas1963[[#Headers],[Herramientas_neumáticas]],
    COUNTIF(Herramientas_de_medición2064[Herramientas_de_medición], B8) &gt; 0, Herramientas_de_medición2064[[#Headers],[Herramientas_de_medición]],
    COUNTIF(Herrramientas_mecánicas2165[Herramientas_mecánicas], B8) &gt; 0, Herrramientas_mecánicas2165[[#Headers],[Herramientas_mecánicas]],
    COUNTIF(AK8:AK14, B8) &gt; 0, Herramientas_hidráulicas2266[[#Headers],[Herramientas_hidráulicas]],
    COUNTIF(EPP_2367[SPCC], B8) &gt; 0, EPP_2367[[#Headers],[SPCC]],
   COUNTIF(Herramientas_de_izaje2468[Herramientas_de_izaje], B8) &gt; 0, Herramientas_de_izaje2468[[#Headers],[Herramientas_de_izaje]],
COUNTIF(Tabla162670[Equipos], B8) &gt; 0, Tabla162670[[#Headers],[Equipos]],
    TRUE, "Sin clasificación"
)</f>
        <v>Herramientas_eléctricas</v>
      </c>
      <c r="F8" s="15"/>
      <c r="G8" s="15" t="s">
        <v>611</v>
      </c>
      <c r="H8" s="47" t="s">
        <v>647</v>
      </c>
      <c r="I8" s="87">
        <v>3.4</v>
      </c>
      <c r="J8" s="78" t="s">
        <v>648</v>
      </c>
      <c r="K8" s="78">
        <v>750</v>
      </c>
      <c r="L8" s="78" t="s">
        <v>616</v>
      </c>
      <c r="M8" s="78">
        <v>28000</v>
      </c>
      <c r="N8" t="s">
        <v>649</v>
      </c>
      <c r="O8" s="47">
        <v>207541</v>
      </c>
      <c r="P8" s="47" t="str">
        <f>_xlfn.LET(
    _xlpm.itemBuscado, B8,
    _xlpm.areaBuscada, C8,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TEXT(COUNTIF($C$2:C8, _xlpm.areaBuscada), "0000"),
    _xlpm.codItem &amp; "-" &amp; _xlpm.codArea &amp; "-" &amp; _xlpm.secuencia
)</f>
        <v>ZE-AM-ELT-0003</v>
      </c>
      <c r="R8" s="15"/>
      <c r="T8" s="48"/>
      <c r="W8" s="49">
        <v>7</v>
      </c>
      <c r="X8" s="50" t="s">
        <v>177</v>
      </c>
      <c r="AG8" t="s">
        <v>60</v>
      </c>
      <c r="AI8" s="11" t="s">
        <v>61</v>
      </c>
      <c r="AJ8" t="s">
        <v>62</v>
      </c>
      <c r="AK8" t="s">
        <v>35</v>
      </c>
      <c r="AP8" s="14" t="s">
        <v>63</v>
      </c>
      <c r="AS8" s="25" t="s">
        <v>230</v>
      </c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</row>
    <row r="9" spans="2:70" ht="30" customHeight="1" x14ac:dyDescent="0.3">
      <c r="B9" t="s">
        <v>23</v>
      </c>
      <c r="C9" s="11" t="s">
        <v>176</v>
      </c>
      <c r="D9">
        <v>1</v>
      </c>
      <c r="E9" s="11" t="str" cm="1">
        <f t="array" ref="E9">_xlfn.IFS(
    COUNTIF(Herramientas_eléctricas1862[Herramientas_eléctricas], B9) &gt; 0, Herramientas_eléctricas1862[[#Headers],[Herramientas_eléctricas]],
    COUNTIF(Herramientas_neumáticas1963[Herramientas_neumáticas], B9) &gt; 0, Herramientas_neumáticas1963[[#Headers],[Herramientas_neumáticas]],
    COUNTIF(Herramientas_de_medición2064[Herramientas_de_medición], B9) &gt; 0, Herramientas_de_medición2064[[#Headers],[Herramientas_de_medición]],
    COUNTIF(Herrramientas_mecánicas2165[Herramientas_mecánicas], B9) &gt; 0, Herrramientas_mecánicas2165[[#Headers],[Herramientas_mecánicas]],
    COUNTIF(AK9:AK15, B9) &gt; 0, Herramientas_hidráulicas2266[[#Headers],[Herramientas_hidráulicas]],
    COUNTIF(EPP_2367[SPCC], B9) &gt; 0, EPP_2367[[#Headers],[SPCC]],
   COUNTIF(Herramientas_de_izaje2468[Herramientas_de_izaje], B9) &gt; 0, Herramientas_de_izaje2468[[#Headers],[Herramientas_de_izaje]],
COUNTIF(Tabla162670[Equipos], B9) &gt; 0, Tabla162670[[#Headers],[Equipos]],
    TRUE, "Sin clasificación"
)</f>
        <v>Herramientas_eléctricas</v>
      </c>
      <c r="F9" s="15"/>
      <c r="G9" s="15" t="s">
        <v>572</v>
      </c>
      <c r="H9" s="47" t="s">
        <v>650</v>
      </c>
      <c r="I9" s="87"/>
      <c r="J9" s="78" t="s">
        <v>651</v>
      </c>
      <c r="K9" s="78">
        <v>1200</v>
      </c>
      <c r="L9" s="78">
        <v>220</v>
      </c>
      <c r="M9" s="78">
        <v>11000</v>
      </c>
      <c r="N9" t="s">
        <v>652</v>
      </c>
      <c r="O9" s="47">
        <v>521067696</v>
      </c>
      <c r="P9" s="47" t="str">
        <f>_xlfn.LET(
    _xlpm.itemBuscado, B9,
    _xlpm.areaBuscada, C9,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TEXT(COUNTIF($C$2:C9, _xlpm.areaBuscada), "0000"),
    _xlpm.codItem &amp; "-" &amp; _xlpm.codArea &amp; "-" &amp; _xlpm.secuencia
)</f>
        <v>ZE-AM-ELT-0004</v>
      </c>
      <c r="R9" s="15"/>
      <c r="T9" s="48"/>
      <c r="W9" s="49">
        <v>8</v>
      </c>
      <c r="X9" s="57" t="s">
        <v>178</v>
      </c>
      <c r="AC9" s="58" t="s">
        <v>210</v>
      </c>
      <c r="AG9" t="s">
        <v>64</v>
      </c>
      <c r="AI9" s="15" t="s">
        <v>65</v>
      </c>
      <c r="AJ9" t="s">
        <v>66</v>
      </c>
      <c r="AK9" s="16"/>
      <c r="AP9" s="9" t="s">
        <v>67</v>
      </c>
      <c r="AS9" s="25" t="s">
        <v>231</v>
      </c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</row>
    <row r="10" spans="2:70" ht="26.4" customHeight="1" x14ac:dyDescent="0.3">
      <c r="B10" t="s">
        <v>23</v>
      </c>
      <c r="C10" s="11" t="s">
        <v>176</v>
      </c>
      <c r="D10">
        <v>1</v>
      </c>
      <c r="E10" s="11" t="str" cm="1">
        <f t="array" ref="E10">_xlfn.IFS(
    COUNTIF(Herramientas_eléctricas1862[Herramientas_eléctricas], B10) &gt; 0, Herramientas_eléctricas1862[[#Headers],[Herramientas_eléctricas]],
    COUNTIF(Herramientas_neumáticas1963[Herramientas_neumáticas], B10) &gt; 0, Herramientas_neumáticas1963[[#Headers],[Herramientas_neumáticas]],
    COUNTIF(Herramientas_de_medición2064[Herramientas_de_medición], B10) &gt; 0, Herramientas_de_medición2064[[#Headers],[Herramientas_de_medición]],
    COUNTIF(Herrramientas_mecánicas2165[Herramientas_mecánicas], B10) &gt; 0, Herrramientas_mecánicas2165[[#Headers],[Herramientas_mecánicas]],
    COUNTIF(AK10:AK16, B10) &gt; 0, Herramientas_hidráulicas2266[[#Headers],[Herramientas_hidráulicas]],
    COUNTIF(EPP_2367[SPCC], B10) &gt; 0, EPP_2367[[#Headers],[SPCC]],
   COUNTIF(Herramientas_de_izaje2468[Herramientas_de_izaje], B10) &gt; 0, Herramientas_de_izaje2468[[#Headers],[Herramientas_de_izaje]],
COUNTIF(Tabla162670[Equipos], B10) &gt; 0, Tabla162670[[#Headers],[Equipos]],
    TRUE, "Sin clasificación"
)</f>
        <v>Herramientas_eléctricas</v>
      </c>
      <c r="F10" s="15"/>
      <c r="G10" s="15" t="s">
        <v>572</v>
      </c>
      <c r="H10" s="47" t="s">
        <v>653</v>
      </c>
      <c r="I10" s="87"/>
      <c r="J10" s="78" t="s">
        <v>595</v>
      </c>
      <c r="K10" s="78">
        <v>670</v>
      </c>
      <c r="L10" s="78">
        <v>220</v>
      </c>
      <c r="M10" s="78">
        <v>12000</v>
      </c>
      <c r="N10" t="s">
        <v>654</v>
      </c>
      <c r="O10" s="47" t="s">
        <v>645</v>
      </c>
      <c r="P10" s="47" t="str">
        <f>_xlfn.LET(
    _xlpm.itemBuscado, B10,
    _xlpm.areaBuscada, C10,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TEXT(COUNTIF($C$2:C10, _xlpm.areaBuscada), "0000"),
    _xlpm.codItem &amp; "-" &amp; _xlpm.codArea &amp; "-" &amp; _xlpm.secuencia
)</f>
        <v>ZE-AM-ELT-0005</v>
      </c>
      <c r="R10" s="15"/>
      <c r="T10" s="48"/>
      <c r="W10" s="49">
        <v>9</v>
      </c>
      <c r="X10" s="57" t="s">
        <v>179</v>
      </c>
      <c r="AC10" s="59" t="s">
        <v>232</v>
      </c>
      <c r="AG10" s="17" t="s">
        <v>68</v>
      </c>
      <c r="AI10" s="15" t="s">
        <v>69</v>
      </c>
      <c r="AJ10" t="s">
        <v>70</v>
      </c>
      <c r="AP10" s="18" t="s">
        <v>71</v>
      </c>
      <c r="AS10" s="15" t="s">
        <v>95</v>
      </c>
    </row>
    <row r="11" spans="2:70" ht="33.6" customHeight="1" x14ac:dyDescent="0.3">
      <c r="B11" t="s">
        <v>23</v>
      </c>
      <c r="C11" s="11" t="s">
        <v>176</v>
      </c>
      <c r="E11" s="11" t="str" cm="1">
        <f t="array" ref="E11">_xlfn.IFS(
    COUNTIF(Herramientas_eléctricas1862[Herramientas_eléctricas], B11) &gt; 0, Herramientas_eléctricas1862[[#Headers],[Herramientas_eléctricas]],
    COUNTIF(Herramientas_neumáticas1963[Herramientas_neumáticas], B11) &gt; 0, Herramientas_neumáticas1963[[#Headers],[Herramientas_neumáticas]],
    COUNTIF(Herramientas_de_medición2064[Herramientas_de_medición], B11) &gt; 0, Herramientas_de_medición2064[[#Headers],[Herramientas_de_medición]],
    COUNTIF(Herrramientas_mecánicas2165[Herramientas_mecánicas], B11) &gt; 0, Herrramientas_mecánicas2165[[#Headers],[Herramientas_mecánicas]],
    COUNTIF(AK11:AK17, B11) &gt; 0, Herramientas_hidráulicas2266[[#Headers],[Herramientas_hidráulicas]],
    COUNTIF(EPP_2367[SPCC], B11) &gt; 0, EPP_2367[[#Headers],[SPCC]],
   COUNTIF(Herramientas_de_izaje2468[Herramientas_de_izaje], B11) &gt; 0, Herramientas_de_izaje2468[[#Headers],[Herramientas_de_izaje]],
COUNTIF(Tabla162670[Equipos], B11) &gt; 0, Tabla162670[[#Headers],[Equipos]],
    TRUE, "Sin clasificación"
)</f>
        <v>Herramientas_eléctricas</v>
      </c>
      <c r="F11" s="15"/>
      <c r="G11" s="15" t="s">
        <v>611</v>
      </c>
      <c r="H11" s="85" t="s">
        <v>655</v>
      </c>
      <c r="I11" s="88">
        <v>3.8</v>
      </c>
      <c r="J11" s="86" t="s">
        <v>595</v>
      </c>
      <c r="K11" s="86">
        <v>840</v>
      </c>
      <c r="L11" s="86" t="s">
        <v>616</v>
      </c>
      <c r="M11" s="86">
        <v>11000</v>
      </c>
      <c r="N11" t="s">
        <v>656</v>
      </c>
      <c r="O11" s="47">
        <v>504192</v>
      </c>
      <c r="P11" s="47" t="str">
        <f>_xlfn.LET(
    _xlpm.itemBuscado, B11,
    _xlpm.areaBuscada, C11,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TEXT(COUNTIF($C$2:C11, _xlpm.areaBuscada), "0000"),
    _xlpm.codItem &amp; "-" &amp; _xlpm.codArea &amp; "-" &amp; _xlpm.secuencia
)</f>
        <v>ZE-AM-ELT-0006</v>
      </c>
      <c r="R11" s="15"/>
      <c r="T11" s="48"/>
      <c r="W11" s="60">
        <v>10</v>
      </c>
      <c r="X11" s="61" t="s">
        <v>180</v>
      </c>
      <c r="AC11" s="59" t="s">
        <v>233</v>
      </c>
      <c r="AG11" s="8" t="s">
        <v>72</v>
      </c>
      <c r="AI11" s="15" t="s">
        <v>73</v>
      </c>
      <c r="AJ11" t="s">
        <v>74</v>
      </c>
      <c r="AP11" s="18" t="s">
        <v>75</v>
      </c>
      <c r="BD11" s="62"/>
    </row>
    <row r="12" spans="2:70" ht="28.8" x14ac:dyDescent="0.3">
      <c r="B12" t="s">
        <v>23</v>
      </c>
      <c r="C12" s="11" t="s">
        <v>176</v>
      </c>
      <c r="E12" s="11" t="str" cm="1">
        <f t="array" ref="E12">_xlfn.IFS(
    COUNTIF(Herramientas_eléctricas1862[Herramientas_eléctricas], B12) &gt; 0, Herramientas_eléctricas1862[[#Headers],[Herramientas_eléctricas]],
    COUNTIF(Herramientas_neumáticas1963[Herramientas_neumáticas], B12) &gt; 0, Herramientas_neumáticas1963[[#Headers],[Herramientas_neumáticas]],
    COUNTIF(Herramientas_de_medición2064[Herramientas_de_medición], B12) &gt; 0, Herramientas_de_medición2064[[#Headers],[Herramientas_de_medición]],
    COUNTIF(Herrramientas_mecánicas2165[Herramientas_mecánicas], B12) &gt; 0, Herrramientas_mecánicas2165[[#Headers],[Herramientas_mecánicas]],
    COUNTIF(AK12:AK18, B12) &gt; 0, Herramientas_hidráulicas2266[[#Headers],[Herramientas_hidráulicas]],
    COUNTIF(EPP_2367[SPCC], B12) &gt; 0, EPP_2367[[#Headers],[SPCC]],
   COUNTIF(Herramientas_de_izaje2468[Herramientas_de_izaje], B12) &gt; 0, Herramientas_de_izaje2468[[#Headers],[Herramientas_de_izaje]],
COUNTIF(Tabla162670[Equipos], B12) &gt; 0, Tabla162670[[#Headers],[Equipos]],
    TRUE, "Sin clasificación"
)</f>
        <v>Herramientas_eléctricas</v>
      </c>
      <c r="F12" s="15"/>
      <c r="G12" s="15" t="s">
        <v>572</v>
      </c>
      <c r="H12" s="47" t="s">
        <v>671</v>
      </c>
      <c r="I12" s="87">
        <v>12</v>
      </c>
      <c r="J12" s="78" t="s">
        <v>672</v>
      </c>
      <c r="K12" s="78">
        <v>2400</v>
      </c>
      <c r="L12" s="78" t="s">
        <v>616</v>
      </c>
      <c r="M12" s="78">
        <v>3800</v>
      </c>
      <c r="N12" t="s">
        <v>673</v>
      </c>
      <c r="O12" s="47">
        <v>524001606</v>
      </c>
      <c r="P12" s="47" t="str">
        <f>_xlfn.LET(
    _xlpm.itemBuscado, B12,
    _xlpm.areaBuscada, C12,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TEXT(COUNTIF($C$2:C12, _xlpm.areaBuscada), "0000"),
    _xlpm.codItem &amp; "-" &amp; _xlpm.codArea &amp; "-" &amp; _xlpm.secuencia
)</f>
        <v>ZE-AM-ELT-0007</v>
      </c>
      <c r="R12" s="15"/>
      <c r="T12" s="48"/>
      <c r="W12" s="60">
        <v>11</v>
      </c>
      <c r="X12" s="61" t="s">
        <v>181</v>
      </c>
      <c r="AC12" s="33" t="s">
        <v>234</v>
      </c>
      <c r="AG12" t="s">
        <v>19</v>
      </c>
      <c r="AH12" t="s">
        <v>76</v>
      </c>
      <c r="AI12" s="15" t="s">
        <v>77</v>
      </c>
      <c r="AJ12" t="s">
        <v>78</v>
      </c>
      <c r="AP12" s="19" t="s">
        <v>79</v>
      </c>
      <c r="AS12" s="11"/>
    </row>
    <row r="13" spans="2:70" x14ac:dyDescent="0.3">
      <c r="B13" t="s">
        <v>23</v>
      </c>
      <c r="C13" s="11" t="s">
        <v>176</v>
      </c>
      <c r="E13" s="11" t="str" cm="1">
        <f t="array" ref="E13">_xlfn.IFS(
    COUNTIF(Herramientas_eléctricas1862[Herramientas_eléctricas], B13) &gt; 0, Herramientas_eléctricas1862[[#Headers],[Herramientas_eléctricas]],
    COUNTIF(Herramientas_neumáticas1963[Herramientas_neumáticas], B13) &gt; 0, Herramientas_neumáticas1963[[#Headers],[Herramientas_neumáticas]],
    COUNTIF(Herramientas_de_medición2064[Herramientas_de_medición], B13) &gt; 0, Herramientas_de_medición2064[[#Headers],[Herramientas_de_medición]],
    COUNTIF(Herrramientas_mecánicas2165[Herramientas_mecánicas], B13) &gt; 0, Herrramientas_mecánicas2165[[#Headers],[Herramientas_mecánicas]],
    COUNTIF(AK13:AK19, B13) &gt; 0, Herramientas_hidráulicas2266[[#Headers],[Herramientas_hidráulicas]],
    COUNTIF(EPP_2367[SPCC], B13) &gt; 0, EPP_2367[[#Headers],[SPCC]],
   COUNTIF(Herramientas_de_izaje2468[Herramientas_de_izaje], B13) &gt; 0, Herramientas_de_izaje2468[[#Headers],[Herramientas_de_izaje]],
COUNTIF(Tabla162670[Equipos], B13) &gt; 0, Tabla162670[[#Headers],[Equipos]],
    TRUE, "Sin clasificación"
)</f>
        <v>Herramientas_eléctricas</v>
      </c>
      <c r="F13" s="15"/>
      <c r="G13" s="15" t="s">
        <v>572</v>
      </c>
      <c r="H13" s="47" t="s">
        <v>683</v>
      </c>
      <c r="I13" s="87">
        <v>10.5</v>
      </c>
      <c r="J13" s="78" t="s">
        <v>672</v>
      </c>
      <c r="K13" s="78">
        <v>2300</v>
      </c>
      <c r="L13" s="78">
        <v>220</v>
      </c>
      <c r="M13" s="78">
        <v>4100</v>
      </c>
      <c r="N13" t="s">
        <v>684</v>
      </c>
      <c r="O13" s="47">
        <v>526000012</v>
      </c>
      <c r="P13" s="47" t="str">
        <f>_xlfn.LET(
    _xlpm.itemBuscado, B13,
    _xlpm.areaBuscada, C13,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TEXT(COUNTIF($C$2:C13, _xlpm.areaBuscada), "0000"),
    _xlpm.codItem &amp; "-" &amp; _xlpm.codArea &amp; "-" &amp; _xlpm.secuencia
)</f>
        <v>ZE-AM-ELT-0008</v>
      </c>
      <c r="R13" s="15"/>
      <c r="T13" s="48"/>
      <c r="W13" s="60">
        <v>12</v>
      </c>
      <c r="X13" s="61" t="s">
        <v>892</v>
      </c>
      <c r="AG13" t="s">
        <v>80</v>
      </c>
      <c r="AI13" s="15" t="s">
        <v>81</v>
      </c>
      <c r="AJ13" t="s">
        <v>82</v>
      </c>
      <c r="AP13" s="20" t="s">
        <v>83</v>
      </c>
      <c r="AS13" s="11"/>
      <c r="AX13" s="11"/>
    </row>
    <row r="14" spans="2:70" x14ac:dyDescent="0.3">
      <c r="B14" t="s">
        <v>23</v>
      </c>
      <c r="C14" s="11" t="s">
        <v>176</v>
      </c>
      <c r="E14" s="11" t="str" cm="1">
        <f t="array" ref="E14">_xlfn.IFS(
    COUNTIF(Herramientas_eléctricas1862[Herramientas_eléctricas], B14) &gt; 0, Herramientas_eléctricas1862[[#Headers],[Herramientas_eléctricas]],
    COUNTIF(Herramientas_neumáticas1963[Herramientas_neumáticas], B14) &gt; 0, Herramientas_neumáticas1963[[#Headers],[Herramientas_neumáticas]],
    COUNTIF(Herramientas_de_medición2064[Herramientas_de_medición], B14) &gt; 0, Herramientas_de_medición2064[[#Headers],[Herramientas_de_medición]],
    COUNTIF(Herrramientas_mecánicas2165[Herramientas_mecánicas], B14) &gt; 0, Herrramientas_mecánicas2165[[#Headers],[Herramientas_mecánicas]],
    COUNTIF(AK14:AK20, B14) &gt; 0, Herramientas_hidráulicas2266[[#Headers],[Herramientas_hidráulicas]],
    COUNTIF(EPP_2367[SPCC], B14) &gt; 0, EPP_2367[[#Headers],[SPCC]],
   COUNTIF(Herramientas_de_izaje2468[Herramientas_de_izaje], B14) &gt; 0, Herramientas_de_izaje2468[[#Headers],[Herramientas_de_izaje]],
COUNTIF(Tabla162670[Equipos], B14) &gt; 0, Tabla162670[[#Headers],[Equipos]],
    TRUE, "Sin clasificación"
)</f>
        <v>Herramientas_eléctricas</v>
      </c>
      <c r="F14" s="15"/>
      <c r="G14" s="15" t="s">
        <v>572</v>
      </c>
      <c r="H14" s="47" t="s">
        <v>701</v>
      </c>
      <c r="I14" s="87"/>
      <c r="J14" s="78"/>
      <c r="K14" s="78"/>
      <c r="L14" s="78"/>
      <c r="M14" s="78"/>
      <c r="N14" t="s">
        <v>700</v>
      </c>
      <c r="O14" s="47"/>
      <c r="P14" s="47" t="str">
        <f>_xlfn.LET(
    _xlpm.itemBuscado, B14,
    _xlpm.areaBuscada, C14,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TEXT(COUNTIF($C$2:C14, _xlpm.areaBuscada), "0000"),
    _xlpm.codItem &amp; "-" &amp; _xlpm.codArea &amp; "-" &amp; _xlpm.secuencia
)</f>
        <v>ZE-AM-ELT-0009</v>
      </c>
      <c r="R14" s="15"/>
      <c r="T14" s="48" t="s">
        <v>224</v>
      </c>
      <c r="U14" t="s">
        <v>702</v>
      </c>
      <c r="AG14" t="s">
        <v>84</v>
      </c>
      <c r="AI14" s="15" t="s">
        <v>85</v>
      </c>
      <c r="AJ14" t="s">
        <v>86</v>
      </c>
      <c r="AP14" s="18" t="s">
        <v>87</v>
      </c>
    </row>
    <row r="15" spans="2:70" ht="43.95" customHeight="1" x14ac:dyDescent="0.3">
      <c r="B15" t="s">
        <v>23</v>
      </c>
      <c r="C15" s="11" t="s">
        <v>180</v>
      </c>
      <c r="E15" s="11" t="str" cm="1">
        <f t="array" ref="E15">_xlfn.IFS(
    COUNTIF(Herramientas_eléctricas1862[Herramientas_eléctricas], B15) &gt; 0, Herramientas_eléctricas1862[[#Headers],[Herramientas_eléctricas]],
    COUNTIF(Herramientas_neumáticas1963[Herramientas_neumáticas], B15) &gt; 0, Herramientas_neumáticas1963[[#Headers],[Herramientas_neumáticas]],
    COUNTIF(Herramientas_de_medición2064[Herramientas_de_medición], B15) &gt; 0, Herramientas_de_medición2064[[#Headers],[Herramientas_de_medición]],
    COUNTIF(Herrramientas_mecánicas2165[Herramientas_mecánicas], B15) &gt; 0, Herrramientas_mecánicas2165[[#Headers],[Herramientas_mecánicas]],
    COUNTIF(AK15:AK21, B15) &gt; 0, Herramientas_hidráulicas2266[[#Headers],[Herramientas_hidráulicas]],
    COUNTIF(EPP_2367[SPCC], B15) &gt; 0, EPP_2367[[#Headers],[SPCC]],
   COUNTIF(Herramientas_de_izaje2468[Herramientas_de_izaje], B15) &gt; 0, Herramientas_de_izaje2468[[#Headers],[Herramientas_de_izaje]],
COUNTIF(Tabla162670[Equipos], B15) &gt; 0, Tabla162670[[#Headers],[Equipos]],
    TRUE, "Sin clasificación"
)</f>
        <v>Herramientas_eléctricas</v>
      </c>
      <c r="F15" s="15"/>
      <c r="G15" s="15" t="s">
        <v>572</v>
      </c>
      <c r="H15" s="47" t="s">
        <v>703</v>
      </c>
      <c r="I15" s="87">
        <v>6.1</v>
      </c>
      <c r="J15" s="78" t="s">
        <v>651</v>
      </c>
      <c r="K15" s="78">
        <v>1300</v>
      </c>
      <c r="L15" s="78">
        <v>220</v>
      </c>
      <c r="M15" s="78">
        <v>11500</v>
      </c>
      <c r="O15" s="47">
        <v>601000591</v>
      </c>
      <c r="P15" s="47" t="str">
        <f>_xlfn.LET(
    _xlpm.itemBuscado, B15,
    _xlpm.areaBuscada, C15,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TEXT(COUNTIF($C$2:C15, _xlpm.areaBuscada), "0000"),
    _xlpm.codItem &amp; "-" &amp; _xlpm.codArea &amp; "-" &amp; _xlpm.secuencia
)</f>
        <v>ZE-AM-CO-0001</v>
      </c>
      <c r="R15" s="15"/>
      <c r="T15" s="48"/>
      <c r="AG15" t="s">
        <v>88</v>
      </c>
      <c r="AI15" t="s">
        <v>89</v>
      </c>
      <c r="AJ15" t="s">
        <v>90</v>
      </c>
      <c r="AP15" s="21" t="s">
        <v>91</v>
      </c>
      <c r="AS15" s="11"/>
    </row>
    <row r="16" spans="2:70" x14ac:dyDescent="0.3">
      <c r="B16" t="s">
        <v>23</v>
      </c>
      <c r="C16" s="11" t="s">
        <v>175</v>
      </c>
      <c r="E16" s="11" t="str" cm="1">
        <f t="array" ref="E16">_xlfn.IFS(
    COUNTIF(Herramientas_eléctricas1862[Herramientas_eléctricas], B16) &gt; 0, Herramientas_eléctricas1862[[#Headers],[Herramientas_eléctricas]],
    COUNTIF(Herramientas_neumáticas1963[Herramientas_neumáticas], B16) &gt; 0, Herramientas_neumáticas1963[[#Headers],[Herramientas_neumáticas]],
    COUNTIF(Herramientas_de_medición2064[Herramientas_de_medición], B16) &gt; 0, Herramientas_de_medición2064[[#Headers],[Herramientas_de_medición]],
    COUNTIF(Herrramientas_mecánicas2165[Herramientas_mecánicas], B16) &gt; 0, Herrramientas_mecánicas2165[[#Headers],[Herramientas_mecánicas]],
    COUNTIF(AK16:AK22, B16) &gt; 0, Herramientas_hidráulicas2266[[#Headers],[Herramientas_hidráulicas]],
    COUNTIF(EPP_2367[SPCC], B16) &gt; 0, EPP_2367[[#Headers],[SPCC]],
   COUNTIF(Herramientas_de_izaje2468[Herramientas_de_izaje], B16) &gt; 0, Herramientas_de_izaje2468[[#Headers],[Herramientas_de_izaje]],
COUNTIF(Tabla162670[Equipos], B16) &gt; 0, Tabla162670[[#Headers],[Equipos]],
    TRUE, "Sin clasificación"
)</f>
        <v>Herramientas_eléctricas</v>
      </c>
      <c r="F16" s="15"/>
      <c r="G16" s="15" t="s">
        <v>572</v>
      </c>
      <c r="H16" s="47" t="s">
        <v>704</v>
      </c>
      <c r="I16" s="87">
        <v>11.9</v>
      </c>
      <c r="J16" s="78" t="s">
        <v>746</v>
      </c>
      <c r="K16" s="78">
        <v>2600</v>
      </c>
      <c r="L16" s="78">
        <v>220</v>
      </c>
      <c r="M16" s="78">
        <v>8500</v>
      </c>
      <c r="N16" t="s">
        <v>705</v>
      </c>
      <c r="O16" s="47">
        <v>607270169</v>
      </c>
      <c r="P16" s="47" t="str">
        <f>_xlfn.LET(
    _xlpm.itemBuscado, B16,
    _xlpm.areaBuscada, C16,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TEXT(COUNTIF($C$2:C16, _xlpm.areaBuscada), "0000"),
    _xlpm.codItem &amp; "-" &amp; _xlpm.codArea &amp; "-" &amp; _xlpm.secuencia
)</f>
        <v>ZE-AM-LU-0001</v>
      </c>
      <c r="R16" s="15"/>
      <c r="T16" s="48"/>
      <c r="AG16" t="s">
        <v>41</v>
      </c>
      <c r="AI16" t="s">
        <v>62</v>
      </c>
      <c r="AJ16" s="11" t="s">
        <v>92</v>
      </c>
      <c r="AK16" s="22"/>
      <c r="AP16" s="23" t="s">
        <v>93</v>
      </c>
    </row>
    <row r="17" spans="2:45" x14ac:dyDescent="0.3">
      <c r="B17" t="s">
        <v>23</v>
      </c>
      <c r="C17" s="11" t="s">
        <v>175</v>
      </c>
      <c r="E17" s="11" t="str" cm="1">
        <f t="array" ref="E17">_xlfn.IFS(
    COUNTIF(Herramientas_eléctricas1862[Herramientas_eléctricas], B17) &gt; 0, Herramientas_eléctricas1862[[#Headers],[Herramientas_eléctricas]],
    COUNTIF(Herramientas_neumáticas1963[Herramientas_neumáticas], B17) &gt; 0, Herramientas_neumáticas1963[[#Headers],[Herramientas_neumáticas]],
    COUNTIF(Herramientas_de_medición2064[Herramientas_de_medición], B17) &gt; 0, Herramientas_de_medición2064[[#Headers],[Herramientas_de_medición]],
    COUNTIF(Herrramientas_mecánicas2165[Herramientas_mecánicas], B17) &gt; 0, Herrramientas_mecánicas2165[[#Headers],[Herramientas_mecánicas]],
    COUNTIF(AK17:AK23, B17) &gt; 0, Herramientas_hidráulicas2266[[#Headers],[Herramientas_hidráulicas]],
    COUNTIF(EPP_2367[SPCC], B17) &gt; 0, EPP_2367[[#Headers],[SPCC]],
   COUNTIF(Herramientas_de_izaje2468[Herramientas_de_izaje], B17) &gt; 0, Herramientas_de_izaje2468[[#Headers],[Herramientas_de_izaje]],
COUNTIF(Tabla162670[Equipos], B17) &gt; 0, Tabla162670[[#Headers],[Equipos]],
    TRUE, "Sin clasificación"
)</f>
        <v>Herramientas_eléctricas</v>
      </c>
      <c r="F17" s="15"/>
      <c r="G17" s="15" t="s">
        <v>572</v>
      </c>
      <c r="H17" s="47" t="s">
        <v>704</v>
      </c>
      <c r="I17" s="87">
        <v>11.9</v>
      </c>
      <c r="J17" s="78" t="s">
        <v>746</v>
      </c>
      <c r="K17" s="78">
        <v>2600</v>
      </c>
      <c r="L17" s="78">
        <v>220</v>
      </c>
      <c r="M17" s="78">
        <v>8500</v>
      </c>
      <c r="N17" t="s">
        <v>706</v>
      </c>
      <c r="O17" s="47"/>
      <c r="P17" s="47" t="str">
        <f>_xlfn.LET(
    _xlpm.itemBuscado, B17,
    _xlpm.areaBuscada, C17,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TEXT(COUNTIF($C$2:C17, _xlpm.areaBuscada), "0000"),
    _xlpm.codItem &amp; "-" &amp; _xlpm.codArea &amp; "-" &amp; _xlpm.secuencia
)</f>
        <v>ZE-AM-LU-0002</v>
      </c>
      <c r="R17" s="15"/>
      <c r="T17" s="48"/>
      <c r="AG17" s="24" t="s">
        <v>94</v>
      </c>
      <c r="AJ17" s="15" t="s">
        <v>95</v>
      </c>
      <c r="AK17" s="14"/>
      <c r="AP17" s="25" t="s">
        <v>96</v>
      </c>
      <c r="AS17" s="11"/>
    </row>
    <row r="18" spans="2:45" x14ac:dyDescent="0.3">
      <c r="B18" t="s">
        <v>23</v>
      </c>
      <c r="C18" s="11" t="s">
        <v>171</v>
      </c>
      <c r="E18" s="11" t="str" cm="1">
        <f t="array" ref="E18">_xlfn.IFS(
    COUNTIF(Herramientas_eléctricas1862[Herramientas_eléctricas], B18) &gt; 0, Herramientas_eléctricas1862[[#Headers],[Herramientas_eléctricas]],
    COUNTIF(Herramientas_neumáticas1963[Herramientas_neumáticas], B18) &gt; 0, Herramientas_neumáticas1963[[#Headers],[Herramientas_neumáticas]],
    COUNTIF(Herramientas_de_medición2064[Herramientas_de_medición], B18) &gt; 0, Herramientas_de_medición2064[[#Headers],[Herramientas_de_medición]],
    COUNTIF(Herrramientas_mecánicas2165[Herramientas_mecánicas], B18) &gt; 0, Herrramientas_mecánicas2165[[#Headers],[Herramientas_mecánicas]],
    COUNTIF(AK18:AK24, B18) &gt; 0, Herramientas_hidráulicas2266[[#Headers],[Herramientas_hidráulicas]],
    COUNTIF(EPP_2367[SPCC], B18) &gt; 0, EPP_2367[[#Headers],[SPCC]],
   COUNTIF(Herramientas_de_izaje2468[Herramientas_de_izaje], B18) &gt; 0, Herramientas_de_izaje2468[[#Headers],[Herramientas_de_izaje]],
COUNTIF(Tabla162670[Equipos], B18) &gt; 0, Tabla162670[[#Headers],[Equipos]],
    TRUE, "Sin clasificación"
)</f>
        <v>Herramientas_eléctricas</v>
      </c>
      <c r="F18" s="15"/>
      <c r="G18" s="15" t="s">
        <v>572</v>
      </c>
      <c r="H18" s="47" t="s">
        <v>704</v>
      </c>
      <c r="I18" s="87">
        <v>11.9</v>
      </c>
      <c r="J18" s="78" t="s">
        <v>746</v>
      </c>
      <c r="K18" s="78">
        <v>2600</v>
      </c>
      <c r="L18" s="78">
        <v>220</v>
      </c>
      <c r="M18" s="78">
        <v>8500</v>
      </c>
      <c r="N18" t="s">
        <v>747</v>
      </c>
      <c r="O18" s="47"/>
      <c r="P18" s="47" t="str">
        <f>_xlfn.LET(
    _xlpm.itemBuscado, B18,
    _xlpm.areaBuscada, C18,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TEXT(COUNTIF($C$2:C18, _xlpm.areaBuscada), "0000"),
    _xlpm.codItem &amp; "-" &amp; _xlpm.codArea &amp; "-" &amp; _xlpm.secuencia
)</f>
        <v>ZE-AM-CH-0001</v>
      </c>
      <c r="R18" s="15"/>
      <c r="T18" s="48"/>
      <c r="AG18" t="s">
        <v>97</v>
      </c>
      <c r="AJ18" t="s">
        <v>98</v>
      </c>
      <c r="AP18" s="25" t="s">
        <v>99</v>
      </c>
    </row>
    <row r="19" spans="2:45" x14ac:dyDescent="0.3">
      <c r="B19" t="s">
        <v>23</v>
      </c>
      <c r="C19" s="11" t="s">
        <v>171</v>
      </c>
      <c r="E19" s="11" t="str" cm="1">
        <f t="array" ref="E19">_xlfn.IFS(
    COUNTIF(Herramientas_eléctricas1862[Herramientas_eléctricas], B19) &gt; 0, Herramientas_eléctricas1862[[#Headers],[Herramientas_eléctricas]],
    COUNTIF(Herramientas_neumáticas1963[Herramientas_neumáticas], B19) &gt; 0, Herramientas_neumáticas1963[[#Headers],[Herramientas_neumáticas]],
    COUNTIF(Herramientas_de_medición2064[Herramientas_de_medición], B19) &gt; 0, Herramientas_de_medición2064[[#Headers],[Herramientas_de_medición]],
    COUNTIF(Herrramientas_mecánicas2165[Herramientas_mecánicas], B19) &gt; 0, Herrramientas_mecánicas2165[[#Headers],[Herramientas_mecánicas]],
    COUNTIF(AK19:AK25, B19) &gt; 0, Herramientas_hidráulicas2266[[#Headers],[Herramientas_hidráulicas]],
    COUNTIF(EPP_2367[SPCC], B19) &gt; 0, EPP_2367[[#Headers],[SPCC]],
   COUNTIF(Herramientas_de_izaje2468[Herramientas_de_izaje], B19) &gt; 0, Herramientas_de_izaje2468[[#Headers],[Herramientas_de_izaje]],
COUNTIF(Tabla162670[Equipos], B19) &gt; 0, Tabla162670[[#Headers],[Equipos]],
    TRUE, "Sin clasificación"
)</f>
        <v>Herramientas_eléctricas</v>
      </c>
      <c r="F19" s="15"/>
      <c r="G19" s="15" t="s">
        <v>572</v>
      </c>
      <c r="H19" s="47" t="s">
        <v>748</v>
      </c>
      <c r="I19" s="87">
        <v>8</v>
      </c>
      <c r="J19" s="78">
        <v>125</v>
      </c>
      <c r="K19" s="78">
        <v>1700</v>
      </c>
      <c r="L19" s="78">
        <v>220</v>
      </c>
      <c r="M19" s="78"/>
      <c r="N19" t="s">
        <v>749</v>
      </c>
      <c r="O19" s="47">
        <v>230000192</v>
      </c>
      <c r="P19" s="47" t="str">
        <f>_xlfn.LET(
    _xlpm.itemBuscado, B19,
    _xlpm.areaBuscada, C19,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TEXT(COUNTIF($C$2:C19, _xlpm.areaBuscada), "0000"),
    _xlpm.codItem &amp; "-" &amp; _xlpm.codArea &amp; "-" &amp; _xlpm.secuencia
)</f>
        <v>ZE-AM-CH-0002</v>
      </c>
      <c r="R19" s="15"/>
      <c r="T19" s="48"/>
      <c r="AG19" t="s">
        <v>42</v>
      </c>
      <c r="AJ19" s="11" t="s">
        <v>41</v>
      </c>
      <c r="AP19" t="s">
        <v>100</v>
      </c>
    </row>
    <row r="20" spans="2:45" x14ac:dyDescent="0.3">
      <c r="B20" t="s">
        <v>23</v>
      </c>
      <c r="C20" s="11" t="s">
        <v>171</v>
      </c>
      <c r="E20" s="11" t="str" cm="1">
        <f t="array" ref="E20">_xlfn.IFS(
    COUNTIF(Herramientas_eléctricas1862[Herramientas_eléctricas], B20) &gt; 0, Herramientas_eléctricas1862[[#Headers],[Herramientas_eléctricas]],
    COUNTIF(Herramientas_neumáticas1963[Herramientas_neumáticas], B20) &gt; 0, Herramientas_neumáticas1963[[#Headers],[Herramientas_neumáticas]],
    COUNTIF(Herramientas_de_medición2064[Herramientas_de_medición], B20) &gt; 0, Herramientas_de_medición2064[[#Headers],[Herramientas_de_medición]],
    COUNTIF(Herrramientas_mecánicas2165[Herramientas_mecánicas], B20) &gt; 0, Herrramientas_mecánicas2165[[#Headers],[Herramientas_mecánicas]],
    COUNTIF(AK20:AK26, B20) &gt; 0, Herramientas_hidráulicas2266[[#Headers],[Herramientas_hidráulicas]],
    COUNTIF(EPP_2367[SPCC], B20) &gt; 0, EPP_2367[[#Headers],[SPCC]],
   COUNTIF(Herramientas_de_izaje2468[Herramientas_de_izaje], B20) &gt; 0, Herramientas_de_izaje2468[[#Headers],[Herramientas_de_izaje]],
COUNTIF(Tabla162670[Equipos], B20) &gt; 0, Tabla162670[[#Headers],[Equipos]],
    TRUE, "Sin clasificación"
)</f>
        <v>Herramientas_eléctricas</v>
      </c>
      <c r="F20" s="15"/>
      <c r="G20" s="15" t="s">
        <v>572</v>
      </c>
      <c r="H20" s="47" t="s">
        <v>750</v>
      </c>
      <c r="I20" s="87">
        <v>13.4</v>
      </c>
      <c r="J20" s="78">
        <v>180</v>
      </c>
      <c r="K20" s="78">
        <v>2800</v>
      </c>
      <c r="L20" s="78">
        <v>220</v>
      </c>
      <c r="M20" s="78">
        <v>8500</v>
      </c>
      <c r="N20" t="s">
        <v>751</v>
      </c>
      <c r="O20" s="47">
        <v>523100131</v>
      </c>
      <c r="P20" s="47" t="str">
        <f>_xlfn.LET(
    _xlpm.itemBuscado, B20,
    _xlpm.areaBuscada, C20,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TEXT(COUNTIF($C$2:C20, _xlpm.areaBuscada), "0000"),
    _xlpm.codItem &amp; "-" &amp; _xlpm.codArea &amp; "-" &amp; _xlpm.secuencia
)</f>
        <v>ZE-AM-CH-0003</v>
      </c>
      <c r="R20" s="15"/>
      <c r="T20" s="48" t="s">
        <v>224</v>
      </c>
      <c r="AG20" t="s">
        <v>101</v>
      </c>
      <c r="AJ20" t="s">
        <v>102</v>
      </c>
      <c r="AP20" s="26" t="s">
        <v>103</v>
      </c>
    </row>
    <row r="21" spans="2:45" x14ac:dyDescent="0.3">
      <c r="B21" t="s">
        <v>23</v>
      </c>
      <c r="C21" s="11" t="s">
        <v>171</v>
      </c>
      <c r="E21" s="11" t="str" cm="1">
        <f t="array" ref="E21">_xlfn.IFS(
    COUNTIF(Herramientas_eléctricas1862[Herramientas_eléctricas], B21) &gt; 0, Herramientas_eléctricas1862[[#Headers],[Herramientas_eléctricas]],
    COUNTIF(Herramientas_neumáticas1963[Herramientas_neumáticas], B21) &gt; 0, Herramientas_neumáticas1963[[#Headers],[Herramientas_neumáticas]],
    COUNTIF(Herramientas_de_medición2064[Herramientas_de_medición], B21) &gt; 0, Herramientas_de_medición2064[[#Headers],[Herramientas_de_medición]],
    COUNTIF(Herrramientas_mecánicas2165[Herramientas_mecánicas], B21) &gt; 0, Herrramientas_mecánicas2165[[#Headers],[Herramientas_mecánicas]],
    COUNTIF(AK21:AK27, B21) &gt; 0, Herramientas_hidráulicas2266[[#Headers],[Herramientas_hidráulicas]],
    COUNTIF(EPP_2367[SPCC], B21) &gt; 0, EPP_2367[[#Headers],[SPCC]],
   COUNTIF(Herramientas_de_izaje2468[Herramientas_de_izaje], B21) &gt; 0, Herramientas_de_izaje2468[[#Headers],[Herramientas_de_izaje]],
COUNTIF(Tabla162670[Equipos], B21) &gt; 0, Tabla162670[[#Headers],[Equipos]],
    TRUE, "Sin clasificación"
)</f>
        <v>Herramientas_eléctricas</v>
      </c>
      <c r="F21" s="15"/>
      <c r="G21" s="15" t="s">
        <v>572</v>
      </c>
      <c r="H21" s="47" t="s">
        <v>752</v>
      </c>
      <c r="I21" s="87"/>
      <c r="J21" s="78">
        <v>125</v>
      </c>
      <c r="K21" s="78">
        <v>1800</v>
      </c>
      <c r="L21" s="78">
        <v>220</v>
      </c>
      <c r="M21" s="78">
        <v>12000</v>
      </c>
      <c r="N21" t="s">
        <v>753</v>
      </c>
      <c r="O21" s="47">
        <v>521000330</v>
      </c>
      <c r="P21" s="47" t="str">
        <f>_xlfn.LET(
    _xlpm.itemBuscado, B21,
    _xlpm.areaBuscada, C21,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TEXT(COUNTIF($C$2:C21, _xlpm.areaBuscada), "0000"),
    _xlpm.codItem &amp; "-" &amp; _xlpm.codArea &amp; "-" &amp; _xlpm.secuencia
)</f>
        <v>ZE-AM-CH-0004</v>
      </c>
      <c r="R21" s="15"/>
      <c r="T21" s="48"/>
      <c r="AG21" s="6"/>
      <c r="AJ21" s="6" t="s">
        <v>20</v>
      </c>
    </row>
    <row r="22" spans="2:45" x14ac:dyDescent="0.3">
      <c r="B22" t="s">
        <v>23</v>
      </c>
      <c r="C22" s="11" t="s">
        <v>171</v>
      </c>
      <c r="E22" s="11" t="str" cm="1">
        <f t="array" ref="E22">_xlfn.IFS(
    COUNTIF(Herramientas_eléctricas1862[Herramientas_eléctricas], B22) &gt; 0, Herramientas_eléctricas1862[[#Headers],[Herramientas_eléctricas]],
    COUNTIF(Herramientas_neumáticas1963[Herramientas_neumáticas], B22) &gt; 0, Herramientas_neumáticas1963[[#Headers],[Herramientas_neumáticas]],
    COUNTIF(Herramientas_de_medición2064[Herramientas_de_medición], B22) &gt; 0, Herramientas_de_medición2064[[#Headers],[Herramientas_de_medición]],
    COUNTIF(Herrramientas_mecánicas2165[Herramientas_mecánicas], B22) &gt; 0, Herrramientas_mecánicas2165[[#Headers],[Herramientas_mecánicas]],
    COUNTIF(AK22:AK28, B22) &gt; 0, Herramientas_hidráulicas2266[[#Headers],[Herramientas_hidráulicas]],
    COUNTIF(EPP_2367[SPCC], B22) &gt; 0, EPP_2367[[#Headers],[SPCC]],
   COUNTIF(Herramientas_de_izaje2468[Herramientas_de_izaje], B22) &gt; 0, Herramientas_de_izaje2468[[#Headers],[Herramientas_de_izaje]],
COUNTIF(Tabla162670[Equipos], B22) &gt; 0, Tabla162670[[#Headers],[Equipos]],
    TRUE, "Sin clasificación"
)</f>
        <v>Herramientas_eléctricas</v>
      </c>
      <c r="F22" s="15"/>
      <c r="G22" s="15" t="s">
        <v>572</v>
      </c>
      <c r="H22" s="47" t="s">
        <v>754</v>
      </c>
      <c r="I22" s="87">
        <v>5.6</v>
      </c>
      <c r="J22" s="78">
        <v>125</v>
      </c>
      <c r="K22" s="78">
        <v>1200</v>
      </c>
      <c r="L22" s="78">
        <v>220</v>
      </c>
      <c r="M22" s="78">
        <v>11500</v>
      </c>
      <c r="N22" t="s">
        <v>755</v>
      </c>
      <c r="O22" s="47">
        <v>502006250</v>
      </c>
      <c r="P22" s="47" t="str">
        <f>_xlfn.LET(
    _xlpm.itemBuscado, B22,
    _xlpm.areaBuscada, C22,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TEXT(COUNTIF($C$2:C22, _xlpm.areaBuscada), "0000"),
    _xlpm.codItem &amp; "-" &amp; _xlpm.codArea &amp; "-" &amp; _xlpm.secuencia
)</f>
        <v>ZE-AM-CH-0005</v>
      </c>
      <c r="R22" s="15"/>
      <c r="T22" s="48"/>
    </row>
    <row r="23" spans="2:45" x14ac:dyDescent="0.3">
      <c r="B23" t="s">
        <v>23</v>
      </c>
      <c r="C23" s="11" t="s">
        <v>171</v>
      </c>
      <c r="E23" s="11" t="str" cm="1">
        <f t="array" ref="E23">_xlfn.IFS(
    COUNTIF(Herramientas_eléctricas1862[Herramientas_eléctricas], B23) &gt; 0, Herramientas_eléctricas1862[[#Headers],[Herramientas_eléctricas]],
    COUNTIF(Herramientas_neumáticas1963[Herramientas_neumáticas], B23) &gt; 0, Herramientas_neumáticas1963[[#Headers],[Herramientas_neumáticas]],
    COUNTIF(Herramientas_de_medición2064[Herramientas_de_medición], B23) &gt; 0, Herramientas_de_medición2064[[#Headers],[Herramientas_de_medición]],
    COUNTIF(Herrramientas_mecánicas2165[Herramientas_mecánicas], B23) &gt; 0, Herrramientas_mecánicas2165[[#Headers],[Herramientas_mecánicas]],
    COUNTIF(AK23:AK29, B23) &gt; 0, Herramientas_hidráulicas2266[[#Headers],[Herramientas_hidráulicas]],
    COUNTIF(EPP_2367[SPCC], B23) &gt; 0, EPP_2367[[#Headers],[SPCC]],
   COUNTIF(Herramientas_de_izaje2468[Herramientas_de_izaje], B23) &gt; 0, Herramientas_de_izaje2468[[#Headers],[Herramientas_de_izaje]],
COUNTIF(Tabla162670[Equipos], B23) &gt; 0, Tabla162670[[#Headers],[Equipos]],
    TRUE, "Sin clasificación"
)</f>
        <v>Herramientas_eléctricas</v>
      </c>
      <c r="F23" s="15"/>
      <c r="G23" s="15" t="s">
        <v>572</v>
      </c>
      <c r="H23" s="47" t="s">
        <v>780</v>
      </c>
      <c r="I23" s="87"/>
      <c r="J23" s="78"/>
      <c r="K23" s="78"/>
      <c r="L23" s="78"/>
      <c r="M23" s="78"/>
      <c r="N23" t="s">
        <v>781</v>
      </c>
      <c r="O23" s="47"/>
      <c r="P23" s="47" t="str">
        <f>_xlfn.LET(
    _xlpm.itemBuscado, B23,
    _xlpm.areaBuscada, C23,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TEXT(COUNTIF($C$2:C23, _xlpm.areaBuscada), "0000"),
    _xlpm.codItem &amp; "-" &amp; _xlpm.codArea &amp; "-" &amp; _xlpm.secuencia
)</f>
        <v>ZE-AM-CH-0006</v>
      </c>
      <c r="R23" s="15"/>
      <c r="T23" s="48"/>
    </row>
    <row r="24" spans="2:45" x14ac:dyDescent="0.3">
      <c r="B24" t="s">
        <v>23</v>
      </c>
      <c r="C24" s="11" t="s">
        <v>173</v>
      </c>
      <c r="E24" s="11" t="str" cm="1">
        <f t="array" ref="E24">_xlfn.IFS(
    COUNTIF(Herramientas_eléctricas1862[Herramientas_eléctricas], B24) &gt; 0, Herramientas_eléctricas1862[[#Headers],[Herramientas_eléctricas]],
    COUNTIF(Herramientas_neumáticas1963[Herramientas_neumáticas], B24) &gt; 0, Herramientas_neumáticas1963[[#Headers],[Herramientas_neumáticas]],
    COUNTIF(Herramientas_de_medición2064[Herramientas_de_medición], B24) &gt; 0, Herramientas_de_medición2064[[#Headers],[Herramientas_de_medición]],
    COUNTIF(Herrramientas_mecánicas2165[Herramientas_mecánicas], B24) &gt; 0, Herrramientas_mecánicas2165[[#Headers],[Herramientas_mecánicas]],
    COUNTIF(AK24:AK30, B24) &gt; 0, Herramientas_hidráulicas2266[[#Headers],[Herramientas_hidráulicas]],
    COUNTIF(EPP_2367[SPCC], B24) &gt; 0, EPP_2367[[#Headers],[SPCC]],
   COUNTIF(Herramientas_de_izaje2468[Herramientas_de_izaje], B24) &gt; 0, Herramientas_de_izaje2468[[#Headers],[Herramientas_de_izaje]],
COUNTIF(Tabla162670[Equipos], B24) &gt; 0, Tabla162670[[#Headers],[Equipos]],
    TRUE, "Sin clasificación"
)</f>
        <v>Herramientas_eléctricas</v>
      </c>
      <c r="F24" s="15"/>
      <c r="G24" s="15" t="s">
        <v>572</v>
      </c>
      <c r="H24" s="47" t="s">
        <v>786</v>
      </c>
      <c r="I24" s="87"/>
      <c r="J24" s="78"/>
      <c r="K24" s="78"/>
      <c r="L24" s="78"/>
      <c r="M24" s="78"/>
      <c r="N24" t="s">
        <v>787</v>
      </c>
      <c r="O24" s="47"/>
      <c r="P24" s="47" t="str">
        <f>_xlfn.LET(
    _xlpm.itemBuscado, B24,
    _xlpm.areaBuscada, C24,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TEXT(COUNTIF($C$2:C24, _xlpm.areaBuscada), "0000"),
    _xlpm.codItem &amp; "-" &amp; _xlpm.codArea &amp; "-" &amp; _xlpm.secuencia
)</f>
        <v>ZE-AM-FL-0001</v>
      </c>
      <c r="R24" s="15"/>
      <c r="T24" s="48" t="s">
        <v>224</v>
      </c>
      <c r="U24" t="s">
        <v>801</v>
      </c>
      <c r="AQ24" s="18"/>
    </row>
    <row r="25" spans="2:45" x14ac:dyDescent="0.3">
      <c r="B25" t="s">
        <v>23</v>
      </c>
      <c r="C25" s="11" t="s">
        <v>173</v>
      </c>
      <c r="E25" s="11" t="str" cm="1">
        <f t="array" ref="E25">_xlfn.IFS(
    COUNTIF(Herramientas_eléctricas1862[Herramientas_eléctricas], B25) &gt; 0, Herramientas_eléctricas1862[[#Headers],[Herramientas_eléctricas]],
    COUNTIF(Herramientas_neumáticas1963[Herramientas_neumáticas], B25) &gt; 0, Herramientas_neumáticas1963[[#Headers],[Herramientas_neumáticas]],
    COUNTIF(Herramientas_de_medición2064[Herramientas_de_medición], B25) &gt; 0, Herramientas_de_medición2064[[#Headers],[Herramientas_de_medición]],
    COUNTIF(Herrramientas_mecánicas2165[Herramientas_mecánicas], B25) &gt; 0, Herrramientas_mecánicas2165[[#Headers],[Herramientas_mecánicas]],
    COUNTIF(AK25:AK31, B25) &gt; 0, Herramientas_hidráulicas2266[[#Headers],[Herramientas_hidráulicas]],
    COUNTIF(EPP_2367[SPCC], B25) &gt; 0, EPP_2367[[#Headers],[SPCC]],
   COUNTIF(Herramientas_de_izaje2468[Herramientas_de_izaje], B25) &gt; 0, Herramientas_de_izaje2468[[#Headers],[Herramientas_de_izaje]],
COUNTIF(Tabla162670[Equipos], B25) &gt; 0, Tabla162670[[#Headers],[Equipos]],
    TRUE, "Sin clasificación"
)</f>
        <v>Herramientas_eléctricas</v>
      </c>
      <c r="F25" s="15"/>
      <c r="G25" s="15" t="s">
        <v>572</v>
      </c>
      <c r="H25" s="47" t="s">
        <v>789</v>
      </c>
      <c r="I25" s="87">
        <v>13.4</v>
      </c>
      <c r="J25" s="78">
        <v>180</v>
      </c>
      <c r="K25" s="78">
        <v>2800</v>
      </c>
      <c r="L25" s="78">
        <v>220</v>
      </c>
      <c r="M25" s="78">
        <v>8500</v>
      </c>
      <c r="N25" t="s">
        <v>788</v>
      </c>
      <c r="O25" s="47">
        <v>523100117</v>
      </c>
      <c r="P25" s="47" t="str">
        <f>_xlfn.LET(
    _xlpm.itemBuscado, B25,
    _xlpm.areaBuscada, C25,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TEXT(COUNTIF($C$2:C25, _xlpm.areaBuscada), "0000"),
    _xlpm.codItem &amp; "-" &amp; _xlpm.codArea &amp; "-" &amp; _xlpm.secuencia
)</f>
        <v>ZE-AM-FL-0002</v>
      </c>
      <c r="R25" s="15"/>
      <c r="T25" s="48"/>
      <c r="U25" t="s">
        <v>799</v>
      </c>
      <c r="AQ25" s="22"/>
    </row>
    <row r="26" spans="2:45" x14ac:dyDescent="0.3">
      <c r="B26" t="s">
        <v>23</v>
      </c>
      <c r="C26" s="11" t="s">
        <v>173</v>
      </c>
      <c r="E26" s="11" t="str" cm="1">
        <f t="array" ref="E26">_xlfn.IFS(
    COUNTIF(Herramientas_eléctricas1862[Herramientas_eléctricas], B26) &gt; 0, Herramientas_eléctricas1862[[#Headers],[Herramientas_eléctricas]],
    COUNTIF(Herramientas_neumáticas1963[Herramientas_neumáticas], B26) &gt; 0, Herramientas_neumáticas1963[[#Headers],[Herramientas_neumáticas]],
    COUNTIF(Herramientas_de_medición2064[Herramientas_de_medición], B26) &gt; 0, Herramientas_de_medición2064[[#Headers],[Herramientas_de_medición]],
    COUNTIF(Herrramientas_mecánicas2165[Herramientas_mecánicas], B26) &gt; 0, Herrramientas_mecánicas2165[[#Headers],[Herramientas_mecánicas]],
    COUNTIF(AK26:AK32, B26) &gt; 0, Herramientas_hidráulicas2266[[#Headers],[Herramientas_hidráulicas]],
    COUNTIF(EPP_2367[SPCC], B26) &gt; 0, EPP_2367[[#Headers],[SPCC]],
   COUNTIF(Herramientas_de_izaje2468[Herramientas_de_izaje], B26) &gt; 0, Herramientas_de_izaje2468[[#Headers],[Herramientas_de_izaje]],
COUNTIF(Tabla162670[Equipos], B26) &gt; 0, Tabla162670[[#Headers],[Equipos]],
    TRUE, "Sin clasificación"
)</f>
        <v>Herramientas_eléctricas</v>
      </c>
      <c r="F26" s="15"/>
      <c r="G26" s="15" t="s">
        <v>572</v>
      </c>
      <c r="H26" s="47" t="s">
        <v>790</v>
      </c>
      <c r="I26" s="87">
        <v>10.5</v>
      </c>
      <c r="J26" s="78">
        <v>180</v>
      </c>
      <c r="K26" s="78">
        <v>2200</v>
      </c>
      <c r="L26" s="78">
        <v>220</v>
      </c>
      <c r="M26" s="78">
        <v>8500</v>
      </c>
      <c r="N26" t="s">
        <v>791</v>
      </c>
      <c r="O26" s="47">
        <v>325101741</v>
      </c>
      <c r="P26" s="47" t="str">
        <f>_xlfn.LET(
    _xlpm.itemBuscado, B26,
    _xlpm.areaBuscada, C26,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TEXT(COUNTIF($C$2:C26, _xlpm.areaBuscada), "0000"),
    _xlpm.codItem &amp; "-" &amp; _xlpm.codArea &amp; "-" &amp; _xlpm.secuencia
)</f>
        <v>ZE-AM-FL-0003</v>
      </c>
      <c r="R26" s="15"/>
      <c r="T26" s="48" t="s">
        <v>224</v>
      </c>
      <c r="AH26" s="18"/>
      <c r="AR26" t="s">
        <v>235</v>
      </c>
    </row>
    <row r="27" spans="2:45" ht="28.8" x14ac:dyDescent="0.3">
      <c r="B27" t="s">
        <v>23</v>
      </c>
      <c r="C27" s="11" t="s">
        <v>173</v>
      </c>
      <c r="E27" s="11" t="str" cm="1">
        <f t="array" ref="E27">_xlfn.IFS(
    COUNTIF(Herramientas_eléctricas1862[Herramientas_eléctricas], B27) &gt; 0, Herramientas_eléctricas1862[[#Headers],[Herramientas_eléctricas]],
    COUNTIF(Herramientas_neumáticas1963[Herramientas_neumáticas], B27) &gt; 0, Herramientas_neumáticas1963[[#Headers],[Herramientas_neumáticas]],
    COUNTIF(Herramientas_de_medición2064[Herramientas_de_medición], B27) &gt; 0, Herramientas_de_medición2064[[#Headers],[Herramientas_de_medición]],
    COUNTIF(Herrramientas_mecánicas2165[Herramientas_mecánicas], B27) &gt; 0, Herrramientas_mecánicas2165[[#Headers],[Herramientas_mecánicas]],
    COUNTIF(AK27:AK33, B27) &gt; 0, Herramientas_hidráulicas2266[[#Headers],[Herramientas_hidráulicas]],
    COUNTIF(EPP_2367[SPCC], B27) &gt; 0, EPP_2367[[#Headers],[SPCC]],
   COUNTIF(Herramientas_de_izaje2468[Herramientas_de_izaje], B27) &gt; 0, Herramientas_de_izaje2468[[#Headers],[Herramientas_de_izaje]],
COUNTIF(Tabla162670[Equipos], B27) &gt; 0, Tabla162670[[#Headers],[Equipos]],
    TRUE, "Sin clasificación"
)</f>
        <v>Herramientas_eléctricas</v>
      </c>
      <c r="F27" s="15"/>
      <c r="G27" s="15" t="s">
        <v>572</v>
      </c>
      <c r="H27" s="47" t="s">
        <v>792</v>
      </c>
      <c r="I27" s="87"/>
      <c r="J27" s="78"/>
      <c r="K27" s="78"/>
      <c r="L27" s="78"/>
      <c r="M27" s="78"/>
      <c r="O27" s="47"/>
      <c r="P27" s="47" t="str">
        <f>_xlfn.LET(
    _xlpm.itemBuscado, B27,
    _xlpm.areaBuscada, C27,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TEXT(COUNTIF($C$2:C27, _xlpm.areaBuscada), "0000"),
    _xlpm.codItem &amp; "-" &amp; _xlpm.codArea &amp; "-" &amp; _xlpm.secuencia
)</f>
        <v>ZE-AM-FL-0004</v>
      </c>
      <c r="R27" s="15"/>
      <c r="T27" s="48"/>
      <c r="AG27" s="11" t="s">
        <v>236</v>
      </c>
      <c r="AH27" s="11" t="s">
        <v>237</v>
      </c>
      <c r="AI27" s="11" t="s">
        <v>238</v>
      </c>
      <c r="AJ27" s="11" t="s">
        <v>239</v>
      </c>
      <c r="AK27" s="11" t="s">
        <v>240</v>
      </c>
      <c r="AL27" s="11" t="s">
        <v>241</v>
      </c>
      <c r="AM27" s="11" t="s">
        <v>242</v>
      </c>
      <c r="AN27" s="11" t="s">
        <v>243</v>
      </c>
      <c r="AO27" s="11" t="s">
        <v>244</v>
      </c>
      <c r="AP27" s="11" t="s">
        <v>245</v>
      </c>
    </row>
    <row r="28" spans="2:45" x14ac:dyDescent="0.3">
      <c r="B28" t="s">
        <v>23</v>
      </c>
      <c r="C28" s="11" t="s">
        <v>173</v>
      </c>
      <c r="E28" s="11" t="str" cm="1">
        <f t="array" ref="E28">_xlfn.IFS(
    COUNTIF(Herramientas_eléctricas1862[Herramientas_eléctricas], B28) &gt; 0, Herramientas_eléctricas1862[[#Headers],[Herramientas_eléctricas]],
    COUNTIF(Herramientas_neumáticas1963[Herramientas_neumáticas], B28) &gt; 0, Herramientas_neumáticas1963[[#Headers],[Herramientas_neumáticas]],
    COUNTIF(Herramientas_de_medición2064[Herramientas_de_medición], B28) &gt; 0, Herramientas_de_medición2064[[#Headers],[Herramientas_de_medición]],
    COUNTIF(Herrramientas_mecánicas2165[Herramientas_mecánicas], B28) &gt; 0, Herrramientas_mecánicas2165[[#Headers],[Herramientas_mecánicas]],
    COUNTIF(AK28:AK34, B28) &gt; 0, Herramientas_hidráulicas2266[[#Headers],[Herramientas_hidráulicas]],
    COUNTIF(EPP_2367[SPCC], B28) &gt; 0, EPP_2367[[#Headers],[SPCC]],
   COUNTIF(Herramientas_de_izaje2468[Herramientas_de_izaje], B28) &gt; 0, Herramientas_de_izaje2468[[#Headers],[Herramientas_de_izaje]],
COUNTIF(Tabla162670[Equipos], B28) &gt; 0, Tabla162670[[#Headers],[Equipos]],
    TRUE, "Sin clasificación"
)</f>
        <v>Herramientas_eléctricas</v>
      </c>
      <c r="F28" s="15"/>
      <c r="G28" s="15" t="s">
        <v>572</v>
      </c>
      <c r="H28" s="47" t="s">
        <v>793</v>
      </c>
      <c r="I28" s="87"/>
      <c r="J28" s="78"/>
      <c r="K28" s="78"/>
      <c r="L28" s="78"/>
      <c r="M28" s="78"/>
      <c r="O28" s="47"/>
      <c r="P28" s="47" t="str">
        <f>_xlfn.LET(
    _xlpm.itemBuscado, B28,
    _xlpm.areaBuscada, C28,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TEXT(COUNTIF($C$2:C28, _xlpm.areaBuscada), "0000"),
    _xlpm.codItem &amp; "-" &amp; _xlpm.codArea &amp; "-" &amp; _xlpm.secuencia
)</f>
        <v>ZE-AM-FL-0005</v>
      </c>
      <c r="R28" s="15"/>
      <c r="T28" s="48"/>
    </row>
    <row r="29" spans="2:45" x14ac:dyDescent="0.3">
      <c r="B29" t="s">
        <v>23</v>
      </c>
      <c r="C29" s="11" t="s">
        <v>173</v>
      </c>
      <c r="E29" s="11" t="str" cm="1">
        <f t="array" ref="E29">_xlfn.IFS(
    COUNTIF(Herramientas_eléctricas1862[Herramientas_eléctricas], B29) &gt; 0, Herramientas_eléctricas1862[[#Headers],[Herramientas_eléctricas]],
    COUNTIF(Herramientas_neumáticas1963[Herramientas_neumáticas], B29) &gt; 0, Herramientas_neumáticas1963[[#Headers],[Herramientas_neumáticas]],
    COUNTIF(Herramientas_de_medición2064[Herramientas_de_medición], B29) &gt; 0, Herramientas_de_medición2064[[#Headers],[Herramientas_de_medición]],
    COUNTIF(Herrramientas_mecánicas2165[Herramientas_mecánicas], B29) &gt; 0, Herrramientas_mecánicas2165[[#Headers],[Herramientas_mecánicas]],
    COUNTIF(AK29:AK35, B29) &gt; 0, Herramientas_hidráulicas2266[[#Headers],[Herramientas_hidráulicas]],
    COUNTIF(EPP_2367[SPCC], B29) &gt; 0, EPP_2367[[#Headers],[SPCC]],
   COUNTIF(Herramientas_de_izaje2468[Herramientas_de_izaje], B29) &gt; 0, Herramientas_de_izaje2468[[#Headers],[Herramientas_de_izaje]],
COUNTIF(Tabla162670[Equipos], B29) &gt; 0, Tabla162670[[#Headers],[Equipos]],
    TRUE, "Sin clasificación"
)</f>
        <v>Herramientas_eléctricas</v>
      </c>
      <c r="F29" s="15"/>
      <c r="G29" s="15" t="s">
        <v>572</v>
      </c>
      <c r="H29" s="47" t="s">
        <v>794</v>
      </c>
      <c r="I29" s="87"/>
      <c r="J29" s="78"/>
      <c r="K29" s="78"/>
      <c r="L29" s="78"/>
      <c r="M29" s="78"/>
      <c r="O29" s="47"/>
      <c r="P29" s="47" t="str">
        <f>_xlfn.LET(
    _xlpm.itemBuscado, B29,
    _xlpm.areaBuscada, C29,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TEXT(COUNTIF($C$2:C29, _xlpm.areaBuscada), "0000"),
    _xlpm.codItem &amp; "-" &amp; _xlpm.codArea &amp; "-" &amp; _xlpm.secuencia
)</f>
        <v>ZE-AM-FL-0006</v>
      </c>
      <c r="R29" s="15"/>
      <c r="T29" s="48" t="s">
        <v>224</v>
      </c>
      <c r="U29" t="s">
        <v>800</v>
      </c>
      <c r="AG29" t="s">
        <v>246</v>
      </c>
      <c r="AH29" t="s">
        <v>97</v>
      </c>
      <c r="AI29" t="s">
        <v>34</v>
      </c>
      <c r="AJ29" t="s">
        <v>66</v>
      </c>
      <c r="AK29" s="63" t="s">
        <v>247</v>
      </c>
      <c r="AM29" t="s">
        <v>19</v>
      </c>
      <c r="AP29" t="s">
        <v>75</v>
      </c>
    </row>
    <row r="30" spans="2:45" ht="28.8" x14ac:dyDescent="0.3">
      <c r="B30" t="s">
        <v>23</v>
      </c>
      <c r="C30" s="11" t="s">
        <v>173</v>
      </c>
      <c r="E30" s="11" t="str" cm="1">
        <f t="array" ref="E30">_xlfn.IFS(
    COUNTIF(Herramientas_eléctricas1862[Herramientas_eléctricas], B30) &gt; 0, Herramientas_eléctricas1862[[#Headers],[Herramientas_eléctricas]],
    COUNTIF(Herramientas_neumáticas1963[Herramientas_neumáticas], B30) &gt; 0, Herramientas_neumáticas1963[[#Headers],[Herramientas_neumáticas]],
    COUNTIF(Herramientas_de_medición2064[Herramientas_de_medición], B30) &gt; 0, Herramientas_de_medición2064[[#Headers],[Herramientas_de_medición]],
    COUNTIF(Herrramientas_mecánicas2165[Herramientas_mecánicas], B30) &gt; 0, Herrramientas_mecánicas2165[[#Headers],[Herramientas_mecánicas]],
    COUNTIF(AK30:AK36, B30) &gt; 0, Herramientas_hidráulicas2266[[#Headers],[Herramientas_hidráulicas]],
    COUNTIF(EPP_2367[SPCC], B30) &gt; 0, EPP_2367[[#Headers],[SPCC]],
   COUNTIF(Herramientas_de_izaje2468[Herramientas_de_izaje], B30) &gt; 0, Herramientas_de_izaje2468[[#Headers],[Herramientas_de_izaje]],
COUNTIF(Tabla162670[Equipos], B30) &gt; 0, Tabla162670[[#Headers],[Equipos]],
    TRUE, "Sin clasificación"
)</f>
        <v>Herramientas_eléctricas</v>
      </c>
      <c r="F30" s="15"/>
      <c r="G30" s="15" t="s">
        <v>572</v>
      </c>
      <c r="H30" s="47" t="s">
        <v>789</v>
      </c>
      <c r="I30" s="87">
        <v>13.4</v>
      </c>
      <c r="J30" s="78">
        <v>180</v>
      </c>
      <c r="K30" s="78">
        <v>2800</v>
      </c>
      <c r="L30" s="78">
        <v>220</v>
      </c>
      <c r="M30" s="78">
        <v>8500</v>
      </c>
      <c r="N30" t="s">
        <v>795</v>
      </c>
      <c r="O30" s="47">
        <v>523100107</v>
      </c>
      <c r="P30" s="47" t="str">
        <f>_xlfn.LET(
    _xlpm.itemBuscado, B30,
    _xlpm.areaBuscada, C30,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TEXT(COUNTIF($C$2:C30, _xlpm.areaBuscada), "0000"),
    _xlpm.codItem &amp; "-" &amp; _xlpm.codArea &amp; "-" &amp; _xlpm.secuencia
)</f>
        <v>ZE-AM-FL-0007</v>
      </c>
      <c r="R30" s="15"/>
      <c r="T30" s="48" t="s">
        <v>224</v>
      </c>
      <c r="U30" t="s">
        <v>802</v>
      </c>
      <c r="AG30" s="22" t="s">
        <v>248</v>
      </c>
      <c r="AH30" t="s">
        <v>17</v>
      </c>
      <c r="AI30" s="18" t="s">
        <v>249</v>
      </c>
      <c r="AJ30" t="s">
        <v>250</v>
      </c>
      <c r="AK30" s="64" t="s">
        <v>251</v>
      </c>
      <c r="AM30" t="s">
        <v>252</v>
      </c>
      <c r="AP30" s="18" t="s">
        <v>253</v>
      </c>
    </row>
    <row r="31" spans="2:45" x14ac:dyDescent="0.3">
      <c r="B31" t="s">
        <v>23</v>
      </c>
      <c r="C31" s="11" t="s">
        <v>173</v>
      </c>
      <c r="E31" s="11" t="str" cm="1">
        <f t="array" ref="E31">_xlfn.IFS(
    COUNTIF(Herramientas_eléctricas1862[Herramientas_eléctricas], B31) &gt; 0, Herramientas_eléctricas1862[[#Headers],[Herramientas_eléctricas]],
    COUNTIF(Herramientas_neumáticas1963[Herramientas_neumáticas], B31) &gt; 0, Herramientas_neumáticas1963[[#Headers],[Herramientas_neumáticas]],
    COUNTIF(Herramientas_de_medición2064[Herramientas_de_medición], B31) &gt; 0, Herramientas_de_medición2064[[#Headers],[Herramientas_de_medición]],
    COUNTIF(Herrramientas_mecánicas2165[Herramientas_mecánicas], B31) &gt; 0, Herrramientas_mecánicas2165[[#Headers],[Herramientas_mecánicas]],
    COUNTIF(AK31:AK37, B31) &gt; 0, Herramientas_hidráulicas2266[[#Headers],[Herramientas_hidráulicas]],
    COUNTIF(EPP_2367[SPCC], B31) &gt; 0, EPP_2367[[#Headers],[SPCC]],
   COUNTIF(Herramientas_de_izaje2468[Herramientas_de_izaje], B31) &gt; 0, Herramientas_de_izaje2468[[#Headers],[Herramientas_de_izaje]],
COUNTIF(Tabla162670[Equipos], B31) &gt; 0, Tabla162670[[#Headers],[Equipos]],
    TRUE, "Sin clasificación"
)</f>
        <v>Herramientas_eléctricas</v>
      </c>
      <c r="F31" s="15"/>
      <c r="G31" s="15" t="s">
        <v>796</v>
      </c>
      <c r="H31" s="47" t="s">
        <v>797</v>
      </c>
      <c r="I31" s="87"/>
      <c r="J31" s="78"/>
      <c r="K31" s="78"/>
      <c r="L31" s="78"/>
      <c r="M31" s="78"/>
      <c r="O31" s="47"/>
      <c r="P31" s="47" t="str">
        <f>_xlfn.LET(
    _xlpm.itemBuscado, B31,
    _xlpm.areaBuscada, C31,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TEXT(COUNTIF($C$2:C31, _xlpm.areaBuscada), "0000"),
    _xlpm.codItem &amp; "-" &amp; _xlpm.codArea &amp; "-" &amp; _xlpm.secuencia
)</f>
        <v>ZE-AM-FL-0008</v>
      </c>
      <c r="R31" s="15"/>
      <c r="T31" s="48" t="s">
        <v>222</v>
      </c>
      <c r="U31" t="s">
        <v>803</v>
      </c>
      <c r="AG31" s="65" t="s">
        <v>254</v>
      </c>
      <c r="AI31" t="s">
        <v>255</v>
      </c>
      <c r="AP31" s="26" t="s">
        <v>256</v>
      </c>
    </row>
    <row r="32" spans="2:45" ht="28.5" customHeight="1" x14ac:dyDescent="0.3">
      <c r="B32" t="s">
        <v>23</v>
      </c>
      <c r="C32" s="11" t="s">
        <v>173</v>
      </c>
      <c r="E32" s="11" t="str" cm="1">
        <f t="array" ref="E32">_xlfn.IFS(
    COUNTIF(Herramientas_eléctricas1862[Herramientas_eléctricas], B32) &gt; 0, Herramientas_eléctricas1862[[#Headers],[Herramientas_eléctricas]],
    COUNTIF(Herramientas_neumáticas1963[Herramientas_neumáticas], B32) &gt; 0, Herramientas_neumáticas1963[[#Headers],[Herramientas_neumáticas]],
    COUNTIF(Herramientas_de_medición2064[Herramientas_de_medición], B32) &gt; 0, Herramientas_de_medición2064[[#Headers],[Herramientas_de_medición]],
    COUNTIF(Herrramientas_mecánicas2165[Herramientas_mecánicas], B32) &gt; 0, Herrramientas_mecánicas2165[[#Headers],[Herramientas_mecánicas]],
    COUNTIF(AK32:AK38, B32) &gt; 0, Herramientas_hidráulicas2266[[#Headers],[Herramientas_hidráulicas]],
    COUNTIF(EPP_2367[SPCC], B32) &gt; 0, EPP_2367[[#Headers],[SPCC]],
   COUNTIF(Herramientas_de_izaje2468[Herramientas_de_izaje], B32) &gt; 0, Herramientas_de_izaje2468[[#Headers],[Herramientas_de_izaje]],
COUNTIF(Tabla162670[Equipos], B32) &gt; 0, Tabla162670[[#Headers],[Equipos]],
    TRUE, "Sin clasificación"
)</f>
        <v>Herramientas_eléctricas</v>
      </c>
      <c r="F32" s="15"/>
      <c r="G32" s="15" t="s">
        <v>572</v>
      </c>
      <c r="H32" s="47" t="s">
        <v>790</v>
      </c>
      <c r="I32" s="87"/>
      <c r="J32" s="78"/>
      <c r="K32" s="78"/>
      <c r="L32" s="78"/>
      <c r="M32" s="78"/>
      <c r="O32" s="47"/>
      <c r="P32" s="47" t="str">
        <f>_xlfn.LET(
    _xlpm.itemBuscado, B32,
    _xlpm.areaBuscada, C32,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TEXT(COUNTIF($C$2:C32, _xlpm.areaBuscada), "0000"),
    _xlpm.codItem &amp; "-" &amp; _xlpm.codArea &amp; "-" &amp; _xlpm.secuencia
)</f>
        <v>ZE-AM-FL-0009</v>
      </c>
      <c r="R32" s="15"/>
      <c r="T32" s="48" t="s">
        <v>224</v>
      </c>
      <c r="U32" t="s">
        <v>804</v>
      </c>
    </row>
    <row r="33" spans="2:45" x14ac:dyDescent="0.3">
      <c r="B33" t="s">
        <v>23</v>
      </c>
      <c r="C33" s="11" t="s">
        <v>173</v>
      </c>
      <c r="E33" s="11" t="str" cm="1">
        <f t="array" ref="E33">_xlfn.IFS(
    COUNTIF(Herramientas_eléctricas1862[Herramientas_eléctricas], B33) &gt; 0, Herramientas_eléctricas1862[[#Headers],[Herramientas_eléctricas]],
    COUNTIF(Herramientas_neumáticas1963[Herramientas_neumáticas], B33) &gt; 0, Herramientas_neumáticas1963[[#Headers],[Herramientas_neumáticas]],
    COUNTIF(Herramientas_de_medición2064[Herramientas_de_medición], B33) &gt; 0, Herramientas_de_medición2064[[#Headers],[Herramientas_de_medición]],
    COUNTIF(Herrramientas_mecánicas2165[Herramientas_mecánicas], B33) &gt; 0, Herrramientas_mecánicas2165[[#Headers],[Herramientas_mecánicas]],
    COUNTIF(AK33:AK39, B33) &gt; 0, Herramientas_hidráulicas2266[[#Headers],[Herramientas_hidráulicas]],
    COUNTIF(EPP_2367[SPCC], B33) &gt; 0, EPP_2367[[#Headers],[SPCC]],
   COUNTIF(Herramientas_de_izaje2468[Herramientas_de_izaje], B33) &gt; 0, Herramientas_de_izaje2468[[#Headers],[Herramientas_de_izaje]],
COUNTIF(Tabla162670[Equipos], B33) &gt; 0, Tabla162670[[#Headers],[Equipos]],
    TRUE, "Sin clasificación"
)</f>
        <v>Herramientas_eléctricas</v>
      </c>
      <c r="F33" s="15"/>
      <c r="G33" s="15" t="s">
        <v>572</v>
      </c>
      <c r="H33" s="47" t="s">
        <v>798</v>
      </c>
      <c r="I33" s="87"/>
      <c r="J33" s="78"/>
      <c r="K33" s="78"/>
      <c r="L33" s="78"/>
      <c r="M33" s="78"/>
      <c r="O33" s="47"/>
      <c r="P33" s="47" t="str">
        <f>_xlfn.LET(
    _xlpm.itemBuscado, B33,
    _xlpm.areaBuscada, C33,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TEXT(COUNTIF($C$2:C33, _xlpm.areaBuscada), "0000"),
    _xlpm.codItem &amp; "-" &amp; _xlpm.codArea &amp; "-" &amp; _xlpm.secuencia
)</f>
        <v>ZE-AM-FL-0010</v>
      </c>
      <c r="R33" s="15"/>
      <c r="T33" s="48" t="s">
        <v>224</v>
      </c>
      <c r="U33" t="s">
        <v>805</v>
      </c>
      <c r="AG33" t="s">
        <v>68</v>
      </c>
      <c r="AH33" t="s">
        <v>36</v>
      </c>
      <c r="AI33" t="s">
        <v>257</v>
      </c>
      <c r="AJ33" t="s">
        <v>258</v>
      </c>
    </row>
    <row r="34" spans="2:45" x14ac:dyDescent="0.3">
      <c r="B34" t="s">
        <v>23</v>
      </c>
      <c r="C34" s="11" t="s">
        <v>173</v>
      </c>
      <c r="E34" s="11" t="str" cm="1">
        <f t="array" ref="E34">_xlfn.IFS(
    COUNTIF(Herramientas_eléctricas1862[Herramientas_eléctricas], B34) &gt; 0, Herramientas_eléctricas1862[[#Headers],[Herramientas_eléctricas]],
    COUNTIF(Herramientas_neumáticas1963[Herramientas_neumáticas], B34) &gt; 0, Herramientas_neumáticas1963[[#Headers],[Herramientas_neumáticas]],
    COUNTIF(Herramientas_de_medición2064[Herramientas_de_medición], B34) &gt; 0, Herramientas_de_medición2064[[#Headers],[Herramientas_de_medición]],
    COUNTIF(Herrramientas_mecánicas2165[Herramientas_mecánicas], B34) &gt; 0, Herrramientas_mecánicas2165[[#Headers],[Herramientas_mecánicas]],
    COUNTIF(AK34:AK40, B34) &gt; 0, Herramientas_hidráulicas2266[[#Headers],[Herramientas_hidráulicas]],
    COUNTIF(EPP_2367[SPCC], B34) &gt; 0, EPP_2367[[#Headers],[SPCC]],
   COUNTIF(Herramientas_de_izaje2468[Herramientas_de_izaje], B34) &gt; 0, Herramientas_de_izaje2468[[#Headers],[Herramientas_de_izaje]],
COUNTIF(Tabla162670[Equipos], B34) &gt; 0, Tabla162670[[#Headers],[Equipos]],
    TRUE, "Sin clasificación"
)</f>
        <v>Herramientas_eléctricas</v>
      </c>
      <c r="F34" s="15"/>
      <c r="G34" s="15" t="s">
        <v>572</v>
      </c>
      <c r="H34" s="47" t="s">
        <v>806</v>
      </c>
      <c r="I34" s="87"/>
      <c r="J34" s="78"/>
      <c r="K34" s="78"/>
      <c r="L34" s="78"/>
      <c r="M34" s="78"/>
      <c r="N34" t="s">
        <v>807</v>
      </c>
      <c r="O34" s="47"/>
      <c r="P34" s="47" t="str">
        <f>_xlfn.LET(
    _xlpm.itemBuscado, B34,
    _xlpm.areaBuscada, C34,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TEXT(COUNTIF($C$2:C34, _xlpm.areaBuscada), "0000"),
    _xlpm.codItem &amp; "-" &amp; _xlpm.codArea &amp; "-" &amp; _xlpm.secuencia
)</f>
        <v>ZE-AM-FL-0011</v>
      </c>
      <c r="R34" s="15"/>
      <c r="T34" s="48"/>
      <c r="AG34" s="20" t="s">
        <v>259</v>
      </c>
      <c r="AH34" t="s">
        <v>260</v>
      </c>
      <c r="AI34" s="19" t="s">
        <v>261</v>
      </c>
      <c r="AJ34" s="22" t="s">
        <v>262</v>
      </c>
    </row>
    <row r="35" spans="2:45" ht="28.8" x14ac:dyDescent="0.3">
      <c r="B35" t="s">
        <v>23</v>
      </c>
      <c r="C35" s="11" t="s">
        <v>173</v>
      </c>
      <c r="E35" s="11" t="str" cm="1">
        <f t="array" ref="E35">_xlfn.IFS(
    COUNTIF(Herramientas_eléctricas1862[Herramientas_eléctricas], B35) &gt; 0, Herramientas_eléctricas1862[[#Headers],[Herramientas_eléctricas]],
    COUNTIF(Herramientas_neumáticas1963[Herramientas_neumáticas], B35) &gt; 0, Herramientas_neumáticas1963[[#Headers],[Herramientas_neumáticas]],
    COUNTIF(Herramientas_de_medición2064[Herramientas_de_medición], B35) &gt; 0, Herramientas_de_medición2064[[#Headers],[Herramientas_de_medición]],
    COUNTIF(Herrramientas_mecánicas2165[Herramientas_mecánicas], B35) &gt; 0, Herrramientas_mecánicas2165[[#Headers],[Herramientas_mecánicas]],
    COUNTIF(AK35:AK41, B35) &gt; 0, Herramientas_hidráulicas2266[[#Headers],[Herramientas_hidráulicas]],
    COUNTIF(EPP_2367[SPCC], B35) &gt; 0, EPP_2367[[#Headers],[SPCC]],
   COUNTIF(Herramientas_de_izaje2468[Herramientas_de_izaje], B35) &gt; 0, Herramientas_de_izaje2468[[#Headers],[Herramientas_de_izaje]],
COUNTIF(Tabla162670[Equipos], B35) &gt; 0, Tabla162670[[#Headers],[Equipos]],
    TRUE, "Sin clasificación"
)</f>
        <v>Herramientas_eléctricas</v>
      </c>
      <c r="F35" s="15"/>
      <c r="G35" s="15" t="s">
        <v>572</v>
      </c>
      <c r="H35" s="47" t="s">
        <v>808</v>
      </c>
      <c r="I35" s="87"/>
      <c r="J35" s="78"/>
      <c r="K35" s="78"/>
      <c r="L35" s="78"/>
      <c r="M35" s="78"/>
      <c r="O35" s="47"/>
      <c r="P35" s="47" t="str">
        <f>_xlfn.LET(
    _xlpm.itemBuscado, B35,
    _xlpm.areaBuscada, C35,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TEXT(COUNTIF($C$2:C35, _xlpm.areaBuscada), "0000"),
    _xlpm.codItem &amp; "-" &amp; _xlpm.codArea &amp; "-" &amp; _xlpm.secuencia
)</f>
        <v>ZE-AM-FL-0012</v>
      </c>
      <c r="R35" s="15"/>
      <c r="T35" s="48" t="s">
        <v>224</v>
      </c>
      <c r="U35" t="s">
        <v>804</v>
      </c>
      <c r="AG35" s="66" t="s">
        <v>263</v>
      </c>
      <c r="AI35" s="13" t="s">
        <v>264</v>
      </c>
      <c r="AJ35" s="67" t="s">
        <v>265</v>
      </c>
    </row>
    <row r="36" spans="2:45" x14ac:dyDescent="0.3">
      <c r="B36" t="s">
        <v>23</v>
      </c>
      <c r="C36" s="11" t="s">
        <v>173</v>
      </c>
      <c r="E36" s="11" t="str" cm="1">
        <f t="array" ref="E36">_xlfn.IFS(
    COUNTIF(Herramientas_eléctricas1862[Herramientas_eléctricas], B36) &gt; 0, Herramientas_eléctricas1862[[#Headers],[Herramientas_eléctricas]],
    COUNTIF(Herramientas_neumáticas1963[Herramientas_neumáticas], B36) &gt; 0, Herramientas_neumáticas1963[[#Headers],[Herramientas_neumáticas]],
    COUNTIF(Herramientas_de_medición2064[Herramientas_de_medición], B36) &gt; 0, Herramientas_de_medición2064[[#Headers],[Herramientas_de_medición]],
    COUNTIF(Herrramientas_mecánicas2165[Herramientas_mecánicas], B36) &gt; 0, Herrramientas_mecánicas2165[[#Headers],[Herramientas_mecánicas]],
    COUNTIF(AK36:AK42, B36) &gt; 0, Herramientas_hidráulicas2266[[#Headers],[Herramientas_hidráulicas]],
    COUNTIF(EPP_2367[SPCC], B36) &gt; 0, EPP_2367[[#Headers],[SPCC]],
   COUNTIF(Herramientas_de_izaje2468[Herramientas_de_izaje], B36) &gt; 0, Herramientas_de_izaje2468[[#Headers],[Herramientas_de_izaje]],
COUNTIF(Tabla162670[Equipos], B36) &gt; 0, Tabla162670[[#Headers],[Equipos]],
    TRUE, "Sin clasificación"
)</f>
        <v>Herramientas_eléctricas</v>
      </c>
      <c r="F36" s="15"/>
      <c r="G36" s="15" t="s">
        <v>572</v>
      </c>
      <c r="H36" s="47" t="s">
        <v>809</v>
      </c>
      <c r="I36" s="87"/>
      <c r="J36" s="78"/>
      <c r="K36" s="78"/>
      <c r="L36" s="78"/>
      <c r="M36" s="78"/>
      <c r="N36" t="s">
        <v>810</v>
      </c>
      <c r="O36" s="47"/>
      <c r="P36" s="47" t="str">
        <f>_xlfn.LET(
    _xlpm.itemBuscado, B36,
    _xlpm.areaBuscada, C36,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TEXT(COUNTIF($C$2:C36, _xlpm.areaBuscada), "0000"),
    _xlpm.codItem &amp; "-" &amp; _xlpm.codArea &amp; "-" &amp; _xlpm.secuencia
)</f>
        <v>ZE-AM-FL-0013</v>
      </c>
      <c r="R36" s="15"/>
      <c r="T36" s="48"/>
      <c r="AI36" s="68" t="s">
        <v>266</v>
      </c>
      <c r="AJ36" s="22" t="s">
        <v>267</v>
      </c>
    </row>
    <row r="37" spans="2:45" x14ac:dyDescent="0.3">
      <c r="B37" t="s">
        <v>23</v>
      </c>
      <c r="C37" s="11" t="s">
        <v>173</v>
      </c>
      <c r="E37" s="11" t="str" cm="1">
        <f t="array" ref="E37">_xlfn.IFS(
    COUNTIF(Herramientas_eléctricas1862[Herramientas_eléctricas], B37) &gt; 0, Herramientas_eléctricas1862[[#Headers],[Herramientas_eléctricas]],
    COUNTIF(Herramientas_neumáticas1963[Herramientas_neumáticas], B37) &gt; 0, Herramientas_neumáticas1963[[#Headers],[Herramientas_neumáticas]],
    COUNTIF(Herramientas_de_medición2064[Herramientas_de_medición], B37) &gt; 0, Herramientas_de_medición2064[[#Headers],[Herramientas_de_medición]],
    COUNTIF(Herrramientas_mecánicas2165[Herramientas_mecánicas], B37) &gt; 0, Herrramientas_mecánicas2165[[#Headers],[Herramientas_mecánicas]],
    COUNTIF(AK37:AK43, B37) &gt; 0, Herramientas_hidráulicas2266[[#Headers],[Herramientas_hidráulicas]],
    COUNTIF(EPP_2367[SPCC], B37) &gt; 0, EPP_2367[[#Headers],[SPCC]],
   COUNTIF(Herramientas_de_izaje2468[Herramientas_de_izaje], B37) &gt; 0, Herramientas_de_izaje2468[[#Headers],[Herramientas_de_izaje]],
COUNTIF(Tabla162670[Equipos], B37) &gt; 0, Tabla162670[[#Headers],[Equipos]],
    TRUE, "Sin clasificación"
)</f>
        <v>Herramientas_eléctricas</v>
      </c>
      <c r="F37" s="15"/>
      <c r="G37" s="15" t="s">
        <v>572</v>
      </c>
      <c r="H37" s="47" t="s">
        <v>789</v>
      </c>
      <c r="I37" s="87">
        <v>13.4</v>
      </c>
      <c r="J37" s="78">
        <v>180</v>
      </c>
      <c r="K37" s="78">
        <v>2800</v>
      </c>
      <c r="L37" s="78">
        <v>220</v>
      </c>
      <c r="M37" s="78">
        <v>8500</v>
      </c>
      <c r="N37" t="s">
        <v>811</v>
      </c>
      <c r="O37" s="47">
        <v>523100116</v>
      </c>
      <c r="P37" s="47" t="str">
        <f>_xlfn.LET(
    _xlpm.itemBuscado, B37,
    _xlpm.areaBuscada, C37,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TEXT(COUNTIF($C$2:C37, _xlpm.areaBuscada), "0000"),
    _xlpm.codItem &amp; "-" &amp; _xlpm.codArea &amp; "-" &amp; _xlpm.secuencia
)</f>
        <v>ZE-AM-FL-0014</v>
      </c>
      <c r="R37" s="15"/>
      <c r="T37" s="48"/>
      <c r="AJ37" s="18" t="s">
        <v>268</v>
      </c>
    </row>
    <row r="38" spans="2:45" x14ac:dyDescent="0.3">
      <c r="B38" t="s">
        <v>23</v>
      </c>
      <c r="C38" s="11" t="s">
        <v>173</v>
      </c>
      <c r="E38" s="11" t="str" cm="1">
        <f t="array" ref="E38">_xlfn.IFS(
    COUNTIF(Herramientas_eléctricas1862[Herramientas_eléctricas], B38) &gt; 0, Herramientas_eléctricas1862[[#Headers],[Herramientas_eléctricas]],
    COUNTIF(Herramientas_neumáticas1963[Herramientas_neumáticas], B38) &gt; 0, Herramientas_neumáticas1963[[#Headers],[Herramientas_neumáticas]],
    COUNTIF(Herramientas_de_medición2064[Herramientas_de_medición], B38) &gt; 0, Herramientas_de_medición2064[[#Headers],[Herramientas_de_medición]],
    COUNTIF(Herrramientas_mecánicas2165[Herramientas_mecánicas], B38) &gt; 0, Herrramientas_mecánicas2165[[#Headers],[Herramientas_mecánicas]],
    COUNTIF(AK38:AK44, B38) &gt; 0, Herramientas_hidráulicas2266[[#Headers],[Herramientas_hidráulicas]],
    COUNTIF(EPP_2367[SPCC], B38) &gt; 0, EPP_2367[[#Headers],[SPCC]],
   COUNTIF(Herramientas_de_izaje2468[Herramientas_de_izaje], B38) &gt; 0, Herramientas_de_izaje2468[[#Headers],[Herramientas_de_izaje]],
COUNTIF(Tabla162670[Equipos], B38) &gt; 0, Tabla162670[[#Headers],[Equipos]],
    TRUE, "Sin clasificación"
)</f>
        <v>Herramientas_eléctricas</v>
      </c>
      <c r="F38" s="15"/>
      <c r="G38" s="15" t="s">
        <v>639</v>
      </c>
      <c r="H38" s="47"/>
      <c r="I38" s="87"/>
      <c r="J38" s="78">
        <v>115</v>
      </c>
      <c r="K38" s="78">
        <v>1200</v>
      </c>
      <c r="L38" s="78">
        <v>220</v>
      </c>
      <c r="M38" s="78"/>
      <c r="N38" t="s">
        <v>812</v>
      </c>
      <c r="O38" s="47"/>
      <c r="P38" s="47" t="str">
        <f>_xlfn.LET(
    _xlpm.itemBuscado, B38,
    _xlpm.areaBuscada, C38,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TEXT(COUNTIF($C$2:C38, _xlpm.areaBuscada), "0000"),
    _xlpm.codItem &amp; "-" &amp; _xlpm.codArea &amp; "-" &amp; _xlpm.secuencia
)</f>
        <v>ZE-AM-FL-0015</v>
      </c>
      <c r="R38" s="15"/>
      <c r="T38" s="48"/>
      <c r="U38" t="s">
        <v>815</v>
      </c>
      <c r="AG38" s="69" t="s">
        <v>24</v>
      </c>
      <c r="AI38" t="s">
        <v>269</v>
      </c>
      <c r="AJ38" s="18" t="s">
        <v>270</v>
      </c>
    </row>
    <row r="39" spans="2:45" ht="22.8" x14ac:dyDescent="0.3">
      <c r="B39" t="s">
        <v>23</v>
      </c>
      <c r="C39" s="11" t="s">
        <v>173</v>
      </c>
      <c r="E39" s="11" t="str" cm="1">
        <f t="array" ref="E39">_xlfn.IFS(
    COUNTIF(Herramientas_eléctricas1862[Herramientas_eléctricas], B39) &gt; 0, Herramientas_eléctricas1862[[#Headers],[Herramientas_eléctricas]],
    COUNTIF(Herramientas_neumáticas1963[Herramientas_neumáticas], B39) &gt; 0, Herramientas_neumáticas1963[[#Headers],[Herramientas_neumáticas]],
    COUNTIF(Herramientas_de_medición2064[Herramientas_de_medición], B39) &gt; 0, Herramientas_de_medición2064[[#Headers],[Herramientas_de_medición]],
    COUNTIF(Herrramientas_mecánicas2165[Herramientas_mecánicas], B39) &gt; 0, Herrramientas_mecánicas2165[[#Headers],[Herramientas_mecánicas]],
    COUNTIF(AK39:AK45, B39) &gt; 0, Herramientas_hidráulicas2266[[#Headers],[Herramientas_hidráulicas]],
    COUNTIF(EPP_2367[SPCC], B39) &gt; 0, EPP_2367[[#Headers],[SPCC]],
   COUNTIF(Herramientas_de_izaje2468[Herramientas_de_izaje], B39) &gt; 0, Herramientas_de_izaje2468[[#Headers],[Herramientas_de_izaje]],
COUNTIF(Tabla162670[Equipos], B39) &gt; 0, Tabla162670[[#Headers],[Equipos]],
    TRUE, "Sin clasificación"
)</f>
        <v>Herramientas_eléctricas</v>
      </c>
      <c r="F39" s="15"/>
      <c r="G39" s="15" t="s">
        <v>572</v>
      </c>
      <c r="H39" s="47" t="s">
        <v>789</v>
      </c>
      <c r="I39" s="87"/>
      <c r="J39" s="78"/>
      <c r="K39" s="78"/>
      <c r="L39" s="78"/>
      <c r="M39" s="78"/>
      <c r="N39" t="s">
        <v>814</v>
      </c>
      <c r="O39" s="47">
        <v>331460987</v>
      </c>
      <c r="P39" s="47" t="str">
        <f>_xlfn.LET(
    _xlpm.itemBuscado, B39,
    _xlpm.areaBuscada, C39,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TEXT(COUNTIF($C$2:C39, _xlpm.areaBuscada), "0000"),
    _xlpm.codItem &amp; "-" &amp; _xlpm.codArea &amp; "-" &amp; _xlpm.secuencia
)</f>
        <v>ZE-AM-FL-0016</v>
      </c>
      <c r="R39" s="15"/>
      <c r="T39" s="48"/>
      <c r="U39" t="s">
        <v>815</v>
      </c>
      <c r="AG39" s="62" t="s">
        <v>271</v>
      </c>
      <c r="AI39" s="68" t="s">
        <v>272</v>
      </c>
      <c r="AJ39" s="22" t="s">
        <v>273</v>
      </c>
    </row>
    <row r="40" spans="2:45" x14ac:dyDescent="0.3">
      <c r="B40" t="s">
        <v>23</v>
      </c>
      <c r="C40" s="11" t="s">
        <v>173</v>
      </c>
      <c r="E40" s="11" t="str" cm="1">
        <f t="array" ref="E40">_xlfn.IFS(
    COUNTIF(Herramientas_eléctricas1862[Herramientas_eléctricas], B40) &gt; 0, Herramientas_eléctricas1862[[#Headers],[Herramientas_eléctricas]],
    COUNTIF(Herramientas_neumáticas1963[Herramientas_neumáticas], B40) &gt; 0, Herramientas_neumáticas1963[[#Headers],[Herramientas_neumáticas]],
    COUNTIF(Herramientas_de_medición2064[Herramientas_de_medición], B40) &gt; 0, Herramientas_de_medición2064[[#Headers],[Herramientas_de_medición]],
    COUNTIF(Herrramientas_mecánicas2165[Herramientas_mecánicas], B40) &gt; 0, Herrramientas_mecánicas2165[[#Headers],[Herramientas_mecánicas]],
    COUNTIF(AK40:AK46, B40) &gt; 0, Herramientas_hidráulicas2266[[#Headers],[Herramientas_hidráulicas]],
    COUNTIF(EPP_2367[SPCC], B40) &gt; 0, EPP_2367[[#Headers],[SPCC]],
   COUNTIF(Herramientas_de_izaje2468[Herramientas_de_izaje], B40) &gt; 0, Herramientas_de_izaje2468[[#Headers],[Herramientas_de_izaje]],
COUNTIF(Tabla162670[Equipos], B40) &gt; 0, Tabla162670[[#Headers],[Equipos]],
    TRUE, "Sin clasificación"
)</f>
        <v>Herramientas_eléctricas</v>
      </c>
      <c r="F40" s="15"/>
      <c r="G40" s="15" t="s">
        <v>796</v>
      </c>
      <c r="H40" s="47" t="s">
        <v>797</v>
      </c>
      <c r="I40" s="87"/>
      <c r="J40" s="78"/>
      <c r="K40" s="78"/>
      <c r="L40" s="78"/>
      <c r="M40" s="78"/>
      <c r="N40" t="s">
        <v>816</v>
      </c>
      <c r="O40" s="47"/>
      <c r="P40" s="47" t="str">
        <f>_xlfn.LET(
    _xlpm.itemBuscado, B40,
    _xlpm.areaBuscada, C40,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TEXT(COUNTIF($C$2:C40, _xlpm.areaBuscada), "0000"),
    _xlpm.codItem &amp; "-" &amp; _xlpm.codArea &amp; "-" &amp; _xlpm.secuencia
)</f>
        <v>ZE-AM-FL-0017</v>
      </c>
      <c r="R40" s="15"/>
      <c r="T40" s="48"/>
      <c r="AG40" s="70" t="s">
        <v>17</v>
      </c>
      <c r="AJ40" t="s">
        <v>274</v>
      </c>
    </row>
    <row r="41" spans="2:45" x14ac:dyDescent="0.3">
      <c r="B41" t="s">
        <v>23</v>
      </c>
      <c r="C41" s="11" t="s">
        <v>173</v>
      </c>
      <c r="E41" s="11" t="str" cm="1">
        <f t="array" ref="E41">_xlfn.IFS(
    COUNTIF(Herramientas_eléctricas1862[Herramientas_eléctricas], B41) &gt; 0, Herramientas_eléctricas1862[[#Headers],[Herramientas_eléctricas]],
    COUNTIF(Herramientas_neumáticas1963[Herramientas_neumáticas], B41) &gt; 0, Herramientas_neumáticas1963[[#Headers],[Herramientas_neumáticas]],
    COUNTIF(Herramientas_de_medición2064[Herramientas_de_medición], B41) &gt; 0, Herramientas_de_medición2064[[#Headers],[Herramientas_de_medición]],
    COUNTIF(Herrramientas_mecánicas2165[Herramientas_mecánicas], B41) &gt; 0, Herrramientas_mecánicas2165[[#Headers],[Herramientas_mecánicas]],
    COUNTIF(AK41:AK47, B41) &gt; 0, Herramientas_hidráulicas2266[[#Headers],[Herramientas_hidráulicas]],
    COUNTIF(EPP_2367[SPCC], B41) &gt; 0, EPP_2367[[#Headers],[SPCC]],
   COUNTIF(Herramientas_de_izaje2468[Herramientas_de_izaje], B41) &gt; 0, Herramientas_de_izaje2468[[#Headers],[Herramientas_de_izaje]],
COUNTIF(Tabla162670[Equipos], B41) &gt; 0, Tabla162670[[#Headers],[Equipos]],
    TRUE, "Sin clasificación"
)</f>
        <v>Herramientas_eléctricas</v>
      </c>
      <c r="F41" s="15"/>
      <c r="G41" s="15" t="s">
        <v>572</v>
      </c>
      <c r="H41" s="47" t="s">
        <v>789</v>
      </c>
      <c r="I41" s="87"/>
      <c r="J41" s="78"/>
      <c r="K41" s="78"/>
      <c r="L41" s="78"/>
      <c r="M41" s="78"/>
      <c r="N41" t="s">
        <v>817</v>
      </c>
      <c r="O41" s="47"/>
      <c r="P41" s="47" t="str">
        <f>_xlfn.LET(
    _xlpm.itemBuscado, B41,
    _xlpm.areaBuscada, C41,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TEXT(COUNTIF($C$2:C41, _xlpm.areaBuscada), "0000"),
    _xlpm.codItem &amp; "-" &amp; _xlpm.codArea &amp; "-" &amp; _xlpm.secuencia
)</f>
        <v>ZE-AM-FL-0018</v>
      </c>
      <c r="R41" s="15"/>
      <c r="T41" s="48"/>
      <c r="AI41" t="s">
        <v>61</v>
      </c>
    </row>
    <row r="42" spans="2:45" x14ac:dyDescent="0.3">
      <c r="B42" t="s">
        <v>23</v>
      </c>
      <c r="C42" s="11" t="s">
        <v>172</v>
      </c>
      <c r="E42" s="11" t="str" cm="1">
        <f t="array" ref="E42">_xlfn.IFS(
    COUNTIF(Herramientas_eléctricas1862[Herramientas_eléctricas], B42) &gt; 0, Herramientas_eléctricas1862[[#Headers],[Herramientas_eléctricas]],
    COUNTIF(Herramientas_neumáticas1963[Herramientas_neumáticas], B42) &gt; 0, Herramientas_neumáticas1963[[#Headers],[Herramientas_neumáticas]],
    COUNTIF(Herramientas_de_medición2064[Herramientas_de_medición], B42) &gt; 0, Herramientas_de_medición2064[[#Headers],[Herramientas_de_medición]],
    COUNTIF(Herrramientas_mecánicas2165[Herramientas_mecánicas], B42) &gt; 0, Herrramientas_mecánicas2165[[#Headers],[Herramientas_mecánicas]],
    COUNTIF(AK42:AK48, B42) &gt; 0, Herramientas_hidráulicas2266[[#Headers],[Herramientas_hidráulicas]],
    COUNTIF(EPP_2367[SPCC], B42) &gt; 0, EPP_2367[[#Headers],[SPCC]],
   COUNTIF(Herramientas_de_izaje2468[Herramientas_de_izaje], B42) &gt; 0, Herramientas_de_izaje2468[[#Headers],[Herramientas_de_izaje]],
COUNTIF(Tabla162670[Equipos], B42) &gt; 0, Tabla162670[[#Headers],[Equipos]],
    TRUE, "Sin clasificación"
)</f>
        <v>Herramientas_eléctricas</v>
      </c>
      <c r="F42" s="15"/>
      <c r="G42" s="15" t="s">
        <v>572</v>
      </c>
      <c r="H42" s="47" t="s">
        <v>704</v>
      </c>
      <c r="I42" s="87"/>
      <c r="J42" s="78"/>
      <c r="K42" s="78"/>
      <c r="L42" s="78"/>
      <c r="M42" s="78"/>
      <c r="O42" s="47"/>
      <c r="P42" s="47" t="str">
        <f>_xlfn.LET(
    _xlpm.itemBuscado, B42,
    _xlpm.areaBuscada, C42,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TEXT(COUNTIF($C$2:C42, _xlpm.areaBuscada), "0000"),
    _xlpm.codItem &amp; "-" &amp; _xlpm.codArea &amp; "-" &amp; _xlpm.secuencia
)</f>
        <v>ZE-AM-ML-0001</v>
      </c>
      <c r="R42" s="15" t="s">
        <v>818</v>
      </c>
      <c r="T42" s="48"/>
      <c r="AG42" s="71" t="s">
        <v>94</v>
      </c>
      <c r="AI42" t="s">
        <v>275</v>
      </c>
    </row>
    <row r="43" spans="2:45" ht="28.8" x14ac:dyDescent="0.3">
      <c r="B43" t="s">
        <v>23</v>
      </c>
      <c r="C43" s="11" t="s">
        <v>172</v>
      </c>
      <c r="E43" s="11" t="str" cm="1">
        <f t="array" ref="E43">_xlfn.IFS(
    COUNTIF(Herramientas_eléctricas1862[Herramientas_eléctricas], B43) &gt; 0, Herramientas_eléctricas1862[[#Headers],[Herramientas_eléctricas]],
    COUNTIF(Herramientas_neumáticas1963[Herramientas_neumáticas], B43) &gt; 0, Herramientas_neumáticas1963[[#Headers],[Herramientas_neumáticas]],
    COUNTIF(Herramientas_de_medición2064[Herramientas_de_medición], B43) &gt; 0, Herramientas_de_medición2064[[#Headers],[Herramientas_de_medición]],
    COUNTIF(Herrramientas_mecánicas2165[Herramientas_mecánicas], B43) &gt; 0, Herrramientas_mecánicas2165[[#Headers],[Herramientas_mecánicas]],
    COUNTIF(AK43:AK49, B43) &gt; 0, Herramientas_hidráulicas2266[[#Headers],[Herramientas_hidráulicas]],
    COUNTIF(EPP_2367[SPCC], B43) &gt; 0, EPP_2367[[#Headers],[SPCC]],
   COUNTIF(Herramientas_de_izaje2468[Herramientas_de_izaje], B43) &gt; 0, Herramientas_de_izaje2468[[#Headers],[Herramientas_de_izaje]],
COUNTIF(Tabla162670[Equipos], B43) &gt; 0, Tabla162670[[#Headers],[Equipos]],
    TRUE, "Sin clasificación"
)</f>
        <v>Herramientas_eléctricas</v>
      </c>
      <c r="F43" s="15"/>
      <c r="G43" s="15" t="s">
        <v>572</v>
      </c>
      <c r="H43" s="47" t="s">
        <v>819</v>
      </c>
      <c r="I43" s="87"/>
      <c r="J43" s="78"/>
      <c r="K43" s="78"/>
      <c r="L43" s="78"/>
      <c r="M43" s="78"/>
      <c r="N43">
        <v>9</v>
      </c>
      <c r="O43" s="47"/>
      <c r="P43" s="47" t="str">
        <f>_xlfn.LET(
    _xlpm.itemBuscado, B43,
    _xlpm.areaBuscada, C43,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TEXT(COUNTIF($C$2:C43, _xlpm.areaBuscada), "0000"),
    _xlpm.codItem &amp; "-" &amp; _xlpm.codArea &amp; "-" &amp; _xlpm.secuencia
)</f>
        <v>ZE-AM-ML-0002</v>
      </c>
      <c r="R43" s="15"/>
      <c r="T43" s="48"/>
      <c r="AG43" s="72" t="s">
        <v>276</v>
      </c>
      <c r="AI43" s="20" t="s">
        <v>277</v>
      </c>
      <c r="AJ43" t="s">
        <v>98</v>
      </c>
    </row>
    <row r="44" spans="2:45" x14ac:dyDescent="0.3">
      <c r="B44" t="s">
        <v>23</v>
      </c>
      <c r="C44" s="11" t="s">
        <v>172</v>
      </c>
      <c r="E44" s="11" t="str" cm="1">
        <f t="array" ref="E44">_xlfn.IFS(
    COUNTIF(Herramientas_eléctricas1862[Herramientas_eléctricas], B44) &gt; 0, Herramientas_eléctricas1862[[#Headers],[Herramientas_eléctricas]],
    COUNTIF(Herramientas_neumáticas1963[Herramientas_neumáticas], B44) &gt; 0, Herramientas_neumáticas1963[[#Headers],[Herramientas_neumáticas]],
    COUNTIF(Herramientas_de_medición2064[Herramientas_de_medición], B44) &gt; 0, Herramientas_de_medición2064[[#Headers],[Herramientas_de_medición]],
    COUNTIF(Herrramientas_mecánicas2165[Herramientas_mecánicas], B44) &gt; 0, Herrramientas_mecánicas2165[[#Headers],[Herramientas_mecánicas]],
    COUNTIF(AK44:AK50, B44) &gt; 0, Herramientas_hidráulicas2266[[#Headers],[Herramientas_hidráulicas]],
    COUNTIF(EPP_2367[SPCC], B44) &gt; 0, EPP_2367[[#Headers],[SPCC]],
   COUNTIF(Herramientas_de_izaje2468[Herramientas_de_izaje], B44) &gt; 0, Herramientas_de_izaje2468[[#Headers],[Herramientas_de_izaje]],
COUNTIF(Tabla162670[Equipos], B44) &gt; 0, Tabla162670[[#Headers],[Equipos]],
    TRUE, "Sin clasificación"
)</f>
        <v>Herramientas_eléctricas</v>
      </c>
      <c r="F44" s="15"/>
      <c r="G44" s="15" t="s">
        <v>572</v>
      </c>
      <c r="H44" s="47" t="s">
        <v>590</v>
      </c>
      <c r="I44" s="87"/>
      <c r="J44" s="78"/>
      <c r="K44" s="78"/>
      <c r="L44" s="78"/>
      <c r="M44" s="78"/>
      <c r="N44">
        <v>18</v>
      </c>
      <c r="O44" s="47"/>
      <c r="P44" s="47" t="str">
        <f>_xlfn.LET(
    _xlpm.itemBuscado, B44,
    _xlpm.areaBuscada, C44,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TEXT(COUNTIF($C$2:C44, _xlpm.areaBuscada), "0000"),
    _xlpm.codItem &amp; "-" &amp; _xlpm.codArea &amp; "-" &amp; _xlpm.secuencia
)</f>
        <v>ZE-AM-ML-0003</v>
      </c>
      <c r="R44" s="15"/>
      <c r="T44" s="48"/>
      <c r="AG44" s="73" t="s">
        <v>278</v>
      </c>
      <c r="AI44" s="18" t="s">
        <v>279</v>
      </c>
      <c r="AJ44" s="26" t="s">
        <v>280</v>
      </c>
    </row>
    <row r="45" spans="2:45" x14ac:dyDescent="0.3">
      <c r="B45" t="s">
        <v>23</v>
      </c>
      <c r="C45" s="11" t="s">
        <v>172</v>
      </c>
      <c r="E45" s="11" t="str" cm="1">
        <f t="array" ref="E45">_xlfn.IFS(
    COUNTIF(Herramientas_eléctricas1862[Herramientas_eléctricas], B45) &gt; 0, Herramientas_eléctricas1862[[#Headers],[Herramientas_eléctricas]],
    COUNTIF(Herramientas_neumáticas1963[Herramientas_neumáticas], B45) &gt; 0, Herramientas_neumáticas1963[[#Headers],[Herramientas_neumáticas]],
    COUNTIF(Herramientas_de_medición2064[Herramientas_de_medición], B45) &gt; 0, Herramientas_de_medición2064[[#Headers],[Herramientas_de_medición]],
    COUNTIF(Herrramientas_mecánicas2165[Herramientas_mecánicas], B45) &gt; 0, Herrramientas_mecánicas2165[[#Headers],[Herramientas_mecánicas]],
    COUNTIF(AK45:AK51, B45) &gt; 0, Herramientas_hidráulicas2266[[#Headers],[Herramientas_hidráulicas]],
    COUNTIF(EPP_2367[SPCC], B45) &gt; 0, EPP_2367[[#Headers],[SPCC]],
   COUNTIF(Herramientas_de_izaje2468[Herramientas_de_izaje], B45) &gt; 0, Herramientas_de_izaje2468[[#Headers],[Herramientas_de_izaje]],
COUNTIF(Tabla162670[Equipos], B45) &gt; 0, Tabla162670[[#Headers],[Equipos]],
    TRUE, "Sin clasificación"
)</f>
        <v>Herramientas_eléctricas</v>
      </c>
      <c r="F45" s="15"/>
      <c r="G45" s="15" t="s">
        <v>611</v>
      </c>
      <c r="H45" s="47" t="s">
        <v>820</v>
      </c>
      <c r="I45" s="87">
        <v>10</v>
      </c>
      <c r="J45" s="78"/>
      <c r="K45" s="78">
        <v>2200</v>
      </c>
      <c r="L45" s="78" t="s">
        <v>605</v>
      </c>
      <c r="M45" s="78"/>
      <c r="O45" s="47">
        <v>384475</v>
      </c>
      <c r="P45" s="47" t="str">
        <f>_xlfn.LET(
    _xlpm.itemBuscado, B45,
    _xlpm.areaBuscada, C45,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TEXT(COUNTIF($C$2:C45, _xlpm.areaBuscada), "0000"),
    _xlpm.codItem &amp; "-" &amp; _xlpm.codArea &amp; "-" &amp; _xlpm.secuencia
)</f>
        <v>ZE-AM-ML-0004</v>
      </c>
      <c r="R45" s="15"/>
      <c r="T45" s="48"/>
      <c r="AG45" t="s">
        <v>42</v>
      </c>
      <c r="AI45" s="26" t="s">
        <v>281</v>
      </c>
    </row>
    <row r="46" spans="2:45" x14ac:dyDescent="0.3">
      <c r="B46" t="s">
        <v>23</v>
      </c>
      <c r="C46" s="11" t="s">
        <v>172</v>
      </c>
      <c r="E46" s="11" t="str" cm="1">
        <f t="array" ref="E46">_xlfn.IFS(
    COUNTIF(Herramientas_eléctricas1862[Herramientas_eléctricas], B46) &gt; 0, Herramientas_eléctricas1862[[#Headers],[Herramientas_eléctricas]],
    COUNTIF(Herramientas_neumáticas1963[Herramientas_neumáticas], B46) &gt; 0, Herramientas_neumáticas1963[[#Headers],[Herramientas_neumáticas]],
    COUNTIF(Herramientas_de_medición2064[Herramientas_de_medición], B46) &gt; 0, Herramientas_de_medición2064[[#Headers],[Herramientas_de_medición]],
    COUNTIF(Herrramientas_mecánicas2165[Herramientas_mecánicas], B46) &gt; 0, Herrramientas_mecánicas2165[[#Headers],[Herramientas_mecánicas]],
    COUNTIF(AK46:AK52, B46) &gt; 0, Herramientas_hidráulicas2266[[#Headers],[Herramientas_hidráulicas]],
    COUNTIF(EPP_2367[SPCC], B46) &gt; 0, EPP_2367[[#Headers],[SPCC]],
   COUNTIF(Herramientas_de_izaje2468[Herramientas_de_izaje], B46) &gt; 0, Herramientas_de_izaje2468[[#Headers],[Herramientas_de_izaje]],
COUNTIF(Tabla162670[Equipos], B46) &gt; 0, Tabla162670[[#Headers],[Equipos]],
    TRUE, "Sin clasificación"
)</f>
        <v>Herramientas_eléctricas</v>
      </c>
      <c r="F46" s="15"/>
      <c r="G46" s="15" t="s">
        <v>572</v>
      </c>
      <c r="H46" s="47" t="s">
        <v>828</v>
      </c>
      <c r="I46" s="87"/>
      <c r="J46" s="78"/>
      <c r="K46" s="78"/>
      <c r="L46" s="78"/>
      <c r="M46" s="78"/>
      <c r="O46" s="47"/>
      <c r="P46" s="47" t="str">
        <f>_xlfn.LET(
    _xlpm.itemBuscado, B46,
    _xlpm.areaBuscada, C46,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TEXT(COUNTIF($C$2:C46, _xlpm.areaBuscada), "0000"),
    _xlpm.codItem &amp; "-" &amp; _xlpm.codArea &amp; "-" &amp; _xlpm.secuencia
)</f>
        <v>ZE-AM-ML-0005</v>
      </c>
      <c r="R46" s="15" t="s">
        <v>728</v>
      </c>
      <c r="T46" s="48"/>
    </row>
    <row r="47" spans="2:45" x14ac:dyDescent="0.3">
      <c r="B47" t="s">
        <v>23</v>
      </c>
      <c r="C47" s="11" t="s">
        <v>172</v>
      </c>
      <c r="E47" s="11" t="str" cm="1">
        <f t="array" ref="E47">_xlfn.IFS(
    COUNTIF(Herramientas_eléctricas1862[Herramientas_eléctricas], B47) &gt; 0, Herramientas_eléctricas1862[[#Headers],[Herramientas_eléctricas]],
    COUNTIF(Herramientas_neumáticas1963[Herramientas_neumáticas], B47) &gt; 0, Herramientas_neumáticas1963[[#Headers],[Herramientas_neumáticas]],
    COUNTIF(Herramientas_de_medición2064[Herramientas_de_medición], B47) &gt; 0, Herramientas_de_medición2064[[#Headers],[Herramientas_de_medición]],
    COUNTIF(Herrramientas_mecánicas2165[Herramientas_mecánicas], B47) &gt; 0, Herrramientas_mecánicas2165[[#Headers],[Herramientas_mecánicas]],
    COUNTIF(AK47:AK53, B47) &gt; 0, Herramientas_hidráulicas2266[[#Headers],[Herramientas_hidráulicas]],
    COUNTIF(EPP_2367[SPCC], B47) &gt; 0, EPP_2367[[#Headers],[SPCC]],
   COUNTIF(Herramientas_de_izaje2468[Herramientas_de_izaje], B47) &gt; 0, Herramientas_de_izaje2468[[#Headers],[Herramientas_de_izaje]],
COUNTIF(Tabla162670[Equipos], B47) &gt; 0, Tabla162670[[#Headers],[Equipos]],
    TRUE, "Sin clasificación"
)</f>
        <v>Herramientas_eléctricas</v>
      </c>
      <c r="F47" s="15"/>
      <c r="G47" s="15" t="s">
        <v>572</v>
      </c>
      <c r="H47" s="47" t="s">
        <v>838</v>
      </c>
      <c r="I47" s="87">
        <v>11.9</v>
      </c>
      <c r="J47" s="78">
        <v>180</v>
      </c>
      <c r="K47" s="78">
        <v>2600</v>
      </c>
      <c r="L47" s="78">
        <v>220</v>
      </c>
      <c r="M47" s="78">
        <v>8500</v>
      </c>
      <c r="N47">
        <v>6</v>
      </c>
      <c r="O47" s="47"/>
      <c r="P47" s="47" t="str">
        <f>_xlfn.LET(
    _xlpm.itemBuscado, B47,
    _xlpm.areaBuscada, C47,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TEXT(COUNTIF($C$2:C47, _xlpm.areaBuscada), "0000"),
    _xlpm.codItem &amp; "-" &amp; _xlpm.codArea &amp; "-" &amp; _xlpm.secuencia
)</f>
        <v>ZE-AM-ML-0006</v>
      </c>
      <c r="R47" s="15"/>
      <c r="T47" s="48"/>
      <c r="AG47" t="s">
        <v>41</v>
      </c>
      <c r="AJ47" t="s">
        <v>282</v>
      </c>
    </row>
    <row r="48" spans="2:45" ht="28.8" x14ac:dyDescent="0.3">
      <c r="B48" t="s">
        <v>23</v>
      </c>
      <c r="C48" s="11" t="s">
        <v>172</v>
      </c>
      <c r="E48" s="11" t="str" cm="1">
        <f t="array" ref="E48">_xlfn.IFS(
    COUNTIF(Herramientas_eléctricas1862[Herramientas_eléctricas], B48) &gt; 0, Herramientas_eléctricas1862[[#Headers],[Herramientas_eléctricas]],
    COUNTIF(Herramientas_neumáticas1963[Herramientas_neumáticas], B48) &gt; 0, Herramientas_neumáticas1963[[#Headers],[Herramientas_neumáticas]],
    COUNTIF(Herramientas_de_medición2064[Herramientas_de_medición], B48) &gt; 0, Herramientas_de_medición2064[[#Headers],[Herramientas_de_medición]],
    COUNTIF(Herrramientas_mecánicas2165[Herramientas_mecánicas], B48) &gt; 0, Herrramientas_mecánicas2165[[#Headers],[Herramientas_mecánicas]],
    COUNTIF(AK48:AK54, B48) &gt; 0, Herramientas_hidráulicas2266[[#Headers],[Herramientas_hidráulicas]],
    COUNTIF(EPP_2367[SPCC], B48) &gt; 0, EPP_2367[[#Headers],[SPCC]],
   COUNTIF(Herramientas_de_izaje2468[Herramientas_de_izaje], B48) &gt; 0, Herramientas_de_izaje2468[[#Headers],[Herramientas_de_izaje]],
COUNTIF(Tabla162670[Equipos], B48) &gt; 0, Tabla162670[[#Headers],[Equipos]],
    TRUE, "Sin clasificación"
)</f>
        <v>Herramientas_eléctricas</v>
      </c>
      <c r="F48" s="15"/>
      <c r="G48" s="15" t="s">
        <v>572</v>
      </c>
      <c r="H48" s="47" t="s">
        <v>748</v>
      </c>
      <c r="I48" s="87">
        <v>8</v>
      </c>
      <c r="J48" s="78">
        <v>150</v>
      </c>
      <c r="K48" s="78">
        <v>1700</v>
      </c>
      <c r="L48" s="78" t="s">
        <v>616</v>
      </c>
      <c r="M48" s="78">
        <v>11500</v>
      </c>
      <c r="O48" s="47">
        <v>223000621</v>
      </c>
      <c r="P48" s="47" t="str">
        <f>_xlfn.LET(
    _xlpm.itemBuscado, B48,
    _xlpm.areaBuscada, C48,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TEXT(COUNTIF($C$2:C48, _xlpm.areaBuscada), "0000"),
    _xlpm.codItem &amp; "-" &amp; _xlpm.codArea &amp; "-" &amp; _xlpm.secuencia
)</f>
        <v>ZE-AM-ML-0007</v>
      </c>
      <c r="R48" s="15"/>
      <c r="T48" s="48"/>
      <c r="AG48" t="s">
        <v>41</v>
      </c>
      <c r="AI48" t="s">
        <v>283</v>
      </c>
      <c r="AJ48" s="74" t="s">
        <v>284</v>
      </c>
      <c r="AS48" t="s">
        <v>74</v>
      </c>
    </row>
    <row r="49" spans="1:45" x14ac:dyDescent="0.3">
      <c r="B49" t="s">
        <v>23</v>
      </c>
      <c r="C49" s="11" t="s">
        <v>172</v>
      </c>
      <c r="E49" s="11" t="str" cm="1">
        <f t="array" ref="E49">_xlfn.IFS(
    COUNTIF(Herramientas_eléctricas1862[Herramientas_eléctricas], B49) &gt; 0, Herramientas_eléctricas1862[[#Headers],[Herramientas_eléctricas]],
    COUNTIF(Herramientas_neumáticas1963[Herramientas_neumáticas], B49) &gt; 0, Herramientas_neumáticas1963[[#Headers],[Herramientas_neumáticas]],
    COUNTIF(Herramientas_de_medición2064[Herramientas_de_medición], B49) &gt; 0, Herramientas_de_medición2064[[#Headers],[Herramientas_de_medición]],
    COUNTIF(Herrramientas_mecánicas2165[Herramientas_mecánicas], B49) &gt; 0, Herrramientas_mecánicas2165[[#Headers],[Herramientas_mecánicas]],
    COUNTIF(AK49:AK55, B49) &gt; 0, Herramientas_hidráulicas2266[[#Headers],[Herramientas_hidráulicas]],
    COUNTIF(EPP_2367[SPCC], B49) &gt; 0, EPP_2367[[#Headers],[SPCC]],
   COUNTIF(Herramientas_de_izaje2468[Herramientas_de_izaje], B49) &gt; 0, Herramientas_de_izaje2468[[#Headers],[Herramientas_de_izaje]],
COUNTIF(Tabla162670[Equipos], B49) &gt; 0, Tabla162670[[#Headers],[Equipos]],
    TRUE, "Sin clasificación"
)</f>
        <v>Herramientas_eléctricas</v>
      </c>
      <c r="F49" s="15"/>
      <c r="G49" s="15" t="s">
        <v>572</v>
      </c>
      <c r="H49" s="47" t="s">
        <v>650</v>
      </c>
      <c r="I49" s="87"/>
      <c r="J49" s="78">
        <v>125</v>
      </c>
      <c r="K49" s="78">
        <v>1200</v>
      </c>
      <c r="L49" s="78">
        <v>220</v>
      </c>
      <c r="M49" s="78" t="s">
        <v>839</v>
      </c>
      <c r="O49" s="47">
        <v>521067351</v>
      </c>
      <c r="P49" s="47" t="str">
        <f>_xlfn.LET(
    _xlpm.itemBuscado, B49,
    _xlpm.areaBuscada, C49,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TEXT(COUNTIF($C$2:C49, _xlpm.areaBuscada), "0000"),
    _xlpm.codItem &amp; "-" &amp; _xlpm.codArea &amp; "-" &amp; _xlpm.secuencia
)</f>
        <v>ZE-AM-ML-0008</v>
      </c>
      <c r="R49" s="15"/>
      <c r="T49" s="48"/>
      <c r="AG49" t="s">
        <v>285</v>
      </c>
      <c r="AI49" t="s">
        <v>286</v>
      </c>
      <c r="AS49" s="22" t="s">
        <v>74</v>
      </c>
    </row>
    <row r="50" spans="1:45" x14ac:dyDescent="0.3">
      <c r="A50" t="s">
        <v>840</v>
      </c>
      <c r="B50" t="s">
        <v>23</v>
      </c>
      <c r="C50" s="11" t="s">
        <v>172</v>
      </c>
      <c r="E50" s="11" t="str" cm="1">
        <f t="array" ref="E50">_xlfn.IFS(
    COUNTIF(Herramientas_eléctricas1862[Herramientas_eléctricas], B50) &gt; 0, Herramientas_eléctricas1862[[#Headers],[Herramientas_eléctricas]],
    COUNTIF(Herramientas_neumáticas1963[Herramientas_neumáticas], B50) &gt; 0, Herramientas_neumáticas1963[[#Headers],[Herramientas_neumáticas]],
    COUNTIF(Herramientas_de_medición2064[Herramientas_de_medición], B50) &gt; 0, Herramientas_de_medición2064[[#Headers],[Herramientas_de_medición]],
    COUNTIF(Herrramientas_mecánicas2165[Herramientas_mecánicas], B50) &gt; 0, Herrramientas_mecánicas2165[[#Headers],[Herramientas_mecánicas]],
    COUNTIF(AK50:AK56, B50) &gt; 0, Herramientas_hidráulicas2266[[#Headers],[Herramientas_hidráulicas]],
    COUNTIF(EPP_2367[SPCC], B50) &gt; 0, EPP_2367[[#Headers],[SPCC]],
   COUNTIF(Herramientas_de_izaje2468[Herramientas_de_izaje], B50) &gt; 0, Herramientas_de_izaje2468[[#Headers],[Herramientas_de_izaje]],
COUNTIF(Tabla162670[Equipos], B50) &gt; 0, Tabla162670[[#Headers],[Equipos]],
    TRUE, "Sin clasificación"
)</f>
        <v>Herramientas_eléctricas</v>
      </c>
      <c r="F50" s="15"/>
      <c r="G50" s="15" t="s">
        <v>572</v>
      </c>
      <c r="H50" s="47" t="s">
        <v>841</v>
      </c>
      <c r="I50" s="87">
        <v>9.6</v>
      </c>
      <c r="J50" s="78">
        <v>180</v>
      </c>
      <c r="K50" s="78">
        <v>2000</v>
      </c>
      <c r="L50" s="78">
        <v>220</v>
      </c>
      <c r="M50" s="78">
        <v>8500</v>
      </c>
      <c r="N50" t="s">
        <v>842</v>
      </c>
      <c r="O50" s="47">
        <v>8062300214</v>
      </c>
      <c r="P50" s="47" t="str">
        <f>_xlfn.LET(
    _xlpm.itemBuscado, B50,
    _xlpm.areaBuscada, C50,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TEXT(COUNTIF($C$2:C50, _xlpm.areaBuscada), "0000"),
    _xlpm.codItem &amp; "-" &amp; _xlpm.codArea &amp; "-" &amp; _xlpm.secuencia
)</f>
        <v>ZE-AM-ML-0009</v>
      </c>
      <c r="R50" s="15"/>
      <c r="T50" s="48"/>
      <c r="AG50" t="s">
        <v>287</v>
      </c>
      <c r="AI50" t="s">
        <v>288</v>
      </c>
      <c r="AJ50" t="s">
        <v>289</v>
      </c>
      <c r="AS50" s="18" t="s">
        <v>290</v>
      </c>
    </row>
    <row r="51" spans="1:45" x14ac:dyDescent="0.3">
      <c r="B51" t="s">
        <v>23</v>
      </c>
      <c r="C51" s="11" t="s">
        <v>172</v>
      </c>
      <c r="E51" s="11" t="str" cm="1">
        <f t="array" ref="E51">_xlfn.IFS(
    COUNTIF(Herramientas_eléctricas1862[Herramientas_eléctricas], B51) &gt; 0, Herramientas_eléctricas1862[[#Headers],[Herramientas_eléctricas]],
    COUNTIF(Herramientas_neumáticas1963[Herramientas_neumáticas], B51) &gt; 0, Herramientas_neumáticas1963[[#Headers],[Herramientas_neumáticas]],
    COUNTIF(Herramientas_de_medición2064[Herramientas_de_medición], B51) &gt; 0, Herramientas_de_medición2064[[#Headers],[Herramientas_de_medición]],
    COUNTIF(Herrramientas_mecánicas2165[Herramientas_mecánicas], B51) &gt; 0, Herrramientas_mecánicas2165[[#Headers],[Herramientas_mecánicas]],
    COUNTIF(AK51:AK57, B51) &gt; 0, Herramientas_hidráulicas2266[[#Headers],[Herramientas_hidráulicas]],
    COUNTIF(EPP_2367[SPCC], B51) &gt; 0, EPP_2367[[#Headers],[SPCC]],
   COUNTIF(Herramientas_de_izaje2468[Herramientas_de_izaje], B51) &gt; 0, Herramientas_de_izaje2468[[#Headers],[Herramientas_de_izaje]],
COUNTIF(Tabla162670[Equipos], B51) &gt; 0, Tabla162670[[#Headers],[Equipos]],
    TRUE, "Sin clasificación"
)</f>
        <v>Herramientas_eléctricas</v>
      </c>
      <c r="F51" s="15"/>
      <c r="G51" s="15" t="s">
        <v>572</v>
      </c>
      <c r="H51" s="47"/>
      <c r="I51" s="87"/>
      <c r="J51" s="78"/>
      <c r="K51" s="78"/>
      <c r="L51" s="78"/>
      <c r="M51" s="78"/>
      <c r="N51">
        <v>13</v>
      </c>
      <c r="O51" s="47"/>
      <c r="P51" s="47" t="str">
        <f>_xlfn.LET(
    _xlpm.itemBuscado, B51,
    _xlpm.areaBuscada, C51,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TEXT(COUNTIF($C$2:C51, _xlpm.areaBuscada), "0000"),
    _xlpm.codItem &amp; "-" &amp; _xlpm.codArea &amp; "-" &amp; _xlpm.secuencia
)</f>
        <v>ZE-AM-ML-0010</v>
      </c>
      <c r="R51" s="15"/>
      <c r="T51" s="48" t="s">
        <v>224</v>
      </c>
      <c r="AJ51" s="22" t="s">
        <v>291</v>
      </c>
    </row>
    <row r="52" spans="1:45" x14ac:dyDescent="0.3">
      <c r="B52" t="s">
        <v>23</v>
      </c>
      <c r="C52" s="11" t="s">
        <v>172</v>
      </c>
      <c r="E52" s="11" t="str" cm="1">
        <f t="array" ref="E52">_xlfn.IFS(
    COUNTIF(Herramientas_eléctricas1862[Herramientas_eléctricas], B52) &gt; 0, Herramientas_eléctricas1862[[#Headers],[Herramientas_eléctricas]],
    COUNTIF(Herramientas_neumáticas1963[Herramientas_neumáticas], B52) &gt; 0, Herramientas_neumáticas1963[[#Headers],[Herramientas_neumáticas]],
    COUNTIF(Herramientas_de_medición2064[Herramientas_de_medición], B52) &gt; 0, Herramientas_de_medición2064[[#Headers],[Herramientas_de_medición]],
    COUNTIF(Herrramientas_mecánicas2165[Herramientas_mecánicas], B52) &gt; 0, Herrramientas_mecánicas2165[[#Headers],[Herramientas_mecánicas]],
    COUNTIF(AK52:AK58, B52) &gt; 0, Herramientas_hidráulicas2266[[#Headers],[Herramientas_hidráulicas]],
    COUNTIF(EPP_2367[SPCC], B52) &gt; 0, EPP_2367[[#Headers],[SPCC]],
   COUNTIF(Herramientas_de_izaje2468[Herramientas_de_izaje], B52) &gt; 0, Herramientas_de_izaje2468[[#Headers],[Herramientas_de_izaje]],
COUNTIF(Tabla162670[Equipos], B52) &gt; 0, Tabla162670[[#Headers],[Equipos]],
    TRUE, "Sin clasificación"
)</f>
        <v>Herramientas_eléctricas</v>
      </c>
      <c r="F52" s="15"/>
      <c r="G52" s="15" t="s">
        <v>572</v>
      </c>
      <c r="H52" s="47" t="s">
        <v>843</v>
      </c>
      <c r="I52" s="87"/>
      <c r="J52" s="78"/>
      <c r="K52" s="78"/>
      <c r="L52" s="78"/>
      <c r="M52" s="78"/>
      <c r="N52">
        <v>8</v>
      </c>
      <c r="O52" s="47"/>
      <c r="P52" s="47" t="str">
        <f>_xlfn.LET(
    _xlpm.itemBuscado, B52,
    _xlpm.areaBuscada, C52,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TEXT(COUNTIF($C$2:C52, _xlpm.areaBuscada), "0000"),
    _xlpm.codItem &amp; "-" &amp; _xlpm.codArea &amp; "-" &amp; _xlpm.secuencia
)</f>
        <v>ZE-AM-ML-0011</v>
      </c>
      <c r="R52" s="15"/>
      <c r="T52" s="48" t="s">
        <v>224</v>
      </c>
      <c r="AG52" t="s">
        <v>60</v>
      </c>
      <c r="AJ52" s="67" t="s">
        <v>292</v>
      </c>
    </row>
    <row r="53" spans="1:45" x14ac:dyDescent="0.3">
      <c r="B53" t="s">
        <v>23</v>
      </c>
      <c r="C53" s="11" t="s">
        <v>172</v>
      </c>
      <c r="E53" s="11" t="str" cm="1">
        <f t="array" ref="E53">_xlfn.IFS(
    COUNTIF(Herramientas_eléctricas1862[Herramientas_eléctricas], B53) &gt; 0, Herramientas_eléctricas1862[[#Headers],[Herramientas_eléctricas]],
    COUNTIF(Herramientas_neumáticas1963[Herramientas_neumáticas], B53) &gt; 0, Herramientas_neumáticas1963[[#Headers],[Herramientas_neumáticas]],
    COUNTIF(Herramientas_de_medición2064[Herramientas_de_medición], B53) &gt; 0, Herramientas_de_medición2064[[#Headers],[Herramientas_de_medición]],
    COUNTIF(Herrramientas_mecánicas2165[Herramientas_mecánicas], B53) &gt; 0, Herrramientas_mecánicas2165[[#Headers],[Herramientas_mecánicas]],
    COUNTIF(AK53:AK59, B53) &gt; 0, Herramientas_hidráulicas2266[[#Headers],[Herramientas_hidráulicas]],
    COUNTIF(EPP_2367[SPCC], B53) &gt; 0, EPP_2367[[#Headers],[SPCC]],
   COUNTIF(Herramientas_de_izaje2468[Herramientas_de_izaje], B53) &gt; 0, Herramientas_de_izaje2468[[#Headers],[Herramientas_de_izaje]],
COUNTIF(Tabla162670[Equipos], B53) &gt; 0, Tabla162670[[#Headers],[Equipos]],
    TRUE, "Sin clasificación"
)</f>
        <v>Herramientas_eléctricas</v>
      </c>
      <c r="F53" s="15"/>
      <c r="G53" s="15" t="s">
        <v>572</v>
      </c>
      <c r="H53" s="47"/>
      <c r="I53" s="87"/>
      <c r="J53" s="78"/>
      <c r="K53" s="78"/>
      <c r="L53" s="78"/>
      <c r="M53" s="78"/>
      <c r="N53">
        <v>5</v>
      </c>
      <c r="O53" s="47"/>
      <c r="P53" s="47" t="str">
        <f>_xlfn.LET(
    _xlpm.itemBuscado, B53,
    _xlpm.areaBuscada, C53,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TEXT(COUNTIF($C$2:C53, _xlpm.areaBuscada), "0000"),
    _xlpm.codItem &amp; "-" &amp; _xlpm.codArea &amp; "-" &amp; _xlpm.secuencia
)</f>
        <v>ZE-AM-ML-0012</v>
      </c>
      <c r="R53" s="15" t="s">
        <v>728</v>
      </c>
      <c r="T53" s="48" t="s">
        <v>224</v>
      </c>
      <c r="AG53" s="70" t="s">
        <v>293</v>
      </c>
      <c r="AJ53" s="22" t="s">
        <v>294</v>
      </c>
    </row>
    <row r="54" spans="1:45" x14ac:dyDescent="0.3">
      <c r="B54" t="s">
        <v>23</v>
      </c>
      <c r="C54" s="11" t="s">
        <v>179</v>
      </c>
      <c r="E54" s="11" t="str" cm="1">
        <f t="array" ref="E54">_xlfn.IFS(
    COUNTIF(Herramientas_eléctricas1862[Herramientas_eléctricas], B54) &gt; 0, Herramientas_eléctricas1862[[#Headers],[Herramientas_eléctricas]],
    COUNTIF(Herramientas_neumáticas1963[Herramientas_neumáticas], B54) &gt; 0, Herramientas_neumáticas1963[[#Headers],[Herramientas_neumáticas]],
    COUNTIF(Herramientas_de_medición2064[Herramientas_de_medición], B54) &gt; 0, Herramientas_de_medición2064[[#Headers],[Herramientas_de_medición]],
    COUNTIF(Herrramientas_mecánicas2165[Herramientas_mecánicas], B54) &gt; 0, Herrramientas_mecánicas2165[[#Headers],[Herramientas_mecánicas]],
    COUNTIF(AK54:AK60, B54) &gt; 0, Herramientas_hidráulicas2266[[#Headers],[Herramientas_hidráulicas]],
    COUNTIF(EPP_2367[SPCC], B54) &gt; 0, EPP_2367[[#Headers],[SPCC]],
   COUNTIF(Herramientas_de_izaje2468[Herramientas_de_izaje], B54) &gt; 0, Herramientas_de_izaje2468[[#Headers],[Herramientas_de_izaje]],
COUNTIF(Tabla162670[Equipos], B54) &gt; 0, Tabla162670[[#Headers],[Equipos]],
    TRUE, "Sin clasificación"
)</f>
        <v>Herramientas_eléctricas</v>
      </c>
      <c r="F54" s="15"/>
      <c r="G54" s="15" t="s">
        <v>572</v>
      </c>
      <c r="H54" s="47" t="s">
        <v>704</v>
      </c>
      <c r="I54" s="87"/>
      <c r="J54" s="78"/>
      <c r="K54" s="78"/>
      <c r="L54" s="78"/>
      <c r="M54" s="78"/>
      <c r="O54" s="47"/>
      <c r="P54" s="47" t="str">
        <f>_xlfn.LET(
    _xlpm.itemBuscado, B54,
    _xlpm.areaBuscada, C54,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TEXT(COUNTIF($C$2:C54, _xlpm.areaBuscada), "0000"),
    _xlpm.codItem &amp; "-" &amp; _xlpm.codArea &amp; "-" &amp; _xlpm.secuencia
)</f>
        <v>ZE-AM-GE-0001</v>
      </c>
      <c r="R54" s="15"/>
      <c r="T54" s="48"/>
      <c r="AJ54" s="22" t="s">
        <v>295</v>
      </c>
    </row>
    <row r="55" spans="1:45" x14ac:dyDescent="0.3">
      <c r="B55" t="s">
        <v>23</v>
      </c>
      <c r="C55" s="11" t="s">
        <v>179</v>
      </c>
      <c r="E55" s="11" t="str" cm="1">
        <f t="array" ref="E55">_xlfn.IFS(
    COUNTIF(Herramientas_eléctricas1862[Herramientas_eléctricas], B55) &gt; 0, Herramientas_eléctricas1862[[#Headers],[Herramientas_eléctricas]],
    COUNTIF(Herramientas_neumáticas1963[Herramientas_neumáticas], B55) &gt; 0, Herramientas_neumáticas1963[[#Headers],[Herramientas_neumáticas]],
    COUNTIF(Herramientas_de_medición2064[Herramientas_de_medición], B55) &gt; 0, Herramientas_de_medición2064[[#Headers],[Herramientas_de_medición]],
    COUNTIF(Herrramientas_mecánicas2165[Herramientas_mecánicas], B55) &gt; 0, Herrramientas_mecánicas2165[[#Headers],[Herramientas_mecánicas]],
    COUNTIF(AK55:AK61, B55) &gt; 0, Herramientas_hidráulicas2266[[#Headers],[Herramientas_hidráulicas]],
    COUNTIF(EPP_2367[SPCC], B55) &gt; 0, EPP_2367[[#Headers],[SPCC]],
   COUNTIF(Herramientas_de_izaje2468[Herramientas_de_izaje], B55) &gt; 0, Herramientas_de_izaje2468[[#Headers],[Herramientas_de_izaje]],
COUNTIF(Tabla162670[Equipos], B55) &gt; 0, Tabla162670[[#Headers],[Equipos]],
    TRUE, "Sin clasificación"
)</f>
        <v>Herramientas_eléctricas</v>
      </c>
      <c r="F55" s="15"/>
      <c r="G55" s="15" t="s">
        <v>572</v>
      </c>
      <c r="H55" s="47" t="s">
        <v>844</v>
      </c>
      <c r="I55" s="87">
        <v>8</v>
      </c>
      <c r="J55" s="78">
        <v>125</v>
      </c>
      <c r="K55" s="78">
        <v>1700</v>
      </c>
      <c r="L55" s="78">
        <v>220</v>
      </c>
      <c r="M55" s="78">
        <v>11500</v>
      </c>
      <c r="O55" s="47">
        <v>223000634</v>
      </c>
      <c r="P55" s="47" t="str">
        <f>_xlfn.LET(
    _xlpm.itemBuscado, B55,
    _xlpm.areaBuscada, C55,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TEXT(COUNTIF($C$2:C55, _xlpm.areaBuscada), "0000"),
    _xlpm.codItem &amp; "-" &amp; _xlpm.codArea &amp; "-" &amp; _xlpm.secuencia
)</f>
        <v>ZE-AM-GE-0002</v>
      </c>
      <c r="R55" s="15"/>
      <c r="T55" s="48"/>
      <c r="AJ55" s="22" t="s">
        <v>296</v>
      </c>
    </row>
    <row r="56" spans="1:45" x14ac:dyDescent="0.3">
      <c r="B56" t="s">
        <v>23</v>
      </c>
      <c r="C56" s="11" t="s">
        <v>179</v>
      </c>
      <c r="E56" s="11" t="str" cm="1">
        <f t="array" ref="E56">_xlfn.IFS(
    COUNTIF(Herramientas_eléctricas1862[Herramientas_eléctricas], B56) &gt; 0, Herramientas_eléctricas1862[[#Headers],[Herramientas_eléctricas]],
    COUNTIF(Herramientas_neumáticas1963[Herramientas_neumáticas], B56) &gt; 0, Herramientas_neumáticas1963[[#Headers],[Herramientas_neumáticas]],
    COUNTIF(Herramientas_de_medición2064[Herramientas_de_medición], B56) &gt; 0, Herramientas_de_medición2064[[#Headers],[Herramientas_de_medición]],
    COUNTIF(Herrramientas_mecánicas2165[Herramientas_mecánicas], B56) &gt; 0, Herrramientas_mecánicas2165[[#Headers],[Herramientas_mecánicas]],
    COUNTIF(AK56:AK62, B56) &gt; 0, Herramientas_hidráulicas2266[[#Headers],[Herramientas_hidráulicas]],
    COUNTIF(EPP_2367[SPCC], B56) &gt; 0, EPP_2367[[#Headers],[SPCC]],
   COUNTIF(Herramientas_de_izaje2468[Herramientas_de_izaje], B56) &gt; 0, Herramientas_de_izaje2468[[#Headers],[Herramientas_de_izaje]],
COUNTIF(Tabla162670[Equipos], B56) &gt; 0, Tabla162670[[#Headers],[Equipos]],
    TRUE, "Sin clasificación"
)</f>
        <v>Herramientas_eléctricas</v>
      </c>
      <c r="F56" s="15"/>
      <c r="G56" s="15" t="s">
        <v>572</v>
      </c>
      <c r="H56" s="47" t="s">
        <v>704</v>
      </c>
      <c r="I56" s="87">
        <v>11.9</v>
      </c>
      <c r="J56" s="78">
        <v>180</v>
      </c>
      <c r="K56" s="78">
        <v>2600</v>
      </c>
      <c r="L56" s="78">
        <v>220</v>
      </c>
      <c r="M56" s="78">
        <v>8500</v>
      </c>
      <c r="O56" s="47">
        <v>7052000632</v>
      </c>
      <c r="P56" s="47" t="str">
        <f>_xlfn.LET(
    _xlpm.itemBuscado, B56,
    _xlpm.areaBuscada, C56,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TEXT(COUNTIF($C$2:C56, _xlpm.areaBuscada), "0000"),
    _xlpm.codItem &amp; "-" &amp; _xlpm.codArea &amp; "-" &amp; _xlpm.secuencia
)</f>
        <v>ZE-AM-GE-0003</v>
      </c>
      <c r="R56" s="15"/>
      <c r="T56" s="48"/>
      <c r="AI56" t="s">
        <v>297</v>
      </c>
      <c r="AJ56" s="18" t="s">
        <v>298</v>
      </c>
    </row>
    <row r="57" spans="1:45" x14ac:dyDescent="0.3">
      <c r="B57" t="s">
        <v>23</v>
      </c>
      <c r="C57" s="11" t="s">
        <v>179</v>
      </c>
      <c r="E57" s="11" t="str" cm="1">
        <f t="array" ref="E57">_xlfn.IFS(
    COUNTIF(Herramientas_eléctricas1862[Herramientas_eléctricas], B57) &gt; 0, Herramientas_eléctricas1862[[#Headers],[Herramientas_eléctricas]],
    COUNTIF(Herramientas_neumáticas1963[Herramientas_neumáticas], B57) &gt; 0, Herramientas_neumáticas1963[[#Headers],[Herramientas_neumáticas]],
    COUNTIF(Herramientas_de_medición2064[Herramientas_de_medición], B57) &gt; 0, Herramientas_de_medición2064[[#Headers],[Herramientas_de_medición]],
    COUNTIF(Herrramientas_mecánicas2165[Herramientas_mecánicas], B57) &gt; 0, Herrramientas_mecánicas2165[[#Headers],[Herramientas_mecánicas]],
    COUNTIF(AK57:AK63, B57) &gt; 0, Herramientas_hidráulicas2266[[#Headers],[Herramientas_hidráulicas]],
    COUNTIF(EPP_2367[SPCC], B57) &gt; 0, EPP_2367[[#Headers],[SPCC]],
   COUNTIF(Herramientas_de_izaje2468[Herramientas_de_izaje], B57) &gt; 0, Herramientas_de_izaje2468[[#Headers],[Herramientas_de_izaje]],
COUNTIF(Tabla162670[Equipos], B57) &gt; 0, Tabla162670[[#Headers],[Equipos]],
    TRUE, "Sin clasificación"
)</f>
        <v>Herramientas_eléctricas</v>
      </c>
      <c r="F57" s="15"/>
      <c r="G57" s="15" t="s">
        <v>572</v>
      </c>
      <c r="H57" s="47" t="s">
        <v>845</v>
      </c>
      <c r="I57" s="87">
        <v>11.5</v>
      </c>
      <c r="J57" s="78">
        <v>180</v>
      </c>
      <c r="K57" s="78">
        <v>2400</v>
      </c>
      <c r="L57" s="78">
        <v>220</v>
      </c>
      <c r="M57" s="78">
        <v>8500</v>
      </c>
      <c r="O57" s="47">
        <v>908320276</v>
      </c>
      <c r="P57" s="47" t="str">
        <f>_xlfn.LET(
    _xlpm.itemBuscado, B57,
    _xlpm.areaBuscada, C57,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TEXT(COUNTIF($C$2:C57, _xlpm.areaBuscada), "0000"),
    _xlpm.codItem &amp; "-" &amp; _xlpm.codArea &amp; "-" &amp; _xlpm.secuencia
)</f>
        <v>ZE-AM-GE-0004</v>
      </c>
      <c r="R57" s="15"/>
      <c r="T57" s="48"/>
      <c r="AI57" t="s">
        <v>299</v>
      </c>
      <c r="AJ57" s="22" t="s">
        <v>300</v>
      </c>
    </row>
    <row r="58" spans="1:45" x14ac:dyDescent="0.3">
      <c r="B58" t="s">
        <v>23</v>
      </c>
      <c r="C58" s="11" t="s">
        <v>174</v>
      </c>
      <c r="E58" s="11" t="str" cm="1">
        <f t="array" ref="E58">_xlfn.IFS(
    COUNTIF(Herramientas_eléctricas1862[Herramientas_eléctricas], B58) &gt; 0, Herramientas_eléctricas1862[[#Headers],[Herramientas_eléctricas]],
    COUNTIF(Herramientas_neumáticas1963[Herramientas_neumáticas], B58) &gt; 0, Herramientas_neumáticas1963[[#Headers],[Herramientas_neumáticas]],
    COUNTIF(Herramientas_de_medición2064[Herramientas_de_medición], B58) &gt; 0, Herramientas_de_medición2064[[#Headers],[Herramientas_de_medición]],
    COUNTIF(Herrramientas_mecánicas2165[Herramientas_mecánicas], B58) &gt; 0, Herrramientas_mecánicas2165[[#Headers],[Herramientas_mecánicas]],
    COUNTIF(AK58:AK64, B58) &gt; 0, Herramientas_hidráulicas2266[[#Headers],[Herramientas_hidráulicas]],
    COUNTIF(EPP_2367[SPCC], B58) &gt; 0, EPP_2367[[#Headers],[SPCC]],
   COUNTIF(Herramientas_de_izaje2468[Herramientas_de_izaje], B58) &gt; 0, Herramientas_de_izaje2468[[#Headers],[Herramientas_de_izaje]],
COUNTIF(Tabla162670[Equipos], B58) &gt; 0, Tabla162670[[#Headers],[Equipos]],
    TRUE, "Sin clasificación"
)</f>
        <v>Herramientas_eléctricas</v>
      </c>
      <c r="F58" s="15"/>
      <c r="G58" s="15" t="s">
        <v>796</v>
      </c>
      <c r="H58" s="47" t="s">
        <v>797</v>
      </c>
      <c r="I58" s="87"/>
      <c r="J58" s="78"/>
      <c r="K58" s="78"/>
      <c r="L58" s="78"/>
      <c r="M58" s="78"/>
      <c r="N58" t="s">
        <v>851</v>
      </c>
      <c r="O58" s="47"/>
      <c r="P58" s="47" t="str">
        <f>_xlfn.LET(
    _xlpm.itemBuscado, B58,
    _xlpm.areaBuscada, C58,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TEXT(COUNTIF($C$2:C58, _xlpm.areaBuscada), "0000"),
    _xlpm.codItem &amp; "-" &amp; _xlpm.codArea &amp; "-" &amp; _xlpm.secuencia
)</f>
        <v>ZE-AM-FI-0001</v>
      </c>
      <c r="R58" s="15"/>
      <c r="T58" s="48"/>
      <c r="AG58" t="s">
        <v>23</v>
      </c>
      <c r="AJ58" s="18" t="s">
        <v>301</v>
      </c>
    </row>
    <row r="59" spans="1:45" x14ac:dyDescent="0.3">
      <c r="B59" t="s">
        <v>23</v>
      </c>
      <c r="C59" s="11" t="s">
        <v>174</v>
      </c>
      <c r="E59" s="11" t="str" cm="1">
        <f t="array" ref="E59">_xlfn.IFS(
    COUNTIF(Herramientas_eléctricas1862[Herramientas_eléctricas], B59) &gt; 0, Herramientas_eléctricas1862[[#Headers],[Herramientas_eléctricas]],
    COUNTIF(Herramientas_neumáticas1963[Herramientas_neumáticas], B59) &gt; 0, Herramientas_neumáticas1963[[#Headers],[Herramientas_neumáticas]],
    COUNTIF(Herramientas_de_medición2064[Herramientas_de_medición], B59) &gt; 0, Herramientas_de_medición2064[[#Headers],[Herramientas_de_medición]],
    COUNTIF(Herrramientas_mecánicas2165[Herramientas_mecánicas], B59) &gt; 0, Herrramientas_mecánicas2165[[#Headers],[Herramientas_mecánicas]],
    COUNTIF(AK59:AK65, B59) &gt; 0, Herramientas_hidráulicas2266[[#Headers],[Herramientas_hidráulicas]],
    COUNTIF(EPP_2367[SPCC], B59) &gt; 0, EPP_2367[[#Headers],[SPCC]],
   COUNTIF(Herramientas_de_izaje2468[Herramientas_de_izaje], B59) &gt; 0, Herramientas_de_izaje2468[[#Headers],[Herramientas_de_izaje]],
COUNTIF(Tabla162670[Equipos], B59) &gt; 0, Tabla162670[[#Headers],[Equipos]],
    TRUE, "Sin clasificación"
)</f>
        <v>Herramientas_eléctricas</v>
      </c>
      <c r="F59" s="15"/>
      <c r="G59" s="15" t="s">
        <v>572</v>
      </c>
      <c r="H59" s="47" t="s">
        <v>849</v>
      </c>
      <c r="I59" s="87">
        <v>4.2</v>
      </c>
      <c r="J59" s="78">
        <v>125</v>
      </c>
      <c r="K59" s="78">
        <v>900</v>
      </c>
      <c r="L59" s="78">
        <v>220</v>
      </c>
      <c r="M59" s="78">
        <v>11900</v>
      </c>
      <c r="N59" t="s">
        <v>848</v>
      </c>
      <c r="O59" s="47"/>
      <c r="P59" s="47" t="str">
        <f>_xlfn.LET(
    _xlpm.itemBuscado, B59,
    _xlpm.areaBuscada, C59,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TEXT(COUNTIF($C$2:C59, _xlpm.areaBuscada), "0000"),
    _xlpm.codItem &amp; "-" &amp; _xlpm.codArea &amp; "-" &amp; _xlpm.secuencia
)</f>
        <v>ZE-AM-FI-0002</v>
      </c>
      <c r="R59" s="15"/>
      <c r="T59" s="48"/>
      <c r="AG59" t="s">
        <v>302</v>
      </c>
      <c r="AJ59" s="70" t="s">
        <v>303</v>
      </c>
    </row>
    <row r="60" spans="1:45" x14ac:dyDescent="0.3">
      <c r="B60" t="s">
        <v>23</v>
      </c>
      <c r="C60" s="11" t="s">
        <v>174</v>
      </c>
      <c r="E60" s="11" t="str" cm="1">
        <f t="array" ref="E60">_xlfn.IFS(
    COUNTIF(Herramientas_eléctricas1862[Herramientas_eléctricas], B60) &gt; 0, Herramientas_eléctricas1862[[#Headers],[Herramientas_eléctricas]],
    COUNTIF(Herramientas_neumáticas1963[Herramientas_neumáticas], B60) &gt; 0, Herramientas_neumáticas1963[[#Headers],[Herramientas_neumáticas]],
    COUNTIF(Herramientas_de_medición2064[Herramientas_de_medición], B60) &gt; 0, Herramientas_de_medición2064[[#Headers],[Herramientas_de_medición]],
    COUNTIF(Herrramientas_mecánicas2165[Herramientas_mecánicas], B60) &gt; 0, Herrramientas_mecánicas2165[[#Headers],[Herramientas_mecánicas]],
    COUNTIF(AK60:AK66, B60) &gt; 0, Herramientas_hidráulicas2266[[#Headers],[Herramientas_hidráulicas]],
    COUNTIF(EPP_2367[SPCC], B60) &gt; 0, EPP_2367[[#Headers],[SPCC]],
   COUNTIF(Herramientas_de_izaje2468[Herramientas_de_izaje], B60) &gt; 0, Herramientas_de_izaje2468[[#Headers],[Herramientas_de_izaje]],
COUNTIF(Tabla162670[Equipos], B60) &gt; 0, Tabla162670[[#Headers],[Equipos]],
    TRUE, "Sin clasificación"
)</f>
        <v>Herramientas_eléctricas</v>
      </c>
      <c r="F60" s="15"/>
      <c r="G60" s="15" t="s">
        <v>796</v>
      </c>
      <c r="H60" s="47" t="s">
        <v>797</v>
      </c>
      <c r="I60" s="87"/>
      <c r="J60" s="78"/>
      <c r="K60" s="78"/>
      <c r="L60" s="78"/>
      <c r="M60" s="78"/>
      <c r="N60" t="s">
        <v>850</v>
      </c>
      <c r="O60" s="47"/>
      <c r="P60" s="47" t="str">
        <f>_xlfn.LET(
    _xlpm.itemBuscado, B60,
    _xlpm.areaBuscada, C60,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TEXT(COUNTIF($C$2:C60, _xlpm.areaBuscada), "0000"),
    _xlpm.codItem &amp; "-" &amp; _xlpm.codArea &amp; "-" &amp; _xlpm.secuencia
)</f>
        <v>ZE-AM-FI-0003</v>
      </c>
      <c r="R60" s="15"/>
      <c r="T60" s="48"/>
      <c r="AI60" t="s">
        <v>62</v>
      </c>
    </row>
    <row r="61" spans="1:45" x14ac:dyDescent="0.3">
      <c r="B61" t="s">
        <v>23</v>
      </c>
      <c r="C61" s="11" t="s">
        <v>174</v>
      </c>
      <c r="E61" s="11" t="str" cm="1">
        <f t="array" ref="E61">_xlfn.IFS(
    COUNTIF(Herramientas_eléctricas1862[Herramientas_eléctricas], B61) &gt; 0, Herramientas_eléctricas1862[[#Headers],[Herramientas_eléctricas]],
    COUNTIF(Herramientas_neumáticas1963[Herramientas_neumáticas], B61) &gt; 0, Herramientas_neumáticas1963[[#Headers],[Herramientas_neumáticas]],
    COUNTIF(Herramientas_de_medición2064[Herramientas_de_medición], B61) &gt; 0, Herramientas_de_medición2064[[#Headers],[Herramientas_de_medición]],
    COUNTIF(Herrramientas_mecánicas2165[Herramientas_mecánicas], B61) &gt; 0, Herrramientas_mecánicas2165[[#Headers],[Herramientas_mecánicas]],
    COUNTIF(AK61:AK67, B61) &gt; 0, Herramientas_hidráulicas2266[[#Headers],[Herramientas_hidráulicas]],
    COUNTIF(EPP_2367[SPCC], B61) &gt; 0, EPP_2367[[#Headers],[SPCC]],
   COUNTIF(Herramientas_de_izaje2468[Herramientas_de_izaje], B61) &gt; 0, Herramientas_de_izaje2468[[#Headers],[Herramientas_de_izaje]],
COUNTIF(Tabla162670[Equipos], B61) &gt; 0, Tabla162670[[#Headers],[Equipos]],
    TRUE, "Sin clasificación"
)</f>
        <v>Herramientas_eléctricas</v>
      </c>
      <c r="F61" s="15"/>
      <c r="G61" s="15" t="s">
        <v>796</v>
      </c>
      <c r="H61" s="47" t="s">
        <v>797</v>
      </c>
      <c r="I61" s="87"/>
      <c r="J61" s="78"/>
      <c r="K61" s="78"/>
      <c r="L61" s="78"/>
      <c r="M61" s="78"/>
      <c r="N61" t="s">
        <v>852</v>
      </c>
      <c r="O61" s="47"/>
      <c r="P61" s="47" t="str">
        <f>_xlfn.LET(
    _xlpm.itemBuscado, B61,
    _xlpm.areaBuscada, C61,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TEXT(COUNTIF($C$2:C61, _xlpm.areaBuscada), "0000"),
    _xlpm.codItem &amp; "-" &amp; _xlpm.codArea &amp; "-" &amp; _xlpm.secuencia
)</f>
        <v>ZE-AM-FI-0004</v>
      </c>
      <c r="R61" s="15"/>
      <c r="T61" s="48"/>
      <c r="AI61" s="70" t="s">
        <v>304</v>
      </c>
      <c r="AJ61" t="s">
        <v>305</v>
      </c>
    </row>
    <row r="62" spans="1:45" x14ac:dyDescent="0.3">
      <c r="B62" t="s">
        <v>23</v>
      </c>
      <c r="C62" s="11" t="s">
        <v>174</v>
      </c>
      <c r="E62" s="11" t="str" cm="1">
        <f t="array" ref="E62">_xlfn.IFS(
    COUNTIF(Herramientas_eléctricas1862[Herramientas_eléctricas], B62) &gt; 0, Herramientas_eléctricas1862[[#Headers],[Herramientas_eléctricas]],
    COUNTIF(Herramientas_neumáticas1963[Herramientas_neumáticas], B62) &gt; 0, Herramientas_neumáticas1963[[#Headers],[Herramientas_neumáticas]],
    COUNTIF(Herramientas_de_medición2064[Herramientas_de_medición], B62) &gt; 0, Herramientas_de_medición2064[[#Headers],[Herramientas_de_medición]],
    COUNTIF(Herrramientas_mecánicas2165[Herramientas_mecánicas], B62) &gt; 0, Herrramientas_mecánicas2165[[#Headers],[Herramientas_mecánicas]],
    COUNTIF(AK62:AK68, B62) &gt; 0, Herramientas_hidráulicas2266[[#Headers],[Herramientas_hidráulicas]],
    COUNTIF(EPP_2367[SPCC], B62) &gt; 0, EPP_2367[[#Headers],[SPCC]],
   COUNTIF(Herramientas_de_izaje2468[Herramientas_de_izaje], B62) &gt; 0, Herramientas_de_izaje2468[[#Headers],[Herramientas_de_izaje]],
COUNTIF(Tabla162670[Equipos], B62) &gt; 0, Tabla162670[[#Headers],[Equipos]],
    TRUE, "Sin clasificación"
)</f>
        <v>Herramientas_eléctricas</v>
      </c>
      <c r="F62" s="15"/>
      <c r="G62" s="15" t="s">
        <v>572</v>
      </c>
      <c r="H62" s="47"/>
      <c r="I62" s="87"/>
      <c r="J62" s="78"/>
      <c r="K62" s="78"/>
      <c r="L62" s="78"/>
      <c r="M62" s="78"/>
      <c r="N62" t="s">
        <v>853</v>
      </c>
      <c r="O62" s="47"/>
      <c r="P62" s="47" t="str">
        <f>_xlfn.LET(
    _xlpm.itemBuscado, B62,
    _xlpm.areaBuscada, C62,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TEXT(COUNTIF($C$2:C62, _xlpm.areaBuscada), "0000"),
    _xlpm.codItem &amp; "-" &amp; _xlpm.codArea &amp; "-" &amp; _xlpm.secuencia
)</f>
        <v>ZE-AM-FI-0005</v>
      </c>
      <c r="R62" s="15"/>
      <c r="T62" s="48"/>
      <c r="AG62" t="s">
        <v>64</v>
      </c>
      <c r="AJ62" t="s">
        <v>306</v>
      </c>
    </row>
    <row r="63" spans="1:45" x14ac:dyDescent="0.3">
      <c r="B63" t="s">
        <v>23</v>
      </c>
      <c r="C63" s="11" t="s">
        <v>174</v>
      </c>
      <c r="E63" s="11" t="str" cm="1">
        <f t="array" ref="E63">_xlfn.IFS(
    COUNTIF(Herramientas_eléctricas1862[Herramientas_eléctricas], B63) &gt; 0, Herramientas_eléctricas1862[[#Headers],[Herramientas_eléctricas]],
    COUNTIF(Herramientas_neumáticas1963[Herramientas_neumáticas], B63) &gt; 0, Herramientas_neumáticas1963[[#Headers],[Herramientas_neumáticas]],
    COUNTIF(Herramientas_de_medición2064[Herramientas_de_medición], B63) &gt; 0, Herramientas_de_medición2064[[#Headers],[Herramientas_de_medición]],
    COUNTIF(Herrramientas_mecánicas2165[Herramientas_mecánicas], B63) &gt; 0, Herrramientas_mecánicas2165[[#Headers],[Herramientas_mecánicas]],
    COUNTIF(AK63:AK69, B63) &gt; 0, Herramientas_hidráulicas2266[[#Headers],[Herramientas_hidráulicas]],
    COUNTIF(EPP_2367[SPCC], B63) &gt; 0, EPP_2367[[#Headers],[SPCC]],
   COUNTIF(Herramientas_de_izaje2468[Herramientas_de_izaje], B63) &gt; 0, Herramientas_de_izaje2468[[#Headers],[Herramientas_de_izaje]],
COUNTIF(Tabla162670[Equipos], B63) &gt; 0, Tabla162670[[#Headers],[Equipos]],
    TRUE, "Sin clasificación"
)</f>
        <v>Herramientas_eléctricas</v>
      </c>
      <c r="F63" s="15"/>
      <c r="G63" s="15" t="s">
        <v>572</v>
      </c>
      <c r="H63" s="47" t="s">
        <v>855</v>
      </c>
      <c r="I63" s="87"/>
      <c r="J63" s="78"/>
      <c r="K63" s="78">
        <v>1200</v>
      </c>
      <c r="L63" s="78">
        <v>220</v>
      </c>
      <c r="M63" s="78" t="s">
        <v>856</v>
      </c>
      <c r="N63" t="s">
        <v>854</v>
      </c>
      <c r="O63" s="47">
        <v>52105757</v>
      </c>
      <c r="P63" s="47" t="str">
        <f>_xlfn.LET(
    _xlpm.itemBuscado, B63,
    _xlpm.areaBuscada, C63,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TEXT(COUNTIF($C$2:C63, _xlpm.areaBuscada), "0000"),
    _xlpm.codItem &amp; "-" &amp; _xlpm.codArea &amp; "-" &amp; _xlpm.secuencia
)</f>
        <v>ZE-AM-FI-0006</v>
      </c>
      <c r="R63" s="15"/>
      <c r="T63" s="48"/>
      <c r="AG63" s="75" t="s">
        <v>307</v>
      </c>
      <c r="AI63" t="s">
        <v>89</v>
      </c>
    </row>
    <row r="64" spans="1:45" ht="28.8" x14ac:dyDescent="0.3">
      <c r="B64" t="s">
        <v>23</v>
      </c>
      <c r="C64" s="11" t="s">
        <v>174</v>
      </c>
      <c r="E64" s="11" t="str" cm="1">
        <f t="array" ref="E64">_xlfn.IFS(
    COUNTIF(Herramientas_eléctricas1862[Herramientas_eléctricas], B64) &gt; 0, Herramientas_eléctricas1862[[#Headers],[Herramientas_eléctricas]],
    COUNTIF(Herramientas_neumáticas1963[Herramientas_neumáticas], B64) &gt; 0, Herramientas_neumáticas1963[[#Headers],[Herramientas_neumáticas]],
    COUNTIF(Herramientas_de_medición2064[Herramientas_de_medición], B64) &gt; 0, Herramientas_de_medición2064[[#Headers],[Herramientas_de_medición]],
    COUNTIF(Herrramientas_mecánicas2165[Herramientas_mecánicas], B64) &gt; 0, Herrramientas_mecánicas2165[[#Headers],[Herramientas_mecánicas]],
    COUNTIF(AK64:AK70, B64) &gt; 0, Herramientas_hidráulicas2266[[#Headers],[Herramientas_hidráulicas]],
    COUNTIF(EPP_2367[SPCC], B64) &gt; 0, EPP_2367[[#Headers],[SPCC]],
   COUNTIF(Herramientas_de_izaje2468[Herramientas_de_izaje], B64) &gt; 0, Herramientas_de_izaje2468[[#Headers],[Herramientas_de_izaje]],
COUNTIF(Tabla162670[Equipos], B64) &gt; 0, Tabla162670[[#Headers],[Equipos]],
    TRUE, "Sin clasificación"
)</f>
        <v>Herramientas_eléctricas</v>
      </c>
      <c r="F64" s="15"/>
      <c r="G64" s="15" t="s">
        <v>572</v>
      </c>
      <c r="H64" s="47" t="s">
        <v>857</v>
      </c>
      <c r="I64" s="87"/>
      <c r="J64" s="78"/>
      <c r="K64" s="78"/>
      <c r="L64" s="78"/>
      <c r="M64" s="78"/>
      <c r="N64" t="s">
        <v>858</v>
      </c>
      <c r="O64" s="47"/>
      <c r="P64" s="47" t="str">
        <f>_xlfn.LET(
    _xlpm.itemBuscado, B64,
    _xlpm.areaBuscada, C64,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TEXT(COUNTIF($C$2:C64, _xlpm.areaBuscada), "0000"),
    _xlpm.codItem &amp; "-" &amp; _xlpm.codArea &amp; "-" &amp; _xlpm.secuencia
)</f>
        <v>ZE-AM-FI-0007</v>
      </c>
      <c r="R64" s="15"/>
      <c r="T64" s="48"/>
      <c r="AG64" s="70" t="s">
        <v>308</v>
      </c>
      <c r="AI64" s="12" t="s">
        <v>309</v>
      </c>
      <c r="AJ64" t="s">
        <v>102</v>
      </c>
    </row>
    <row r="65" spans="2:36" x14ac:dyDescent="0.3">
      <c r="B65" t="s">
        <v>23</v>
      </c>
      <c r="C65" s="11" t="s">
        <v>174</v>
      </c>
      <c r="E65" s="11" t="str" cm="1">
        <f t="array" ref="E65">_xlfn.IFS(
    COUNTIF(Herramientas_eléctricas1862[Herramientas_eléctricas], B65) &gt; 0, Herramientas_eléctricas1862[[#Headers],[Herramientas_eléctricas]],
    COUNTIF(Herramientas_neumáticas1963[Herramientas_neumáticas], B65) &gt; 0, Herramientas_neumáticas1963[[#Headers],[Herramientas_neumáticas]],
    COUNTIF(Herramientas_de_medición2064[Herramientas_de_medición], B65) &gt; 0, Herramientas_de_medición2064[[#Headers],[Herramientas_de_medición]],
    COUNTIF(Herrramientas_mecánicas2165[Herramientas_mecánicas], B65) &gt; 0, Herrramientas_mecánicas2165[[#Headers],[Herramientas_mecánicas]],
    COUNTIF(AK65:AK71, B65) &gt; 0, Herramientas_hidráulicas2266[[#Headers],[Herramientas_hidráulicas]],
    COUNTIF(EPP_2367[SPCC], B65) &gt; 0, EPP_2367[[#Headers],[SPCC]],
   COUNTIF(Herramientas_de_izaje2468[Herramientas_de_izaje], B65) &gt; 0, Herramientas_de_izaje2468[[#Headers],[Herramientas_de_izaje]],
COUNTIF(Tabla162670[Equipos], B65) &gt; 0, Tabla162670[[#Headers],[Equipos]],
    TRUE, "Sin clasificación"
)</f>
        <v>Herramientas_eléctricas</v>
      </c>
      <c r="F65" s="15"/>
      <c r="G65" s="15" t="s">
        <v>572</v>
      </c>
      <c r="H65" s="47" t="s">
        <v>806</v>
      </c>
      <c r="I65" s="87"/>
      <c r="J65" s="78">
        <v>180</v>
      </c>
      <c r="K65" s="78">
        <v>2400</v>
      </c>
      <c r="L65" s="78">
        <v>220</v>
      </c>
      <c r="M65" s="78">
        <v>8500</v>
      </c>
      <c r="N65" t="s">
        <v>859</v>
      </c>
      <c r="O65" s="47">
        <v>908320182</v>
      </c>
      <c r="P65" s="47" t="str">
        <f>_xlfn.LET(
    _xlpm.itemBuscado, B65,
    _xlpm.areaBuscada, C65,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TEXT(COUNTIF($C$2:C65, _xlpm.areaBuscada), "0000"),
    _xlpm.codItem &amp; "-" &amp; _xlpm.codArea &amp; "-" &amp; _xlpm.secuencia
)</f>
        <v>ZE-AM-FI-0008</v>
      </c>
      <c r="R65" s="15"/>
      <c r="T65" s="48"/>
      <c r="AJ65" t="s">
        <v>310</v>
      </c>
    </row>
    <row r="66" spans="2:36" x14ac:dyDescent="0.3">
      <c r="B66" t="s">
        <v>23</v>
      </c>
      <c r="C66" s="11" t="s">
        <v>174</v>
      </c>
      <c r="E66" s="11" t="str" cm="1">
        <f t="array" ref="E66">_xlfn.IFS(
    COUNTIF(Herramientas_eléctricas1862[Herramientas_eléctricas], B66) &gt; 0, Herramientas_eléctricas1862[[#Headers],[Herramientas_eléctricas]],
    COUNTIF(Herramientas_neumáticas1963[Herramientas_neumáticas], B66) &gt; 0, Herramientas_neumáticas1963[[#Headers],[Herramientas_neumáticas]],
    COUNTIF(Herramientas_de_medición2064[Herramientas_de_medición], B66) &gt; 0, Herramientas_de_medición2064[[#Headers],[Herramientas_de_medición]],
    COUNTIF(Herrramientas_mecánicas2165[Herramientas_mecánicas], B66) &gt; 0, Herrramientas_mecánicas2165[[#Headers],[Herramientas_mecánicas]],
    COUNTIF(AK66:AK72, B66) &gt; 0, Herramientas_hidráulicas2266[[#Headers],[Herramientas_hidráulicas]],
    COUNTIF(EPP_2367[SPCC], B66) &gt; 0, EPP_2367[[#Headers],[SPCC]],
   COUNTIF(Herramientas_de_izaje2468[Herramientas_de_izaje], B66) &gt; 0, Herramientas_de_izaje2468[[#Headers],[Herramientas_de_izaje]],
COUNTIF(Tabla162670[Equipos], B66) &gt; 0, Tabla162670[[#Headers],[Equipos]],
    TRUE, "Sin clasificación"
)</f>
        <v>Herramientas_eléctricas</v>
      </c>
      <c r="F66" s="15"/>
      <c r="G66" s="15" t="s">
        <v>572</v>
      </c>
      <c r="H66" s="47" t="s">
        <v>813</v>
      </c>
      <c r="I66" s="87">
        <v>12</v>
      </c>
      <c r="J66" s="78">
        <v>180</v>
      </c>
      <c r="K66" s="78">
        <v>2500</v>
      </c>
      <c r="L66" s="78">
        <v>220</v>
      </c>
      <c r="M66" s="78">
        <v>8500</v>
      </c>
      <c r="N66" t="s">
        <v>860</v>
      </c>
      <c r="O66" s="47">
        <v>125190624</v>
      </c>
      <c r="P66" s="47" t="str">
        <f>_xlfn.LET(
    _xlpm.itemBuscado, B66,
    _xlpm.areaBuscada, C66,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TEXT(COUNTIF($C$2:C66, _xlpm.areaBuscada), "0000"),
    _xlpm.codItem &amp; "-" &amp; _xlpm.codArea &amp; "-" &amp; _xlpm.secuencia
)</f>
        <v>ZE-AM-FI-0009</v>
      </c>
      <c r="R66" s="15"/>
      <c r="T66" s="48"/>
      <c r="AG66" t="s">
        <v>101</v>
      </c>
      <c r="AI66" s="34" t="s">
        <v>73</v>
      </c>
    </row>
    <row r="67" spans="2:36" x14ac:dyDescent="0.3">
      <c r="B67" t="s">
        <v>23</v>
      </c>
      <c r="C67" s="11" t="s">
        <v>174</v>
      </c>
      <c r="E67" s="11" t="str" cm="1">
        <f t="array" ref="E67">_xlfn.IFS(
    COUNTIF(Herramientas_eléctricas1862[Herramientas_eléctricas], B67) &gt; 0, Herramientas_eléctricas1862[[#Headers],[Herramientas_eléctricas]],
    COUNTIF(Herramientas_neumáticas1963[Herramientas_neumáticas], B67) &gt; 0, Herramientas_neumáticas1963[[#Headers],[Herramientas_neumáticas]],
    COUNTIF(Herramientas_de_medición2064[Herramientas_de_medición], B67) &gt; 0, Herramientas_de_medición2064[[#Headers],[Herramientas_de_medición]],
    COUNTIF(Herrramientas_mecánicas2165[Herramientas_mecánicas], B67) &gt; 0, Herrramientas_mecánicas2165[[#Headers],[Herramientas_mecánicas]],
    COUNTIF(AK67:AK73, B67) &gt; 0, Herramientas_hidráulicas2266[[#Headers],[Herramientas_hidráulicas]],
    COUNTIF(EPP_2367[SPCC], B67) &gt; 0, EPP_2367[[#Headers],[SPCC]],
   COUNTIF(Herramientas_de_izaje2468[Herramientas_de_izaje], B67) &gt; 0, Herramientas_de_izaje2468[[#Headers],[Herramientas_de_izaje]],
COUNTIF(Tabla162670[Equipos], B67) &gt; 0, Tabla162670[[#Headers],[Equipos]],
    TRUE, "Sin clasificación"
)</f>
        <v>Herramientas_eléctricas</v>
      </c>
      <c r="F67" s="15"/>
      <c r="G67" s="15" t="s">
        <v>572</v>
      </c>
      <c r="H67" s="47" t="s">
        <v>806</v>
      </c>
      <c r="I67" s="87"/>
      <c r="J67" s="78"/>
      <c r="K67" s="78"/>
      <c r="L67" s="78"/>
      <c r="M67" s="78"/>
      <c r="N67" t="s">
        <v>861</v>
      </c>
      <c r="O67" s="47"/>
      <c r="P67" s="47" t="str">
        <f>_xlfn.LET(
    _xlpm.itemBuscado, B67,
    _xlpm.areaBuscada, C67,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TEXT(COUNTIF($C$2:C67, _xlpm.areaBuscada), "0000"),
    _xlpm.codItem &amp; "-" &amp; _xlpm.codArea &amp; "-" &amp; _xlpm.secuencia
)</f>
        <v>ZE-AM-FI-0010</v>
      </c>
      <c r="R67" s="15"/>
      <c r="T67" s="48"/>
      <c r="AG67" t="s">
        <v>311</v>
      </c>
      <c r="AI67" s="22" t="s">
        <v>312</v>
      </c>
      <c r="AJ67" t="s">
        <v>313</v>
      </c>
    </row>
    <row r="68" spans="2:36" ht="43.2" x14ac:dyDescent="0.3">
      <c r="B68" t="s">
        <v>23</v>
      </c>
      <c r="C68" s="11" t="s">
        <v>181</v>
      </c>
      <c r="E68" s="11" t="str" cm="1">
        <f t="array" ref="E68">_xlfn.IFS(
    COUNTIF(Herramientas_eléctricas1862[Herramientas_eléctricas], B68) &gt; 0, Herramientas_eléctricas1862[[#Headers],[Herramientas_eléctricas]],
    COUNTIF(Herramientas_neumáticas1963[Herramientas_neumáticas], B68) &gt; 0, Herramientas_neumáticas1963[[#Headers],[Herramientas_neumáticas]],
    COUNTIF(Herramientas_de_medición2064[Herramientas_de_medición], B68) &gt; 0, Herramientas_de_medición2064[[#Headers],[Herramientas_de_medición]],
    COUNTIF(Herrramientas_mecánicas2165[Herramientas_mecánicas], B68) &gt; 0, Herrramientas_mecánicas2165[[#Headers],[Herramientas_mecánicas]],
    COUNTIF(AK68:AK74, B68) &gt; 0, Herramientas_hidráulicas2266[[#Headers],[Herramientas_hidráulicas]],
    COUNTIF(EPP_2367[SPCC], B68) &gt; 0, EPP_2367[[#Headers],[SPCC]],
   COUNTIF(Herramientas_de_izaje2468[Herramientas_de_izaje], B68) &gt; 0, Herramientas_de_izaje2468[[#Headers],[Herramientas_de_izaje]],
COUNTIF(Tabla162670[Equipos], B68) &gt; 0, Tabla162670[[#Headers],[Equipos]],
    TRUE, "Sin clasificación"
)</f>
        <v>Herramientas_eléctricas</v>
      </c>
      <c r="F68" s="15"/>
      <c r="G68" s="15" t="s">
        <v>572</v>
      </c>
      <c r="H68" s="47" t="s">
        <v>650</v>
      </c>
      <c r="I68" s="87"/>
      <c r="J68" s="78">
        <v>125</v>
      </c>
      <c r="K68" s="78">
        <v>1200</v>
      </c>
      <c r="L68" s="78">
        <v>220</v>
      </c>
      <c r="M68" s="78">
        <v>11000</v>
      </c>
      <c r="N68" t="s">
        <v>873</v>
      </c>
      <c r="O68" s="47">
        <v>52106721201</v>
      </c>
      <c r="P68" s="47" t="str">
        <f>_xlfn.LET(
    _xlpm.itemBuscado, B68,
    _xlpm.areaBuscada, C68,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TEXT(COUNTIF($C$2:C68, _xlpm.areaBuscada), "0000"),
    _xlpm.codItem &amp; "-" &amp; _xlpm.codArea &amp; "-" &amp; _xlpm.secuencia
)</f>
        <v>ZE-AM-RH-0001</v>
      </c>
      <c r="R68" s="15"/>
      <c r="T68" s="48"/>
      <c r="AJ68" s="21" t="s">
        <v>314</v>
      </c>
    </row>
    <row r="69" spans="2:36" ht="43.2" x14ac:dyDescent="0.3">
      <c r="B69" t="s">
        <v>23</v>
      </c>
      <c r="C69" s="11" t="s">
        <v>181</v>
      </c>
      <c r="E69" s="11" t="str" cm="1">
        <f t="array" ref="E69">_xlfn.IFS(
    COUNTIF(Herramientas_eléctricas1862[Herramientas_eléctricas], B69) &gt; 0, Herramientas_eléctricas1862[[#Headers],[Herramientas_eléctricas]],
    COUNTIF(Herramientas_neumáticas1963[Herramientas_neumáticas], B69) &gt; 0, Herramientas_neumáticas1963[[#Headers],[Herramientas_neumáticas]],
    COUNTIF(Herramientas_de_medición2064[Herramientas_de_medición], B69) &gt; 0, Herramientas_de_medición2064[[#Headers],[Herramientas_de_medición]],
    COUNTIF(Herrramientas_mecánicas2165[Herramientas_mecánicas], B69) &gt; 0, Herrramientas_mecánicas2165[[#Headers],[Herramientas_mecánicas]],
    COUNTIF(AK69:AK75, B69) &gt; 0, Herramientas_hidráulicas2266[[#Headers],[Herramientas_hidráulicas]],
    COUNTIF(EPP_2367[SPCC], B69) &gt; 0, EPP_2367[[#Headers],[SPCC]],
   COUNTIF(Herramientas_de_izaje2468[Herramientas_de_izaje], B69) &gt; 0, Herramientas_de_izaje2468[[#Headers],[Herramientas_de_izaje]],
COUNTIF(Tabla162670[Equipos], B69) &gt; 0, Tabla162670[[#Headers],[Equipos]],
    TRUE, "Sin clasificación"
)</f>
        <v>Herramientas_eléctricas</v>
      </c>
      <c r="F69" s="15"/>
      <c r="G69" s="15" t="s">
        <v>572</v>
      </c>
      <c r="H69" s="47" t="s">
        <v>789</v>
      </c>
      <c r="I69" s="87"/>
      <c r="J69" s="78">
        <v>180</v>
      </c>
      <c r="K69" s="78"/>
      <c r="L69" s="78">
        <v>220</v>
      </c>
      <c r="M69" s="78">
        <v>8500</v>
      </c>
      <c r="N69" s="47" t="s">
        <v>874</v>
      </c>
      <c r="O69">
        <v>429380522</v>
      </c>
      <c r="P69" s="47" t="str">
        <f>_xlfn.LET(
    _xlpm.itemBuscado, B69,
    _xlpm.areaBuscada, C69,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TEXT(COUNTIF($C$2:C69, _xlpm.areaBuscada), "0000"),
    _xlpm.codItem &amp; "-" &amp; _xlpm.codArea &amp; "-" &amp; _xlpm.secuencia
)</f>
        <v>ZE-AM-RH-0002</v>
      </c>
      <c r="R69" s="15"/>
      <c r="T69" s="48"/>
      <c r="AJ69" s="70" t="s">
        <v>315</v>
      </c>
    </row>
    <row r="70" spans="2:36" x14ac:dyDescent="0.3">
      <c r="B70" t="s">
        <v>23</v>
      </c>
      <c r="C70" s="11" t="s">
        <v>892</v>
      </c>
      <c r="E70" s="11" t="str" cm="1">
        <f t="array" ref="E70">_xlfn.IFS(
    COUNTIF(Herramientas_eléctricas1862[Herramientas_eléctricas], B70) &gt; 0, Herramientas_eléctricas1862[[#Headers],[Herramientas_eléctricas]],
    COUNTIF(Herramientas_neumáticas1963[Herramientas_neumáticas], B70) &gt; 0, Herramientas_neumáticas1963[[#Headers],[Herramientas_neumáticas]],
    COUNTIF(Herramientas_de_medición2064[Herramientas_de_medición], B70) &gt; 0, Herramientas_de_medición2064[[#Headers],[Herramientas_de_medición]],
    COUNTIF(Herrramientas_mecánicas2165[Herramientas_mecánicas], B70) &gt; 0, Herrramientas_mecánicas2165[[#Headers],[Herramientas_mecánicas]],
    COUNTIF(AK70:AK76, B70) &gt; 0, Herramientas_hidráulicas2266[[#Headers],[Herramientas_hidráulicas]],
    COUNTIF(EPP_2367[SPCC], B70) &gt; 0, EPP_2367[[#Headers],[SPCC]],
   COUNTIF(Herramientas_de_izaje2468[Herramientas_de_izaje], B70) &gt; 0, Herramientas_de_izaje2468[[#Headers],[Herramientas_de_izaje]],
COUNTIF(Tabla162670[Equipos], B70) &gt; 0, Tabla162670[[#Headers],[Equipos]],
    TRUE, "Sin clasificación"
)</f>
        <v>Herramientas_eléctricas</v>
      </c>
      <c r="F70" s="15"/>
      <c r="G70" s="15" t="s">
        <v>572</v>
      </c>
      <c r="H70" s="47" t="s">
        <v>819</v>
      </c>
      <c r="I70" s="87">
        <v>10.5</v>
      </c>
      <c r="J70" s="78">
        <v>180</v>
      </c>
      <c r="K70" s="78"/>
      <c r="L70" s="78">
        <v>220</v>
      </c>
      <c r="M70" s="78">
        <v>8500</v>
      </c>
      <c r="N70" t="s">
        <v>891</v>
      </c>
      <c r="O70" s="47">
        <v>506240069</v>
      </c>
      <c r="P70" s="47" t="str">
        <f>_xlfn.LET(
    _xlpm.itemBuscado, B70,
    _xlpm.areaBuscada, C70,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TEXT(COUNTIF($C$2:C70, _xlpm.areaBuscada), "0000"),
    _xlpm.codItem &amp; "-" &amp; _xlpm.codArea &amp; "-" &amp; _xlpm.secuencia
)</f>
        <v>ZE-AM-VF-0001</v>
      </c>
      <c r="R70" s="15"/>
      <c r="T70" s="48"/>
      <c r="U70" t="s">
        <v>892</v>
      </c>
    </row>
    <row r="71" spans="2:36" x14ac:dyDescent="0.3">
      <c r="B71" t="s">
        <v>23</v>
      </c>
      <c r="C71" s="11" t="s">
        <v>892</v>
      </c>
      <c r="E71" s="11" t="str" cm="1">
        <f t="array" ref="E71">_xlfn.IFS(
    COUNTIF(Herramientas_eléctricas1862[Herramientas_eléctricas], B71) &gt; 0, Herramientas_eléctricas1862[[#Headers],[Herramientas_eléctricas]],
    COUNTIF(Herramientas_neumáticas1963[Herramientas_neumáticas], B71) &gt; 0, Herramientas_neumáticas1963[[#Headers],[Herramientas_neumáticas]],
    COUNTIF(Herramientas_de_medición2064[Herramientas_de_medición], B71) &gt; 0, Herramientas_de_medición2064[[#Headers],[Herramientas_de_medición]],
    COUNTIF(Herrramientas_mecánicas2165[Herramientas_mecánicas], B71) &gt; 0, Herrramientas_mecánicas2165[[#Headers],[Herramientas_mecánicas]],
    COUNTIF(AK71:AK77, B71) &gt; 0, Herramientas_hidráulicas2266[[#Headers],[Herramientas_hidráulicas]],
    COUNTIF(EPP_2367[SPCC], B71) &gt; 0, EPP_2367[[#Headers],[SPCC]],
   COUNTIF(Herramientas_de_izaje2468[Herramientas_de_izaje], B71) &gt; 0, Herramientas_de_izaje2468[[#Headers],[Herramientas_de_izaje]],
COUNTIF(Tabla162670[Equipos], B71) &gt; 0, Tabla162670[[#Headers],[Equipos]],
    TRUE, "Sin clasificación"
)</f>
        <v>Herramientas_eléctricas</v>
      </c>
      <c r="F71" s="15"/>
      <c r="G71" s="15" t="s">
        <v>572</v>
      </c>
      <c r="H71" s="47" t="s">
        <v>819</v>
      </c>
      <c r="I71" s="87"/>
      <c r="J71" s="78"/>
      <c r="K71" s="78"/>
      <c r="L71" s="78"/>
      <c r="M71" s="78"/>
      <c r="O71" s="47"/>
      <c r="P71" s="47" t="str">
        <f>_xlfn.LET(
    _xlpm.itemBuscado, B71,
    _xlpm.areaBuscada, C71,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TEXT(COUNTIF($C$2:C71, _xlpm.areaBuscada), "0000"),
    _xlpm.codItem &amp; "-" &amp; _xlpm.codArea &amp; "-" &amp; _xlpm.secuencia
)</f>
        <v>ZE-AM-VF-0002</v>
      </c>
      <c r="R71" s="15"/>
      <c r="T71" s="48"/>
    </row>
    <row r="72" spans="2:36" x14ac:dyDescent="0.3">
      <c r="B72" t="s">
        <v>23</v>
      </c>
      <c r="C72" s="11" t="s">
        <v>892</v>
      </c>
      <c r="E72" s="11" t="str" cm="1">
        <f t="array" ref="E72">_xlfn.IFS(
    COUNTIF(Herramientas_eléctricas1862[Herramientas_eléctricas], B72) &gt; 0, Herramientas_eléctricas1862[[#Headers],[Herramientas_eléctricas]],
    COUNTIF(Herramientas_neumáticas1963[Herramientas_neumáticas], B72) &gt; 0, Herramientas_neumáticas1963[[#Headers],[Herramientas_neumáticas]],
    COUNTIF(Herramientas_de_medición2064[Herramientas_de_medición], B72) &gt; 0, Herramientas_de_medición2064[[#Headers],[Herramientas_de_medición]],
    COUNTIF(Herrramientas_mecánicas2165[Herramientas_mecánicas], B72) &gt; 0, Herrramientas_mecánicas2165[[#Headers],[Herramientas_mecánicas]],
    COUNTIF(AK72:AK78, B72) &gt; 0, Herramientas_hidráulicas2266[[#Headers],[Herramientas_hidráulicas]],
    COUNTIF(EPP_2367[SPCC], B72) &gt; 0, EPP_2367[[#Headers],[SPCC]],
   COUNTIF(Herramientas_de_izaje2468[Herramientas_de_izaje], B72) &gt; 0, Herramientas_de_izaje2468[[#Headers],[Herramientas_de_izaje]],
COUNTIF(Tabla162670[Equipos], B72) &gt; 0, Tabla162670[[#Headers],[Equipos]],
    TRUE, "Sin clasificación"
)</f>
        <v>Herramientas_eléctricas</v>
      </c>
      <c r="F72" s="15"/>
      <c r="G72" s="15" t="s">
        <v>587</v>
      </c>
      <c r="H72" s="47" t="s">
        <v>902</v>
      </c>
      <c r="I72" s="87"/>
      <c r="J72" s="78">
        <v>180</v>
      </c>
      <c r="K72" s="78"/>
      <c r="L72" s="78">
        <v>220</v>
      </c>
      <c r="M72" s="78">
        <v>8500</v>
      </c>
      <c r="N72" t="s">
        <v>903</v>
      </c>
      <c r="O72" s="47">
        <v>11811</v>
      </c>
      <c r="P72" s="47" t="str">
        <f>_xlfn.LET(
    _xlpm.itemBuscado, B72,
    _xlpm.areaBuscada, C72,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TEXT(COUNTIF($C$2:C72, _xlpm.areaBuscada), "0000"),
    _xlpm.codItem &amp; "-" &amp; _xlpm.codArea &amp; "-" &amp; _xlpm.secuencia
)</f>
        <v>ZE-AM-VF-0003</v>
      </c>
      <c r="R72" s="15"/>
      <c r="T72" s="48"/>
    </row>
    <row r="73" spans="2:36" x14ac:dyDescent="0.3">
      <c r="B73" t="s">
        <v>23</v>
      </c>
      <c r="C73" s="11" t="s">
        <v>892</v>
      </c>
      <c r="E73" s="11" t="str" cm="1">
        <f t="array" ref="E73">_xlfn.IFS(
    COUNTIF(Herramientas_eléctricas1862[Herramientas_eléctricas], B73) &gt; 0, Herramientas_eléctricas1862[[#Headers],[Herramientas_eléctricas]],
    COUNTIF(Herramientas_neumáticas1963[Herramientas_neumáticas], B73) &gt; 0, Herramientas_neumáticas1963[[#Headers],[Herramientas_neumáticas]],
    COUNTIF(Herramientas_de_medición2064[Herramientas_de_medición], B73) &gt; 0, Herramientas_de_medición2064[[#Headers],[Herramientas_de_medición]],
    COUNTIF(Herrramientas_mecánicas2165[Herramientas_mecánicas], B73) &gt; 0, Herrramientas_mecánicas2165[[#Headers],[Herramientas_mecánicas]],
    COUNTIF(AK73:AK79, B73) &gt; 0, Herramientas_hidráulicas2266[[#Headers],[Herramientas_hidráulicas]],
    COUNTIF(EPP_2367[SPCC], B73) &gt; 0, EPP_2367[[#Headers],[SPCC]],
   COUNTIF(Herramientas_de_izaje2468[Herramientas_de_izaje], B73) &gt; 0, Herramientas_de_izaje2468[[#Headers],[Herramientas_de_izaje]],
COUNTIF(Tabla162670[Equipos], B73) &gt; 0, Tabla162670[[#Headers],[Equipos]],
    TRUE, "Sin clasificación"
)</f>
        <v>Herramientas_eléctricas</v>
      </c>
      <c r="F73" s="15"/>
      <c r="G73" s="15" t="s">
        <v>572</v>
      </c>
      <c r="H73" s="47" t="s">
        <v>904</v>
      </c>
      <c r="I73" s="87"/>
      <c r="J73" s="78"/>
      <c r="K73" s="78"/>
      <c r="L73" s="78"/>
      <c r="M73" s="78"/>
      <c r="N73" t="s">
        <v>905</v>
      </c>
      <c r="O73" s="47"/>
      <c r="P73" s="47" t="str">
        <f>_xlfn.LET(
    _xlpm.itemBuscado, B73,
    _xlpm.areaBuscada, C73,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TEXT(COUNTIF($C$2:C73, _xlpm.areaBuscada), "0000"),
    _xlpm.codItem &amp; "-" &amp; _xlpm.codArea &amp; "-" &amp; _xlpm.secuencia
)</f>
        <v>ZE-AM-VF-0004</v>
      </c>
      <c r="R73" s="15"/>
      <c r="T73" s="48"/>
    </row>
    <row r="74" spans="2:36" x14ac:dyDescent="0.3">
      <c r="B74" t="s">
        <v>23</v>
      </c>
      <c r="C74" s="11" t="s">
        <v>892</v>
      </c>
      <c r="E74" s="11" t="str" cm="1">
        <f t="array" ref="E74">_xlfn.IFS(
    COUNTIF(Herramientas_eléctricas1862[Herramientas_eléctricas], B74) &gt; 0, Herramientas_eléctricas1862[[#Headers],[Herramientas_eléctricas]],
    COUNTIF(Herramientas_neumáticas1963[Herramientas_neumáticas], B74) &gt; 0, Herramientas_neumáticas1963[[#Headers],[Herramientas_neumáticas]],
    COUNTIF(Herramientas_de_medición2064[Herramientas_de_medición], B74) &gt; 0, Herramientas_de_medición2064[[#Headers],[Herramientas_de_medición]],
    COUNTIF(Herrramientas_mecánicas2165[Herramientas_mecánicas], B74) &gt; 0, Herrramientas_mecánicas2165[[#Headers],[Herramientas_mecánicas]],
    COUNTIF(AK74:AK80, B74) &gt; 0, Herramientas_hidráulicas2266[[#Headers],[Herramientas_hidráulicas]],
    COUNTIF(EPP_2367[SPCC], B74) &gt; 0, EPP_2367[[#Headers],[SPCC]],
   COUNTIF(Herramientas_de_izaje2468[Herramientas_de_izaje], B74) &gt; 0, Herramientas_de_izaje2468[[#Headers],[Herramientas_de_izaje]],
COUNTIF(Tabla162670[Equipos], B74) &gt; 0, Tabla162670[[#Headers],[Equipos]],
    TRUE, "Sin clasificación"
)</f>
        <v>Herramientas_eléctricas</v>
      </c>
      <c r="F74" s="15"/>
      <c r="G74" s="15" t="s">
        <v>572</v>
      </c>
      <c r="H74" s="47"/>
      <c r="I74" s="87"/>
      <c r="J74" s="78"/>
      <c r="K74" s="78"/>
      <c r="L74" s="78"/>
      <c r="M74" s="78"/>
      <c r="O74" s="47"/>
      <c r="P74" s="47" t="str">
        <f>_xlfn.LET(
    _xlpm.itemBuscado, B74,
    _xlpm.areaBuscada, C74,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TEXT(COUNTIF($C$2:C74, _xlpm.areaBuscada), "0000"),
    _xlpm.codItem &amp; "-" &amp; _xlpm.codArea &amp; "-" &amp; _xlpm.secuencia
)</f>
        <v>ZE-AM-VF-0005</v>
      </c>
      <c r="R74" s="15"/>
      <c r="T74" s="48"/>
    </row>
    <row r="75" spans="2:36" ht="57.6" x14ac:dyDescent="0.3">
      <c r="B75" t="s">
        <v>23</v>
      </c>
      <c r="C75" s="11" t="s">
        <v>178</v>
      </c>
      <c r="E75" s="11" t="str" cm="1">
        <f t="array" ref="E75">_xlfn.IFS(
    COUNTIF(Herramientas_eléctricas1862[Herramientas_eléctricas], B75) &gt; 0, Herramientas_eléctricas1862[[#Headers],[Herramientas_eléctricas]],
    COUNTIF(Herramientas_neumáticas1963[Herramientas_neumáticas], B75) &gt; 0, Herramientas_neumáticas1963[[#Headers],[Herramientas_neumáticas]],
    COUNTIF(Herramientas_de_medición2064[Herramientas_de_medición], B75) &gt; 0, Herramientas_de_medición2064[[#Headers],[Herramientas_de_medición]],
    COUNTIF(Herrramientas_mecánicas2165[Herramientas_mecánicas], B75) &gt; 0, Herrramientas_mecánicas2165[[#Headers],[Herramientas_mecánicas]],
    COUNTIF(AK75:AK81, B75) &gt; 0, Herramientas_hidráulicas2266[[#Headers],[Herramientas_hidráulicas]],
    COUNTIF(EPP_2367[SPCC], B75) &gt; 0, EPP_2367[[#Headers],[SPCC]],
   COUNTIF(Herramientas_de_izaje2468[Herramientas_de_izaje], B75) &gt; 0, Herramientas_de_izaje2468[[#Headers],[Herramientas_de_izaje]],
COUNTIF(Tabla162670[Equipos], B75) &gt; 0, Tabla162670[[#Headers],[Equipos]],
    TRUE, "Sin clasificación"
)</f>
        <v>Herramientas_eléctricas</v>
      </c>
      <c r="F75" s="15"/>
      <c r="G75" s="15" t="s">
        <v>572</v>
      </c>
      <c r="H75" s="47" t="s">
        <v>907</v>
      </c>
      <c r="I75" s="87"/>
      <c r="J75" s="78">
        <v>125</v>
      </c>
      <c r="K75" s="78"/>
      <c r="L75" s="78">
        <v>220</v>
      </c>
      <c r="M75" s="78">
        <v>11500</v>
      </c>
      <c r="N75" t="s">
        <v>906</v>
      </c>
      <c r="O75" s="47">
        <v>585060358</v>
      </c>
      <c r="P75" s="47" t="str">
        <f>_xlfn.LET(
    _xlpm.itemBuscado, B75,
    _xlpm.areaBuscada, C75,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TEXT(COUNTIF($C$2:C75, _xlpm.areaBuscada), "0000"),
    _xlpm.codItem &amp; "-" &amp; _xlpm.codArea &amp; "-" &amp; _xlpm.secuencia
)</f>
        <v>ZE-AM-TG-0001</v>
      </c>
      <c r="R75" s="15"/>
      <c r="T75" s="48"/>
      <c r="AG75" s="11" t="s">
        <v>316</v>
      </c>
    </row>
    <row r="76" spans="2:36" ht="28.8" x14ac:dyDescent="0.3">
      <c r="B76" t="s">
        <v>23</v>
      </c>
      <c r="C76" s="11" t="s">
        <v>178</v>
      </c>
      <c r="E76" s="11" t="str" cm="1">
        <f t="array" ref="E76">_xlfn.IFS(
    COUNTIF(Herramientas_eléctricas1862[Herramientas_eléctricas], B76) &gt; 0, Herramientas_eléctricas1862[[#Headers],[Herramientas_eléctricas]],
    COUNTIF(Herramientas_neumáticas1963[Herramientas_neumáticas], B76) &gt; 0, Herramientas_neumáticas1963[[#Headers],[Herramientas_neumáticas]],
    COUNTIF(Herramientas_de_medición2064[Herramientas_de_medición], B76) &gt; 0, Herramientas_de_medición2064[[#Headers],[Herramientas_de_medición]],
    COUNTIF(Herrramientas_mecánicas2165[Herramientas_mecánicas], B76) &gt; 0, Herrramientas_mecánicas2165[[#Headers],[Herramientas_mecánicas]],
    COUNTIF(AK76:AK82, B76) &gt; 0, Herramientas_hidráulicas2266[[#Headers],[Herramientas_hidráulicas]],
    COUNTIF(EPP_2367[SPCC], B76) &gt; 0, EPP_2367[[#Headers],[SPCC]],
   COUNTIF(Herramientas_de_izaje2468[Herramientas_de_izaje], B76) &gt; 0, Herramientas_de_izaje2468[[#Headers],[Herramientas_de_izaje]],
COUNTIF(Tabla162670[Equipos], B76) &gt; 0, Tabla162670[[#Headers],[Equipos]],
    TRUE, "Sin clasificación"
)</f>
        <v>Herramientas_eléctricas</v>
      </c>
      <c r="F76" s="15"/>
      <c r="G76" s="15" t="s">
        <v>572</v>
      </c>
      <c r="H76" s="47"/>
      <c r="I76" s="87"/>
      <c r="J76" s="78"/>
      <c r="K76" s="78"/>
      <c r="L76" s="78"/>
      <c r="M76" s="78"/>
      <c r="N76" t="s">
        <v>906</v>
      </c>
      <c r="O76" s="47"/>
      <c r="P76" s="47" t="str">
        <f>_xlfn.LET(
    _xlpm.itemBuscado, B76,
    _xlpm.areaBuscada, C76,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TEXT(COUNTIF($C$2:C76, _xlpm.areaBuscada), "0000"),
    _xlpm.codItem &amp; "-" &amp; _xlpm.codArea &amp; "-" &amp; _xlpm.secuencia
)</f>
        <v>ZE-AM-TG-0002</v>
      </c>
      <c r="R76" s="15"/>
      <c r="T76" s="48"/>
    </row>
    <row r="77" spans="2:36" ht="28.8" x14ac:dyDescent="0.3">
      <c r="B77" t="s">
        <v>23</v>
      </c>
      <c r="C77" s="11" t="s">
        <v>178</v>
      </c>
      <c r="E77" s="11" t="str" cm="1">
        <f t="array" ref="E77">_xlfn.IFS(
    COUNTIF(Herramientas_eléctricas1862[Herramientas_eléctricas], B77) &gt; 0, Herramientas_eléctricas1862[[#Headers],[Herramientas_eléctricas]],
    COUNTIF(Herramientas_neumáticas1963[Herramientas_neumáticas], B77) &gt; 0, Herramientas_neumáticas1963[[#Headers],[Herramientas_neumáticas]],
    COUNTIF(Herramientas_de_medición2064[Herramientas_de_medición], B77) &gt; 0, Herramientas_de_medición2064[[#Headers],[Herramientas_de_medición]],
    COUNTIF(Herrramientas_mecánicas2165[Herramientas_mecánicas], B77) &gt; 0, Herrramientas_mecánicas2165[[#Headers],[Herramientas_mecánicas]],
    COUNTIF(AK77:AK83, B77) &gt; 0, Herramientas_hidráulicas2266[[#Headers],[Herramientas_hidráulicas]],
    COUNTIF(EPP_2367[SPCC], B77) &gt; 0, EPP_2367[[#Headers],[SPCC]],
   COUNTIF(Herramientas_de_izaje2468[Herramientas_de_izaje], B77) &gt; 0, Herramientas_de_izaje2468[[#Headers],[Herramientas_de_izaje]],
COUNTIF(Tabla162670[Equipos], B77) &gt; 0, Tabla162670[[#Headers],[Equipos]],
    TRUE, "Sin clasificación"
)</f>
        <v>Herramientas_eléctricas</v>
      </c>
      <c r="F77" s="15"/>
      <c r="G77" s="15" t="s">
        <v>572</v>
      </c>
      <c r="H77" s="47" t="s">
        <v>748</v>
      </c>
      <c r="I77" s="87"/>
      <c r="J77" s="78">
        <v>125</v>
      </c>
      <c r="K77" s="78">
        <v>1700</v>
      </c>
      <c r="L77" s="78">
        <v>220</v>
      </c>
      <c r="M77" s="78">
        <v>11500</v>
      </c>
      <c r="N77" t="s">
        <v>918</v>
      </c>
      <c r="O77" s="47"/>
      <c r="P77" s="47" t="str">
        <f>_xlfn.LET(
    _xlpm.itemBuscado, B77,
    _xlpm.areaBuscada, C77,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TEXT(COUNTIF($C$2:C77, _xlpm.areaBuscada), "0000"),
    _xlpm.codItem &amp; "-" &amp; _xlpm.codArea &amp; "-" &amp; _xlpm.secuencia
)</f>
        <v>ZE-AM-TG-0003</v>
      </c>
      <c r="R77" s="15"/>
      <c r="T77" s="48"/>
    </row>
    <row r="78" spans="2:36" ht="28.8" x14ac:dyDescent="0.3">
      <c r="B78" t="s">
        <v>23</v>
      </c>
      <c r="C78" s="11" t="s">
        <v>178</v>
      </c>
      <c r="E78" s="11" t="str" cm="1">
        <f t="array" ref="E78">_xlfn.IFS(
    COUNTIF(Herramientas_eléctricas1862[Herramientas_eléctricas], B78) &gt; 0, Herramientas_eléctricas1862[[#Headers],[Herramientas_eléctricas]],
    COUNTIF(Herramientas_neumáticas1963[Herramientas_neumáticas], B78) &gt; 0, Herramientas_neumáticas1963[[#Headers],[Herramientas_neumáticas]],
    COUNTIF(Herramientas_de_medición2064[Herramientas_de_medición], B78) &gt; 0, Herramientas_de_medición2064[[#Headers],[Herramientas_de_medición]],
    COUNTIF(Herrramientas_mecánicas2165[Herramientas_mecánicas], B78) &gt; 0, Herrramientas_mecánicas2165[[#Headers],[Herramientas_mecánicas]],
    COUNTIF(AK78:AK84, B78) &gt; 0, Herramientas_hidráulicas2266[[#Headers],[Herramientas_hidráulicas]],
    COUNTIF(EPP_2367[SPCC], B78) &gt; 0, EPP_2367[[#Headers],[SPCC]],
   COUNTIF(Herramientas_de_izaje2468[Herramientas_de_izaje], B78) &gt; 0, Herramientas_de_izaje2468[[#Headers],[Herramientas_de_izaje]],
COUNTIF(Tabla162670[Equipos], B78) &gt; 0, Tabla162670[[#Headers],[Equipos]],
    TRUE, "Sin clasificación"
)</f>
        <v>Herramientas_eléctricas</v>
      </c>
      <c r="F78" s="15"/>
      <c r="G78" s="15" t="s">
        <v>572</v>
      </c>
      <c r="H78" s="47"/>
      <c r="I78" s="87"/>
      <c r="J78" s="78"/>
      <c r="K78" s="78"/>
      <c r="L78" s="78"/>
      <c r="M78" s="78"/>
      <c r="N78" t="s">
        <v>908</v>
      </c>
      <c r="O78" s="47"/>
      <c r="P78" s="47" t="str">
        <f>_xlfn.LET(
    _xlpm.itemBuscado, B78,
    _xlpm.areaBuscada, C78,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TEXT(COUNTIF($C$2:C78, _xlpm.areaBuscada), "0000"),
    _xlpm.codItem &amp; "-" &amp; _xlpm.codArea &amp; "-" &amp; _xlpm.secuencia
)</f>
        <v>ZE-AM-TG-0004</v>
      </c>
      <c r="R78" s="15"/>
      <c r="T78" s="48"/>
    </row>
    <row r="79" spans="2:36" ht="28.8" x14ac:dyDescent="0.3">
      <c r="B79" t="s">
        <v>23</v>
      </c>
      <c r="C79" s="11" t="s">
        <v>178</v>
      </c>
      <c r="E79" s="11" t="str" cm="1">
        <f t="array" ref="E79">_xlfn.IFS(
    COUNTIF(Herramientas_eléctricas1862[Herramientas_eléctricas], B79) &gt; 0, Herramientas_eléctricas1862[[#Headers],[Herramientas_eléctricas]],
    COUNTIF(Herramientas_neumáticas1963[Herramientas_neumáticas], B79) &gt; 0, Herramientas_neumáticas1963[[#Headers],[Herramientas_neumáticas]],
    COUNTIF(Herramientas_de_medición2064[Herramientas_de_medición], B79) &gt; 0, Herramientas_de_medición2064[[#Headers],[Herramientas_de_medición]],
    COUNTIF(Herrramientas_mecánicas2165[Herramientas_mecánicas], B79) &gt; 0, Herrramientas_mecánicas2165[[#Headers],[Herramientas_mecánicas]],
    COUNTIF(AK79:AK85, B79) &gt; 0, Herramientas_hidráulicas2266[[#Headers],[Herramientas_hidráulicas]],
    COUNTIF(EPP_2367[SPCC], B79) &gt; 0, EPP_2367[[#Headers],[SPCC]],
   COUNTIF(Herramientas_de_izaje2468[Herramientas_de_izaje], B79) &gt; 0, Herramientas_de_izaje2468[[#Headers],[Herramientas_de_izaje]],
COUNTIF(Tabla162670[Equipos], B79) &gt; 0, Tabla162670[[#Headers],[Equipos]],
    TRUE, "Sin clasificación"
)</f>
        <v>Herramientas_eléctricas</v>
      </c>
      <c r="F79" s="15"/>
      <c r="G79" s="15" t="s">
        <v>611</v>
      </c>
      <c r="H79" s="47" t="s">
        <v>909</v>
      </c>
      <c r="I79" s="87">
        <v>12</v>
      </c>
      <c r="J79" s="78">
        <v>180</v>
      </c>
      <c r="K79" s="78"/>
      <c r="L79" s="78"/>
      <c r="M79" s="78">
        <v>8500</v>
      </c>
      <c r="N79" t="s">
        <v>908</v>
      </c>
      <c r="O79" s="47">
        <v>51545</v>
      </c>
      <c r="P79" s="47" t="str">
        <f>_xlfn.LET(
    _xlpm.itemBuscado, B79,
    _xlpm.areaBuscada, C79,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TEXT(COUNTIF($C$2:C79, _xlpm.areaBuscada), "0000"),
    _xlpm.codItem &amp; "-" &amp; _xlpm.codArea &amp; "-" &amp; _xlpm.secuencia
)</f>
        <v>ZE-AM-TG-0005</v>
      </c>
      <c r="R79" s="15"/>
      <c r="T79" s="48"/>
    </row>
    <row r="80" spans="2:36" ht="28.8" x14ac:dyDescent="0.3">
      <c r="B80" t="s">
        <v>23</v>
      </c>
      <c r="C80" s="11" t="s">
        <v>178</v>
      </c>
      <c r="E80" s="11" t="str" cm="1">
        <f t="array" ref="E80">_xlfn.IFS(
    COUNTIF(Herramientas_eléctricas1862[Herramientas_eléctricas], B80) &gt; 0, Herramientas_eléctricas1862[[#Headers],[Herramientas_eléctricas]],
    COUNTIF(Herramientas_neumáticas1963[Herramientas_neumáticas], B80) &gt; 0, Herramientas_neumáticas1963[[#Headers],[Herramientas_neumáticas]],
    COUNTIF(Herramientas_de_medición2064[Herramientas_de_medición], B80) &gt; 0, Herramientas_de_medición2064[[#Headers],[Herramientas_de_medición]],
    COUNTIF(Herrramientas_mecánicas2165[Herramientas_mecánicas], B80) &gt; 0, Herrramientas_mecánicas2165[[#Headers],[Herramientas_mecánicas]],
    COUNTIF(AK80:AK86, B80) &gt; 0, Herramientas_hidráulicas2266[[#Headers],[Herramientas_hidráulicas]],
    COUNTIF(EPP_2367[SPCC], B80) &gt; 0, EPP_2367[[#Headers],[SPCC]],
   COUNTIF(Herramientas_de_izaje2468[Herramientas_de_izaje], B80) &gt; 0, Herramientas_de_izaje2468[[#Headers],[Herramientas_de_izaje]],
COUNTIF(Tabla162670[Equipos], B80) &gt; 0, Tabla162670[[#Headers],[Equipos]],
    TRUE, "Sin clasificación"
)</f>
        <v>Herramientas_eléctricas</v>
      </c>
      <c r="F80" s="15"/>
      <c r="G80" s="15" t="s">
        <v>611</v>
      </c>
      <c r="H80" s="47" t="s">
        <v>910</v>
      </c>
      <c r="I80" s="87">
        <v>10.5</v>
      </c>
      <c r="J80" s="78">
        <v>180</v>
      </c>
      <c r="K80" s="78">
        <v>2200</v>
      </c>
      <c r="L80" s="78">
        <v>220</v>
      </c>
      <c r="M80" s="78">
        <v>8500</v>
      </c>
      <c r="N80" t="s">
        <v>911</v>
      </c>
      <c r="O80" s="47"/>
      <c r="P80" s="47" t="str">
        <f>_xlfn.LET(
    _xlpm.itemBuscado, B80,
    _xlpm.areaBuscada, C80,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TEXT(COUNTIF($C$2:C80, _xlpm.areaBuscada), "0000"),
    _xlpm.codItem &amp; "-" &amp; _xlpm.codArea &amp; "-" &amp; _xlpm.secuencia
)</f>
        <v>ZE-AM-TG-0006</v>
      </c>
      <c r="R80" s="15"/>
      <c r="T80" s="48"/>
    </row>
    <row r="81" spans="2:20" ht="28.8" x14ac:dyDescent="0.3">
      <c r="B81" t="s">
        <v>23</v>
      </c>
      <c r="C81" s="11" t="s">
        <v>178</v>
      </c>
      <c r="E81" s="11" t="str" cm="1">
        <f t="array" ref="E81">_xlfn.IFS(
    COUNTIF(Herramientas_eléctricas1862[Herramientas_eléctricas], B81) &gt; 0, Herramientas_eléctricas1862[[#Headers],[Herramientas_eléctricas]],
    COUNTIF(Herramientas_neumáticas1963[Herramientas_neumáticas], B81) &gt; 0, Herramientas_neumáticas1963[[#Headers],[Herramientas_neumáticas]],
    COUNTIF(Herramientas_de_medición2064[Herramientas_de_medición], B81) &gt; 0, Herramientas_de_medición2064[[#Headers],[Herramientas_de_medición]],
    COUNTIF(Herrramientas_mecánicas2165[Herramientas_mecánicas], B81) &gt; 0, Herrramientas_mecánicas2165[[#Headers],[Herramientas_mecánicas]],
    COUNTIF(AK81:AK87, B81) &gt; 0, Herramientas_hidráulicas2266[[#Headers],[Herramientas_hidráulicas]],
    COUNTIF(EPP_2367[SPCC], B81) &gt; 0, EPP_2367[[#Headers],[SPCC]],
   COUNTIF(Herramientas_de_izaje2468[Herramientas_de_izaje], B81) &gt; 0, Herramientas_de_izaje2468[[#Headers],[Herramientas_de_izaje]],
COUNTIF(Tabla162670[Equipos], B81) &gt; 0, Tabla162670[[#Headers],[Equipos]],
    TRUE, "Sin clasificación"
)</f>
        <v>Herramientas_eléctricas</v>
      </c>
      <c r="F81" s="15"/>
      <c r="G81" s="15" t="s">
        <v>611</v>
      </c>
      <c r="H81" s="47" t="s">
        <v>909</v>
      </c>
      <c r="I81" s="87">
        <v>12</v>
      </c>
      <c r="J81" s="78">
        <v>180</v>
      </c>
      <c r="K81" s="78">
        <v>2600</v>
      </c>
      <c r="L81" s="78">
        <v>220</v>
      </c>
      <c r="M81" s="78">
        <v>8500</v>
      </c>
      <c r="N81" t="s">
        <v>911</v>
      </c>
      <c r="O81" s="47"/>
      <c r="P81" s="47" t="str">
        <f>_xlfn.LET(
    _xlpm.itemBuscado, B81,
    _xlpm.areaBuscada, C81,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TEXT(COUNTIF($C$2:C81, _xlpm.areaBuscada), "0000"),
    _xlpm.codItem &amp; "-" &amp; _xlpm.codArea &amp; "-" &amp; _xlpm.secuencia
)</f>
        <v>ZE-AM-TG-0007</v>
      </c>
      <c r="R81" s="15"/>
      <c r="T81" s="48"/>
    </row>
    <row r="82" spans="2:20" ht="28.8" x14ac:dyDescent="0.3">
      <c r="B82" t="s">
        <v>23</v>
      </c>
      <c r="C82" s="11" t="s">
        <v>178</v>
      </c>
      <c r="E82" s="11" t="str" cm="1">
        <f t="array" ref="E82">_xlfn.IFS(
    COUNTIF(Herramientas_eléctricas1862[Herramientas_eléctricas], B82) &gt; 0, Herramientas_eléctricas1862[[#Headers],[Herramientas_eléctricas]],
    COUNTIF(Herramientas_neumáticas1963[Herramientas_neumáticas], B82) &gt; 0, Herramientas_neumáticas1963[[#Headers],[Herramientas_neumáticas]],
    COUNTIF(Herramientas_de_medición2064[Herramientas_de_medición], B82) &gt; 0, Herramientas_de_medición2064[[#Headers],[Herramientas_de_medición]],
    COUNTIF(Herrramientas_mecánicas2165[Herramientas_mecánicas], B82) &gt; 0, Herrramientas_mecánicas2165[[#Headers],[Herramientas_mecánicas]],
    COUNTIF(AK82:AK88, B82) &gt; 0, Herramientas_hidráulicas2266[[#Headers],[Herramientas_hidráulicas]],
    COUNTIF(EPP_2367[SPCC], B82) &gt; 0, EPP_2367[[#Headers],[SPCC]],
   COUNTIF(Herramientas_de_izaje2468[Herramientas_de_izaje], B82) &gt; 0, Herramientas_de_izaje2468[[#Headers],[Herramientas_de_izaje]],
COUNTIF(Tabla162670[Equipos], B82) &gt; 0, Tabla162670[[#Headers],[Equipos]],
    TRUE, "Sin clasificación"
)</f>
        <v>Herramientas_eléctricas</v>
      </c>
      <c r="F82" s="15"/>
      <c r="G82" s="15" t="s">
        <v>611</v>
      </c>
      <c r="H82" s="47" t="s">
        <v>912</v>
      </c>
      <c r="I82" s="87">
        <v>3.8</v>
      </c>
      <c r="J82" s="78">
        <v>115</v>
      </c>
      <c r="K82" s="78">
        <v>840</v>
      </c>
      <c r="L82" s="78">
        <v>220</v>
      </c>
      <c r="M82" s="78">
        <v>11000</v>
      </c>
      <c r="N82" t="s">
        <v>911</v>
      </c>
      <c r="O82" s="47"/>
      <c r="P82" s="47" t="str">
        <f>_xlfn.LET(
    _xlpm.itemBuscado, B82,
    _xlpm.areaBuscada, C82,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TEXT(COUNTIF($C$2:C82, _xlpm.areaBuscada), "0000"),
    _xlpm.codItem &amp; "-" &amp; _xlpm.codArea &amp; "-" &amp; _xlpm.secuencia
)</f>
        <v>ZE-AM-TG-0008</v>
      </c>
      <c r="R82" s="15"/>
      <c r="T82" s="48"/>
    </row>
    <row r="83" spans="2:20" ht="28.8" x14ac:dyDescent="0.3">
      <c r="B83" t="s">
        <v>23</v>
      </c>
      <c r="C83" s="11" t="s">
        <v>178</v>
      </c>
      <c r="E83" s="11" t="str" cm="1">
        <f t="array" ref="E83">_xlfn.IFS(
    COUNTIF(Herramientas_eléctricas1862[Herramientas_eléctricas], B83) &gt; 0, Herramientas_eléctricas1862[[#Headers],[Herramientas_eléctricas]],
    COUNTIF(Herramientas_neumáticas1963[Herramientas_neumáticas], B83) &gt; 0, Herramientas_neumáticas1963[[#Headers],[Herramientas_neumáticas]],
    COUNTIF(Herramientas_de_medición2064[Herramientas_de_medición], B83) &gt; 0, Herramientas_de_medición2064[[#Headers],[Herramientas_de_medición]],
    COUNTIF(Herrramientas_mecánicas2165[Herramientas_mecánicas], B83) &gt; 0, Herrramientas_mecánicas2165[[#Headers],[Herramientas_mecánicas]],
    COUNTIF(AK83:AK89, B83) &gt; 0, Herramientas_hidráulicas2266[[#Headers],[Herramientas_hidráulicas]],
    COUNTIF(EPP_2367[SPCC], B83) &gt; 0, EPP_2367[[#Headers],[SPCC]],
   COUNTIF(Herramientas_de_izaje2468[Herramientas_de_izaje], B83) &gt; 0, Herramientas_de_izaje2468[[#Headers],[Herramientas_de_izaje]],
COUNTIF(Tabla162670[Equipos], B83) &gt; 0, Tabla162670[[#Headers],[Equipos]],
    TRUE, "Sin clasificación"
)</f>
        <v>Herramientas_eléctricas</v>
      </c>
      <c r="F83" s="15"/>
      <c r="G83" s="15" t="s">
        <v>611</v>
      </c>
      <c r="H83" s="47" t="s">
        <v>913</v>
      </c>
      <c r="I83" s="87">
        <v>6.4</v>
      </c>
      <c r="J83" s="78">
        <v>115</v>
      </c>
      <c r="K83" s="78">
        <v>1400</v>
      </c>
      <c r="L83" s="78">
        <v>220</v>
      </c>
      <c r="M83" s="78">
        <v>12000</v>
      </c>
      <c r="N83" t="s">
        <v>911</v>
      </c>
      <c r="O83" s="47"/>
      <c r="P83" s="47" t="str">
        <f>_xlfn.LET(
    _xlpm.itemBuscado, B83,
    _xlpm.areaBuscada, C83,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TEXT(COUNTIF($C$2:C83, _xlpm.areaBuscada), "0000"),
    _xlpm.codItem &amp; "-" &amp; _xlpm.codArea &amp; "-" &amp; _xlpm.secuencia
)</f>
        <v>ZE-AM-TG-0009</v>
      </c>
      <c r="R83" s="15"/>
      <c r="T83" s="48"/>
    </row>
    <row r="84" spans="2:20" ht="28.8" x14ac:dyDescent="0.3">
      <c r="B84" t="s">
        <v>23</v>
      </c>
      <c r="C84" s="11" t="s">
        <v>178</v>
      </c>
      <c r="E84" s="11" t="str" cm="1">
        <f t="array" ref="E84">_xlfn.IFS(
    COUNTIF(Herramientas_eléctricas1862[Herramientas_eléctricas], B84) &gt; 0, Herramientas_eléctricas1862[[#Headers],[Herramientas_eléctricas]],
    COUNTIF(Herramientas_neumáticas1963[Herramientas_neumáticas], B84) &gt; 0, Herramientas_neumáticas1963[[#Headers],[Herramientas_neumáticas]],
    COUNTIF(Herramientas_de_medición2064[Herramientas_de_medición], B84) &gt; 0, Herramientas_de_medición2064[[#Headers],[Herramientas_de_medición]],
    COUNTIF(Herrramientas_mecánicas2165[Herramientas_mecánicas], B84) &gt; 0, Herrramientas_mecánicas2165[[#Headers],[Herramientas_mecánicas]],
    COUNTIF(AK84:AK90, B84) &gt; 0, Herramientas_hidráulicas2266[[#Headers],[Herramientas_hidráulicas]],
    COUNTIF(EPP_2367[SPCC], B84) &gt; 0, EPP_2367[[#Headers],[SPCC]],
   COUNTIF(Herramientas_de_izaje2468[Herramientas_de_izaje], B84) &gt; 0, Herramientas_de_izaje2468[[#Headers],[Herramientas_de_izaje]],
COUNTIF(Tabla162670[Equipos], B84) &gt; 0, Tabla162670[[#Headers],[Equipos]],
    TRUE, "Sin clasificación"
)</f>
        <v>Herramientas_eléctricas</v>
      </c>
      <c r="F84" s="15"/>
      <c r="G84" s="15" t="s">
        <v>572</v>
      </c>
      <c r="H84" s="47" t="s">
        <v>914</v>
      </c>
      <c r="I84" s="87"/>
      <c r="J84" s="78">
        <v>125</v>
      </c>
      <c r="K84" s="78"/>
      <c r="L84" s="78">
        <v>220</v>
      </c>
      <c r="M84" s="78">
        <v>12000</v>
      </c>
      <c r="N84" t="s">
        <v>916</v>
      </c>
      <c r="O84" s="47" t="s">
        <v>915</v>
      </c>
      <c r="P84" s="47" t="str">
        <f>_xlfn.LET(
    _xlpm.itemBuscado, B84,
    _xlpm.areaBuscada, C84,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TEXT(COUNTIF($C$2:C84, _xlpm.areaBuscada), "0000"),
    _xlpm.codItem &amp; "-" &amp; _xlpm.codArea &amp; "-" &amp; _xlpm.secuencia
)</f>
        <v>ZE-AM-TG-0010</v>
      </c>
      <c r="R84" s="15"/>
      <c r="T84" s="48"/>
    </row>
    <row r="85" spans="2:20" ht="28.8" x14ac:dyDescent="0.3">
      <c r="B85" t="s">
        <v>23</v>
      </c>
      <c r="C85" s="11" t="s">
        <v>178</v>
      </c>
      <c r="E85" s="11" t="str" cm="1">
        <f t="array" ref="E85">_xlfn.IFS(
    COUNTIF(Herramientas_eléctricas1862[Herramientas_eléctricas], B85) &gt; 0, Herramientas_eléctricas1862[[#Headers],[Herramientas_eléctricas]],
    COUNTIF(Herramientas_neumáticas1963[Herramientas_neumáticas], B85) &gt; 0, Herramientas_neumáticas1963[[#Headers],[Herramientas_neumáticas]],
    COUNTIF(Herramientas_de_medición2064[Herramientas_de_medición], B85) &gt; 0, Herramientas_de_medición2064[[#Headers],[Herramientas_de_medición]],
    COUNTIF(Herrramientas_mecánicas2165[Herramientas_mecánicas], B85) &gt; 0, Herrramientas_mecánicas2165[[#Headers],[Herramientas_mecánicas]],
    COUNTIF(AK85:AK91, B85) &gt; 0, Herramientas_hidráulicas2266[[#Headers],[Herramientas_hidráulicas]],
    COUNTIF(EPP_2367[SPCC], B85) &gt; 0, EPP_2367[[#Headers],[SPCC]],
   COUNTIF(Herramientas_de_izaje2468[Herramientas_de_izaje], B85) &gt; 0, Herramientas_de_izaje2468[[#Headers],[Herramientas_de_izaje]],
COUNTIF(Tabla162670[Equipos], B85) &gt; 0, Tabla162670[[#Headers],[Equipos]],
    TRUE, "Sin clasificación"
)</f>
        <v>Herramientas_eléctricas</v>
      </c>
      <c r="F85" s="15"/>
      <c r="G85" s="15" t="s">
        <v>572</v>
      </c>
      <c r="H85" s="47"/>
      <c r="I85" s="87"/>
      <c r="J85" s="78"/>
      <c r="K85" s="78"/>
      <c r="L85" s="78"/>
      <c r="M85" s="78"/>
      <c r="N85" t="s">
        <v>916</v>
      </c>
      <c r="O85" s="47"/>
      <c r="P85" s="47" t="str">
        <f>_xlfn.LET(
    _xlpm.itemBuscado, B85,
    _xlpm.areaBuscada, C85,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TEXT(COUNTIF($C$2:C85, _xlpm.areaBuscada), "0000"),
    _xlpm.codItem &amp; "-" &amp; _xlpm.codArea &amp; "-" &amp; _xlpm.secuencia
)</f>
        <v>ZE-AM-TG-0011</v>
      </c>
      <c r="R85" s="15"/>
      <c r="T85" s="48"/>
    </row>
    <row r="86" spans="2:20" ht="28.8" x14ac:dyDescent="0.3">
      <c r="B86" t="s">
        <v>23</v>
      </c>
      <c r="C86" s="11" t="s">
        <v>178</v>
      </c>
      <c r="E86" s="11" t="str" cm="1">
        <f t="array" ref="E86">_xlfn.IFS(
    COUNTIF(Herramientas_eléctricas1862[Herramientas_eléctricas], B86) &gt; 0, Herramientas_eléctricas1862[[#Headers],[Herramientas_eléctricas]],
    COUNTIF(Herramientas_neumáticas1963[Herramientas_neumáticas], B86) &gt; 0, Herramientas_neumáticas1963[[#Headers],[Herramientas_neumáticas]],
    COUNTIF(Herramientas_de_medición2064[Herramientas_de_medición], B86) &gt; 0, Herramientas_de_medición2064[[#Headers],[Herramientas_de_medición]],
    COUNTIF(Herrramientas_mecánicas2165[Herramientas_mecánicas], B86) &gt; 0, Herrramientas_mecánicas2165[[#Headers],[Herramientas_mecánicas]],
    COUNTIF(AK86:AK92, B86) &gt; 0, Herramientas_hidráulicas2266[[#Headers],[Herramientas_hidráulicas]],
    COUNTIF(EPP_2367[SPCC], B86) &gt; 0, EPP_2367[[#Headers],[SPCC]],
   COUNTIF(Herramientas_de_izaje2468[Herramientas_de_izaje], B86) &gt; 0, Herramientas_de_izaje2468[[#Headers],[Herramientas_de_izaje]],
COUNTIF(Tabla162670[Equipos], B86) &gt; 0, Tabla162670[[#Headers],[Equipos]],
    TRUE, "Sin clasificación"
)</f>
        <v>Herramientas_eléctricas</v>
      </c>
      <c r="F86" s="15"/>
      <c r="G86" s="15" t="s">
        <v>572</v>
      </c>
      <c r="H86" s="47" t="s">
        <v>806</v>
      </c>
      <c r="I86" s="87"/>
      <c r="J86" s="78"/>
      <c r="K86" s="78"/>
      <c r="L86" s="78"/>
      <c r="M86" s="78"/>
      <c r="N86" t="s">
        <v>916</v>
      </c>
      <c r="O86" s="47"/>
      <c r="P86" s="47" t="str">
        <f>_xlfn.LET(
    _xlpm.itemBuscado, B86,
    _xlpm.areaBuscada, C86,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TEXT(COUNTIF($C$2:C86, _xlpm.areaBuscada), "0000"),
    _xlpm.codItem &amp; "-" &amp; _xlpm.codArea &amp; "-" &amp; _xlpm.secuencia
)</f>
        <v>ZE-AM-TG-0012</v>
      </c>
      <c r="R86" s="15"/>
      <c r="T86" s="48"/>
    </row>
    <row r="87" spans="2:20" ht="28.8" x14ac:dyDescent="0.3">
      <c r="B87" t="s">
        <v>23</v>
      </c>
      <c r="C87" s="11" t="s">
        <v>178</v>
      </c>
      <c r="E87" s="11" t="str" cm="1">
        <f t="array" ref="E87">_xlfn.IFS(
    COUNTIF(Herramientas_eléctricas1862[Herramientas_eléctricas], B87) &gt; 0, Herramientas_eléctricas1862[[#Headers],[Herramientas_eléctricas]],
    COUNTIF(Herramientas_neumáticas1963[Herramientas_neumáticas], B87) &gt; 0, Herramientas_neumáticas1963[[#Headers],[Herramientas_neumáticas]],
    COUNTIF(Herramientas_de_medición2064[Herramientas_de_medición], B87) &gt; 0, Herramientas_de_medición2064[[#Headers],[Herramientas_de_medición]],
    COUNTIF(Herrramientas_mecánicas2165[Herramientas_mecánicas], B87) &gt; 0, Herrramientas_mecánicas2165[[#Headers],[Herramientas_mecánicas]],
    COUNTIF(AK87:AK93, B87) &gt; 0, Herramientas_hidráulicas2266[[#Headers],[Herramientas_hidráulicas]],
    COUNTIF(EPP_2367[SPCC], B87) &gt; 0, EPP_2367[[#Headers],[SPCC]],
   COUNTIF(Herramientas_de_izaje2468[Herramientas_de_izaje], B87) &gt; 0, Herramientas_de_izaje2468[[#Headers],[Herramientas_de_izaje]],
COUNTIF(Tabla162670[Equipos], B87) &gt; 0, Tabla162670[[#Headers],[Equipos]],
    TRUE, "Sin clasificación"
)</f>
        <v>Herramientas_eléctricas</v>
      </c>
      <c r="F87" s="15"/>
      <c r="G87" s="15" t="s">
        <v>572</v>
      </c>
      <c r="H87" s="47" t="s">
        <v>917</v>
      </c>
      <c r="I87" s="87"/>
      <c r="J87" s="78"/>
      <c r="K87" s="78">
        <v>2600</v>
      </c>
      <c r="L87" s="78"/>
      <c r="M87" s="78">
        <v>8500</v>
      </c>
      <c r="N87" t="s">
        <v>916</v>
      </c>
      <c r="O87" s="47"/>
      <c r="P87" s="47" t="str">
        <f>_xlfn.LET(
    _xlpm.itemBuscado, B87,
    _xlpm.areaBuscada, C87,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TEXT(COUNTIF($C$2:C87, _xlpm.areaBuscada), "0000"),
    _xlpm.codItem &amp; "-" &amp; _xlpm.codArea &amp; "-" &amp; _xlpm.secuencia
)</f>
        <v>ZE-AM-TG-0013</v>
      </c>
      <c r="R87" s="15"/>
      <c r="T87" s="48"/>
    </row>
    <row r="88" spans="2:20" ht="28.8" x14ac:dyDescent="0.3">
      <c r="B88" t="s">
        <v>23</v>
      </c>
      <c r="C88" s="11" t="s">
        <v>178</v>
      </c>
      <c r="E88" s="11" t="str" cm="1">
        <f t="array" ref="E88">_xlfn.IFS(
    COUNTIF(Herramientas_eléctricas1862[Herramientas_eléctricas], B88) &gt; 0, Herramientas_eléctricas1862[[#Headers],[Herramientas_eléctricas]],
    COUNTIF(Herramientas_neumáticas1963[Herramientas_neumáticas], B88) &gt; 0, Herramientas_neumáticas1963[[#Headers],[Herramientas_neumáticas]],
    COUNTIF(Herramientas_de_medición2064[Herramientas_de_medición], B88) &gt; 0, Herramientas_de_medición2064[[#Headers],[Herramientas_de_medición]],
    COUNTIF(Herrramientas_mecánicas2165[Herramientas_mecánicas], B88) &gt; 0, Herrramientas_mecánicas2165[[#Headers],[Herramientas_mecánicas]],
    COUNTIF(AK88:AK94, B88) &gt; 0, Herramientas_hidráulicas2266[[#Headers],[Herramientas_hidráulicas]],
    COUNTIF(EPP_2367[SPCC], B88) &gt; 0, EPP_2367[[#Headers],[SPCC]],
   COUNTIF(Herramientas_de_izaje2468[Herramientas_de_izaje], B88) &gt; 0, Herramientas_de_izaje2468[[#Headers],[Herramientas_de_izaje]],
COUNTIF(Tabla162670[Equipos], B88) &gt; 0, Tabla162670[[#Headers],[Equipos]],
    TRUE, "Sin clasificación"
)</f>
        <v>Herramientas_eléctricas</v>
      </c>
      <c r="F88" s="15"/>
      <c r="G88" s="15" t="s">
        <v>611</v>
      </c>
      <c r="H88" s="47" t="s">
        <v>912</v>
      </c>
      <c r="I88" s="87">
        <v>3.8</v>
      </c>
      <c r="J88" s="78">
        <v>115</v>
      </c>
      <c r="K88" s="78">
        <v>840</v>
      </c>
      <c r="L88" s="78">
        <v>220</v>
      </c>
      <c r="M88" s="78">
        <v>11000</v>
      </c>
      <c r="N88" t="s">
        <v>922</v>
      </c>
      <c r="O88" s="47">
        <v>81012</v>
      </c>
      <c r="P88" s="47" t="str">
        <f>_xlfn.LET(
    _xlpm.itemBuscado, B88,
    _xlpm.areaBuscada, C88,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TEXT(COUNTIF($C$2:C88, _xlpm.areaBuscada), "0000"),
    _xlpm.codItem &amp; "-" &amp; _xlpm.codArea &amp; "-" &amp; _xlpm.secuencia
)</f>
        <v>ZE-AM-TG-0014</v>
      </c>
      <c r="R88" s="15"/>
      <c r="T88" s="48"/>
    </row>
    <row r="89" spans="2:20" ht="28.8" x14ac:dyDescent="0.3">
      <c r="B89" t="s">
        <v>23</v>
      </c>
      <c r="C89" s="11" t="s">
        <v>178</v>
      </c>
      <c r="E89" s="11" t="str" cm="1">
        <f t="array" ref="E89">_xlfn.IFS(
    COUNTIF(Herramientas_eléctricas1862[Herramientas_eléctricas], B89) &gt; 0, Herramientas_eléctricas1862[[#Headers],[Herramientas_eléctricas]],
    COUNTIF(Herramientas_neumáticas1963[Herramientas_neumáticas], B89) &gt; 0, Herramientas_neumáticas1963[[#Headers],[Herramientas_neumáticas]],
    COUNTIF(Herramientas_de_medición2064[Herramientas_de_medición], B89) &gt; 0, Herramientas_de_medición2064[[#Headers],[Herramientas_de_medición]],
    COUNTIF(Herrramientas_mecánicas2165[Herramientas_mecánicas], B89) &gt; 0, Herrramientas_mecánicas2165[[#Headers],[Herramientas_mecánicas]],
    COUNTIF(AK89:AK95, B89) &gt; 0, Herramientas_hidráulicas2266[[#Headers],[Herramientas_hidráulicas]],
    COUNTIF(EPP_2367[SPCC], B89) &gt; 0, EPP_2367[[#Headers],[SPCC]],
   COUNTIF(Herramientas_de_izaje2468[Herramientas_de_izaje], B89) &gt; 0, Herramientas_de_izaje2468[[#Headers],[Herramientas_de_izaje]],
COUNTIF(Tabla162670[Equipos], B89) &gt; 0, Tabla162670[[#Headers],[Equipos]],
    TRUE, "Sin clasificación"
)</f>
        <v>Herramientas_eléctricas</v>
      </c>
      <c r="F89" s="15"/>
      <c r="G89" s="15" t="s">
        <v>572</v>
      </c>
      <c r="H89" s="47" t="s">
        <v>806</v>
      </c>
      <c r="I89" s="87"/>
      <c r="J89" s="78"/>
      <c r="K89" s="78"/>
      <c r="L89" s="78"/>
      <c r="M89" s="78"/>
      <c r="N89" t="s">
        <v>922</v>
      </c>
      <c r="O89" s="47"/>
      <c r="P89" s="47" t="str">
        <f>_xlfn.LET(
    _xlpm.itemBuscado, B89,
    _xlpm.areaBuscada, C89,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TEXT(COUNTIF($C$2:C89, _xlpm.areaBuscada), "0000"),
    _xlpm.codItem &amp; "-" &amp; _xlpm.codArea &amp; "-" &amp; _xlpm.secuencia
)</f>
        <v>ZE-AM-TG-0015</v>
      </c>
      <c r="R89" s="15"/>
      <c r="T89" s="48"/>
    </row>
    <row r="90" spans="2:20" ht="28.8" x14ac:dyDescent="0.3">
      <c r="B90" t="s">
        <v>23</v>
      </c>
      <c r="C90" s="11" t="s">
        <v>178</v>
      </c>
      <c r="E90" s="11" t="str" cm="1">
        <f t="array" ref="E90">_xlfn.IFS(
    COUNTIF(Herramientas_eléctricas1862[Herramientas_eléctricas], B90) &gt; 0, Herramientas_eléctricas1862[[#Headers],[Herramientas_eléctricas]],
    COUNTIF(Herramientas_neumáticas1963[Herramientas_neumáticas], B90) &gt; 0, Herramientas_neumáticas1963[[#Headers],[Herramientas_neumáticas]],
    COUNTIF(Herramientas_de_medición2064[Herramientas_de_medición], B90) &gt; 0, Herramientas_de_medición2064[[#Headers],[Herramientas_de_medición]],
    COUNTIF(Herrramientas_mecánicas2165[Herramientas_mecánicas], B90) &gt; 0, Herrramientas_mecánicas2165[[#Headers],[Herramientas_mecánicas]],
    COUNTIF(AK90:AK96, B90) &gt; 0, Herramientas_hidráulicas2266[[#Headers],[Herramientas_hidráulicas]],
    COUNTIF(EPP_2367[SPCC], B90) &gt; 0, EPP_2367[[#Headers],[SPCC]],
   COUNTIF(Herramientas_de_izaje2468[Herramientas_de_izaje], B90) &gt; 0, Herramientas_de_izaje2468[[#Headers],[Herramientas_de_izaje]],
COUNTIF(Tabla162670[Equipos], B90) &gt; 0, Tabla162670[[#Headers],[Equipos]],
    TRUE, "Sin clasificación"
)</f>
        <v>Herramientas_eléctricas</v>
      </c>
      <c r="F90" s="15"/>
      <c r="G90" s="15" t="s">
        <v>611</v>
      </c>
      <c r="H90" s="47" t="s">
        <v>909</v>
      </c>
      <c r="I90" s="87">
        <v>12</v>
      </c>
      <c r="J90" s="78">
        <v>180</v>
      </c>
      <c r="K90" s="78">
        <v>2600</v>
      </c>
      <c r="L90" s="78">
        <v>220</v>
      </c>
      <c r="M90" s="78">
        <v>8500</v>
      </c>
      <c r="N90" t="s">
        <v>922</v>
      </c>
      <c r="O90" s="47" t="s">
        <v>919</v>
      </c>
      <c r="P90" s="47" t="str">
        <f>_xlfn.LET(
    _xlpm.itemBuscado, B90,
    _xlpm.areaBuscada, C90,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TEXT(COUNTIF($C$2:C90, _xlpm.areaBuscada), "0000"),
    _xlpm.codItem &amp; "-" &amp; _xlpm.codArea &amp; "-" &amp; _xlpm.secuencia
)</f>
        <v>ZE-AM-TG-0016</v>
      </c>
      <c r="R90" s="15"/>
      <c r="T90" s="48"/>
    </row>
    <row r="91" spans="2:20" ht="28.8" x14ac:dyDescent="0.3">
      <c r="B91" t="s">
        <v>23</v>
      </c>
      <c r="C91" s="11" t="s">
        <v>178</v>
      </c>
      <c r="E91" s="11" t="str" cm="1">
        <f t="array" ref="E91">_xlfn.IFS(
    COUNTIF(Herramientas_eléctricas1862[Herramientas_eléctricas], B91) &gt; 0, Herramientas_eléctricas1862[[#Headers],[Herramientas_eléctricas]],
    COUNTIF(Herramientas_neumáticas1963[Herramientas_neumáticas], B91) &gt; 0, Herramientas_neumáticas1963[[#Headers],[Herramientas_neumáticas]],
    COUNTIF(Herramientas_de_medición2064[Herramientas_de_medición], B91) &gt; 0, Herramientas_de_medición2064[[#Headers],[Herramientas_de_medición]],
    COUNTIF(Herrramientas_mecánicas2165[Herramientas_mecánicas], B91) &gt; 0, Herrramientas_mecánicas2165[[#Headers],[Herramientas_mecánicas]],
    COUNTIF(AK91:AK97, B91) &gt; 0, Herramientas_hidráulicas2266[[#Headers],[Herramientas_hidráulicas]],
    COUNTIF(EPP_2367[SPCC], B91) &gt; 0, EPP_2367[[#Headers],[SPCC]],
   COUNTIF(Herramientas_de_izaje2468[Herramientas_de_izaje], B91) &gt; 0, Herramientas_de_izaje2468[[#Headers],[Herramientas_de_izaje]],
COUNTIF(Tabla162670[Equipos], B91) &gt; 0, Tabla162670[[#Headers],[Equipos]],
    TRUE, "Sin clasificación"
)</f>
        <v>Herramientas_eléctricas</v>
      </c>
      <c r="F91" s="15"/>
      <c r="G91" s="15" t="s">
        <v>572</v>
      </c>
      <c r="H91" s="47"/>
      <c r="I91" s="87"/>
      <c r="J91" s="78"/>
      <c r="K91" s="78"/>
      <c r="L91" s="78"/>
      <c r="M91" s="78"/>
      <c r="N91" t="s">
        <v>920</v>
      </c>
      <c r="O91" s="47"/>
      <c r="P91" s="47" t="str">
        <f>_xlfn.LET(
    _xlpm.itemBuscado, B91,
    _xlpm.areaBuscada, C91,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TEXT(COUNTIF($C$2:C91, _xlpm.areaBuscada), "0000"),
    _xlpm.codItem &amp; "-" &amp; _xlpm.codArea &amp; "-" &amp; _xlpm.secuencia
)</f>
        <v>ZE-AM-TG-0017</v>
      </c>
      <c r="R91" s="15"/>
      <c r="T91" s="48"/>
    </row>
    <row r="92" spans="2:20" ht="28.8" x14ac:dyDescent="0.3">
      <c r="B92" t="s">
        <v>23</v>
      </c>
      <c r="C92" s="11" t="s">
        <v>178</v>
      </c>
      <c r="E92" s="11" t="str" cm="1">
        <f t="array" ref="E92">_xlfn.IFS(
    COUNTIF(Herramientas_eléctricas1862[Herramientas_eléctricas], B92) &gt; 0, Herramientas_eléctricas1862[[#Headers],[Herramientas_eléctricas]],
    COUNTIF(Herramientas_neumáticas1963[Herramientas_neumáticas], B92) &gt; 0, Herramientas_neumáticas1963[[#Headers],[Herramientas_neumáticas]],
    COUNTIF(Herramientas_de_medición2064[Herramientas_de_medición], B92) &gt; 0, Herramientas_de_medición2064[[#Headers],[Herramientas_de_medición]],
    COUNTIF(Herrramientas_mecánicas2165[Herramientas_mecánicas], B92) &gt; 0, Herrramientas_mecánicas2165[[#Headers],[Herramientas_mecánicas]],
    COUNTIF(AK92:AK98, B92) &gt; 0, Herramientas_hidráulicas2266[[#Headers],[Herramientas_hidráulicas]],
    COUNTIF(EPP_2367[SPCC], B92) &gt; 0, EPP_2367[[#Headers],[SPCC]],
   COUNTIF(Herramientas_de_izaje2468[Herramientas_de_izaje], B92) &gt; 0, Herramientas_de_izaje2468[[#Headers],[Herramientas_de_izaje]],
COUNTIF(Tabla162670[Equipos], B92) &gt; 0, Tabla162670[[#Headers],[Equipos]],
    TRUE, "Sin clasificación"
)</f>
        <v>Herramientas_eléctricas</v>
      </c>
      <c r="F92" s="15"/>
      <c r="G92" s="15" t="s">
        <v>572</v>
      </c>
      <c r="H92" s="47" t="s">
        <v>789</v>
      </c>
      <c r="I92" s="87">
        <v>13.4</v>
      </c>
      <c r="J92" s="78">
        <v>180</v>
      </c>
      <c r="K92" s="78">
        <v>2800</v>
      </c>
      <c r="L92" s="78">
        <v>220</v>
      </c>
      <c r="M92" s="78">
        <v>8500</v>
      </c>
      <c r="N92" t="s">
        <v>920</v>
      </c>
      <c r="O92" s="47"/>
      <c r="P92" s="47" t="str">
        <f>_xlfn.LET(
    _xlpm.itemBuscado, B92,
    _xlpm.areaBuscada, C92,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TEXT(COUNTIF($C$2:C92, _xlpm.areaBuscada), "0000"),
    _xlpm.codItem &amp; "-" &amp; _xlpm.codArea &amp; "-" &amp; _xlpm.secuencia
)</f>
        <v>ZE-AM-TG-0018</v>
      </c>
      <c r="R92" s="15"/>
      <c r="T92" s="48"/>
    </row>
    <row r="93" spans="2:20" ht="28.8" x14ac:dyDescent="0.3">
      <c r="B93" t="s">
        <v>23</v>
      </c>
      <c r="C93" s="11" t="s">
        <v>178</v>
      </c>
      <c r="E93" s="11" t="str" cm="1">
        <f t="array" ref="E93">_xlfn.IFS(
    COUNTIF(Herramientas_eléctricas1862[Herramientas_eléctricas], B93) &gt; 0, Herramientas_eléctricas1862[[#Headers],[Herramientas_eléctricas]],
    COUNTIF(Herramientas_neumáticas1963[Herramientas_neumáticas], B93) &gt; 0, Herramientas_neumáticas1963[[#Headers],[Herramientas_neumáticas]],
    COUNTIF(Herramientas_de_medición2064[Herramientas_de_medición], B93) &gt; 0, Herramientas_de_medición2064[[#Headers],[Herramientas_de_medición]],
    COUNTIF(Herrramientas_mecánicas2165[Herramientas_mecánicas], B93) &gt; 0, Herrramientas_mecánicas2165[[#Headers],[Herramientas_mecánicas]],
    COUNTIF(AK93:AK99, B93) &gt; 0, Herramientas_hidráulicas2266[[#Headers],[Herramientas_hidráulicas]],
    COUNTIF(EPP_2367[SPCC], B93) &gt; 0, EPP_2367[[#Headers],[SPCC]],
   COUNTIF(Herramientas_de_izaje2468[Herramientas_de_izaje], B93) &gt; 0, Herramientas_de_izaje2468[[#Headers],[Herramientas_de_izaje]],
COUNTIF(Tabla162670[Equipos], B93) &gt; 0, Tabla162670[[#Headers],[Equipos]],
    TRUE, "Sin clasificación"
)</f>
        <v>Herramientas_eléctricas</v>
      </c>
      <c r="F93" s="15"/>
      <c r="G93" s="15" t="s">
        <v>611</v>
      </c>
      <c r="H93" s="47" t="s">
        <v>921</v>
      </c>
      <c r="I93" s="87">
        <v>12</v>
      </c>
      <c r="J93" s="78">
        <v>180</v>
      </c>
      <c r="K93" s="78">
        <v>2600</v>
      </c>
      <c r="L93" s="78">
        <v>220</v>
      </c>
      <c r="M93" s="78">
        <v>8500</v>
      </c>
      <c r="N93" t="s">
        <v>920</v>
      </c>
      <c r="O93" s="47">
        <v>38040</v>
      </c>
      <c r="P93" s="47" t="str">
        <f>_xlfn.LET(
    _xlpm.itemBuscado, B93,
    _xlpm.areaBuscada, C93,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TEXT(COUNTIF($C$2:C93, _xlpm.areaBuscada), "0000"),
    _xlpm.codItem &amp; "-" &amp; _xlpm.codArea &amp; "-" &amp; _xlpm.secuencia
)</f>
        <v>ZE-AM-TG-0019</v>
      </c>
      <c r="R93" s="15"/>
      <c r="T93" s="48"/>
    </row>
    <row r="94" spans="2:20" ht="28.8" x14ac:dyDescent="0.3">
      <c r="B94" t="s">
        <v>23</v>
      </c>
      <c r="C94" s="11" t="s">
        <v>178</v>
      </c>
      <c r="E94" s="11" t="str" cm="1">
        <f t="array" ref="E94">_xlfn.IFS(
    COUNTIF(Herramientas_eléctricas1862[Herramientas_eléctricas], B94) &gt; 0, Herramientas_eléctricas1862[[#Headers],[Herramientas_eléctricas]],
    COUNTIF(Herramientas_neumáticas1963[Herramientas_neumáticas], B94) &gt; 0, Herramientas_neumáticas1963[[#Headers],[Herramientas_neumáticas]],
    COUNTIF(Herramientas_de_medición2064[Herramientas_de_medición], B94) &gt; 0, Herramientas_de_medición2064[[#Headers],[Herramientas_de_medición]],
    COUNTIF(Herrramientas_mecánicas2165[Herramientas_mecánicas], B94) &gt; 0, Herrramientas_mecánicas2165[[#Headers],[Herramientas_mecánicas]],
    COUNTIF(AK94:AK100, B94) &gt; 0, Herramientas_hidráulicas2266[[#Headers],[Herramientas_hidráulicas]],
    COUNTIF(EPP_2367[SPCC], B94) &gt; 0, EPP_2367[[#Headers],[SPCC]],
   COUNTIF(Herramientas_de_izaje2468[Herramientas_de_izaje], B94) &gt; 0, Herramientas_de_izaje2468[[#Headers],[Herramientas_de_izaje]],
COUNTIF(Tabla162670[Equipos], B94) &gt; 0, Tabla162670[[#Headers],[Equipos]],
    TRUE, "Sin clasificación"
)</f>
        <v>Herramientas_eléctricas</v>
      </c>
      <c r="F94" s="15"/>
      <c r="G94" s="15" t="s">
        <v>572</v>
      </c>
      <c r="H94" s="47"/>
      <c r="I94" s="87"/>
      <c r="J94" s="78">
        <v>180</v>
      </c>
      <c r="K94" s="78">
        <v>2800</v>
      </c>
      <c r="L94" s="78">
        <v>220</v>
      </c>
      <c r="M94" s="78"/>
      <c r="N94" t="s">
        <v>935</v>
      </c>
      <c r="O94" s="47">
        <v>912000098</v>
      </c>
      <c r="P94" s="47" t="str">
        <f>_xlfn.LET(
    _xlpm.itemBuscado, B94,
    _xlpm.areaBuscada, C94,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TEXT(COUNTIF($C$2:C94, _xlpm.areaBuscada), "0000"),
    _xlpm.codItem &amp; "-" &amp; _xlpm.codArea &amp; "-" &amp; _xlpm.secuencia
)</f>
        <v>ZE-AM-TG-0020</v>
      </c>
      <c r="R94" s="15" t="s">
        <v>934</v>
      </c>
      <c r="T94" s="48"/>
    </row>
    <row r="95" spans="2:20" ht="28.8" x14ac:dyDescent="0.3">
      <c r="B95" t="s">
        <v>23</v>
      </c>
      <c r="C95" s="11" t="s">
        <v>178</v>
      </c>
      <c r="E95" s="11" t="str" cm="1">
        <f t="array" ref="E95">_xlfn.IFS(
    COUNTIF(Herramientas_eléctricas1862[Herramientas_eléctricas], B95) &gt; 0, Herramientas_eléctricas1862[[#Headers],[Herramientas_eléctricas]],
    COUNTIF(Herramientas_neumáticas1963[Herramientas_neumáticas], B95) &gt; 0, Herramientas_neumáticas1963[[#Headers],[Herramientas_neumáticas]],
    COUNTIF(Herramientas_de_medición2064[Herramientas_de_medición], B95) &gt; 0, Herramientas_de_medición2064[[#Headers],[Herramientas_de_medición]],
    COUNTIF(Herrramientas_mecánicas2165[Herramientas_mecánicas], B95) &gt; 0, Herrramientas_mecánicas2165[[#Headers],[Herramientas_mecánicas]],
    COUNTIF(AK95:AK101, B95) &gt; 0, Herramientas_hidráulicas2266[[#Headers],[Herramientas_hidráulicas]],
    COUNTIF(EPP_2367[SPCC], B95) &gt; 0, EPP_2367[[#Headers],[SPCC]],
   COUNTIF(Herramientas_de_izaje2468[Herramientas_de_izaje], B95) &gt; 0, Herramientas_de_izaje2468[[#Headers],[Herramientas_de_izaje]],
COUNTIF(Tabla162670[Equipos], B95) &gt; 0, Tabla162670[[#Headers],[Equipos]],
    TRUE, "Sin clasificación"
)</f>
        <v>Herramientas_eléctricas</v>
      </c>
      <c r="F95" s="15"/>
      <c r="G95" s="15" t="s">
        <v>572</v>
      </c>
      <c r="H95" s="47" t="s">
        <v>748</v>
      </c>
      <c r="I95" s="87">
        <v>8</v>
      </c>
      <c r="J95" s="78">
        <v>125</v>
      </c>
      <c r="K95" s="78">
        <v>1700</v>
      </c>
      <c r="L95" s="78">
        <v>220</v>
      </c>
      <c r="M95" s="78">
        <v>11500</v>
      </c>
      <c r="N95" t="s">
        <v>935</v>
      </c>
      <c r="O95" s="47">
        <v>223000619</v>
      </c>
      <c r="P95" s="47" t="str">
        <f>_xlfn.LET(
    _xlpm.itemBuscado, B95,
    _xlpm.areaBuscada, C95,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TEXT(COUNTIF($C$2:C95, _xlpm.areaBuscada), "0000"),
    _xlpm.codItem &amp; "-" &amp; _xlpm.codArea &amp; "-" &amp; _xlpm.secuencia
)</f>
        <v>ZE-AM-TG-0021</v>
      </c>
      <c r="R95" s="15" t="s">
        <v>934</v>
      </c>
      <c r="T95" s="48"/>
    </row>
    <row r="96" spans="2:20" ht="28.8" x14ac:dyDescent="0.3">
      <c r="B96" t="s">
        <v>23</v>
      </c>
      <c r="C96" s="11" t="s">
        <v>178</v>
      </c>
      <c r="E96" s="11" t="str" cm="1">
        <f t="array" ref="E96">_xlfn.IFS(
    COUNTIF(Herramientas_eléctricas1862[Herramientas_eléctricas], B96) &gt; 0, Herramientas_eléctricas1862[[#Headers],[Herramientas_eléctricas]],
    COUNTIF(Herramientas_neumáticas1963[Herramientas_neumáticas], B96) &gt; 0, Herramientas_neumáticas1963[[#Headers],[Herramientas_neumáticas]],
    COUNTIF(Herramientas_de_medición2064[Herramientas_de_medición], B96) &gt; 0, Herramientas_de_medición2064[[#Headers],[Herramientas_de_medición]],
    COUNTIF(Herrramientas_mecánicas2165[Herramientas_mecánicas], B96) &gt; 0, Herrramientas_mecánicas2165[[#Headers],[Herramientas_mecánicas]],
    COUNTIF(AK96:AK102, B96) &gt; 0, Herramientas_hidráulicas2266[[#Headers],[Herramientas_hidráulicas]],
    COUNTIF(EPP_2367[SPCC], B96) &gt; 0, EPP_2367[[#Headers],[SPCC]],
   COUNTIF(Herramientas_de_izaje2468[Herramientas_de_izaje], B96) &gt; 0, Herramientas_de_izaje2468[[#Headers],[Herramientas_de_izaje]],
COUNTIF(Tabla162670[Equipos], B96) &gt; 0, Tabla162670[[#Headers],[Equipos]],
    TRUE, "Sin clasificación"
)</f>
        <v>Herramientas_eléctricas</v>
      </c>
      <c r="F96" s="15"/>
      <c r="G96" s="15" t="s">
        <v>572</v>
      </c>
      <c r="H96" s="47" t="s">
        <v>976</v>
      </c>
      <c r="I96" s="87"/>
      <c r="J96" s="78">
        <v>125</v>
      </c>
      <c r="K96" s="78">
        <v>1800</v>
      </c>
      <c r="L96" s="78"/>
      <c r="M96" s="78"/>
      <c r="N96" t="s">
        <v>920</v>
      </c>
      <c r="O96" s="47">
        <v>321000073</v>
      </c>
      <c r="P96" s="47" t="str">
        <f>_xlfn.LET(
    _xlpm.itemBuscado, B96,
    _xlpm.areaBuscada, C96,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TEXT(COUNTIF($C$2:C96, _xlpm.areaBuscada), "0000"),
    _xlpm.codItem &amp; "-" &amp; _xlpm.codArea &amp; "-" &amp; _xlpm.secuencia
)</f>
        <v>ZE-AM-TG-0022</v>
      </c>
      <c r="R96" s="15" t="s">
        <v>977</v>
      </c>
      <c r="T96" s="48"/>
    </row>
    <row r="97" spans="2:20" ht="28.8" x14ac:dyDescent="0.3">
      <c r="B97" t="s">
        <v>23</v>
      </c>
      <c r="C97" s="11" t="s">
        <v>178</v>
      </c>
      <c r="E97" s="11" t="str" cm="1">
        <f t="array" ref="E97">_xlfn.IFS(
    COUNTIF(Herramientas_eléctricas1862[Herramientas_eléctricas], B97) &gt; 0, Herramientas_eléctricas1862[[#Headers],[Herramientas_eléctricas]],
    COUNTIF(Herramientas_neumáticas1963[Herramientas_neumáticas], B97) &gt; 0, Herramientas_neumáticas1963[[#Headers],[Herramientas_neumáticas]],
    COUNTIF(Herramientas_de_medición2064[Herramientas_de_medición], B97) &gt; 0, Herramientas_de_medición2064[[#Headers],[Herramientas_de_medición]],
    COUNTIF(Herrramientas_mecánicas2165[Herramientas_mecánicas], B97) &gt; 0, Herrramientas_mecánicas2165[[#Headers],[Herramientas_mecánicas]],
    COUNTIF(AK97:AK103, B97) &gt; 0, Herramientas_hidráulicas2266[[#Headers],[Herramientas_hidráulicas]],
    COUNTIF(EPP_2367[SPCC], B97) &gt; 0, EPP_2367[[#Headers],[SPCC]],
   COUNTIF(Herramientas_de_izaje2468[Herramientas_de_izaje], B97) &gt; 0, Herramientas_de_izaje2468[[#Headers],[Herramientas_de_izaje]],
COUNTIF(Tabla162670[Equipos], B97) &gt; 0, Tabla162670[[#Headers],[Equipos]],
    TRUE, "Sin clasificación"
)</f>
        <v>Herramientas_eléctricas</v>
      </c>
      <c r="F97" s="15"/>
      <c r="G97" s="15" t="s">
        <v>572</v>
      </c>
      <c r="H97" s="47"/>
      <c r="I97" s="87"/>
      <c r="J97" s="78"/>
      <c r="K97" s="78"/>
      <c r="L97" s="78"/>
      <c r="M97" s="78"/>
      <c r="N97" t="s">
        <v>978</v>
      </c>
      <c r="O97" s="47"/>
      <c r="P97" s="47" t="str">
        <f>_xlfn.LET(
    _xlpm.itemBuscado, B97,
    _xlpm.areaBuscada, C97,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TEXT(COUNTIF($C$2:C97, _xlpm.areaBuscada), "0000"),
    _xlpm.codItem &amp; "-" &amp; _xlpm.codArea &amp; "-" &amp; _xlpm.secuencia
)</f>
        <v>ZE-AM-TG-0023</v>
      </c>
      <c r="R97" s="15"/>
      <c r="T97" s="48"/>
    </row>
    <row r="98" spans="2:20" ht="28.8" x14ac:dyDescent="0.3">
      <c r="B98" t="s">
        <v>23</v>
      </c>
      <c r="C98" s="11" t="s">
        <v>178</v>
      </c>
      <c r="E98" s="11" t="str" cm="1">
        <f t="array" ref="E98">_xlfn.IFS(
    COUNTIF(Herramientas_eléctricas1862[Herramientas_eléctricas], B98) &gt; 0, Herramientas_eléctricas1862[[#Headers],[Herramientas_eléctricas]],
    COUNTIF(Herramientas_neumáticas1963[Herramientas_neumáticas], B98) &gt; 0, Herramientas_neumáticas1963[[#Headers],[Herramientas_neumáticas]],
    COUNTIF(Herramientas_de_medición2064[Herramientas_de_medición], B98) &gt; 0, Herramientas_de_medición2064[[#Headers],[Herramientas_de_medición]],
    COUNTIF(Herrramientas_mecánicas2165[Herramientas_mecánicas], B98) &gt; 0, Herrramientas_mecánicas2165[[#Headers],[Herramientas_mecánicas]],
    COUNTIF(AK98:AK104, B98) &gt; 0, Herramientas_hidráulicas2266[[#Headers],[Herramientas_hidráulicas]],
    COUNTIF(EPP_2367[SPCC], B98) &gt; 0, EPP_2367[[#Headers],[SPCC]],
   COUNTIF(Herramientas_de_izaje2468[Herramientas_de_izaje], B98) &gt; 0, Herramientas_de_izaje2468[[#Headers],[Herramientas_de_izaje]],
COUNTIF(Tabla162670[Equipos], B98) &gt; 0, Tabla162670[[#Headers],[Equipos]],
    TRUE, "Sin clasificación"
)</f>
        <v>Herramientas_eléctricas</v>
      </c>
      <c r="F98" s="15"/>
      <c r="G98" s="15" t="s">
        <v>611</v>
      </c>
      <c r="H98" s="47"/>
      <c r="I98" s="87"/>
      <c r="J98" s="78">
        <v>180</v>
      </c>
      <c r="K98" s="78"/>
      <c r="L98" s="78"/>
      <c r="M98" s="78"/>
      <c r="N98" t="s">
        <v>978</v>
      </c>
      <c r="O98" s="47"/>
      <c r="P98" s="47" t="str">
        <f>_xlfn.LET(
    _xlpm.itemBuscado, B98,
    _xlpm.areaBuscada, C98,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TEXT(COUNTIF($C$2:C98, _xlpm.areaBuscada), "0000"),
    _xlpm.codItem &amp; "-" &amp; _xlpm.codArea &amp; "-" &amp; _xlpm.secuencia
)</f>
        <v>ZE-AM-TG-0024</v>
      </c>
      <c r="R98" s="15"/>
      <c r="T98" s="48"/>
    </row>
    <row r="99" spans="2:20" ht="28.8" x14ac:dyDescent="0.3">
      <c r="B99" t="s">
        <v>23</v>
      </c>
      <c r="C99" s="11" t="s">
        <v>178</v>
      </c>
      <c r="E99" s="11" t="str" cm="1">
        <f t="array" ref="E99">_xlfn.IFS(
    COUNTIF(Herramientas_eléctricas1862[Herramientas_eléctricas], B99) &gt; 0, Herramientas_eléctricas1862[[#Headers],[Herramientas_eléctricas]],
    COUNTIF(Herramientas_neumáticas1963[Herramientas_neumáticas], B99) &gt; 0, Herramientas_neumáticas1963[[#Headers],[Herramientas_neumáticas]],
    COUNTIF(Herramientas_de_medición2064[Herramientas_de_medición], B99) &gt; 0, Herramientas_de_medición2064[[#Headers],[Herramientas_de_medición]],
    COUNTIF(Herrramientas_mecánicas2165[Herramientas_mecánicas], B99) &gt; 0, Herrramientas_mecánicas2165[[#Headers],[Herramientas_mecánicas]],
    COUNTIF(AK99:AK105, B99) &gt; 0, Herramientas_hidráulicas2266[[#Headers],[Herramientas_hidráulicas]],
    COUNTIF(EPP_2367[SPCC], B99) &gt; 0, EPP_2367[[#Headers],[SPCC]],
   COUNTIF(Herramientas_de_izaje2468[Herramientas_de_izaje], B99) &gt; 0, Herramientas_de_izaje2468[[#Headers],[Herramientas_de_izaje]],
COUNTIF(Tabla162670[Equipos], B99) &gt; 0, Tabla162670[[#Headers],[Equipos]],
    TRUE, "Sin clasificación"
)</f>
        <v>Herramientas_eléctricas</v>
      </c>
      <c r="F99" s="15"/>
      <c r="G99" s="15" t="s">
        <v>572</v>
      </c>
      <c r="H99" s="47" t="s">
        <v>979</v>
      </c>
      <c r="I99" s="87">
        <v>8</v>
      </c>
      <c r="J99" s="78">
        <v>125</v>
      </c>
      <c r="K99" s="78"/>
      <c r="L99" s="78">
        <v>220</v>
      </c>
      <c r="M99" s="78">
        <v>11000</v>
      </c>
      <c r="N99" t="s">
        <v>980</v>
      </c>
      <c r="O99" s="47">
        <v>123000131</v>
      </c>
      <c r="P99" s="47" t="str">
        <f>_xlfn.LET(
    _xlpm.itemBuscado, B99,
    _xlpm.areaBuscada, C99,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TEXT(COUNTIF($C$2:C99, _xlpm.areaBuscada), "0000"),
    _xlpm.codItem &amp; "-" &amp; _xlpm.codArea &amp; "-" &amp; _xlpm.secuencia
)</f>
        <v>ZE-AM-TG-0025</v>
      </c>
      <c r="R99" s="15"/>
      <c r="T99" s="48"/>
    </row>
    <row r="100" spans="2:20" ht="28.8" x14ac:dyDescent="0.3">
      <c r="B100" t="s">
        <v>23</v>
      </c>
      <c r="C100" s="11" t="s">
        <v>178</v>
      </c>
      <c r="E100" s="11" t="str" cm="1">
        <f t="array" ref="E100">_xlfn.IFS(
    COUNTIF(Herramientas_eléctricas1862[Herramientas_eléctricas], B100) &gt; 0, Herramientas_eléctricas1862[[#Headers],[Herramientas_eléctricas]],
    COUNTIF(Herramientas_neumáticas1963[Herramientas_neumáticas], B100) &gt; 0, Herramientas_neumáticas1963[[#Headers],[Herramientas_neumáticas]],
    COUNTIF(Herramientas_de_medición2064[Herramientas_de_medición], B100) &gt; 0, Herramientas_de_medición2064[[#Headers],[Herramientas_de_medición]],
    COUNTIF(Herrramientas_mecánicas2165[Herramientas_mecánicas], B100) &gt; 0, Herrramientas_mecánicas2165[[#Headers],[Herramientas_mecánicas]],
    COUNTIF(AK100:AK106, B100) &gt; 0, Herramientas_hidráulicas2266[[#Headers],[Herramientas_hidráulicas]],
    COUNTIF(EPP_2367[SPCC], B100) &gt; 0, EPP_2367[[#Headers],[SPCC]],
   COUNTIF(Herramientas_de_izaje2468[Herramientas_de_izaje], B100) &gt; 0, Herramientas_de_izaje2468[[#Headers],[Herramientas_de_izaje]],
COUNTIF(Tabla162670[Equipos], B100) &gt; 0, Tabla162670[[#Headers],[Equipos]],
    TRUE, "Sin clasificación"
)</f>
        <v>Herramientas_eléctricas</v>
      </c>
      <c r="F100" s="15"/>
      <c r="G100" s="15" t="s">
        <v>572</v>
      </c>
      <c r="H100" s="47" t="s">
        <v>984</v>
      </c>
      <c r="I100" s="87"/>
      <c r="J100" s="78" t="s">
        <v>985</v>
      </c>
      <c r="K100" s="78"/>
      <c r="L100" s="78"/>
      <c r="M100" s="78"/>
      <c r="N100" t="s">
        <v>804</v>
      </c>
      <c r="O100" s="47">
        <v>71997</v>
      </c>
      <c r="P100" s="47" t="str">
        <f>_xlfn.LET(
    _xlpm.itemBuscado, B100,
    _xlpm.areaBuscada, C100,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TEXT(COUNTIF($C$2:C100, _xlpm.areaBuscada), "0000"),
    _xlpm.codItem &amp; "-" &amp; _xlpm.codArea &amp; "-" &amp; _xlpm.secuencia
)</f>
        <v>ZE-AM-TG-0026</v>
      </c>
      <c r="R100" s="15"/>
      <c r="T100" s="48"/>
    </row>
    <row r="101" spans="2:20" x14ac:dyDescent="0.3">
      <c r="B101" t="s">
        <v>23</v>
      </c>
      <c r="C101" s="11" t="s">
        <v>173</v>
      </c>
      <c r="E101" s="11" t="str" cm="1">
        <f t="array" ref="E101">_xlfn.IFS(
    COUNTIF(Herramientas_eléctricas1862[Herramientas_eléctricas], B101) &gt; 0, Herramientas_eléctricas1862[[#Headers],[Herramientas_eléctricas]],
    COUNTIF(Herramientas_neumáticas1963[Herramientas_neumáticas], B101) &gt; 0, Herramientas_neumáticas1963[[#Headers],[Herramientas_neumáticas]],
    COUNTIF(Herramientas_de_medición2064[Herramientas_de_medición], B101) &gt; 0, Herramientas_de_medición2064[[#Headers],[Herramientas_de_medición]],
    COUNTIF(Herrramientas_mecánicas2165[Herramientas_mecánicas], B101) &gt; 0, Herrramientas_mecánicas2165[[#Headers],[Herramientas_mecánicas]],
    COUNTIF(AK101:AK107, B101) &gt; 0, Herramientas_hidráulicas2266[[#Headers],[Herramientas_hidráulicas]],
    COUNTIF(EPP_2367[SPCC], B101) &gt; 0, EPP_2367[[#Headers],[SPCC]],
   COUNTIF(Herramientas_de_izaje2468[Herramientas_de_izaje], B101) &gt; 0, Herramientas_de_izaje2468[[#Headers],[Herramientas_de_izaje]],
COUNTIF(Tabla162670[Equipos], B101) &gt; 0, Tabla162670[[#Headers],[Equipos]],
    TRUE, "Sin clasificación"
)</f>
        <v>Herramientas_eléctricas</v>
      </c>
      <c r="F101" s="15"/>
      <c r="G101" s="15" t="s">
        <v>796</v>
      </c>
      <c r="H101" s="47" t="s">
        <v>1010</v>
      </c>
      <c r="I101" s="87"/>
      <c r="J101" s="78" t="s">
        <v>896</v>
      </c>
      <c r="K101" s="78"/>
      <c r="L101" s="78"/>
      <c r="M101" s="78">
        <v>11000</v>
      </c>
      <c r="N101" t="s">
        <v>1011</v>
      </c>
      <c r="O101" s="47"/>
      <c r="P101" s="47" t="str">
        <f>_xlfn.LET(
    _xlpm.itemBuscado, B101,
    _xlpm.areaBuscada, C101,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TEXT(COUNTIF($C$2:C101, _xlpm.areaBuscada), "0000"),
    _xlpm.codItem &amp; "-" &amp; _xlpm.codArea &amp; "-" &amp; _xlpm.secuencia
)</f>
        <v>ZE-AM-FL-0019</v>
      </c>
      <c r="R101" s="15" t="s">
        <v>1009</v>
      </c>
      <c r="T101" s="48"/>
    </row>
    <row r="102" spans="2:20" x14ac:dyDescent="0.3">
      <c r="B102" t="s">
        <v>23</v>
      </c>
      <c r="C102" s="11" t="s">
        <v>173</v>
      </c>
      <c r="E102" s="11" t="str" cm="1">
        <f t="array" ref="E102">_xlfn.IFS(
    COUNTIF(Herramientas_eléctricas1862[Herramientas_eléctricas], B102) &gt; 0, Herramientas_eléctricas1862[[#Headers],[Herramientas_eléctricas]],
    COUNTIF(Herramientas_neumáticas1963[Herramientas_neumáticas], B102) &gt; 0, Herramientas_neumáticas1963[[#Headers],[Herramientas_neumáticas]],
    COUNTIF(Herramientas_de_medición2064[Herramientas_de_medición], B102) &gt; 0, Herramientas_de_medición2064[[#Headers],[Herramientas_de_medición]],
    COUNTIF(Herrramientas_mecánicas2165[Herramientas_mecánicas], B102) &gt; 0, Herrramientas_mecánicas2165[[#Headers],[Herramientas_mecánicas]],
    COUNTIF(AK102:AK108, B102) &gt; 0, Herramientas_hidráulicas2266[[#Headers],[Herramientas_hidráulicas]],
    COUNTIF(EPP_2367[SPCC], B102) &gt; 0, EPP_2367[[#Headers],[SPCC]],
   COUNTIF(Herramientas_de_izaje2468[Herramientas_de_izaje], B102) &gt; 0, Herramientas_de_izaje2468[[#Headers],[Herramientas_de_izaje]],
COUNTIF(Tabla162670[Equipos], B102) &gt; 0, Tabla162670[[#Headers],[Equipos]],
    TRUE, "Sin clasificación"
)</f>
        <v>Herramientas_eléctricas</v>
      </c>
      <c r="F102" s="15"/>
      <c r="G102" s="15" t="s">
        <v>572</v>
      </c>
      <c r="H102" s="47" t="s">
        <v>789</v>
      </c>
      <c r="I102" s="87"/>
      <c r="J102" s="78" t="s">
        <v>1013</v>
      </c>
      <c r="K102" s="78"/>
      <c r="L102" s="78"/>
      <c r="M102" s="78">
        <v>8500</v>
      </c>
      <c r="N102" t="s">
        <v>1012</v>
      </c>
      <c r="O102" s="47"/>
      <c r="P102" s="47" t="str">
        <f>_xlfn.LET(
    _xlpm.itemBuscado, B102,
    _xlpm.areaBuscada, C102,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TEXT(COUNTIF($C$2:C102, _xlpm.areaBuscada), "0000"),
    _xlpm.codItem &amp; "-" &amp; _xlpm.codArea &amp; "-" &amp; _xlpm.secuencia
)</f>
        <v>ZE-AM-FL-0020</v>
      </c>
      <c r="R102" s="15" t="s">
        <v>1009</v>
      </c>
      <c r="T102" s="48"/>
    </row>
    <row r="103" spans="2:20" x14ac:dyDescent="0.3">
      <c r="B103" t="s">
        <v>23</v>
      </c>
      <c r="C103" s="11" t="s">
        <v>173</v>
      </c>
      <c r="E103" s="11" t="str" cm="1">
        <f t="array" ref="E103">_xlfn.IFS(
    COUNTIF(Herramientas_eléctricas1862[Herramientas_eléctricas], B103) &gt; 0, Herramientas_eléctricas1862[[#Headers],[Herramientas_eléctricas]],
    COUNTIF(Herramientas_neumáticas1963[Herramientas_neumáticas], B103) &gt; 0, Herramientas_neumáticas1963[[#Headers],[Herramientas_neumáticas]],
    COUNTIF(Herramientas_de_medición2064[Herramientas_de_medición], B103) &gt; 0, Herramientas_de_medición2064[[#Headers],[Herramientas_de_medición]],
    COUNTIF(Herrramientas_mecánicas2165[Herramientas_mecánicas], B103) &gt; 0, Herrramientas_mecánicas2165[[#Headers],[Herramientas_mecánicas]],
    COUNTIF(AK103:AK109, B103) &gt; 0, Herramientas_hidráulicas2266[[#Headers],[Herramientas_hidráulicas]],
    COUNTIF(EPP_2367[SPCC], B103) &gt; 0, EPP_2367[[#Headers],[SPCC]],
   COUNTIF(Herramientas_de_izaje2468[Herramientas_de_izaje], B103) &gt; 0, Herramientas_de_izaje2468[[#Headers],[Herramientas_de_izaje]],
COUNTIF(Tabla162670[Equipos], B103) &gt; 0, Tabla162670[[#Headers],[Equipos]],
    TRUE, "Sin clasificación"
)</f>
        <v>Herramientas_eléctricas</v>
      </c>
      <c r="F103" s="15"/>
      <c r="G103" s="15" t="s">
        <v>572</v>
      </c>
      <c r="H103" s="47" t="s">
        <v>1014</v>
      </c>
      <c r="I103" s="87"/>
      <c r="J103" s="78" t="s">
        <v>651</v>
      </c>
      <c r="K103" s="78"/>
      <c r="L103" s="78" t="s">
        <v>616</v>
      </c>
      <c r="M103" s="78">
        <v>11500</v>
      </c>
      <c r="N103" t="s">
        <v>1015</v>
      </c>
      <c r="O103" s="47">
        <v>526000798</v>
      </c>
      <c r="P103" s="47" t="str">
        <f>_xlfn.LET(
    _xlpm.itemBuscado, B103,
    _xlpm.areaBuscada, C103,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TEXT(COUNTIF($C$2:C103, _xlpm.areaBuscada), "0000"),
    _xlpm.codItem &amp; "-" &amp; _xlpm.codArea &amp; "-" &amp; _xlpm.secuencia
)</f>
        <v>ZE-AM-FL-0021</v>
      </c>
      <c r="R103" s="15" t="s">
        <v>1009</v>
      </c>
      <c r="T103" s="48"/>
    </row>
    <row r="104" spans="2:20" ht="28.8" x14ac:dyDescent="0.3">
      <c r="B104" t="s">
        <v>23</v>
      </c>
      <c r="C104" s="11" t="s">
        <v>178</v>
      </c>
      <c r="E104" s="11" t="str" cm="1">
        <f t="array" ref="E104">_xlfn.IFS(
    COUNTIF(Herramientas_eléctricas1862[Herramientas_eléctricas], B104) &gt; 0, Herramientas_eléctricas1862[[#Headers],[Herramientas_eléctricas]],
    COUNTIF(Herramientas_neumáticas1963[Herramientas_neumáticas], B104) &gt; 0, Herramientas_neumáticas1963[[#Headers],[Herramientas_neumáticas]],
    COUNTIF(Herramientas_de_medición2064[Herramientas_de_medición], B104) &gt; 0, Herramientas_de_medición2064[[#Headers],[Herramientas_de_medición]],
    COUNTIF(Herrramientas_mecánicas2165[Herramientas_mecánicas], B104) &gt; 0, Herrramientas_mecánicas2165[[#Headers],[Herramientas_mecánicas]],
    COUNTIF(AK104:AK110, B104) &gt; 0, Herramientas_hidráulicas2266[[#Headers],[Herramientas_hidráulicas]],
    COUNTIF(EPP_2367[SPCC], B104) &gt; 0, EPP_2367[[#Headers],[SPCC]],
   COUNTIF(Herramientas_de_izaje2468[Herramientas_de_izaje], B104) &gt; 0, Herramientas_de_izaje2468[[#Headers],[Herramientas_de_izaje]],
COUNTIF(Tabla162670[Equipos], B104) &gt; 0, Tabla162670[[#Headers],[Equipos]],
    TRUE, "Sin clasificación"
)</f>
        <v>Herramientas_eléctricas</v>
      </c>
      <c r="F104" s="15"/>
      <c r="G104" s="15" t="s">
        <v>572</v>
      </c>
      <c r="H104" s="47" t="s">
        <v>789</v>
      </c>
      <c r="I104" s="87"/>
      <c r="J104" s="78"/>
      <c r="K104" s="78"/>
      <c r="L104" s="78"/>
      <c r="M104" s="78"/>
      <c r="N104" t="s">
        <v>1018</v>
      </c>
      <c r="O104" s="47"/>
      <c r="P104" s="47" t="str">
        <f>_xlfn.LET(
    _xlpm.itemBuscado, B104,
    _xlpm.areaBuscada, C104,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TEXT(COUNTIF($C$2:C104, _xlpm.areaBuscada), "0000"),
    _xlpm.codItem &amp; "-" &amp; _xlpm.codArea &amp; "-" &amp; _xlpm.secuencia
)</f>
        <v>ZE-AM-TG-0027</v>
      </c>
      <c r="R104" s="15"/>
      <c r="T104" s="48"/>
    </row>
    <row r="105" spans="2:20" ht="28.8" x14ac:dyDescent="0.3">
      <c r="B105" t="s">
        <v>23</v>
      </c>
      <c r="C105" s="11" t="s">
        <v>178</v>
      </c>
      <c r="E105" s="11" t="str" cm="1">
        <f t="array" ref="E105">_xlfn.IFS(
    COUNTIF(Herramientas_eléctricas1862[Herramientas_eléctricas], B105) &gt; 0, Herramientas_eléctricas1862[[#Headers],[Herramientas_eléctricas]],
    COUNTIF(Herramientas_neumáticas1963[Herramientas_neumáticas], B105) &gt; 0, Herramientas_neumáticas1963[[#Headers],[Herramientas_neumáticas]],
    COUNTIF(Herramientas_de_medición2064[Herramientas_de_medición], B105) &gt; 0, Herramientas_de_medición2064[[#Headers],[Herramientas_de_medición]],
    COUNTIF(Herrramientas_mecánicas2165[Herramientas_mecánicas], B105) &gt; 0, Herrramientas_mecánicas2165[[#Headers],[Herramientas_mecánicas]],
    COUNTIF(AK105:AK111, B105) &gt; 0, Herramientas_hidráulicas2266[[#Headers],[Herramientas_hidráulicas]],
    COUNTIF(EPP_2367[SPCC], B105) &gt; 0, EPP_2367[[#Headers],[SPCC]],
   COUNTIF(Herramientas_de_izaje2468[Herramientas_de_izaje], B105) &gt; 0, Herramientas_de_izaje2468[[#Headers],[Herramientas_de_izaje]],
COUNTIF(Tabla162670[Equipos], B105) &gt; 0, Tabla162670[[#Headers],[Equipos]],
    TRUE, "Sin clasificación"
)</f>
        <v>Herramientas_eléctricas</v>
      </c>
      <c r="F105" s="15"/>
      <c r="G105" s="15" t="s">
        <v>611</v>
      </c>
      <c r="H105" s="47" t="s">
        <v>909</v>
      </c>
      <c r="I105" s="87">
        <v>12</v>
      </c>
      <c r="J105" s="78">
        <v>180</v>
      </c>
      <c r="K105" s="78">
        <v>2600</v>
      </c>
      <c r="L105" s="78" t="s">
        <v>605</v>
      </c>
      <c r="M105" s="78">
        <v>8500</v>
      </c>
      <c r="N105" t="s">
        <v>1018</v>
      </c>
      <c r="O105" s="47" t="s">
        <v>1016</v>
      </c>
      <c r="P105" s="47" t="str">
        <f>_xlfn.LET(
    _xlpm.itemBuscado, B105,
    _xlpm.areaBuscada, C105,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TEXT(COUNTIF($C$2:C105, _xlpm.areaBuscada), "0000"),
    _xlpm.codItem &amp; "-" &amp; _xlpm.codArea &amp; "-" &amp; _xlpm.secuencia
)</f>
        <v>ZE-AM-TG-0028</v>
      </c>
      <c r="R105" s="15"/>
      <c r="T105" s="48"/>
    </row>
    <row r="106" spans="2:20" ht="28.8" x14ac:dyDescent="0.3">
      <c r="B106" t="s">
        <v>23</v>
      </c>
      <c r="C106" s="11" t="s">
        <v>178</v>
      </c>
      <c r="E106" s="11" t="str" cm="1">
        <f t="array" ref="E106">_xlfn.IFS(
    COUNTIF(Herramientas_eléctricas1862[Herramientas_eléctricas], B106) &gt; 0, Herramientas_eléctricas1862[[#Headers],[Herramientas_eléctricas]],
    COUNTIF(Herramientas_neumáticas1963[Herramientas_neumáticas], B106) &gt; 0, Herramientas_neumáticas1963[[#Headers],[Herramientas_neumáticas]],
    COUNTIF(Herramientas_de_medición2064[Herramientas_de_medición], B106) &gt; 0, Herramientas_de_medición2064[[#Headers],[Herramientas_de_medición]],
    COUNTIF(Herrramientas_mecánicas2165[Herramientas_mecánicas], B106) &gt; 0, Herrramientas_mecánicas2165[[#Headers],[Herramientas_mecánicas]],
    COUNTIF(AK106:AK112, B106) &gt; 0, Herramientas_hidráulicas2266[[#Headers],[Herramientas_hidráulicas]],
    COUNTIF(EPP_2367[SPCC], B106) &gt; 0, EPP_2367[[#Headers],[SPCC]],
   COUNTIF(Herramientas_de_izaje2468[Herramientas_de_izaje], B106) &gt; 0, Herramientas_de_izaje2468[[#Headers],[Herramientas_de_izaje]],
COUNTIF(Tabla162670[Equipos], B106) &gt; 0, Tabla162670[[#Headers],[Equipos]],
    TRUE, "Sin clasificación"
)</f>
        <v>Herramientas_eléctricas</v>
      </c>
      <c r="F106" s="15"/>
      <c r="G106" s="15" t="s">
        <v>572</v>
      </c>
      <c r="H106" s="47"/>
      <c r="I106" s="87"/>
      <c r="J106" s="78">
        <v>180</v>
      </c>
      <c r="K106" s="78"/>
      <c r="L106" s="78">
        <v>220</v>
      </c>
      <c r="M106" s="78">
        <v>8500</v>
      </c>
      <c r="N106" t="s">
        <v>1018</v>
      </c>
      <c r="O106" s="47" t="s">
        <v>1017</v>
      </c>
      <c r="P106" s="47" t="str">
        <f>_xlfn.LET(
    _xlpm.itemBuscado, B106,
    _xlpm.areaBuscada, C106,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TEXT(COUNTIF($C$2:C106, _xlpm.areaBuscada), "0000"),
    _xlpm.codItem &amp; "-" &amp; _xlpm.codArea &amp; "-" &amp; _xlpm.secuencia
)</f>
        <v>ZE-AM-TG-0029</v>
      </c>
      <c r="R106" s="15"/>
      <c r="T106" s="48"/>
    </row>
    <row r="107" spans="2:20" ht="28.8" x14ac:dyDescent="0.3">
      <c r="B107" t="s">
        <v>23</v>
      </c>
      <c r="C107" s="11" t="s">
        <v>178</v>
      </c>
      <c r="E107" s="11" t="str" cm="1">
        <f t="array" ref="E107">_xlfn.IFS(
    COUNTIF(Herramientas_eléctricas1862[Herramientas_eléctricas], B107) &gt; 0, Herramientas_eléctricas1862[[#Headers],[Herramientas_eléctricas]],
    COUNTIF(Herramientas_neumáticas1963[Herramientas_neumáticas], B107) &gt; 0, Herramientas_neumáticas1963[[#Headers],[Herramientas_neumáticas]],
    COUNTIF(Herramientas_de_medición2064[Herramientas_de_medición], B107) &gt; 0, Herramientas_de_medición2064[[#Headers],[Herramientas_de_medición]],
    COUNTIF(Herrramientas_mecánicas2165[Herramientas_mecánicas], B107) &gt; 0, Herrramientas_mecánicas2165[[#Headers],[Herramientas_mecánicas]],
    COUNTIF(AK107:AK113, B107) &gt; 0, Herramientas_hidráulicas2266[[#Headers],[Herramientas_hidráulicas]],
    COUNTIF(EPP_2367[SPCC], B107) &gt; 0, EPP_2367[[#Headers],[SPCC]],
   COUNTIF(Herramientas_de_izaje2468[Herramientas_de_izaje], B107) &gt; 0, Herramientas_de_izaje2468[[#Headers],[Herramientas_de_izaje]],
COUNTIF(Tabla162670[Equipos], B107) &gt; 0, Tabla162670[[#Headers],[Equipos]],
    TRUE, "Sin clasificación"
)</f>
        <v>Herramientas_eléctricas</v>
      </c>
      <c r="F107" s="15"/>
      <c r="G107" s="15" t="s">
        <v>572</v>
      </c>
      <c r="H107" s="47" t="s">
        <v>752</v>
      </c>
      <c r="I107" s="87"/>
      <c r="J107" s="78">
        <v>125</v>
      </c>
      <c r="K107" s="78">
        <v>1800</v>
      </c>
      <c r="L107" s="78">
        <v>220</v>
      </c>
      <c r="M107" s="78">
        <v>12000</v>
      </c>
      <c r="N107" t="s">
        <v>1018</v>
      </c>
      <c r="O107" s="47">
        <v>321000229</v>
      </c>
      <c r="P107" s="47" t="str">
        <f>_xlfn.LET(
    _xlpm.itemBuscado, B107,
    _xlpm.areaBuscada, C107,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TEXT(COUNTIF($C$2:C107, _xlpm.areaBuscada), "0000"),
    _xlpm.codItem &amp; "-" &amp; _xlpm.codArea &amp; "-" &amp; _xlpm.secuencia
)</f>
        <v>ZE-AM-TG-0030</v>
      </c>
      <c r="R107" s="15"/>
      <c r="T107" s="48"/>
    </row>
    <row r="108" spans="2:20" ht="28.8" x14ac:dyDescent="0.3">
      <c r="B108" t="s">
        <v>23</v>
      </c>
      <c r="C108" s="11" t="s">
        <v>178</v>
      </c>
      <c r="E108" s="11" t="str" cm="1">
        <f t="array" ref="E108">_xlfn.IFS(
    COUNTIF(Herramientas_eléctricas1862[Herramientas_eléctricas], B108) &gt; 0, Herramientas_eléctricas1862[[#Headers],[Herramientas_eléctricas]],
    COUNTIF(Herramientas_neumáticas1963[Herramientas_neumáticas], B108) &gt; 0, Herramientas_neumáticas1963[[#Headers],[Herramientas_neumáticas]],
    COUNTIF(Herramientas_de_medición2064[Herramientas_de_medición], B108) &gt; 0, Herramientas_de_medición2064[[#Headers],[Herramientas_de_medición]],
    COUNTIF(Herrramientas_mecánicas2165[Herramientas_mecánicas], B108) &gt; 0, Herrramientas_mecánicas2165[[#Headers],[Herramientas_mecánicas]],
    COUNTIF(AK108:AK114, B108) &gt; 0, Herramientas_hidráulicas2266[[#Headers],[Herramientas_hidráulicas]],
    COUNTIF(EPP_2367[SPCC], B108) &gt; 0, EPP_2367[[#Headers],[SPCC]],
   COUNTIF(Herramientas_de_izaje2468[Herramientas_de_izaje], B108) &gt; 0, Herramientas_de_izaje2468[[#Headers],[Herramientas_de_izaje]],
COUNTIF(Tabla162670[Equipos], B108) &gt; 0, Tabla162670[[#Headers],[Equipos]],
    TRUE, "Sin clasificación"
)</f>
        <v>Herramientas_eléctricas</v>
      </c>
      <c r="F108" s="15"/>
      <c r="G108" s="15" t="s">
        <v>572</v>
      </c>
      <c r="H108" s="47"/>
      <c r="I108" s="87"/>
      <c r="J108" s="78">
        <v>125</v>
      </c>
      <c r="K108" s="78"/>
      <c r="L108" s="78">
        <v>220</v>
      </c>
      <c r="M108" s="78">
        <v>12000</v>
      </c>
      <c r="N108" t="s">
        <v>1018</v>
      </c>
      <c r="O108" s="47"/>
      <c r="P108" s="47" t="str">
        <f>_xlfn.LET(
    _xlpm.itemBuscado, B108,
    _xlpm.areaBuscada, C108,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TEXT(COUNTIF($C$2:C108, _xlpm.areaBuscada), "0000"),
    _xlpm.codItem &amp; "-" &amp; _xlpm.codArea &amp; "-" &amp; _xlpm.secuencia
)</f>
        <v>ZE-AM-TG-0031</v>
      </c>
      <c r="R108" s="15"/>
      <c r="T108" s="48"/>
    </row>
    <row r="109" spans="2:20" ht="28.8" x14ac:dyDescent="0.3">
      <c r="B109" t="s">
        <v>23</v>
      </c>
      <c r="C109" s="11" t="s">
        <v>178</v>
      </c>
      <c r="E109" s="11" t="str" cm="1">
        <f t="array" ref="E109">_xlfn.IFS(
    COUNTIF(Herramientas_eléctricas1862[Herramientas_eléctricas], B109) &gt; 0, Herramientas_eléctricas1862[[#Headers],[Herramientas_eléctricas]],
    COUNTIF(Herramientas_neumáticas1963[Herramientas_neumáticas], B109) &gt; 0, Herramientas_neumáticas1963[[#Headers],[Herramientas_neumáticas]],
    COUNTIF(Herramientas_de_medición2064[Herramientas_de_medición], B109) &gt; 0, Herramientas_de_medición2064[[#Headers],[Herramientas_de_medición]],
    COUNTIF(Herrramientas_mecánicas2165[Herramientas_mecánicas], B109) &gt; 0, Herrramientas_mecánicas2165[[#Headers],[Herramientas_mecánicas]],
    COUNTIF(AK109:AK115, B109) &gt; 0, Herramientas_hidráulicas2266[[#Headers],[Herramientas_hidráulicas]],
    COUNTIF(EPP_2367[SPCC], B109) &gt; 0, EPP_2367[[#Headers],[SPCC]],
   COUNTIF(Herramientas_de_izaje2468[Herramientas_de_izaje], B109) &gt; 0, Herramientas_de_izaje2468[[#Headers],[Herramientas_de_izaje]],
COUNTIF(Tabla162670[Equipos], B109) &gt; 0, Tabla162670[[#Headers],[Equipos]],
    TRUE, "Sin clasificación"
)</f>
        <v>Herramientas_eléctricas</v>
      </c>
      <c r="F109" s="15"/>
      <c r="G109" s="15" t="s">
        <v>572</v>
      </c>
      <c r="H109" s="47" t="s">
        <v>786</v>
      </c>
      <c r="I109" s="87"/>
      <c r="J109" s="78"/>
      <c r="K109" s="78"/>
      <c r="L109" s="78"/>
      <c r="M109" s="78"/>
      <c r="N109" t="s">
        <v>908</v>
      </c>
      <c r="O109" s="47"/>
      <c r="P109" s="47" t="str">
        <f>_xlfn.LET(
    _xlpm.itemBuscado, B109,
    _xlpm.areaBuscada, C109,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TEXT(COUNTIF($C$2:C109, _xlpm.areaBuscada), "0000"),
    _xlpm.codItem &amp; "-" &amp; _xlpm.codArea &amp; "-" &amp; _xlpm.secuencia
)</f>
        <v>ZE-AM-TG-0032</v>
      </c>
      <c r="R109" s="15"/>
      <c r="T109" s="48"/>
    </row>
    <row r="110" spans="2:20" ht="28.8" x14ac:dyDescent="0.3">
      <c r="B110" t="s">
        <v>23</v>
      </c>
      <c r="C110" s="11" t="s">
        <v>178</v>
      </c>
      <c r="E110" s="11" t="str" cm="1">
        <f t="array" ref="E110">_xlfn.IFS(
    COUNTIF(Herramientas_eléctricas1862[Herramientas_eléctricas], B110) &gt; 0, Herramientas_eléctricas1862[[#Headers],[Herramientas_eléctricas]],
    COUNTIF(Herramientas_neumáticas1963[Herramientas_neumáticas], B110) &gt; 0, Herramientas_neumáticas1963[[#Headers],[Herramientas_neumáticas]],
    COUNTIF(Herramientas_de_medición2064[Herramientas_de_medición], B110) &gt; 0, Herramientas_de_medición2064[[#Headers],[Herramientas_de_medición]],
    COUNTIF(Herrramientas_mecánicas2165[Herramientas_mecánicas], B110) &gt; 0, Herrramientas_mecánicas2165[[#Headers],[Herramientas_mecánicas]],
    COUNTIF(AK110:AK116, B110) &gt; 0, Herramientas_hidráulicas2266[[#Headers],[Herramientas_hidráulicas]],
    COUNTIF(EPP_2367[SPCC], B110) &gt; 0, EPP_2367[[#Headers],[SPCC]],
   COUNTIF(Herramientas_de_izaje2468[Herramientas_de_izaje], B110) &gt; 0, Herramientas_de_izaje2468[[#Headers],[Herramientas_de_izaje]],
COUNTIF(Tabla162670[Equipos], B110) &gt; 0, Tabla162670[[#Headers],[Equipos]],
    TRUE, "Sin clasificación"
)</f>
        <v>Herramientas_eléctricas</v>
      </c>
      <c r="F110" s="15"/>
      <c r="G110" s="15" t="s">
        <v>611</v>
      </c>
      <c r="H110" s="47" t="s">
        <v>912</v>
      </c>
      <c r="I110" s="87">
        <v>3.8</v>
      </c>
      <c r="J110" s="78">
        <v>115</v>
      </c>
      <c r="K110" s="78">
        <v>840</v>
      </c>
      <c r="L110" s="78">
        <v>220</v>
      </c>
      <c r="M110" s="78">
        <v>11000</v>
      </c>
      <c r="N110" t="s">
        <v>964</v>
      </c>
      <c r="O110" s="47">
        <v>1081011</v>
      </c>
      <c r="P110" s="47" t="str">
        <f>_xlfn.LET(
    _xlpm.itemBuscado, B110,
    _xlpm.areaBuscada, C110,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TEXT(COUNTIF($C$2:C110, _xlpm.areaBuscada), "0000"),
    _xlpm.codItem &amp; "-" &amp; _xlpm.codArea &amp; "-" &amp; _xlpm.secuencia
)</f>
        <v>ZE-AM-TG-0033</v>
      </c>
      <c r="R110" s="15"/>
      <c r="T110" s="48"/>
    </row>
    <row r="111" spans="2:20" ht="28.8" x14ac:dyDescent="0.3">
      <c r="B111" t="s">
        <v>23</v>
      </c>
      <c r="C111" s="11" t="s">
        <v>178</v>
      </c>
      <c r="E111" s="11" t="str" cm="1">
        <f t="array" ref="E111">_xlfn.IFS(
    COUNTIF(Herramientas_eléctricas1862[Herramientas_eléctricas], B111) &gt; 0, Herramientas_eléctricas1862[[#Headers],[Herramientas_eléctricas]],
    COUNTIF(Herramientas_neumáticas1963[Herramientas_neumáticas], B111) &gt; 0, Herramientas_neumáticas1963[[#Headers],[Herramientas_neumáticas]],
    COUNTIF(Herramientas_de_medición2064[Herramientas_de_medición], B111) &gt; 0, Herramientas_de_medición2064[[#Headers],[Herramientas_de_medición]],
    COUNTIF(Herrramientas_mecánicas2165[Herramientas_mecánicas], B111) &gt; 0, Herrramientas_mecánicas2165[[#Headers],[Herramientas_mecánicas]],
    COUNTIF(AK111:AK117, B111) &gt; 0, Herramientas_hidráulicas2266[[#Headers],[Herramientas_hidráulicas]],
    COUNTIF(EPP_2367[SPCC], B111) &gt; 0, EPP_2367[[#Headers],[SPCC]],
   COUNTIF(Herramientas_de_izaje2468[Herramientas_de_izaje], B111) &gt; 0, Herramientas_de_izaje2468[[#Headers],[Herramientas_de_izaje]],
COUNTIF(Tabla162670[Equipos], B111) &gt; 0, Tabla162670[[#Headers],[Equipos]],
    TRUE, "Sin clasificación"
)</f>
        <v>Herramientas_eléctricas</v>
      </c>
      <c r="F111" s="15"/>
      <c r="G111" s="15" t="s">
        <v>611</v>
      </c>
      <c r="H111" s="47" t="s">
        <v>913</v>
      </c>
      <c r="I111" s="87">
        <v>6.4</v>
      </c>
      <c r="J111" s="78">
        <v>115</v>
      </c>
      <c r="K111" s="78">
        <v>1400</v>
      </c>
      <c r="L111" s="78" t="s">
        <v>616</v>
      </c>
      <c r="M111" s="78">
        <v>12000</v>
      </c>
      <c r="N111" t="s">
        <v>964</v>
      </c>
      <c r="O111" s="47" t="s">
        <v>1020</v>
      </c>
      <c r="P111" s="47" t="str">
        <f>_xlfn.LET(
    _xlpm.itemBuscado, B111,
    _xlpm.areaBuscada, C111,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TEXT(COUNTIF($C$2:C111, _xlpm.areaBuscada), "0000"),
    _xlpm.codItem &amp; "-" &amp; _xlpm.codArea &amp; "-" &amp; _xlpm.secuencia
)</f>
        <v>ZE-AM-TG-0034</v>
      </c>
      <c r="R111" s="15"/>
      <c r="T111" s="48"/>
    </row>
    <row r="112" spans="2:20" ht="28.8" x14ac:dyDescent="0.3">
      <c r="B112" t="s">
        <v>23</v>
      </c>
      <c r="C112" s="11" t="s">
        <v>178</v>
      </c>
      <c r="E112" s="11" t="str" cm="1">
        <f t="array" ref="E112">_xlfn.IFS(
    COUNTIF(Herramientas_eléctricas1862[Herramientas_eléctricas], B112) &gt; 0, Herramientas_eléctricas1862[[#Headers],[Herramientas_eléctricas]],
    COUNTIF(Herramientas_neumáticas1963[Herramientas_neumáticas], B112) &gt; 0, Herramientas_neumáticas1963[[#Headers],[Herramientas_neumáticas]],
    COUNTIF(Herramientas_de_medición2064[Herramientas_de_medición], B112) &gt; 0, Herramientas_de_medición2064[[#Headers],[Herramientas_de_medición]],
    COUNTIF(Herrramientas_mecánicas2165[Herramientas_mecánicas], B112) &gt; 0, Herrramientas_mecánicas2165[[#Headers],[Herramientas_mecánicas]],
    COUNTIF(AK112:AK118, B112) &gt; 0, Herramientas_hidráulicas2266[[#Headers],[Herramientas_hidráulicas]],
    COUNTIF(EPP_2367[SPCC], B112) &gt; 0, EPP_2367[[#Headers],[SPCC]],
   COUNTIF(Herramientas_de_izaje2468[Herramientas_de_izaje], B112) &gt; 0, Herramientas_de_izaje2468[[#Headers],[Herramientas_de_izaje]],
COUNTIF(Tabla162670[Equipos], B112) &gt; 0, Tabla162670[[#Headers],[Equipos]],
    TRUE, "Sin clasificación"
)</f>
        <v>Herramientas_eléctricas</v>
      </c>
      <c r="F112" s="15"/>
      <c r="G112" s="15" t="s">
        <v>572</v>
      </c>
      <c r="H112" s="47" t="s">
        <v>789</v>
      </c>
      <c r="I112" s="87">
        <v>13.4</v>
      </c>
      <c r="J112" s="78">
        <v>180</v>
      </c>
      <c r="K112" s="78">
        <v>2800</v>
      </c>
      <c r="L112" s="78">
        <v>220</v>
      </c>
      <c r="M112" s="78">
        <v>8300</v>
      </c>
      <c r="N112" t="s">
        <v>964</v>
      </c>
      <c r="O112" s="47">
        <v>325200985</v>
      </c>
      <c r="P112" s="47" t="str">
        <f>_xlfn.LET(
    _xlpm.itemBuscado, B112,
    _xlpm.areaBuscada, C112,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TEXT(COUNTIF($C$2:C112, _xlpm.areaBuscada), "0000"),
    _xlpm.codItem &amp; "-" &amp; _xlpm.codArea &amp; "-" &amp; _xlpm.secuencia
)</f>
        <v>ZE-AM-TG-0035</v>
      </c>
      <c r="R112" s="15"/>
      <c r="T112" s="48"/>
    </row>
    <row r="113" spans="2:20" ht="28.8" x14ac:dyDescent="0.3">
      <c r="B113" t="s">
        <v>23</v>
      </c>
      <c r="C113" s="11" t="s">
        <v>178</v>
      </c>
      <c r="E113" s="11" t="str" cm="1">
        <f t="array" ref="E113">_xlfn.IFS(
    COUNTIF(Herramientas_eléctricas1862[Herramientas_eléctricas], B113) &gt; 0, Herramientas_eléctricas1862[[#Headers],[Herramientas_eléctricas]],
    COUNTIF(Herramientas_neumáticas1963[Herramientas_neumáticas], B113) &gt; 0, Herramientas_neumáticas1963[[#Headers],[Herramientas_neumáticas]],
    COUNTIF(Herramientas_de_medición2064[Herramientas_de_medición], B113) &gt; 0, Herramientas_de_medición2064[[#Headers],[Herramientas_de_medición]],
    COUNTIF(Herrramientas_mecánicas2165[Herramientas_mecánicas], B113) &gt; 0, Herrramientas_mecánicas2165[[#Headers],[Herramientas_mecánicas]],
    COUNTIF(AK113:AK119, B113) &gt; 0, Herramientas_hidráulicas2266[[#Headers],[Herramientas_hidráulicas]],
    COUNTIF(EPP_2367[SPCC], B113) &gt; 0, EPP_2367[[#Headers],[SPCC]],
   COUNTIF(Herramientas_de_izaje2468[Herramientas_de_izaje], B113) &gt; 0, Herramientas_de_izaje2468[[#Headers],[Herramientas_de_izaje]],
COUNTIF(Tabla162670[Equipos], B113) &gt; 0, Tabla162670[[#Headers],[Equipos]],
    TRUE, "Sin clasificación"
)</f>
        <v>Herramientas_eléctricas</v>
      </c>
      <c r="F113" s="15"/>
      <c r="G113" s="15" t="s">
        <v>611</v>
      </c>
      <c r="H113" s="47" t="s">
        <v>1021</v>
      </c>
      <c r="I113" s="87">
        <v>12</v>
      </c>
      <c r="J113" s="78">
        <v>180</v>
      </c>
      <c r="K113" s="78">
        <v>2600</v>
      </c>
      <c r="L113" s="78" t="s">
        <v>605</v>
      </c>
      <c r="M113" s="78">
        <v>8500</v>
      </c>
      <c r="N113" t="s">
        <v>942</v>
      </c>
      <c r="O113" s="47" t="s">
        <v>1022</v>
      </c>
      <c r="P113" s="47" t="str">
        <f>_xlfn.LET(
    _xlpm.itemBuscado, B113,
    _xlpm.areaBuscada, C113,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TEXT(COUNTIF($C$2:C113, _xlpm.areaBuscada), "0000"),
    _xlpm.codItem &amp; "-" &amp; _xlpm.codArea &amp; "-" &amp; _xlpm.secuencia
)</f>
        <v>ZE-AM-TG-0036</v>
      </c>
      <c r="R113" s="15"/>
      <c r="T113" s="48"/>
    </row>
    <row r="114" spans="2:20" ht="28.8" x14ac:dyDescent="0.3">
      <c r="B114" t="s">
        <v>23</v>
      </c>
      <c r="C114" s="11" t="s">
        <v>178</v>
      </c>
      <c r="E114" s="11" t="str" cm="1">
        <f t="array" ref="E114">_xlfn.IFS(
    COUNTIF(Herramientas_eléctricas1862[Herramientas_eléctricas], B114) &gt; 0, Herramientas_eléctricas1862[[#Headers],[Herramientas_eléctricas]],
    COUNTIF(Herramientas_neumáticas1963[Herramientas_neumáticas], B114) &gt; 0, Herramientas_neumáticas1963[[#Headers],[Herramientas_neumáticas]],
    COUNTIF(Herramientas_de_medición2064[Herramientas_de_medición], B114) &gt; 0, Herramientas_de_medición2064[[#Headers],[Herramientas_de_medición]],
    COUNTIF(Herrramientas_mecánicas2165[Herramientas_mecánicas], B114) &gt; 0, Herrramientas_mecánicas2165[[#Headers],[Herramientas_mecánicas]],
    COUNTIF(AK114:AK120, B114) &gt; 0, Herramientas_hidráulicas2266[[#Headers],[Herramientas_hidráulicas]],
    COUNTIF(EPP_2367[SPCC], B114) &gt; 0, EPP_2367[[#Headers],[SPCC]],
   COUNTIF(Herramientas_de_izaje2468[Herramientas_de_izaje], B114) &gt; 0, Herramientas_de_izaje2468[[#Headers],[Herramientas_de_izaje]],
COUNTIF(Tabla162670[Equipos], B114) &gt; 0, Tabla162670[[#Headers],[Equipos]],
    TRUE, "Sin clasificación"
)</f>
        <v>Herramientas_eléctricas</v>
      </c>
      <c r="F114" s="15"/>
      <c r="G114" s="15" t="s">
        <v>572</v>
      </c>
      <c r="H114" s="47" t="s">
        <v>1023</v>
      </c>
      <c r="I114" s="87"/>
      <c r="J114" s="78"/>
      <c r="K114" s="78"/>
      <c r="L114" s="78"/>
      <c r="M114" s="78"/>
      <c r="N114" t="s">
        <v>942</v>
      </c>
      <c r="O114" s="47"/>
      <c r="P114" s="47" t="str">
        <f>_xlfn.LET(
    _xlpm.itemBuscado, B114,
    _xlpm.areaBuscada, C114,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TEXT(COUNTIF($C$2:C114, _xlpm.areaBuscada), "0000"),
    _xlpm.codItem &amp; "-" &amp; _xlpm.codArea &amp; "-" &amp; _xlpm.secuencia
)</f>
        <v>ZE-AM-TG-0037</v>
      </c>
      <c r="R114" s="15"/>
      <c r="T114" s="48"/>
    </row>
    <row r="115" spans="2:20" ht="28.8" x14ac:dyDescent="0.3">
      <c r="B115" t="s">
        <v>23</v>
      </c>
      <c r="C115" s="11" t="s">
        <v>178</v>
      </c>
      <c r="E115" s="11" t="str" cm="1">
        <f t="array" ref="E115">_xlfn.IFS(
    COUNTIF(Herramientas_eléctricas1862[Herramientas_eléctricas], B115) &gt; 0, Herramientas_eléctricas1862[[#Headers],[Herramientas_eléctricas]],
    COUNTIF(Herramientas_neumáticas1963[Herramientas_neumáticas], B115) &gt; 0, Herramientas_neumáticas1963[[#Headers],[Herramientas_neumáticas]],
    COUNTIF(Herramientas_de_medición2064[Herramientas_de_medición], B115) &gt; 0, Herramientas_de_medición2064[[#Headers],[Herramientas_de_medición]],
    COUNTIF(Herrramientas_mecánicas2165[Herramientas_mecánicas], B115) &gt; 0, Herrramientas_mecánicas2165[[#Headers],[Herramientas_mecánicas]],
    COUNTIF(AK115:AK121, B115) &gt; 0, Herramientas_hidráulicas2266[[#Headers],[Herramientas_hidráulicas]],
    COUNTIF(EPP_2367[SPCC], B115) &gt; 0, EPP_2367[[#Headers],[SPCC]],
   COUNTIF(Herramientas_de_izaje2468[Herramientas_de_izaje], B115) &gt; 0, Herramientas_de_izaje2468[[#Headers],[Herramientas_de_izaje]],
COUNTIF(Tabla162670[Equipos], B115) &gt; 0, Tabla162670[[#Headers],[Equipos]],
    TRUE, "Sin clasificación"
)</f>
        <v>Herramientas_eléctricas</v>
      </c>
      <c r="F115" s="15"/>
      <c r="G115" s="15" t="s">
        <v>572</v>
      </c>
      <c r="H115" s="47" t="s">
        <v>1024</v>
      </c>
      <c r="I115" s="87"/>
      <c r="J115" s="78">
        <v>125</v>
      </c>
      <c r="K115" s="78">
        <v>1700</v>
      </c>
      <c r="L115" s="78" t="s">
        <v>616</v>
      </c>
      <c r="M115" s="78">
        <v>11500</v>
      </c>
      <c r="N115" t="s">
        <v>942</v>
      </c>
      <c r="O115" s="47">
        <v>123000165</v>
      </c>
      <c r="P115" s="47" t="str">
        <f>_xlfn.LET(
    _xlpm.itemBuscado, B115,
    _xlpm.areaBuscada, C115,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TEXT(COUNTIF($C$2:C115, _xlpm.areaBuscada), "0000"),
    _xlpm.codItem &amp; "-" &amp; _xlpm.codArea &amp; "-" &amp; _xlpm.secuencia
)</f>
        <v>ZE-AM-TG-0038</v>
      </c>
      <c r="R115" s="15"/>
      <c r="T115" s="48"/>
    </row>
    <row r="116" spans="2:20" x14ac:dyDescent="0.3">
      <c r="B116" t="s">
        <v>23</v>
      </c>
      <c r="C116" s="11" t="s">
        <v>173</v>
      </c>
      <c r="E116" s="11" t="str" cm="1">
        <f t="array" ref="E116">_xlfn.IFS(
    COUNTIF(Herramientas_eléctricas1862[Herramientas_eléctricas], B116) &gt; 0, Herramientas_eléctricas1862[[#Headers],[Herramientas_eléctricas]],
    COUNTIF(Herramientas_neumáticas1963[Herramientas_neumáticas], B116) &gt; 0, Herramientas_neumáticas1963[[#Headers],[Herramientas_neumáticas]],
    COUNTIF(Herramientas_de_medición2064[Herramientas_de_medición], B116) &gt; 0, Herramientas_de_medición2064[[#Headers],[Herramientas_de_medición]],
    COUNTIF(Herrramientas_mecánicas2165[Herramientas_mecánicas], B116) &gt; 0, Herrramientas_mecánicas2165[[#Headers],[Herramientas_mecánicas]],
    COUNTIF(AK116:AK122, B116) &gt; 0, Herramientas_hidráulicas2266[[#Headers],[Herramientas_hidráulicas]],
    COUNTIF(EPP_2367[SPCC], B116) &gt; 0, EPP_2367[[#Headers],[SPCC]],
   COUNTIF(Herramientas_de_izaje2468[Herramientas_de_izaje], B116) &gt; 0, Herramientas_de_izaje2468[[#Headers],[Herramientas_de_izaje]],
COUNTIF(Tabla162670[Equipos], B116) &gt; 0, Tabla162670[[#Headers],[Equipos]],
    TRUE, "Sin clasificación"
)</f>
        <v>Herramientas_eléctricas</v>
      </c>
      <c r="F116" s="15"/>
      <c r="G116" s="15" t="s">
        <v>572</v>
      </c>
      <c r="H116" s="47" t="s">
        <v>1027</v>
      </c>
      <c r="I116" s="87"/>
      <c r="J116" s="78">
        <v>125</v>
      </c>
      <c r="K116" s="78">
        <v>1700</v>
      </c>
      <c r="L116" s="78" t="s">
        <v>616</v>
      </c>
      <c r="M116" s="78">
        <v>11500</v>
      </c>
      <c r="O116" s="47">
        <v>526000843</v>
      </c>
      <c r="P116" s="47" t="str">
        <f>_xlfn.LET(
    _xlpm.itemBuscado, B116,
    _xlpm.areaBuscada, C116,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TEXT(COUNTIF($C$2:C116, _xlpm.areaBuscada), "0000"),
    _xlpm.codItem &amp; "-" &amp; _xlpm.codArea &amp; "-" &amp; _xlpm.secuencia
)</f>
        <v>ZE-AM-FL-0022</v>
      </c>
      <c r="R116" s="15" t="s">
        <v>1028</v>
      </c>
      <c r="T116" s="48"/>
    </row>
    <row r="117" spans="2:20" x14ac:dyDescent="0.3">
      <c r="B117" t="s">
        <v>23</v>
      </c>
      <c r="C117" s="11" t="s">
        <v>173</v>
      </c>
      <c r="E117" s="11" t="str" cm="1">
        <f t="array" ref="E117">_xlfn.IFS(
    COUNTIF(Herramientas_eléctricas1862[Herramientas_eléctricas], B117) &gt; 0, Herramientas_eléctricas1862[[#Headers],[Herramientas_eléctricas]],
    COUNTIF(Herramientas_neumáticas1963[Herramientas_neumáticas], B117) &gt; 0, Herramientas_neumáticas1963[[#Headers],[Herramientas_neumáticas]],
    COUNTIF(Herramientas_de_medición2064[Herramientas_de_medición], B117) &gt; 0, Herramientas_de_medición2064[[#Headers],[Herramientas_de_medición]],
    COUNTIF(Herrramientas_mecánicas2165[Herramientas_mecánicas], B117) &gt; 0, Herrramientas_mecánicas2165[[#Headers],[Herramientas_mecánicas]],
    COUNTIF(AK117:AK123, B117) &gt; 0, Herramientas_hidráulicas2266[[#Headers],[Herramientas_hidráulicas]],
    COUNTIF(EPP_2367[SPCC], B117) &gt; 0, EPP_2367[[#Headers],[SPCC]],
   COUNTIF(Herramientas_de_izaje2468[Herramientas_de_izaje], B117) &gt; 0, Herramientas_de_izaje2468[[#Headers],[Herramientas_de_izaje]],
COUNTIF(Tabla162670[Equipos], B117) &gt; 0, Tabla162670[[#Headers],[Equipos]],
    TRUE, "Sin clasificación"
)</f>
        <v>Herramientas_eléctricas</v>
      </c>
      <c r="F117" s="15"/>
      <c r="G117" s="15" t="s">
        <v>572</v>
      </c>
      <c r="H117" s="47" t="s">
        <v>806</v>
      </c>
      <c r="I117" s="87"/>
      <c r="J117" s="78"/>
      <c r="K117" s="78"/>
      <c r="L117" s="78"/>
      <c r="M117" s="78"/>
      <c r="O117" s="47"/>
      <c r="P117" s="47" t="str">
        <f>_xlfn.LET(
    _xlpm.itemBuscado, B117,
    _xlpm.areaBuscada, C117,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TEXT(COUNTIF($C$2:C117, _xlpm.areaBuscada), "0000"),
    _xlpm.codItem &amp; "-" &amp; _xlpm.codArea &amp; "-" &amp; _xlpm.secuencia
)</f>
        <v>ZE-AM-FL-0023</v>
      </c>
      <c r="R117" s="15" t="s">
        <v>1029</v>
      </c>
      <c r="T117" s="48"/>
    </row>
    <row r="118" spans="2:20" ht="28.8" x14ac:dyDescent="0.3">
      <c r="B118" t="s">
        <v>23</v>
      </c>
      <c r="C118" s="11" t="s">
        <v>178</v>
      </c>
      <c r="E118" s="11" t="str" cm="1">
        <f t="array" ref="E118">_xlfn.IFS(
    COUNTIF(Herramientas_eléctricas1862[Herramientas_eléctricas], B118) &gt; 0, Herramientas_eléctricas1862[[#Headers],[Herramientas_eléctricas]],
    COUNTIF(Herramientas_neumáticas1963[Herramientas_neumáticas], B118) &gt; 0, Herramientas_neumáticas1963[[#Headers],[Herramientas_neumáticas]],
    COUNTIF(Herramientas_de_medición2064[Herramientas_de_medición], B118) &gt; 0, Herramientas_de_medición2064[[#Headers],[Herramientas_de_medición]],
    COUNTIF(Herrramientas_mecánicas2165[Herramientas_mecánicas], B118) &gt; 0, Herrramientas_mecánicas2165[[#Headers],[Herramientas_mecánicas]],
    COUNTIF(AK118:AK124, B118) &gt; 0, Herramientas_hidráulicas2266[[#Headers],[Herramientas_hidráulicas]],
    COUNTIF(EPP_2367[SPCC], B118) &gt; 0, EPP_2367[[#Headers],[SPCC]],
   COUNTIF(Herramientas_de_izaje2468[Herramientas_de_izaje], B118) &gt; 0, Herramientas_de_izaje2468[[#Headers],[Herramientas_de_izaje]],
COUNTIF(Tabla162670[Equipos], B118) &gt; 0, Tabla162670[[#Headers],[Equipos]],
    TRUE, "Sin clasificación"
)</f>
        <v>Herramientas_eléctricas</v>
      </c>
      <c r="F118" s="15"/>
      <c r="G118" s="15" t="s">
        <v>572</v>
      </c>
      <c r="H118" s="47" t="s">
        <v>806</v>
      </c>
      <c r="I118" s="87"/>
      <c r="J118" s="78"/>
      <c r="K118" s="78"/>
      <c r="L118" s="78"/>
      <c r="M118" s="78"/>
      <c r="N118" t="s">
        <v>1032</v>
      </c>
      <c r="O118" s="47"/>
      <c r="P118" s="47" t="str">
        <f>_xlfn.LET(
    _xlpm.itemBuscado, B118,
    _xlpm.areaBuscada, C118,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TEXT(COUNTIF($C$2:C118, _xlpm.areaBuscada), "0000"),
    _xlpm.codItem &amp; "-" &amp; _xlpm.codArea &amp; "-" &amp; _xlpm.secuencia
)</f>
        <v>ZE-AM-TG-0039</v>
      </c>
      <c r="R118" s="15" t="s">
        <v>1037</v>
      </c>
      <c r="T118" s="48"/>
    </row>
    <row r="119" spans="2:20" ht="28.8" x14ac:dyDescent="0.3">
      <c r="B119" t="s">
        <v>23</v>
      </c>
      <c r="C119" s="11" t="s">
        <v>178</v>
      </c>
      <c r="E119" s="11" t="str" cm="1">
        <f t="array" ref="E119">_xlfn.IFS(
    COUNTIF(Herramientas_eléctricas1862[Herramientas_eléctricas], B119) &gt; 0, Herramientas_eléctricas1862[[#Headers],[Herramientas_eléctricas]],
    COUNTIF(Herramientas_neumáticas1963[Herramientas_neumáticas], B119) &gt; 0, Herramientas_neumáticas1963[[#Headers],[Herramientas_neumáticas]],
    COUNTIF(Herramientas_de_medición2064[Herramientas_de_medición], B119) &gt; 0, Herramientas_de_medición2064[[#Headers],[Herramientas_de_medición]],
    COUNTIF(Herrramientas_mecánicas2165[Herramientas_mecánicas], B119) &gt; 0, Herrramientas_mecánicas2165[[#Headers],[Herramientas_mecánicas]],
    COUNTIF(AK119:AK125, B119) &gt; 0, Herramientas_hidráulicas2266[[#Headers],[Herramientas_hidráulicas]],
    COUNTIF(EPP_2367[SPCC], B119) &gt; 0, EPP_2367[[#Headers],[SPCC]],
   COUNTIF(Herramientas_de_izaje2468[Herramientas_de_izaje], B119) &gt; 0, Herramientas_de_izaje2468[[#Headers],[Herramientas_de_izaje]],
COUNTIF(Tabla162670[Equipos], B119) &gt; 0, Tabla162670[[#Headers],[Equipos]],
    TRUE, "Sin clasificación"
)</f>
        <v>Herramientas_eléctricas</v>
      </c>
      <c r="F119" s="15"/>
      <c r="G119" s="15" t="s">
        <v>611</v>
      </c>
      <c r="H119" s="47" t="s">
        <v>1033</v>
      </c>
      <c r="I119" s="87">
        <v>6.4</v>
      </c>
      <c r="J119" s="78">
        <v>115</v>
      </c>
      <c r="K119" s="78">
        <v>1400</v>
      </c>
      <c r="L119" s="78" t="s">
        <v>616</v>
      </c>
      <c r="M119" s="78">
        <v>12000</v>
      </c>
      <c r="N119" t="s">
        <v>1032</v>
      </c>
      <c r="O119" s="47"/>
      <c r="P119" s="47" t="str">
        <f>_xlfn.LET(
    _xlpm.itemBuscado, B119,
    _xlpm.areaBuscada, C119,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TEXT(COUNTIF($C$2:C119, _xlpm.areaBuscada), "0000"),
    _xlpm.codItem &amp; "-" &amp; _xlpm.codArea &amp; "-" &amp; _xlpm.secuencia
)</f>
        <v>ZE-AM-TG-0040</v>
      </c>
      <c r="R119" s="15"/>
      <c r="T119" s="48"/>
    </row>
    <row r="120" spans="2:20" ht="28.8" x14ac:dyDescent="0.3">
      <c r="B120" t="s">
        <v>23</v>
      </c>
      <c r="C120" s="11" t="s">
        <v>178</v>
      </c>
      <c r="E120" s="11" t="str" cm="1">
        <f t="array" ref="E120">_xlfn.IFS(
    COUNTIF(Herramientas_eléctricas1862[Herramientas_eléctricas], B120) &gt; 0, Herramientas_eléctricas1862[[#Headers],[Herramientas_eléctricas]],
    COUNTIF(Herramientas_neumáticas1963[Herramientas_neumáticas], B120) &gt; 0, Herramientas_neumáticas1963[[#Headers],[Herramientas_neumáticas]],
    COUNTIF(Herramientas_de_medición2064[Herramientas_de_medición], B120) &gt; 0, Herramientas_de_medición2064[[#Headers],[Herramientas_de_medición]],
    COUNTIF(Herrramientas_mecánicas2165[Herramientas_mecánicas], B120) &gt; 0, Herrramientas_mecánicas2165[[#Headers],[Herramientas_mecánicas]],
    COUNTIF(AK120:AK126, B120) &gt; 0, Herramientas_hidráulicas2266[[#Headers],[Herramientas_hidráulicas]],
    COUNTIF(EPP_2367[SPCC], B120) &gt; 0, EPP_2367[[#Headers],[SPCC]],
   COUNTIF(Herramientas_de_izaje2468[Herramientas_de_izaje], B120) &gt; 0, Herramientas_de_izaje2468[[#Headers],[Herramientas_de_izaje]],
COUNTIF(Tabla162670[Equipos], B120) &gt; 0, Tabla162670[[#Headers],[Equipos]],
    TRUE, "Sin clasificación"
)</f>
        <v>Herramientas_eléctricas</v>
      </c>
      <c r="F120" s="15"/>
      <c r="G120" s="15" t="s">
        <v>572</v>
      </c>
      <c r="H120" s="47" t="s">
        <v>789</v>
      </c>
      <c r="I120" s="87"/>
      <c r="J120" s="78"/>
      <c r="K120" s="78"/>
      <c r="L120" s="78"/>
      <c r="M120" s="78"/>
      <c r="N120" t="s">
        <v>1034</v>
      </c>
      <c r="O120" s="47"/>
      <c r="P120" s="47" t="str">
        <f>_xlfn.LET(
    _xlpm.itemBuscado, B120,
    _xlpm.areaBuscada, C120,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TEXT(COUNTIF($C$2:C120, _xlpm.areaBuscada), "0000"),
    _xlpm.codItem &amp; "-" &amp; _xlpm.codArea &amp; "-" &amp; _xlpm.secuencia
)</f>
        <v>ZE-AM-TG-0041</v>
      </c>
      <c r="R120" s="15"/>
      <c r="T120" s="48"/>
    </row>
    <row r="121" spans="2:20" ht="28.8" x14ac:dyDescent="0.3">
      <c r="B121" t="s">
        <v>23</v>
      </c>
      <c r="C121" s="11" t="s">
        <v>178</v>
      </c>
      <c r="E121" s="11" t="str" cm="1">
        <f t="array" ref="E121">_xlfn.IFS(
    COUNTIF(Herramientas_eléctricas1862[Herramientas_eléctricas], B121) &gt; 0, Herramientas_eléctricas1862[[#Headers],[Herramientas_eléctricas]],
    COUNTIF(Herramientas_neumáticas1963[Herramientas_neumáticas], B121) &gt; 0, Herramientas_neumáticas1963[[#Headers],[Herramientas_neumáticas]],
    COUNTIF(Herramientas_de_medición2064[Herramientas_de_medición], B121) &gt; 0, Herramientas_de_medición2064[[#Headers],[Herramientas_de_medición]],
    COUNTIF(Herrramientas_mecánicas2165[Herramientas_mecánicas], B121) &gt; 0, Herrramientas_mecánicas2165[[#Headers],[Herramientas_mecánicas]],
    COUNTIF(AK121:AK127, B121) &gt; 0, Herramientas_hidráulicas2266[[#Headers],[Herramientas_hidráulicas]],
    COUNTIF(EPP_2367[SPCC], B121) &gt; 0, EPP_2367[[#Headers],[SPCC]],
   COUNTIF(Herramientas_de_izaje2468[Herramientas_de_izaje], B121) &gt; 0, Herramientas_de_izaje2468[[#Headers],[Herramientas_de_izaje]],
COUNTIF(Tabla162670[Equipos], B121) &gt; 0, Tabla162670[[#Headers],[Equipos]],
    TRUE, "Sin clasificación"
)</f>
        <v>Herramientas_eléctricas</v>
      </c>
      <c r="F121" s="15"/>
      <c r="G121" s="15" t="s">
        <v>611</v>
      </c>
      <c r="H121" s="47" t="s">
        <v>913</v>
      </c>
      <c r="I121" s="87">
        <v>6.4</v>
      </c>
      <c r="J121" s="78">
        <v>115</v>
      </c>
      <c r="K121" s="78">
        <v>1400</v>
      </c>
      <c r="L121" s="78" t="s">
        <v>616</v>
      </c>
      <c r="M121" s="78">
        <v>12000</v>
      </c>
      <c r="N121" t="s">
        <v>1034</v>
      </c>
      <c r="O121" s="47" t="s">
        <v>1035</v>
      </c>
      <c r="P121" s="47" t="str">
        <f>_xlfn.LET(
    _xlpm.itemBuscado, B121,
    _xlpm.areaBuscada, C121,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TEXT(COUNTIF($C$2:C121, _xlpm.areaBuscada), "0000"),
    _xlpm.codItem &amp; "-" &amp; _xlpm.codArea &amp; "-" &amp; _xlpm.secuencia
)</f>
        <v>ZE-AM-TG-0042</v>
      </c>
      <c r="R121" s="15"/>
      <c r="T121" s="48"/>
    </row>
    <row r="122" spans="2:20" ht="28.8" x14ac:dyDescent="0.3">
      <c r="B122" t="s">
        <v>23</v>
      </c>
      <c r="C122" s="11" t="s">
        <v>178</v>
      </c>
      <c r="E122" s="11" t="str" cm="1">
        <f t="array" ref="E122">_xlfn.IFS(
    COUNTIF(Herramientas_eléctricas1862[Herramientas_eléctricas], B122) &gt; 0, Herramientas_eléctricas1862[[#Headers],[Herramientas_eléctricas]],
    COUNTIF(Herramientas_neumáticas1963[Herramientas_neumáticas], B122) &gt; 0, Herramientas_neumáticas1963[[#Headers],[Herramientas_neumáticas]],
    COUNTIF(Herramientas_de_medición2064[Herramientas_de_medición], B122) &gt; 0, Herramientas_de_medición2064[[#Headers],[Herramientas_de_medición]],
    COUNTIF(Herrramientas_mecánicas2165[Herramientas_mecánicas], B122) &gt; 0, Herrramientas_mecánicas2165[[#Headers],[Herramientas_mecánicas]],
    COUNTIF(AK122:AK128, B122) &gt; 0, Herramientas_hidráulicas2266[[#Headers],[Herramientas_hidráulicas]],
    COUNTIF(EPP_2367[SPCC], B122) &gt; 0, EPP_2367[[#Headers],[SPCC]],
   COUNTIF(Herramientas_de_izaje2468[Herramientas_de_izaje], B122) &gt; 0, Herramientas_de_izaje2468[[#Headers],[Herramientas_de_izaje]],
COUNTIF(Tabla162670[Equipos], B122) &gt; 0, Tabla162670[[#Headers],[Equipos]],
    TRUE, "Sin clasificación"
)</f>
        <v>Herramientas_eléctricas</v>
      </c>
      <c r="F122" s="15"/>
      <c r="G122" s="15" t="s">
        <v>572</v>
      </c>
      <c r="H122" s="47"/>
      <c r="I122" s="87"/>
      <c r="J122" s="78"/>
      <c r="K122" s="78"/>
      <c r="L122" s="78"/>
      <c r="M122" s="78"/>
      <c r="N122" t="s">
        <v>1036</v>
      </c>
      <c r="O122" s="47"/>
      <c r="P122" s="47" t="str">
        <f>_xlfn.LET(
    _xlpm.itemBuscado, B122,
    _xlpm.areaBuscada, C122,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TEXT(COUNTIF($C$2:C122, _xlpm.areaBuscada), "0000"),
    _xlpm.codItem &amp; "-" &amp; _xlpm.codArea &amp; "-" &amp; _xlpm.secuencia
)</f>
        <v>ZE-AM-TG-0043</v>
      </c>
      <c r="R122" s="15"/>
      <c r="T122" s="48"/>
    </row>
    <row r="123" spans="2:20" ht="28.8" x14ac:dyDescent="0.3">
      <c r="B123" t="s">
        <v>23</v>
      </c>
      <c r="C123" s="11" t="s">
        <v>178</v>
      </c>
      <c r="E123" s="11" t="str" cm="1">
        <f t="array" ref="E123">_xlfn.IFS(
    COUNTIF(Herramientas_eléctricas1862[Herramientas_eléctricas], B123) &gt; 0, Herramientas_eléctricas1862[[#Headers],[Herramientas_eléctricas]],
    COUNTIF(Herramientas_neumáticas1963[Herramientas_neumáticas], B123) &gt; 0, Herramientas_neumáticas1963[[#Headers],[Herramientas_neumáticas]],
    COUNTIF(Herramientas_de_medición2064[Herramientas_de_medición], B123) &gt; 0, Herramientas_de_medición2064[[#Headers],[Herramientas_de_medición]],
    COUNTIF(Herrramientas_mecánicas2165[Herramientas_mecánicas], B123) &gt; 0, Herrramientas_mecánicas2165[[#Headers],[Herramientas_mecánicas]],
    COUNTIF(AK123:AK129, B123) &gt; 0, Herramientas_hidráulicas2266[[#Headers],[Herramientas_hidráulicas]],
    COUNTIF(EPP_2367[SPCC], B123) &gt; 0, EPP_2367[[#Headers],[SPCC]],
   COUNTIF(Herramientas_de_izaje2468[Herramientas_de_izaje], B123) &gt; 0, Herramientas_de_izaje2468[[#Headers],[Herramientas_de_izaje]],
COUNTIF(Tabla162670[Equipos], B123) &gt; 0, Tabla162670[[#Headers],[Equipos]],
    TRUE, "Sin clasificación"
)</f>
        <v>Herramientas_eléctricas</v>
      </c>
      <c r="F123" s="15"/>
      <c r="G123" s="15" t="s">
        <v>572</v>
      </c>
      <c r="H123" s="47" t="s">
        <v>789</v>
      </c>
      <c r="I123" s="87">
        <v>3.4</v>
      </c>
      <c r="J123" s="78">
        <v>180</v>
      </c>
      <c r="K123" s="78">
        <v>2800</v>
      </c>
      <c r="L123" s="78">
        <v>220</v>
      </c>
      <c r="M123" s="78">
        <v>8500</v>
      </c>
      <c r="N123" t="s">
        <v>1036</v>
      </c>
      <c r="O123" s="47">
        <v>325200969</v>
      </c>
      <c r="P123" s="47" t="str">
        <f>_xlfn.LET(
    _xlpm.itemBuscado, B123,
    _xlpm.areaBuscada, C123,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TEXT(COUNTIF($C$2:C123, _xlpm.areaBuscada), "0000"),
    _xlpm.codItem &amp; "-" &amp; _xlpm.codArea &amp; "-" &amp; _xlpm.secuencia
)</f>
        <v>ZE-AM-TG-0044</v>
      </c>
      <c r="R123" s="15" t="s">
        <v>1037</v>
      </c>
      <c r="T123" s="48"/>
    </row>
    <row r="124" spans="2:20" ht="28.8" x14ac:dyDescent="0.3">
      <c r="B124" t="s">
        <v>23</v>
      </c>
      <c r="C124" s="11" t="s">
        <v>178</v>
      </c>
      <c r="E124" s="11" t="str" cm="1">
        <f t="array" ref="E124">_xlfn.IFS(
    COUNTIF(Herramientas_eléctricas1862[Herramientas_eléctricas], B124) &gt; 0, Herramientas_eléctricas1862[[#Headers],[Herramientas_eléctricas]],
    COUNTIF(Herramientas_neumáticas1963[Herramientas_neumáticas], B124) &gt; 0, Herramientas_neumáticas1963[[#Headers],[Herramientas_neumáticas]],
    COUNTIF(Herramientas_de_medición2064[Herramientas_de_medición], B124) &gt; 0, Herramientas_de_medición2064[[#Headers],[Herramientas_de_medición]],
    COUNTIF(Herrramientas_mecánicas2165[Herramientas_mecánicas], B124) &gt; 0, Herrramientas_mecánicas2165[[#Headers],[Herramientas_mecánicas]],
    COUNTIF(AK124:AK130, B124) &gt; 0, Herramientas_hidráulicas2266[[#Headers],[Herramientas_hidráulicas]],
    COUNTIF(EPP_2367[SPCC], B124) &gt; 0, EPP_2367[[#Headers],[SPCC]],
   COUNTIF(Herramientas_de_izaje2468[Herramientas_de_izaje], B124) &gt; 0, Herramientas_de_izaje2468[[#Headers],[Herramientas_de_izaje]],
COUNTIF(Tabla162670[Equipos], B124) &gt; 0, Tabla162670[[#Headers],[Equipos]],
    TRUE, "Sin clasificación"
)</f>
        <v>Herramientas_eléctricas</v>
      </c>
      <c r="F124" s="15"/>
      <c r="G124" s="15" t="s">
        <v>611</v>
      </c>
      <c r="H124" s="47" t="s">
        <v>910</v>
      </c>
      <c r="I124" s="87">
        <v>10.5</v>
      </c>
      <c r="J124" s="78">
        <v>180</v>
      </c>
      <c r="K124" s="78">
        <v>2200</v>
      </c>
      <c r="L124" s="78">
        <v>220</v>
      </c>
      <c r="M124" s="78">
        <v>8500</v>
      </c>
      <c r="N124" t="s">
        <v>1038</v>
      </c>
      <c r="O124" s="47">
        <v>48789</v>
      </c>
      <c r="P124" s="47" t="str">
        <f>_xlfn.LET(
    _xlpm.itemBuscado, B124,
    _xlpm.areaBuscada, C124,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TEXT(COUNTIF($C$2:C124, _xlpm.areaBuscada), "0000"),
    _xlpm.codItem &amp; "-" &amp; _xlpm.codArea &amp; "-" &amp; _xlpm.secuencia
)</f>
        <v>ZE-AM-TG-0045</v>
      </c>
      <c r="R124" s="15"/>
      <c r="T124" s="48"/>
    </row>
    <row r="125" spans="2:20" ht="28.8" x14ac:dyDescent="0.3">
      <c r="B125" t="s">
        <v>23</v>
      </c>
      <c r="C125" s="11" t="s">
        <v>178</v>
      </c>
      <c r="E125" s="11" t="str" cm="1">
        <f t="array" ref="E125">_xlfn.IFS(
    COUNTIF(Herramientas_eléctricas1862[Herramientas_eléctricas], B125) &gt; 0, Herramientas_eléctricas1862[[#Headers],[Herramientas_eléctricas]],
    COUNTIF(Herramientas_neumáticas1963[Herramientas_neumáticas], B125) &gt; 0, Herramientas_neumáticas1963[[#Headers],[Herramientas_neumáticas]],
    COUNTIF(Herramientas_de_medición2064[Herramientas_de_medición], B125) &gt; 0, Herramientas_de_medición2064[[#Headers],[Herramientas_de_medición]],
    COUNTIF(Herrramientas_mecánicas2165[Herramientas_mecánicas], B125) &gt; 0, Herrramientas_mecánicas2165[[#Headers],[Herramientas_mecánicas]],
    COUNTIF(AK125:AK131, B125) &gt; 0, Herramientas_hidráulicas2266[[#Headers],[Herramientas_hidráulicas]],
    COUNTIF(EPP_2367[SPCC], B125) &gt; 0, EPP_2367[[#Headers],[SPCC]],
   COUNTIF(Herramientas_de_izaje2468[Herramientas_de_izaje], B125) &gt; 0, Herramientas_de_izaje2468[[#Headers],[Herramientas_de_izaje]],
COUNTIF(Tabla162670[Equipos], B125) &gt; 0, Tabla162670[[#Headers],[Equipos]],
    TRUE, "Sin clasificación"
)</f>
        <v>Herramientas_eléctricas</v>
      </c>
      <c r="F125" s="15"/>
      <c r="G125" s="15" t="s">
        <v>572</v>
      </c>
      <c r="H125" s="47"/>
      <c r="I125" s="87"/>
      <c r="J125" s="78">
        <v>180</v>
      </c>
      <c r="K125" s="78">
        <v>2600</v>
      </c>
      <c r="L125" s="78"/>
      <c r="M125" s="78">
        <v>8500</v>
      </c>
      <c r="N125" t="s">
        <v>1038</v>
      </c>
      <c r="O125" s="47"/>
      <c r="P125" s="47" t="str">
        <f>_xlfn.LET(
    _xlpm.itemBuscado, B125,
    _xlpm.areaBuscada, C125,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TEXT(COUNTIF($C$2:C125, _xlpm.areaBuscada), "0000"),
    _xlpm.codItem &amp; "-" &amp; _xlpm.codArea &amp; "-" &amp; _xlpm.secuencia
)</f>
        <v>ZE-AM-TG-0046</v>
      </c>
      <c r="R125" s="15"/>
      <c r="T125" s="48"/>
    </row>
    <row r="126" spans="2:20" ht="28.8" x14ac:dyDescent="0.3">
      <c r="B126" t="s">
        <v>23</v>
      </c>
      <c r="C126" s="11" t="s">
        <v>178</v>
      </c>
      <c r="E126" s="11" t="str" cm="1">
        <f t="array" ref="E126">_xlfn.IFS(
    COUNTIF(Herramientas_eléctricas1862[Herramientas_eléctricas], B126) &gt; 0, Herramientas_eléctricas1862[[#Headers],[Herramientas_eléctricas]],
    COUNTIF(Herramientas_neumáticas1963[Herramientas_neumáticas], B126) &gt; 0, Herramientas_neumáticas1963[[#Headers],[Herramientas_neumáticas]],
    COUNTIF(Herramientas_de_medición2064[Herramientas_de_medición], B126) &gt; 0, Herramientas_de_medición2064[[#Headers],[Herramientas_de_medición]],
    COUNTIF(Herrramientas_mecánicas2165[Herramientas_mecánicas], B126) &gt; 0, Herrramientas_mecánicas2165[[#Headers],[Herramientas_mecánicas]],
    COUNTIF(AK126:AK132, B126) &gt; 0, Herramientas_hidráulicas2266[[#Headers],[Herramientas_hidráulicas]],
    COUNTIF(EPP_2367[SPCC], B126) &gt; 0, EPP_2367[[#Headers],[SPCC]],
   COUNTIF(Herramientas_de_izaje2468[Herramientas_de_izaje], B126) &gt; 0, Herramientas_de_izaje2468[[#Headers],[Herramientas_de_izaje]],
COUNTIF(Tabla162670[Equipos], B126) &gt; 0, Tabla162670[[#Headers],[Equipos]],
    TRUE, "Sin clasificación"
)</f>
        <v>Herramientas_eléctricas</v>
      </c>
      <c r="F126" s="15"/>
      <c r="G126" s="15" t="s">
        <v>611</v>
      </c>
      <c r="H126" s="47" t="s">
        <v>910</v>
      </c>
      <c r="I126" s="87">
        <v>10.5</v>
      </c>
      <c r="J126" s="78">
        <v>180</v>
      </c>
      <c r="K126" s="78">
        <v>220</v>
      </c>
      <c r="L126" s="78">
        <v>220</v>
      </c>
      <c r="M126" s="78">
        <v>8500</v>
      </c>
      <c r="N126" t="s">
        <v>1039</v>
      </c>
      <c r="O126" s="47">
        <v>48790</v>
      </c>
      <c r="P126" s="47" t="str">
        <f>_xlfn.LET(
    _xlpm.itemBuscado, B126,
    _xlpm.areaBuscada, C126,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TEXT(COUNTIF($C$2:C126, _xlpm.areaBuscada), "0000"),
    _xlpm.codItem &amp; "-" &amp; _xlpm.codArea &amp; "-" &amp; _xlpm.secuencia
)</f>
        <v>ZE-AM-TG-0047</v>
      </c>
      <c r="R126" s="15"/>
      <c r="T126" s="48"/>
    </row>
    <row r="127" spans="2:20" ht="28.8" x14ac:dyDescent="0.3">
      <c r="B127" t="s">
        <v>23</v>
      </c>
      <c r="C127" s="11" t="s">
        <v>178</v>
      </c>
      <c r="E127" s="11" t="str" cm="1">
        <f t="array" ref="E127">_xlfn.IFS(
    COUNTIF(Herramientas_eléctricas1862[Herramientas_eléctricas], B127) &gt; 0, Herramientas_eléctricas1862[[#Headers],[Herramientas_eléctricas]],
    COUNTIF(Herramientas_neumáticas1963[Herramientas_neumáticas], B127) &gt; 0, Herramientas_neumáticas1963[[#Headers],[Herramientas_neumáticas]],
    COUNTIF(Herramientas_de_medición2064[Herramientas_de_medición], B127) &gt; 0, Herramientas_de_medición2064[[#Headers],[Herramientas_de_medición]],
    COUNTIF(Herrramientas_mecánicas2165[Herramientas_mecánicas], B127) &gt; 0, Herrramientas_mecánicas2165[[#Headers],[Herramientas_mecánicas]],
    COUNTIF(AK127:AK133, B127) &gt; 0, Herramientas_hidráulicas2266[[#Headers],[Herramientas_hidráulicas]],
    COUNTIF(EPP_2367[SPCC], B127) &gt; 0, EPP_2367[[#Headers],[SPCC]],
   COUNTIF(Herramientas_de_izaje2468[Herramientas_de_izaje], B127) &gt; 0, Herramientas_de_izaje2468[[#Headers],[Herramientas_de_izaje]],
COUNTIF(Tabla162670[Equipos], B127) &gt; 0, Tabla162670[[#Headers],[Equipos]],
    TRUE, "Sin clasificación"
)</f>
        <v>Herramientas_eléctricas</v>
      </c>
      <c r="F127" s="15"/>
      <c r="G127" s="15" t="s">
        <v>611</v>
      </c>
      <c r="H127" s="47" t="s">
        <v>913</v>
      </c>
      <c r="I127" s="87">
        <v>6.4</v>
      </c>
      <c r="J127" s="78">
        <v>115</v>
      </c>
      <c r="K127" s="78">
        <v>1400</v>
      </c>
      <c r="L127" s="78">
        <v>220</v>
      </c>
      <c r="M127" s="78">
        <v>12000</v>
      </c>
      <c r="N127" t="s">
        <v>1039</v>
      </c>
      <c r="O127" s="47" t="s">
        <v>1040</v>
      </c>
      <c r="P127" s="47" t="str">
        <f>_xlfn.LET(
    _xlpm.itemBuscado, B127,
    _xlpm.areaBuscada, C127,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TEXT(COUNTIF($C$2:C127, _xlpm.areaBuscada), "0000"),
    _xlpm.codItem &amp; "-" &amp; _xlpm.codArea &amp; "-" &amp; _xlpm.secuencia
)</f>
        <v>ZE-AM-TG-0048</v>
      </c>
      <c r="R127" s="15" t="s">
        <v>1037</v>
      </c>
      <c r="T127" s="48"/>
    </row>
    <row r="128" spans="2:20" ht="28.8" x14ac:dyDescent="0.3">
      <c r="B128" t="s">
        <v>23</v>
      </c>
      <c r="C128" s="11" t="s">
        <v>178</v>
      </c>
      <c r="E128" s="11" t="str" cm="1">
        <f t="array" ref="E128">_xlfn.IFS(
    COUNTIF(Herramientas_eléctricas1862[Herramientas_eléctricas], B128) &gt; 0, Herramientas_eléctricas1862[[#Headers],[Herramientas_eléctricas]],
    COUNTIF(Herramientas_neumáticas1963[Herramientas_neumáticas], B128) &gt; 0, Herramientas_neumáticas1963[[#Headers],[Herramientas_neumáticas]],
    COUNTIF(Herramientas_de_medición2064[Herramientas_de_medición], B128) &gt; 0, Herramientas_de_medición2064[[#Headers],[Herramientas_de_medición]],
    COUNTIF(Herrramientas_mecánicas2165[Herramientas_mecánicas], B128) &gt; 0, Herrramientas_mecánicas2165[[#Headers],[Herramientas_mecánicas]],
    COUNTIF(AK128:AK134, B128) &gt; 0, Herramientas_hidráulicas2266[[#Headers],[Herramientas_hidráulicas]],
    COUNTIF(EPP_2367[SPCC], B128) &gt; 0, EPP_2367[[#Headers],[SPCC]],
   COUNTIF(Herramientas_de_izaje2468[Herramientas_de_izaje], B128) &gt; 0, Herramientas_de_izaje2468[[#Headers],[Herramientas_de_izaje]],
COUNTIF(Tabla162670[Equipos], B128) &gt; 0, Tabla162670[[#Headers],[Equipos]],
    TRUE, "Sin clasificación"
)</f>
        <v>Herramientas_eléctricas</v>
      </c>
      <c r="F128" s="15"/>
      <c r="G128" s="15" t="s">
        <v>796</v>
      </c>
      <c r="H128" s="47" t="s">
        <v>1041</v>
      </c>
      <c r="I128" s="87">
        <v>7.7</v>
      </c>
      <c r="J128" s="78">
        <v>125</v>
      </c>
      <c r="K128" s="78">
        <v>1700</v>
      </c>
      <c r="L128" s="78">
        <v>220</v>
      </c>
      <c r="M128" s="78">
        <v>8000</v>
      </c>
      <c r="N128" t="s">
        <v>1042</v>
      </c>
      <c r="O128" s="47">
        <v>51700</v>
      </c>
      <c r="P128" s="47" t="str">
        <f>_xlfn.LET(
    _xlpm.itemBuscado, B128,
    _xlpm.areaBuscada, C128,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TEXT(COUNTIF($C$2:C128, _xlpm.areaBuscada), "0000"),
    _xlpm.codItem &amp; "-" &amp; _xlpm.codArea &amp; "-" &amp; _xlpm.secuencia
)</f>
        <v>ZE-AM-TG-0049</v>
      </c>
      <c r="R128" s="15"/>
      <c r="T128" s="48"/>
    </row>
    <row r="129" spans="1:21" ht="28.8" x14ac:dyDescent="0.3">
      <c r="B129" t="s">
        <v>23</v>
      </c>
      <c r="C129" s="11" t="s">
        <v>178</v>
      </c>
      <c r="E129" s="11" t="str" cm="1">
        <f t="array" ref="E129">_xlfn.IFS(
    COUNTIF(Herramientas_eléctricas1862[Herramientas_eléctricas], B129) &gt; 0, Herramientas_eléctricas1862[[#Headers],[Herramientas_eléctricas]],
    COUNTIF(Herramientas_neumáticas1963[Herramientas_neumáticas], B129) &gt; 0, Herramientas_neumáticas1963[[#Headers],[Herramientas_neumáticas]],
    COUNTIF(Herramientas_de_medición2064[Herramientas_de_medición], B129) &gt; 0, Herramientas_de_medición2064[[#Headers],[Herramientas_de_medición]],
    COUNTIF(Herrramientas_mecánicas2165[Herramientas_mecánicas], B129) &gt; 0, Herrramientas_mecánicas2165[[#Headers],[Herramientas_mecánicas]],
    COUNTIF(AK129:AK135, B129) &gt; 0, Herramientas_hidráulicas2266[[#Headers],[Herramientas_hidráulicas]],
    COUNTIF(EPP_2367[SPCC], B129) &gt; 0, EPP_2367[[#Headers],[SPCC]],
   COUNTIF(Herramientas_de_izaje2468[Herramientas_de_izaje], B129) &gt; 0, Herramientas_de_izaje2468[[#Headers],[Herramientas_de_izaje]],
COUNTIF(Tabla162670[Equipos], B129) &gt; 0, Tabla162670[[#Headers],[Equipos]],
    TRUE, "Sin clasificación"
)</f>
        <v>Herramientas_eléctricas</v>
      </c>
      <c r="F129" s="15"/>
      <c r="G129" s="15" t="s">
        <v>572</v>
      </c>
      <c r="H129" s="47" t="s">
        <v>748</v>
      </c>
      <c r="I129" s="87">
        <v>8</v>
      </c>
      <c r="J129" s="78">
        <v>125</v>
      </c>
      <c r="K129" s="78">
        <v>1200</v>
      </c>
      <c r="L129" s="78">
        <v>220</v>
      </c>
      <c r="M129" s="78">
        <v>11500</v>
      </c>
      <c r="N129" t="s">
        <v>1042</v>
      </c>
      <c r="O129" s="47" t="s">
        <v>1043</v>
      </c>
      <c r="P129" s="47" t="str">
        <f>_xlfn.LET(
    _xlpm.itemBuscado, B129,
    _xlpm.areaBuscada, C129,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TEXT(COUNTIF($C$2:C129, _xlpm.areaBuscada), "0000"),
    _xlpm.codItem &amp; "-" &amp; _xlpm.codArea &amp; "-" &amp; _xlpm.secuencia
)</f>
        <v>ZE-AM-TG-0050</v>
      </c>
      <c r="R129" s="15"/>
      <c r="T129" s="48"/>
    </row>
    <row r="130" spans="1:21" ht="28.8" x14ac:dyDescent="0.3">
      <c r="B130" t="s">
        <v>23</v>
      </c>
      <c r="C130" s="11" t="s">
        <v>178</v>
      </c>
      <c r="E130" s="11" t="str" cm="1">
        <f t="array" ref="E130">_xlfn.IFS(
    COUNTIF(Herramientas_eléctricas1862[Herramientas_eléctricas], B130) &gt; 0, Herramientas_eléctricas1862[[#Headers],[Herramientas_eléctricas]],
    COUNTIF(Herramientas_neumáticas1963[Herramientas_neumáticas], B130) &gt; 0, Herramientas_neumáticas1963[[#Headers],[Herramientas_neumáticas]],
    COUNTIF(Herramientas_de_medición2064[Herramientas_de_medición], B130) &gt; 0, Herramientas_de_medición2064[[#Headers],[Herramientas_de_medición]],
    COUNTIF(Herrramientas_mecánicas2165[Herramientas_mecánicas], B130) &gt; 0, Herrramientas_mecánicas2165[[#Headers],[Herramientas_mecánicas]],
    COUNTIF(AK130:AK136, B130) &gt; 0, Herramientas_hidráulicas2266[[#Headers],[Herramientas_hidráulicas]],
    COUNTIF(EPP_2367[SPCC], B130) &gt; 0, EPP_2367[[#Headers],[SPCC]],
   COUNTIF(Herramientas_de_izaje2468[Herramientas_de_izaje], B130) &gt; 0, Herramientas_de_izaje2468[[#Headers],[Herramientas_de_izaje]],
COUNTIF(Tabla162670[Equipos], B130) &gt; 0, Tabla162670[[#Headers],[Equipos]],
    TRUE, "Sin clasificación"
)</f>
        <v>Herramientas_eléctricas</v>
      </c>
      <c r="F130" s="15"/>
      <c r="G130" s="15" t="s">
        <v>572</v>
      </c>
      <c r="H130" s="47" t="s">
        <v>806</v>
      </c>
      <c r="I130" s="87"/>
      <c r="J130" s="78">
        <v>180</v>
      </c>
      <c r="K130" s="78">
        <v>2400</v>
      </c>
      <c r="L130" s="78">
        <v>220</v>
      </c>
      <c r="M130" s="78">
        <v>8500</v>
      </c>
      <c r="N130" t="s">
        <v>1042</v>
      </c>
      <c r="O130" s="47">
        <v>900263</v>
      </c>
      <c r="P130" s="47" t="str">
        <f>_xlfn.LET(
    _xlpm.itemBuscado, B130,
    _xlpm.areaBuscada, C130,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TEXT(COUNTIF($C$2:C130, _xlpm.areaBuscada), "0000"),
    _xlpm.codItem &amp; "-" &amp; _xlpm.codArea &amp; "-" &amp; _xlpm.secuencia
)</f>
        <v>ZE-AM-TG-0051</v>
      </c>
      <c r="R130" s="15"/>
      <c r="T130" s="48"/>
    </row>
    <row r="131" spans="1:21" ht="28.8" x14ac:dyDescent="0.3">
      <c r="B131" t="s">
        <v>23</v>
      </c>
      <c r="C131" s="11" t="s">
        <v>178</v>
      </c>
      <c r="E131" s="11" t="str" cm="1">
        <f t="array" ref="E131">_xlfn.IFS(
    COUNTIF(Herramientas_eléctricas1862[Herramientas_eléctricas], B131) &gt; 0, Herramientas_eléctricas1862[[#Headers],[Herramientas_eléctricas]],
    COUNTIF(Herramientas_neumáticas1963[Herramientas_neumáticas], B131) &gt; 0, Herramientas_neumáticas1963[[#Headers],[Herramientas_neumáticas]],
    COUNTIF(Herramientas_de_medición2064[Herramientas_de_medición], B131) &gt; 0, Herramientas_de_medición2064[[#Headers],[Herramientas_de_medición]],
    COUNTIF(Herrramientas_mecánicas2165[Herramientas_mecánicas], B131) &gt; 0, Herrramientas_mecánicas2165[[#Headers],[Herramientas_mecánicas]],
    COUNTIF(AK131:AK137, B131) &gt; 0, Herramientas_hidráulicas2266[[#Headers],[Herramientas_hidráulicas]],
    COUNTIF(EPP_2367[SPCC], B131) &gt; 0, EPP_2367[[#Headers],[SPCC]],
   COUNTIF(Herramientas_de_izaje2468[Herramientas_de_izaje], B131) &gt; 0, Herramientas_de_izaje2468[[#Headers],[Herramientas_de_izaje]],
COUNTIF(Tabla162670[Equipos], B131) &gt; 0, Tabla162670[[#Headers],[Equipos]],
    TRUE, "Sin clasificación"
)</f>
        <v>Herramientas_eléctricas</v>
      </c>
      <c r="F131" s="15"/>
      <c r="G131" s="15" t="s">
        <v>572</v>
      </c>
      <c r="H131" s="47" t="s">
        <v>813</v>
      </c>
      <c r="I131" s="87"/>
      <c r="J131" s="78"/>
      <c r="K131" s="78"/>
      <c r="L131" s="78"/>
      <c r="M131" s="78"/>
      <c r="N131" t="s">
        <v>971</v>
      </c>
      <c r="O131" s="47">
        <v>125190591</v>
      </c>
      <c r="P131" s="47" t="str">
        <f>_xlfn.LET(
    _xlpm.itemBuscado, B131,
    _xlpm.areaBuscada, C131,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TEXT(COUNTIF($C$2:C131, _xlpm.areaBuscada), "0000"),
    _xlpm.codItem &amp; "-" &amp; _xlpm.codArea &amp; "-" &amp; _xlpm.secuencia
)</f>
        <v>ZE-AM-TG-0052</v>
      </c>
      <c r="R131" s="15"/>
      <c r="T131" s="48"/>
    </row>
    <row r="132" spans="1:21" ht="28.8" x14ac:dyDescent="0.3">
      <c r="B132" t="s">
        <v>23</v>
      </c>
      <c r="C132" s="11" t="s">
        <v>178</v>
      </c>
      <c r="E132" s="11" t="str" cm="1">
        <f t="array" ref="E132">_xlfn.IFS(
    COUNTIF(Herramientas_eléctricas1862[Herramientas_eléctricas], B132) &gt; 0, Herramientas_eléctricas1862[[#Headers],[Herramientas_eléctricas]],
    COUNTIF(Herramientas_neumáticas1963[Herramientas_neumáticas], B132) &gt; 0, Herramientas_neumáticas1963[[#Headers],[Herramientas_neumáticas]],
    COUNTIF(Herramientas_de_medición2064[Herramientas_de_medición], B132) &gt; 0, Herramientas_de_medición2064[[#Headers],[Herramientas_de_medición]],
    COUNTIF(Herrramientas_mecánicas2165[Herramientas_mecánicas], B132) &gt; 0, Herrramientas_mecánicas2165[[#Headers],[Herramientas_mecánicas]],
    COUNTIF(AK132:AK138, B132) &gt; 0, Herramientas_hidráulicas2266[[#Headers],[Herramientas_hidráulicas]],
    COUNTIF(EPP_2367[SPCC], B132) &gt; 0, EPP_2367[[#Headers],[SPCC]],
   COUNTIF(Herramientas_de_izaje2468[Herramientas_de_izaje], B132) &gt; 0, Herramientas_de_izaje2468[[#Headers],[Herramientas_de_izaje]],
COUNTIF(Tabla162670[Equipos], B132) &gt; 0, Tabla162670[[#Headers],[Equipos]],
    TRUE, "Sin clasificación"
)</f>
        <v>Herramientas_eléctricas</v>
      </c>
      <c r="F132" s="15"/>
      <c r="G132" s="15" t="s">
        <v>572</v>
      </c>
      <c r="H132" s="47" t="s">
        <v>813</v>
      </c>
      <c r="I132" s="87"/>
      <c r="J132" s="78"/>
      <c r="K132" s="78"/>
      <c r="L132" s="78"/>
      <c r="M132" s="78"/>
      <c r="N132" t="s">
        <v>971</v>
      </c>
      <c r="O132" s="47"/>
      <c r="P132" s="47" t="str">
        <f>_xlfn.LET(
    _xlpm.itemBuscado, B132,
    _xlpm.areaBuscada, C132,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TEXT(COUNTIF($C$2:C132, _xlpm.areaBuscada), "0000"),
    _xlpm.codItem &amp; "-" &amp; _xlpm.codArea &amp; "-" &amp; _xlpm.secuencia
)</f>
        <v>ZE-AM-TG-0053</v>
      </c>
      <c r="R132" s="15"/>
      <c r="T132" s="48"/>
    </row>
    <row r="133" spans="1:21" ht="28.8" x14ac:dyDescent="0.3">
      <c r="B133" t="s">
        <v>23</v>
      </c>
      <c r="C133" s="11" t="s">
        <v>178</v>
      </c>
      <c r="E133" s="11" t="str" cm="1">
        <f t="array" ref="E133">_xlfn.IFS(
    COUNTIF(Herramientas_eléctricas1862[Herramientas_eléctricas], B133) &gt; 0, Herramientas_eléctricas1862[[#Headers],[Herramientas_eléctricas]],
    COUNTIF(Herramientas_neumáticas1963[Herramientas_neumáticas], B133) &gt; 0, Herramientas_neumáticas1963[[#Headers],[Herramientas_neumáticas]],
    COUNTIF(Herramientas_de_medición2064[Herramientas_de_medición], B133) &gt; 0, Herramientas_de_medición2064[[#Headers],[Herramientas_de_medición]],
    COUNTIF(Herrramientas_mecánicas2165[Herramientas_mecánicas], B133) &gt; 0, Herrramientas_mecánicas2165[[#Headers],[Herramientas_mecánicas]],
    COUNTIF(AK133:AK139, B133) &gt; 0, Herramientas_hidráulicas2266[[#Headers],[Herramientas_hidráulicas]],
    COUNTIF(EPP_2367[SPCC], B133) &gt; 0, EPP_2367[[#Headers],[SPCC]],
   COUNTIF(Herramientas_de_izaje2468[Herramientas_de_izaje], B133) &gt; 0, Herramientas_de_izaje2468[[#Headers],[Herramientas_de_izaje]],
COUNTIF(Tabla162670[Equipos], B133) &gt; 0, Tabla162670[[#Headers],[Equipos]],
    TRUE, "Sin clasificación"
)</f>
        <v>Herramientas_eléctricas</v>
      </c>
      <c r="F133" s="15"/>
      <c r="G133" s="15" t="s">
        <v>572</v>
      </c>
      <c r="H133" s="47" t="s">
        <v>752</v>
      </c>
      <c r="I133" s="87"/>
      <c r="J133" s="78"/>
      <c r="K133" s="78"/>
      <c r="L133" s="78"/>
      <c r="M133" s="78"/>
      <c r="N133" t="s">
        <v>971</v>
      </c>
      <c r="O133" s="47">
        <v>321000092</v>
      </c>
      <c r="P133" s="47" t="str">
        <f>_xlfn.LET(
    _xlpm.itemBuscado, B133,
    _xlpm.areaBuscada, C133,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TEXT(COUNTIF($C$2:C133, _xlpm.areaBuscada), "0000"),
    _xlpm.codItem &amp; "-" &amp; _xlpm.codArea &amp; "-" &amp; _xlpm.secuencia
)</f>
        <v>ZE-AM-TG-0054</v>
      </c>
      <c r="R133" s="15"/>
      <c r="T133" s="48"/>
    </row>
    <row r="134" spans="1:21" ht="28.8" x14ac:dyDescent="0.3">
      <c r="B134" t="s">
        <v>23</v>
      </c>
      <c r="C134" s="11" t="s">
        <v>178</v>
      </c>
      <c r="E134" s="11" t="str" cm="1">
        <f t="array" ref="E134">_xlfn.IFS(
    COUNTIF(Herramientas_eléctricas1862[Herramientas_eléctricas], B134) &gt; 0, Herramientas_eléctricas1862[[#Headers],[Herramientas_eléctricas]],
    COUNTIF(Herramientas_neumáticas1963[Herramientas_neumáticas], B134) &gt; 0, Herramientas_neumáticas1963[[#Headers],[Herramientas_neumáticas]],
    COUNTIF(Herramientas_de_medición2064[Herramientas_de_medición], B134) &gt; 0, Herramientas_de_medición2064[[#Headers],[Herramientas_de_medición]],
    COUNTIF(Herrramientas_mecánicas2165[Herramientas_mecánicas], B134) &gt; 0, Herrramientas_mecánicas2165[[#Headers],[Herramientas_mecánicas]],
    COUNTIF(AK134:AK140, B134) &gt; 0, Herramientas_hidráulicas2266[[#Headers],[Herramientas_hidráulicas]],
    COUNTIF(EPP_2367[SPCC], B134) &gt; 0, EPP_2367[[#Headers],[SPCC]],
   COUNTIF(Herramientas_de_izaje2468[Herramientas_de_izaje], B134) &gt; 0, Herramientas_de_izaje2468[[#Headers],[Herramientas_de_izaje]],
COUNTIF(Tabla162670[Equipos], B134) &gt; 0, Tabla162670[[#Headers],[Equipos]],
    TRUE, "Sin clasificación"
)</f>
        <v>Herramientas_eléctricas</v>
      </c>
      <c r="F134" s="15"/>
      <c r="G134" s="15" t="s">
        <v>611</v>
      </c>
      <c r="H134" s="47" t="s">
        <v>913</v>
      </c>
      <c r="I134" s="87"/>
      <c r="J134" s="78">
        <v>115</v>
      </c>
      <c r="K134" s="78">
        <v>1400</v>
      </c>
      <c r="L134" s="78">
        <v>220</v>
      </c>
      <c r="M134" s="78">
        <v>12000</v>
      </c>
      <c r="N134" t="s">
        <v>971</v>
      </c>
      <c r="O134" s="47" t="s">
        <v>1047</v>
      </c>
      <c r="P134" s="47" t="str">
        <f>_xlfn.LET(
    _xlpm.itemBuscado, B134,
    _xlpm.areaBuscada, C134,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TEXT(COUNTIF($C$2:C134, _xlpm.areaBuscada), "0000"),
    _xlpm.codItem &amp; "-" &amp; _xlpm.codArea &amp; "-" &amp; _xlpm.secuencia
)</f>
        <v>ZE-AM-TG-0055</v>
      </c>
      <c r="R134" s="15"/>
      <c r="T134" s="48"/>
    </row>
    <row r="135" spans="1:21" ht="28.8" x14ac:dyDescent="0.3">
      <c r="B135" t="s">
        <v>23</v>
      </c>
      <c r="C135" s="11" t="s">
        <v>178</v>
      </c>
      <c r="E135" s="11" t="str" cm="1">
        <f t="array" ref="E135">_xlfn.IFS(
    COUNTIF(Herramientas_eléctricas1862[Herramientas_eléctricas], B135) &gt; 0, Herramientas_eléctricas1862[[#Headers],[Herramientas_eléctricas]],
    COUNTIF(Herramientas_neumáticas1963[Herramientas_neumáticas], B135) &gt; 0, Herramientas_neumáticas1963[[#Headers],[Herramientas_neumáticas]],
    COUNTIF(Herramientas_de_medición2064[Herramientas_de_medición], B135) &gt; 0, Herramientas_de_medición2064[[#Headers],[Herramientas_de_medición]],
    COUNTIF(Herrramientas_mecánicas2165[Herramientas_mecánicas], B135) &gt; 0, Herrramientas_mecánicas2165[[#Headers],[Herramientas_mecánicas]],
    COUNTIF(AK135:AK141, B135) &gt; 0, Herramientas_hidráulicas2266[[#Headers],[Herramientas_hidráulicas]],
    COUNTIF(EPP_2367[SPCC], B135) &gt; 0, EPP_2367[[#Headers],[SPCC]],
   COUNTIF(Herramientas_de_izaje2468[Herramientas_de_izaje], B135) &gt; 0, Herramientas_de_izaje2468[[#Headers],[Herramientas_de_izaje]],
COUNTIF(Tabla162670[Equipos], B135) &gt; 0, Tabla162670[[#Headers],[Equipos]],
    TRUE, "Sin clasificación"
)</f>
        <v>Herramientas_eléctricas</v>
      </c>
      <c r="F135" s="15"/>
      <c r="G135" s="15" t="s">
        <v>572</v>
      </c>
      <c r="H135" s="47" t="s">
        <v>789</v>
      </c>
      <c r="I135" s="87">
        <v>13.4</v>
      </c>
      <c r="J135" s="78">
        <v>180</v>
      </c>
      <c r="K135" s="78">
        <v>2800</v>
      </c>
      <c r="L135" s="78">
        <v>220</v>
      </c>
      <c r="M135" s="78">
        <v>8500</v>
      </c>
      <c r="N135" t="s">
        <v>1050</v>
      </c>
      <c r="O135" s="47">
        <v>325100983</v>
      </c>
      <c r="P135" s="47" t="str">
        <f>_xlfn.LET(
    _xlpm.itemBuscado, B135,
    _xlpm.areaBuscada, C135,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TEXT(COUNTIF($C$2:C135, _xlpm.areaBuscada), "0000"),
    _xlpm.codItem &amp; "-" &amp; _xlpm.codArea &amp; "-" &amp; _xlpm.secuencia
)</f>
        <v>ZE-AM-TG-0056</v>
      </c>
      <c r="R135" s="15"/>
      <c r="T135" s="48"/>
    </row>
    <row r="136" spans="1:21" ht="28.8" x14ac:dyDescent="0.3">
      <c r="B136" t="s">
        <v>23</v>
      </c>
      <c r="C136" s="11" t="s">
        <v>178</v>
      </c>
      <c r="E136" s="11" t="str" cm="1">
        <f t="array" ref="E136">_xlfn.IFS(
    COUNTIF(Herramientas_eléctricas1862[Herramientas_eléctricas], B136) &gt; 0, Herramientas_eléctricas1862[[#Headers],[Herramientas_eléctricas]],
    COUNTIF(Herramientas_neumáticas1963[Herramientas_neumáticas], B136) &gt; 0, Herramientas_neumáticas1963[[#Headers],[Herramientas_neumáticas]],
    COUNTIF(Herramientas_de_medición2064[Herramientas_de_medición], B136) &gt; 0, Herramientas_de_medición2064[[#Headers],[Herramientas_de_medición]],
    COUNTIF(Herrramientas_mecánicas2165[Herramientas_mecánicas], B136) &gt; 0, Herrramientas_mecánicas2165[[#Headers],[Herramientas_mecánicas]],
    COUNTIF(AK136:AK142, B136) &gt; 0, Herramientas_hidráulicas2266[[#Headers],[Herramientas_hidráulicas]],
    COUNTIF(EPP_2367[SPCC], B136) &gt; 0, EPP_2367[[#Headers],[SPCC]],
   COUNTIF(Herramientas_de_izaje2468[Herramientas_de_izaje], B136) &gt; 0, Herramientas_de_izaje2468[[#Headers],[Herramientas_de_izaje]],
COUNTIF(Tabla162670[Equipos], B136) &gt; 0, Tabla162670[[#Headers],[Equipos]],
    TRUE, "Sin clasificación"
)</f>
        <v>Herramientas_eléctricas</v>
      </c>
      <c r="F136" s="15"/>
      <c r="G136" s="15" t="s">
        <v>611</v>
      </c>
      <c r="H136" s="47" t="s">
        <v>909</v>
      </c>
      <c r="I136" s="87"/>
      <c r="J136" s="78">
        <v>180</v>
      </c>
      <c r="K136" s="78">
        <v>2500</v>
      </c>
      <c r="L136" s="78">
        <v>220</v>
      </c>
      <c r="M136" s="78">
        <v>8500</v>
      </c>
      <c r="N136" t="s">
        <v>1048</v>
      </c>
      <c r="O136" s="47" t="s">
        <v>1049</v>
      </c>
      <c r="P136" s="47" t="str">
        <f>_xlfn.LET(
    _xlpm.itemBuscado, B136,
    _xlpm.areaBuscada, C136,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TEXT(COUNTIF($C$2:C136, _xlpm.areaBuscada), "0000"),
    _xlpm.codItem &amp; "-" &amp; _xlpm.codArea &amp; "-" &amp; _xlpm.secuencia
)</f>
        <v>ZE-AM-TG-0057</v>
      </c>
      <c r="R136" s="15"/>
      <c r="T136" s="48"/>
    </row>
    <row r="137" spans="1:21" ht="28.8" x14ac:dyDescent="0.3">
      <c r="B137" t="s">
        <v>23</v>
      </c>
      <c r="C137" s="11" t="s">
        <v>178</v>
      </c>
      <c r="E137" s="11" t="str" cm="1">
        <f t="array" ref="E137">_xlfn.IFS(
    COUNTIF(Herramientas_eléctricas1862[Herramientas_eléctricas], B137) &gt; 0, Herramientas_eléctricas1862[[#Headers],[Herramientas_eléctricas]],
    COUNTIF(Herramientas_neumáticas1963[Herramientas_neumáticas], B137) &gt; 0, Herramientas_neumáticas1963[[#Headers],[Herramientas_neumáticas]],
    COUNTIF(Herramientas_de_medición2064[Herramientas_de_medición], B137) &gt; 0, Herramientas_de_medición2064[[#Headers],[Herramientas_de_medición]],
    COUNTIF(Herrramientas_mecánicas2165[Herramientas_mecánicas], B137) &gt; 0, Herrramientas_mecánicas2165[[#Headers],[Herramientas_mecánicas]],
    COUNTIF(AK137:AK143, B137) &gt; 0, Herramientas_hidráulicas2266[[#Headers],[Herramientas_hidráulicas]],
    COUNTIF(EPP_2367[SPCC], B137) &gt; 0, EPP_2367[[#Headers],[SPCC]],
   COUNTIF(Herramientas_de_izaje2468[Herramientas_de_izaje], B137) &gt; 0, Herramientas_de_izaje2468[[#Headers],[Herramientas_de_izaje]],
COUNTIF(Tabla162670[Equipos], B137) &gt; 0, Tabla162670[[#Headers],[Equipos]],
    TRUE, "Sin clasificación"
)</f>
        <v>Herramientas_eléctricas</v>
      </c>
      <c r="F137" s="15"/>
      <c r="G137" s="15" t="s">
        <v>572</v>
      </c>
      <c r="H137" s="47" t="s">
        <v>748</v>
      </c>
      <c r="I137" s="87">
        <v>8</v>
      </c>
      <c r="J137" s="78">
        <v>125</v>
      </c>
      <c r="K137" s="78">
        <v>1700</v>
      </c>
      <c r="L137" s="78">
        <v>220</v>
      </c>
      <c r="M137" s="78">
        <v>11500</v>
      </c>
      <c r="N137" t="s">
        <v>1050</v>
      </c>
      <c r="O137" s="47">
        <v>230000064</v>
      </c>
      <c r="P137" s="47" t="str">
        <f>_xlfn.LET(
    _xlpm.itemBuscado, B137,
    _xlpm.areaBuscada, C137,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TEXT(COUNTIF($C$2:C137, _xlpm.areaBuscada), "0000"),
    _xlpm.codItem &amp; "-" &amp; _xlpm.codArea &amp; "-" &amp; _xlpm.secuencia
)</f>
        <v>ZE-AM-TG-0058</v>
      </c>
      <c r="R137" s="15"/>
      <c r="T137" s="48"/>
    </row>
    <row r="138" spans="1:21" ht="28.8" x14ac:dyDescent="0.3">
      <c r="A138" t="s">
        <v>840</v>
      </c>
      <c r="B138" t="s">
        <v>23</v>
      </c>
      <c r="C138" s="11" t="s">
        <v>178</v>
      </c>
      <c r="E138" s="11" t="str" cm="1">
        <f t="array" ref="E138">_xlfn.IFS(
    COUNTIF(Herramientas_eléctricas1862[Herramientas_eléctricas], B138) &gt; 0, Herramientas_eléctricas1862[[#Headers],[Herramientas_eléctricas]],
    COUNTIF(Herramientas_neumáticas1963[Herramientas_neumáticas], B138) &gt; 0, Herramientas_neumáticas1963[[#Headers],[Herramientas_neumáticas]],
    COUNTIF(Herramientas_de_medición2064[Herramientas_de_medición], B138) &gt; 0, Herramientas_de_medición2064[[#Headers],[Herramientas_de_medición]],
    COUNTIF(Herrramientas_mecánicas2165[Herramientas_mecánicas], B138) &gt; 0, Herrramientas_mecánicas2165[[#Headers],[Herramientas_mecánicas]],
    COUNTIF(AK138:AK144, B138) &gt; 0, Herramientas_hidráulicas2266[[#Headers],[Herramientas_hidráulicas]],
    COUNTIF(EPP_2367[SPCC], B138) &gt; 0, EPP_2367[[#Headers],[SPCC]],
   COUNTIF(Herramientas_de_izaje2468[Herramientas_de_izaje], B138) &gt; 0, Herramientas_de_izaje2468[[#Headers],[Herramientas_de_izaje]],
COUNTIF(Tabla162670[Equipos], B138) &gt; 0, Tabla162670[[#Headers],[Equipos]],
    TRUE, "Sin clasificación"
)</f>
        <v>Herramientas_eléctricas</v>
      </c>
      <c r="F138" s="15"/>
      <c r="G138" s="15" t="s">
        <v>572</v>
      </c>
      <c r="H138" s="47" t="s">
        <v>789</v>
      </c>
      <c r="I138" s="87">
        <v>13.4</v>
      </c>
      <c r="J138" s="78">
        <v>180</v>
      </c>
      <c r="K138" s="78">
        <v>2800</v>
      </c>
      <c r="L138" s="78">
        <v>220</v>
      </c>
      <c r="M138" s="78">
        <v>8500</v>
      </c>
      <c r="O138" s="47">
        <v>325206986</v>
      </c>
      <c r="P138" s="47" t="str">
        <f>_xlfn.LET(
    _xlpm.itemBuscado, B138,
    _xlpm.areaBuscada, C138,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TEXT(COUNTIF($C$2:C138, _xlpm.areaBuscada), "0000"),
    _xlpm.codItem &amp; "-" &amp; _xlpm.codArea &amp; "-" &amp; _xlpm.secuencia
)</f>
        <v>ZE-AM-TG-0059</v>
      </c>
      <c r="R138" s="15"/>
      <c r="T138" s="48"/>
    </row>
    <row r="139" spans="1:21" ht="28.8" x14ac:dyDescent="0.3">
      <c r="B139" t="s">
        <v>23</v>
      </c>
      <c r="C139" s="11" t="s">
        <v>178</v>
      </c>
      <c r="E139" s="11" t="str" cm="1">
        <f t="array" ref="E139">_xlfn.IFS(
    COUNTIF(Herramientas_eléctricas1862[Herramientas_eléctricas], B139) &gt; 0, Herramientas_eléctricas1862[[#Headers],[Herramientas_eléctricas]],
    COUNTIF(Herramientas_neumáticas1963[Herramientas_neumáticas], B139) &gt; 0, Herramientas_neumáticas1963[[#Headers],[Herramientas_neumáticas]],
    COUNTIF(Herramientas_de_medición2064[Herramientas_de_medición], B139) &gt; 0, Herramientas_de_medición2064[[#Headers],[Herramientas_de_medición]],
    COUNTIF(Herrramientas_mecánicas2165[Herramientas_mecánicas], B139) &gt; 0, Herrramientas_mecánicas2165[[#Headers],[Herramientas_mecánicas]],
    COUNTIF(AK139:AK145, B139) &gt; 0, Herramientas_hidráulicas2266[[#Headers],[Herramientas_hidráulicas]],
    COUNTIF(EPP_2367[SPCC], B139) &gt; 0, EPP_2367[[#Headers],[SPCC]],
   COUNTIF(Herramientas_de_izaje2468[Herramientas_de_izaje], B139) &gt; 0, Herramientas_de_izaje2468[[#Headers],[Herramientas_de_izaje]],
COUNTIF(Tabla162670[Equipos], B139) &gt; 0, Tabla162670[[#Headers],[Equipos]],
    TRUE, "Sin clasificación"
)</f>
        <v>Herramientas_eléctricas</v>
      </c>
      <c r="F139" s="15"/>
      <c r="G139" s="15" t="s">
        <v>611</v>
      </c>
      <c r="H139" s="47" t="s">
        <v>1051</v>
      </c>
      <c r="I139" s="87">
        <v>3.8</v>
      </c>
      <c r="J139" s="78">
        <v>115</v>
      </c>
      <c r="K139" s="78">
        <v>840</v>
      </c>
      <c r="L139" s="78">
        <v>220</v>
      </c>
      <c r="M139" s="78">
        <v>11000</v>
      </c>
      <c r="O139" s="47" t="s">
        <v>1052</v>
      </c>
      <c r="P139" s="47" t="str">
        <f>_xlfn.LET(
    _xlpm.itemBuscado, B139,
    _xlpm.areaBuscada, C139,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TEXT(COUNTIF($C$2:C139, _xlpm.areaBuscada), "0000"),
    _xlpm.codItem &amp; "-" &amp; _xlpm.codArea &amp; "-" &amp; _xlpm.secuencia
)</f>
        <v>ZE-AM-TG-0060</v>
      </c>
      <c r="R139" s="15"/>
      <c r="T139" s="48"/>
    </row>
    <row r="140" spans="1:21" ht="28.8" x14ac:dyDescent="0.3">
      <c r="B140" t="s">
        <v>23</v>
      </c>
      <c r="C140" s="11" t="s">
        <v>178</v>
      </c>
      <c r="D140" s="32"/>
      <c r="E140" s="11" t="str" cm="1">
        <f t="array" ref="E140">_xlfn.IFS(
    COUNTIF(Herramientas_eléctricas1862[Herramientas_eléctricas], B140) &gt; 0, Herramientas_eléctricas1862[[#Headers],[Herramientas_eléctricas]],
    COUNTIF(Herramientas_neumáticas1963[Herramientas_neumáticas], B140) &gt; 0, Herramientas_neumáticas1963[[#Headers],[Herramientas_neumáticas]],
    COUNTIF(Herramientas_de_medición2064[Herramientas_de_medición], B140) &gt; 0, Herramientas_de_medición2064[[#Headers],[Herramientas_de_medición]],
    COUNTIF(Herrramientas_mecánicas2165[Herramientas_mecánicas], B140) &gt; 0, Herrramientas_mecánicas2165[[#Headers],[Herramientas_mecánicas]],
    COUNTIF(AK140:AK146, B140) &gt; 0, Herramientas_hidráulicas2266[[#Headers],[Herramientas_hidráulicas]],
    COUNTIF(EPP_2367[SPCC], B140) &gt; 0, EPP_2367[[#Headers],[SPCC]],
   COUNTIF(Herramientas_de_izaje2468[Herramientas_de_izaje], B140) &gt; 0, Herramientas_de_izaje2468[[#Headers],[Herramientas_de_izaje]],
COUNTIF(Tabla162670[Equipos], B140) &gt; 0, Tabla162670[[#Headers],[Equipos]],
    TRUE, "Sin clasificación"
)</f>
        <v>Herramientas_eléctricas</v>
      </c>
      <c r="F140" s="15"/>
      <c r="G140" s="15" t="s">
        <v>611</v>
      </c>
      <c r="H140" s="47" t="s">
        <v>909</v>
      </c>
      <c r="I140" s="87">
        <v>12</v>
      </c>
      <c r="J140" s="78">
        <v>180</v>
      </c>
      <c r="K140" s="78">
        <v>2600</v>
      </c>
      <c r="L140" s="78">
        <v>220</v>
      </c>
      <c r="M140" s="78">
        <v>8500</v>
      </c>
      <c r="N140" s="76" t="s">
        <v>1055</v>
      </c>
      <c r="O140" s="47" t="s">
        <v>1053</v>
      </c>
      <c r="P140" s="47" t="str">
        <f>_xlfn.LET(
    _xlpm.itemBuscado, B140,
    _xlpm.areaBuscada, C140,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TEXT(COUNTIF($C$2:C140, _xlpm.areaBuscada), "0000"),
    _xlpm.codItem &amp; "-" &amp; _xlpm.codArea &amp; "-" &amp; _xlpm.secuencia
)</f>
        <v>ZE-AM-TG-0061</v>
      </c>
      <c r="Q140" s="77"/>
      <c r="R140" s="15"/>
      <c r="S140" s="32"/>
      <c r="T140" s="48"/>
    </row>
    <row r="141" spans="1:21" ht="28.8" x14ac:dyDescent="0.3">
      <c r="B141" t="s">
        <v>23</v>
      </c>
      <c r="C141" s="11" t="s">
        <v>178</v>
      </c>
      <c r="D141" s="32"/>
      <c r="E141" s="11" t="str" cm="1">
        <f t="array" ref="E141">_xlfn.IFS(
    COUNTIF(Herramientas_eléctricas1862[Herramientas_eléctricas], B141) &gt; 0, Herramientas_eléctricas1862[[#Headers],[Herramientas_eléctricas]],
    COUNTIF(Herramientas_neumáticas1963[Herramientas_neumáticas], B141) &gt; 0, Herramientas_neumáticas1963[[#Headers],[Herramientas_neumáticas]],
    COUNTIF(Herramientas_de_medición2064[Herramientas_de_medición], B141) &gt; 0, Herramientas_de_medición2064[[#Headers],[Herramientas_de_medición]],
    COUNTIF(Herrramientas_mecánicas2165[Herramientas_mecánicas], B141) &gt; 0, Herrramientas_mecánicas2165[[#Headers],[Herramientas_mecánicas]],
    COUNTIF(AK141:AK147, B141) &gt; 0, Herramientas_hidráulicas2266[[#Headers],[Herramientas_hidráulicas]],
    COUNTIF(EPP_2367[SPCC], B141) &gt; 0, EPP_2367[[#Headers],[SPCC]],
   COUNTIF(Herramientas_de_izaje2468[Herramientas_de_izaje], B141) &gt; 0, Herramientas_de_izaje2468[[#Headers],[Herramientas_de_izaje]],
COUNTIF(Tabla162670[Equipos], B141) &gt; 0, Tabla162670[[#Headers],[Equipos]],
    TRUE, "Sin clasificación"
)</f>
        <v>Herramientas_eléctricas</v>
      </c>
      <c r="G141" s="15" t="s">
        <v>611</v>
      </c>
      <c r="H141" s="47" t="s">
        <v>909</v>
      </c>
      <c r="I141" s="87">
        <v>12</v>
      </c>
      <c r="J141" s="78">
        <v>180</v>
      </c>
      <c r="K141" s="78">
        <v>2600</v>
      </c>
      <c r="L141" s="78">
        <v>220</v>
      </c>
      <c r="M141" s="78">
        <v>8500</v>
      </c>
      <c r="N141" s="76" t="s">
        <v>1039</v>
      </c>
      <c r="O141" s="76" t="s">
        <v>1054</v>
      </c>
      <c r="P141" s="78" t="str">
        <f>_xlfn.LET(
    _xlpm.itemBuscado, B141,
    _xlpm.areaBuscada, C141,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TEXT(COUNTIF($C$2:C141, _xlpm.areaBuscada), "0000"),
    _xlpm.codItem &amp; "-" &amp; _xlpm.codArea &amp; "-" &amp; _xlpm.secuencia
)</f>
        <v>ZE-AM-TG-0062</v>
      </c>
      <c r="Q141" s="77"/>
      <c r="R141" s="32"/>
      <c r="S141" s="32"/>
      <c r="T141" s="32"/>
      <c r="U141" s="32"/>
    </row>
    <row r="142" spans="1:21" ht="28.8" x14ac:dyDescent="0.3">
      <c r="B142" t="s">
        <v>23</v>
      </c>
      <c r="C142" s="11" t="s">
        <v>178</v>
      </c>
      <c r="D142" s="32"/>
      <c r="E142" s="11" t="str" cm="1">
        <f t="array" ref="E142">_xlfn.IFS(
    COUNTIF(Herramientas_eléctricas1862[Herramientas_eléctricas], B142) &gt; 0, Herramientas_eléctricas1862[[#Headers],[Herramientas_eléctricas]],
    COUNTIF(Herramientas_neumáticas1963[Herramientas_neumáticas], B142) &gt; 0, Herramientas_neumáticas1963[[#Headers],[Herramientas_neumáticas]],
    COUNTIF(Herramientas_de_medición2064[Herramientas_de_medición], B142) &gt; 0, Herramientas_de_medición2064[[#Headers],[Herramientas_de_medición]],
    COUNTIF(Herrramientas_mecánicas2165[Herramientas_mecánicas], B142) &gt; 0, Herrramientas_mecánicas2165[[#Headers],[Herramientas_mecánicas]],
    COUNTIF(AK142:AK148, B142) &gt; 0, Herramientas_hidráulicas2266[[#Headers],[Herramientas_hidráulicas]],
    COUNTIF(EPP_2367[SPCC], B142) &gt; 0, EPP_2367[[#Headers],[SPCC]],
   COUNTIF(Herramientas_de_izaje2468[Herramientas_de_izaje], B142) &gt; 0, Herramientas_de_izaje2468[[#Headers],[Herramientas_de_izaje]],
COUNTIF(Tabla162670[Equipos], B142) &gt; 0, Tabla162670[[#Headers],[Equipos]],
    TRUE, "Sin clasificación"
)</f>
        <v>Herramientas_eléctricas</v>
      </c>
      <c r="G142" s="15" t="s">
        <v>572</v>
      </c>
      <c r="H142" s="47" t="s">
        <v>793</v>
      </c>
      <c r="I142" s="87">
        <v>5.2</v>
      </c>
      <c r="J142" s="78">
        <v>125</v>
      </c>
      <c r="K142" s="78"/>
      <c r="L142" s="78">
        <v>220</v>
      </c>
      <c r="M142" s="78"/>
      <c r="N142" s="76" t="s">
        <v>4352</v>
      </c>
      <c r="O142" s="76">
        <v>806000778</v>
      </c>
      <c r="P142" s="78" t="str">
        <f>_xlfn.LET(
    _xlpm.itemBuscado, B142,
    _xlpm.areaBuscada, C142,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TEXT(COUNTIF($C$2:C142, _xlpm.areaBuscada), "0000"),
    _xlpm.codItem &amp; "-" &amp; _xlpm.codArea &amp; "-" &amp; _xlpm.secuencia
)</f>
        <v>ZE-AM-TG-0063</v>
      </c>
      <c r="Q142" s="77"/>
      <c r="R142" s="32"/>
      <c r="S142" s="32"/>
      <c r="T142" s="32"/>
      <c r="U142" s="32"/>
    </row>
    <row r="143" spans="1:21" ht="28.8" x14ac:dyDescent="0.3">
      <c r="B143" t="s">
        <v>23</v>
      </c>
      <c r="C143" s="11" t="s">
        <v>178</v>
      </c>
      <c r="D143" s="32"/>
      <c r="E143" s="11" t="str" cm="1">
        <f t="array" ref="E143">_xlfn.IFS(
    COUNTIF(Herramientas_eléctricas1862[Herramientas_eléctricas], B143) &gt; 0, Herramientas_eléctricas1862[[#Headers],[Herramientas_eléctricas]],
    COUNTIF(Herramientas_neumáticas1963[Herramientas_neumáticas], B143) &gt; 0, Herramientas_neumáticas1963[[#Headers],[Herramientas_neumáticas]],
    COUNTIF(Herramientas_de_medición2064[Herramientas_de_medición], B143) &gt; 0, Herramientas_de_medición2064[[#Headers],[Herramientas_de_medición]],
    COUNTIF(Herrramientas_mecánicas2165[Herramientas_mecánicas], B143) &gt; 0, Herrramientas_mecánicas2165[[#Headers],[Herramientas_mecánicas]],
    COUNTIF(AK143:AK149, B143) &gt; 0, Herramientas_hidráulicas2266[[#Headers],[Herramientas_hidráulicas]],
    COUNTIF(EPP_2367[SPCC], B143) &gt; 0, EPP_2367[[#Headers],[SPCC]],
   COUNTIF(Herramientas_de_izaje2468[Herramientas_de_izaje], B143) &gt; 0, Herramientas_de_izaje2468[[#Headers],[Herramientas_de_izaje]],
COUNTIF(Tabla162670[Equipos], B143) &gt; 0, Tabla162670[[#Headers],[Equipos]],
    TRUE, "Sin clasificación"
)</f>
        <v>Herramientas_eléctricas</v>
      </c>
      <c r="G143" s="15" t="s">
        <v>572</v>
      </c>
      <c r="H143" s="47" t="s">
        <v>917</v>
      </c>
      <c r="I143" s="87"/>
      <c r="J143" s="78">
        <v>180</v>
      </c>
      <c r="K143" s="78">
        <v>2600</v>
      </c>
      <c r="L143" s="78">
        <v>220</v>
      </c>
      <c r="M143" s="78">
        <v>8500</v>
      </c>
      <c r="N143" s="100" t="s">
        <v>4352</v>
      </c>
      <c r="O143" s="76">
        <v>901000065</v>
      </c>
      <c r="P143" s="78" t="str">
        <f>_xlfn.LET(
    _xlpm.itemBuscado, B143,
    _xlpm.areaBuscada, C143,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TEXT(COUNTIF($C$2:C143, _xlpm.areaBuscada), "0000"),
    _xlpm.codItem &amp; "-" &amp; _xlpm.codArea &amp; "-" &amp; _xlpm.secuencia
)</f>
        <v>ZE-AM-TG-0064</v>
      </c>
      <c r="Q143" s="77"/>
      <c r="R143" s="32"/>
      <c r="S143" s="32"/>
      <c r="T143" s="32"/>
      <c r="U143" s="32"/>
    </row>
    <row r="144" spans="1:21" x14ac:dyDescent="0.3">
      <c r="C144" s="11"/>
      <c r="D144" s="32"/>
      <c r="E144" s="11" t="str" cm="1">
        <f t="array" ref="E144">_xlfn.IFS(
    COUNTIF(Herramientas_eléctricas1862[Herramientas_eléctricas], B144) &gt; 0, Herramientas_eléctricas1862[[#Headers],[Herramientas_eléctricas]],
    COUNTIF(Herramientas_neumáticas1963[Herramientas_neumáticas], B144) &gt; 0, Herramientas_neumáticas1963[[#Headers],[Herramientas_neumáticas]],
    COUNTIF(Herramientas_de_medición2064[Herramientas_de_medición], B144) &gt; 0, Herramientas_de_medición2064[[#Headers],[Herramientas_de_medición]],
    COUNTIF(Herrramientas_mecánicas2165[Herramientas_mecánicas], B144) &gt; 0, Herrramientas_mecánicas2165[[#Headers],[Herramientas_mecánicas]],
    COUNTIF(AK144:AK150, B144) &gt; 0, Herramientas_hidráulicas2266[[#Headers],[Herramientas_hidráulicas]],
    COUNTIF(EPP_2367[SPCC], B144) &gt; 0, EPP_2367[[#Headers],[SPCC]],
   COUNTIF(Herramientas_de_izaje2468[Herramientas_de_izaje], B144) &gt; 0, Herramientas_de_izaje2468[[#Headers],[Herramientas_de_izaje]],
COUNTIF(Tabla162670[Equipos], B144) &gt; 0, Tabla162670[[#Headers],[Equipos]],
    TRUE, "Sin clasificación"
)</f>
        <v>Sin clasificación</v>
      </c>
      <c r="G144" s="15"/>
      <c r="H144" s="47"/>
      <c r="I144" s="87"/>
      <c r="J144" s="78"/>
      <c r="K144" s="78"/>
      <c r="L144" s="78"/>
      <c r="M144" s="78"/>
      <c r="N144" s="76"/>
      <c r="O144" s="76"/>
      <c r="P144" s="78" t="str">
        <f>_xlfn.LET(
    _xlpm.itemBuscado, B144,
    _xlpm.areaBuscada, C144,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TEXT(COUNTIF($C$2:C144, _xlpm.areaBuscada), "0000"),
    _xlpm.codItem &amp; "-" &amp; _xlpm.codArea &amp; "-" &amp; _xlpm.secuencia
)</f>
        <v>-SinArea-0000</v>
      </c>
      <c r="Q144" s="77"/>
      <c r="R144" s="32"/>
      <c r="S144" s="32"/>
      <c r="T144" s="32"/>
      <c r="U144" s="32"/>
    </row>
    <row r="145" spans="3:21" x14ac:dyDescent="0.3">
      <c r="C145" s="11"/>
      <c r="D145" s="32"/>
      <c r="E145" s="11" t="str" cm="1">
        <f t="array" ref="E145">_xlfn.IFS(
    COUNTIF(Herramientas_eléctricas1862[Herramientas_eléctricas], B145) &gt; 0, Herramientas_eléctricas1862[[#Headers],[Herramientas_eléctricas]],
    COUNTIF(Herramientas_neumáticas1963[Herramientas_neumáticas], B145) &gt; 0, Herramientas_neumáticas1963[[#Headers],[Herramientas_neumáticas]],
    COUNTIF(Herramientas_de_medición2064[Herramientas_de_medición], B145) &gt; 0, Herramientas_de_medición2064[[#Headers],[Herramientas_de_medición]],
    COUNTIF(Herrramientas_mecánicas2165[Herramientas_mecánicas], B145) &gt; 0, Herrramientas_mecánicas2165[[#Headers],[Herramientas_mecánicas]],
    COUNTIF(AK145:AK151, B145) &gt; 0, Herramientas_hidráulicas2266[[#Headers],[Herramientas_hidráulicas]],
    COUNTIF(EPP_2367[SPCC], B145) &gt; 0, EPP_2367[[#Headers],[SPCC]],
   COUNTIF(Herramientas_de_izaje2468[Herramientas_de_izaje], B145) &gt; 0, Herramientas_de_izaje2468[[#Headers],[Herramientas_de_izaje]],
COUNTIF(Tabla162670[Equipos], B145) &gt; 0, Tabla162670[[#Headers],[Equipos]],
    TRUE, "Sin clasificación"
)</f>
        <v>Sin clasificación</v>
      </c>
      <c r="G145" s="15"/>
      <c r="H145" s="47"/>
      <c r="I145" s="87"/>
      <c r="J145" s="78"/>
      <c r="K145" s="78"/>
      <c r="L145" s="78"/>
      <c r="M145" s="78"/>
      <c r="N145" s="76"/>
      <c r="O145" s="76"/>
      <c r="P145" s="78" t="str">
        <f>_xlfn.LET(
    _xlpm.itemBuscado, B145,
    _xlpm.areaBuscada, C145,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TEXT(COUNTIF($C$2:C145, _xlpm.areaBuscada), "0000"),
    _xlpm.codItem &amp; "-" &amp; _xlpm.codArea &amp; "-" &amp; _xlpm.secuencia
)</f>
        <v>-SinArea-0000</v>
      </c>
      <c r="Q145" s="77"/>
      <c r="R145" s="32"/>
      <c r="S145" s="32"/>
      <c r="T145" s="32"/>
      <c r="U145" s="32"/>
    </row>
    <row r="146" spans="3:21" x14ac:dyDescent="0.3">
      <c r="C146" s="11"/>
      <c r="D146" s="32"/>
      <c r="E146" s="11" t="str" cm="1">
        <f t="array" ref="E146">_xlfn.IFS(
    COUNTIF(Herramientas_eléctricas1862[Herramientas_eléctricas], B146) &gt; 0, Herramientas_eléctricas1862[[#Headers],[Herramientas_eléctricas]],
    COUNTIF(Herramientas_neumáticas1963[Herramientas_neumáticas], B146) &gt; 0, Herramientas_neumáticas1963[[#Headers],[Herramientas_neumáticas]],
    COUNTIF(Herramientas_de_medición2064[Herramientas_de_medición], B146) &gt; 0, Herramientas_de_medición2064[[#Headers],[Herramientas_de_medición]],
    COUNTIF(Herrramientas_mecánicas2165[Herramientas_mecánicas], B146) &gt; 0, Herrramientas_mecánicas2165[[#Headers],[Herramientas_mecánicas]],
    COUNTIF(AK146:AK152, B146) &gt; 0, Herramientas_hidráulicas2266[[#Headers],[Herramientas_hidráulicas]],
    COUNTIF(EPP_2367[SPCC], B146) &gt; 0, EPP_2367[[#Headers],[SPCC]],
   COUNTIF(Herramientas_de_izaje2468[Herramientas_de_izaje], B146) &gt; 0, Herramientas_de_izaje2468[[#Headers],[Herramientas_de_izaje]],
COUNTIF(Tabla162670[Equipos], B146) &gt; 0, Tabla162670[[#Headers],[Equipos]],
    TRUE, "Sin clasificación"
)</f>
        <v>Sin clasificación</v>
      </c>
      <c r="G146" s="15"/>
      <c r="H146" s="47"/>
      <c r="I146" s="87"/>
      <c r="J146" s="78"/>
      <c r="K146" s="78"/>
      <c r="L146" s="78"/>
      <c r="M146" s="78"/>
      <c r="N146" s="76"/>
      <c r="O146" s="76"/>
      <c r="P146" s="78" t="str">
        <f>_xlfn.LET(
    _xlpm.itemBuscado, B146,
    _xlpm.areaBuscada, C146,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TEXT(COUNTIF($C$2:C146, _xlpm.areaBuscada), "0000"),
    _xlpm.codItem &amp; "-" &amp; _xlpm.codArea &amp; "-" &amp; _xlpm.secuencia
)</f>
        <v>-SinArea-0000</v>
      </c>
      <c r="Q146" s="77"/>
      <c r="R146" s="32"/>
      <c r="S146" s="32"/>
      <c r="T146" s="32"/>
      <c r="U146" s="32"/>
    </row>
    <row r="147" spans="3:21" x14ac:dyDescent="0.3">
      <c r="C147" s="11"/>
      <c r="D147" s="32"/>
      <c r="E147" s="11" t="str" cm="1">
        <f t="array" ref="E147">_xlfn.IFS(
    COUNTIF(Herramientas_eléctricas1862[Herramientas_eléctricas], B147) &gt; 0, Herramientas_eléctricas1862[[#Headers],[Herramientas_eléctricas]],
    COUNTIF(Herramientas_neumáticas1963[Herramientas_neumáticas], B147) &gt; 0, Herramientas_neumáticas1963[[#Headers],[Herramientas_neumáticas]],
    COUNTIF(Herramientas_de_medición2064[Herramientas_de_medición], B147) &gt; 0, Herramientas_de_medición2064[[#Headers],[Herramientas_de_medición]],
    COUNTIF(Herrramientas_mecánicas2165[Herramientas_mecánicas], B147) &gt; 0, Herrramientas_mecánicas2165[[#Headers],[Herramientas_mecánicas]],
    COUNTIF(AK147:AK153, B147) &gt; 0, Herramientas_hidráulicas2266[[#Headers],[Herramientas_hidráulicas]],
    COUNTIF(EPP_2367[SPCC], B147) &gt; 0, EPP_2367[[#Headers],[SPCC]],
   COUNTIF(Herramientas_de_izaje2468[Herramientas_de_izaje], B147) &gt; 0, Herramientas_de_izaje2468[[#Headers],[Herramientas_de_izaje]],
COUNTIF(Tabla162670[Equipos], B147) &gt; 0, Tabla162670[[#Headers],[Equipos]],
    TRUE, "Sin clasificación"
)</f>
        <v>Sin clasificación</v>
      </c>
      <c r="G147" s="15"/>
      <c r="H147" s="47"/>
      <c r="I147" s="87"/>
      <c r="J147" s="78"/>
      <c r="K147" s="78"/>
      <c r="L147" s="78"/>
      <c r="M147" s="78"/>
      <c r="N147" s="76"/>
      <c r="O147" s="76"/>
      <c r="P147" s="78" t="str">
        <f>_xlfn.LET(
    _xlpm.itemBuscado, B147,
    _xlpm.areaBuscada, C147,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TEXT(COUNTIF($C$2:C147, _xlpm.areaBuscada), "0000"),
    _xlpm.codItem &amp; "-" &amp; _xlpm.codArea &amp; "-" &amp; _xlpm.secuencia
)</f>
        <v>-SinArea-0000</v>
      </c>
      <c r="Q147" s="77"/>
      <c r="R147" s="32"/>
      <c r="S147" s="32"/>
      <c r="T147" s="32"/>
      <c r="U147" s="32"/>
    </row>
    <row r="148" spans="3:21" x14ac:dyDescent="0.3">
      <c r="C148" s="11"/>
      <c r="D148" s="32"/>
      <c r="E148" s="11" t="str" cm="1">
        <f t="array" ref="E148">_xlfn.IFS(
    COUNTIF(Herramientas_eléctricas1862[Herramientas_eléctricas], B148) &gt; 0, Herramientas_eléctricas1862[[#Headers],[Herramientas_eléctricas]],
    COUNTIF(Herramientas_neumáticas1963[Herramientas_neumáticas], B148) &gt; 0, Herramientas_neumáticas1963[[#Headers],[Herramientas_neumáticas]],
    COUNTIF(Herramientas_de_medición2064[Herramientas_de_medición], B148) &gt; 0, Herramientas_de_medición2064[[#Headers],[Herramientas_de_medición]],
    COUNTIF(Herrramientas_mecánicas2165[Herramientas_mecánicas], B148) &gt; 0, Herrramientas_mecánicas2165[[#Headers],[Herramientas_mecánicas]],
    COUNTIF(AK148:AK154, B148) &gt; 0, Herramientas_hidráulicas2266[[#Headers],[Herramientas_hidráulicas]],
    COUNTIF(EPP_2367[SPCC], B148) &gt; 0, EPP_2367[[#Headers],[SPCC]],
   COUNTIF(Herramientas_de_izaje2468[Herramientas_de_izaje], B148) &gt; 0, Herramientas_de_izaje2468[[#Headers],[Herramientas_de_izaje]],
COUNTIF(Tabla162670[Equipos], B148) &gt; 0, Tabla162670[[#Headers],[Equipos]],
    TRUE, "Sin clasificación"
)</f>
        <v>Sin clasificación</v>
      </c>
      <c r="G148" s="15"/>
      <c r="H148" s="47"/>
      <c r="I148" s="87"/>
      <c r="J148" s="78"/>
      <c r="K148" s="78"/>
      <c r="L148" s="78"/>
      <c r="M148" s="78"/>
      <c r="N148" s="76"/>
      <c r="O148" s="76"/>
      <c r="P148" s="78" t="str">
        <f>_xlfn.LET(
    _xlpm.itemBuscado, B148,
    _xlpm.areaBuscada, C148,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TEXT(COUNTIF($C$2:C148, _xlpm.areaBuscada), "0000"),
    _xlpm.codItem &amp; "-" &amp; _xlpm.codArea &amp; "-" &amp; _xlpm.secuencia
)</f>
        <v>-SinArea-0000</v>
      </c>
      <c r="Q148" s="77"/>
      <c r="R148" s="32"/>
      <c r="S148" s="32"/>
      <c r="T148" s="32"/>
      <c r="U148" s="32"/>
    </row>
    <row r="149" spans="3:21" x14ac:dyDescent="0.3">
      <c r="C149" s="11"/>
      <c r="D149" s="32"/>
      <c r="E149" s="11" t="str" cm="1">
        <f t="array" ref="E149">_xlfn.IFS(
    COUNTIF(Herramientas_eléctricas1862[Herramientas_eléctricas], B149) &gt; 0, Herramientas_eléctricas1862[[#Headers],[Herramientas_eléctricas]],
    COUNTIF(Herramientas_neumáticas1963[Herramientas_neumáticas], B149) &gt; 0, Herramientas_neumáticas1963[[#Headers],[Herramientas_neumáticas]],
    COUNTIF(Herramientas_de_medición2064[Herramientas_de_medición], B149) &gt; 0, Herramientas_de_medición2064[[#Headers],[Herramientas_de_medición]],
    COUNTIF(Herrramientas_mecánicas2165[Herramientas_mecánicas], B149) &gt; 0, Herrramientas_mecánicas2165[[#Headers],[Herramientas_mecánicas]],
    COUNTIF(AK149:AK155, B149) &gt; 0, Herramientas_hidráulicas2266[[#Headers],[Herramientas_hidráulicas]],
    COUNTIF(EPP_2367[SPCC], B149) &gt; 0, EPP_2367[[#Headers],[SPCC]],
   COUNTIF(Herramientas_de_izaje2468[Herramientas_de_izaje], B149) &gt; 0, Herramientas_de_izaje2468[[#Headers],[Herramientas_de_izaje]],
COUNTIF(Tabla162670[Equipos], B149) &gt; 0, Tabla162670[[#Headers],[Equipos]],
    TRUE, "Sin clasificación"
)</f>
        <v>Sin clasificación</v>
      </c>
      <c r="G149" s="15"/>
      <c r="H149" s="47"/>
      <c r="I149" s="87"/>
      <c r="J149" s="78"/>
      <c r="K149" s="78"/>
      <c r="L149" s="78"/>
      <c r="M149" s="78"/>
      <c r="N149" s="76"/>
      <c r="O149" s="76"/>
      <c r="P149" s="78" t="str">
        <f>_xlfn.LET(
    _xlpm.itemBuscado, B149,
    _xlpm.areaBuscada, C149,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TEXT(COUNTIF($C$2:C149, _xlpm.areaBuscada), "0000"),
    _xlpm.codItem &amp; "-" &amp; _xlpm.codArea &amp; "-" &amp; _xlpm.secuencia
)</f>
        <v>-SinArea-0000</v>
      </c>
      <c r="Q149" s="77"/>
      <c r="R149" s="32"/>
      <c r="S149" s="32"/>
      <c r="T149" s="32"/>
      <c r="U149" s="32"/>
    </row>
    <row r="150" spans="3:21" x14ac:dyDescent="0.3">
      <c r="C150" s="11"/>
      <c r="D150" s="32"/>
      <c r="E150" s="11" t="str" cm="1">
        <f t="array" ref="E150">_xlfn.IFS(
    COUNTIF(Herramientas_eléctricas1862[Herramientas_eléctricas], B150) &gt; 0, Herramientas_eléctricas1862[[#Headers],[Herramientas_eléctricas]],
    COUNTIF(Herramientas_neumáticas1963[Herramientas_neumáticas], B150) &gt; 0, Herramientas_neumáticas1963[[#Headers],[Herramientas_neumáticas]],
    COUNTIF(Herramientas_de_medición2064[Herramientas_de_medición], B150) &gt; 0, Herramientas_de_medición2064[[#Headers],[Herramientas_de_medición]],
    COUNTIF(Herrramientas_mecánicas2165[Herramientas_mecánicas], B150) &gt; 0, Herrramientas_mecánicas2165[[#Headers],[Herramientas_mecánicas]],
    COUNTIF(AK150:AK156, B150) &gt; 0, Herramientas_hidráulicas2266[[#Headers],[Herramientas_hidráulicas]],
    COUNTIF(EPP_2367[SPCC], B150) &gt; 0, EPP_2367[[#Headers],[SPCC]],
   COUNTIF(Herramientas_de_izaje2468[Herramientas_de_izaje], B150) &gt; 0, Herramientas_de_izaje2468[[#Headers],[Herramientas_de_izaje]],
COUNTIF(Tabla162670[Equipos], B150) &gt; 0, Tabla162670[[#Headers],[Equipos]],
    TRUE, "Sin clasificación"
)</f>
        <v>Sin clasificación</v>
      </c>
      <c r="G150" s="15"/>
      <c r="H150" s="47"/>
      <c r="I150" s="87"/>
      <c r="J150" s="78"/>
      <c r="K150" s="78"/>
      <c r="L150" s="78"/>
      <c r="M150" s="78"/>
      <c r="N150" s="76"/>
      <c r="O150" s="76"/>
      <c r="P150" s="78" t="str">
        <f>_xlfn.LET(
    _xlpm.itemBuscado, B150,
    _xlpm.areaBuscada, C150,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TEXT(COUNTIF($C$2:C150, _xlpm.areaBuscada), "0000"),
    _xlpm.codItem &amp; "-" &amp; _xlpm.codArea &amp; "-" &amp; _xlpm.secuencia
)</f>
        <v>-SinArea-0000</v>
      </c>
      <c r="Q150" s="77"/>
      <c r="R150" s="32"/>
      <c r="S150" s="32"/>
      <c r="T150" s="32"/>
      <c r="U150" s="32"/>
    </row>
    <row r="151" spans="3:21" x14ac:dyDescent="0.3">
      <c r="C151" s="11"/>
      <c r="D151" s="32"/>
      <c r="E151" s="11" t="str" cm="1">
        <f t="array" ref="E151">_xlfn.IFS(
    COUNTIF(Herramientas_eléctricas1862[Herramientas_eléctricas], B151) &gt; 0, Herramientas_eléctricas1862[[#Headers],[Herramientas_eléctricas]],
    COUNTIF(Herramientas_neumáticas1963[Herramientas_neumáticas], B151) &gt; 0, Herramientas_neumáticas1963[[#Headers],[Herramientas_neumáticas]],
    COUNTIF(Herramientas_de_medición2064[Herramientas_de_medición], B151) &gt; 0, Herramientas_de_medición2064[[#Headers],[Herramientas_de_medición]],
    COUNTIF(Herrramientas_mecánicas2165[Herramientas_mecánicas], B151) &gt; 0, Herrramientas_mecánicas2165[[#Headers],[Herramientas_mecánicas]],
    COUNTIF(AK151:AK157, B151) &gt; 0, Herramientas_hidráulicas2266[[#Headers],[Herramientas_hidráulicas]],
    COUNTIF(EPP_2367[SPCC], B151) &gt; 0, EPP_2367[[#Headers],[SPCC]],
   COUNTIF(Herramientas_de_izaje2468[Herramientas_de_izaje], B151) &gt; 0, Herramientas_de_izaje2468[[#Headers],[Herramientas_de_izaje]],
COUNTIF(Tabla162670[Equipos], B151) &gt; 0, Tabla162670[[#Headers],[Equipos]],
    TRUE, "Sin clasificación"
)</f>
        <v>Sin clasificación</v>
      </c>
      <c r="G151" s="15"/>
      <c r="H151" s="47"/>
      <c r="I151" s="87"/>
      <c r="J151" s="78"/>
      <c r="K151" s="78"/>
      <c r="L151" s="78"/>
      <c r="M151" s="78"/>
      <c r="N151" s="76"/>
      <c r="O151" s="76"/>
      <c r="P151" s="78" t="str">
        <f>_xlfn.LET(
    _xlpm.itemBuscado, B151,
    _xlpm.areaBuscada, C151,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TEXT(COUNTIF($C$2:C151, _xlpm.areaBuscada), "0000"),
    _xlpm.codItem &amp; "-" &amp; _xlpm.codArea &amp; "-" &amp; _xlpm.secuencia
)</f>
        <v>-SinArea-0000</v>
      </c>
      <c r="Q151" s="77"/>
      <c r="R151" s="32"/>
      <c r="S151" s="32"/>
      <c r="T151" s="32"/>
      <c r="U151" s="32"/>
    </row>
    <row r="152" spans="3:21" x14ac:dyDescent="0.3">
      <c r="C152" s="11"/>
      <c r="D152" s="32"/>
      <c r="E152" s="11" t="str" cm="1">
        <f t="array" ref="E152">_xlfn.IFS(
    COUNTIF(Herramientas_eléctricas1862[Herramientas_eléctricas], B152) &gt; 0, Herramientas_eléctricas1862[[#Headers],[Herramientas_eléctricas]],
    COUNTIF(Herramientas_neumáticas1963[Herramientas_neumáticas], B152) &gt; 0, Herramientas_neumáticas1963[[#Headers],[Herramientas_neumáticas]],
    COUNTIF(Herramientas_de_medición2064[Herramientas_de_medición], B152) &gt; 0, Herramientas_de_medición2064[[#Headers],[Herramientas_de_medición]],
    COUNTIF(Herrramientas_mecánicas2165[Herramientas_mecánicas], B152) &gt; 0, Herrramientas_mecánicas2165[[#Headers],[Herramientas_mecánicas]],
    COUNTIF(AK152:AK158, B152) &gt; 0, Herramientas_hidráulicas2266[[#Headers],[Herramientas_hidráulicas]],
    COUNTIF(EPP_2367[SPCC], B152) &gt; 0, EPP_2367[[#Headers],[SPCC]],
   COUNTIF(Herramientas_de_izaje2468[Herramientas_de_izaje], B152) &gt; 0, Herramientas_de_izaje2468[[#Headers],[Herramientas_de_izaje]],
COUNTIF(Tabla162670[Equipos], B152) &gt; 0, Tabla162670[[#Headers],[Equipos]],
    TRUE, "Sin clasificación"
)</f>
        <v>Sin clasificación</v>
      </c>
      <c r="G152" s="15"/>
      <c r="H152" s="47"/>
      <c r="I152" s="87"/>
      <c r="J152" s="78"/>
      <c r="K152" s="78"/>
      <c r="L152" s="78"/>
      <c r="M152" s="78"/>
      <c r="N152" s="76"/>
      <c r="O152" s="76"/>
      <c r="P152" s="78" t="str">
        <f>_xlfn.LET(
    _xlpm.itemBuscado, B152,
    _xlpm.areaBuscada, C152,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TEXT(COUNTIF($C$2:C152, _xlpm.areaBuscada), "0000"),
    _xlpm.codItem &amp; "-" &amp; _xlpm.codArea &amp; "-" &amp; _xlpm.secuencia
)</f>
        <v>-SinArea-0000</v>
      </c>
      <c r="Q152" s="77"/>
      <c r="R152" s="32"/>
      <c r="S152" s="32"/>
      <c r="T152" s="32"/>
      <c r="U152" s="32"/>
    </row>
    <row r="153" spans="3:21" x14ac:dyDescent="0.3">
      <c r="C153" s="11"/>
      <c r="D153" s="32"/>
      <c r="E153" s="11" t="str" cm="1">
        <f t="array" ref="E153">_xlfn.IFS(
    COUNTIF(Herramientas_eléctricas1862[Herramientas_eléctricas], B153) &gt; 0, Herramientas_eléctricas1862[[#Headers],[Herramientas_eléctricas]],
    COUNTIF(Herramientas_neumáticas1963[Herramientas_neumáticas], B153) &gt; 0, Herramientas_neumáticas1963[[#Headers],[Herramientas_neumáticas]],
    COUNTIF(Herramientas_de_medición2064[Herramientas_de_medición], B153) &gt; 0, Herramientas_de_medición2064[[#Headers],[Herramientas_de_medición]],
    COUNTIF(Herrramientas_mecánicas2165[Herramientas_mecánicas], B153) &gt; 0, Herrramientas_mecánicas2165[[#Headers],[Herramientas_mecánicas]],
    COUNTIF(AK153:AK159, B153) &gt; 0, Herramientas_hidráulicas2266[[#Headers],[Herramientas_hidráulicas]],
    COUNTIF(EPP_2367[SPCC], B153) &gt; 0, EPP_2367[[#Headers],[SPCC]],
   COUNTIF(Herramientas_de_izaje2468[Herramientas_de_izaje], B153) &gt; 0, Herramientas_de_izaje2468[[#Headers],[Herramientas_de_izaje]],
COUNTIF(Tabla162670[Equipos], B153) &gt; 0, Tabla162670[[#Headers],[Equipos]],
    TRUE, "Sin clasificación"
)</f>
        <v>Sin clasificación</v>
      </c>
      <c r="G153" s="15"/>
      <c r="H153" s="47"/>
      <c r="I153" s="87"/>
      <c r="J153" s="78"/>
      <c r="K153" s="78"/>
      <c r="L153" s="78"/>
      <c r="M153" s="78"/>
      <c r="N153" s="76"/>
      <c r="O153" s="76"/>
      <c r="P153" s="78" t="str">
        <f>_xlfn.LET(
    _xlpm.itemBuscado, B153,
    _xlpm.areaBuscada, C153,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TEXT(COUNTIF($C$2:C153, _xlpm.areaBuscada), "0000"),
    _xlpm.codItem &amp; "-" &amp; _xlpm.codArea &amp; "-" &amp; _xlpm.secuencia
)</f>
        <v>-SinArea-0000</v>
      </c>
      <c r="Q153" s="77"/>
      <c r="R153" s="32"/>
      <c r="S153" s="32"/>
      <c r="T153" s="32"/>
      <c r="U153" s="32"/>
    </row>
    <row r="154" spans="3:21" x14ac:dyDescent="0.3">
      <c r="C154" s="11"/>
      <c r="D154" s="32"/>
      <c r="E154" s="11" t="str" cm="1">
        <f t="array" ref="E154">_xlfn.IFS(
    COUNTIF(Herramientas_eléctricas1862[Herramientas_eléctricas], B154) &gt; 0, Herramientas_eléctricas1862[[#Headers],[Herramientas_eléctricas]],
    COUNTIF(Herramientas_neumáticas1963[Herramientas_neumáticas], B154) &gt; 0, Herramientas_neumáticas1963[[#Headers],[Herramientas_neumáticas]],
    COUNTIF(Herramientas_de_medición2064[Herramientas_de_medición], B154) &gt; 0, Herramientas_de_medición2064[[#Headers],[Herramientas_de_medición]],
    COUNTIF(Herrramientas_mecánicas2165[Herramientas_mecánicas], B154) &gt; 0, Herrramientas_mecánicas2165[[#Headers],[Herramientas_mecánicas]],
    COUNTIF(AK154:AK160, B154) &gt; 0, Herramientas_hidráulicas2266[[#Headers],[Herramientas_hidráulicas]],
    COUNTIF(EPP_2367[SPCC], B154) &gt; 0, EPP_2367[[#Headers],[SPCC]],
   COUNTIF(Herramientas_de_izaje2468[Herramientas_de_izaje], B154) &gt; 0, Herramientas_de_izaje2468[[#Headers],[Herramientas_de_izaje]],
COUNTIF(Tabla162670[Equipos], B154) &gt; 0, Tabla162670[[#Headers],[Equipos]],
    TRUE, "Sin clasificación"
)</f>
        <v>Sin clasificación</v>
      </c>
      <c r="G154" s="15"/>
      <c r="H154" s="47"/>
      <c r="I154" s="87"/>
      <c r="J154" s="78"/>
      <c r="K154" s="78"/>
      <c r="L154" s="78"/>
      <c r="M154" s="78"/>
      <c r="N154" s="76"/>
      <c r="O154" s="76"/>
      <c r="P154" s="78" t="str">
        <f>_xlfn.LET(
    _xlpm.itemBuscado, B154,
    _xlpm.areaBuscada, C154,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TEXT(COUNTIF($C$2:C154, _xlpm.areaBuscada), "0000"),
    _xlpm.codItem &amp; "-" &amp; _xlpm.codArea &amp; "-" &amp; _xlpm.secuencia
)</f>
        <v>-SinArea-0000</v>
      </c>
      <c r="Q154" s="77"/>
      <c r="R154" s="32"/>
      <c r="S154" s="32"/>
      <c r="T154" s="32"/>
      <c r="U154" s="32"/>
    </row>
    <row r="155" spans="3:21" x14ac:dyDescent="0.3">
      <c r="C155" s="11"/>
      <c r="D155" s="32"/>
      <c r="E155" s="11" t="str" cm="1">
        <f t="array" ref="E155">_xlfn.IFS(
    COUNTIF(Herramientas_eléctricas1862[Herramientas_eléctricas], B155) &gt; 0, Herramientas_eléctricas1862[[#Headers],[Herramientas_eléctricas]],
    COUNTIF(Herramientas_neumáticas1963[Herramientas_neumáticas], B155) &gt; 0, Herramientas_neumáticas1963[[#Headers],[Herramientas_neumáticas]],
    COUNTIF(Herramientas_de_medición2064[Herramientas_de_medición], B155) &gt; 0, Herramientas_de_medición2064[[#Headers],[Herramientas_de_medición]],
    COUNTIF(Herrramientas_mecánicas2165[Herramientas_mecánicas], B155) &gt; 0, Herrramientas_mecánicas2165[[#Headers],[Herramientas_mecánicas]],
    COUNTIF(AK155:AK161, B155) &gt; 0, Herramientas_hidráulicas2266[[#Headers],[Herramientas_hidráulicas]],
    COUNTIF(EPP_2367[SPCC], B155) &gt; 0, EPP_2367[[#Headers],[SPCC]],
   COUNTIF(Herramientas_de_izaje2468[Herramientas_de_izaje], B155) &gt; 0, Herramientas_de_izaje2468[[#Headers],[Herramientas_de_izaje]],
COUNTIF(Tabla162670[Equipos], B155) &gt; 0, Tabla162670[[#Headers],[Equipos]],
    TRUE, "Sin clasificación"
)</f>
        <v>Sin clasificación</v>
      </c>
      <c r="G155" s="15"/>
      <c r="H155" s="47"/>
      <c r="I155" s="87"/>
      <c r="J155" s="78"/>
      <c r="K155" s="78"/>
      <c r="L155" s="78"/>
      <c r="M155" s="78"/>
      <c r="N155" s="76"/>
      <c r="O155" s="76"/>
      <c r="P155" s="78" t="str">
        <f>_xlfn.LET(
    _xlpm.itemBuscado, B155,
    _xlpm.areaBuscada, C155,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TEXT(COUNTIF($C$2:C155, _xlpm.areaBuscada), "0000"),
    _xlpm.codItem &amp; "-" &amp; _xlpm.codArea &amp; "-" &amp; _xlpm.secuencia
)</f>
        <v>-SinArea-0000</v>
      </c>
      <c r="Q155" s="77"/>
      <c r="R155" s="32"/>
      <c r="S155" s="32"/>
      <c r="T155" s="32"/>
      <c r="U155" s="32"/>
    </row>
    <row r="156" spans="3:21" x14ac:dyDescent="0.3">
      <c r="C156" s="11"/>
      <c r="D156" s="32"/>
      <c r="E156" s="11" t="str" cm="1">
        <f t="array" ref="E156">_xlfn.IFS(
    COUNTIF(Herramientas_eléctricas1862[Herramientas_eléctricas], B156) &gt; 0, Herramientas_eléctricas1862[[#Headers],[Herramientas_eléctricas]],
    COUNTIF(Herramientas_neumáticas1963[Herramientas_neumáticas], B156) &gt; 0, Herramientas_neumáticas1963[[#Headers],[Herramientas_neumáticas]],
    COUNTIF(Herramientas_de_medición2064[Herramientas_de_medición], B156) &gt; 0, Herramientas_de_medición2064[[#Headers],[Herramientas_de_medición]],
    COUNTIF(Herrramientas_mecánicas2165[Herramientas_mecánicas], B156) &gt; 0, Herrramientas_mecánicas2165[[#Headers],[Herramientas_mecánicas]],
    COUNTIF(AK156:AK162, B156) &gt; 0, Herramientas_hidráulicas2266[[#Headers],[Herramientas_hidráulicas]],
    COUNTIF(EPP_2367[SPCC], B156) &gt; 0, EPP_2367[[#Headers],[SPCC]],
   COUNTIF(Herramientas_de_izaje2468[Herramientas_de_izaje], B156) &gt; 0, Herramientas_de_izaje2468[[#Headers],[Herramientas_de_izaje]],
COUNTIF(Tabla162670[Equipos], B156) &gt; 0, Tabla162670[[#Headers],[Equipos]],
    TRUE, "Sin clasificación"
)</f>
        <v>Sin clasificación</v>
      </c>
      <c r="G156" s="15"/>
      <c r="H156" s="47"/>
      <c r="I156" s="87"/>
      <c r="J156" s="78"/>
      <c r="K156" s="78"/>
      <c r="L156" s="78"/>
      <c r="M156" s="78"/>
      <c r="N156" s="76"/>
      <c r="O156" s="76"/>
      <c r="P156" s="78" t="str">
        <f>_xlfn.LET(
    _xlpm.itemBuscado, B156,
    _xlpm.areaBuscada, C156,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TEXT(COUNTIF($C$2:C156, _xlpm.areaBuscada), "0000"),
    _xlpm.codItem &amp; "-" &amp; _xlpm.codArea &amp; "-" &amp; _xlpm.secuencia
)</f>
        <v>-SinArea-0000</v>
      </c>
      <c r="Q156" s="77"/>
      <c r="R156" s="32"/>
      <c r="S156" s="32"/>
      <c r="T156" s="32"/>
      <c r="U156" s="32"/>
    </row>
    <row r="157" spans="3:21" x14ac:dyDescent="0.3">
      <c r="C157" s="11"/>
      <c r="D157" s="32"/>
      <c r="E157" s="11" t="str" cm="1">
        <f t="array" ref="E157">_xlfn.IFS(
    COUNTIF(Herramientas_eléctricas1862[Herramientas_eléctricas], B157) &gt; 0, Herramientas_eléctricas1862[[#Headers],[Herramientas_eléctricas]],
    COUNTIF(Herramientas_neumáticas1963[Herramientas_neumáticas], B157) &gt; 0, Herramientas_neumáticas1963[[#Headers],[Herramientas_neumáticas]],
    COUNTIF(Herramientas_de_medición2064[Herramientas_de_medición], B157) &gt; 0, Herramientas_de_medición2064[[#Headers],[Herramientas_de_medición]],
    COUNTIF(Herrramientas_mecánicas2165[Herramientas_mecánicas], B157) &gt; 0, Herrramientas_mecánicas2165[[#Headers],[Herramientas_mecánicas]],
    COUNTIF(AK157:AK163, B157) &gt; 0, Herramientas_hidráulicas2266[[#Headers],[Herramientas_hidráulicas]],
    COUNTIF(EPP_2367[SPCC], B157) &gt; 0, EPP_2367[[#Headers],[SPCC]],
   COUNTIF(Herramientas_de_izaje2468[Herramientas_de_izaje], B157) &gt; 0, Herramientas_de_izaje2468[[#Headers],[Herramientas_de_izaje]],
COUNTIF(Tabla162670[Equipos], B157) &gt; 0, Tabla162670[[#Headers],[Equipos]],
    TRUE, "Sin clasificación"
)</f>
        <v>Sin clasificación</v>
      </c>
      <c r="G157" s="15"/>
      <c r="H157" s="47"/>
      <c r="I157" s="87"/>
      <c r="J157" s="78"/>
      <c r="K157" s="78"/>
      <c r="L157" s="78"/>
      <c r="M157" s="78"/>
      <c r="N157" s="76"/>
      <c r="O157" s="76"/>
      <c r="P157" s="78" t="str">
        <f>_xlfn.LET(
    _xlpm.itemBuscado, B157,
    _xlpm.areaBuscada, C157,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TEXT(COUNTIF($C$2:C157, _xlpm.areaBuscada), "0000"),
    _xlpm.codItem &amp; "-" &amp; _xlpm.codArea &amp; "-" &amp; _xlpm.secuencia
)</f>
        <v>-SinArea-0000</v>
      </c>
      <c r="Q157" s="77"/>
      <c r="R157" s="32"/>
      <c r="S157" s="32"/>
      <c r="T157" s="32"/>
      <c r="U157" s="32"/>
    </row>
    <row r="158" spans="3:21" x14ac:dyDescent="0.3">
      <c r="C158" s="11"/>
      <c r="D158" s="32"/>
      <c r="E158" s="11" t="str" cm="1">
        <f t="array" ref="E158">_xlfn.IFS(
    COUNTIF(Herramientas_eléctricas1862[Herramientas_eléctricas], B158) &gt; 0, Herramientas_eléctricas1862[[#Headers],[Herramientas_eléctricas]],
    COUNTIF(Herramientas_neumáticas1963[Herramientas_neumáticas], B158) &gt; 0, Herramientas_neumáticas1963[[#Headers],[Herramientas_neumáticas]],
    COUNTIF(Herramientas_de_medición2064[Herramientas_de_medición], B158) &gt; 0, Herramientas_de_medición2064[[#Headers],[Herramientas_de_medición]],
    COUNTIF(Herrramientas_mecánicas2165[Herramientas_mecánicas], B158) &gt; 0, Herrramientas_mecánicas2165[[#Headers],[Herramientas_mecánicas]],
    COUNTIF(AK158:AK164, B158) &gt; 0, Herramientas_hidráulicas2266[[#Headers],[Herramientas_hidráulicas]],
    COUNTIF(EPP_2367[SPCC], B158) &gt; 0, EPP_2367[[#Headers],[SPCC]],
   COUNTIF(Herramientas_de_izaje2468[Herramientas_de_izaje], B158) &gt; 0, Herramientas_de_izaje2468[[#Headers],[Herramientas_de_izaje]],
COUNTIF(Tabla162670[Equipos], B158) &gt; 0, Tabla162670[[#Headers],[Equipos]],
    TRUE, "Sin clasificación"
)</f>
        <v>Sin clasificación</v>
      </c>
      <c r="G158" s="15"/>
      <c r="H158" s="47"/>
      <c r="I158" s="87"/>
      <c r="J158" s="78"/>
      <c r="K158" s="78"/>
      <c r="L158" s="78"/>
      <c r="M158" s="78"/>
      <c r="N158" s="76"/>
      <c r="O158" s="76"/>
      <c r="P158" s="78" t="str">
        <f>_xlfn.LET(
    _xlpm.itemBuscado, B158,
    _xlpm.areaBuscada, C158,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TEXT(COUNTIF($C$2:C158, _xlpm.areaBuscada), "0000"),
    _xlpm.codItem &amp; "-" &amp; _xlpm.codArea &amp; "-" &amp; _xlpm.secuencia
)</f>
        <v>-SinArea-0000</v>
      </c>
      <c r="Q158" s="77"/>
      <c r="R158" s="32"/>
      <c r="S158" s="32"/>
      <c r="T158" s="32"/>
      <c r="U158" s="32"/>
    </row>
    <row r="159" spans="3:21" x14ac:dyDescent="0.3">
      <c r="C159" s="11"/>
      <c r="D159" s="32"/>
      <c r="E159" s="11" t="str" cm="1">
        <f t="array" ref="E159">_xlfn.IFS(
    COUNTIF(Herramientas_eléctricas1862[Herramientas_eléctricas], B159) &gt; 0, Herramientas_eléctricas1862[[#Headers],[Herramientas_eléctricas]],
    COUNTIF(Herramientas_neumáticas1963[Herramientas_neumáticas], B159) &gt; 0, Herramientas_neumáticas1963[[#Headers],[Herramientas_neumáticas]],
    COUNTIF(Herramientas_de_medición2064[Herramientas_de_medición], B159) &gt; 0, Herramientas_de_medición2064[[#Headers],[Herramientas_de_medición]],
    COUNTIF(Herrramientas_mecánicas2165[Herramientas_mecánicas], B159) &gt; 0, Herrramientas_mecánicas2165[[#Headers],[Herramientas_mecánicas]],
    COUNTIF(AK159:AK165, B159) &gt; 0, Herramientas_hidráulicas2266[[#Headers],[Herramientas_hidráulicas]],
    COUNTIF(EPP_2367[SPCC], B159) &gt; 0, EPP_2367[[#Headers],[SPCC]],
   COUNTIF(Herramientas_de_izaje2468[Herramientas_de_izaje], B159) &gt; 0, Herramientas_de_izaje2468[[#Headers],[Herramientas_de_izaje]],
COUNTIF(Tabla162670[Equipos], B159) &gt; 0, Tabla162670[[#Headers],[Equipos]],
    TRUE, "Sin clasificación"
)</f>
        <v>Sin clasificación</v>
      </c>
      <c r="G159" s="15"/>
      <c r="H159" s="47"/>
      <c r="I159" s="87"/>
      <c r="J159" s="78"/>
      <c r="K159" s="78"/>
      <c r="L159" s="78"/>
      <c r="M159" s="78"/>
      <c r="N159" s="76"/>
      <c r="O159" s="76"/>
      <c r="P159" s="78" t="str">
        <f>_xlfn.LET(
    _xlpm.itemBuscado, B159,
    _xlpm.areaBuscada, C159,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TEXT(COUNTIF($C$2:C159, _xlpm.areaBuscada), "0000"),
    _xlpm.codItem &amp; "-" &amp; _xlpm.codArea &amp; "-" &amp; _xlpm.secuencia
)</f>
        <v>-SinArea-0000</v>
      </c>
      <c r="Q159" s="77"/>
      <c r="R159" s="32"/>
      <c r="S159" s="32"/>
      <c r="T159" s="32"/>
      <c r="U159" s="32"/>
    </row>
    <row r="160" spans="3:21" x14ac:dyDescent="0.3">
      <c r="C160" s="11"/>
      <c r="D160" s="32"/>
      <c r="E160" s="11" t="str" cm="1">
        <f t="array" ref="E160">_xlfn.IFS(
    COUNTIF(Herramientas_eléctricas1862[Herramientas_eléctricas], B160) &gt; 0, Herramientas_eléctricas1862[[#Headers],[Herramientas_eléctricas]],
    COUNTIF(Herramientas_neumáticas1963[Herramientas_neumáticas], B160) &gt; 0, Herramientas_neumáticas1963[[#Headers],[Herramientas_neumáticas]],
    COUNTIF(Herramientas_de_medición2064[Herramientas_de_medición], B160) &gt; 0, Herramientas_de_medición2064[[#Headers],[Herramientas_de_medición]],
    COUNTIF(Herrramientas_mecánicas2165[Herramientas_mecánicas], B160) &gt; 0, Herrramientas_mecánicas2165[[#Headers],[Herramientas_mecánicas]],
    COUNTIF(AK160:AK166, B160) &gt; 0, Herramientas_hidráulicas2266[[#Headers],[Herramientas_hidráulicas]],
    COUNTIF(EPP_2367[SPCC], B160) &gt; 0, EPP_2367[[#Headers],[SPCC]],
   COUNTIF(Herramientas_de_izaje2468[Herramientas_de_izaje], B160) &gt; 0, Herramientas_de_izaje2468[[#Headers],[Herramientas_de_izaje]],
COUNTIF(Tabla162670[Equipos], B160) &gt; 0, Tabla162670[[#Headers],[Equipos]],
    TRUE, "Sin clasificación"
)</f>
        <v>Sin clasificación</v>
      </c>
      <c r="G160" s="15"/>
      <c r="H160" s="47"/>
      <c r="I160" s="87"/>
      <c r="J160" s="78"/>
      <c r="K160" s="78"/>
      <c r="L160" s="78"/>
      <c r="M160" s="78"/>
      <c r="N160" s="76"/>
      <c r="O160" s="76"/>
      <c r="P160" s="78" t="str">
        <f>_xlfn.LET(
    _xlpm.itemBuscado, B160,
    _xlpm.areaBuscada, C160,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TEXT(COUNTIF($C$2:C160, _xlpm.areaBuscada), "0000"),
    _xlpm.codItem &amp; "-" &amp; _xlpm.codArea &amp; "-" &amp; _xlpm.secuencia
)</f>
        <v>-SinArea-0000</v>
      </c>
      <c r="Q160" s="77"/>
      <c r="R160" s="32"/>
      <c r="S160" s="32"/>
      <c r="T160" s="32"/>
      <c r="U160" s="32"/>
    </row>
    <row r="161" spans="3:21" x14ac:dyDescent="0.3">
      <c r="C161" s="11"/>
      <c r="D161" s="32"/>
      <c r="E161" s="11" t="str" cm="1">
        <f t="array" ref="E161">_xlfn.IFS(
    COUNTIF(Herramientas_eléctricas1862[Herramientas_eléctricas], B161) &gt; 0, Herramientas_eléctricas1862[[#Headers],[Herramientas_eléctricas]],
    COUNTIF(Herramientas_neumáticas1963[Herramientas_neumáticas], B161) &gt; 0, Herramientas_neumáticas1963[[#Headers],[Herramientas_neumáticas]],
    COUNTIF(Herramientas_de_medición2064[Herramientas_de_medición], B161) &gt; 0, Herramientas_de_medición2064[[#Headers],[Herramientas_de_medición]],
    COUNTIF(Herrramientas_mecánicas2165[Herramientas_mecánicas], B161) &gt; 0, Herrramientas_mecánicas2165[[#Headers],[Herramientas_mecánicas]],
    COUNTIF(AK161:AK167, B161) &gt; 0, Herramientas_hidráulicas2266[[#Headers],[Herramientas_hidráulicas]],
    COUNTIF(EPP_2367[SPCC], B161) &gt; 0, EPP_2367[[#Headers],[SPCC]],
   COUNTIF(Herramientas_de_izaje2468[Herramientas_de_izaje], B161) &gt; 0, Herramientas_de_izaje2468[[#Headers],[Herramientas_de_izaje]],
COUNTIF(Tabla162670[Equipos], B161) &gt; 0, Tabla162670[[#Headers],[Equipos]],
    TRUE, "Sin clasificación"
)</f>
        <v>Sin clasificación</v>
      </c>
      <c r="G161" s="15"/>
      <c r="H161" s="47"/>
      <c r="I161" s="87"/>
      <c r="J161" s="78"/>
      <c r="K161" s="78"/>
      <c r="L161" s="78"/>
      <c r="M161" s="78"/>
      <c r="N161" s="76"/>
      <c r="O161" s="76"/>
      <c r="P161" s="78" t="str">
        <f>_xlfn.LET(
    _xlpm.itemBuscado, B161,
    _xlpm.areaBuscada, C161,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TEXT(COUNTIF($C$2:C161, _xlpm.areaBuscada), "0000"),
    _xlpm.codItem &amp; "-" &amp; _xlpm.codArea &amp; "-" &amp; _xlpm.secuencia
)</f>
        <v>-SinArea-0000</v>
      </c>
      <c r="Q161" s="77"/>
      <c r="R161" s="32"/>
      <c r="S161" s="32"/>
      <c r="T161" s="32"/>
      <c r="U161" s="32"/>
    </row>
    <row r="162" spans="3:21" x14ac:dyDescent="0.3">
      <c r="C162" s="11"/>
      <c r="D162" s="32"/>
      <c r="E162" s="11" t="str" cm="1">
        <f t="array" ref="E162">_xlfn.IFS(
    COUNTIF(Herramientas_eléctricas1862[Herramientas_eléctricas], B162) &gt; 0, Herramientas_eléctricas1862[[#Headers],[Herramientas_eléctricas]],
    COUNTIF(Herramientas_neumáticas1963[Herramientas_neumáticas], B162) &gt; 0, Herramientas_neumáticas1963[[#Headers],[Herramientas_neumáticas]],
    COUNTIF(Herramientas_de_medición2064[Herramientas_de_medición], B162) &gt; 0, Herramientas_de_medición2064[[#Headers],[Herramientas_de_medición]],
    COUNTIF(Herrramientas_mecánicas2165[Herramientas_mecánicas], B162) &gt; 0, Herrramientas_mecánicas2165[[#Headers],[Herramientas_mecánicas]],
    COUNTIF(AK162:AK168, B162) &gt; 0, Herramientas_hidráulicas2266[[#Headers],[Herramientas_hidráulicas]],
    COUNTIF(EPP_2367[SPCC], B162) &gt; 0, EPP_2367[[#Headers],[SPCC]],
   COUNTIF(Herramientas_de_izaje2468[Herramientas_de_izaje], B162) &gt; 0, Herramientas_de_izaje2468[[#Headers],[Herramientas_de_izaje]],
COUNTIF(Tabla162670[Equipos], B162) &gt; 0, Tabla162670[[#Headers],[Equipos]],
    TRUE, "Sin clasificación"
)</f>
        <v>Sin clasificación</v>
      </c>
      <c r="G162" s="15"/>
      <c r="H162" s="47"/>
      <c r="I162" s="87"/>
      <c r="J162" s="78"/>
      <c r="K162" s="78"/>
      <c r="L162" s="78"/>
      <c r="M162" s="78"/>
      <c r="N162" s="76"/>
      <c r="O162" s="76"/>
      <c r="P162" s="78" t="str">
        <f>_xlfn.LET(
    _xlpm.itemBuscado, B162,
    _xlpm.areaBuscada, C162,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TEXT(COUNTIF($C$2:C162, _xlpm.areaBuscada), "0000"),
    _xlpm.codItem &amp; "-" &amp; _xlpm.codArea &amp; "-" &amp; _xlpm.secuencia
)</f>
        <v>-SinArea-0000</v>
      </c>
      <c r="Q162" s="77"/>
      <c r="R162" s="32"/>
      <c r="S162" s="32"/>
      <c r="T162" s="32"/>
      <c r="U162" s="32"/>
    </row>
    <row r="163" spans="3:21" x14ac:dyDescent="0.3">
      <c r="C163" s="11"/>
      <c r="D163" s="32"/>
      <c r="E163" s="11" t="str" cm="1">
        <f t="array" ref="E163">_xlfn.IFS(
    COUNTIF(Herramientas_eléctricas1862[Herramientas_eléctricas], B163) &gt; 0, Herramientas_eléctricas1862[[#Headers],[Herramientas_eléctricas]],
    COUNTIF(Herramientas_neumáticas1963[Herramientas_neumáticas], B163) &gt; 0, Herramientas_neumáticas1963[[#Headers],[Herramientas_neumáticas]],
    COUNTIF(Herramientas_de_medición2064[Herramientas_de_medición], B163) &gt; 0, Herramientas_de_medición2064[[#Headers],[Herramientas_de_medición]],
    COUNTIF(Herrramientas_mecánicas2165[Herramientas_mecánicas], B163) &gt; 0, Herrramientas_mecánicas2165[[#Headers],[Herramientas_mecánicas]],
    COUNTIF(AK163:AK169, B163) &gt; 0, Herramientas_hidráulicas2266[[#Headers],[Herramientas_hidráulicas]],
    COUNTIF(EPP_2367[SPCC], B163) &gt; 0, EPP_2367[[#Headers],[SPCC]],
   COUNTIF(Herramientas_de_izaje2468[Herramientas_de_izaje], B163) &gt; 0, Herramientas_de_izaje2468[[#Headers],[Herramientas_de_izaje]],
COUNTIF(Tabla162670[Equipos], B163) &gt; 0, Tabla162670[[#Headers],[Equipos]],
    TRUE, "Sin clasificación"
)</f>
        <v>Sin clasificación</v>
      </c>
      <c r="G163" s="15"/>
      <c r="H163" s="47"/>
      <c r="I163" s="87"/>
      <c r="J163" s="78"/>
      <c r="K163" s="78"/>
      <c r="L163" s="78"/>
      <c r="M163" s="78"/>
      <c r="N163" s="76"/>
      <c r="O163" s="76"/>
      <c r="P163" s="78" t="str">
        <f>_xlfn.LET(
    _xlpm.itemBuscado, B163,
    _xlpm.areaBuscada, C163,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TEXT(COUNTIF($C$2:C163, _xlpm.areaBuscada), "0000"),
    _xlpm.codItem &amp; "-" &amp; _xlpm.codArea &amp; "-" &amp; _xlpm.secuencia
)</f>
        <v>-SinArea-0000</v>
      </c>
      <c r="Q163" s="77"/>
      <c r="R163" s="32"/>
      <c r="S163" s="32"/>
      <c r="T163" s="32"/>
      <c r="U163" s="32"/>
    </row>
    <row r="164" spans="3:21" x14ac:dyDescent="0.3">
      <c r="C164" s="11"/>
      <c r="D164" s="32"/>
      <c r="E164" s="11" t="str" cm="1">
        <f t="array" ref="E164">_xlfn.IFS(
    COUNTIF(Herramientas_eléctricas1862[Herramientas_eléctricas], B164) &gt; 0, Herramientas_eléctricas1862[[#Headers],[Herramientas_eléctricas]],
    COUNTIF(Herramientas_neumáticas1963[Herramientas_neumáticas], B164) &gt; 0, Herramientas_neumáticas1963[[#Headers],[Herramientas_neumáticas]],
    COUNTIF(Herramientas_de_medición2064[Herramientas_de_medición], B164) &gt; 0, Herramientas_de_medición2064[[#Headers],[Herramientas_de_medición]],
    COUNTIF(Herrramientas_mecánicas2165[Herramientas_mecánicas], B164) &gt; 0, Herrramientas_mecánicas2165[[#Headers],[Herramientas_mecánicas]],
    COUNTIF(AK164:AK170, B164) &gt; 0, Herramientas_hidráulicas2266[[#Headers],[Herramientas_hidráulicas]],
    COUNTIF(EPP_2367[SPCC], B164) &gt; 0, EPP_2367[[#Headers],[SPCC]],
   COUNTIF(Herramientas_de_izaje2468[Herramientas_de_izaje], B164) &gt; 0, Herramientas_de_izaje2468[[#Headers],[Herramientas_de_izaje]],
COUNTIF(Tabla162670[Equipos], B164) &gt; 0, Tabla162670[[#Headers],[Equipos]],
    TRUE, "Sin clasificación"
)</f>
        <v>Sin clasificación</v>
      </c>
      <c r="G164" s="15"/>
      <c r="H164" s="47"/>
      <c r="I164" s="87"/>
      <c r="J164" s="78"/>
      <c r="K164" s="78"/>
      <c r="L164" s="78"/>
      <c r="M164" s="78"/>
      <c r="N164" s="76"/>
      <c r="O164" s="76"/>
      <c r="P164" s="78" t="str">
        <f>_xlfn.LET(
    _xlpm.itemBuscado, B164,
    _xlpm.areaBuscada, C164,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TEXT(COUNTIF($C$2:C164, _xlpm.areaBuscada), "0000"),
    _xlpm.codItem &amp; "-" &amp; _xlpm.codArea &amp; "-" &amp; _xlpm.secuencia
)</f>
        <v>-SinArea-0000</v>
      </c>
      <c r="Q164" s="77"/>
      <c r="R164" s="32"/>
      <c r="S164" s="32"/>
      <c r="T164" s="32"/>
      <c r="U164" s="32"/>
    </row>
    <row r="165" spans="3:21" x14ac:dyDescent="0.3">
      <c r="C165" s="11"/>
      <c r="D165" s="32"/>
      <c r="E165" s="11" t="str" cm="1">
        <f t="array" ref="E165">_xlfn.IFS(
    COUNTIF(Herramientas_eléctricas1862[Herramientas_eléctricas], B165) &gt; 0, Herramientas_eléctricas1862[[#Headers],[Herramientas_eléctricas]],
    COUNTIF(Herramientas_neumáticas1963[Herramientas_neumáticas], B165) &gt; 0, Herramientas_neumáticas1963[[#Headers],[Herramientas_neumáticas]],
    COUNTIF(Herramientas_de_medición2064[Herramientas_de_medición], B165) &gt; 0, Herramientas_de_medición2064[[#Headers],[Herramientas_de_medición]],
    COUNTIF(Herrramientas_mecánicas2165[Herramientas_mecánicas], B165) &gt; 0, Herrramientas_mecánicas2165[[#Headers],[Herramientas_mecánicas]],
    COUNTIF(AK165:AK171, B165) &gt; 0, Herramientas_hidráulicas2266[[#Headers],[Herramientas_hidráulicas]],
    COUNTIF(EPP_2367[SPCC], B165) &gt; 0, EPP_2367[[#Headers],[SPCC]],
   COUNTIF(Herramientas_de_izaje2468[Herramientas_de_izaje], B165) &gt; 0, Herramientas_de_izaje2468[[#Headers],[Herramientas_de_izaje]],
COUNTIF(Tabla162670[Equipos], B165) &gt; 0, Tabla162670[[#Headers],[Equipos]],
    TRUE, "Sin clasificación"
)</f>
        <v>Sin clasificación</v>
      </c>
      <c r="G165" s="15"/>
      <c r="H165" s="47"/>
      <c r="I165" s="87"/>
      <c r="J165" s="78"/>
      <c r="K165" s="78"/>
      <c r="L165" s="78"/>
      <c r="M165" s="78"/>
      <c r="N165" s="76"/>
      <c r="O165" s="76"/>
      <c r="P165" s="78" t="str">
        <f>_xlfn.LET(
    _xlpm.itemBuscado, B165,
    _xlpm.areaBuscada, C165,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TEXT(COUNTIF($C$2:C165, _xlpm.areaBuscada), "0000"),
    _xlpm.codItem &amp; "-" &amp; _xlpm.codArea &amp; "-" &amp; _xlpm.secuencia
)</f>
        <v>-SinArea-0000</v>
      </c>
      <c r="Q165" s="77"/>
      <c r="R165" s="32"/>
      <c r="S165" s="32"/>
      <c r="T165" s="32"/>
      <c r="U165" s="32"/>
    </row>
    <row r="166" spans="3:21" x14ac:dyDescent="0.3">
      <c r="C166" s="11"/>
      <c r="D166" s="32"/>
      <c r="E166" s="11" t="str" cm="1">
        <f t="array" ref="E166">_xlfn.IFS(
    COUNTIF(Herramientas_eléctricas1862[Herramientas_eléctricas], B166) &gt; 0, Herramientas_eléctricas1862[[#Headers],[Herramientas_eléctricas]],
    COUNTIF(Herramientas_neumáticas1963[Herramientas_neumáticas], B166) &gt; 0, Herramientas_neumáticas1963[[#Headers],[Herramientas_neumáticas]],
    COUNTIF(Herramientas_de_medición2064[Herramientas_de_medición], B166) &gt; 0, Herramientas_de_medición2064[[#Headers],[Herramientas_de_medición]],
    COUNTIF(Herrramientas_mecánicas2165[Herramientas_mecánicas], B166) &gt; 0, Herrramientas_mecánicas2165[[#Headers],[Herramientas_mecánicas]],
    COUNTIF(AK166:AK172, B166) &gt; 0, Herramientas_hidráulicas2266[[#Headers],[Herramientas_hidráulicas]],
    COUNTIF(EPP_2367[SPCC], B166) &gt; 0, EPP_2367[[#Headers],[SPCC]],
   COUNTIF(Herramientas_de_izaje2468[Herramientas_de_izaje], B166) &gt; 0, Herramientas_de_izaje2468[[#Headers],[Herramientas_de_izaje]],
COUNTIF(Tabla162670[Equipos], B166) &gt; 0, Tabla162670[[#Headers],[Equipos]],
    TRUE, "Sin clasificación"
)</f>
        <v>Sin clasificación</v>
      </c>
      <c r="G166" s="15"/>
      <c r="H166" s="47"/>
      <c r="I166" s="87"/>
      <c r="J166" s="78"/>
      <c r="K166" s="78"/>
      <c r="L166" s="78"/>
      <c r="M166" s="78"/>
      <c r="N166" s="76"/>
      <c r="O166" s="76"/>
      <c r="P166" s="78" t="str">
        <f>_xlfn.LET(
    _xlpm.itemBuscado, B166,
    _xlpm.areaBuscada, C166,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TEXT(COUNTIF($C$2:C166, _xlpm.areaBuscada), "0000"),
    _xlpm.codItem &amp; "-" &amp; _xlpm.codArea &amp; "-" &amp; _xlpm.secuencia
)</f>
        <v>-SinArea-0000</v>
      </c>
      <c r="Q166" s="77"/>
      <c r="R166" s="32"/>
      <c r="S166" s="32"/>
      <c r="T166" s="32"/>
      <c r="U166" s="32"/>
    </row>
    <row r="167" spans="3:21" x14ac:dyDescent="0.3">
      <c r="C167" s="11"/>
      <c r="D167" s="32"/>
      <c r="E167" s="11" t="str" cm="1">
        <f t="array" ref="E167">_xlfn.IFS(
    COUNTIF(Herramientas_eléctricas1862[Herramientas_eléctricas], B167) &gt; 0, Herramientas_eléctricas1862[[#Headers],[Herramientas_eléctricas]],
    COUNTIF(Herramientas_neumáticas1963[Herramientas_neumáticas], B167) &gt; 0, Herramientas_neumáticas1963[[#Headers],[Herramientas_neumáticas]],
    COUNTIF(Herramientas_de_medición2064[Herramientas_de_medición], B167) &gt; 0, Herramientas_de_medición2064[[#Headers],[Herramientas_de_medición]],
    COUNTIF(Herrramientas_mecánicas2165[Herramientas_mecánicas], B167) &gt; 0, Herrramientas_mecánicas2165[[#Headers],[Herramientas_mecánicas]],
    COUNTIF(AK167:AK173, B167) &gt; 0, Herramientas_hidráulicas2266[[#Headers],[Herramientas_hidráulicas]],
    COUNTIF(EPP_2367[SPCC], B167) &gt; 0, EPP_2367[[#Headers],[SPCC]],
   COUNTIF(Herramientas_de_izaje2468[Herramientas_de_izaje], B167) &gt; 0, Herramientas_de_izaje2468[[#Headers],[Herramientas_de_izaje]],
COUNTIF(Tabla162670[Equipos], B167) &gt; 0, Tabla162670[[#Headers],[Equipos]],
    TRUE, "Sin clasificación"
)</f>
        <v>Sin clasificación</v>
      </c>
      <c r="G167" s="15"/>
      <c r="H167" s="47"/>
      <c r="I167" s="87"/>
      <c r="J167" s="78"/>
      <c r="K167" s="78"/>
      <c r="L167" s="78"/>
      <c r="M167" s="78"/>
      <c r="N167" s="76"/>
      <c r="O167" s="76"/>
      <c r="P167" s="78" t="str">
        <f>_xlfn.LET(
    _xlpm.itemBuscado, B167,
    _xlpm.areaBuscada, C167,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TEXT(COUNTIF($C$2:C167, _xlpm.areaBuscada), "0000"),
    _xlpm.codItem &amp; "-" &amp; _xlpm.codArea &amp; "-" &amp; _xlpm.secuencia
)</f>
        <v>-SinArea-0000</v>
      </c>
      <c r="Q167" s="77"/>
      <c r="R167" s="32"/>
      <c r="S167" s="32"/>
      <c r="T167" s="32"/>
      <c r="U167" s="32"/>
    </row>
    <row r="168" spans="3:21" x14ac:dyDescent="0.3">
      <c r="C168" s="11"/>
      <c r="D168" s="32"/>
      <c r="E168" s="11" t="str" cm="1">
        <f t="array" ref="E168">_xlfn.IFS(
    COUNTIF(Herramientas_eléctricas1862[Herramientas_eléctricas], B168) &gt; 0, Herramientas_eléctricas1862[[#Headers],[Herramientas_eléctricas]],
    COUNTIF(Herramientas_neumáticas1963[Herramientas_neumáticas], B168) &gt; 0, Herramientas_neumáticas1963[[#Headers],[Herramientas_neumáticas]],
    COUNTIF(Herramientas_de_medición2064[Herramientas_de_medición], B168) &gt; 0, Herramientas_de_medición2064[[#Headers],[Herramientas_de_medición]],
    COUNTIF(Herrramientas_mecánicas2165[Herramientas_mecánicas], B168) &gt; 0, Herrramientas_mecánicas2165[[#Headers],[Herramientas_mecánicas]],
    COUNTIF(AK168:AK174, B168) &gt; 0, Herramientas_hidráulicas2266[[#Headers],[Herramientas_hidráulicas]],
    COUNTIF(EPP_2367[SPCC], B168) &gt; 0, EPP_2367[[#Headers],[SPCC]],
   COUNTIF(Herramientas_de_izaje2468[Herramientas_de_izaje], B168) &gt; 0, Herramientas_de_izaje2468[[#Headers],[Herramientas_de_izaje]],
COUNTIF(Tabla162670[Equipos], B168) &gt; 0, Tabla162670[[#Headers],[Equipos]],
    TRUE, "Sin clasificación"
)</f>
        <v>Sin clasificación</v>
      </c>
      <c r="G168" s="15"/>
      <c r="H168" s="47"/>
      <c r="I168" s="87"/>
      <c r="J168" s="78"/>
      <c r="K168" s="78"/>
      <c r="L168" s="78"/>
      <c r="M168" s="78"/>
      <c r="N168" s="76"/>
      <c r="O168" s="76"/>
      <c r="P168" s="78" t="str">
        <f>_xlfn.LET(
    _xlpm.itemBuscado, B168,
    _xlpm.areaBuscada, C168,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TEXT(COUNTIF($C$2:C168, _xlpm.areaBuscada), "0000"),
    _xlpm.codItem &amp; "-" &amp; _xlpm.codArea &amp; "-" &amp; _xlpm.secuencia
)</f>
        <v>-SinArea-0000</v>
      </c>
      <c r="Q168" s="77"/>
      <c r="R168" s="32"/>
      <c r="S168" s="32"/>
      <c r="T168" s="32"/>
      <c r="U168" s="32"/>
    </row>
    <row r="169" spans="3:21" x14ac:dyDescent="0.3">
      <c r="C169" s="11"/>
      <c r="D169" s="32"/>
      <c r="E169" s="11" t="str" cm="1">
        <f t="array" ref="E169">_xlfn.IFS(
    COUNTIF(Herramientas_eléctricas1862[Herramientas_eléctricas], B169) &gt; 0, Herramientas_eléctricas1862[[#Headers],[Herramientas_eléctricas]],
    COUNTIF(Herramientas_neumáticas1963[Herramientas_neumáticas], B169) &gt; 0, Herramientas_neumáticas1963[[#Headers],[Herramientas_neumáticas]],
    COUNTIF(Herramientas_de_medición2064[Herramientas_de_medición], B169) &gt; 0, Herramientas_de_medición2064[[#Headers],[Herramientas_de_medición]],
    COUNTIF(Herrramientas_mecánicas2165[Herramientas_mecánicas], B169) &gt; 0, Herrramientas_mecánicas2165[[#Headers],[Herramientas_mecánicas]],
    COUNTIF(AK169:AK175, B169) &gt; 0, Herramientas_hidráulicas2266[[#Headers],[Herramientas_hidráulicas]],
    COUNTIF(EPP_2367[SPCC], B169) &gt; 0, EPP_2367[[#Headers],[SPCC]],
   COUNTIF(Herramientas_de_izaje2468[Herramientas_de_izaje], B169) &gt; 0, Herramientas_de_izaje2468[[#Headers],[Herramientas_de_izaje]],
COUNTIF(Tabla162670[Equipos], B169) &gt; 0, Tabla162670[[#Headers],[Equipos]],
    TRUE, "Sin clasificación"
)</f>
        <v>Sin clasificación</v>
      </c>
      <c r="G169" s="15"/>
      <c r="H169" s="47"/>
      <c r="I169" s="87"/>
      <c r="J169" s="78"/>
      <c r="K169" s="78"/>
      <c r="L169" s="78"/>
      <c r="M169" s="78"/>
      <c r="N169" s="76"/>
      <c r="O169" s="76"/>
      <c r="P169" s="78" t="str">
        <f>_xlfn.LET(
    _xlpm.itemBuscado, B169,
    _xlpm.areaBuscada, C169,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TEXT(COUNTIF($C$2:C169, _xlpm.areaBuscada), "0000"),
    _xlpm.codItem &amp; "-" &amp; _xlpm.codArea &amp; "-" &amp; _xlpm.secuencia
)</f>
        <v>-SinArea-0000</v>
      </c>
      <c r="Q169" s="77"/>
      <c r="R169" s="32"/>
      <c r="S169" s="32"/>
      <c r="T169" s="32"/>
      <c r="U169" s="32"/>
    </row>
    <row r="170" spans="3:21" x14ac:dyDescent="0.3">
      <c r="C170" s="11"/>
      <c r="D170" s="32"/>
      <c r="E170" s="11" t="str" cm="1">
        <f t="array" ref="E170">_xlfn.IFS(
    COUNTIF(Herramientas_eléctricas1862[Herramientas_eléctricas], B170) &gt; 0, Herramientas_eléctricas1862[[#Headers],[Herramientas_eléctricas]],
    COUNTIF(Herramientas_neumáticas1963[Herramientas_neumáticas], B170) &gt; 0, Herramientas_neumáticas1963[[#Headers],[Herramientas_neumáticas]],
    COUNTIF(Herramientas_de_medición2064[Herramientas_de_medición], B170) &gt; 0, Herramientas_de_medición2064[[#Headers],[Herramientas_de_medición]],
    COUNTIF(Herrramientas_mecánicas2165[Herramientas_mecánicas], B170) &gt; 0, Herrramientas_mecánicas2165[[#Headers],[Herramientas_mecánicas]],
    COUNTIF(AK170:AK176, B170) &gt; 0, Herramientas_hidráulicas2266[[#Headers],[Herramientas_hidráulicas]],
    COUNTIF(EPP_2367[SPCC], B170) &gt; 0, EPP_2367[[#Headers],[SPCC]],
   COUNTIF(Herramientas_de_izaje2468[Herramientas_de_izaje], B170) &gt; 0, Herramientas_de_izaje2468[[#Headers],[Herramientas_de_izaje]],
COUNTIF(Tabla162670[Equipos], B170) &gt; 0, Tabla162670[[#Headers],[Equipos]],
    TRUE, "Sin clasificación"
)</f>
        <v>Sin clasificación</v>
      </c>
      <c r="G170" s="15"/>
      <c r="H170" s="47"/>
      <c r="I170" s="87"/>
      <c r="J170" s="78"/>
      <c r="K170" s="78"/>
      <c r="L170" s="78"/>
      <c r="M170" s="78"/>
      <c r="N170" s="76"/>
      <c r="O170" s="76"/>
      <c r="P170" s="78" t="str">
        <f>_xlfn.LET(
    _xlpm.itemBuscado, B170,
    _xlpm.areaBuscada, C170,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TEXT(COUNTIF($C$2:C170, _xlpm.areaBuscada), "0000"),
    _xlpm.codItem &amp; "-" &amp; _xlpm.codArea &amp; "-" &amp; _xlpm.secuencia
)</f>
        <v>-SinArea-0000</v>
      </c>
      <c r="Q170" s="77"/>
      <c r="R170" s="32"/>
      <c r="S170" s="32"/>
      <c r="T170" s="32"/>
      <c r="U170" s="32"/>
    </row>
    <row r="171" spans="3:21" x14ac:dyDescent="0.3">
      <c r="C171" s="11"/>
      <c r="D171" s="32"/>
      <c r="E171" s="11" t="str" cm="1">
        <f t="array" ref="E171">_xlfn.IFS(
    COUNTIF(Herramientas_eléctricas1862[Herramientas_eléctricas], B171) &gt; 0, Herramientas_eléctricas1862[[#Headers],[Herramientas_eléctricas]],
    COUNTIF(Herramientas_neumáticas1963[Herramientas_neumáticas], B171) &gt; 0, Herramientas_neumáticas1963[[#Headers],[Herramientas_neumáticas]],
    COUNTIF(Herramientas_de_medición2064[Herramientas_de_medición], B171) &gt; 0, Herramientas_de_medición2064[[#Headers],[Herramientas_de_medición]],
    COUNTIF(Herrramientas_mecánicas2165[Herramientas_mecánicas], B171) &gt; 0, Herrramientas_mecánicas2165[[#Headers],[Herramientas_mecánicas]],
    COUNTIF(AK171:AK177, B171) &gt; 0, Herramientas_hidráulicas2266[[#Headers],[Herramientas_hidráulicas]],
    COUNTIF(EPP_2367[SPCC], B171) &gt; 0, EPP_2367[[#Headers],[SPCC]],
   COUNTIF(Herramientas_de_izaje2468[Herramientas_de_izaje], B171) &gt; 0, Herramientas_de_izaje2468[[#Headers],[Herramientas_de_izaje]],
COUNTIF(Tabla162670[Equipos], B171) &gt; 0, Tabla162670[[#Headers],[Equipos]],
    TRUE, "Sin clasificación"
)</f>
        <v>Sin clasificación</v>
      </c>
      <c r="G171" s="15"/>
      <c r="H171" s="47"/>
      <c r="I171" s="87"/>
      <c r="J171" s="78"/>
      <c r="K171" s="78"/>
      <c r="L171" s="78"/>
      <c r="M171" s="78"/>
      <c r="N171" s="76"/>
      <c r="O171" s="76"/>
      <c r="P171" s="78" t="str">
        <f>_xlfn.LET(
    _xlpm.itemBuscado, B171,
    _xlpm.areaBuscada, C171,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TEXT(COUNTIF($C$2:C171, _xlpm.areaBuscada), "0000"),
    _xlpm.codItem &amp; "-" &amp; _xlpm.codArea &amp; "-" &amp; _xlpm.secuencia
)</f>
        <v>-SinArea-0000</v>
      </c>
      <c r="Q171" s="77"/>
      <c r="R171" s="32"/>
      <c r="S171" s="32"/>
      <c r="T171" s="32"/>
      <c r="U171" s="32"/>
    </row>
    <row r="172" spans="3:21" x14ac:dyDescent="0.3">
      <c r="C172" s="11"/>
      <c r="D172" s="32"/>
      <c r="E172" s="11" t="str" cm="1">
        <f t="array" ref="E172">_xlfn.IFS(
    COUNTIF(Herramientas_eléctricas1862[Herramientas_eléctricas], B172) &gt; 0, Herramientas_eléctricas1862[[#Headers],[Herramientas_eléctricas]],
    COUNTIF(Herramientas_neumáticas1963[Herramientas_neumáticas], B172) &gt; 0, Herramientas_neumáticas1963[[#Headers],[Herramientas_neumáticas]],
    COUNTIF(Herramientas_de_medición2064[Herramientas_de_medición], B172) &gt; 0, Herramientas_de_medición2064[[#Headers],[Herramientas_de_medición]],
    COUNTIF(Herrramientas_mecánicas2165[Herramientas_mecánicas], B172) &gt; 0, Herrramientas_mecánicas2165[[#Headers],[Herramientas_mecánicas]],
    COUNTIF(AK172:AK178, B172) &gt; 0, Herramientas_hidráulicas2266[[#Headers],[Herramientas_hidráulicas]],
    COUNTIF(EPP_2367[SPCC], B172) &gt; 0, EPP_2367[[#Headers],[SPCC]],
   COUNTIF(Herramientas_de_izaje2468[Herramientas_de_izaje], B172) &gt; 0, Herramientas_de_izaje2468[[#Headers],[Herramientas_de_izaje]],
COUNTIF(Tabla162670[Equipos], B172) &gt; 0, Tabla162670[[#Headers],[Equipos]],
    TRUE, "Sin clasificación"
)</f>
        <v>Sin clasificación</v>
      </c>
      <c r="G172" s="15"/>
      <c r="H172" s="47"/>
      <c r="I172" s="87"/>
      <c r="J172" s="78"/>
      <c r="K172" s="78"/>
      <c r="L172" s="78"/>
      <c r="M172" s="78"/>
      <c r="N172" s="76"/>
      <c r="O172" s="76"/>
      <c r="P172" s="78" t="str">
        <f>_xlfn.LET(
    _xlpm.itemBuscado, B172,
    _xlpm.areaBuscada, C172,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TEXT(COUNTIF($C$2:C172, _xlpm.areaBuscada), "0000"),
    _xlpm.codItem &amp; "-" &amp; _xlpm.codArea &amp; "-" &amp; _xlpm.secuencia
)</f>
        <v>-SinArea-0000</v>
      </c>
      <c r="Q172" s="77"/>
      <c r="R172" s="32"/>
      <c r="S172" s="32"/>
      <c r="T172" s="32"/>
      <c r="U172" s="32"/>
    </row>
    <row r="173" spans="3:21" x14ac:dyDescent="0.3">
      <c r="C173" s="11"/>
      <c r="D173" s="32"/>
      <c r="E173" s="11" t="str" cm="1">
        <f t="array" ref="E173">_xlfn.IFS(
    COUNTIF(Herramientas_eléctricas1862[Herramientas_eléctricas], B173) &gt; 0, Herramientas_eléctricas1862[[#Headers],[Herramientas_eléctricas]],
    COUNTIF(Herramientas_neumáticas1963[Herramientas_neumáticas], B173) &gt; 0, Herramientas_neumáticas1963[[#Headers],[Herramientas_neumáticas]],
    COUNTIF(Herramientas_de_medición2064[Herramientas_de_medición], B173) &gt; 0, Herramientas_de_medición2064[[#Headers],[Herramientas_de_medición]],
    COUNTIF(Herrramientas_mecánicas2165[Herramientas_mecánicas], B173) &gt; 0, Herrramientas_mecánicas2165[[#Headers],[Herramientas_mecánicas]],
    COUNTIF(AK173:AK179, B173) &gt; 0, Herramientas_hidráulicas2266[[#Headers],[Herramientas_hidráulicas]],
    COUNTIF(EPP_2367[SPCC], B173) &gt; 0, EPP_2367[[#Headers],[SPCC]],
   COUNTIF(Herramientas_de_izaje2468[Herramientas_de_izaje], B173) &gt; 0, Herramientas_de_izaje2468[[#Headers],[Herramientas_de_izaje]],
COUNTIF(Tabla162670[Equipos], B173) &gt; 0, Tabla162670[[#Headers],[Equipos]],
    TRUE, "Sin clasificación"
)</f>
        <v>Sin clasificación</v>
      </c>
      <c r="G173" s="15"/>
      <c r="H173" s="47"/>
      <c r="I173" s="87"/>
      <c r="J173" s="78"/>
      <c r="K173" s="78"/>
      <c r="L173" s="78"/>
      <c r="M173" s="78"/>
      <c r="N173" s="76"/>
      <c r="O173" s="76"/>
      <c r="P173" s="78" t="str">
        <f>_xlfn.LET(
    _xlpm.itemBuscado, B173,
    _xlpm.areaBuscada, C173,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TEXT(COUNTIF($C$2:C173, _xlpm.areaBuscada), "0000"),
    _xlpm.codItem &amp; "-" &amp; _xlpm.codArea &amp; "-" &amp; _xlpm.secuencia
)</f>
        <v>-SinArea-0000</v>
      </c>
      <c r="Q173" s="77"/>
      <c r="R173" s="32"/>
      <c r="S173" s="32"/>
      <c r="T173" s="32"/>
      <c r="U173" s="32"/>
    </row>
    <row r="174" spans="3:21" x14ac:dyDescent="0.3">
      <c r="C174" s="11"/>
      <c r="D174" s="32"/>
      <c r="E174" s="11" t="str" cm="1">
        <f t="array" ref="E174">_xlfn.IFS(
    COUNTIF(Herramientas_eléctricas1862[Herramientas_eléctricas], B174) &gt; 0, Herramientas_eléctricas1862[[#Headers],[Herramientas_eléctricas]],
    COUNTIF(Herramientas_neumáticas1963[Herramientas_neumáticas], B174) &gt; 0, Herramientas_neumáticas1963[[#Headers],[Herramientas_neumáticas]],
    COUNTIF(Herramientas_de_medición2064[Herramientas_de_medición], B174) &gt; 0, Herramientas_de_medición2064[[#Headers],[Herramientas_de_medición]],
    COUNTIF(Herrramientas_mecánicas2165[Herramientas_mecánicas], B174) &gt; 0, Herrramientas_mecánicas2165[[#Headers],[Herramientas_mecánicas]],
    COUNTIF(AK174:AK180, B174) &gt; 0, Herramientas_hidráulicas2266[[#Headers],[Herramientas_hidráulicas]],
    COUNTIF(EPP_2367[SPCC], B174) &gt; 0, EPP_2367[[#Headers],[SPCC]],
   COUNTIF(Herramientas_de_izaje2468[Herramientas_de_izaje], B174) &gt; 0, Herramientas_de_izaje2468[[#Headers],[Herramientas_de_izaje]],
COUNTIF(Tabla162670[Equipos], B174) &gt; 0, Tabla162670[[#Headers],[Equipos]],
    TRUE, "Sin clasificación"
)</f>
        <v>Sin clasificación</v>
      </c>
      <c r="G174" s="15"/>
      <c r="H174" s="47"/>
      <c r="I174" s="87"/>
      <c r="J174" s="78"/>
      <c r="K174" s="78"/>
      <c r="L174" s="78"/>
      <c r="M174" s="78"/>
      <c r="N174" s="76"/>
      <c r="O174" s="76"/>
      <c r="P174" s="78" t="str">
        <f>_xlfn.LET(
    _xlpm.itemBuscado, B174,
    _xlpm.areaBuscada, C174,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TEXT(COUNTIF($C$2:C174, _xlpm.areaBuscada), "0000"),
    _xlpm.codItem &amp; "-" &amp; _xlpm.codArea &amp; "-" &amp; _xlpm.secuencia
)</f>
        <v>-SinArea-0000</v>
      </c>
      <c r="Q174" s="77"/>
      <c r="R174" s="32"/>
      <c r="S174" s="32"/>
      <c r="T174" s="32"/>
      <c r="U174" s="32"/>
    </row>
    <row r="175" spans="3:21" x14ac:dyDescent="0.3">
      <c r="C175" s="11"/>
      <c r="D175" s="32"/>
      <c r="E175" s="11" t="str" cm="1">
        <f t="array" ref="E175">_xlfn.IFS(
    COUNTIF(Herramientas_eléctricas1862[Herramientas_eléctricas], B175) &gt; 0, Herramientas_eléctricas1862[[#Headers],[Herramientas_eléctricas]],
    COUNTIF(Herramientas_neumáticas1963[Herramientas_neumáticas], B175) &gt; 0, Herramientas_neumáticas1963[[#Headers],[Herramientas_neumáticas]],
    COUNTIF(Herramientas_de_medición2064[Herramientas_de_medición], B175) &gt; 0, Herramientas_de_medición2064[[#Headers],[Herramientas_de_medición]],
    COUNTIF(Herrramientas_mecánicas2165[Herramientas_mecánicas], B175) &gt; 0, Herrramientas_mecánicas2165[[#Headers],[Herramientas_mecánicas]],
    COUNTIF(AK175:AK181, B175) &gt; 0, Herramientas_hidráulicas2266[[#Headers],[Herramientas_hidráulicas]],
    COUNTIF(EPP_2367[SPCC], B175) &gt; 0, EPP_2367[[#Headers],[SPCC]],
   COUNTIF(Herramientas_de_izaje2468[Herramientas_de_izaje], B175) &gt; 0, Herramientas_de_izaje2468[[#Headers],[Herramientas_de_izaje]],
COUNTIF(Tabla162670[Equipos], B175) &gt; 0, Tabla162670[[#Headers],[Equipos]],
    TRUE, "Sin clasificación"
)</f>
        <v>Sin clasificación</v>
      </c>
      <c r="G175" s="15"/>
      <c r="H175" s="47"/>
      <c r="I175" s="87"/>
      <c r="J175" s="78"/>
      <c r="K175" s="78"/>
      <c r="L175" s="78"/>
      <c r="M175" s="78"/>
      <c r="N175" s="76"/>
      <c r="O175" s="76"/>
      <c r="P175" s="78" t="str">
        <f>_xlfn.LET(
    _xlpm.itemBuscado, B175,
    _xlpm.areaBuscada, C175,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TEXT(COUNTIF($C$2:C175, _xlpm.areaBuscada), "0000"),
    _xlpm.codItem &amp; "-" &amp; _xlpm.codArea &amp; "-" &amp; _xlpm.secuencia
)</f>
        <v>-SinArea-0000</v>
      </c>
      <c r="Q175" s="77"/>
      <c r="R175" s="32"/>
      <c r="S175" s="32"/>
      <c r="T175" s="32"/>
      <c r="U175" s="32"/>
    </row>
    <row r="176" spans="3:21" x14ac:dyDescent="0.3">
      <c r="C176" s="11"/>
      <c r="D176" s="32"/>
      <c r="E176" s="11" t="str" cm="1">
        <f t="array" ref="E176">_xlfn.IFS(
    COUNTIF(Herramientas_eléctricas1862[Herramientas_eléctricas], B176) &gt; 0, Herramientas_eléctricas1862[[#Headers],[Herramientas_eléctricas]],
    COUNTIF(Herramientas_neumáticas1963[Herramientas_neumáticas], B176) &gt; 0, Herramientas_neumáticas1963[[#Headers],[Herramientas_neumáticas]],
    COUNTIF(Herramientas_de_medición2064[Herramientas_de_medición], B176) &gt; 0, Herramientas_de_medición2064[[#Headers],[Herramientas_de_medición]],
    COUNTIF(Herrramientas_mecánicas2165[Herramientas_mecánicas], B176) &gt; 0, Herrramientas_mecánicas2165[[#Headers],[Herramientas_mecánicas]],
    COUNTIF(AK176:AK182, B176) &gt; 0, Herramientas_hidráulicas2266[[#Headers],[Herramientas_hidráulicas]],
    COUNTIF(EPP_2367[SPCC], B176) &gt; 0, EPP_2367[[#Headers],[SPCC]],
   COUNTIF(Herramientas_de_izaje2468[Herramientas_de_izaje], B176) &gt; 0, Herramientas_de_izaje2468[[#Headers],[Herramientas_de_izaje]],
COUNTIF(Tabla162670[Equipos], B176) &gt; 0, Tabla162670[[#Headers],[Equipos]],
    TRUE, "Sin clasificación"
)</f>
        <v>Sin clasificación</v>
      </c>
      <c r="G176" s="15"/>
      <c r="H176" s="47"/>
      <c r="I176" s="87"/>
      <c r="J176" s="78"/>
      <c r="K176" s="78"/>
      <c r="L176" s="78"/>
      <c r="M176" s="78"/>
      <c r="N176" s="76"/>
      <c r="O176" s="76"/>
      <c r="P176" s="78" t="str">
        <f>_xlfn.LET(
    _xlpm.itemBuscado, B176,
    _xlpm.areaBuscada, C176,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TEXT(COUNTIF($C$2:C176, _xlpm.areaBuscada), "0000"),
    _xlpm.codItem &amp; "-" &amp; _xlpm.codArea &amp; "-" &amp; _xlpm.secuencia
)</f>
        <v>-SinArea-0000</v>
      </c>
      <c r="Q176" s="77"/>
      <c r="R176" s="32"/>
      <c r="S176" s="32"/>
      <c r="T176" s="32"/>
      <c r="U176" s="32"/>
    </row>
    <row r="177" spans="3:21" x14ac:dyDescent="0.3">
      <c r="C177" s="11"/>
      <c r="D177" s="32"/>
      <c r="E177" s="11" t="str" cm="1">
        <f t="array" ref="E177">_xlfn.IFS(
    COUNTIF(Herramientas_eléctricas1862[Herramientas_eléctricas], B177) &gt; 0, Herramientas_eléctricas1862[[#Headers],[Herramientas_eléctricas]],
    COUNTIF(Herramientas_neumáticas1963[Herramientas_neumáticas], B177) &gt; 0, Herramientas_neumáticas1963[[#Headers],[Herramientas_neumáticas]],
    COUNTIF(Herramientas_de_medición2064[Herramientas_de_medición], B177) &gt; 0, Herramientas_de_medición2064[[#Headers],[Herramientas_de_medición]],
    COUNTIF(Herrramientas_mecánicas2165[Herramientas_mecánicas], B177) &gt; 0, Herrramientas_mecánicas2165[[#Headers],[Herramientas_mecánicas]],
    COUNTIF(AK177:AK183, B177) &gt; 0, Herramientas_hidráulicas2266[[#Headers],[Herramientas_hidráulicas]],
    COUNTIF(EPP_2367[SPCC], B177) &gt; 0, EPP_2367[[#Headers],[SPCC]],
   COUNTIF(Herramientas_de_izaje2468[Herramientas_de_izaje], B177) &gt; 0, Herramientas_de_izaje2468[[#Headers],[Herramientas_de_izaje]],
COUNTIF(Tabla162670[Equipos], B177) &gt; 0, Tabla162670[[#Headers],[Equipos]],
    TRUE, "Sin clasificación"
)</f>
        <v>Sin clasificación</v>
      </c>
      <c r="G177" s="15"/>
      <c r="H177" s="47"/>
      <c r="I177" s="87"/>
      <c r="J177" s="78"/>
      <c r="K177" s="78"/>
      <c r="L177" s="78"/>
      <c r="M177" s="78"/>
      <c r="N177" s="76"/>
      <c r="O177" s="76"/>
      <c r="P177" s="78" t="str">
        <f>_xlfn.LET(
    _xlpm.itemBuscado, B177,
    _xlpm.areaBuscada, C177,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TEXT(COUNTIF($C$2:C177, _xlpm.areaBuscada), "0000"),
    _xlpm.codItem &amp; "-" &amp; _xlpm.codArea &amp; "-" &amp; _xlpm.secuencia
)</f>
        <v>-SinArea-0000</v>
      </c>
      <c r="Q177" s="77"/>
      <c r="R177" s="32"/>
      <c r="S177" s="32"/>
      <c r="T177" s="32"/>
      <c r="U177" s="32"/>
    </row>
    <row r="178" spans="3:21" x14ac:dyDescent="0.3">
      <c r="C178" s="11"/>
      <c r="D178" s="32"/>
      <c r="E178" s="11" t="str" cm="1">
        <f t="array" ref="E178">_xlfn.IFS(
    COUNTIF(Herramientas_eléctricas1862[Herramientas_eléctricas], B178) &gt; 0, Herramientas_eléctricas1862[[#Headers],[Herramientas_eléctricas]],
    COUNTIF(Herramientas_neumáticas1963[Herramientas_neumáticas], B178) &gt; 0, Herramientas_neumáticas1963[[#Headers],[Herramientas_neumáticas]],
    COUNTIF(Herramientas_de_medición2064[Herramientas_de_medición], B178) &gt; 0, Herramientas_de_medición2064[[#Headers],[Herramientas_de_medición]],
    COUNTIF(Herrramientas_mecánicas2165[Herramientas_mecánicas], B178) &gt; 0, Herrramientas_mecánicas2165[[#Headers],[Herramientas_mecánicas]],
    COUNTIF(AK178:AK184, B178) &gt; 0, Herramientas_hidráulicas2266[[#Headers],[Herramientas_hidráulicas]],
    COUNTIF(EPP_2367[SPCC], B178) &gt; 0, EPP_2367[[#Headers],[SPCC]],
   COUNTIF(Herramientas_de_izaje2468[Herramientas_de_izaje], B178) &gt; 0, Herramientas_de_izaje2468[[#Headers],[Herramientas_de_izaje]],
COUNTIF(Tabla162670[Equipos], B178) &gt; 0, Tabla162670[[#Headers],[Equipos]],
    TRUE, "Sin clasificación"
)</f>
        <v>Sin clasificación</v>
      </c>
      <c r="G178" s="15"/>
      <c r="H178" s="47"/>
      <c r="I178" s="87"/>
      <c r="J178" s="78"/>
      <c r="K178" s="78"/>
      <c r="L178" s="78"/>
      <c r="M178" s="78"/>
      <c r="N178" s="76"/>
      <c r="O178" s="76"/>
      <c r="P178" s="78" t="str">
        <f>_xlfn.LET(
    _xlpm.itemBuscado, B178,
    _xlpm.areaBuscada, C178,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TEXT(COUNTIF($C$2:C178, _xlpm.areaBuscada), "0000"),
    _xlpm.codItem &amp; "-" &amp; _xlpm.codArea &amp; "-" &amp; _xlpm.secuencia
)</f>
        <v>-SinArea-0000</v>
      </c>
      <c r="Q178" s="77"/>
      <c r="R178" s="32"/>
      <c r="S178" s="32"/>
      <c r="T178" s="32"/>
      <c r="U178" s="32"/>
    </row>
    <row r="179" spans="3:21" x14ac:dyDescent="0.3">
      <c r="C179" s="11"/>
      <c r="D179" s="32"/>
      <c r="E179" s="11" t="str" cm="1">
        <f t="array" ref="E179">_xlfn.IFS(
    COUNTIF(Herramientas_eléctricas1862[Herramientas_eléctricas], B179) &gt; 0, Herramientas_eléctricas1862[[#Headers],[Herramientas_eléctricas]],
    COUNTIF(Herramientas_neumáticas1963[Herramientas_neumáticas], B179) &gt; 0, Herramientas_neumáticas1963[[#Headers],[Herramientas_neumáticas]],
    COUNTIF(Herramientas_de_medición2064[Herramientas_de_medición], B179) &gt; 0, Herramientas_de_medición2064[[#Headers],[Herramientas_de_medición]],
    COUNTIF(Herrramientas_mecánicas2165[Herramientas_mecánicas], B179) &gt; 0, Herrramientas_mecánicas2165[[#Headers],[Herramientas_mecánicas]],
    COUNTIF(AK179:AK185, B179) &gt; 0, Herramientas_hidráulicas2266[[#Headers],[Herramientas_hidráulicas]],
    COUNTIF(EPP_2367[SPCC], B179) &gt; 0, EPP_2367[[#Headers],[SPCC]],
   COUNTIF(Herramientas_de_izaje2468[Herramientas_de_izaje], B179) &gt; 0, Herramientas_de_izaje2468[[#Headers],[Herramientas_de_izaje]],
COUNTIF(Tabla162670[Equipos], B179) &gt; 0, Tabla162670[[#Headers],[Equipos]],
    TRUE, "Sin clasificación"
)</f>
        <v>Sin clasificación</v>
      </c>
      <c r="G179" s="15"/>
      <c r="H179" s="47"/>
      <c r="I179" s="87"/>
      <c r="J179" s="78"/>
      <c r="K179" s="78"/>
      <c r="L179" s="78"/>
      <c r="M179" s="78"/>
      <c r="N179" s="76"/>
      <c r="O179" s="76"/>
      <c r="P179" s="78" t="str">
        <f>_xlfn.LET(
    _xlpm.itemBuscado, B179,
    _xlpm.areaBuscada, C179,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TEXT(COUNTIF($C$2:C179, _xlpm.areaBuscada), "0000"),
    _xlpm.codItem &amp; "-" &amp; _xlpm.codArea &amp; "-" &amp; _xlpm.secuencia
)</f>
        <v>-SinArea-0000</v>
      </c>
      <c r="Q179" s="77"/>
      <c r="R179" s="32"/>
      <c r="S179" s="32"/>
      <c r="T179" s="32"/>
      <c r="U179" s="32"/>
    </row>
    <row r="180" spans="3:21" x14ac:dyDescent="0.3">
      <c r="C180" s="11"/>
      <c r="D180" s="32"/>
      <c r="E180" s="11" t="str" cm="1">
        <f t="array" ref="E180">_xlfn.IFS(
    COUNTIF(Herramientas_eléctricas1862[Herramientas_eléctricas], B180) &gt; 0, Herramientas_eléctricas1862[[#Headers],[Herramientas_eléctricas]],
    COUNTIF(Herramientas_neumáticas1963[Herramientas_neumáticas], B180) &gt; 0, Herramientas_neumáticas1963[[#Headers],[Herramientas_neumáticas]],
    COUNTIF(Herramientas_de_medición2064[Herramientas_de_medición], B180) &gt; 0, Herramientas_de_medición2064[[#Headers],[Herramientas_de_medición]],
    COUNTIF(Herrramientas_mecánicas2165[Herramientas_mecánicas], B180) &gt; 0, Herrramientas_mecánicas2165[[#Headers],[Herramientas_mecánicas]],
    COUNTIF(AK180:AK186, B180) &gt; 0, Herramientas_hidráulicas2266[[#Headers],[Herramientas_hidráulicas]],
    COUNTIF(EPP_2367[SPCC], B180) &gt; 0, EPP_2367[[#Headers],[SPCC]],
   COUNTIF(Herramientas_de_izaje2468[Herramientas_de_izaje], B180) &gt; 0, Herramientas_de_izaje2468[[#Headers],[Herramientas_de_izaje]],
COUNTIF(Tabla162670[Equipos], B180) &gt; 0, Tabla162670[[#Headers],[Equipos]],
    TRUE, "Sin clasificación"
)</f>
        <v>Sin clasificación</v>
      </c>
      <c r="G180" s="15"/>
      <c r="H180" s="47"/>
      <c r="I180" s="87"/>
      <c r="J180" s="78"/>
      <c r="K180" s="78"/>
      <c r="L180" s="78"/>
      <c r="M180" s="78"/>
      <c r="N180" s="76"/>
      <c r="O180" s="76"/>
      <c r="P180" s="78" t="str">
        <f>_xlfn.LET(
    _xlpm.itemBuscado, B180,
    _xlpm.areaBuscada, C180,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TEXT(COUNTIF($C$2:C180, _xlpm.areaBuscada), "0000"),
    _xlpm.codItem &amp; "-" &amp; _xlpm.codArea &amp; "-" &amp; _xlpm.secuencia
)</f>
        <v>-SinArea-0000</v>
      </c>
      <c r="Q180" s="77"/>
      <c r="R180" s="32"/>
      <c r="S180" s="32"/>
      <c r="T180" s="32"/>
      <c r="U180" s="32"/>
    </row>
    <row r="181" spans="3:21" x14ac:dyDescent="0.3">
      <c r="C181" s="11"/>
      <c r="D181" s="32"/>
      <c r="E181" s="11" t="str" cm="1">
        <f t="array" ref="E181">_xlfn.IFS(
    COUNTIF(Herramientas_eléctricas1862[Herramientas_eléctricas], B181) &gt; 0, Herramientas_eléctricas1862[[#Headers],[Herramientas_eléctricas]],
    COUNTIF(Herramientas_neumáticas1963[Herramientas_neumáticas], B181) &gt; 0, Herramientas_neumáticas1963[[#Headers],[Herramientas_neumáticas]],
    COUNTIF(Herramientas_de_medición2064[Herramientas_de_medición], B181) &gt; 0, Herramientas_de_medición2064[[#Headers],[Herramientas_de_medición]],
    COUNTIF(Herrramientas_mecánicas2165[Herramientas_mecánicas], B181) &gt; 0, Herrramientas_mecánicas2165[[#Headers],[Herramientas_mecánicas]],
    COUNTIF(AK181:AK187, B181) &gt; 0, Herramientas_hidráulicas2266[[#Headers],[Herramientas_hidráulicas]],
    COUNTIF(EPP_2367[SPCC], B181) &gt; 0, EPP_2367[[#Headers],[SPCC]],
   COUNTIF(Herramientas_de_izaje2468[Herramientas_de_izaje], B181) &gt; 0, Herramientas_de_izaje2468[[#Headers],[Herramientas_de_izaje]],
COUNTIF(Tabla162670[Equipos], B181) &gt; 0, Tabla162670[[#Headers],[Equipos]],
    TRUE, "Sin clasificación"
)</f>
        <v>Sin clasificación</v>
      </c>
      <c r="G181" s="15"/>
      <c r="H181" s="47"/>
      <c r="I181" s="87"/>
      <c r="J181" s="78"/>
      <c r="K181" s="78"/>
      <c r="L181" s="78"/>
      <c r="M181" s="78"/>
      <c r="N181" s="76"/>
      <c r="O181" s="76"/>
      <c r="P181" s="78" t="str">
        <f>_xlfn.LET(
    _xlpm.itemBuscado, B181,
    _xlpm.areaBuscada, C181,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TEXT(COUNTIF($C$2:C181, _xlpm.areaBuscada), "0000"),
    _xlpm.codItem &amp; "-" &amp; _xlpm.codArea &amp; "-" &amp; _xlpm.secuencia
)</f>
        <v>-SinArea-0000</v>
      </c>
      <c r="Q181" s="77"/>
      <c r="R181" s="32"/>
      <c r="S181" s="32"/>
      <c r="T181" s="32"/>
      <c r="U181" s="32"/>
    </row>
    <row r="182" spans="3:21" x14ac:dyDescent="0.3">
      <c r="C182" s="11"/>
      <c r="D182" s="32"/>
      <c r="E182" s="11" t="str" cm="1">
        <f t="array" ref="E182">_xlfn.IFS(
    COUNTIF(Herramientas_eléctricas1862[Herramientas_eléctricas], B182) &gt; 0, Herramientas_eléctricas1862[[#Headers],[Herramientas_eléctricas]],
    COUNTIF(Herramientas_neumáticas1963[Herramientas_neumáticas], B182) &gt; 0, Herramientas_neumáticas1963[[#Headers],[Herramientas_neumáticas]],
    COUNTIF(Herramientas_de_medición2064[Herramientas_de_medición], B182) &gt; 0, Herramientas_de_medición2064[[#Headers],[Herramientas_de_medición]],
    COUNTIF(Herrramientas_mecánicas2165[Herramientas_mecánicas], B182) &gt; 0, Herrramientas_mecánicas2165[[#Headers],[Herramientas_mecánicas]],
    COUNTIF(AK182:AK188, B182) &gt; 0, Herramientas_hidráulicas2266[[#Headers],[Herramientas_hidráulicas]],
    COUNTIF(EPP_2367[SPCC], B182) &gt; 0, EPP_2367[[#Headers],[SPCC]],
   COUNTIF(Herramientas_de_izaje2468[Herramientas_de_izaje], B182) &gt; 0, Herramientas_de_izaje2468[[#Headers],[Herramientas_de_izaje]],
COUNTIF(Tabla162670[Equipos], B182) &gt; 0, Tabla162670[[#Headers],[Equipos]],
    TRUE, "Sin clasificación"
)</f>
        <v>Sin clasificación</v>
      </c>
      <c r="G182" s="15"/>
      <c r="H182" s="47"/>
      <c r="I182" s="87"/>
      <c r="J182" s="78"/>
      <c r="K182" s="78"/>
      <c r="L182" s="78"/>
      <c r="M182" s="78"/>
      <c r="N182" s="76"/>
      <c r="O182" s="76"/>
      <c r="P182" s="78" t="str">
        <f>_xlfn.LET(
    _xlpm.itemBuscado, B182,
    _xlpm.areaBuscada, C182,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TEXT(COUNTIF($C$2:C182, _xlpm.areaBuscada), "0000"),
    _xlpm.codItem &amp; "-" &amp; _xlpm.codArea &amp; "-" &amp; _xlpm.secuencia
)</f>
        <v>-SinArea-0000</v>
      </c>
      <c r="Q182" s="77"/>
      <c r="R182" s="32"/>
      <c r="S182" s="32"/>
      <c r="T182" s="32"/>
      <c r="U182" s="32"/>
    </row>
    <row r="183" spans="3:21" x14ac:dyDescent="0.3">
      <c r="C183" s="11"/>
      <c r="D183" s="32"/>
      <c r="E183" s="11" t="str" cm="1">
        <f t="array" ref="E183">_xlfn.IFS(
    COUNTIF(Herramientas_eléctricas1862[Herramientas_eléctricas], B183) &gt; 0, Herramientas_eléctricas1862[[#Headers],[Herramientas_eléctricas]],
    COUNTIF(Herramientas_neumáticas1963[Herramientas_neumáticas], B183) &gt; 0, Herramientas_neumáticas1963[[#Headers],[Herramientas_neumáticas]],
    COUNTIF(Herramientas_de_medición2064[Herramientas_de_medición], B183) &gt; 0, Herramientas_de_medición2064[[#Headers],[Herramientas_de_medición]],
    COUNTIF(Herrramientas_mecánicas2165[Herramientas_mecánicas], B183) &gt; 0, Herrramientas_mecánicas2165[[#Headers],[Herramientas_mecánicas]],
    COUNTIF(AK183:AK189, B183) &gt; 0, Herramientas_hidráulicas2266[[#Headers],[Herramientas_hidráulicas]],
    COUNTIF(EPP_2367[SPCC], B183) &gt; 0, EPP_2367[[#Headers],[SPCC]],
   COUNTIF(Herramientas_de_izaje2468[Herramientas_de_izaje], B183) &gt; 0, Herramientas_de_izaje2468[[#Headers],[Herramientas_de_izaje]],
COUNTIF(Tabla162670[Equipos], B183) &gt; 0, Tabla162670[[#Headers],[Equipos]],
    TRUE, "Sin clasificación"
)</f>
        <v>Sin clasificación</v>
      </c>
      <c r="G183" s="15"/>
      <c r="H183" s="47"/>
      <c r="I183" s="87"/>
      <c r="J183" s="78"/>
      <c r="K183" s="78"/>
      <c r="L183" s="78"/>
      <c r="M183" s="78"/>
      <c r="N183" s="76"/>
      <c r="O183" s="76"/>
      <c r="P183" s="78" t="str">
        <f>_xlfn.LET(
    _xlpm.itemBuscado, B183,
    _xlpm.areaBuscada, C183,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TEXT(COUNTIF($C$2:C183, _xlpm.areaBuscada), "0000"),
    _xlpm.codItem &amp; "-" &amp; _xlpm.codArea &amp; "-" &amp; _xlpm.secuencia
)</f>
        <v>-SinArea-0000</v>
      </c>
      <c r="Q183" s="77"/>
      <c r="R183" s="32"/>
      <c r="S183" s="32"/>
      <c r="T183" s="32"/>
      <c r="U183" s="32"/>
    </row>
    <row r="184" spans="3:21" x14ac:dyDescent="0.3">
      <c r="C184" s="11"/>
      <c r="D184" s="32"/>
      <c r="E184" s="11" t="str" cm="1">
        <f t="array" ref="E184">_xlfn.IFS(
    COUNTIF(Herramientas_eléctricas1862[Herramientas_eléctricas], B184) &gt; 0, Herramientas_eléctricas1862[[#Headers],[Herramientas_eléctricas]],
    COUNTIF(Herramientas_neumáticas1963[Herramientas_neumáticas], B184) &gt; 0, Herramientas_neumáticas1963[[#Headers],[Herramientas_neumáticas]],
    COUNTIF(Herramientas_de_medición2064[Herramientas_de_medición], B184) &gt; 0, Herramientas_de_medición2064[[#Headers],[Herramientas_de_medición]],
    COUNTIF(Herrramientas_mecánicas2165[Herramientas_mecánicas], B184) &gt; 0, Herrramientas_mecánicas2165[[#Headers],[Herramientas_mecánicas]],
    COUNTIF(AK184:AK190, B184) &gt; 0, Herramientas_hidráulicas2266[[#Headers],[Herramientas_hidráulicas]],
    COUNTIF(EPP_2367[SPCC], B184) &gt; 0, EPP_2367[[#Headers],[SPCC]],
   COUNTIF(Herramientas_de_izaje2468[Herramientas_de_izaje], B184) &gt; 0, Herramientas_de_izaje2468[[#Headers],[Herramientas_de_izaje]],
COUNTIF(Tabla162670[Equipos], B184) &gt; 0, Tabla162670[[#Headers],[Equipos]],
    TRUE, "Sin clasificación"
)</f>
        <v>Sin clasificación</v>
      </c>
      <c r="G184" s="15"/>
      <c r="H184" s="47"/>
      <c r="I184" s="87"/>
      <c r="J184" s="78"/>
      <c r="K184" s="78"/>
      <c r="L184" s="78"/>
      <c r="M184" s="78"/>
      <c r="N184" s="76"/>
      <c r="O184" s="76"/>
      <c r="P184" s="78" t="str">
        <f>_xlfn.LET(
    _xlpm.itemBuscado, B184,
    _xlpm.areaBuscada, C184,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TEXT(COUNTIF($C$2:C184, _xlpm.areaBuscada), "0000"),
    _xlpm.codItem &amp; "-" &amp; _xlpm.codArea &amp; "-" &amp; _xlpm.secuencia
)</f>
        <v>-SinArea-0000</v>
      </c>
      <c r="Q184" s="77"/>
      <c r="R184" s="32"/>
      <c r="S184" s="32"/>
      <c r="T184" s="32"/>
      <c r="U184" s="32"/>
    </row>
    <row r="185" spans="3:21" x14ac:dyDescent="0.3">
      <c r="C185" s="11"/>
      <c r="D185" s="32"/>
      <c r="E185" s="11" t="str" cm="1">
        <f t="array" ref="E185">_xlfn.IFS(
    COUNTIF(Herramientas_eléctricas1862[Herramientas_eléctricas], B185) &gt; 0, Herramientas_eléctricas1862[[#Headers],[Herramientas_eléctricas]],
    COUNTIF(Herramientas_neumáticas1963[Herramientas_neumáticas], B185) &gt; 0, Herramientas_neumáticas1963[[#Headers],[Herramientas_neumáticas]],
    COUNTIF(Herramientas_de_medición2064[Herramientas_de_medición], B185) &gt; 0, Herramientas_de_medición2064[[#Headers],[Herramientas_de_medición]],
    COUNTIF(Herrramientas_mecánicas2165[Herramientas_mecánicas], B185) &gt; 0, Herrramientas_mecánicas2165[[#Headers],[Herramientas_mecánicas]],
    COUNTIF(AK185:AK191, B185) &gt; 0, Herramientas_hidráulicas2266[[#Headers],[Herramientas_hidráulicas]],
    COUNTIF(EPP_2367[SPCC], B185) &gt; 0, EPP_2367[[#Headers],[SPCC]],
   COUNTIF(Herramientas_de_izaje2468[Herramientas_de_izaje], B185) &gt; 0, Herramientas_de_izaje2468[[#Headers],[Herramientas_de_izaje]],
COUNTIF(Tabla162670[Equipos], B185) &gt; 0, Tabla162670[[#Headers],[Equipos]],
    TRUE, "Sin clasificación"
)</f>
        <v>Sin clasificación</v>
      </c>
      <c r="G185" s="15"/>
      <c r="H185" s="47"/>
      <c r="I185" s="87"/>
      <c r="J185" s="78"/>
      <c r="K185" s="78"/>
      <c r="L185" s="78"/>
      <c r="M185" s="78"/>
      <c r="N185" s="76"/>
      <c r="O185" s="76"/>
      <c r="P185" s="78" t="str">
        <f>_xlfn.LET(
    _xlpm.itemBuscado, B185,
    _xlpm.areaBuscada, C185,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TEXT(COUNTIF($C$2:C185, _xlpm.areaBuscada), "0000"),
    _xlpm.codItem &amp; "-" &amp; _xlpm.codArea &amp; "-" &amp; _xlpm.secuencia
)</f>
        <v>-SinArea-0000</v>
      </c>
      <c r="Q185" s="77"/>
      <c r="R185" s="32"/>
      <c r="S185" s="32"/>
      <c r="T185" s="32"/>
      <c r="U185" s="32"/>
    </row>
    <row r="186" spans="3:21" x14ac:dyDescent="0.3">
      <c r="C186" s="11"/>
      <c r="D186" s="32"/>
      <c r="E186" s="11" t="str" cm="1">
        <f t="array" ref="E186">_xlfn.IFS(
    COUNTIF(Herramientas_eléctricas1862[Herramientas_eléctricas], B186) &gt; 0, Herramientas_eléctricas1862[[#Headers],[Herramientas_eléctricas]],
    COUNTIF(Herramientas_neumáticas1963[Herramientas_neumáticas], B186) &gt; 0, Herramientas_neumáticas1963[[#Headers],[Herramientas_neumáticas]],
    COUNTIF(Herramientas_de_medición2064[Herramientas_de_medición], B186) &gt; 0, Herramientas_de_medición2064[[#Headers],[Herramientas_de_medición]],
    COUNTIF(Herrramientas_mecánicas2165[Herramientas_mecánicas], B186) &gt; 0, Herrramientas_mecánicas2165[[#Headers],[Herramientas_mecánicas]],
    COUNTIF(AK186:AK192, B186) &gt; 0, Herramientas_hidráulicas2266[[#Headers],[Herramientas_hidráulicas]],
    COUNTIF(EPP_2367[SPCC], B186) &gt; 0, EPP_2367[[#Headers],[SPCC]],
   COUNTIF(Herramientas_de_izaje2468[Herramientas_de_izaje], B186) &gt; 0, Herramientas_de_izaje2468[[#Headers],[Herramientas_de_izaje]],
COUNTIF(Tabla162670[Equipos], B186) &gt; 0, Tabla162670[[#Headers],[Equipos]],
    TRUE, "Sin clasificación"
)</f>
        <v>Sin clasificación</v>
      </c>
      <c r="G186" s="15"/>
      <c r="H186" s="47"/>
      <c r="I186" s="87"/>
      <c r="J186" s="78"/>
      <c r="K186" s="78"/>
      <c r="L186" s="78"/>
      <c r="M186" s="78"/>
      <c r="N186" s="76"/>
      <c r="O186" s="76"/>
      <c r="P186" s="78" t="str">
        <f>_xlfn.LET(
    _xlpm.itemBuscado, B186,
    _xlpm.areaBuscada, C186,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TEXT(COUNTIF($C$2:C186, _xlpm.areaBuscada), "0000"),
    _xlpm.codItem &amp; "-" &amp; _xlpm.codArea &amp; "-" &amp; _xlpm.secuencia
)</f>
        <v>-SinArea-0000</v>
      </c>
      <c r="Q186" s="77"/>
      <c r="R186" s="32"/>
      <c r="S186" s="32"/>
      <c r="T186" s="32"/>
      <c r="U186" s="32"/>
    </row>
    <row r="187" spans="3:21" x14ac:dyDescent="0.3">
      <c r="C187" s="11"/>
      <c r="D187" s="32"/>
      <c r="E187" s="11" t="str" cm="1">
        <f t="array" ref="E187">_xlfn.IFS(
    COUNTIF(Herramientas_eléctricas1862[Herramientas_eléctricas], B187) &gt; 0, Herramientas_eléctricas1862[[#Headers],[Herramientas_eléctricas]],
    COUNTIF(Herramientas_neumáticas1963[Herramientas_neumáticas], B187) &gt; 0, Herramientas_neumáticas1963[[#Headers],[Herramientas_neumáticas]],
    COUNTIF(Herramientas_de_medición2064[Herramientas_de_medición], B187) &gt; 0, Herramientas_de_medición2064[[#Headers],[Herramientas_de_medición]],
    COUNTIF(Herrramientas_mecánicas2165[Herramientas_mecánicas], B187) &gt; 0, Herrramientas_mecánicas2165[[#Headers],[Herramientas_mecánicas]],
    COUNTIF(AK187:AK193, B187) &gt; 0, Herramientas_hidráulicas2266[[#Headers],[Herramientas_hidráulicas]],
    COUNTIF(EPP_2367[SPCC], B187) &gt; 0, EPP_2367[[#Headers],[SPCC]],
   COUNTIF(Herramientas_de_izaje2468[Herramientas_de_izaje], B187) &gt; 0, Herramientas_de_izaje2468[[#Headers],[Herramientas_de_izaje]],
COUNTIF(Tabla162670[Equipos], B187) &gt; 0, Tabla162670[[#Headers],[Equipos]],
    TRUE, "Sin clasificación"
)</f>
        <v>Sin clasificación</v>
      </c>
      <c r="G187" s="15"/>
      <c r="H187" s="47"/>
      <c r="I187" s="87"/>
      <c r="J187" s="78"/>
      <c r="K187" s="78"/>
      <c r="L187" s="78"/>
      <c r="M187" s="78"/>
      <c r="N187" s="76"/>
      <c r="O187" s="76"/>
      <c r="P187" s="78" t="str">
        <f>_xlfn.LET(
    _xlpm.itemBuscado, B187,
    _xlpm.areaBuscada, C187,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TEXT(COUNTIF($C$2:C187, _xlpm.areaBuscada), "0000"),
    _xlpm.codItem &amp; "-" &amp; _xlpm.codArea &amp; "-" &amp; _xlpm.secuencia
)</f>
        <v>-SinArea-0000</v>
      </c>
      <c r="Q187" s="77"/>
      <c r="R187" s="32"/>
      <c r="S187" s="32"/>
      <c r="T187" s="32"/>
      <c r="U187" s="32"/>
    </row>
    <row r="188" spans="3:21" x14ac:dyDescent="0.3">
      <c r="C188" s="11"/>
      <c r="D188" s="32"/>
      <c r="E188" s="11" t="str" cm="1">
        <f t="array" ref="E188">_xlfn.IFS(
    COUNTIF(Herramientas_eléctricas1862[Herramientas_eléctricas], B188) &gt; 0, Herramientas_eléctricas1862[[#Headers],[Herramientas_eléctricas]],
    COUNTIF(Herramientas_neumáticas1963[Herramientas_neumáticas], B188) &gt; 0, Herramientas_neumáticas1963[[#Headers],[Herramientas_neumáticas]],
    COUNTIF(Herramientas_de_medición2064[Herramientas_de_medición], B188) &gt; 0, Herramientas_de_medición2064[[#Headers],[Herramientas_de_medición]],
    COUNTIF(Herrramientas_mecánicas2165[Herramientas_mecánicas], B188) &gt; 0, Herrramientas_mecánicas2165[[#Headers],[Herramientas_mecánicas]],
    COUNTIF(AK188:AK194, B188) &gt; 0, Herramientas_hidráulicas2266[[#Headers],[Herramientas_hidráulicas]],
    COUNTIF(EPP_2367[SPCC], B188) &gt; 0, EPP_2367[[#Headers],[SPCC]],
   COUNTIF(Herramientas_de_izaje2468[Herramientas_de_izaje], B188) &gt; 0, Herramientas_de_izaje2468[[#Headers],[Herramientas_de_izaje]],
COUNTIF(Tabla162670[Equipos], B188) &gt; 0, Tabla162670[[#Headers],[Equipos]],
    TRUE, "Sin clasificación"
)</f>
        <v>Sin clasificación</v>
      </c>
      <c r="G188" s="15"/>
      <c r="H188" s="47"/>
      <c r="I188" s="87"/>
      <c r="J188" s="78"/>
      <c r="K188" s="78"/>
      <c r="L188" s="78"/>
      <c r="M188" s="78"/>
      <c r="N188" s="76"/>
      <c r="O188" s="76"/>
      <c r="P188" s="78" t="str">
        <f>_xlfn.LET(
    _xlpm.itemBuscado, B188,
    _xlpm.areaBuscada, C188,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TEXT(COUNTIF($C$2:C188, _xlpm.areaBuscada), "0000"),
    _xlpm.codItem &amp; "-" &amp; _xlpm.codArea &amp; "-" &amp; _xlpm.secuencia
)</f>
        <v>-SinArea-0000</v>
      </c>
      <c r="Q188" s="77"/>
      <c r="R188" s="32"/>
      <c r="S188" s="32"/>
      <c r="T188" s="32"/>
      <c r="U188" s="32"/>
    </row>
    <row r="189" spans="3:21" x14ac:dyDescent="0.3">
      <c r="C189" s="11"/>
      <c r="D189" s="32"/>
      <c r="E189" s="11" t="str" cm="1">
        <f t="array" ref="E189">_xlfn.IFS(
    COUNTIF(Herramientas_eléctricas1862[Herramientas_eléctricas], B189) &gt; 0, Herramientas_eléctricas1862[[#Headers],[Herramientas_eléctricas]],
    COUNTIF(Herramientas_neumáticas1963[Herramientas_neumáticas], B189) &gt; 0, Herramientas_neumáticas1963[[#Headers],[Herramientas_neumáticas]],
    COUNTIF(Herramientas_de_medición2064[Herramientas_de_medición], B189) &gt; 0, Herramientas_de_medición2064[[#Headers],[Herramientas_de_medición]],
    COUNTIF(Herrramientas_mecánicas2165[Herramientas_mecánicas], B189) &gt; 0, Herrramientas_mecánicas2165[[#Headers],[Herramientas_mecánicas]],
    COUNTIF(AK189:AK195, B189) &gt; 0, Herramientas_hidráulicas2266[[#Headers],[Herramientas_hidráulicas]],
    COUNTIF(EPP_2367[SPCC], B189) &gt; 0, EPP_2367[[#Headers],[SPCC]],
   COUNTIF(Herramientas_de_izaje2468[Herramientas_de_izaje], B189) &gt; 0, Herramientas_de_izaje2468[[#Headers],[Herramientas_de_izaje]],
COUNTIF(Tabla162670[Equipos], B189) &gt; 0, Tabla162670[[#Headers],[Equipos]],
    TRUE, "Sin clasificación"
)</f>
        <v>Sin clasificación</v>
      </c>
      <c r="G189" s="15"/>
      <c r="H189" s="47"/>
      <c r="I189" s="87"/>
      <c r="J189" s="78"/>
      <c r="K189" s="78"/>
      <c r="L189" s="78"/>
      <c r="M189" s="78"/>
      <c r="N189" s="76"/>
      <c r="O189" s="76"/>
      <c r="P189" s="78" t="str">
        <f>_xlfn.LET(
    _xlpm.itemBuscado, B189,
    _xlpm.areaBuscada, C189,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TEXT(COUNTIF($C$2:C189, _xlpm.areaBuscada), "0000"),
    _xlpm.codItem &amp; "-" &amp; _xlpm.codArea &amp; "-" &amp; _xlpm.secuencia
)</f>
        <v>-SinArea-0000</v>
      </c>
      <c r="Q189" s="77"/>
      <c r="R189" s="32"/>
      <c r="S189" s="32"/>
      <c r="T189" s="32"/>
      <c r="U189" s="32"/>
    </row>
    <row r="190" spans="3:21" x14ac:dyDescent="0.3">
      <c r="C190" s="11"/>
      <c r="D190" s="32"/>
      <c r="E190" s="11" t="str" cm="1">
        <f t="array" ref="E190">_xlfn.IFS(
    COUNTIF(Herramientas_eléctricas1862[Herramientas_eléctricas], B190) &gt; 0, Herramientas_eléctricas1862[[#Headers],[Herramientas_eléctricas]],
    COUNTIF(Herramientas_neumáticas1963[Herramientas_neumáticas], B190) &gt; 0, Herramientas_neumáticas1963[[#Headers],[Herramientas_neumáticas]],
    COUNTIF(Herramientas_de_medición2064[Herramientas_de_medición], B190) &gt; 0, Herramientas_de_medición2064[[#Headers],[Herramientas_de_medición]],
    COUNTIF(Herrramientas_mecánicas2165[Herramientas_mecánicas], B190) &gt; 0, Herrramientas_mecánicas2165[[#Headers],[Herramientas_mecánicas]],
    COUNTIF(AK190:AK196, B190) &gt; 0, Herramientas_hidráulicas2266[[#Headers],[Herramientas_hidráulicas]],
    COUNTIF(EPP_2367[SPCC], B190) &gt; 0, EPP_2367[[#Headers],[SPCC]],
   COUNTIF(Herramientas_de_izaje2468[Herramientas_de_izaje], B190) &gt; 0, Herramientas_de_izaje2468[[#Headers],[Herramientas_de_izaje]],
COUNTIF(Tabla162670[Equipos], B190) &gt; 0, Tabla162670[[#Headers],[Equipos]],
    TRUE, "Sin clasificación"
)</f>
        <v>Sin clasificación</v>
      </c>
      <c r="G190" s="15"/>
      <c r="H190" s="47"/>
      <c r="I190" s="87"/>
      <c r="J190" s="78"/>
      <c r="K190" s="78"/>
      <c r="L190" s="78"/>
      <c r="M190" s="78"/>
      <c r="N190" s="76"/>
      <c r="O190" s="76"/>
      <c r="P190" s="78" t="str">
        <f>_xlfn.LET(
    _xlpm.itemBuscado, B190,
    _xlpm.areaBuscada, C190,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TEXT(COUNTIF($C$2:C190, _xlpm.areaBuscada), "0000"),
    _xlpm.codItem &amp; "-" &amp; _xlpm.codArea &amp; "-" &amp; _xlpm.secuencia
)</f>
        <v>-SinArea-0000</v>
      </c>
      <c r="Q190" s="77"/>
      <c r="R190" s="32"/>
      <c r="S190" s="32"/>
      <c r="T190" s="32"/>
      <c r="U190" s="32"/>
    </row>
    <row r="191" spans="3:21" x14ac:dyDescent="0.3">
      <c r="C191" s="11"/>
      <c r="D191" s="32"/>
      <c r="E191" s="11" t="str" cm="1">
        <f t="array" ref="E191">_xlfn.IFS(
    COUNTIF(Herramientas_eléctricas1862[Herramientas_eléctricas], B191) &gt; 0, Herramientas_eléctricas1862[[#Headers],[Herramientas_eléctricas]],
    COUNTIF(Herramientas_neumáticas1963[Herramientas_neumáticas], B191) &gt; 0, Herramientas_neumáticas1963[[#Headers],[Herramientas_neumáticas]],
    COUNTIF(Herramientas_de_medición2064[Herramientas_de_medición], B191) &gt; 0, Herramientas_de_medición2064[[#Headers],[Herramientas_de_medición]],
    COUNTIF(Herrramientas_mecánicas2165[Herramientas_mecánicas], B191) &gt; 0, Herrramientas_mecánicas2165[[#Headers],[Herramientas_mecánicas]],
    COUNTIF(AK191:AK197, B191) &gt; 0, Herramientas_hidráulicas2266[[#Headers],[Herramientas_hidráulicas]],
    COUNTIF(EPP_2367[SPCC], B191) &gt; 0, EPP_2367[[#Headers],[SPCC]],
   COUNTIF(Herramientas_de_izaje2468[Herramientas_de_izaje], B191) &gt; 0, Herramientas_de_izaje2468[[#Headers],[Herramientas_de_izaje]],
COUNTIF(Tabla162670[Equipos], B191) &gt; 0, Tabla162670[[#Headers],[Equipos]],
    TRUE, "Sin clasificación"
)</f>
        <v>Sin clasificación</v>
      </c>
      <c r="G191" s="15"/>
      <c r="H191" s="47"/>
      <c r="I191" s="87"/>
      <c r="J191" s="78"/>
      <c r="K191" s="78"/>
      <c r="L191" s="78"/>
      <c r="M191" s="78"/>
      <c r="N191" s="76"/>
      <c r="O191" s="76"/>
      <c r="P191" s="78" t="str">
        <f>_xlfn.LET(
    _xlpm.itemBuscado, B191,
    _xlpm.areaBuscada, C191,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TEXT(COUNTIF($C$2:C191, _xlpm.areaBuscada), "0000"),
    _xlpm.codItem &amp; "-" &amp; _xlpm.codArea &amp; "-" &amp; _xlpm.secuencia
)</f>
        <v>-SinArea-0000</v>
      </c>
      <c r="Q191" s="77"/>
      <c r="R191" s="32"/>
      <c r="S191" s="32"/>
      <c r="T191" s="32"/>
      <c r="U191" s="32"/>
    </row>
    <row r="192" spans="3:21" x14ac:dyDescent="0.3">
      <c r="C192" s="11"/>
      <c r="D192" s="32"/>
      <c r="E192" s="11" t="str" cm="1">
        <f t="array" ref="E192">_xlfn.IFS(
    COUNTIF(Herramientas_eléctricas1862[Herramientas_eléctricas], B192) &gt; 0, Herramientas_eléctricas1862[[#Headers],[Herramientas_eléctricas]],
    COUNTIF(Herramientas_neumáticas1963[Herramientas_neumáticas], B192) &gt; 0, Herramientas_neumáticas1963[[#Headers],[Herramientas_neumáticas]],
    COUNTIF(Herramientas_de_medición2064[Herramientas_de_medición], B192) &gt; 0, Herramientas_de_medición2064[[#Headers],[Herramientas_de_medición]],
    COUNTIF(Herrramientas_mecánicas2165[Herramientas_mecánicas], B192) &gt; 0, Herrramientas_mecánicas2165[[#Headers],[Herramientas_mecánicas]],
    COUNTIF(AK192:AK198, B192) &gt; 0, Herramientas_hidráulicas2266[[#Headers],[Herramientas_hidráulicas]],
    COUNTIF(EPP_2367[SPCC], B192) &gt; 0, EPP_2367[[#Headers],[SPCC]],
   COUNTIF(Herramientas_de_izaje2468[Herramientas_de_izaje], B192) &gt; 0, Herramientas_de_izaje2468[[#Headers],[Herramientas_de_izaje]],
COUNTIF(Tabla162670[Equipos], B192) &gt; 0, Tabla162670[[#Headers],[Equipos]],
    TRUE, "Sin clasificación"
)</f>
        <v>Sin clasificación</v>
      </c>
      <c r="G192" s="15"/>
      <c r="H192" s="47"/>
      <c r="I192" s="87"/>
      <c r="J192" s="78"/>
      <c r="K192" s="78"/>
      <c r="L192" s="78"/>
      <c r="M192" s="78"/>
      <c r="N192" s="76"/>
      <c r="O192" s="76"/>
      <c r="P192" s="78" t="str">
        <f>_xlfn.LET(
    _xlpm.itemBuscado, B192,
    _xlpm.areaBuscada, C192,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TEXT(COUNTIF($C$2:C192, _xlpm.areaBuscada), "0000"),
    _xlpm.codItem &amp; "-" &amp; _xlpm.codArea &amp; "-" &amp; _xlpm.secuencia
)</f>
        <v>-SinArea-0000</v>
      </c>
      <c r="Q192" s="77"/>
      <c r="R192" s="32"/>
      <c r="S192" s="32"/>
      <c r="T192" s="32"/>
      <c r="U192" s="32"/>
    </row>
    <row r="193" spans="3:21" x14ac:dyDescent="0.3">
      <c r="C193" s="11"/>
      <c r="D193" s="32"/>
      <c r="E193" s="11" t="str" cm="1">
        <f t="array" ref="E193">_xlfn.IFS(
    COUNTIF(Herramientas_eléctricas1862[Herramientas_eléctricas], B193) &gt; 0, Herramientas_eléctricas1862[[#Headers],[Herramientas_eléctricas]],
    COUNTIF(Herramientas_neumáticas1963[Herramientas_neumáticas], B193) &gt; 0, Herramientas_neumáticas1963[[#Headers],[Herramientas_neumáticas]],
    COUNTIF(Herramientas_de_medición2064[Herramientas_de_medición], B193) &gt; 0, Herramientas_de_medición2064[[#Headers],[Herramientas_de_medición]],
    COUNTIF(Herrramientas_mecánicas2165[Herramientas_mecánicas], B193) &gt; 0, Herrramientas_mecánicas2165[[#Headers],[Herramientas_mecánicas]],
    COUNTIF(AK193:AK199, B193) &gt; 0, Herramientas_hidráulicas2266[[#Headers],[Herramientas_hidráulicas]],
    COUNTIF(EPP_2367[SPCC], B193) &gt; 0, EPP_2367[[#Headers],[SPCC]],
   COUNTIF(Herramientas_de_izaje2468[Herramientas_de_izaje], B193) &gt; 0, Herramientas_de_izaje2468[[#Headers],[Herramientas_de_izaje]],
COUNTIF(Tabla162670[Equipos], B193) &gt; 0, Tabla162670[[#Headers],[Equipos]],
    TRUE, "Sin clasificación"
)</f>
        <v>Sin clasificación</v>
      </c>
      <c r="G193" s="15"/>
      <c r="H193" s="47"/>
      <c r="I193" s="87"/>
      <c r="J193" s="78"/>
      <c r="K193" s="78"/>
      <c r="L193" s="78"/>
      <c r="M193" s="78"/>
      <c r="N193" s="76"/>
      <c r="O193" s="76"/>
      <c r="P193" s="78" t="str">
        <f>_xlfn.LET(
    _xlpm.itemBuscado, B193,
    _xlpm.areaBuscada, C193,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TEXT(COUNTIF($C$2:C193, _xlpm.areaBuscada), "0000"),
    _xlpm.codItem &amp; "-" &amp; _xlpm.codArea &amp; "-" &amp; _xlpm.secuencia
)</f>
        <v>-SinArea-0000</v>
      </c>
      <c r="Q193" s="77"/>
      <c r="R193" s="32"/>
      <c r="S193" s="32"/>
      <c r="T193" s="32"/>
      <c r="U193" s="32"/>
    </row>
    <row r="194" spans="3:21" x14ac:dyDescent="0.3">
      <c r="C194" s="11"/>
      <c r="D194" s="32"/>
      <c r="E194" s="11" t="str" cm="1">
        <f t="array" ref="E194">_xlfn.IFS(
    COUNTIF(Herramientas_eléctricas1862[Herramientas_eléctricas], B194) &gt; 0, Herramientas_eléctricas1862[[#Headers],[Herramientas_eléctricas]],
    COUNTIF(Herramientas_neumáticas1963[Herramientas_neumáticas], B194) &gt; 0, Herramientas_neumáticas1963[[#Headers],[Herramientas_neumáticas]],
    COUNTIF(Herramientas_de_medición2064[Herramientas_de_medición], B194) &gt; 0, Herramientas_de_medición2064[[#Headers],[Herramientas_de_medición]],
    COUNTIF(Herrramientas_mecánicas2165[Herramientas_mecánicas], B194) &gt; 0, Herrramientas_mecánicas2165[[#Headers],[Herramientas_mecánicas]],
    COUNTIF(AK194:AK200, B194) &gt; 0, Herramientas_hidráulicas2266[[#Headers],[Herramientas_hidráulicas]],
    COUNTIF(EPP_2367[SPCC], B194) &gt; 0, EPP_2367[[#Headers],[SPCC]],
   COUNTIF(Herramientas_de_izaje2468[Herramientas_de_izaje], B194) &gt; 0, Herramientas_de_izaje2468[[#Headers],[Herramientas_de_izaje]],
COUNTIF(Tabla162670[Equipos], B194) &gt; 0, Tabla162670[[#Headers],[Equipos]],
    TRUE, "Sin clasificación"
)</f>
        <v>Sin clasificación</v>
      </c>
      <c r="G194" s="15"/>
      <c r="H194" s="47"/>
      <c r="I194" s="87"/>
      <c r="J194" s="78"/>
      <c r="K194" s="78"/>
      <c r="L194" s="78"/>
      <c r="M194" s="78"/>
      <c r="N194" s="76"/>
      <c r="O194" s="76"/>
      <c r="P194" s="78" t="str">
        <f>_xlfn.LET(
    _xlpm.itemBuscado, B194,
    _xlpm.areaBuscada, C194,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TEXT(COUNTIF($C$2:C194, _xlpm.areaBuscada), "0000"),
    _xlpm.codItem &amp; "-" &amp; _xlpm.codArea &amp; "-" &amp; _xlpm.secuencia
)</f>
        <v>-SinArea-0000</v>
      </c>
      <c r="Q194" s="77"/>
      <c r="R194" s="32"/>
      <c r="S194" s="32"/>
      <c r="T194" s="32"/>
      <c r="U194" s="32"/>
    </row>
    <row r="195" spans="3:21" x14ac:dyDescent="0.3">
      <c r="C195" s="11"/>
      <c r="D195" s="32"/>
      <c r="E195" s="11" t="str" cm="1">
        <f t="array" ref="E195">_xlfn.IFS(
    COUNTIF(Herramientas_eléctricas1862[Herramientas_eléctricas], B195) &gt; 0, Herramientas_eléctricas1862[[#Headers],[Herramientas_eléctricas]],
    COUNTIF(Herramientas_neumáticas1963[Herramientas_neumáticas], B195) &gt; 0, Herramientas_neumáticas1963[[#Headers],[Herramientas_neumáticas]],
    COUNTIF(Herramientas_de_medición2064[Herramientas_de_medición], B195) &gt; 0, Herramientas_de_medición2064[[#Headers],[Herramientas_de_medición]],
    COUNTIF(Herrramientas_mecánicas2165[Herramientas_mecánicas], B195) &gt; 0, Herrramientas_mecánicas2165[[#Headers],[Herramientas_mecánicas]],
    COUNTIF(AK195:AK201, B195) &gt; 0, Herramientas_hidráulicas2266[[#Headers],[Herramientas_hidráulicas]],
    COUNTIF(EPP_2367[SPCC], B195) &gt; 0, EPP_2367[[#Headers],[SPCC]],
   COUNTIF(Herramientas_de_izaje2468[Herramientas_de_izaje], B195) &gt; 0, Herramientas_de_izaje2468[[#Headers],[Herramientas_de_izaje]],
COUNTIF(Tabla162670[Equipos], B195) &gt; 0, Tabla162670[[#Headers],[Equipos]],
    TRUE, "Sin clasificación"
)</f>
        <v>Sin clasificación</v>
      </c>
      <c r="G195" s="15"/>
      <c r="H195" s="47"/>
      <c r="I195" s="87"/>
      <c r="J195" s="78"/>
      <c r="K195" s="78"/>
      <c r="L195" s="78"/>
      <c r="M195" s="78"/>
      <c r="N195" s="76"/>
      <c r="O195" s="76"/>
      <c r="P195" s="78" t="str">
        <f>_xlfn.LET(
    _xlpm.itemBuscado, B195,
    _xlpm.areaBuscada, C195,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TEXT(COUNTIF($C$2:C195, _xlpm.areaBuscada), "0000"),
    _xlpm.codItem &amp; "-" &amp; _xlpm.codArea &amp; "-" &amp; _xlpm.secuencia
)</f>
        <v>-SinArea-0000</v>
      </c>
      <c r="Q195" s="77"/>
      <c r="R195" s="32"/>
      <c r="S195" s="32"/>
      <c r="T195" s="32"/>
      <c r="U195" s="32"/>
    </row>
    <row r="196" spans="3:21" x14ac:dyDescent="0.3">
      <c r="C196" s="11"/>
      <c r="D196" s="32"/>
      <c r="E196" s="11" t="str" cm="1">
        <f t="array" ref="E196">_xlfn.IFS(
    COUNTIF(Herramientas_eléctricas1862[Herramientas_eléctricas], B196) &gt; 0, Herramientas_eléctricas1862[[#Headers],[Herramientas_eléctricas]],
    COUNTIF(Herramientas_neumáticas1963[Herramientas_neumáticas], B196) &gt; 0, Herramientas_neumáticas1963[[#Headers],[Herramientas_neumáticas]],
    COUNTIF(Herramientas_de_medición2064[Herramientas_de_medición], B196) &gt; 0, Herramientas_de_medición2064[[#Headers],[Herramientas_de_medición]],
    COUNTIF(Herrramientas_mecánicas2165[Herramientas_mecánicas], B196) &gt; 0, Herrramientas_mecánicas2165[[#Headers],[Herramientas_mecánicas]],
    COUNTIF(AK196:AK202, B196) &gt; 0, Herramientas_hidráulicas2266[[#Headers],[Herramientas_hidráulicas]],
    COUNTIF(EPP_2367[SPCC], B196) &gt; 0, EPP_2367[[#Headers],[SPCC]],
   COUNTIF(Herramientas_de_izaje2468[Herramientas_de_izaje], B196) &gt; 0, Herramientas_de_izaje2468[[#Headers],[Herramientas_de_izaje]],
COUNTIF(Tabla162670[Equipos], B196) &gt; 0, Tabla162670[[#Headers],[Equipos]],
    TRUE, "Sin clasificación"
)</f>
        <v>Sin clasificación</v>
      </c>
      <c r="G196" s="15"/>
      <c r="H196" s="47"/>
      <c r="I196" s="87"/>
      <c r="J196" s="78"/>
      <c r="K196" s="78"/>
      <c r="L196" s="78"/>
      <c r="M196" s="78"/>
      <c r="N196" s="76"/>
      <c r="O196" s="76"/>
      <c r="P196" s="78" t="str">
        <f>_xlfn.LET(
    _xlpm.itemBuscado, B196,
    _xlpm.areaBuscada, C196,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TEXT(COUNTIF($C$2:C196, _xlpm.areaBuscada), "0000"),
    _xlpm.codItem &amp; "-" &amp; _xlpm.codArea &amp; "-" &amp; _xlpm.secuencia
)</f>
        <v>-SinArea-0000</v>
      </c>
      <c r="Q196" s="77"/>
      <c r="R196" s="32"/>
      <c r="S196" s="32"/>
      <c r="T196" s="32"/>
      <c r="U196" s="32"/>
    </row>
    <row r="197" spans="3:21" x14ac:dyDescent="0.3">
      <c r="C197" s="11"/>
      <c r="D197" s="32"/>
      <c r="E197" s="11" t="str" cm="1">
        <f t="array" ref="E197">_xlfn.IFS(
    COUNTIF(Herramientas_eléctricas1862[Herramientas_eléctricas], B197) &gt; 0, Herramientas_eléctricas1862[[#Headers],[Herramientas_eléctricas]],
    COUNTIF(Herramientas_neumáticas1963[Herramientas_neumáticas], B197) &gt; 0, Herramientas_neumáticas1963[[#Headers],[Herramientas_neumáticas]],
    COUNTIF(Herramientas_de_medición2064[Herramientas_de_medición], B197) &gt; 0, Herramientas_de_medición2064[[#Headers],[Herramientas_de_medición]],
    COUNTIF(Herrramientas_mecánicas2165[Herramientas_mecánicas], B197) &gt; 0, Herrramientas_mecánicas2165[[#Headers],[Herramientas_mecánicas]],
    COUNTIF(AK197:AK203, B197) &gt; 0, Herramientas_hidráulicas2266[[#Headers],[Herramientas_hidráulicas]],
    COUNTIF(EPP_2367[SPCC], B197) &gt; 0, EPP_2367[[#Headers],[SPCC]],
   COUNTIF(Herramientas_de_izaje2468[Herramientas_de_izaje], B197) &gt; 0, Herramientas_de_izaje2468[[#Headers],[Herramientas_de_izaje]],
COUNTIF(Tabla162670[Equipos], B197) &gt; 0, Tabla162670[[#Headers],[Equipos]],
    TRUE, "Sin clasificación"
)</f>
        <v>Sin clasificación</v>
      </c>
      <c r="G197" s="15"/>
      <c r="H197" s="47"/>
      <c r="I197" s="87"/>
      <c r="J197" s="78"/>
      <c r="K197" s="78"/>
      <c r="L197" s="78"/>
      <c r="M197" s="78"/>
      <c r="N197" s="76"/>
      <c r="O197" s="76"/>
      <c r="P197" s="78" t="str">
        <f>_xlfn.LET(
    _xlpm.itemBuscado, B197,
    _xlpm.areaBuscada, C197,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TEXT(COUNTIF($C$2:C197, _xlpm.areaBuscada), "0000"),
    _xlpm.codItem &amp; "-" &amp; _xlpm.codArea &amp; "-" &amp; _xlpm.secuencia
)</f>
        <v>-SinArea-0000</v>
      </c>
      <c r="Q197" s="77"/>
      <c r="R197" s="32"/>
      <c r="S197" s="32"/>
      <c r="T197" s="32"/>
      <c r="U197" s="32"/>
    </row>
    <row r="198" spans="3:21" x14ac:dyDescent="0.3">
      <c r="C198" s="11"/>
      <c r="D198" s="32"/>
      <c r="E198" s="11" t="str" cm="1">
        <f t="array" ref="E198">_xlfn.IFS(
    COUNTIF(Herramientas_eléctricas1862[Herramientas_eléctricas], B198) &gt; 0, Herramientas_eléctricas1862[[#Headers],[Herramientas_eléctricas]],
    COUNTIF(Herramientas_neumáticas1963[Herramientas_neumáticas], B198) &gt; 0, Herramientas_neumáticas1963[[#Headers],[Herramientas_neumáticas]],
    COUNTIF(Herramientas_de_medición2064[Herramientas_de_medición], B198) &gt; 0, Herramientas_de_medición2064[[#Headers],[Herramientas_de_medición]],
    COUNTIF(Herrramientas_mecánicas2165[Herramientas_mecánicas], B198) &gt; 0, Herrramientas_mecánicas2165[[#Headers],[Herramientas_mecánicas]],
    COUNTIF(AK198:AK204, B198) &gt; 0, Herramientas_hidráulicas2266[[#Headers],[Herramientas_hidráulicas]],
    COUNTIF(EPP_2367[SPCC], B198) &gt; 0, EPP_2367[[#Headers],[SPCC]],
   COUNTIF(Herramientas_de_izaje2468[Herramientas_de_izaje], B198) &gt; 0, Herramientas_de_izaje2468[[#Headers],[Herramientas_de_izaje]],
COUNTIF(Tabla162670[Equipos], B198) &gt; 0, Tabla162670[[#Headers],[Equipos]],
    TRUE, "Sin clasificación"
)</f>
        <v>Sin clasificación</v>
      </c>
      <c r="G198" s="15"/>
      <c r="H198" s="47"/>
      <c r="I198" s="87"/>
      <c r="J198" s="78"/>
      <c r="K198" s="78"/>
      <c r="L198" s="78"/>
      <c r="M198" s="78"/>
      <c r="N198" s="76"/>
      <c r="O198" s="76"/>
      <c r="P198" s="78" t="str">
        <f>_xlfn.LET(
    _xlpm.itemBuscado, B198,
    _xlpm.areaBuscada, C198,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TEXT(COUNTIF($C$2:C198, _xlpm.areaBuscada), "0000"),
    _xlpm.codItem &amp; "-" &amp; _xlpm.codArea &amp; "-" &amp; _xlpm.secuencia
)</f>
        <v>-SinArea-0000</v>
      </c>
      <c r="Q198" s="77"/>
      <c r="R198" s="32"/>
      <c r="S198" s="32"/>
      <c r="T198" s="32"/>
      <c r="U198" s="32"/>
    </row>
    <row r="199" spans="3:21" x14ac:dyDescent="0.3">
      <c r="C199" s="11"/>
      <c r="D199" s="32"/>
      <c r="E199" s="11" t="str" cm="1">
        <f t="array" ref="E199">_xlfn.IFS(
    COUNTIF(Herramientas_eléctricas1862[Herramientas_eléctricas], B199) &gt; 0, Herramientas_eléctricas1862[[#Headers],[Herramientas_eléctricas]],
    COUNTIF(Herramientas_neumáticas1963[Herramientas_neumáticas], B199) &gt; 0, Herramientas_neumáticas1963[[#Headers],[Herramientas_neumáticas]],
    COUNTIF(Herramientas_de_medición2064[Herramientas_de_medición], B199) &gt; 0, Herramientas_de_medición2064[[#Headers],[Herramientas_de_medición]],
    COUNTIF(Herrramientas_mecánicas2165[Herramientas_mecánicas], B199) &gt; 0, Herrramientas_mecánicas2165[[#Headers],[Herramientas_mecánicas]],
    COUNTIF(AK199:AK205, B199) &gt; 0, Herramientas_hidráulicas2266[[#Headers],[Herramientas_hidráulicas]],
    COUNTIF(EPP_2367[SPCC], B199) &gt; 0, EPP_2367[[#Headers],[SPCC]],
   COUNTIF(Herramientas_de_izaje2468[Herramientas_de_izaje], B199) &gt; 0, Herramientas_de_izaje2468[[#Headers],[Herramientas_de_izaje]],
COUNTIF(Tabla162670[Equipos], B199) &gt; 0, Tabla162670[[#Headers],[Equipos]],
    TRUE, "Sin clasificación"
)</f>
        <v>Sin clasificación</v>
      </c>
      <c r="G199" s="15"/>
      <c r="H199" s="47"/>
      <c r="I199" s="87"/>
      <c r="J199" s="78"/>
      <c r="K199" s="78"/>
      <c r="L199" s="78"/>
      <c r="M199" s="78"/>
      <c r="N199" s="76"/>
      <c r="O199" s="76"/>
      <c r="P199" s="78" t="str">
        <f>_xlfn.LET(
    _xlpm.itemBuscado, B199,
    _xlpm.areaBuscada, C199,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TEXT(COUNTIF($C$2:C199, _xlpm.areaBuscada), "0000"),
    _xlpm.codItem &amp; "-" &amp; _xlpm.codArea &amp; "-" &amp; _xlpm.secuencia
)</f>
        <v>-SinArea-0000</v>
      </c>
      <c r="Q199" s="77"/>
      <c r="R199" s="32"/>
      <c r="S199" s="32"/>
      <c r="T199" s="32"/>
      <c r="U199" s="32"/>
    </row>
    <row r="200" spans="3:21" x14ac:dyDescent="0.3">
      <c r="C200" s="11"/>
      <c r="D200" s="32"/>
      <c r="E200" s="11" t="str" cm="1">
        <f t="array" ref="E200">_xlfn.IFS(
    COUNTIF(Herramientas_eléctricas1862[Herramientas_eléctricas], B200) &gt; 0, Herramientas_eléctricas1862[[#Headers],[Herramientas_eléctricas]],
    COUNTIF(Herramientas_neumáticas1963[Herramientas_neumáticas], B200) &gt; 0, Herramientas_neumáticas1963[[#Headers],[Herramientas_neumáticas]],
    COUNTIF(Herramientas_de_medición2064[Herramientas_de_medición], B200) &gt; 0, Herramientas_de_medición2064[[#Headers],[Herramientas_de_medición]],
    COUNTIF(Herrramientas_mecánicas2165[Herramientas_mecánicas], B200) &gt; 0, Herrramientas_mecánicas2165[[#Headers],[Herramientas_mecánicas]],
    COUNTIF(AK200:AK206, B200) &gt; 0, Herramientas_hidráulicas2266[[#Headers],[Herramientas_hidráulicas]],
    COUNTIF(EPP_2367[SPCC], B200) &gt; 0, EPP_2367[[#Headers],[SPCC]],
   COUNTIF(Herramientas_de_izaje2468[Herramientas_de_izaje], B200) &gt; 0, Herramientas_de_izaje2468[[#Headers],[Herramientas_de_izaje]],
COUNTIF(Tabla162670[Equipos], B200) &gt; 0, Tabla162670[[#Headers],[Equipos]],
    TRUE, "Sin clasificación"
)</f>
        <v>Sin clasificación</v>
      </c>
      <c r="G200" s="15"/>
      <c r="H200" s="47"/>
      <c r="I200" s="87"/>
      <c r="J200" s="78"/>
      <c r="K200" s="78"/>
      <c r="L200" s="78"/>
      <c r="M200" s="78"/>
      <c r="N200" s="76"/>
      <c r="O200" s="76"/>
      <c r="P200" s="78" t="str">
        <f>_xlfn.LET(
    _xlpm.itemBuscado, B200,
    _xlpm.areaBuscada, C200,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TEXT(COUNTIF($C$2:C200, _xlpm.areaBuscada), "0000"),
    _xlpm.codItem &amp; "-" &amp; _xlpm.codArea &amp; "-" &amp; _xlpm.secuencia
)</f>
        <v>-SinArea-0000</v>
      </c>
      <c r="Q200" s="77"/>
      <c r="R200" s="32"/>
      <c r="S200" s="32"/>
      <c r="T200" s="32"/>
      <c r="U200" s="32"/>
    </row>
    <row r="201" spans="3:21" x14ac:dyDescent="0.3">
      <c r="C201" s="11"/>
      <c r="D201" s="32"/>
      <c r="E201" s="11" t="str" cm="1">
        <f t="array" ref="E201">_xlfn.IFS(
    COUNTIF(Herramientas_eléctricas1862[Herramientas_eléctricas], B201) &gt; 0, Herramientas_eléctricas1862[[#Headers],[Herramientas_eléctricas]],
    COUNTIF(Herramientas_neumáticas1963[Herramientas_neumáticas], B201) &gt; 0, Herramientas_neumáticas1963[[#Headers],[Herramientas_neumáticas]],
    COUNTIF(Herramientas_de_medición2064[Herramientas_de_medición], B201) &gt; 0, Herramientas_de_medición2064[[#Headers],[Herramientas_de_medición]],
    COUNTIF(Herrramientas_mecánicas2165[Herramientas_mecánicas], B201) &gt; 0, Herrramientas_mecánicas2165[[#Headers],[Herramientas_mecánicas]],
    COUNTIF(AK201:AK207, B201) &gt; 0, Herramientas_hidráulicas2266[[#Headers],[Herramientas_hidráulicas]],
    COUNTIF(EPP_2367[SPCC], B201) &gt; 0, EPP_2367[[#Headers],[SPCC]],
   COUNTIF(Herramientas_de_izaje2468[Herramientas_de_izaje], B201) &gt; 0, Herramientas_de_izaje2468[[#Headers],[Herramientas_de_izaje]],
COUNTIF(Tabla162670[Equipos], B201) &gt; 0, Tabla162670[[#Headers],[Equipos]],
    TRUE, "Sin clasificación"
)</f>
        <v>Sin clasificación</v>
      </c>
      <c r="G201" s="15"/>
      <c r="H201" s="47"/>
      <c r="I201" s="87"/>
      <c r="J201" s="78"/>
      <c r="K201" s="78"/>
      <c r="L201" s="78"/>
      <c r="M201" s="78"/>
      <c r="N201" s="76"/>
      <c r="O201" s="76"/>
      <c r="P201" s="78" t="str">
        <f>_xlfn.LET(
    _xlpm.itemBuscado, B201,
    _xlpm.areaBuscada, C201,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TEXT(COUNTIF($C$2:C201, _xlpm.areaBuscada), "0000"),
    _xlpm.codItem &amp; "-" &amp; _xlpm.codArea &amp; "-" &amp; _xlpm.secuencia
)</f>
        <v>-SinArea-0000</v>
      </c>
      <c r="Q201" s="77"/>
      <c r="R201" s="32"/>
      <c r="S201" s="32"/>
      <c r="T201" s="32"/>
      <c r="U201" s="32"/>
    </row>
    <row r="202" spans="3:21" x14ac:dyDescent="0.3">
      <c r="C202" s="11"/>
      <c r="D202" s="32"/>
      <c r="E202" s="11" t="str" cm="1">
        <f t="array" ref="E202">_xlfn.IFS(
    COUNTIF(Herramientas_eléctricas1862[Herramientas_eléctricas], B202) &gt; 0, Herramientas_eléctricas1862[[#Headers],[Herramientas_eléctricas]],
    COUNTIF(Herramientas_neumáticas1963[Herramientas_neumáticas], B202) &gt; 0, Herramientas_neumáticas1963[[#Headers],[Herramientas_neumáticas]],
    COUNTIF(Herramientas_de_medición2064[Herramientas_de_medición], B202) &gt; 0, Herramientas_de_medición2064[[#Headers],[Herramientas_de_medición]],
    COUNTIF(Herrramientas_mecánicas2165[Herramientas_mecánicas], B202) &gt; 0, Herrramientas_mecánicas2165[[#Headers],[Herramientas_mecánicas]],
    COUNTIF(AK202:AK208, B202) &gt; 0, Herramientas_hidráulicas2266[[#Headers],[Herramientas_hidráulicas]],
    COUNTIF(EPP_2367[SPCC], B202) &gt; 0, EPP_2367[[#Headers],[SPCC]],
   COUNTIF(Herramientas_de_izaje2468[Herramientas_de_izaje], B202) &gt; 0, Herramientas_de_izaje2468[[#Headers],[Herramientas_de_izaje]],
COUNTIF(Tabla162670[Equipos], B202) &gt; 0, Tabla162670[[#Headers],[Equipos]],
    TRUE, "Sin clasificación"
)</f>
        <v>Sin clasificación</v>
      </c>
      <c r="G202" s="15"/>
      <c r="H202" s="47"/>
      <c r="I202" s="87"/>
      <c r="J202" s="78"/>
      <c r="K202" s="78"/>
      <c r="L202" s="78"/>
      <c r="M202" s="78"/>
      <c r="N202" s="76"/>
      <c r="O202" s="76"/>
      <c r="P202" s="78" t="str">
        <f>_xlfn.LET(
    _xlpm.itemBuscado, B202,
    _xlpm.areaBuscada, C202,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TEXT(COUNTIF($C$2:C202, _xlpm.areaBuscada), "0000"),
    _xlpm.codItem &amp; "-" &amp; _xlpm.codArea &amp; "-" &amp; _xlpm.secuencia
)</f>
        <v>-SinArea-0000</v>
      </c>
      <c r="Q202" s="77"/>
      <c r="R202" s="32"/>
      <c r="S202" s="32"/>
      <c r="T202" s="32"/>
      <c r="U202" s="32"/>
    </row>
    <row r="203" spans="3:21" x14ac:dyDescent="0.3">
      <c r="C203" s="11"/>
      <c r="D203" s="32"/>
      <c r="E203" s="11" t="str" cm="1">
        <f t="array" ref="E203">_xlfn.IFS(
    COUNTIF(Herramientas_eléctricas1862[Herramientas_eléctricas], B203) &gt; 0, Herramientas_eléctricas1862[[#Headers],[Herramientas_eléctricas]],
    COUNTIF(Herramientas_neumáticas1963[Herramientas_neumáticas], B203) &gt; 0, Herramientas_neumáticas1963[[#Headers],[Herramientas_neumáticas]],
    COUNTIF(Herramientas_de_medición2064[Herramientas_de_medición], B203) &gt; 0, Herramientas_de_medición2064[[#Headers],[Herramientas_de_medición]],
    COUNTIF(Herrramientas_mecánicas2165[Herramientas_mecánicas], B203) &gt; 0, Herrramientas_mecánicas2165[[#Headers],[Herramientas_mecánicas]],
    COUNTIF(AK203:AK209, B203) &gt; 0, Herramientas_hidráulicas2266[[#Headers],[Herramientas_hidráulicas]],
    COUNTIF(EPP_2367[SPCC], B203) &gt; 0, EPP_2367[[#Headers],[SPCC]],
   COUNTIF(Herramientas_de_izaje2468[Herramientas_de_izaje], B203) &gt; 0, Herramientas_de_izaje2468[[#Headers],[Herramientas_de_izaje]],
COUNTIF(Tabla162670[Equipos], B203) &gt; 0, Tabla162670[[#Headers],[Equipos]],
    TRUE, "Sin clasificación"
)</f>
        <v>Sin clasificación</v>
      </c>
      <c r="G203" s="15"/>
      <c r="H203" s="47"/>
      <c r="I203" s="87"/>
      <c r="J203" s="78"/>
      <c r="K203" s="78"/>
      <c r="L203" s="78"/>
      <c r="M203" s="78"/>
      <c r="N203" s="76"/>
      <c r="O203" s="76"/>
      <c r="P203" s="78" t="str">
        <f>_xlfn.LET(
    _xlpm.itemBuscado, B203,
    _xlpm.areaBuscada, C203,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TEXT(COUNTIF($C$2:C203, _xlpm.areaBuscada), "0000"),
    _xlpm.codItem &amp; "-" &amp; _xlpm.codArea &amp; "-" &amp; _xlpm.secuencia
)</f>
        <v>-SinArea-0000</v>
      </c>
      <c r="Q203" s="77"/>
      <c r="R203" s="32"/>
      <c r="S203" s="32"/>
      <c r="T203" s="32"/>
      <c r="U203" s="32"/>
    </row>
    <row r="204" spans="3:21" x14ac:dyDescent="0.3">
      <c r="C204" s="11"/>
      <c r="D204" s="32"/>
      <c r="E204" s="11" t="str" cm="1">
        <f t="array" ref="E204">_xlfn.IFS(
    COUNTIF(Herramientas_eléctricas1862[Herramientas_eléctricas], B204) &gt; 0, Herramientas_eléctricas1862[[#Headers],[Herramientas_eléctricas]],
    COUNTIF(Herramientas_neumáticas1963[Herramientas_neumáticas], B204) &gt; 0, Herramientas_neumáticas1963[[#Headers],[Herramientas_neumáticas]],
    COUNTIF(Herramientas_de_medición2064[Herramientas_de_medición], B204) &gt; 0, Herramientas_de_medición2064[[#Headers],[Herramientas_de_medición]],
    COUNTIF(Herrramientas_mecánicas2165[Herramientas_mecánicas], B204) &gt; 0, Herrramientas_mecánicas2165[[#Headers],[Herramientas_mecánicas]],
    COUNTIF(AK204:AK210, B204) &gt; 0, Herramientas_hidráulicas2266[[#Headers],[Herramientas_hidráulicas]],
    COUNTIF(EPP_2367[SPCC], B204) &gt; 0, EPP_2367[[#Headers],[SPCC]],
   COUNTIF(Herramientas_de_izaje2468[Herramientas_de_izaje], B204) &gt; 0, Herramientas_de_izaje2468[[#Headers],[Herramientas_de_izaje]],
COUNTIF(Tabla162670[Equipos], B204) &gt; 0, Tabla162670[[#Headers],[Equipos]],
    TRUE, "Sin clasificación"
)</f>
        <v>Sin clasificación</v>
      </c>
      <c r="G204" s="15"/>
      <c r="H204" s="47"/>
      <c r="I204" s="87"/>
      <c r="J204" s="78"/>
      <c r="K204" s="78"/>
      <c r="L204" s="78"/>
      <c r="M204" s="78"/>
      <c r="N204" s="76"/>
      <c r="O204" s="76"/>
      <c r="P204" s="78" t="str">
        <f>_xlfn.LET(
    _xlpm.itemBuscado, B204,
    _xlpm.areaBuscada, C204,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TEXT(COUNTIF($C$2:C204, _xlpm.areaBuscada), "0000"),
    _xlpm.codItem &amp; "-" &amp; _xlpm.codArea &amp; "-" &amp; _xlpm.secuencia
)</f>
        <v>-SinArea-0000</v>
      </c>
      <c r="Q204" s="77"/>
      <c r="R204" s="32"/>
      <c r="S204" s="32"/>
      <c r="T204" s="32"/>
      <c r="U204" s="32"/>
    </row>
    <row r="205" spans="3:21" x14ac:dyDescent="0.3">
      <c r="C205" s="11"/>
      <c r="D205" s="32"/>
      <c r="E205" s="11" t="str" cm="1">
        <f t="array" ref="E205">_xlfn.IFS(
    COUNTIF(Herramientas_eléctricas1862[Herramientas_eléctricas], B205) &gt; 0, Herramientas_eléctricas1862[[#Headers],[Herramientas_eléctricas]],
    COUNTIF(Herramientas_neumáticas1963[Herramientas_neumáticas], B205) &gt; 0, Herramientas_neumáticas1963[[#Headers],[Herramientas_neumáticas]],
    COUNTIF(Herramientas_de_medición2064[Herramientas_de_medición], B205) &gt; 0, Herramientas_de_medición2064[[#Headers],[Herramientas_de_medición]],
    COUNTIF(Herrramientas_mecánicas2165[Herramientas_mecánicas], B205) &gt; 0, Herrramientas_mecánicas2165[[#Headers],[Herramientas_mecánicas]],
    COUNTIF(AK205:AK211, B205) &gt; 0, Herramientas_hidráulicas2266[[#Headers],[Herramientas_hidráulicas]],
    COUNTIF(EPP_2367[SPCC], B205) &gt; 0, EPP_2367[[#Headers],[SPCC]],
   COUNTIF(Herramientas_de_izaje2468[Herramientas_de_izaje], B205) &gt; 0, Herramientas_de_izaje2468[[#Headers],[Herramientas_de_izaje]],
COUNTIF(Tabla162670[Equipos], B205) &gt; 0, Tabla162670[[#Headers],[Equipos]],
    TRUE, "Sin clasificación"
)</f>
        <v>Sin clasificación</v>
      </c>
      <c r="G205" s="15"/>
      <c r="H205" s="47"/>
      <c r="I205" s="87"/>
      <c r="J205" s="78"/>
      <c r="K205" s="78"/>
      <c r="L205" s="78"/>
      <c r="M205" s="78"/>
      <c r="N205" s="76"/>
      <c r="O205" s="76"/>
      <c r="P205" s="78" t="str">
        <f>_xlfn.LET(
    _xlpm.itemBuscado, B205,
    _xlpm.areaBuscada, C205,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TEXT(COUNTIF($C$2:C205, _xlpm.areaBuscada), "0000"),
    _xlpm.codItem &amp; "-" &amp; _xlpm.codArea &amp; "-" &amp; _xlpm.secuencia
)</f>
        <v>-SinArea-0000</v>
      </c>
      <c r="Q205" s="77"/>
      <c r="R205" s="32"/>
      <c r="S205" s="32"/>
      <c r="T205" s="32"/>
      <c r="U205" s="32"/>
    </row>
    <row r="206" spans="3:21" x14ac:dyDescent="0.3">
      <c r="C206" s="11"/>
      <c r="D206" s="32"/>
      <c r="E206" s="11" t="str" cm="1">
        <f t="array" ref="E206">_xlfn.IFS(
    COUNTIF(Herramientas_eléctricas1862[Herramientas_eléctricas], B206) &gt; 0, Herramientas_eléctricas1862[[#Headers],[Herramientas_eléctricas]],
    COUNTIF(Herramientas_neumáticas1963[Herramientas_neumáticas], B206) &gt; 0, Herramientas_neumáticas1963[[#Headers],[Herramientas_neumáticas]],
    COUNTIF(Herramientas_de_medición2064[Herramientas_de_medición], B206) &gt; 0, Herramientas_de_medición2064[[#Headers],[Herramientas_de_medición]],
    COUNTIF(Herrramientas_mecánicas2165[Herramientas_mecánicas], B206) &gt; 0, Herrramientas_mecánicas2165[[#Headers],[Herramientas_mecánicas]],
    COUNTIF(AK206:AK212, B206) &gt; 0, Herramientas_hidráulicas2266[[#Headers],[Herramientas_hidráulicas]],
    COUNTIF(EPP_2367[SPCC], B206) &gt; 0, EPP_2367[[#Headers],[SPCC]],
   COUNTIF(Herramientas_de_izaje2468[Herramientas_de_izaje], B206) &gt; 0, Herramientas_de_izaje2468[[#Headers],[Herramientas_de_izaje]],
COUNTIF(Tabla162670[Equipos], B206) &gt; 0, Tabla162670[[#Headers],[Equipos]],
    TRUE, "Sin clasificación"
)</f>
        <v>Sin clasificación</v>
      </c>
      <c r="G206" s="15"/>
      <c r="H206" s="47"/>
      <c r="I206" s="87"/>
      <c r="J206" s="78"/>
      <c r="K206" s="78"/>
      <c r="L206" s="78"/>
      <c r="M206" s="78"/>
      <c r="N206" s="76"/>
      <c r="O206" s="76"/>
      <c r="P206" s="78" t="str">
        <f>_xlfn.LET(
    _xlpm.itemBuscado, B206,
    _xlpm.areaBuscada, C206,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TEXT(COUNTIF($C$2:C206, _xlpm.areaBuscada), "0000"),
    _xlpm.codItem &amp; "-" &amp; _xlpm.codArea &amp; "-" &amp; _xlpm.secuencia
)</f>
        <v>-SinArea-0000</v>
      </c>
      <c r="Q206" s="77"/>
      <c r="R206" s="32"/>
      <c r="S206" s="32"/>
      <c r="T206" s="32"/>
      <c r="U206" s="32"/>
    </row>
    <row r="207" spans="3:21" x14ac:dyDescent="0.3">
      <c r="C207" s="11"/>
      <c r="D207" s="32"/>
      <c r="E207" s="11" t="str" cm="1">
        <f t="array" ref="E207">_xlfn.IFS(
    COUNTIF(Herramientas_eléctricas1862[Herramientas_eléctricas], B207) &gt; 0, Herramientas_eléctricas1862[[#Headers],[Herramientas_eléctricas]],
    COUNTIF(Herramientas_neumáticas1963[Herramientas_neumáticas], B207) &gt; 0, Herramientas_neumáticas1963[[#Headers],[Herramientas_neumáticas]],
    COUNTIF(Herramientas_de_medición2064[Herramientas_de_medición], B207) &gt; 0, Herramientas_de_medición2064[[#Headers],[Herramientas_de_medición]],
    COUNTIF(Herrramientas_mecánicas2165[Herramientas_mecánicas], B207) &gt; 0, Herrramientas_mecánicas2165[[#Headers],[Herramientas_mecánicas]],
    COUNTIF(AK207:AK213, B207) &gt; 0, Herramientas_hidráulicas2266[[#Headers],[Herramientas_hidráulicas]],
    COUNTIF(EPP_2367[SPCC], B207) &gt; 0, EPP_2367[[#Headers],[SPCC]],
   COUNTIF(Herramientas_de_izaje2468[Herramientas_de_izaje], B207) &gt; 0, Herramientas_de_izaje2468[[#Headers],[Herramientas_de_izaje]],
COUNTIF(Tabla162670[Equipos], B207) &gt; 0, Tabla162670[[#Headers],[Equipos]],
    TRUE, "Sin clasificación"
)</f>
        <v>Sin clasificación</v>
      </c>
      <c r="G207" s="15"/>
      <c r="H207" s="47"/>
      <c r="I207" s="87"/>
      <c r="J207" s="78"/>
      <c r="K207" s="78"/>
      <c r="L207" s="78"/>
      <c r="M207" s="78"/>
      <c r="N207" s="76"/>
      <c r="O207" s="76"/>
      <c r="P207" s="78" t="str">
        <f>_xlfn.LET(
    _xlpm.itemBuscado, B207,
    _xlpm.areaBuscada, C207,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TEXT(COUNTIF($C$2:C207, _xlpm.areaBuscada), "0000"),
    _xlpm.codItem &amp; "-" &amp; _xlpm.codArea &amp; "-" &amp; _xlpm.secuencia
)</f>
        <v>-SinArea-0000</v>
      </c>
      <c r="Q207" s="77"/>
      <c r="R207" s="32"/>
      <c r="S207" s="32"/>
      <c r="T207" s="32"/>
      <c r="U207" s="32"/>
    </row>
    <row r="208" spans="3:21" x14ac:dyDescent="0.3">
      <c r="C208" s="11"/>
      <c r="D208" s="32"/>
      <c r="E208" s="11" t="str" cm="1">
        <f t="array" ref="E208">_xlfn.IFS(
    COUNTIF(Herramientas_eléctricas1862[Herramientas_eléctricas], B208) &gt; 0, Herramientas_eléctricas1862[[#Headers],[Herramientas_eléctricas]],
    COUNTIF(Herramientas_neumáticas1963[Herramientas_neumáticas], B208) &gt; 0, Herramientas_neumáticas1963[[#Headers],[Herramientas_neumáticas]],
    COUNTIF(Herramientas_de_medición2064[Herramientas_de_medición], B208) &gt; 0, Herramientas_de_medición2064[[#Headers],[Herramientas_de_medición]],
    COUNTIF(Herrramientas_mecánicas2165[Herramientas_mecánicas], B208) &gt; 0, Herrramientas_mecánicas2165[[#Headers],[Herramientas_mecánicas]],
    COUNTIF(AK208:AK214, B208) &gt; 0, Herramientas_hidráulicas2266[[#Headers],[Herramientas_hidráulicas]],
    COUNTIF(EPP_2367[SPCC], B208) &gt; 0, EPP_2367[[#Headers],[SPCC]],
   COUNTIF(Herramientas_de_izaje2468[Herramientas_de_izaje], B208) &gt; 0, Herramientas_de_izaje2468[[#Headers],[Herramientas_de_izaje]],
COUNTIF(Tabla162670[Equipos], B208) &gt; 0, Tabla162670[[#Headers],[Equipos]],
    TRUE, "Sin clasificación"
)</f>
        <v>Sin clasificación</v>
      </c>
      <c r="G208" s="15"/>
      <c r="H208" s="47"/>
      <c r="I208" s="87"/>
      <c r="J208" s="78"/>
      <c r="K208" s="78"/>
      <c r="L208" s="78"/>
      <c r="M208" s="78"/>
      <c r="N208" s="76"/>
      <c r="O208" s="76"/>
      <c r="P208" s="78" t="str">
        <f>_xlfn.LET(
    _xlpm.itemBuscado, B208,
    _xlpm.areaBuscada, C208,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TEXT(COUNTIF($C$2:C208, _xlpm.areaBuscada), "0000"),
    _xlpm.codItem &amp; "-" &amp; _xlpm.codArea &amp; "-" &amp; _xlpm.secuencia
)</f>
        <v>-SinArea-0000</v>
      </c>
      <c r="Q208" s="77"/>
      <c r="R208" s="32"/>
      <c r="S208" s="32"/>
      <c r="T208" s="32"/>
      <c r="U208" s="32"/>
    </row>
    <row r="209" spans="3:21" x14ac:dyDescent="0.3">
      <c r="C209" s="11"/>
      <c r="D209" s="32"/>
      <c r="E209" s="11" t="str" cm="1">
        <f t="array" ref="E209">_xlfn.IFS(
    COUNTIF(Herramientas_eléctricas1862[Herramientas_eléctricas], B209) &gt; 0, Herramientas_eléctricas1862[[#Headers],[Herramientas_eléctricas]],
    COUNTIF(Herramientas_neumáticas1963[Herramientas_neumáticas], B209) &gt; 0, Herramientas_neumáticas1963[[#Headers],[Herramientas_neumáticas]],
    COUNTIF(Herramientas_de_medición2064[Herramientas_de_medición], B209) &gt; 0, Herramientas_de_medición2064[[#Headers],[Herramientas_de_medición]],
    COUNTIF(Herrramientas_mecánicas2165[Herramientas_mecánicas], B209) &gt; 0, Herrramientas_mecánicas2165[[#Headers],[Herramientas_mecánicas]],
    COUNTIF(AK209:AK215, B209) &gt; 0, Herramientas_hidráulicas2266[[#Headers],[Herramientas_hidráulicas]],
    COUNTIF(EPP_2367[SPCC], B209) &gt; 0, EPP_2367[[#Headers],[SPCC]],
   COUNTIF(Herramientas_de_izaje2468[Herramientas_de_izaje], B209) &gt; 0, Herramientas_de_izaje2468[[#Headers],[Herramientas_de_izaje]],
COUNTIF(Tabla162670[Equipos], B209) &gt; 0, Tabla162670[[#Headers],[Equipos]],
    TRUE, "Sin clasificación"
)</f>
        <v>Sin clasificación</v>
      </c>
      <c r="G209" s="15"/>
      <c r="H209" s="47"/>
      <c r="I209" s="87"/>
      <c r="J209" s="78"/>
      <c r="K209" s="78"/>
      <c r="L209" s="78"/>
      <c r="M209" s="78"/>
      <c r="N209" s="76"/>
      <c r="O209" s="76"/>
      <c r="P209" s="78" t="str">
        <f>_xlfn.LET(
    _xlpm.itemBuscado, B209,
    _xlpm.areaBuscada, C209,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TEXT(COUNTIF($C$2:C209, _xlpm.areaBuscada), "0000"),
    _xlpm.codItem &amp; "-" &amp; _xlpm.codArea &amp; "-" &amp; _xlpm.secuencia
)</f>
        <v>-SinArea-0000</v>
      </c>
      <c r="Q209" s="77"/>
      <c r="R209" s="32"/>
      <c r="S209" s="32"/>
      <c r="T209" s="32"/>
      <c r="U209" s="32"/>
    </row>
    <row r="210" spans="3:21" x14ac:dyDescent="0.3">
      <c r="C210" s="11"/>
      <c r="D210" s="32"/>
      <c r="E210" s="11" t="str" cm="1">
        <f t="array" ref="E210">_xlfn.IFS(
    COUNTIF(Herramientas_eléctricas1862[Herramientas_eléctricas], B210) &gt; 0, Herramientas_eléctricas1862[[#Headers],[Herramientas_eléctricas]],
    COUNTIF(Herramientas_neumáticas1963[Herramientas_neumáticas], B210) &gt; 0, Herramientas_neumáticas1963[[#Headers],[Herramientas_neumáticas]],
    COUNTIF(Herramientas_de_medición2064[Herramientas_de_medición], B210) &gt; 0, Herramientas_de_medición2064[[#Headers],[Herramientas_de_medición]],
    COUNTIF(Herrramientas_mecánicas2165[Herramientas_mecánicas], B210) &gt; 0, Herrramientas_mecánicas2165[[#Headers],[Herramientas_mecánicas]],
    COUNTIF(AK210:AK216, B210) &gt; 0, Herramientas_hidráulicas2266[[#Headers],[Herramientas_hidráulicas]],
    COUNTIF(EPP_2367[SPCC], B210) &gt; 0, EPP_2367[[#Headers],[SPCC]],
   COUNTIF(Herramientas_de_izaje2468[Herramientas_de_izaje], B210) &gt; 0, Herramientas_de_izaje2468[[#Headers],[Herramientas_de_izaje]],
COUNTIF(Tabla162670[Equipos], B210) &gt; 0, Tabla162670[[#Headers],[Equipos]],
    TRUE, "Sin clasificación"
)</f>
        <v>Sin clasificación</v>
      </c>
      <c r="G210" s="15"/>
      <c r="H210" s="47"/>
      <c r="I210" s="87"/>
      <c r="J210" s="78"/>
      <c r="K210" s="78"/>
      <c r="L210" s="78"/>
      <c r="M210" s="78"/>
      <c r="N210" s="76"/>
      <c r="O210" s="76"/>
      <c r="P210" s="78" t="str">
        <f>_xlfn.LET(
    _xlpm.itemBuscado, B210,
    _xlpm.areaBuscada, C210,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TEXT(COUNTIF($C$2:C210, _xlpm.areaBuscada), "0000"),
    _xlpm.codItem &amp; "-" &amp; _xlpm.codArea &amp; "-" &amp; _xlpm.secuencia
)</f>
        <v>-SinArea-0000</v>
      </c>
      <c r="Q210" s="77"/>
      <c r="R210" s="32"/>
      <c r="S210" s="32"/>
      <c r="T210" s="32"/>
      <c r="U210" s="32"/>
    </row>
    <row r="211" spans="3:21" x14ac:dyDescent="0.3">
      <c r="C211" s="11"/>
      <c r="D211" s="32"/>
      <c r="E211" s="11" t="str" cm="1">
        <f t="array" ref="E211">_xlfn.IFS(
    COUNTIF(Herramientas_eléctricas1862[Herramientas_eléctricas], B211) &gt; 0, Herramientas_eléctricas1862[[#Headers],[Herramientas_eléctricas]],
    COUNTIF(Herramientas_neumáticas1963[Herramientas_neumáticas], B211) &gt; 0, Herramientas_neumáticas1963[[#Headers],[Herramientas_neumáticas]],
    COUNTIF(Herramientas_de_medición2064[Herramientas_de_medición], B211) &gt; 0, Herramientas_de_medición2064[[#Headers],[Herramientas_de_medición]],
    COUNTIF(Herrramientas_mecánicas2165[Herramientas_mecánicas], B211) &gt; 0, Herrramientas_mecánicas2165[[#Headers],[Herramientas_mecánicas]],
    COUNTIF(AK211:AK217, B211) &gt; 0, Herramientas_hidráulicas2266[[#Headers],[Herramientas_hidráulicas]],
    COUNTIF(EPP_2367[SPCC], B211) &gt; 0, EPP_2367[[#Headers],[SPCC]],
   COUNTIF(Herramientas_de_izaje2468[Herramientas_de_izaje], B211) &gt; 0, Herramientas_de_izaje2468[[#Headers],[Herramientas_de_izaje]],
COUNTIF(Tabla162670[Equipos], B211) &gt; 0, Tabla162670[[#Headers],[Equipos]],
    TRUE, "Sin clasificación"
)</f>
        <v>Sin clasificación</v>
      </c>
      <c r="G211" s="15"/>
      <c r="H211" s="47"/>
      <c r="I211" s="87"/>
      <c r="J211" s="78"/>
      <c r="K211" s="78"/>
      <c r="L211" s="78"/>
      <c r="M211" s="78"/>
      <c r="N211" s="76"/>
      <c r="O211" s="76"/>
      <c r="P211" s="78" t="str">
        <f>_xlfn.LET(
    _xlpm.itemBuscado, B211,
    _xlpm.areaBuscada, C211,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TEXT(COUNTIF($C$2:C211, _xlpm.areaBuscada), "0000"),
    _xlpm.codItem &amp; "-" &amp; _xlpm.codArea &amp; "-" &amp; _xlpm.secuencia
)</f>
        <v>-SinArea-0000</v>
      </c>
      <c r="Q211" s="77"/>
      <c r="R211" s="32"/>
      <c r="S211" s="32"/>
      <c r="T211" s="32"/>
      <c r="U211" s="32"/>
    </row>
    <row r="212" spans="3:21" x14ac:dyDescent="0.3">
      <c r="C212" s="11"/>
      <c r="D212" s="32"/>
      <c r="E212" s="11" t="str" cm="1">
        <f t="array" ref="E212">_xlfn.IFS(
    COUNTIF(Herramientas_eléctricas1862[Herramientas_eléctricas], B212) &gt; 0, Herramientas_eléctricas1862[[#Headers],[Herramientas_eléctricas]],
    COUNTIF(Herramientas_neumáticas1963[Herramientas_neumáticas], B212) &gt; 0, Herramientas_neumáticas1963[[#Headers],[Herramientas_neumáticas]],
    COUNTIF(Herramientas_de_medición2064[Herramientas_de_medición], B212) &gt; 0, Herramientas_de_medición2064[[#Headers],[Herramientas_de_medición]],
    COUNTIF(Herrramientas_mecánicas2165[Herramientas_mecánicas], B212) &gt; 0, Herrramientas_mecánicas2165[[#Headers],[Herramientas_mecánicas]],
    COUNTIF(AK212:AK218, B212) &gt; 0, Herramientas_hidráulicas2266[[#Headers],[Herramientas_hidráulicas]],
    COUNTIF(EPP_2367[SPCC], B212) &gt; 0, EPP_2367[[#Headers],[SPCC]],
   COUNTIF(Herramientas_de_izaje2468[Herramientas_de_izaje], B212) &gt; 0, Herramientas_de_izaje2468[[#Headers],[Herramientas_de_izaje]],
COUNTIF(Tabla162670[Equipos], B212) &gt; 0, Tabla162670[[#Headers],[Equipos]],
    TRUE, "Sin clasificación"
)</f>
        <v>Sin clasificación</v>
      </c>
      <c r="G212" s="15"/>
      <c r="H212" s="47"/>
      <c r="I212" s="87"/>
      <c r="J212" s="78"/>
      <c r="K212" s="78"/>
      <c r="L212" s="78"/>
      <c r="M212" s="78"/>
      <c r="N212" s="76"/>
      <c r="O212" s="76"/>
      <c r="P212" s="78" t="str">
        <f>_xlfn.LET(
    _xlpm.itemBuscado, B212,
    _xlpm.areaBuscada, C212,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TEXT(COUNTIF($C$2:C212, _xlpm.areaBuscada), "0000"),
    _xlpm.codItem &amp; "-" &amp; _xlpm.codArea &amp; "-" &amp; _xlpm.secuencia
)</f>
        <v>-SinArea-0000</v>
      </c>
      <c r="Q212" s="77"/>
      <c r="R212" s="32"/>
      <c r="S212" s="32"/>
      <c r="T212" s="32"/>
      <c r="U212" s="32"/>
    </row>
    <row r="213" spans="3:21" x14ac:dyDescent="0.3">
      <c r="C213" s="11"/>
      <c r="D213" s="32"/>
      <c r="E213" s="11" t="str" cm="1">
        <f t="array" ref="E213">_xlfn.IFS(
    COUNTIF(Herramientas_eléctricas1862[Herramientas_eléctricas], B213) &gt; 0, Herramientas_eléctricas1862[[#Headers],[Herramientas_eléctricas]],
    COUNTIF(Herramientas_neumáticas1963[Herramientas_neumáticas], B213) &gt; 0, Herramientas_neumáticas1963[[#Headers],[Herramientas_neumáticas]],
    COUNTIF(Herramientas_de_medición2064[Herramientas_de_medición], B213) &gt; 0, Herramientas_de_medición2064[[#Headers],[Herramientas_de_medición]],
    COUNTIF(Herrramientas_mecánicas2165[Herramientas_mecánicas], B213) &gt; 0, Herrramientas_mecánicas2165[[#Headers],[Herramientas_mecánicas]],
    COUNTIF(AK213:AK219, B213) &gt; 0, Herramientas_hidráulicas2266[[#Headers],[Herramientas_hidráulicas]],
    COUNTIF(EPP_2367[SPCC], B213) &gt; 0, EPP_2367[[#Headers],[SPCC]],
   COUNTIF(Herramientas_de_izaje2468[Herramientas_de_izaje], B213) &gt; 0, Herramientas_de_izaje2468[[#Headers],[Herramientas_de_izaje]],
COUNTIF(Tabla162670[Equipos], B213) &gt; 0, Tabla162670[[#Headers],[Equipos]],
    TRUE, "Sin clasificación"
)</f>
        <v>Sin clasificación</v>
      </c>
      <c r="G213" s="15"/>
      <c r="H213" s="47"/>
      <c r="I213" s="87"/>
      <c r="J213" s="78"/>
      <c r="K213" s="78"/>
      <c r="L213" s="78"/>
      <c r="M213" s="78"/>
      <c r="N213" s="76"/>
      <c r="O213" s="76"/>
      <c r="P213" s="78" t="str">
        <f>_xlfn.LET(
    _xlpm.itemBuscado, B213,
    _xlpm.areaBuscada, C213,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TEXT(COUNTIF($C$2:C213, _xlpm.areaBuscada), "0000"),
    _xlpm.codItem &amp; "-" &amp; _xlpm.codArea &amp; "-" &amp; _xlpm.secuencia
)</f>
        <v>-SinArea-0000</v>
      </c>
      <c r="Q213" s="77"/>
      <c r="R213" s="32"/>
      <c r="S213" s="32"/>
      <c r="T213" s="32"/>
      <c r="U213" s="32"/>
    </row>
    <row r="214" spans="3:21" x14ac:dyDescent="0.3">
      <c r="C214" s="11"/>
      <c r="D214" s="32"/>
      <c r="E214" s="11" t="str" cm="1">
        <f t="array" ref="E214">_xlfn.IFS(
    COUNTIF(Herramientas_eléctricas1862[Herramientas_eléctricas], B214) &gt; 0, Herramientas_eléctricas1862[[#Headers],[Herramientas_eléctricas]],
    COUNTIF(Herramientas_neumáticas1963[Herramientas_neumáticas], B214) &gt; 0, Herramientas_neumáticas1963[[#Headers],[Herramientas_neumáticas]],
    COUNTIF(Herramientas_de_medición2064[Herramientas_de_medición], B214) &gt; 0, Herramientas_de_medición2064[[#Headers],[Herramientas_de_medición]],
    COUNTIF(Herrramientas_mecánicas2165[Herramientas_mecánicas], B214) &gt; 0, Herrramientas_mecánicas2165[[#Headers],[Herramientas_mecánicas]],
    COUNTIF(AK214:AK220, B214) &gt; 0, Herramientas_hidráulicas2266[[#Headers],[Herramientas_hidráulicas]],
    COUNTIF(EPP_2367[SPCC], B214) &gt; 0, EPP_2367[[#Headers],[SPCC]],
   COUNTIF(Herramientas_de_izaje2468[Herramientas_de_izaje], B214) &gt; 0, Herramientas_de_izaje2468[[#Headers],[Herramientas_de_izaje]],
COUNTIF(Tabla162670[Equipos], B214) &gt; 0, Tabla162670[[#Headers],[Equipos]],
    TRUE, "Sin clasificación"
)</f>
        <v>Sin clasificación</v>
      </c>
      <c r="G214" s="15"/>
      <c r="H214" s="47"/>
      <c r="I214" s="87"/>
      <c r="J214" s="78"/>
      <c r="K214" s="78"/>
      <c r="L214" s="78"/>
      <c r="M214" s="78"/>
      <c r="N214" s="76"/>
      <c r="O214" s="76"/>
      <c r="P214" s="78" t="str">
        <f>_xlfn.LET(
    _xlpm.itemBuscado, B214,
    _xlpm.areaBuscada, C214,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TEXT(COUNTIF($C$2:C214, _xlpm.areaBuscada), "0000"),
    _xlpm.codItem &amp; "-" &amp; _xlpm.codArea &amp; "-" &amp; _xlpm.secuencia
)</f>
        <v>-SinArea-0000</v>
      </c>
      <c r="Q214" s="77"/>
      <c r="R214" s="32"/>
      <c r="S214" s="32"/>
      <c r="T214" s="32"/>
      <c r="U214" s="32"/>
    </row>
    <row r="215" spans="3:21" x14ac:dyDescent="0.3">
      <c r="C215" s="11"/>
      <c r="D215" s="32"/>
      <c r="E215" s="11" t="str" cm="1">
        <f t="array" ref="E215">_xlfn.IFS(
    COUNTIF(Herramientas_eléctricas1862[Herramientas_eléctricas], B215) &gt; 0, Herramientas_eléctricas1862[[#Headers],[Herramientas_eléctricas]],
    COUNTIF(Herramientas_neumáticas1963[Herramientas_neumáticas], B215) &gt; 0, Herramientas_neumáticas1963[[#Headers],[Herramientas_neumáticas]],
    COUNTIF(Herramientas_de_medición2064[Herramientas_de_medición], B215) &gt; 0, Herramientas_de_medición2064[[#Headers],[Herramientas_de_medición]],
    COUNTIF(Herrramientas_mecánicas2165[Herramientas_mecánicas], B215) &gt; 0, Herrramientas_mecánicas2165[[#Headers],[Herramientas_mecánicas]],
    COUNTIF(AK215:AK221, B215) &gt; 0, Herramientas_hidráulicas2266[[#Headers],[Herramientas_hidráulicas]],
    COUNTIF(EPP_2367[SPCC], B215) &gt; 0, EPP_2367[[#Headers],[SPCC]],
   COUNTIF(Herramientas_de_izaje2468[Herramientas_de_izaje], B215) &gt; 0, Herramientas_de_izaje2468[[#Headers],[Herramientas_de_izaje]],
COUNTIF(Tabla162670[Equipos], B215) &gt; 0, Tabla162670[[#Headers],[Equipos]],
    TRUE, "Sin clasificación"
)</f>
        <v>Sin clasificación</v>
      </c>
      <c r="G215" s="15"/>
      <c r="H215" s="47"/>
      <c r="I215" s="87"/>
      <c r="J215" s="78"/>
      <c r="K215" s="78"/>
      <c r="L215" s="78"/>
      <c r="M215" s="78"/>
      <c r="N215" s="76"/>
      <c r="O215" s="76"/>
      <c r="P215" s="78" t="str">
        <f>_xlfn.LET(
    _xlpm.itemBuscado, B215,
    _xlpm.areaBuscada, C215,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TEXT(COUNTIF($C$2:C215, _xlpm.areaBuscada), "0000"),
    _xlpm.codItem &amp; "-" &amp; _xlpm.codArea &amp; "-" &amp; _xlpm.secuencia
)</f>
        <v>-SinArea-0000</v>
      </c>
      <c r="Q215" s="77"/>
      <c r="R215" s="32"/>
      <c r="S215" s="32"/>
      <c r="T215" s="32"/>
      <c r="U215" s="32"/>
    </row>
    <row r="216" spans="3:21" x14ac:dyDescent="0.3">
      <c r="C216" s="11"/>
      <c r="D216" s="32"/>
      <c r="E216" s="11" t="str" cm="1">
        <f t="array" ref="E216">_xlfn.IFS(
    COUNTIF(Herramientas_eléctricas1862[Herramientas_eléctricas], B216) &gt; 0, Herramientas_eléctricas1862[[#Headers],[Herramientas_eléctricas]],
    COUNTIF(Herramientas_neumáticas1963[Herramientas_neumáticas], B216) &gt; 0, Herramientas_neumáticas1963[[#Headers],[Herramientas_neumáticas]],
    COUNTIF(Herramientas_de_medición2064[Herramientas_de_medición], B216) &gt; 0, Herramientas_de_medición2064[[#Headers],[Herramientas_de_medición]],
    COUNTIF(Herrramientas_mecánicas2165[Herramientas_mecánicas], B216) &gt; 0, Herrramientas_mecánicas2165[[#Headers],[Herramientas_mecánicas]],
    COUNTIF(AK216:AK222, B216) &gt; 0, Herramientas_hidráulicas2266[[#Headers],[Herramientas_hidráulicas]],
    COUNTIF(EPP_2367[SPCC], B216) &gt; 0, EPP_2367[[#Headers],[SPCC]],
   COUNTIF(Herramientas_de_izaje2468[Herramientas_de_izaje], B216) &gt; 0, Herramientas_de_izaje2468[[#Headers],[Herramientas_de_izaje]],
COUNTIF(Tabla162670[Equipos], B216) &gt; 0, Tabla162670[[#Headers],[Equipos]],
    TRUE, "Sin clasificación"
)</f>
        <v>Sin clasificación</v>
      </c>
      <c r="G216" s="15"/>
      <c r="H216" s="47"/>
      <c r="I216" s="87"/>
      <c r="J216" s="78"/>
      <c r="K216" s="78"/>
      <c r="L216" s="78"/>
      <c r="M216" s="78"/>
      <c r="N216" s="76"/>
      <c r="O216" s="76"/>
      <c r="P216" s="78" t="str">
        <f>_xlfn.LET(
    _xlpm.itemBuscado, B216,
    _xlpm.areaBuscada, C216,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TEXT(COUNTIF($C$2:C216, _xlpm.areaBuscada), "0000"),
    _xlpm.codItem &amp; "-" &amp; _xlpm.codArea &amp; "-" &amp; _xlpm.secuencia
)</f>
        <v>-SinArea-0000</v>
      </c>
      <c r="Q216" s="77"/>
      <c r="R216" s="32"/>
      <c r="S216" s="32"/>
      <c r="T216" s="32"/>
      <c r="U216" s="32"/>
    </row>
    <row r="217" spans="3:21" x14ac:dyDescent="0.3">
      <c r="C217" s="11"/>
      <c r="D217" s="32"/>
      <c r="E217" s="11" t="str" cm="1">
        <f t="array" ref="E217">_xlfn.IFS(
    COUNTIF(Herramientas_eléctricas1862[Herramientas_eléctricas], B217) &gt; 0, Herramientas_eléctricas1862[[#Headers],[Herramientas_eléctricas]],
    COUNTIF(Herramientas_neumáticas1963[Herramientas_neumáticas], B217) &gt; 0, Herramientas_neumáticas1963[[#Headers],[Herramientas_neumáticas]],
    COUNTIF(Herramientas_de_medición2064[Herramientas_de_medición], B217) &gt; 0, Herramientas_de_medición2064[[#Headers],[Herramientas_de_medición]],
    COUNTIF(Herrramientas_mecánicas2165[Herramientas_mecánicas], B217) &gt; 0, Herrramientas_mecánicas2165[[#Headers],[Herramientas_mecánicas]],
    COUNTIF(AK217:AK223, B217) &gt; 0, Herramientas_hidráulicas2266[[#Headers],[Herramientas_hidráulicas]],
    COUNTIF(EPP_2367[SPCC], B217) &gt; 0, EPP_2367[[#Headers],[SPCC]],
   COUNTIF(Herramientas_de_izaje2468[Herramientas_de_izaje], B217) &gt; 0, Herramientas_de_izaje2468[[#Headers],[Herramientas_de_izaje]],
COUNTIF(Tabla162670[Equipos], B217) &gt; 0, Tabla162670[[#Headers],[Equipos]],
    TRUE, "Sin clasificación"
)</f>
        <v>Sin clasificación</v>
      </c>
      <c r="G217" s="15"/>
      <c r="H217" s="47"/>
      <c r="I217" s="87"/>
      <c r="J217" s="78"/>
      <c r="K217" s="78"/>
      <c r="L217" s="78"/>
      <c r="M217" s="78"/>
      <c r="N217" s="76"/>
      <c r="O217" s="76"/>
      <c r="P217" s="78" t="str">
        <f>_xlfn.LET(
    _xlpm.itemBuscado, B217,
    _xlpm.areaBuscada, C217,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TEXT(COUNTIF($C$2:C217, _xlpm.areaBuscada), "0000"),
    _xlpm.codItem &amp; "-" &amp; _xlpm.codArea &amp; "-" &amp; _xlpm.secuencia
)</f>
        <v>-SinArea-0000</v>
      </c>
      <c r="Q217" s="77"/>
      <c r="R217" s="32"/>
      <c r="S217" s="32"/>
      <c r="T217" s="32"/>
      <c r="U217" s="32"/>
    </row>
    <row r="218" spans="3:21" x14ac:dyDescent="0.3">
      <c r="C218" s="11"/>
      <c r="D218" s="32"/>
      <c r="E218" s="11" t="str" cm="1">
        <f t="array" ref="E218">_xlfn.IFS(
    COUNTIF(Herramientas_eléctricas1862[Herramientas_eléctricas], B218) &gt; 0, Herramientas_eléctricas1862[[#Headers],[Herramientas_eléctricas]],
    COUNTIF(Herramientas_neumáticas1963[Herramientas_neumáticas], B218) &gt; 0, Herramientas_neumáticas1963[[#Headers],[Herramientas_neumáticas]],
    COUNTIF(Herramientas_de_medición2064[Herramientas_de_medición], B218) &gt; 0, Herramientas_de_medición2064[[#Headers],[Herramientas_de_medición]],
    COUNTIF(Herrramientas_mecánicas2165[Herramientas_mecánicas], B218) &gt; 0, Herrramientas_mecánicas2165[[#Headers],[Herramientas_mecánicas]],
    COUNTIF(AK218:AK224, B218) &gt; 0, Herramientas_hidráulicas2266[[#Headers],[Herramientas_hidráulicas]],
    COUNTIF(EPP_2367[SPCC], B218) &gt; 0, EPP_2367[[#Headers],[SPCC]],
   COUNTIF(Herramientas_de_izaje2468[Herramientas_de_izaje], B218) &gt; 0, Herramientas_de_izaje2468[[#Headers],[Herramientas_de_izaje]],
COUNTIF(Tabla162670[Equipos], B218) &gt; 0, Tabla162670[[#Headers],[Equipos]],
    TRUE, "Sin clasificación"
)</f>
        <v>Sin clasificación</v>
      </c>
      <c r="G218" s="15"/>
      <c r="H218" s="47"/>
      <c r="I218" s="87"/>
      <c r="J218" s="78"/>
      <c r="K218" s="78"/>
      <c r="L218" s="78"/>
      <c r="M218" s="78"/>
      <c r="N218" s="76"/>
      <c r="O218" s="76"/>
      <c r="P218" s="78" t="str">
        <f>_xlfn.LET(
    _xlpm.itemBuscado, B218,
    _xlpm.areaBuscada, C218,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TEXT(COUNTIF($C$2:C218, _xlpm.areaBuscada), "0000"),
    _xlpm.codItem &amp; "-" &amp; _xlpm.codArea &amp; "-" &amp; _xlpm.secuencia
)</f>
        <v>-SinArea-0000</v>
      </c>
      <c r="Q218" s="77"/>
      <c r="R218" s="32"/>
      <c r="S218" s="32"/>
      <c r="T218" s="32"/>
      <c r="U218" s="32"/>
    </row>
    <row r="219" spans="3:21" x14ac:dyDescent="0.3">
      <c r="C219" s="11"/>
      <c r="D219" s="32"/>
      <c r="E219" s="11" t="str" cm="1">
        <f t="array" ref="E219">_xlfn.IFS(
    COUNTIF(Herramientas_eléctricas1862[Herramientas_eléctricas], B219) &gt; 0, Herramientas_eléctricas1862[[#Headers],[Herramientas_eléctricas]],
    COUNTIF(Herramientas_neumáticas1963[Herramientas_neumáticas], B219) &gt; 0, Herramientas_neumáticas1963[[#Headers],[Herramientas_neumáticas]],
    COUNTIF(Herramientas_de_medición2064[Herramientas_de_medición], B219) &gt; 0, Herramientas_de_medición2064[[#Headers],[Herramientas_de_medición]],
    COUNTIF(Herrramientas_mecánicas2165[Herramientas_mecánicas], B219) &gt; 0, Herrramientas_mecánicas2165[[#Headers],[Herramientas_mecánicas]],
    COUNTIF(AK219:AK225, B219) &gt; 0, Herramientas_hidráulicas2266[[#Headers],[Herramientas_hidráulicas]],
    COUNTIF(EPP_2367[SPCC], B219) &gt; 0, EPP_2367[[#Headers],[SPCC]],
   COUNTIF(Herramientas_de_izaje2468[Herramientas_de_izaje], B219) &gt; 0, Herramientas_de_izaje2468[[#Headers],[Herramientas_de_izaje]],
COUNTIF(Tabla162670[Equipos], B219) &gt; 0, Tabla162670[[#Headers],[Equipos]],
    TRUE, "Sin clasificación"
)</f>
        <v>Sin clasificación</v>
      </c>
      <c r="G219" s="15"/>
      <c r="H219" s="47"/>
      <c r="I219" s="87"/>
      <c r="J219" s="78"/>
      <c r="K219" s="78"/>
      <c r="L219" s="78"/>
      <c r="M219" s="78"/>
      <c r="N219" s="76"/>
      <c r="O219" s="76"/>
      <c r="P219" s="78" t="str">
        <f>_xlfn.LET(
    _xlpm.itemBuscado, B219,
    _xlpm.areaBuscada, C219,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TEXT(COUNTIF($C$2:C219, _xlpm.areaBuscada), "0000"),
    _xlpm.codItem &amp; "-" &amp; _xlpm.codArea &amp; "-" &amp; _xlpm.secuencia
)</f>
        <v>-SinArea-0000</v>
      </c>
      <c r="Q219" s="77"/>
      <c r="R219" s="32"/>
      <c r="S219" s="32"/>
      <c r="T219" s="32"/>
      <c r="U219" s="32"/>
    </row>
    <row r="220" spans="3:21" x14ac:dyDescent="0.3">
      <c r="C220" s="11"/>
      <c r="D220" s="32"/>
      <c r="E220" s="11" t="str" cm="1">
        <f t="array" ref="E220">_xlfn.IFS(
    COUNTIF(Herramientas_eléctricas1862[Herramientas_eléctricas], B220) &gt; 0, Herramientas_eléctricas1862[[#Headers],[Herramientas_eléctricas]],
    COUNTIF(Herramientas_neumáticas1963[Herramientas_neumáticas], B220) &gt; 0, Herramientas_neumáticas1963[[#Headers],[Herramientas_neumáticas]],
    COUNTIF(Herramientas_de_medición2064[Herramientas_de_medición], B220) &gt; 0, Herramientas_de_medición2064[[#Headers],[Herramientas_de_medición]],
    COUNTIF(Herrramientas_mecánicas2165[Herramientas_mecánicas], B220) &gt; 0, Herrramientas_mecánicas2165[[#Headers],[Herramientas_mecánicas]],
    COUNTIF(AK220:AK226, B220) &gt; 0, Herramientas_hidráulicas2266[[#Headers],[Herramientas_hidráulicas]],
    COUNTIF(EPP_2367[SPCC], B220) &gt; 0, EPP_2367[[#Headers],[SPCC]],
   COUNTIF(Herramientas_de_izaje2468[Herramientas_de_izaje], B220) &gt; 0, Herramientas_de_izaje2468[[#Headers],[Herramientas_de_izaje]],
COUNTIF(Tabla162670[Equipos], B220) &gt; 0, Tabla162670[[#Headers],[Equipos]],
    TRUE, "Sin clasificación"
)</f>
        <v>Sin clasificación</v>
      </c>
      <c r="G220" s="15"/>
      <c r="H220" s="47"/>
      <c r="I220" s="87"/>
      <c r="J220" s="78"/>
      <c r="K220" s="78"/>
      <c r="L220" s="78"/>
      <c r="M220" s="78"/>
      <c r="N220" s="76"/>
      <c r="O220" s="76"/>
      <c r="P220" s="78" t="str">
        <f>_xlfn.LET(
    _xlpm.itemBuscado, B220,
    _xlpm.areaBuscada, C220,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TEXT(COUNTIF($C$2:C220, _xlpm.areaBuscada), "0000"),
    _xlpm.codItem &amp; "-" &amp; _xlpm.codArea &amp; "-" &amp; _xlpm.secuencia
)</f>
        <v>-SinArea-0000</v>
      </c>
      <c r="Q220" s="77"/>
      <c r="R220" s="32"/>
      <c r="S220" s="32"/>
      <c r="T220" s="32"/>
      <c r="U220" s="32"/>
    </row>
    <row r="221" spans="3:21" x14ac:dyDescent="0.3">
      <c r="C221" s="11"/>
      <c r="D221" s="32"/>
      <c r="E221" s="11" t="str" cm="1">
        <f t="array" ref="E221">_xlfn.IFS(
    COUNTIF(Herramientas_eléctricas1862[Herramientas_eléctricas], B221) &gt; 0, Herramientas_eléctricas1862[[#Headers],[Herramientas_eléctricas]],
    COUNTIF(Herramientas_neumáticas1963[Herramientas_neumáticas], B221) &gt; 0, Herramientas_neumáticas1963[[#Headers],[Herramientas_neumáticas]],
    COUNTIF(Herramientas_de_medición2064[Herramientas_de_medición], B221) &gt; 0, Herramientas_de_medición2064[[#Headers],[Herramientas_de_medición]],
    COUNTIF(Herrramientas_mecánicas2165[Herramientas_mecánicas], B221) &gt; 0, Herrramientas_mecánicas2165[[#Headers],[Herramientas_mecánicas]],
    COUNTIF(AK221:AK227, B221) &gt; 0, Herramientas_hidráulicas2266[[#Headers],[Herramientas_hidráulicas]],
    COUNTIF(EPP_2367[SPCC], B221) &gt; 0, EPP_2367[[#Headers],[SPCC]],
   COUNTIF(Herramientas_de_izaje2468[Herramientas_de_izaje], B221) &gt; 0, Herramientas_de_izaje2468[[#Headers],[Herramientas_de_izaje]],
COUNTIF(Tabla162670[Equipos], B221) &gt; 0, Tabla162670[[#Headers],[Equipos]],
    TRUE, "Sin clasificación"
)</f>
        <v>Sin clasificación</v>
      </c>
      <c r="G221" s="15"/>
      <c r="H221" s="47"/>
      <c r="I221" s="87"/>
      <c r="J221" s="78"/>
      <c r="K221" s="78"/>
      <c r="L221" s="78"/>
      <c r="M221" s="78"/>
      <c r="N221" s="76"/>
      <c r="O221" s="76"/>
      <c r="P221" s="78" t="str">
        <f>_xlfn.LET(
    _xlpm.itemBuscado, B221,
    _xlpm.areaBuscada, C221,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TEXT(COUNTIF($C$2:C221, _xlpm.areaBuscada), "0000"),
    _xlpm.codItem &amp; "-" &amp; _xlpm.codArea &amp; "-" &amp; _xlpm.secuencia
)</f>
        <v>-SinArea-0000</v>
      </c>
      <c r="Q221" s="77"/>
      <c r="R221" s="32"/>
      <c r="S221" s="32"/>
      <c r="T221" s="32"/>
      <c r="U221" s="32"/>
    </row>
    <row r="222" spans="3:21" x14ac:dyDescent="0.3">
      <c r="C222" s="11"/>
      <c r="D222" s="32"/>
      <c r="E222" s="11" t="str" cm="1">
        <f t="array" ref="E222">_xlfn.IFS(
    COUNTIF(Herramientas_eléctricas1862[Herramientas_eléctricas], B222) &gt; 0, Herramientas_eléctricas1862[[#Headers],[Herramientas_eléctricas]],
    COUNTIF(Herramientas_neumáticas1963[Herramientas_neumáticas], B222) &gt; 0, Herramientas_neumáticas1963[[#Headers],[Herramientas_neumáticas]],
    COUNTIF(Herramientas_de_medición2064[Herramientas_de_medición], B222) &gt; 0, Herramientas_de_medición2064[[#Headers],[Herramientas_de_medición]],
    COUNTIF(Herrramientas_mecánicas2165[Herramientas_mecánicas], B222) &gt; 0, Herrramientas_mecánicas2165[[#Headers],[Herramientas_mecánicas]],
    COUNTIF(AK222:AK228, B222) &gt; 0, Herramientas_hidráulicas2266[[#Headers],[Herramientas_hidráulicas]],
    COUNTIF(EPP_2367[SPCC], B222) &gt; 0, EPP_2367[[#Headers],[SPCC]],
   COUNTIF(Herramientas_de_izaje2468[Herramientas_de_izaje], B222) &gt; 0, Herramientas_de_izaje2468[[#Headers],[Herramientas_de_izaje]],
COUNTIF(Tabla162670[Equipos], B222) &gt; 0, Tabla162670[[#Headers],[Equipos]],
    TRUE, "Sin clasificación"
)</f>
        <v>Sin clasificación</v>
      </c>
      <c r="G222" s="15"/>
      <c r="H222" s="47"/>
      <c r="I222" s="87"/>
      <c r="J222" s="78"/>
      <c r="K222" s="78"/>
      <c r="L222" s="78"/>
      <c r="M222" s="78"/>
      <c r="N222" s="76"/>
      <c r="O222" s="76"/>
      <c r="P222" s="78" t="str">
        <f>_xlfn.LET(
    _xlpm.itemBuscado, B222,
    _xlpm.areaBuscada, C222,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TEXT(COUNTIF($C$2:C222, _xlpm.areaBuscada), "0000"),
    _xlpm.codItem &amp; "-" &amp; _xlpm.codArea &amp; "-" &amp; _xlpm.secuencia
)</f>
        <v>-SinArea-0000</v>
      </c>
      <c r="Q222" s="77"/>
      <c r="R222" s="32"/>
      <c r="S222" s="32"/>
      <c r="T222" s="32"/>
      <c r="U222" s="32"/>
    </row>
    <row r="223" spans="3:21" x14ac:dyDescent="0.3">
      <c r="C223" s="11"/>
      <c r="D223" s="32"/>
      <c r="E223" s="11" t="str" cm="1">
        <f t="array" ref="E223">_xlfn.IFS(
    COUNTIF(Herramientas_eléctricas1862[Herramientas_eléctricas], B223) &gt; 0, Herramientas_eléctricas1862[[#Headers],[Herramientas_eléctricas]],
    COUNTIF(Herramientas_neumáticas1963[Herramientas_neumáticas], B223) &gt; 0, Herramientas_neumáticas1963[[#Headers],[Herramientas_neumáticas]],
    COUNTIF(Herramientas_de_medición2064[Herramientas_de_medición], B223) &gt; 0, Herramientas_de_medición2064[[#Headers],[Herramientas_de_medición]],
    COUNTIF(Herrramientas_mecánicas2165[Herramientas_mecánicas], B223) &gt; 0, Herrramientas_mecánicas2165[[#Headers],[Herramientas_mecánicas]],
    COUNTIF(AK223:AK229, B223) &gt; 0, Herramientas_hidráulicas2266[[#Headers],[Herramientas_hidráulicas]],
    COUNTIF(EPP_2367[SPCC], B223) &gt; 0, EPP_2367[[#Headers],[SPCC]],
   COUNTIF(Herramientas_de_izaje2468[Herramientas_de_izaje], B223) &gt; 0, Herramientas_de_izaje2468[[#Headers],[Herramientas_de_izaje]],
COUNTIF(Tabla162670[Equipos], B223) &gt; 0, Tabla162670[[#Headers],[Equipos]],
    TRUE, "Sin clasificación"
)</f>
        <v>Sin clasificación</v>
      </c>
      <c r="G223" s="15"/>
      <c r="H223" s="47"/>
      <c r="I223" s="87"/>
      <c r="J223" s="78"/>
      <c r="K223" s="78"/>
      <c r="L223" s="78"/>
      <c r="M223" s="78"/>
      <c r="N223" s="76"/>
      <c r="O223" s="76"/>
      <c r="P223" s="78" t="str">
        <f>_xlfn.LET(
    _xlpm.itemBuscado, B223,
    _xlpm.areaBuscada, C223,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TEXT(COUNTIF($C$2:C223, _xlpm.areaBuscada), "0000"),
    _xlpm.codItem &amp; "-" &amp; _xlpm.codArea &amp; "-" &amp; _xlpm.secuencia
)</f>
        <v>-SinArea-0000</v>
      </c>
      <c r="Q223" s="77"/>
      <c r="R223" s="32"/>
      <c r="S223" s="32"/>
      <c r="T223" s="32"/>
      <c r="U223" s="32"/>
    </row>
    <row r="224" spans="3:21" x14ac:dyDescent="0.3">
      <c r="C224" s="11"/>
      <c r="D224" s="32"/>
      <c r="E224" s="11" t="str" cm="1">
        <f t="array" ref="E224">_xlfn.IFS(
    COUNTIF(Herramientas_eléctricas1862[Herramientas_eléctricas], B224) &gt; 0, Herramientas_eléctricas1862[[#Headers],[Herramientas_eléctricas]],
    COUNTIF(Herramientas_neumáticas1963[Herramientas_neumáticas], B224) &gt; 0, Herramientas_neumáticas1963[[#Headers],[Herramientas_neumáticas]],
    COUNTIF(Herramientas_de_medición2064[Herramientas_de_medición], B224) &gt; 0, Herramientas_de_medición2064[[#Headers],[Herramientas_de_medición]],
    COUNTIF(Herrramientas_mecánicas2165[Herramientas_mecánicas], B224) &gt; 0, Herrramientas_mecánicas2165[[#Headers],[Herramientas_mecánicas]],
    COUNTIF(AK224:AK230, B224) &gt; 0, Herramientas_hidráulicas2266[[#Headers],[Herramientas_hidráulicas]],
    COUNTIF(EPP_2367[SPCC], B224) &gt; 0, EPP_2367[[#Headers],[SPCC]],
   COUNTIF(Herramientas_de_izaje2468[Herramientas_de_izaje], B224) &gt; 0, Herramientas_de_izaje2468[[#Headers],[Herramientas_de_izaje]],
COUNTIF(Tabla162670[Equipos], B224) &gt; 0, Tabla162670[[#Headers],[Equipos]],
    TRUE, "Sin clasificación"
)</f>
        <v>Sin clasificación</v>
      </c>
      <c r="G224" s="15"/>
      <c r="H224" s="47"/>
      <c r="I224" s="87"/>
      <c r="J224" s="78"/>
      <c r="K224" s="78"/>
      <c r="L224" s="78"/>
      <c r="M224" s="78"/>
      <c r="N224" s="76"/>
      <c r="O224" s="76"/>
      <c r="P224" s="78" t="str">
        <f>_xlfn.LET(
    _xlpm.itemBuscado, B224,
    _xlpm.areaBuscada, C224,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TEXT(COUNTIF($C$2:C224, _xlpm.areaBuscada), "0000"),
    _xlpm.codItem &amp; "-" &amp; _xlpm.codArea &amp; "-" &amp; _xlpm.secuencia
)</f>
        <v>-SinArea-0000</v>
      </c>
      <c r="Q224" s="77"/>
      <c r="R224" s="32"/>
      <c r="S224" s="32"/>
      <c r="T224" s="32"/>
      <c r="U224" s="32"/>
    </row>
    <row r="225" spans="3:21" x14ac:dyDescent="0.3">
      <c r="C225" s="11"/>
      <c r="D225" s="32"/>
      <c r="E225" s="11" t="str" cm="1">
        <f t="array" ref="E225">_xlfn.IFS(
    COUNTIF(Herramientas_eléctricas1862[Herramientas_eléctricas], B225) &gt; 0, Herramientas_eléctricas1862[[#Headers],[Herramientas_eléctricas]],
    COUNTIF(Herramientas_neumáticas1963[Herramientas_neumáticas], B225) &gt; 0, Herramientas_neumáticas1963[[#Headers],[Herramientas_neumáticas]],
    COUNTIF(Herramientas_de_medición2064[Herramientas_de_medición], B225) &gt; 0, Herramientas_de_medición2064[[#Headers],[Herramientas_de_medición]],
    COUNTIF(Herrramientas_mecánicas2165[Herramientas_mecánicas], B225) &gt; 0, Herrramientas_mecánicas2165[[#Headers],[Herramientas_mecánicas]],
    COUNTIF(AK225:AK231, B225) &gt; 0, Herramientas_hidráulicas2266[[#Headers],[Herramientas_hidráulicas]],
    COUNTIF(EPP_2367[SPCC], B225) &gt; 0, EPP_2367[[#Headers],[SPCC]],
   COUNTIF(Herramientas_de_izaje2468[Herramientas_de_izaje], B225) &gt; 0, Herramientas_de_izaje2468[[#Headers],[Herramientas_de_izaje]],
COUNTIF(Tabla162670[Equipos], B225) &gt; 0, Tabla162670[[#Headers],[Equipos]],
    TRUE, "Sin clasificación"
)</f>
        <v>Sin clasificación</v>
      </c>
      <c r="G225" s="15"/>
      <c r="H225" s="47"/>
      <c r="I225" s="87"/>
      <c r="J225" s="78"/>
      <c r="K225" s="78"/>
      <c r="L225" s="78"/>
      <c r="M225" s="78"/>
      <c r="N225" s="76"/>
      <c r="O225" s="76"/>
      <c r="P225" s="78" t="str">
        <f>_xlfn.LET(
    _xlpm.itemBuscado, B225,
    _xlpm.areaBuscada, C225,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TEXT(COUNTIF($C$2:C225, _xlpm.areaBuscada), "0000"),
    _xlpm.codItem &amp; "-" &amp; _xlpm.codArea &amp; "-" &amp; _xlpm.secuencia
)</f>
        <v>-SinArea-0000</v>
      </c>
      <c r="Q225" s="77"/>
      <c r="R225" s="32"/>
      <c r="S225" s="32"/>
      <c r="T225" s="32"/>
      <c r="U225" s="32"/>
    </row>
    <row r="226" spans="3:21" x14ac:dyDescent="0.3">
      <c r="C226" s="11"/>
      <c r="D226" s="32"/>
      <c r="E226" s="11" t="str" cm="1">
        <f t="array" ref="E226">_xlfn.IFS(
    COUNTIF(Herramientas_eléctricas1862[Herramientas_eléctricas], B226) &gt; 0, Herramientas_eléctricas1862[[#Headers],[Herramientas_eléctricas]],
    COUNTIF(Herramientas_neumáticas1963[Herramientas_neumáticas], B226) &gt; 0, Herramientas_neumáticas1963[[#Headers],[Herramientas_neumáticas]],
    COUNTIF(Herramientas_de_medición2064[Herramientas_de_medición], B226) &gt; 0, Herramientas_de_medición2064[[#Headers],[Herramientas_de_medición]],
    COUNTIF(Herrramientas_mecánicas2165[Herramientas_mecánicas], B226) &gt; 0, Herrramientas_mecánicas2165[[#Headers],[Herramientas_mecánicas]],
    COUNTIF(AK226:AK232, B226) &gt; 0, Herramientas_hidráulicas2266[[#Headers],[Herramientas_hidráulicas]],
    COUNTIF(EPP_2367[SPCC], B226) &gt; 0, EPP_2367[[#Headers],[SPCC]],
   COUNTIF(Herramientas_de_izaje2468[Herramientas_de_izaje], B226) &gt; 0, Herramientas_de_izaje2468[[#Headers],[Herramientas_de_izaje]],
COUNTIF(Tabla162670[Equipos], B226) &gt; 0, Tabla162670[[#Headers],[Equipos]],
    TRUE, "Sin clasificación"
)</f>
        <v>Sin clasificación</v>
      </c>
      <c r="G226" s="15"/>
      <c r="H226" s="47"/>
      <c r="I226" s="87"/>
      <c r="J226" s="78"/>
      <c r="K226" s="78"/>
      <c r="L226" s="78"/>
      <c r="M226" s="78"/>
      <c r="N226" s="76"/>
      <c r="O226" s="76"/>
      <c r="P226" s="78" t="str">
        <f>_xlfn.LET(
    _xlpm.itemBuscado, B226,
    _xlpm.areaBuscada, C226,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TEXT(COUNTIF($C$2:C226, _xlpm.areaBuscada), "0000"),
    _xlpm.codItem &amp; "-" &amp; _xlpm.codArea &amp; "-" &amp; _xlpm.secuencia
)</f>
        <v>-SinArea-0000</v>
      </c>
      <c r="Q226" s="77"/>
      <c r="R226" s="32"/>
      <c r="S226" s="32"/>
      <c r="T226" s="32"/>
      <c r="U226" s="32"/>
    </row>
    <row r="227" spans="3:21" x14ac:dyDescent="0.3">
      <c r="C227" s="11"/>
      <c r="D227" s="32"/>
      <c r="E227" s="11" t="str" cm="1">
        <f t="array" ref="E227">_xlfn.IFS(
    COUNTIF(Herramientas_eléctricas1862[Herramientas_eléctricas], B227) &gt; 0, Herramientas_eléctricas1862[[#Headers],[Herramientas_eléctricas]],
    COUNTIF(Herramientas_neumáticas1963[Herramientas_neumáticas], B227) &gt; 0, Herramientas_neumáticas1963[[#Headers],[Herramientas_neumáticas]],
    COUNTIF(Herramientas_de_medición2064[Herramientas_de_medición], B227) &gt; 0, Herramientas_de_medición2064[[#Headers],[Herramientas_de_medición]],
    COUNTIF(Herrramientas_mecánicas2165[Herramientas_mecánicas], B227) &gt; 0, Herrramientas_mecánicas2165[[#Headers],[Herramientas_mecánicas]],
    COUNTIF(AK227:AK233, B227) &gt; 0, Herramientas_hidráulicas2266[[#Headers],[Herramientas_hidráulicas]],
    COUNTIF(EPP_2367[SPCC], B227) &gt; 0, EPP_2367[[#Headers],[SPCC]],
   COUNTIF(Herramientas_de_izaje2468[Herramientas_de_izaje], B227) &gt; 0, Herramientas_de_izaje2468[[#Headers],[Herramientas_de_izaje]],
COUNTIF(Tabla162670[Equipos], B227) &gt; 0, Tabla162670[[#Headers],[Equipos]],
    TRUE, "Sin clasificación"
)</f>
        <v>Sin clasificación</v>
      </c>
      <c r="G227" s="15"/>
      <c r="H227" s="47"/>
      <c r="I227" s="87"/>
      <c r="J227" s="78"/>
      <c r="K227" s="78"/>
      <c r="L227" s="78"/>
      <c r="M227" s="78"/>
      <c r="N227" s="76"/>
      <c r="O227" s="76"/>
      <c r="P227" s="78" t="str">
        <f>_xlfn.LET(
    _xlpm.itemBuscado, B227,
    _xlpm.areaBuscada, C227,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TEXT(COUNTIF($C$2:C227, _xlpm.areaBuscada), "0000"),
    _xlpm.codItem &amp; "-" &amp; _xlpm.codArea &amp; "-" &amp; _xlpm.secuencia
)</f>
        <v>-SinArea-0000</v>
      </c>
      <c r="Q227" s="77"/>
      <c r="R227" s="32"/>
      <c r="S227" s="32"/>
      <c r="T227" s="32"/>
      <c r="U227" s="32"/>
    </row>
    <row r="228" spans="3:21" x14ac:dyDescent="0.3">
      <c r="C228" s="11"/>
      <c r="D228" s="32"/>
      <c r="E228" s="11" t="str" cm="1">
        <f t="array" ref="E228">_xlfn.IFS(
    COUNTIF(Herramientas_eléctricas1862[Herramientas_eléctricas], B228) &gt; 0, Herramientas_eléctricas1862[[#Headers],[Herramientas_eléctricas]],
    COUNTIF(Herramientas_neumáticas1963[Herramientas_neumáticas], B228) &gt; 0, Herramientas_neumáticas1963[[#Headers],[Herramientas_neumáticas]],
    COUNTIF(Herramientas_de_medición2064[Herramientas_de_medición], B228) &gt; 0, Herramientas_de_medición2064[[#Headers],[Herramientas_de_medición]],
    COUNTIF(Herrramientas_mecánicas2165[Herramientas_mecánicas], B228) &gt; 0, Herrramientas_mecánicas2165[[#Headers],[Herramientas_mecánicas]],
    COUNTIF(AK228:AK234, B228) &gt; 0, Herramientas_hidráulicas2266[[#Headers],[Herramientas_hidráulicas]],
    COUNTIF(EPP_2367[SPCC], B228) &gt; 0, EPP_2367[[#Headers],[SPCC]],
   COUNTIF(Herramientas_de_izaje2468[Herramientas_de_izaje], B228) &gt; 0, Herramientas_de_izaje2468[[#Headers],[Herramientas_de_izaje]],
COUNTIF(Tabla162670[Equipos], B228) &gt; 0, Tabla162670[[#Headers],[Equipos]],
    TRUE, "Sin clasificación"
)</f>
        <v>Sin clasificación</v>
      </c>
      <c r="G228" s="15"/>
      <c r="H228" s="47"/>
      <c r="I228" s="87"/>
      <c r="J228" s="78"/>
      <c r="K228" s="78"/>
      <c r="L228" s="78"/>
      <c r="M228" s="78"/>
      <c r="N228" s="76"/>
      <c r="O228" s="76"/>
      <c r="P228" s="78" t="str">
        <f>_xlfn.LET(
    _xlpm.itemBuscado, B228,
    _xlpm.areaBuscada, C228,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TEXT(COUNTIF($C$2:C228, _xlpm.areaBuscada), "0000"),
    _xlpm.codItem &amp; "-" &amp; _xlpm.codArea &amp; "-" &amp; _xlpm.secuencia
)</f>
        <v>-SinArea-0000</v>
      </c>
      <c r="Q228" s="77"/>
      <c r="R228" s="32"/>
      <c r="S228" s="32"/>
      <c r="T228" s="32"/>
      <c r="U228" s="32"/>
    </row>
    <row r="229" spans="3:21" x14ac:dyDescent="0.3">
      <c r="C229" s="11"/>
      <c r="D229" s="32"/>
      <c r="E229" s="11" t="str" cm="1">
        <f t="array" ref="E229">_xlfn.IFS(
    COUNTIF(Herramientas_eléctricas1862[Herramientas_eléctricas], B229) &gt; 0, Herramientas_eléctricas1862[[#Headers],[Herramientas_eléctricas]],
    COUNTIF(Herramientas_neumáticas1963[Herramientas_neumáticas], B229) &gt; 0, Herramientas_neumáticas1963[[#Headers],[Herramientas_neumáticas]],
    COUNTIF(Herramientas_de_medición2064[Herramientas_de_medición], B229) &gt; 0, Herramientas_de_medición2064[[#Headers],[Herramientas_de_medición]],
    COUNTIF(Herrramientas_mecánicas2165[Herramientas_mecánicas], B229) &gt; 0, Herrramientas_mecánicas2165[[#Headers],[Herramientas_mecánicas]],
    COUNTIF(AK229:AK235, B229) &gt; 0, Herramientas_hidráulicas2266[[#Headers],[Herramientas_hidráulicas]],
    COUNTIF(EPP_2367[SPCC], B229) &gt; 0, EPP_2367[[#Headers],[SPCC]],
   COUNTIF(Herramientas_de_izaje2468[Herramientas_de_izaje], B229) &gt; 0, Herramientas_de_izaje2468[[#Headers],[Herramientas_de_izaje]],
COUNTIF(Tabla162670[Equipos], B229) &gt; 0, Tabla162670[[#Headers],[Equipos]],
    TRUE, "Sin clasificación"
)</f>
        <v>Sin clasificación</v>
      </c>
      <c r="G229" s="15"/>
      <c r="H229" s="47"/>
      <c r="I229" s="87"/>
      <c r="J229" s="78"/>
      <c r="K229" s="78"/>
      <c r="L229" s="78"/>
      <c r="M229" s="78"/>
      <c r="N229" s="76"/>
      <c r="O229" s="76"/>
      <c r="P229" s="78" t="str">
        <f>_xlfn.LET(
    _xlpm.itemBuscado, B229,
    _xlpm.areaBuscada, C229,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TEXT(COUNTIF($C$2:C229, _xlpm.areaBuscada), "0000"),
    _xlpm.codItem &amp; "-" &amp; _xlpm.codArea &amp; "-" &amp; _xlpm.secuencia
)</f>
        <v>-SinArea-0000</v>
      </c>
      <c r="Q229" s="77"/>
      <c r="R229" s="32"/>
      <c r="S229" s="32"/>
      <c r="T229" s="32"/>
      <c r="U229" s="32"/>
    </row>
    <row r="230" spans="3:21" x14ac:dyDescent="0.3">
      <c r="C230" s="11"/>
      <c r="D230" s="32"/>
      <c r="E230" s="11" t="str" cm="1">
        <f t="array" ref="E230">_xlfn.IFS(
    COUNTIF(Herramientas_eléctricas1862[Herramientas_eléctricas], B230) &gt; 0, Herramientas_eléctricas1862[[#Headers],[Herramientas_eléctricas]],
    COUNTIF(Herramientas_neumáticas1963[Herramientas_neumáticas], B230) &gt; 0, Herramientas_neumáticas1963[[#Headers],[Herramientas_neumáticas]],
    COUNTIF(Herramientas_de_medición2064[Herramientas_de_medición], B230) &gt; 0, Herramientas_de_medición2064[[#Headers],[Herramientas_de_medición]],
    COUNTIF(Herrramientas_mecánicas2165[Herramientas_mecánicas], B230) &gt; 0, Herrramientas_mecánicas2165[[#Headers],[Herramientas_mecánicas]],
    COUNTIF(AK230:AK236, B230) &gt; 0, Herramientas_hidráulicas2266[[#Headers],[Herramientas_hidráulicas]],
    COUNTIF(EPP_2367[SPCC], B230) &gt; 0, EPP_2367[[#Headers],[SPCC]],
   COUNTIF(Herramientas_de_izaje2468[Herramientas_de_izaje], B230) &gt; 0, Herramientas_de_izaje2468[[#Headers],[Herramientas_de_izaje]],
COUNTIF(Tabla162670[Equipos], B230) &gt; 0, Tabla162670[[#Headers],[Equipos]],
    TRUE, "Sin clasificación"
)</f>
        <v>Sin clasificación</v>
      </c>
      <c r="G230" s="15"/>
      <c r="H230" s="47"/>
      <c r="I230" s="87"/>
      <c r="J230" s="78"/>
      <c r="K230" s="78"/>
      <c r="L230" s="78"/>
      <c r="M230" s="78"/>
      <c r="N230" s="76"/>
      <c r="O230" s="76"/>
      <c r="P230" s="78" t="str">
        <f>_xlfn.LET(
    _xlpm.itemBuscado, B230,
    _xlpm.areaBuscada, C230,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TEXT(COUNTIF($C$2:C230, _xlpm.areaBuscada), "0000"),
    _xlpm.codItem &amp; "-" &amp; _xlpm.codArea &amp; "-" &amp; _xlpm.secuencia
)</f>
        <v>-SinArea-0000</v>
      </c>
      <c r="Q230" s="77"/>
      <c r="R230" s="32"/>
      <c r="S230" s="32"/>
      <c r="T230" s="32"/>
      <c r="U230" s="32"/>
    </row>
    <row r="231" spans="3:21" x14ac:dyDescent="0.3">
      <c r="C231" s="11"/>
      <c r="D231" s="32"/>
      <c r="E231" s="11" t="str" cm="1">
        <f t="array" ref="E231">_xlfn.IFS(
    COUNTIF(Herramientas_eléctricas1862[Herramientas_eléctricas], B231) &gt; 0, Herramientas_eléctricas1862[[#Headers],[Herramientas_eléctricas]],
    COUNTIF(Herramientas_neumáticas1963[Herramientas_neumáticas], B231) &gt; 0, Herramientas_neumáticas1963[[#Headers],[Herramientas_neumáticas]],
    COUNTIF(Herramientas_de_medición2064[Herramientas_de_medición], B231) &gt; 0, Herramientas_de_medición2064[[#Headers],[Herramientas_de_medición]],
    COUNTIF(Herrramientas_mecánicas2165[Herramientas_mecánicas], B231) &gt; 0, Herrramientas_mecánicas2165[[#Headers],[Herramientas_mecánicas]],
    COUNTIF(AK231:AK237, B231) &gt; 0, Herramientas_hidráulicas2266[[#Headers],[Herramientas_hidráulicas]],
    COUNTIF(EPP_2367[SPCC], B231) &gt; 0, EPP_2367[[#Headers],[SPCC]],
   COUNTIF(Herramientas_de_izaje2468[Herramientas_de_izaje], B231) &gt; 0, Herramientas_de_izaje2468[[#Headers],[Herramientas_de_izaje]],
COUNTIF(Tabla162670[Equipos], B231) &gt; 0, Tabla162670[[#Headers],[Equipos]],
    TRUE, "Sin clasificación"
)</f>
        <v>Sin clasificación</v>
      </c>
      <c r="G231" s="15"/>
      <c r="H231" s="47"/>
      <c r="I231" s="87"/>
      <c r="J231" s="78"/>
      <c r="K231" s="78"/>
      <c r="L231" s="78"/>
      <c r="M231" s="78"/>
      <c r="N231" s="76"/>
      <c r="O231" s="76"/>
      <c r="P231" s="78" t="str">
        <f>_xlfn.LET(
    _xlpm.itemBuscado, B231,
    _xlpm.areaBuscada, C231,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TEXT(COUNTIF($C$2:C231, _xlpm.areaBuscada), "0000"),
    _xlpm.codItem &amp; "-" &amp; _xlpm.codArea &amp; "-" &amp; _xlpm.secuencia
)</f>
        <v>-SinArea-0000</v>
      </c>
      <c r="Q231" s="77"/>
      <c r="R231" s="32"/>
      <c r="S231" s="32"/>
      <c r="T231" s="32"/>
      <c r="U231" s="32"/>
    </row>
    <row r="232" spans="3:21" x14ac:dyDescent="0.3">
      <c r="C232" s="11"/>
      <c r="D232" s="32"/>
      <c r="E232" s="11" t="str" cm="1">
        <f t="array" ref="E232">_xlfn.IFS(
    COUNTIF(Herramientas_eléctricas1862[Herramientas_eléctricas], B232) &gt; 0, Herramientas_eléctricas1862[[#Headers],[Herramientas_eléctricas]],
    COUNTIF(Herramientas_neumáticas1963[Herramientas_neumáticas], B232) &gt; 0, Herramientas_neumáticas1963[[#Headers],[Herramientas_neumáticas]],
    COUNTIF(Herramientas_de_medición2064[Herramientas_de_medición], B232) &gt; 0, Herramientas_de_medición2064[[#Headers],[Herramientas_de_medición]],
    COUNTIF(Herrramientas_mecánicas2165[Herramientas_mecánicas], B232) &gt; 0, Herrramientas_mecánicas2165[[#Headers],[Herramientas_mecánicas]],
    COUNTIF(AK232:AK238, B232) &gt; 0, Herramientas_hidráulicas2266[[#Headers],[Herramientas_hidráulicas]],
    COUNTIF(EPP_2367[SPCC], B232) &gt; 0, EPP_2367[[#Headers],[SPCC]],
   COUNTIF(Herramientas_de_izaje2468[Herramientas_de_izaje], B232) &gt; 0, Herramientas_de_izaje2468[[#Headers],[Herramientas_de_izaje]],
COUNTIF(Tabla162670[Equipos], B232) &gt; 0, Tabla162670[[#Headers],[Equipos]],
    TRUE, "Sin clasificación"
)</f>
        <v>Sin clasificación</v>
      </c>
      <c r="G232" s="15"/>
      <c r="H232" s="47"/>
      <c r="I232" s="87"/>
      <c r="J232" s="78"/>
      <c r="K232" s="78"/>
      <c r="L232" s="78"/>
      <c r="M232" s="78"/>
      <c r="N232" s="76"/>
      <c r="O232" s="76"/>
      <c r="P232" s="78" t="str">
        <f>_xlfn.LET(
    _xlpm.itemBuscado, B232,
    _xlpm.areaBuscada, C232,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TEXT(COUNTIF($C$2:C232, _xlpm.areaBuscada), "0000"),
    _xlpm.codItem &amp; "-" &amp; _xlpm.codArea &amp; "-" &amp; _xlpm.secuencia
)</f>
        <v>-SinArea-0000</v>
      </c>
      <c r="Q232" s="77"/>
      <c r="R232" s="32"/>
      <c r="S232" s="32"/>
      <c r="T232" s="32"/>
      <c r="U232" s="32"/>
    </row>
    <row r="233" spans="3:21" x14ac:dyDescent="0.3">
      <c r="C233" s="11"/>
      <c r="D233" s="32"/>
      <c r="E233" s="11" t="str" cm="1">
        <f t="array" ref="E233">_xlfn.IFS(
    COUNTIF(Herramientas_eléctricas1862[Herramientas_eléctricas], B233) &gt; 0, Herramientas_eléctricas1862[[#Headers],[Herramientas_eléctricas]],
    COUNTIF(Herramientas_neumáticas1963[Herramientas_neumáticas], B233) &gt; 0, Herramientas_neumáticas1963[[#Headers],[Herramientas_neumáticas]],
    COUNTIF(Herramientas_de_medición2064[Herramientas_de_medición], B233) &gt; 0, Herramientas_de_medición2064[[#Headers],[Herramientas_de_medición]],
    COUNTIF(Herrramientas_mecánicas2165[Herramientas_mecánicas], B233) &gt; 0, Herrramientas_mecánicas2165[[#Headers],[Herramientas_mecánicas]],
    COUNTIF(AK233:AK239, B233) &gt; 0, Herramientas_hidráulicas2266[[#Headers],[Herramientas_hidráulicas]],
    COUNTIF(EPP_2367[SPCC], B233) &gt; 0, EPP_2367[[#Headers],[SPCC]],
   COUNTIF(Herramientas_de_izaje2468[Herramientas_de_izaje], B233) &gt; 0, Herramientas_de_izaje2468[[#Headers],[Herramientas_de_izaje]],
COUNTIF(Tabla162670[Equipos], B233) &gt; 0, Tabla162670[[#Headers],[Equipos]],
    TRUE, "Sin clasificación"
)</f>
        <v>Sin clasificación</v>
      </c>
      <c r="G233" s="15"/>
      <c r="H233" s="47"/>
      <c r="I233" s="87"/>
      <c r="J233" s="78"/>
      <c r="K233" s="78"/>
      <c r="L233" s="78"/>
      <c r="M233" s="78"/>
      <c r="N233" s="76"/>
      <c r="O233" s="76"/>
      <c r="P233" s="78" t="str">
        <f>_xlfn.LET(
    _xlpm.itemBuscado, B233,
    _xlpm.areaBuscada, C233,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TEXT(COUNTIF($C$2:C233, _xlpm.areaBuscada), "0000"),
    _xlpm.codItem &amp; "-" &amp; _xlpm.codArea &amp; "-" &amp; _xlpm.secuencia
)</f>
        <v>-SinArea-0000</v>
      </c>
      <c r="Q233" s="77"/>
      <c r="R233" s="32"/>
      <c r="S233" s="32"/>
      <c r="T233" s="32"/>
      <c r="U233" s="32"/>
    </row>
    <row r="234" spans="3:21" x14ac:dyDescent="0.3">
      <c r="C234" s="11"/>
      <c r="D234" s="32"/>
      <c r="E234" s="11" t="str" cm="1">
        <f t="array" ref="E234">_xlfn.IFS(
    COUNTIF(Herramientas_eléctricas1862[Herramientas_eléctricas], B234) &gt; 0, Herramientas_eléctricas1862[[#Headers],[Herramientas_eléctricas]],
    COUNTIF(Herramientas_neumáticas1963[Herramientas_neumáticas], B234) &gt; 0, Herramientas_neumáticas1963[[#Headers],[Herramientas_neumáticas]],
    COUNTIF(Herramientas_de_medición2064[Herramientas_de_medición], B234) &gt; 0, Herramientas_de_medición2064[[#Headers],[Herramientas_de_medición]],
    COUNTIF(Herrramientas_mecánicas2165[Herramientas_mecánicas], B234) &gt; 0, Herrramientas_mecánicas2165[[#Headers],[Herramientas_mecánicas]],
    COUNTIF(AK234:AK240, B234) &gt; 0, Herramientas_hidráulicas2266[[#Headers],[Herramientas_hidráulicas]],
    COUNTIF(EPP_2367[SPCC], B234) &gt; 0, EPP_2367[[#Headers],[SPCC]],
   COUNTIF(Herramientas_de_izaje2468[Herramientas_de_izaje], B234) &gt; 0, Herramientas_de_izaje2468[[#Headers],[Herramientas_de_izaje]],
COUNTIF(Tabla162670[Equipos], B234) &gt; 0, Tabla162670[[#Headers],[Equipos]],
    TRUE, "Sin clasificación"
)</f>
        <v>Sin clasificación</v>
      </c>
      <c r="G234" s="15"/>
      <c r="H234" s="47"/>
      <c r="I234" s="87"/>
      <c r="J234" s="78"/>
      <c r="K234" s="78"/>
      <c r="L234" s="78"/>
      <c r="M234" s="78"/>
      <c r="N234" s="76"/>
      <c r="O234" s="76"/>
      <c r="P234" s="78" t="str">
        <f>_xlfn.LET(
    _xlpm.itemBuscado, B234,
    _xlpm.areaBuscada, C234,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TEXT(COUNTIF($C$2:C234, _xlpm.areaBuscada), "0000"),
    _xlpm.codItem &amp; "-" &amp; _xlpm.codArea &amp; "-" &amp; _xlpm.secuencia
)</f>
        <v>-SinArea-0000</v>
      </c>
      <c r="Q234" s="77"/>
      <c r="R234" s="32"/>
      <c r="S234" s="32"/>
      <c r="T234" s="32"/>
      <c r="U234" s="32"/>
    </row>
    <row r="235" spans="3:21" x14ac:dyDescent="0.3">
      <c r="C235" s="11"/>
      <c r="D235" s="32"/>
      <c r="E235" s="11" t="str" cm="1">
        <f t="array" ref="E235">_xlfn.IFS(
    COUNTIF(Herramientas_eléctricas1862[Herramientas_eléctricas], B235) &gt; 0, Herramientas_eléctricas1862[[#Headers],[Herramientas_eléctricas]],
    COUNTIF(Herramientas_neumáticas1963[Herramientas_neumáticas], B235) &gt; 0, Herramientas_neumáticas1963[[#Headers],[Herramientas_neumáticas]],
    COUNTIF(Herramientas_de_medición2064[Herramientas_de_medición], B235) &gt; 0, Herramientas_de_medición2064[[#Headers],[Herramientas_de_medición]],
    COUNTIF(Herrramientas_mecánicas2165[Herramientas_mecánicas], B235) &gt; 0, Herrramientas_mecánicas2165[[#Headers],[Herramientas_mecánicas]],
    COUNTIF(AK235:AK241, B235) &gt; 0, Herramientas_hidráulicas2266[[#Headers],[Herramientas_hidráulicas]],
    COUNTIF(EPP_2367[SPCC], B235) &gt; 0, EPP_2367[[#Headers],[SPCC]],
   COUNTIF(Herramientas_de_izaje2468[Herramientas_de_izaje], B235) &gt; 0, Herramientas_de_izaje2468[[#Headers],[Herramientas_de_izaje]],
COUNTIF(Tabla162670[Equipos], B235) &gt; 0, Tabla162670[[#Headers],[Equipos]],
    TRUE, "Sin clasificación"
)</f>
        <v>Sin clasificación</v>
      </c>
      <c r="G235" s="15"/>
      <c r="H235" s="47"/>
      <c r="I235" s="87"/>
      <c r="J235" s="78"/>
      <c r="K235" s="78"/>
      <c r="L235" s="78"/>
      <c r="M235" s="78"/>
      <c r="N235" s="76"/>
      <c r="O235" s="76"/>
      <c r="P235" s="78" t="str">
        <f>_xlfn.LET(
    _xlpm.itemBuscado, B235,
    _xlpm.areaBuscada, C235,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TEXT(COUNTIF($C$2:C235, _xlpm.areaBuscada), "0000"),
    _xlpm.codItem &amp; "-" &amp; _xlpm.codArea &amp; "-" &amp; _xlpm.secuencia
)</f>
        <v>-SinArea-0000</v>
      </c>
      <c r="Q235" s="77"/>
      <c r="R235" s="32"/>
      <c r="S235" s="32"/>
      <c r="T235" s="32"/>
      <c r="U235" s="32"/>
    </row>
    <row r="236" spans="3:21" x14ac:dyDescent="0.3">
      <c r="C236" s="11"/>
      <c r="D236" s="32"/>
      <c r="E236" s="11" t="str" cm="1">
        <f t="array" ref="E236">_xlfn.IFS(
    COUNTIF(Herramientas_eléctricas1862[Herramientas_eléctricas], B236) &gt; 0, Herramientas_eléctricas1862[[#Headers],[Herramientas_eléctricas]],
    COUNTIF(Herramientas_neumáticas1963[Herramientas_neumáticas], B236) &gt; 0, Herramientas_neumáticas1963[[#Headers],[Herramientas_neumáticas]],
    COUNTIF(Herramientas_de_medición2064[Herramientas_de_medición], B236) &gt; 0, Herramientas_de_medición2064[[#Headers],[Herramientas_de_medición]],
    COUNTIF(Herrramientas_mecánicas2165[Herramientas_mecánicas], B236) &gt; 0, Herrramientas_mecánicas2165[[#Headers],[Herramientas_mecánicas]],
    COUNTIF(AK236:AK242, B236) &gt; 0, Herramientas_hidráulicas2266[[#Headers],[Herramientas_hidráulicas]],
    COUNTIF(EPP_2367[SPCC], B236) &gt; 0, EPP_2367[[#Headers],[SPCC]],
   COUNTIF(Herramientas_de_izaje2468[Herramientas_de_izaje], B236) &gt; 0, Herramientas_de_izaje2468[[#Headers],[Herramientas_de_izaje]],
COUNTIF(Tabla162670[Equipos], B236) &gt; 0, Tabla162670[[#Headers],[Equipos]],
    TRUE, "Sin clasificación"
)</f>
        <v>Sin clasificación</v>
      </c>
      <c r="G236" s="15"/>
      <c r="H236" s="47"/>
      <c r="I236" s="87"/>
      <c r="J236" s="78"/>
      <c r="K236" s="78"/>
      <c r="L236" s="78"/>
      <c r="M236" s="78"/>
      <c r="N236" s="76"/>
      <c r="O236" s="76"/>
      <c r="P236" s="78" t="str">
        <f>_xlfn.LET(
    _xlpm.itemBuscado, B236,
    _xlpm.areaBuscada, C236,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TEXT(COUNTIF($C$2:C236, _xlpm.areaBuscada), "0000"),
    _xlpm.codItem &amp; "-" &amp; _xlpm.codArea &amp; "-" &amp; _xlpm.secuencia
)</f>
        <v>-SinArea-0000</v>
      </c>
      <c r="Q236" s="77"/>
      <c r="R236" s="32"/>
      <c r="S236" s="32"/>
      <c r="T236" s="32"/>
      <c r="U236" s="32"/>
    </row>
    <row r="237" spans="3:21" x14ac:dyDescent="0.3">
      <c r="C237" s="11"/>
      <c r="D237" s="32"/>
      <c r="E237" s="11" t="str" cm="1">
        <f t="array" ref="E237">_xlfn.IFS(
    COUNTIF(Herramientas_eléctricas1862[Herramientas_eléctricas], B237) &gt; 0, Herramientas_eléctricas1862[[#Headers],[Herramientas_eléctricas]],
    COUNTIF(Herramientas_neumáticas1963[Herramientas_neumáticas], B237) &gt; 0, Herramientas_neumáticas1963[[#Headers],[Herramientas_neumáticas]],
    COUNTIF(Herramientas_de_medición2064[Herramientas_de_medición], B237) &gt; 0, Herramientas_de_medición2064[[#Headers],[Herramientas_de_medición]],
    COUNTIF(Herrramientas_mecánicas2165[Herramientas_mecánicas], B237) &gt; 0, Herrramientas_mecánicas2165[[#Headers],[Herramientas_mecánicas]],
    COUNTIF(AK237:AK243, B237) &gt; 0, Herramientas_hidráulicas2266[[#Headers],[Herramientas_hidráulicas]],
    COUNTIF(EPP_2367[SPCC], B237) &gt; 0, EPP_2367[[#Headers],[SPCC]],
   COUNTIF(Herramientas_de_izaje2468[Herramientas_de_izaje], B237) &gt; 0, Herramientas_de_izaje2468[[#Headers],[Herramientas_de_izaje]],
COUNTIF(Tabla162670[Equipos], B237) &gt; 0, Tabla162670[[#Headers],[Equipos]],
    TRUE, "Sin clasificación"
)</f>
        <v>Sin clasificación</v>
      </c>
      <c r="G237" s="15"/>
      <c r="H237" s="47"/>
      <c r="I237" s="87"/>
      <c r="J237" s="78"/>
      <c r="K237" s="78"/>
      <c r="L237" s="78"/>
      <c r="M237" s="78"/>
      <c r="N237" s="76"/>
      <c r="O237" s="76"/>
      <c r="P237" s="78" t="str">
        <f>_xlfn.LET(
    _xlpm.itemBuscado, B237,
    _xlpm.areaBuscada, C237,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TEXT(COUNTIF($C$2:C237, _xlpm.areaBuscada), "0000"),
    _xlpm.codItem &amp; "-" &amp; _xlpm.codArea &amp; "-" &amp; _xlpm.secuencia
)</f>
        <v>-SinArea-0000</v>
      </c>
      <c r="Q237" s="77"/>
      <c r="R237" s="32"/>
      <c r="S237" s="32"/>
      <c r="T237" s="32"/>
      <c r="U237" s="32"/>
    </row>
    <row r="238" spans="3:21" x14ac:dyDescent="0.3">
      <c r="C238" s="11"/>
      <c r="D238" s="32"/>
      <c r="E238" s="11" t="str" cm="1">
        <f t="array" ref="E238">_xlfn.IFS(
    COUNTIF(Herramientas_eléctricas1862[Herramientas_eléctricas], B238) &gt; 0, Herramientas_eléctricas1862[[#Headers],[Herramientas_eléctricas]],
    COUNTIF(Herramientas_neumáticas1963[Herramientas_neumáticas], B238) &gt; 0, Herramientas_neumáticas1963[[#Headers],[Herramientas_neumáticas]],
    COUNTIF(Herramientas_de_medición2064[Herramientas_de_medición], B238) &gt; 0, Herramientas_de_medición2064[[#Headers],[Herramientas_de_medición]],
    COUNTIF(Herrramientas_mecánicas2165[Herramientas_mecánicas], B238) &gt; 0, Herrramientas_mecánicas2165[[#Headers],[Herramientas_mecánicas]],
    COUNTIF(AK238:AK244, B238) &gt; 0, Herramientas_hidráulicas2266[[#Headers],[Herramientas_hidráulicas]],
    COUNTIF(EPP_2367[SPCC], B238) &gt; 0, EPP_2367[[#Headers],[SPCC]],
   COUNTIF(Herramientas_de_izaje2468[Herramientas_de_izaje], B238) &gt; 0, Herramientas_de_izaje2468[[#Headers],[Herramientas_de_izaje]],
COUNTIF(Tabla162670[Equipos], B238) &gt; 0, Tabla162670[[#Headers],[Equipos]],
    TRUE, "Sin clasificación"
)</f>
        <v>Sin clasificación</v>
      </c>
      <c r="G238" s="15"/>
      <c r="H238" s="47"/>
      <c r="I238" s="87"/>
      <c r="J238" s="78"/>
      <c r="K238" s="78"/>
      <c r="L238" s="78"/>
      <c r="M238" s="78"/>
      <c r="N238" s="76"/>
      <c r="O238" s="76"/>
      <c r="P238" s="78" t="str">
        <f>_xlfn.LET(
    _xlpm.itemBuscado, B238,
    _xlpm.areaBuscada, C238,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TEXT(COUNTIF($C$2:C238, _xlpm.areaBuscada), "0000"),
    _xlpm.codItem &amp; "-" &amp; _xlpm.codArea &amp; "-" &amp; _xlpm.secuencia
)</f>
        <v>-SinArea-0000</v>
      </c>
      <c r="Q238" s="77"/>
      <c r="R238" s="32"/>
      <c r="S238" s="32"/>
      <c r="T238" s="32"/>
      <c r="U238" s="32"/>
    </row>
    <row r="239" spans="3:21" x14ac:dyDescent="0.3">
      <c r="C239" s="11"/>
      <c r="D239" s="32"/>
      <c r="E239" s="11" t="str" cm="1">
        <f t="array" ref="E239">_xlfn.IFS(
    COUNTIF(Herramientas_eléctricas1862[Herramientas_eléctricas], B239) &gt; 0, Herramientas_eléctricas1862[[#Headers],[Herramientas_eléctricas]],
    COUNTIF(Herramientas_neumáticas1963[Herramientas_neumáticas], B239) &gt; 0, Herramientas_neumáticas1963[[#Headers],[Herramientas_neumáticas]],
    COUNTIF(Herramientas_de_medición2064[Herramientas_de_medición], B239) &gt; 0, Herramientas_de_medición2064[[#Headers],[Herramientas_de_medición]],
    COUNTIF(Herrramientas_mecánicas2165[Herramientas_mecánicas], B239) &gt; 0, Herrramientas_mecánicas2165[[#Headers],[Herramientas_mecánicas]],
    COUNTIF(AK239:AK245, B239) &gt; 0, Herramientas_hidráulicas2266[[#Headers],[Herramientas_hidráulicas]],
    COUNTIF(EPP_2367[SPCC], B239) &gt; 0, EPP_2367[[#Headers],[SPCC]],
   COUNTIF(Herramientas_de_izaje2468[Herramientas_de_izaje], B239) &gt; 0, Herramientas_de_izaje2468[[#Headers],[Herramientas_de_izaje]],
COUNTIF(Tabla162670[Equipos], B239) &gt; 0, Tabla162670[[#Headers],[Equipos]],
    TRUE, "Sin clasificación"
)</f>
        <v>Sin clasificación</v>
      </c>
      <c r="G239" s="15"/>
      <c r="H239" s="47"/>
      <c r="I239" s="87"/>
      <c r="J239" s="78"/>
      <c r="K239" s="78"/>
      <c r="L239" s="78"/>
      <c r="M239" s="78"/>
      <c r="N239" s="76"/>
      <c r="O239" s="76"/>
      <c r="P239" s="78" t="str">
        <f>_xlfn.LET(
    _xlpm.itemBuscado, B239,
    _xlpm.areaBuscada, C239,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TEXT(COUNTIF($C$2:C239, _xlpm.areaBuscada), "0000"),
    _xlpm.codItem &amp; "-" &amp; _xlpm.codArea &amp; "-" &amp; _xlpm.secuencia
)</f>
        <v>-SinArea-0000</v>
      </c>
      <c r="Q239" s="77"/>
      <c r="R239" s="32"/>
      <c r="S239" s="32"/>
      <c r="T239" s="32"/>
      <c r="U239" s="32"/>
    </row>
    <row r="240" spans="3:21" x14ac:dyDescent="0.3">
      <c r="C240" s="11"/>
      <c r="D240" s="32"/>
      <c r="E240" s="11" t="str" cm="1">
        <f t="array" ref="E240">_xlfn.IFS(
    COUNTIF(Herramientas_eléctricas1862[Herramientas_eléctricas], B240) &gt; 0, Herramientas_eléctricas1862[[#Headers],[Herramientas_eléctricas]],
    COUNTIF(Herramientas_neumáticas1963[Herramientas_neumáticas], B240) &gt; 0, Herramientas_neumáticas1963[[#Headers],[Herramientas_neumáticas]],
    COUNTIF(Herramientas_de_medición2064[Herramientas_de_medición], B240) &gt; 0, Herramientas_de_medición2064[[#Headers],[Herramientas_de_medición]],
    COUNTIF(Herrramientas_mecánicas2165[Herramientas_mecánicas], B240) &gt; 0, Herrramientas_mecánicas2165[[#Headers],[Herramientas_mecánicas]],
    COUNTIF(AK240:AK246, B240) &gt; 0, Herramientas_hidráulicas2266[[#Headers],[Herramientas_hidráulicas]],
    COUNTIF(EPP_2367[SPCC], B240) &gt; 0, EPP_2367[[#Headers],[SPCC]],
   COUNTIF(Herramientas_de_izaje2468[Herramientas_de_izaje], B240) &gt; 0, Herramientas_de_izaje2468[[#Headers],[Herramientas_de_izaje]],
COUNTIF(Tabla162670[Equipos], B240) &gt; 0, Tabla162670[[#Headers],[Equipos]],
    TRUE, "Sin clasificación"
)</f>
        <v>Sin clasificación</v>
      </c>
      <c r="G240" s="15"/>
      <c r="H240" s="47"/>
      <c r="I240" s="87"/>
      <c r="J240" s="78"/>
      <c r="K240" s="78"/>
      <c r="L240" s="78"/>
      <c r="M240" s="78"/>
      <c r="N240" s="76"/>
      <c r="O240" s="76"/>
      <c r="P240" s="78" t="str">
        <f>_xlfn.LET(
    _xlpm.itemBuscado, B240,
    _xlpm.areaBuscada, C240,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TEXT(COUNTIF($C$2:C240, _xlpm.areaBuscada), "0000"),
    _xlpm.codItem &amp; "-" &amp; _xlpm.codArea &amp; "-" &amp; _xlpm.secuencia
)</f>
        <v>-SinArea-0000</v>
      </c>
      <c r="Q240" s="77"/>
      <c r="R240" s="32"/>
      <c r="S240" s="32"/>
      <c r="T240" s="32"/>
      <c r="U240" s="32"/>
    </row>
    <row r="241" spans="3:21" x14ac:dyDescent="0.3">
      <c r="C241" s="11"/>
      <c r="D241" s="32"/>
      <c r="E241" s="11" t="str" cm="1">
        <f t="array" ref="E241">_xlfn.IFS(
    COUNTIF(Herramientas_eléctricas1862[Herramientas_eléctricas], B241) &gt; 0, Herramientas_eléctricas1862[[#Headers],[Herramientas_eléctricas]],
    COUNTIF(Herramientas_neumáticas1963[Herramientas_neumáticas], B241) &gt; 0, Herramientas_neumáticas1963[[#Headers],[Herramientas_neumáticas]],
    COUNTIF(Herramientas_de_medición2064[Herramientas_de_medición], B241) &gt; 0, Herramientas_de_medición2064[[#Headers],[Herramientas_de_medición]],
    COUNTIF(Herrramientas_mecánicas2165[Herramientas_mecánicas], B241) &gt; 0, Herrramientas_mecánicas2165[[#Headers],[Herramientas_mecánicas]],
    COUNTIF(AK241:AK247, B241) &gt; 0, Herramientas_hidráulicas2266[[#Headers],[Herramientas_hidráulicas]],
    COUNTIF(EPP_2367[SPCC], B241) &gt; 0, EPP_2367[[#Headers],[SPCC]],
   COUNTIF(Herramientas_de_izaje2468[Herramientas_de_izaje], B241) &gt; 0, Herramientas_de_izaje2468[[#Headers],[Herramientas_de_izaje]],
COUNTIF(Tabla162670[Equipos], B241) &gt; 0, Tabla162670[[#Headers],[Equipos]],
    TRUE, "Sin clasificación"
)</f>
        <v>Sin clasificación</v>
      </c>
      <c r="G241" s="15"/>
      <c r="H241" s="47"/>
      <c r="I241" s="87"/>
      <c r="J241" s="78"/>
      <c r="K241" s="78"/>
      <c r="L241" s="78"/>
      <c r="M241" s="78"/>
      <c r="N241" s="76"/>
      <c r="O241" s="76"/>
      <c r="P241" s="78" t="str">
        <f>_xlfn.LET(
    _xlpm.itemBuscado, B241,
    _xlpm.areaBuscada, C241,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TEXT(COUNTIF($C$2:C241, _xlpm.areaBuscada), "0000"),
    _xlpm.codItem &amp; "-" &amp; _xlpm.codArea &amp; "-" &amp; _xlpm.secuencia
)</f>
        <v>-SinArea-0000</v>
      </c>
      <c r="Q241" s="77"/>
      <c r="R241" s="32"/>
      <c r="S241" s="32"/>
      <c r="T241" s="32"/>
      <c r="U241" s="32"/>
    </row>
    <row r="242" spans="3:21" x14ac:dyDescent="0.3">
      <c r="C242" s="11"/>
      <c r="D242" s="32"/>
      <c r="E242" s="11" t="str" cm="1">
        <f t="array" ref="E242">_xlfn.IFS(
    COUNTIF(Herramientas_eléctricas1862[Herramientas_eléctricas], B242) &gt; 0, Herramientas_eléctricas1862[[#Headers],[Herramientas_eléctricas]],
    COUNTIF(Herramientas_neumáticas1963[Herramientas_neumáticas], B242) &gt; 0, Herramientas_neumáticas1963[[#Headers],[Herramientas_neumáticas]],
    COUNTIF(Herramientas_de_medición2064[Herramientas_de_medición], B242) &gt; 0, Herramientas_de_medición2064[[#Headers],[Herramientas_de_medición]],
    COUNTIF(Herrramientas_mecánicas2165[Herramientas_mecánicas], B242) &gt; 0, Herrramientas_mecánicas2165[[#Headers],[Herramientas_mecánicas]],
    COUNTIF(AK242:AK248, B242) &gt; 0, Herramientas_hidráulicas2266[[#Headers],[Herramientas_hidráulicas]],
    COUNTIF(EPP_2367[SPCC], B242) &gt; 0, EPP_2367[[#Headers],[SPCC]],
   COUNTIF(Herramientas_de_izaje2468[Herramientas_de_izaje], B242) &gt; 0, Herramientas_de_izaje2468[[#Headers],[Herramientas_de_izaje]],
COUNTIF(Tabla162670[Equipos], B242) &gt; 0, Tabla162670[[#Headers],[Equipos]],
    TRUE, "Sin clasificación"
)</f>
        <v>Sin clasificación</v>
      </c>
      <c r="G242" s="15"/>
      <c r="H242" s="47"/>
      <c r="I242" s="87"/>
      <c r="J242" s="78"/>
      <c r="K242" s="78"/>
      <c r="L242" s="78"/>
      <c r="M242" s="78"/>
      <c r="N242" s="76"/>
      <c r="O242" s="76"/>
      <c r="P242" s="78" t="str">
        <f>_xlfn.LET(
    _xlpm.itemBuscado, B242,
    _xlpm.areaBuscada, C242,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TEXT(COUNTIF($C$2:C242, _xlpm.areaBuscada), "0000"),
    _xlpm.codItem &amp; "-" &amp; _xlpm.codArea &amp; "-" &amp; _xlpm.secuencia
)</f>
        <v>-SinArea-0000</v>
      </c>
      <c r="Q242" s="77"/>
      <c r="R242" s="32"/>
      <c r="S242" s="32"/>
      <c r="T242" s="32"/>
      <c r="U242" s="32"/>
    </row>
    <row r="243" spans="3:21" x14ac:dyDescent="0.3">
      <c r="C243" s="11"/>
      <c r="D243" s="32"/>
      <c r="E243" s="11" t="str" cm="1">
        <f t="array" ref="E243">_xlfn.IFS(
    COUNTIF(Herramientas_eléctricas1862[Herramientas_eléctricas], B243) &gt; 0, Herramientas_eléctricas1862[[#Headers],[Herramientas_eléctricas]],
    COUNTIF(Herramientas_neumáticas1963[Herramientas_neumáticas], B243) &gt; 0, Herramientas_neumáticas1963[[#Headers],[Herramientas_neumáticas]],
    COUNTIF(Herramientas_de_medición2064[Herramientas_de_medición], B243) &gt; 0, Herramientas_de_medición2064[[#Headers],[Herramientas_de_medición]],
    COUNTIF(Herrramientas_mecánicas2165[Herramientas_mecánicas], B243) &gt; 0, Herrramientas_mecánicas2165[[#Headers],[Herramientas_mecánicas]],
    COUNTIF(AK243:AK249, B243) &gt; 0, Herramientas_hidráulicas2266[[#Headers],[Herramientas_hidráulicas]],
    COUNTIF(EPP_2367[SPCC], B243) &gt; 0, EPP_2367[[#Headers],[SPCC]],
   COUNTIF(Herramientas_de_izaje2468[Herramientas_de_izaje], B243) &gt; 0, Herramientas_de_izaje2468[[#Headers],[Herramientas_de_izaje]],
COUNTIF(Tabla162670[Equipos], B243) &gt; 0, Tabla162670[[#Headers],[Equipos]],
    TRUE, "Sin clasificación"
)</f>
        <v>Sin clasificación</v>
      </c>
      <c r="G243" s="15"/>
      <c r="H243" s="47"/>
      <c r="I243" s="87"/>
      <c r="J243" s="78"/>
      <c r="K243" s="78"/>
      <c r="L243" s="78"/>
      <c r="M243" s="78"/>
      <c r="N243" s="76"/>
      <c r="O243" s="76"/>
      <c r="P243" s="78" t="str">
        <f>_xlfn.LET(
    _xlpm.itemBuscado, B243,
    _xlpm.areaBuscada, C243,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TEXT(COUNTIF($C$2:C243, _xlpm.areaBuscada), "0000"),
    _xlpm.codItem &amp; "-" &amp; _xlpm.codArea &amp; "-" &amp; _xlpm.secuencia
)</f>
        <v>-SinArea-0000</v>
      </c>
      <c r="Q243" s="77"/>
      <c r="R243" s="32"/>
      <c r="S243" s="32"/>
      <c r="T243" s="32"/>
      <c r="U243" s="32"/>
    </row>
    <row r="244" spans="3:21" x14ac:dyDescent="0.3">
      <c r="C244" s="11"/>
      <c r="D244" s="32"/>
      <c r="E244" s="11" t="str" cm="1">
        <f t="array" ref="E244">_xlfn.IFS(
    COUNTIF(Herramientas_eléctricas1862[Herramientas_eléctricas], B244) &gt; 0, Herramientas_eléctricas1862[[#Headers],[Herramientas_eléctricas]],
    COUNTIF(Herramientas_neumáticas1963[Herramientas_neumáticas], B244) &gt; 0, Herramientas_neumáticas1963[[#Headers],[Herramientas_neumáticas]],
    COUNTIF(Herramientas_de_medición2064[Herramientas_de_medición], B244) &gt; 0, Herramientas_de_medición2064[[#Headers],[Herramientas_de_medición]],
    COUNTIF(Herrramientas_mecánicas2165[Herramientas_mecánicas], B244) &gt; 0, Herrramientas_mecánicas2165[[#Headers],[Herramientas_mecánicas]],
    COUNTIF(AK244:AK250, B244) &gt; 0, Herramientas_hidráulicas2266[[#Headers],[Herramientas_hidráulicas]],
    COUNTIF(EPP_2367[SPCC], B244) &gt; 0, EPP_2367[[#Headers],[SPCC]],
   COUNTIF(Herramientas_de_izaje2468[Herramientas_de_izaje], B244) &gt; 0, Herramientas_de_izaje2468[[#Headers],[Herramientas_de_izaje]],
COUNTIF(Tabla162670[Equipos], B244) &gt; 0, Tabla162670[[#Headers],[Equipos]],
    TRUE, "Sin clasificación"
)</f>
        <v>Sin clasificación</v>
      </c>
      <c r="G244" s="15"/>
      <c r="H244" s="47"/>
      <c r="I244" s="87"/>
      <c r="J244" s="78"/>
      <c r="K244" s="78"/>
      <c r="L244" s="78"/>
      <c r="M244" s="78"/>
      <c r="N244" s="76"/>
      <c r="O244" s="76"/>
      <c r="P244" s="78" t="str">
        <f>_xlfn.LET(
    _xlpm.itemBuscado, B244,
    _xlpm.areaBuscada, C244,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TEXT(COUNTIF($C$2:C244, _xlpm.areaBuscada), "0000"),
    _xlpm.codItem &amp; "-" &amp; _xlpm.codArea &amp; "-" &amp; _xlpm.secuencia
)</f>
        <v>-SinArea-0000</v>
      </c>
      <c r="Q244" s="77"/>
      <c r="R244" s="32"/>
      <c r="S244" s="32"/>
      <c r="T244" s="32"/>
      <c r="U244" s="32"/>
    </row>
    <row r="245" spans="3:21" x14ac:dyDescent="0.3">
      <c r="C245" s="11"/>
      <c r="D245" s="32"/>
      <c r="E245" s="11" t="str" cm="1">
        <f t="array" ref="E245">_xlfn.IFS(
    COUNTIF(Herramientas_eléctricas1862[Herramientas_eléctricas], B245) &gt; 0, Herramientas_eléctricas1862[[#Headers],[Herramientas_eléctricas]],
    COUNTIF(Herramientas_neumáticas1963[Herramientas_neumáticas], B245) &gt; 0, Herramientas_neumáticas1963[[#Headers],[Herramientas_neumáticas]],
    COUNTIF(Herramientas_de_medición2064[Herramientas_de_medición], B245) &gt; 0, Herramientas_de_medición2064[[#Headers],[Herramientas_de_medición]],
    COUNTIF(Herrramientas_mecánicas2165[Herramientas_mecánicas], B245) &gt; 0, Herrramientas_mecánicas2165[[#Headers],[Herramientas_mecánicas]],
    COUNTIF(AK245:AK251, B245) &gt; 0, Herramientas_hidráulicas2266[[#Headers],[Herramientas_hidráulicas]],
    COUNTIF(EPP_2367[SPCC], B245) &gt; 0, EPP_2367[[#Headers],[SPCC]],
   COUNTIF(Herramientas_de_izaje2468[Herramientas_de_izaje], B245) &gt; 0, Herramientas_de_izaje2468[[#Headers],[Herramientas_de_izaje]],
COUNTIF(Tabla162670[Equipos], B245) &gt; 0, Tabla162670[[#Headers],[Equipos]],
    TRUE, "Sin clasificación"
)</f>
        <v>Sin clasificación</v>
      </c>
      <c r="G245" s="15"/>
      <c r="H245" s="47"/>
      <c r="I245" s="87"/>
      <c r="J245" s="78"/>
      <c r="K245" s="78"/>
      <c r="L245" s="78"/>
      <c r="M245" s="78"/>
      <c r="N245" s="76"/>
      <c r="O245" s="76"/>
      <c r="P245" s="78" t="str">
        <f>_xlfn.LET(
    _xlpm.itemBuscado, B245,
    _xlpm.areaBuscada, C245,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TEXT(COUNTIF($C$2:C245, _xlpm.areaBuscada), "0000"),
    _xlpm.codItem &amp; "-" &amp; _xlpm.codArea &amp; "-" &amp; _xlpm.secuencia
)</f>
        <v>-SinArea-0000</v>
      </c>
      <c r="Q245" s="77"/>
      <c r="R245" s="32"/>
      <c r="S245" s="32"/>
      <c r="T245" s="32"/>
      <c r="U245" s="32"/>
    </row>
    <row r="246" spans="3:21" x14ac:dyDescent="0.3">
      <c r="C246" s="11"/>
      <c r="D246" s="32"/>
      <c r="E246" s="11" t="str" cm="1">
        <f t="array" ref="E246">_xlfn.IFS(
    COUNTIF(Herramientas_eléctricas1862[Herramientas_eléctricas], B246) &gt; 0, Herramientas_eléctricas1862[[#Headers],[Herramientas_eléctricas]],
    COUNTIF(Herramientas_neumáticas1963[Herramientas_neumáticas], B246) &gt; 0, Herramientas_neumáticas1963[[#Headers],[Herramientas_neumáticas]],
    COUNTIF(Herramientas_de_medición2064[Herramientas_de_medición], B246) &gt; 0, Herramientas_de_medición2064[[#Headers],[Herramientas_de_medición]],
    COUNTIF(Herrramientas_mecánicas2165[Herramientas_mecánicas], B246) &gt; 0, Herrramientas_mecánicas2165[[#Headers],[Herramientas_mecánicas]],
    COUNTIF(AK246:AK252, B246) &gt; 0, Herramientas_hidráulicas2266[[#Headers],[Herramientas_hidráulicas]],
    COUNTIF(EPP_2367[SPCC], B246) &gt; 0, EPP_2367[[#Headers],[SPCC]],
   COUNTIF(Herramientas_de_izaje2468[Herramientas_de_izaje], B246) &gt; 0, Herramientas_de_izaje2468[[#Headers],[Herramientas_de_izaje]],
COUNTIF(Tabla162670[Equipos], B246) &gt; 0, Tabla162670[[#Headers],[Equipos]],
    TRUE, "Sin clasificación"
)</f>
        <v>Sin clasificación</v>
      </c>
      <c r="G246" s="15"/>
      <c r="H246" s="47"/>
      <c r="I246" s="87"/>
      <c r="J246" s="78"/>
      <c r="K246" s="78"/>
      <c r="L246" s="78"/>
      <c r="M246" s="78"/>
      <c r="N246" s="76"/>
      <c r="O246" s="76"/>
      <c r="P246" s="78" t="str">
        <f>_xlfn.LET(
    _xlpm.itemBuscado, B246,
    _xlpm.areaBuscada, C246,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TEXT(COUNTIF($C$2:C246, _xlpm.areaBuscada), "0000"),
    _xlpm.codItem &amp; "-" &amp; _xlpm.codArea &amp; "-" &amp; _xlpm.secuencia
)</f>
        <v>-SinArea-0000</v>
      </c>
      <c r="Q246" s="77"/>
      <c r="R246" s="32"/>
      <c r="S246" s="32"/>
      <c r="T246" s="32"/>
      <c r="U246" s="32"/>
    </row>
    <row r="247" spans="3:21" x14ac:dyDescent="0.3">
      <c r="C247" s="11"/>
      <c r="D247" s="32"/>
      <c r="E247" s="11" t="str" cm="1">
        <f t="array" ref="E247">_xlfn.IFS(
    COUNTIF(Herramientas_eléctricas1862[Herramientas_eléctricas], B247) &gt; 0, Herramientas_eléctricas1862[[#Headers],[Herramientas_eléctricas]],
    COUNTIF(Herramientas_neumáticas1963[Herramientas_neumáticas], B247) &gt; 0, Herramientas_neumáticas1963[[#Headers],[Herramientas_neumáticas]],
    COUNTIF(Herramientas_de_medición2064[Herramientas_de_medición], B247) &gt; 0, Herramientas_de_medición2064[[#Headers],[Herramientas_de_medición]],
    COUNTIF(Herrramientas_mecánicas2165[Herramientas_mecánicas], B247) &gt; 0, Herrramientas_mecánicas2165[[#Headers],[Herramientas_mecánicas]],
    COUNTIF(AK247:AK253, B247) &gt; 0, Herramientas_hidráulicas2266[[#Headers],[Herramientas_hidráulicas]],
    COUNTIF(EPP_2367[SPCC], B247) &gt; 0, EPP_2367[[#Headers],[SPCC]],
   COUNTIF(Herramientas_de_izaje2468[Herramientas_de_izaje], B247) &gt; 0, Herramientas_de_izaje2468[[#Headers],[Herramientas_de_izaje]],
COUNTIF(Tabla162670[Equipos], B247) &gt; 0, Tabla162670[[#Headers],[Equipos]],
    TRUE, "Sin clasificación"
)</f>
        <v>Sin clasificación</v>
      </c>
      <c r="G247" s="15"/>
      <c r="H247" s="47"/>
      <c r="I247" s="87"/>
      <c r="J247" s="78"/>
      <c r="K247" s="78"/>
      <c r="L247" s="78"/>
      <c r="M247" s="78"/>
      <c r="N247" s="76"/>
      <c r="O247" s="76"/>
      <c r="P247" s="78" t="str">
        <f>_xlfn.LET(
    _xlpm.itemBuscado, B247,
    _xlpm.areaBuscada, C247,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TEXT(COUNTIF($C$2:C247, _xlpm.areaBuscada), "0000"),
    _xlpm.codItem &amp; "-" &amp; _xlpm.codArea &amp; "-" &amp; _xlpm.secuencia
)</f>
        <v>-SinArea-0000</v>
      </c>
      <c r="Q247" s="77"/>
      <c r="R247" s="32"/>
      <c r="S247" s="32"/>
      <c r="T247" s="32"/>
      <c r="U247" s="32"/>
    </row>
    <row r="248" spans="3:21" x14ac:dyDescent="0.3">
      <c r="C248" s="11"/>
      <c r="D248" s="32"/>
      <c r="E248" s="11" t="str" cm="1">
        <f t="array" ref="E248">_xlfn.IFS(
    COUNTIF(Herramientas_eléctricas1862[Herramientas_eléctricas], B248) &gt; 0, Herramientas_eléctricas1862[[#Headers],[Herramientas_eléctricas]],
    COUNTIF(Herramientas_neumáticas1963[Herramientas_neumáticas], B248) &gt; 0, Herramientas_neumáticas1963[[#Headers],[Herramientas_neumáticas]],
    COUNTIF(Herramientas_de_medición2064[Herramientas_de_medición], B248) &gt; 0, Herramientas_de_medición2064[[#Headers],[Herramientas_de_medición]],
    COUNTIF(Herrramientas_mecánicas2165[Herramientas_mecánicas], B248) &gt; 0, Herrramientas_mecánicas2165[[#Headers],[Herramientas_mecánicas]],
    COUNTIF(AK248:AK254, B248) &gt; 0, Herramientas_hidráulicas2266[[#Headers],[Herramientas_hidráulicas]],
    COUNTIF(EPP_2367[SPCC], B248) &gt; 0, EPP_2367[[#Headers],[SPCC]],
   COUNTIF(Herramientas_de_izaje2468[Herramientas_de_izaje], B248) &gt; 0, Herramientas_de_izaje2468[[#Headers],[Herramientas_de_izaje]],
COUNTIF(Tabla162670[Equipos], B248) &gt; 0, Tabla162670[[#Headers],[Equipos]],
    TRUE, "Sin clasificación"
)</f>
        <v>Sin clasificación</v>
      </c>
      <c r="G248" s="15"/>
      <c r="H248" s="47"/>
      <c r="I248" s="87"/>
      <c r="J248" s="78"/>
      <c r="K248" s="78"/>
      <c r="L248" s="78"/>
      <c r="M248" s="78"/>
      <c r="N248" s="76"/>
      <c r="O248" s="76"/>
      <c r="P248" s="78" t="str">
        <f>_xlfn.LET(
    _xlpm.itemBuscado, B248,
    _xlpm.areaBuscada, C248,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TEXT(COUNTIF($C$2:C248, _xlpm.areaBuscada), "0000"),
    _xlpm.codItem &amp; "-" &amp; _xlpm.codArea &amp; "-" &amp; _xlpm.secuencia
)</f>
        <v>-SinArea-0000</v>
      </c>
      <c r="Q248" s="77"/>
      <c r="R248" s="32"/>
      <c r="S248" s="32"/>
      <c r="T248" s="32"/>
      <c r="U248" s="32"/>
    </row>
    <row r="249" spans="3:21" x14ac:dyDescent="0.3">
      <c r="C249" s="11"/>
      <c r="D249" s="32"/>
      <c r="E249" s="11" t="str" cm="1">
        <f t="array" ref="E249">_xlfn.IFS(
    COUNTIF(Herramientas_eléctricas1862[Herramientas_eléctricas], B249) &gt; 0, Herramientas_eléctricas1862[[#Headers],[Herramientas_eléctricas]],
    COUNTIF(Herramientas_neumáticas1963[Herramientas_neumáticas], B249) &gt; 0, Herramientas_neumáticas1963[[#Headers],[Herramientas_neumáticas]],
    COUNTIF(Herramientas_de_medición2064[Herramientas_de_medición], B249) &gt; 0, Herramientas_de_medición2064[[#Headers],[Herramientas_de_medición]],
    COUNTIF(Herrramientas_mecánicas2165[Herramientas_mecánicas], B249) &gt; 0, Herrramientas_mecánicas2165[[#Headers],[Herramientas_mecánicas]],
    COUNTIF(AK249:AK255, B249) &gt; 0, Herramientas_hidráulicas2266[[#Headers],[Herramientas_hidráulicas]],
    COUNTIF(EPP_2367[SPCC], B249) &gt; 0, EPP_2367[[#Headers],[SPCC]],
   COUNTIF(Herramientas_de_izaje2468[Herramientas_de_izaje], B249) &gt; 0, Herramientas_de_izaje2468[[#Headers],[Herramientas_de_izaje]],
COUNTIF(Tabla162670[Equipos], B249) &gt; 0, Tabla162670[[#Headers],[Equipos]],
    TRUE, "Sin clasificación"
)</f>
        <v>Sin clasificación</v>
      </c>
      <c r="G249" s="15"/>
      <c r="H249" s="47"/>
      <c r="I249" s="87"/>
      <c r="J249" s="78"/>
      <c r="K249" s="78"/>
      <c r="L249" s="78"/>
      <c r="M249" s="78"/>
      <c r="N249" s="76"/>
      <c r="O249" s="76"/>
      <c r="P249" s="78" t="str">
        <f>_xlfn.LET(
    _xlpm.itemBuscado, B249,
    _xlpm.areaBuscada, C249,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TEXT(COUNTIF($C$2:C249, _xlpm.areaBuscada), "0000"),
    _xlpm.codItem &amp; "-" &amp; _xlpm.codArea &amp; "-" &amp; _xlpm.secuencia
)</f>
        <v>-SinArea-0000</v>
      </c>
      <c r="Q249" s="77"/>
      <c r="R249" s="32"/>
      <c r="S249" s="32"/>
      <c r="T249" s="32"/>
      <c r="U249" s="32"/>
    </row>
    <row r="250" spans="3:21" x14ac:dyDescent="0.3">
      <c r="C250" s="11"/>
      <c r="D250" s="32"/>
      <c r="E250" s="11" t="str" cm="1">
        <f t="array" ref="E250">_xlfn.IFS(
    COUNTIF(Herramientas_eléctricas1862[Herramientas_eléctricas], B250) &gt; 0, Herramientas_eléctricas1862[[#Headers],[Herramientas_eléctricas]],
    COUNTIF(Herramientas_neumáticas1963[Herramientas_neumáticas], B250) &gt; 0, Herramientas_neumáticas1963[[#Headers],[Herramientas_neumáticas]],
    COUNTIF(Herramientas_de_medición2064[Herramientas_de_medición], B250) &gt; 0, Herramientas_de_medición2064[[#Headers],[Herramientas_de_medición]],
    COUNTIF(Herrramientas_mecánicas2165[Herramientas_mecánicas], B250) &gt; 0, Herrramientas_mecánicas2165[[#Headers],[Herramientas_mecánicas]],
    COUNTIF(AK250:AK256, B250) &gt; 0, Herramientas_hidráulicas2266[[#Headers],[Herramientas_hidráulicas]],
    COUNTIF(EPP_2367[SPCC], B250) &gt; 0, EPP_2367[[#Headers],[SPCC]],
   COUNTIF(Herramientas_de_izaje2468[Herramientas_de_izaje], B250) &gt; 0, Herramientas_de_izaje2468[[#Headers],[Herramientas_de_izaje]],
COUNTIF(Tabla162670[Equipos], B250) &gt; 0, Tabla162670[[#Headers],[Equipos]],
    TRUE, "Sin clasificación"
)</f>
        <v>Sin clasificación</v>
      </c>
      <c r="G250" s="15"/>
      <c r="H250" s="47"/>
      <c r="I250" s="87"/>
      <c r="J250" s="78"/>
      <c r="K250" s="78"/>
      <c r="L250" s="78"/>
      <c r="M250" s="78"/>
      <c r="N250" s="76"/>
      <c r="O250" s="76"/>
      <c r="P250" s="78" t="str">
        <f>_xlfn.LET(
    _xlpm.itemBuscado, B250,
    _xlpm.areaBuscada, C250,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TEXT(COUNTIF($C$2:C250, _xlpm.areaBuscada), "0000"),
    _xlpm.codItem &amp; "-" &amp; _xlpm.codArea &amp; "-" &amp; _xlpm.secuencia
)</f>
        <v>-SinArea-0000</v>
      </c>
      <c r="Q250" s="77"/>
      <c r="R250" s="32"/>
      <c r="S250" s="32"/>
      <c r="T250" s="32"/>
      <c r="U250" s="32"/>
    </row>
    <row r="251" spans="3:21" x14ac:dyDescent="0.3">
      <c r="C251" s="11"/>
      <c r="D251" s="32"/>
      <c r="E251" s="11" t="str" cm="1">
        <f t="array" ref="E251">_xlfn.IFS(
    COUNTIF(Herramientas_eléctricas1862[Herramientas_eléctricas], B251) &gt; 0, Herramientas_eléctricas1862[[#Headers],[Herramientas_eléctricas]],
    COUNTIF(Herramientas_neumáticas1963[Herramientas_neumáticas], B251) &gt; 0, Herramientas_neumáticas1963[[#Headers],[Herramientas_neumáticas]],
    COUNTIF(Herramientas_de_medición2064[Herramientas_de_medición], B251) &gt; 0, Herramientas_de_medición2064[[#Headers],[Herramientas_de_medición]],
    COUNTIF(Herrramientas_mecánicas2165[Herramientas_mecánicas], B251) &gt; 0, Herrramientas_mecánicas2165[[#Headers],[Herramientas_mecánicas]],
    COUNTIF(AK251:AK257, B251) &gt; 0, Herramientas_hidráulicas2266[[#Headers],[Herramientas_hidráulicas]],
    COUNTIF(EPP_2367[SPCC], B251) &gt; 0, EPP_2367[[#Headers],[SPCC]],
   COUNTIF(Herramientas_de_izaje2468[Herramientas_de_izaje], B251) &gt; 0, Herramientas_de_izaje2468[[#Headers],[Herramientas_de_izaje]],
COUNTIF(Tabla162670[Equipos], B251) &gt; 0, Tabla162670[[#Headers],[Equipos]],
    TRUE, "Sin clasificación"
)</f>
        <v>Sin clasificación</v>
      </c>
      <c r="G251" s="15"/>
      <c r="H251" s="47"/>
      <c r="I251" s="87"/>
      <c r="J251" s="78"/>
      <c r="K251" s="78"/>
      <c r="L251" s="78"/>
      <c r="M251" s="78"/>
      <c r="N251" s="76"/>
      <c r="O251" s="76"/>
      <c r="P251" s="78" t="str">
        <f>_xlfn.LET(
    _xlpm.itemBuscado, B251,
    _xlpm.areaBuscada, C251,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TEXT(COUNTIF($C$2:C251, _xlpm.areaBuscada), "0000"),
    _xlpm.codItem &amp; "-" &amp; _xlpm.codArea &amp; "-" &amp; _xlpm.secuencia
)</f>
        <v>-SinArea-0000</v>
      </c>
      <c r="Q251" s="77"/>
      <c r="R251" s="32"/>
      <c r="S251" s="32"/>
      <c r="T251" s="32"/>
      <c r="U251" s="32"/>
    </row>
    <row r="252" spans="3:21" x14ac:dyDescent="0.3">
      <c r="C252" s="11"/>
      <c r="D252" s="32"/>
      <c r="E252" s="11" t="str" cm="1">
        <f t="array" ref="E252">_xlfn.IFS(
    COUNTIF(Herramientas_eléctricas1862[Herramientas_eléctricas], B252) &gt; 0, Herramientas_eléctricas1862[[#Headers],[Herramientas_eléctricas]],
    COUNTIF(Herramientas_neumáticas1963[Herramientas_neumáticas], B252) &gt; 0, Herramientas_neumáticas1963[[#Headers],[Herramientas_neumáticas]],
    COUNTIF(Herramientas_de_medición2064[Herramientas_de_medición], B252) &gt; 0, Herramientas_de_medición2064[[#Headers],[Herramientas_de_medición]],
    COUNTIF(Herrramientas_mecánicas2165[Herramientas_mecánicas], B252) &gt; 0, Herrramientas_mecánicas2165[[#Headers],[Herramientas_mecánicas]],
    COUNTIF(AK252:AK258, B252) &gt; 0, Herramientas_hidráulicas2266[[#Headers],[Herramientas_hidráulicas]],
    COUNTIF(EPP_2367[SPCC], B252) &gt; 0, EPP_2367[[#Headers],[SPCC]],
   COUNTIF(Herramientas_de_izaje2468[Herramientas_de_izaje], B252) &gt; 0, Herramientas_de_izaje2468[[#Headers],[Herramientas_de_izaje]],
COUNTIF(Tabla162670[Equipos], B252) &gt; 0, Tabla162670[[#Headers],[Equipos]],
    TRUE, "Sin clasificación"
)</f>
        <v>Sin clasificación</v>
      </c>
      <c r="G252" s="15"/>
      <c r="H252" s="47"/>
      <c r="I252" s="87"/>
      <c r="J252" s="78"/>
      <c r="K252" s="78"/>
      <c r="L252" s="78"/>
      <c r="M252" s="78"/>
      <c r="N252" s="76"/>
      <c r="O252" s="76"/>
      <c r="P252" s="78" t="str">
        <f>_xlfn.LET(
    _xlpm.itemBuscado, B252,
    _xlpm.areaBuscada, C252,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TEXT(COUNTIF($C$2:C252, _xlpm.areaBuscada), "0000"),
    _xlpm.codItem &amp; "-" &amp; _xlpm.codArea &amp; "-" &amp; _xlpm.secuencia
)</f>
        <v>-SinArea-0000</v>
      </c>
      <c r="Q252" s="77"/>
      <c r="R252" s="32"/>
      <c r="S252" s="32"/>
      <c r="T252" s="32"/>
      <c r="U252" s="32"/>
    </row>
    <row r="253" spans="3:21" x14ac:dyDescent="0.3">
      <c r="C253" s="11"/>
      <c r="D253" s="32"/>
      <c r="E253" s="11" t="str" cm="1">
        <f t="array" ref="E253">_xlfn.IFS(
    COUNTIF(Herramientas_eléctricas1862[Herramientas_eléctricas], B253) &gt; 0, Herramientas_eléctricas1862[[#Headers],[Herramientas_eléctricas]],
    COUNTIF(Herramientas_neumáticas1963[Herramientas_neumáticas], B253) &gt; 0, Herramientas_neumáticas1963[[#Headers],[Herramientas_neumáticas]],
    COUNTIF(Herramientas_de_medición2064[Herramientas_de_medición], B253) &gt; 0, Herramientas_de_medición2064[[#Headers],[Herramientas_de_medición]],
    COUNTIF(Herrramientas_mecánicas2165[Herramientas_mecánicas], B253) &gt; 0, Herrramientas_mecánicas2165[[#Headers],[Herramientas_mecánicas]],
    COUNTIF(AK253:AK259, B253) &gt; 0, Herramientas_hidráulicas2266[[#Headers],[Herramientas_hidráulicas]],
    COUNTIF(EPP_2367[SPCC], B253) &gt; 0, EPP_2367[[#Headers],[SPCC]],
   COUNTIF(Herramientas_de_izaje2468[Herramientas_de_izaje], B253) &gt; 0, Herramientas_de_izaje2468[[#Headers],[Herramientas_de_izaje]],
COUNTIF(Tabla162670[Equipos], B253) &gt; 0, Tabla162670[[#Headers],[Equipos]],
    TRUE, "Sin clasificación"
)</f>
        <v>Sin clasificación</v>
      </c>
      <c r="G253" s="15"/>
      <c r="H253" s="47"/>
      <c r="I253" s="87"/>
      <c r="J253" s="78"/>
      <c r="K253" s="78"/>
      <c r="L253" s="78"/>
      <c r="M253" s="78"/>
      <c r="N253" s="76"/>
      <c r="O253" s="76"/>
      <c r="P253" s="78" t="str">
        <f>_xlfn.LET(
    _xlpm.itemBuscado, B253,
    _xlpm.areaBuscada, C253,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TEXT(COUNTIF($C$2:C253, _xlpm.areaBuscada), "0000"),
    _xlpm.codItem &amp; "-" &amp; _xlpm.codArea &amp; "-" &amp; _xlpm.secuencia
)</f>
        <v>-SinArea-0000</v>
      </c>
      <c r="Q253" s="77"/>
      <c r="R253" s="32"/>
      <c r="S253" s="32"/>
      <c r="T253" s="32"/>
      <c r="U253" s="32"/>
    </row>
    <row r="254" spans="3:21" x14ac:dyDescent="0.3">
      <c r="C254" s="11"/>
      <c r="D254" s="32"/>
      <c r="E254" s="11" t="str" cm="1">
        <f t="array" ref="E254">_xlfn.IFS(
    COUNTIF(Herramientas_eléctricas1862[Herramientas_eléctricas], B254) &gt; 0, Herramientas_eléctricas1862[[#Headers],[Herramientas_eléctricas]],
    COUNTIF(Herramientas_neumáticas1963[Herramientas_neumáticas], B254) &gt; 0, Herramientas_neumáticas1963[[#Headers],[Herramientas_neumáticas]],
    COUNTIF(Herramientas_de_medición2064[Herramientas_de_medición], B254) &gt; 0, Herramientas_de_medición2064[[#Headers],[Herramientas_de_medición]],
    COUNTIF(Herrramientas_mecánicas2165[Herramientas_mecánicas], B254) &gt; 0, Herrramientas_mecánicas2165[[#Headers],[Herramientas_mecánicas]],
    COUNTIF(AK254:AK260, B254) &gt; 0, Herramientas_hidráulicas2266[[#Headers],[Herramientas_hidráulicas]],
    COUNTIF(EPP_2367[SPCC], B254) &gt; 0, EPP_2367[[#Headers],[SPCC]],
   COUNTIF(Herramientas_de_izaje2468[Herramientas_de_izaje], B254) &gt; 0, Herramientas_de_izaje2468[[#Headers],[Herramientas_de_izaje]],
COUNTIF(Tabla162670[Equipos], B254) &gt; 0, Tabla162670[[#Headers],[Equipos]],
    TRUE, "Sin clasificación"
)</f>
        <v>Sin clasificación</v>
      </c>
      <c r="G254" s="15"/>
      <c r="H254" s="47"/>
      <c r="I254" s="87"/>
      <c r="J254" s="78"/>
      <c r="K254" s="78"/>
      <c r="L254" s="78"/>
      <c r="M254" s="78"/>
      <c r="N254" s="76"/>
      <c r="O254" s="76"/>
      <c r="P254" s="78" t="str">
        <f>_xlfn.LET(
    _xlpm.itemBuscado, B254,
    _xlpm.areaBuscada, C254,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TEXT(COUNTIF($C$2:C254, _xlpm.areaBuscada), "0000"),
    _xlpm.codItem &amp; "-" &amp; _xlpm.codArea &amp; "-" &amp; _xlpm.secuencia
)</f>
        <v>-SinArea-0000</v>
      </c>
      <c r="Q254" s="77"/>
      <c r="R254" s="32"/>
      <c r="S254" s="32"/>
      <c r="T254" s="32"/>
      <c r="U254" s="32"/>
    </row>
    <row r="255" spans="3:21" x14ac:dyDescent="0.3">
      <c r="C255" s="11"/>
      <c r="D255" s="32"/>
      <c r="E255" s="11" t="str" cm="1">
        <f t="array" ref="E255">_xlfn.IFS(
    COUNTIF(Herramientas_eléctricas1862[Herramientas_eléctricas], B255) &gt; 0, Herramientas_eléctricas1862[[#Headers],[Herramientas_eléctricas]],
    COUNTIF(Herramientas_neumáticas1963[Herramientas_neumáticas], B255) &gt; 0, Herramientas_neumáticas1963[[#Headers],[Herramientas_neumáticas]],
    COUNTIF(Herramientas_de_medición2064[Herramientas_de_medición], B255) &gt; 0, Herramientas_de_medición2064[[#Headers],[Herramientas_de_medición]],
    COUNTIF(Herrramientas_mecánicas2165[Herramientas_mecánicas], B255) &gt; 0, Herrramientas_mecánicas2165[[#Headers],[Herramientas_mecánicas]],
    COUNTIF(AK255:AK261, B255) &gt; 0, Herramientas_hidráulicas2266[[#Headers],[Herramientas_hidráulicas]],
    COUNTIF(EPP_2367[SPCC], B255) &gt; 0, EPP_2367[[#Headers],[SPCC]],
   COUNTIF(Herramientas_de_izaje2468[Herramientas_de_izaje], B255) &gt; 0, Herramientas_de_izaje2468[[#Headers],[Herramientas_de_izaje]],
COUNTIF(Tabla162670[Equipos], B255) &gt; 0, Tabla162670[[#Headers],[Equipos]],
    TRUE, "Sin clasificación"
)</f>
        <v>Sin clasificación</v>
      </c>
      <c r="G255" s="15"/>
      <c r="H255" s="47"/>
      <c r="I255" s="87"/>
      <c r="J255" s="78"/>
      <c r="K255" s="78"/>
      <c r="L255" s="78"/>
      <c r="M255" s="78"/>
      <c r="N255" s="76"/>
      <c r="O255" s="76"/>
      <c r="P255" s="78" t="str">
        <f>_xlfn.LET(
    _xlpm.itemBuscado, B255,
    _xlpm.areaBuscada, C255,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TEXT(COUNTIF($C$2:C255, _xlpm.areaBuscada), "0000"),
    _xlpm.codItem &amp; "-" &amp; _xlpm.codArea &amp; "-" &amp; _xlpm.secuencia
)</f>
        <v>-SinArea-0000</v>
      </c>
      <c r="Q255" s="77"/>
      <c r="R255" s="32"/>
      <c r="S255" s="32"/>
      <c r="T255" s="32"/>
      <c r="U255" s="32"/>
    </row>
    <row r="256" spans="3:21" x14ac:dyDescent="0.3">
      <c r="C256" s="11"/>
      <c r="D256" s="32"/>
      <c r="E256" s="11" t="str" cm="1">
        <f t="array" ref="E256">_xlfn.IFS(
    COUNTIF(Herramientas_eléctricas1862[Herramientas_eléctricas], B256) &gt; 0, Herramientas_eléctricas1862[[#Headers],[Herramientas_eléctricas]],
    COUNTIF(Herramientas_neumáticas1963[Herramientas_neumáticas], B256) &gt; 0, Herramientas_neumáticas1963[[#Headers],[Herramientas_neumáticas]],
    COUNTIF(Herramientas_de_medición2064[Herramientas_de_medición], B256) &gt; 0, Herramientas_de_medición2064[[#Headers],[Herramientas_de_medición]],
    COUNTIF(Herrramientas_mecánicas2165[Herramientas_mecánicas], B256) &gt; 0, Herrramientas_mecánicas2165[[#Headers],[Herramientas_mecánicas]],
    COUNTIF(AK256:AK262, B256) &gt; 0, Herramientas_hidráulicas2266[[#Headers],[Herramientas_hidráulicas]],
    COUNTIF(EPP_2367[SPCC], B256) &gt; 0, EPP_2367[[#Headers],[SPCC]],
   COUNTIF(Herramientas_de_izaje2468[Herramientas_de_izaje], B256) &gt; 0, Herramientas_de_izaje2468[[#Headers],[Herramientas_de_izaje]],
COUNTIF(Tabla162670[Equipos], B256) &gt; 0, Tabla162670[[#Headers],[Equipos]],
    TRUE, "Sin clasificación"
)</f>
        <v>Sin clasificación</v>
      </c>
      <c r="G256" s="15"/>
      <c r="H256" s="47"/>
      <c r="I256" s="87"/>
      <c r="J256" s="78"/>
      <c r="K256" s="78"/>
      <c r="L256" s="78"/>
      <c r="M256" s="78"/>
      <c r="N256" s="76"/>
      <c r="O256" s="76"/>
      <c r="P256" s="78" t="str">
        <f>_xlfn.LET(
    _xlpm.itemBuscado, B256,
    _xlpm.areaBuscada, C256,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TEXT(COUNTIF($C$2:C256, _xlpm.areaBuscada), "0000"),
    _xlpm.codItem &amp; "-" &amp; _xlpm.codArea &amp; "-" &amp; _xlpm.secuencia
)</f>
        <v>-SinArea-0000</v>
      </c>
      <c r="Q256" s="77"/>
      <c r="R256" s="32"/>
      <c r="S256" s="32"/>
      <c r="T256" s="32"/>
      <c r="U256" s="32"/>
    </row>
    <row r="257" spans="3:21" x14ac:dyDescent="0.3">
      <c r="C257" s="11"/>
      <c r="D257" s="32"/>
      <c r="E257" s="11" t="str" cm="1">
        <f t="array" ref="E257">_xlfn.IFS(
    COUNTIF(Herramientas_eléctricas1862[Herramientas_eléctricas], B257) &gt; 0, Herramientas_eléctricas1862[[#Headers],[Herramientas_eléctricas]],
    COUNTIF(Herramientas_neumáticas1963[Herramientas_neumáticas], B257) &gt; 0, Herramientas_neumáticas1963[[#Headers],[Herramientas_neumáticas]],
    COUNTIF(Herramientas_de_medición2064[Herramientas_de_medición], B257) &gt; 0, Herramientas_de_medición2064[[#Headers],[Herramientas_de_medición]],
    COUNTIF(Herrramientas_mecánicas2165[Herramientas_mecánicas], B257) &gt; 0, Herrramientas_mecánicas2165[[#Headers],[Herramientas_mecánicas]],
    COUNTIF(AK257:AK263, B257) &gt; 0, Herramientas_hidráulicas2266[[#Headers],[Herramientas_hidráulicas]],
    COUNTIF(EPP_2367[SPCC], B257) &gt; 0, EPP_2367[[#Headers],[SPCC]],
   COUNTIF(Herramientas_de_izaje2468[Herramientas_de_izaje], B257) &gt; 0, Herramientas_de_izaje2468[[#Headers],[Herramientas_de_izaje]],
COUNTIF(Tabla162670[Equipos], B257) &gt; 0, Tabla162670[[#Headers],[Equipos]],
    TRUE, "Sin clasificación"
)</f>
        <v>Sin clasificación</v>
      </c>
      <c r="G257" s="15"/>
      <c r="H257" s="47"/>
      <c r="I257" s="87"/>
      <c r="J257" s="78"/>
      <c r="K257" s="78"/>
      <c r="L257" s="78"/>
      <c r="M257" s="78"/>
      <c r="N257" s="76"/>
      <c r="O257" s="76"/>
      <c r="P257" s="78" t="str">
        <f>_xlfn.LET(
    _xlpm.itemBuscado, B257,
    _xlpm.areaBuscada, C257,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TEXT(COUNTIF($C$2:C257, _xlpm.areaBuscada), "0000"),
    _xlpm.codItem &amp; "-" &amp; _xlpm.codArea &amp; "-" &amp; _xlpm.secuencia
)</f>
        <v>-SinArea-0000</v>
      </c>
      <c r="Q257" s="77"/>
      <c r="R257" s="32"/>
      <c r="S257" s="32"/>
      <c r="T257" s="32"/>
      <c r="U257" s="32"/>
    </row>
    <row r="258" spans="3:21" x14ac:dyDescent="0.3">
      <c r="C258" s="11"/>
      <c r="D258" s="32"/>
      <c r="E258" s="11" t="str" cm="1">
        <f t="array" ref="E258">_xlfn.IFS(
    COUNTIF(Herramientas_eléctricas1862[Herramientas_eléctricas], B258) &gt; 0, Herramientas_eléctricas1862[[#Headers],[Herramientas_eléctricas]],
    COUNTIF(Herramientas_neumáticas1963[Herramientas_neumáticas], B258) &gt; 0, Herramientas_neumáticas1963[[#Headers],[Herramientas_neumáticas]],
    COUNTIF(Herramientas_de_medición2064[Herramientas_de_medición], B258) &gt; 0, Herramientas_de_medición2064[[#Headers],[Herramientas_de_medición]],
    COUNTIF(Herrramientas_mecánicas2165[Herramientas_mecánicas], B258) &gt; 0, Herrramientas_mecánicas2165[[#Headers],[Herramientas_mecánicas]],
    COUNTIF(AK258:AK264, B258) &gt; 0, Herramientas_hidráulicas2266[[#Headers],[Herramientas_hidráulicas]],
    COUNTIF(EPP_2367[SPCC], B258) &gt; 0, EPP_2367[[#Headers],[SPCC]],
   COUNTIF(Herramientas_de_izaje2468[Herramientas_de_izaje], B258) &gt; 0, Herramientas_de_izaje2468[[#Headers],[Herramientas_de_izaje]],
COUNTIF(Tabla162670[Equipos], B258) &gt; 0, Tabla162670[[#Headers],[Equipos]],
    TRUE, "Sin clasificación"
)</f>
        <v>Sin clasificación</v>
      </c>
      <c r="G258" s="15"/>
      <c r="H258" s="47"/>
      <c r="I258" s="87"/>
      <c r="J258" s="78"/>
      <c r="K258" s="78"/>
      <c r="L258" s="78"/>
      <c r="M258" s="78"/>
      <c r="N258" s="76"/>
      <c r="O258" s="76"/>
      <c r="P258" s="78" t="str">
        <f>_xlfn.LET(
    _xlpm.itemBuscado, B258,
    _xlpm.areaBuscada, C258,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TEXT(COUNTIF($C$2:C258, _xlpm.areaBuscada), "0000"),
    _xlpm.codItem &amp; "-" &amp; _xlpm.codArea &amp; "-" &amp; _xlpm.secuencia
)</f>
        <v>-SinArea-0000</v>
      </c>
      <c r="Q258" s="77"/>
      <c r="R258" s="32"/>
      <c r="S258" s="32"/>
      <c r="T258" s="32"/>
      <c r="U258" s="32"/>
    </row>
    <row r="259" spans="3:21" x14ac:dyDescent="0.3">
      <c r="C259" s="11"/>
      <c r="D259" s="32"/>
      <c r="E259" s="11" t="str" cm="1">
        <f t="array" ref="E259">_xlfn.IFS(
    COUNTIF(Herramientas_eléctricas1862[Herramientas_eléctricas], B259) &gt; 0, Herramientas_eléctricas1862[[#Headers],[Herramientas_eléctricas]],
    COUNTIF(Herramientas_neumáticas1963[Herramientas_neumáticas], B259) &gt; 0, Herramientas_neumáticas1963[[#Headers],[Herramientas_neumáticas]],
    COUNTIF(Herramientas_de_medición2064[Herramientas_de_medición], B259) &gt; 0, Herramientas_de_medición2064[[#Headers],[Herramientas_de_medición]],
    COUNTIF(Herrramientas_mecánicas2165[Herramientas_mecánicas], B259) &gt; 0, Herrramientas_mecánicas2165[[#Headers],[Herramientas_mecánicas]],
    COUNTIF(AK259:AK265, B259) &gt; 0, Herramientas_hidráulicas2266[[#Headers],[Herramientas_hidráulicas]],
    COUNTIF(EPP_2367[SPCC], B259) &gt; 0, EPP_2367[[#Headers],[SPCC]],
   COUNTIF(Herramientas_de_izaje2468[Herramientas_de_izaje], B259) &gt; 0, Herramientas_de_izaje2468[[#Headers],[Herramientas_de_izaje]],
COUNTIF(Tabla162670[Equipos], B259) &gt; 0, Tabla162670[[#Headers],[Equipos]],
    TRUE, "Sin clasificación"
)</f>
        <v>Sin clasificación</v>
      </c>
      <c r="G259" s="15"/>
      <c r="H259" s="47"/>
      <c r="I259" s="87"/>
      <c r="J259" s="78"/>
      <c r="K259" s="78"/>
      <c r="L259" s="78"/>
      <c r="M259" s="78"/>
      <c r="N259" s="76"/>
      <c r="O259" s="76"/>
      <c r="P259" s="78" t="str">
        <f>_xlfn.LET(
    _xlpm.itemBuscado, B259,
    _xlpm.areaBuscada, C259,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TEXT(COUNTIF($C$2:C259, _xlpm.areaBuscada), "0000"),
    _xlpm.codItem &amp; "-" &amp; _xlpm.codArea &amp; "-" &amp; _xlpm.secuencia
)</f>
        <v>-SinArea-0000</v>
      </c>
      <c r="Q259" s="77"/>
      <c r="R259" s="32"/>
      <c r="S259" s="32"/>
      <c r="T259" s="32"/>
      <c r="U259" s="32"/>
    </row>
    <row r="260" spans="3:21" x14ac:dyDescent="0.3">
      <c r="C260" s="11"/>
      <c r="D260" s="32"/>
      <c r="E260" s="11" t="str" cm="1">
        <f t="array" ref="E260">_xlfn.IFS(
    COUNTIF(Herramientas_eléctricas1862[Herramientas_eléctricas], B260) &gt; 0, Herramientas_eléctricas1862[[#Headers],[Herramientas_eléctricas]],
    COUNTIF(Herramientas_neumáticas1963[Herramientas_neumáticas], B260) &gt; 0, Herramientas_neumáticas1963[[#Headers],[Herramientas_neumáticas]],
    COUNTIF(Herramientas_de_medición2064[Herramientas_de_medición], B260) &gt; 0, Herramientas_de_medición2064[[#Headers],[Herramientas_de_medición]],
    COUNTIF(Herrramientas_mecánicas2165[Herramientas_mecánicas], B260) &gt; 0, Herrramientas_mecánicas2165[[#Headers],[Herramientas_mecánicas]],
    COUNTIF(AK260:AK266, B260) &gt; 0, Herramientas_hidráulicas2266[[#Headers],[Herramientas_hidráulicas]],
    COUNTIF(EPP_2367[SPCC], B260) &gt; 0, EPP_2367[[#Headers],[SPCC]],
   COUNTIF(Herramientas_de_izaje2468[Herramientas_de_izaje], B260) &gt; 0, Herramientas_de_izaje2468[[#Headers],[Herramientas_de_izaje]],
COUNTIF(Tabla162670[Equipos], B260) &gt; 0, Tabla162670[[#Headers],[Equipos]],
    TRUE, "Sin clasificación"
)</f>
        <v>Sin clasificación</v>
      </c>
      <c r="G260" s="15"/>
      <c r="H260" s="47"/>
      <c r="I260" s="87"/>
      <c r="J260" s="78"/>
      <c r="K260" s="78"/>
      <c r="L260" s="78"/>
      <c r="M260" s="78"/>
      <c r="N260" s="76"/>
      <c r="O260" s="76"/>
      <c r="P260" s="78" t="str">
        <f>_xlfn.LET(
    _xlpm.itemBuscado, B260,
    _xlpm.areaBuscada, C260,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TEXT(COUNTIF($C$2:C260, _xlpm.areaBuscada), "0000"),
    _xlpm.codItem &amp; "-" &amp; _xlpm.codArea &amp; "-" &amp; _xlpm.secuencia
)</f>
        <v>-SinArea-0000</v>
      </c>
      <c r="Q260" s="77"/>
      <c r="R260" s="32"/>
      <c r="S260" s="32"/>
      <c r="T260" s="32"/>
      <c r="U260" s="32"/>
    </row>
    <row r="261" spans="3:21" x14ac:dyDescent="0.3">
      <c r="C261" s="11"/>
      <c r="D261" s="32"/>
      <c r="E261" s="11" t="str" cm="1">
        <f t="array" ref="E261">_xlfn.IFS(
    COUNTIF(Herramientas_eléctricas1862[Herramientas_eléctricas], B261) &gt; 0, Herramientas_eléctricas1862[[#Headers],[Herramientas_eléctricas]],
    COUNTIF(Herramientas_neumáticas1963[Herramientas_neumáticas], B261) &gt; 0, Herramientas_neumáticas1963[[#Headers],[Herramientas_neumáticas]],
    COUNTIF(Herramientas_de_medición2064[Herramientas_de_medición], B261) &gt; 0, Herramientas_de_medición2064[[#Headers],[Herramientas_de_medición]],
    COUNTIF(Herrramientas_mecánicas2165[Herramientas_mecánicas], B261) &gt; 0, Herrramientas_mecánicas2165[[#Headers],[Herramientas_mecánicas]],
    COUNTIF(AK261:AK267, B261) &gt; 0, Herramientas_hidráulicas2266[[#Headers],[Herramientas_hidráulicas]],
    COUNTIF(EPP_2367[SPCC], B261) &gt; 0, EPP_2367[[#Headers],[SPCC]],
   COUNTIF(Herramientas_de_izaje2468[Herramientas_de_izaje], B261) &gt; 0, Herramientas_de_izaje2468[[#Headers],[Herramientas_de_izaje]],
COUNTIF(Tabla162670[Equipos], B261) &gt; 0, Tabla162670[[#Headers],[Equipos]],
    TRUE, "Sin clasificación"
)</f>
        <v>Sin clasificación</v>
      </c>
      <c r="G261" s="15"/>
      <c r="H261" s="47"/>
      <c r="I261" s="87"/>
      <c r="J261" s="78"/>
      <c r="K261" s="78"/>
      <c r="L261" s="78"/>
      <c r="M261" s="78"/>
      <c r="N261" s="76"/>
      <c r="O261" s="76"/>
      <c r="P261" s="78" t="str">
        <f>_xlfn.LET(
    _xlpm.itemBuscado, B261,
    _xlpm.areaBuscada, C261,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TEXT(COUNTIF($C$2:C261, _xlpm.areaBuscada), "0000"),
    _xlpm.codItem &amp; "-" &amp; _xlpm.codArea &amp; "-" &amp; _xlpm.secuencia
)</f>
        <v>-SinArea-0000</v>
      </c>
      <c r="Q261" s="77"/>
      <c r="R261" s="32"/>
      <c r="S261" s="32"/>
      <c r="T261" s="32"/>
      <c r="U261" s="32"/>
    </row>
    <row r="262" spans="3:21" x14ac:dyDescent="0.3">
      <c r="C262" s="11"/>
      <c r="D262" s="32"/>
      <c r="E262" s="11" t="str" cm="1">
        <f t="array" ref="E262">_xlfn.IFS(
    COUNTIF(Herramientas_eléctricas1862[Herramientas_eléctricas], B262) &gt; 0, Herramientas_eléctricas1862[[#Headers],[Herramientas_eléctricas]],
    COUNTIF(Herramientas_neumáticas1963[Herramientas_neumáticas], B262) &gt; 0, Herramientas_neumáticas1963[[#Headers],[Herramientas_neumáticas]],
    COUNTIF(Herramientas_de_medición2064[Herramientas_de_medición], B262) &gt; 0, Herramientas_de_medición2064[[#Headers],[Herramientas_de_medición]],
    COUNTIF(Herrramientas_mecánicas2165[Herramientas_mecánicas], B262) &gt; 0, Herrramientas_mecánicas2165[[#Headers],[Herramientas_mecánicas]],
    COUNTIF(AK262:AK268, B262) &gt; 0, Herramientas_hidráulicas2266[[#Headers],[Herramientas_hidráulicas]],
    COUNTIF(EPP_2367[SPCC], B262) &gt; 0, EPP_2367[[#Headers],[SPCC]],
   COUNTIF(Herramientas_de_izaje2468[Herramientas_de_izaje], B262) &gt; 0, Herramientas_de_izaje2468[[#Headers],[Herramientas_de_izaje]],
COUNTIF(Tabla162670[Equipos], B262) &gt; 0, Tabla162670[[#Headers],[Equipos]],
    TRUE, "Sin clasificación"
)</f>
        <v>Sin clasificación</v>
      </c>
      <c r="G262" s="15"/>
      <c r="H262" s="47"/>
      <c r="I262" s="87"/>
      <c r="J262" s="78"/>
      <c r="K262" s="78"/>
      <c r="L262" s="78"/>
      <c r="M262" s="78"/>
      <c r="N262" s="76"/>
      <c r="O262" s="76"/>
      <c r="P262" s="78" t="str">
        <f>_xlfn.LET(
    _xlpm.itemBuscado, B262,
    _xlpm.areaBuscada, C262,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TEXT(COUNTIF($C$2:C262, _xlpm.areaBuscada), "0000"),
    _xlpm.codItem &amp; "-" &amp; _xlpm.codArea &amp; "-" &amp; _xlpm.secuencia
)</f>
        <v>-SinArea-0000</v>
      </c>
      <c r="Q262" s="77"/>
      <c r="R262" s="32"/>
      <c r="S262" s="32"/>
      <c r="T262" s="32"/>
      <c r="U262" s="32"/>
    </row>
    <row r="263" spans="3:21" x14ac:dyDescent="0.3">
      <c r="C263" s="11"/>
      <c r="D263" s="32"/>
      <c r="E263" s="11" t="str" cm="1">
        <f t="array" ref="E263">_xlfn.IFS(
    COUNTIF(Herramientas_eléctricas1862[Herramientas_eléctricas], B263) &gt; 0, Herramientas_eléctricas1862[[#Headers],[Herramientas_eléctricas]],
    COUNTIF(Herramientas_neumáticas1963[Herramientas_neumáticas], B263) &gt; 0, Herramientas_neumáticas1963[[#Headers],[Herramientas_neumáticas]],
    COUNTIF(Herramientas_de_medición2064[Herramientas_de_medición], B263) &gt; 0, Herramientas_de_medición2064[[#Headers],[Herramientas_de_medición]],
    COUNTIF(Herrramientas_mecánicas2165[Herramientas_mecánicas], B263) &gt; 0, Herrramientas_mecánicas2165[[#Headers],[Herramientas_mecánicas]],
    COUNTIF(AK263:AK269, B263) &gt; 0, Herramientas_hidráulicas2266[[#Headers],[Herramientas_hidráulicas]],
    COUNTIF(EPP_2367[SPCC], B263) &gt; 0, EPP_2367[[#Headers],[SPCC]],
   COUNTIF(Herramientas_de_izaje2468[Herramientas_de_izaje], B263) &gt; 0, Herramientas_de_izaje2468[[#Headers],[Herramientas_de_izaje]],
COUNTIF(Tabla162670[Equipos], B263) &gt; 0, Tabla162670[[#Headers],[Equipos]],
    TRUE, "Sin clasificación"
)</f>
        <v>Sin clasificación</v>
      </c>
      <c r="G263" s="15"/>
      <c r="H263" s="47"/>
      <c r="I263" s="87"/>
      <c r="J263" s="78"/>
      <c r="K263" s="78"/>
      <c r="L263" s="78"/>
      <c r="M263" s="78"/>
      <c r="N263" s="76"/>
      <c r="O263" s="76"/>
      <c r="P263" s="78" t="str">
        <f>_xlfn.LET(
    _xlpm.itemBuscado, B263,
    _xlpm.areaBuscada, C263,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TEXT(COUNTIF($C$2:C263, _xlpm.areaBuscada), "0000"),
    _xlpm.codItem &amp; "-" &amp; _xlpm.codArea &amp; "-" &amp; _xlpm.secuencia
)</f>
        <v>-SinArea-0000</v>
      </c>
      <c r="Q263" s="77"/>
      <c r="R263" s="32"/>
      <c r="S263" s="32"/>
      <c r="T263" s="32"/>
      <c r="U263" s="32"/>
    </row>
    <row r="264" spans="3:21" x14ac:dyDescent="0.3">
      <c r="C264" s="11"/>
      <c r="D264" s="32"/>
      <c r="E264" s="11" t="str" cm="1">
        <f t="array" ref="E264">_xlfn.IFS(
    COUNTIF(Herramientas_eléctricas1862[Herramientas_eléctricas], B264) &gt; 0, Herramientas_eléctricas1862[[#Headers],[Herramientas_eléctricas]],
    COUNTIF(Herramientas_neumáticas1963[Herramientas_neumáticas], B264) &gt; 0, Herramientas_neumáticas1963[[#Headers],[Herramientas_neumáticas]],
    COUNTIF(Herramientas_de_medición2064[Herramientas_de_medición], B264) &gt; 0, Herramientas_de_medición2064[[#Headers],[Herramientas_de_medición]],
    COUNTIF(Herrramientas_mecánicas2165[Herramientas_mecánicas], B264) &gt; 0, Herrramientas_mecánicas2165[[#Headers],[Herramientas_mecánicas]],
    COUNTIF(AK264:AK270, B264) &gt; 0, Herramientas_hidráulicas2266[[#Headers],[Herramientas_hidráulicas]],
    COUNTIF(EPP_2367[SPCC], B264) &gt; 0, EPP_2367[[#Headers],[SPCC]],
   COUNTIF(Herramientas_de_izaje2468[Herramientas_de_izaje], B264) &gt; 0, Herramientas_de_izaje2468[[#Headers],[Herramientas_de_izaje]],
COUNTIF(Tabla162670[Equipos], B264) &gt; 0, Tabla162670[[#Headers],[Equipos]],
    TRUE, "Sin clasificación"
)</f>
        <v>Sin clasificación</v>
      </c>
      <c r="G264" s="15"/>
      <c r="H264" s="47"/>
      <c r="I264" s="87"/>
      <c r="J264" s="78"/>
      <c r="K264" s="78"/>
      <c r="L264" s="78"/>
      <c r="M264" s="78"/>
      <c r="N264" s="76"/>
      <c r="O264" s="76"/>
      <c r="P264" s="78" t="str">
        <f>_xlfn.LET(
    _xlpm.itemBuscado, B264,
    _xlpm.areaBuscada, C264,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TEXT(COUNTIF($C$2:C264, _xlpm.areaBuscada), "0000"),
    _xlpm.codItem &amp; "-" &amp; _xlpm.codArea &amp; "-" &amp; _xlpm.secuencia
)</f>
        <v>-SinArea-0000</v>
      </c>
      <c r="Q264" s="77"/>
      <c r="R264" s="32"/>
      <c r="S264" s="32"/>
      <c r="T264" s="32"/>
      <c r="U264" s="32"/>
    </row>
    <row r="265" spans="3:21" x14ac:dyDescent="0.3">
      <c r="C265" s="11"/>
      <c r="D265" s="32"/>
      <c r="E265" s="11" t="str" cm="1">
        <f t="array" ref="E265">_xlfn.IFS(
    COUNTIF(Herramientas_eléctricas1862[Herramientas_eléctricas], B265) &gt; 0, Herramientas_eléctricas1862[[#Headers],[Herramientas_eléctricas]],
    COUNTIF(Herramientas_neumáticas1963[Herramientas_neumáticas], B265) &gt; 0, Herramientas_neumáticas1963[[#Headers],[Herramientas_neumáticas]],
    COUNTIF(Herramientas_de_medición2064[Herramientas_de_medición], B265) &gt; 0, Herramientas_de_medición2064[[#Headers],[Herramientas_de_medición]],
    COUNTIF(Herrramientas_mecánicas2165[Herramientas_mecánicas], B265) &gt; 0, Herrramientas_mecánicas2165[[#Headers],[Herramientas_mecánicas]],
    COUNTIF(AK265:AK271, B265) &gt; 0, Herramientas_hidráulicas2266[[#Headers],[Herramientas_hidráulicas]],
    COUNTIF(EPP_2367[SPCC], B265) &gt; 0, EPP_2367[[#Headers],[SPCC]],
   COUNTIF(Herramientas_de_izaje2468[Herramientas_de_izaje], B265) &gt; 0, Herramientas_de_izaje2468[[#Headers],[Herramientas_de_izaje]],
COUNTIF(Tabla162670[Equipos], B265) &gt; 0, Tabla162670[[#Headers],[Equipos]],
    TRUE, "Sin clasificación"
)</f>
        <v>Sin clasificación</v>
      </c>
      <c r="G265" s="15"/>
      <c r="H265" s="47"/>
      <c r="I265" s="87"/>
      <c r="J265" s="78"/>
      <c r="K265" s="78"/>
      <c r="L265" s="78"/>
      <c r="M265" s="78"/>
      <c r="N265" s="76"/>
      <c r="O265" s="76"/>
      <c r="P265" s="78" t="str">
        <f>_xlfn.LET(
    _xlpm.itemBuscado, B265,
    _xlpm.areaBuscada, C265,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TEXT(COUNTIF($C$2:C265, _xlpm.areaBuscada), "0000"),
    _xlpm.codItem &amp; "-" &amp; _xlpm.codArea &amp; "-" &amp; _xlpm.secuencia
)</f>
        <v>-SinArea-0000</v>
      </c>
      <c r="Q265" s="77"/>
      <c r="R265" s="32"/>
      <c r="S265" s="32"/>
      <c r="T265" s="32"/>
      <c r="U265" s="32"/>
    </row>
    <row r="266" spans="3:21" x14ac:dyDescent="0.3">
      <c r="C266" s="11"/>
      <c r="D266" s="32"/>
      <c r="E266" s="11" t="str" cm="1">
        <f t="array" ref="E266">_xlfn.IFS(
    COUNTIF(Herramientas_eléctricas1862[Herramientas_eléctricas], B266) &gt; 0, Herramientas_eléctricas1862[[#Headers],[Herramientas_eléctricas]],
    COUNTIF(Herramientas_neumáticas1963[Herramientas_neumáticas], B266) &gt; 0, Herramientas_neumáticas1963[[#Headers],[Herramientas_neumáticas]],
    COUNTIF(Herramientas_de_medición2064[Herramientas_de_medición], B266) &gt; 0, Herramientas_de_medición2064[[#Headers],[Herramientas_de_medición]],
    COUNTIF(Herrramientas_mecánicas2165[Herramientas_mecánicas], B266) &gt; 0, Herrramientas_mecánicas2165[[#Headers],[Herramientas_mecánicas]],
    COUNTIF(AK266:AK272, B266) &gt; 0, Herramientas_hidráulicas2266[[#Headers],[Herramientas_hidráulicas]],
    COUNTIF(EPP_2367[SPCC], B266) &gt; 0, EPP_2367[[#Headers],[SPCC]],
   COUNTIF(Herramientas_de_izaje2468[Herramientas_de_izaje], B266) &gt; 0, Herramientas_de_izaje2468[[#Headers],[Herramientas_de_izaje]],
COUNTIF(Tabla162670[Equipos], B266) &gt; 0, Tabla162670[[#Headers],[Equipos]],
    TRUE, "Sin clasificación"
)</f>
        <v>Sin clasificación</v>
      </c>
      <c r="G266" s="15"/>
      <c r="H266" s="47"/>
      <c r="I266" s="87"/>
      <c r="J266" s="78"/>
      <c r="K266" s="78"/>
      <c r="L266" s="78"/>
      <c r="M266" s="78"/>
      <c r="N266" s="76"/>
      <c r="O266" s="76"/>
      <c r="P266" s="78" t="str">
        <f>_xlfn.LET(
    _xlpm.itemBuscado, B266,
    _xlpm.areaBuscada, C266,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TEXT(COUNTIF($C$2:C266, _xlpm.areaBuscada), "0000"),
    _xlpm.codItem &amp; "-" &amp; _xlpm.codArea &amp; "-" &amp; _xlpm.secuencia
)</f>
        <v>-SinArea-0000</v>
      </c>
      <c r="Q266" s="77"/>
      <c r="R266" s="32"/>
      <c r="S266" s="32"/>
      <c r="T266" s="32"/>
      <c r="U266" s="32"/>
    </row>
    <row r="267" spans="3:21" x14ac:dyDescent="0.3">
      <c r="C267" s="11"/>
      <c r="D267" s="32"/>
      <c r="E267" s="11" t="str" cm="1">
        <f t="array" ref="E267">_xlfn.IFS(
    COUNTIF(Herramientas_eléctricas1862[Herramientas_eléctricas], B267) &gt; 0, Herramientas_eléctricas1862[[#Headers],[Herramientas_eléctricas]],
    COUNTIF(Herramientas_neumáticas1963[Herramientas_neumáticas], B267) &gt; 0, Herramientas_neumáticas1963[[#Headers],[Herramientas_neumáticas]],
    COUNTIF(Herramientas_de_medición2064[Herramientas_de_medición], B267) &gt; 0, Herramientas_de_medición2064[[#Headers],[Herramientas_de_medición]],
    COUNTIF(Herrramientas_mecánicas2165[Herramientas_mecánicas], B267) &gt; 0, Herrramientas_mecánicas2165[[#Headers],[Herramientas_mecánicas]],
    COUNTIF(AK267:AK273, B267) &gt; 0, Herramientas_hidráulicas2266[[#Headers],[Herramientas_hidráulicas]],
    COUNTIF(EPP_2367[SPCC], B267) &gt; 0, EPP_2367[[#Headers],[SPCC]],
   COUNTIF(Herramientas_de_izaje2468[Herramientas_de_izaje], B267) &gt; 0, Herramientas_de_izaje2468[[#Headers],[Herramientas_de_izaje]],
COUNTIF(Tabla162670[Equipos], B267) &gt; 0, Tabla162670[[#Headers],[Equipos]],
    TRUE, "Sin clasificación"
)</f>
        <v>Sin clasificación</v>
      </c>
      <c r="G267" s="15"/>
      <c r="H267" s="47"/>
      <c r="I267" s="87"/>
      <c r="J267" s="78"/>
      <c r="K267" s="78"/>
      <c r="L267" s="78"/>
      <c r="M267" s="78"/>
      <c r="N267" s="76"/>
      <c r="O267" s="76"/>
      <c r="P267" s="78" t="str">
        <f>_xlfn.LET(
    _xlpm.itemBuscado, B267,
    _xlpm.areaBuscada, C267,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TEXT(COUNTIF($C$2:C267, _xlpm.areaBuscada), "0000"),
    _xlpm.codItem &amp; "-" &amp; _xlpm.codArea &amp; "-" &amp; _xlpm.secuencia
)</f>
        <v>-SinArea-0000</v>
      </c>
      <c r="Q267" s="77"/>
      <c r="R267" s="32"/>
      <c r="S267" s="32"/>
      <c r="T267" s="32"/>
      <c r="U267" s="32"/>
    </row>
    <row r="268" spans="3:21" x14ac:dyDescent="0.3">
      <c r="C268" s="11"/>
      <c r="D268" s="32"/>
      <c r="E268" s="11" t="str" cm="1">
        <f t="array" ref="E268">_xlfn.IFS(
    COUNTIF(Herramientas_eléctricas1862[Herramientas_eléctricas], B268) &gt; 0, Herramientas_eléctricas1862[[#Headers],[Herramientas_eléctricas]],
    COUNTIF(Herramientas_neumáticas1963[Herramientas_neumáticas], B268) &gt; 0, Herramientas_neumáticas1963[[#Headers],[Herramientas_neumáticas]],
    COUNTIF(Herramientas_de_medición2064[Herramientas_de_medición], B268) &gt; 0, Herramientas_de_medición2064[[#Headers],[Herramientas_de_medición]],
    COUNTIF(Herrramientas_mecánicas2165[Herramientas_mecánicas], B268) &gt; 0, Herrramientas_mecánicas2165[[#Headers],[Herramientas_mecánicas]],
    COUNTIF(AK268:AK274, B268) &gt; 0, Herramientas_hidráulicas2266[[#Headers],[Herramientas_hidráulicas]],
    COUNTIF(EPP_2367[SPCC], B268) &gt; 0, EPP_2367[[#Headers],[SPCC]],
   COUNTIF(Herramientas_de_izaje2468[Herramientas_de_izaje], B268) &gt; 0, Herramientas_de_izaje2468[[#Headers],[Herramientas_de_izaje]],
COUNTIF(Tabla162670[Equipos], B268) &gt; 0, Tabla162670[[#Headers],[Equipos]],
    TRUE, "Sin clasificación"
)</f>
        <v>Sin clasificación</v>
      </c>
      <c r="G268" s="15"/>
      <c r="H268" s="47"/>
      <c r="I268" s="87"/>
      <c r="J268" s="78"/>
      <c r="K268" s="78"/>
      <c r="L268" s="78"/>
      <c r="M268" s="78"/>
      <c r="N268" s="76"/>
      <c r="O268" s="76"/>
      <c r="P268" s="78" t="str">
        <f>_xlfn.LET(
    _xlpm.itemBuscado, B268,
    _xlpm.areaBuscada, C268,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TEXT(COUNTIF($C$2:C268, _xlpm.areaBuscada), "0000"),
    _xlpm.codItem &amp; "-" &amp; _xlpm.codArea &amp; "-" &amp; _xlpm.secuencia
)</f>
        <v>-SinArea-0000</v>
      </c>
      <c r="Q268" s="77"/>
      <c r="R268" s="32"/>
      <c r="S268" s="32"/>
      <c r="T268" s="32"/>
      <c r="U268" s="32"/>
    </row>
    <row r="269" spans="3:21" x14ac:dyDescent="0.3">
      <c r="C269" s="11"/>
      <c r="D269" s="32"/>
      <c r="E269" s="11" t="str" cm="1">
        <f t="array" ref="E269">_xlfn.IFS(
    COUNTIF(Herramientas_eléctricas1862[Herramientas_eléctricas], B269) &gt; 0, Herramientas_eléctricas1862[[#Headers],[Herramientas_eléctricas]],
    COUNTIF(Herramientas_neumáticas1963[Herramientas_neumáticas], B269) &gt; 0, Herramientas_neumáticas1963[[#Headers],[Herramientas_neumáticas]],
    COUNTIF(Herramientas_de_medición2064[Herramientas_de_medición], B269) &gt; 0, Herramientas_de_medición2064[[#Headers],[Herramientas_de_medición]],
    COUNTIF(Herrramientas_mecánicas2165[Herramientas_mecánicas], B269) &gt; 0, Herrramientas_mecánicas2165[[#Headers],[Herramientas_mecánicas]],
    COUNTIF(AK269:AK275, B269) &gt; 0, Herramientas_hidráulicas2266[[#Headers],[Herramientas_hidráulicas]],
    COUNTIF(EPP_2367[SPCC], B269) &gt; 0, EPP_2367[[#Headers],[SPCC]],
   COUNTIF(Herramientas_de_izaje2468[Herramientas_de_izaje], B269) &gt; 0, Herramientas_de_izaje2468[[#Headers],[Herramientas_de_izaje]],
COUNTIF(Tabla162670[Equipos], B269) &gt; 0, Tabla162670[[#Headers],[Equipos]],
    TRUE, "Sin clasificación"
)</f>
        <v>Sin clasificación</v>
      </c>
      <c r="G269" s="15"/>
      <c r="H269" s="47"/>
      <c r="I269" s="87"/>
      <c r="J269" s="78"/>
      <c r="K269" s="78"/>
      <c r="L269" s="78"/>
      <c r="M269" s="78"/>
      <c r="N269" s="76"/>
      <c r="O269" s="76"/>
      <c r="P269" s="78" t="str">
        <f>_xlfn.LET(
    _xlpm.itemBuscado, B269,
    _xlpm.areaBuscada, C269,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TEXT(COUNTIF($C$2:C269, _xlpm.areaBuscada), "0000"),
    _xlpm.codItem &amp; "-" &amp; _xlpm.codArea &amp; "-" &amp; _xlpm.secuencia
)</f>
        <v>-SinArea-0000</v>
      </c>
      <c r="Q269" s="77"/>
      <c r="R269" s="32"/>
      <c r="S269" s="32"/>
      <c r="T269" s="32"/>
      <c r="U269" s="32"/>
    </row>
    <row r="270" spans="3:21" x14ac:dyDescent="0.3">
      <c r="C270" s="11"/>
      <c r="D270" s="32"/>
      <c r="E270" s="11" t="str" cm="1">
        <f t="array" ref="E270">_xlfn.IFS(
    COUNTIF(Herramientas_eléctricas1862[Herramientas_eléctricas], B270) &gt; 0, Herramientas_eléctricas1862[[#Headers],[Herramientas_eléctricas]],
    COUNTIF(Herramientas_neumáticas1963[Herramientas_neumáticas], B270) &gt; 0, Herramientas_neumáticas1963[[#Headers],[Herramientas_neumáticas]],
    COUNTIF(Herramientas_de_medición2064[Herramientas_de_medición], B270) &gt; 0, Herramientas_de_medición2064[[#Headers],[Herramientas_de_medición]],
    COUNTIF(Herrramientas_mecánicas2165[Herramientas_mecánicas], B270) &gt; 0, Herrramientas_mecánicas2165[[#Headers],[Herramientas_mecánicas]],
    COUNTIF(AK270:AK276, B270) &gt; 0, Herramientas_hidráulicas2266[[#Headers],[Herramientas_hidráulicas]],
    COUNTIF(EPP_2367[SPCC], B270) &gt; 0, EPP_2367[[#Headers],[SPCC]],
   COUNTIF(Herramientas_de_izaje2468[Herramientas_de_izaje], B270) &gt; 0, Herramientas_de_izaje2468[[#Headers],[Herramientas_de_izaje]],
COUNTIF(Tabla162670[Equipos], B270) &gt; 0, Tabla162670[[#Headers],[Equipos]],
    TRUE, "Sin clasificación"
)</f>
        <v>Sin clasificación</v>
      </c>
      <c r="G270" s="15"/>
      <c r="H270" s="47"/>
      <c r="I270" s="87"/>
      <c r="J270" s="78"/>
      <c r="K270" s="78"/>
      <c r="L270" s="78"/>
      <c r="M270" s="78"/>
      <c r="N270" s="76"/>
      <c r="O270" s="76"/>
      <c r="P270" s="78" t="str">
        <f>_xlfn.LET(
    _xlpm.itemBuscado, B270,
    _xlpm.areaBuscada, C270,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TEXT(COUNTIF($C$2:C270, _xlpm.areaBuscada), "0000"),
    _xlpm.codItem &amp; "-" &amp; _xlpm.codArea &amp; "-" &amp; _xlpm.secuencia
)</f>
        <v>-SinArea-0000</v>
      </c>
      <c r="Q270" s="77"/>
      <c r="R270" s="32"/>
      <c r="S270" s="32"/>
      <c r="T270" s="32"/>
      <c r="U270" s="32"/>
    </row>
    <row r="271" spans="3:21" x14ac:dyDescent="0.3">
      <c r="C271" s="11"/>
      <c r="D271" s="32"/>
      <c r="E271" s="11" t="str" cm="1">
        <f t="array" ref="E271">_xlfn.IFS(
    COUNTIF(Herramientas_eléctricas1862[Herramientas_eléctricas], B271) &gt; 0, Herramientas_eléctricas1862[[#Headers],[Herramientas_eléctricas]],
    COUNTIF(Herramientas_neumáticas1963[Herramientas_neumáticas], B271) &gt; 0, Herramientas_neumáticas1963[[#Headers],[Herramientas_neumáticas]],
    COUNTIF(Herramientas_de_medición2064[Herramientas_de_medición], B271) &gt; 0, Herramientas_de_medición2064[[#Headers],[Herramientas_de_medición]],
    COUNTIF(Herrramientas_mecánicas2165[Herramientas_mecánicas], B271) &gt; 0, Herrramientas_mecánicas2165[[#Headers],[Herramientas_mecánicas]],
    COUNTIF(AK271:AK277, B271) &gt; 0, Herramientas_hidráulicas2266[[#Headers],[Herramientas_hidráulicas]],
    COUNTIF(EPP_2367[SPCC], B271) &gt; 0, EPP_2367[[#Headers],[SPCC]],
   COUNTIF(Herramientas_de_izaje2468[Herramientas_de_izaje], B271) &gt; 0, Herramientas_de_izaje2468[[#Headers],[Herramientas_de_izaje]],
COUNTIF(Tabla162670[Equipos], B271) &gt; 0, Tabla162670[[#Headers],[Equipos]],
    TRUE, "Sin clasificación"
)</f>
        <v>Sin clasificación</v>
      </c>
      <c r="G271" s="15"/>
      <c r="H271" s="47"/>
      <c r="I271" s="87"/>
      <c r="J271" s="78"/>
      <c r="K271" s="78"/>
      <c r="L271" s="78"/>
      <c r="M271" s="78"/>
      <c r="N271" s="76"/>
      <c r="O271" s="76"/>
      <c r="P271" s="78" t="str">
        <f>_xlfn.LET(
    _xlpm.itemBuscado, B271,
    _xlpm.areaBuscada, C271,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TEXT(COUNTIF($C$2:C271, _xlpm.areaBuscada), "0000"),
    _xlpm.codItem &amp; "-" &amp; _xlpm.codArea &amp; "-" &amp; _xlpm.secuencia
)</f>
        <v>-SinArea-0000</v>
      </c>
      <c r="Q271" s="77"/>
      <c r="R271" s="32"/>
      <c r="S271" s="32"/>
      <c r="T271" s="32"/>
      <c r="U271" s="32"/>
    </row>
    <row r="272" spans="3:21" x14ac:dyDescent="0.3">
      <c r="C272" s="11"/>
      <c r="D272" s="32"/>
      <c r="E272" s="11" t="str" cm="1">
        <f t="array" ref="E272">_xlfn.IFS(
    COUNTIF(Herramientas_eléctricas1862[Herramientas_eléctricas], B272) &gt; 0, Herramientas_eléctricas1862[[#Headers],[Herramientas_eléctricas]],
    COUNTIF(Herramientas_neumáticas1963[Herramientas_neumáticas], B272) &gt; 0, Herramientas_neumáticas1963[[#Headers],[Herramientas_neumáticas]],
    COUNTIF(Herramientas_de_medición2064[Herramientas_de_medición], B272) &gt; 0, Herramientas_de_medición2064[[#Headers],[Herramientas_de_medición]],
    COUNTIF(Herrramientas_mecánicas2165[Herramientas_mecánicas], B272) &gt; 0, Herrramientas_mecánicas2165[[#Headers],[Herramientas_mecánicas]],
    COUNTIF(AK272:AK278, B272) &gt; 0, Herramientas_hidráulicas2266[[#Headers],[Herramientas_hidráulicas]],
    COUNTIF(EPP_2367[SPCC], B272) &gt; 0, EPP_2367[[#Headers],[SPCC]],
   COUNTIF(Herramientas_de_izaje2468[Herramientas_de_izaje], B272) &gt; 0, Herramientas_de_izaje2468[[#Headers],[Herramientas_de_izaje]],
COUNTIF(Tabla162670[Equipos], B272) &gt; 0, Tabla162670[[#Headers],[Equipos]],
    TRUE, "Sin clasificación"
)</f>
        <v>Sin clasificación</v>
      </c>
      <c r="G272" s="15"/>
      <c r="H272" s="47"/>
      <c r="I272" s="87"/>
      <c r="J272" s="78"/>
      <c r="K272" s="78"/>
      <c r="L272" s="78"/>
      <c r="M272" s="78"/>
      <c r="N272" s="76"/>
      <c r="O272" s="76"/>
      <c r="P272" s="78" t="str">
        <f>_xlfn.LET(
    _xlpm.itemBuscado, B272,
    _xlpm.areaBuscada, C272,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TEXT(COUNTIF($C$2:C272, _xlpm.areaBuscada), "0000"),
    _xlpm.codItem &amp; "-" &amp; _xlpm.codArea &amp; "-" &amp; _xlpm.secuencia
)</f>
        <v>-SinArea-0000</v>
      </c>
      <c r="Q272" s="77"/>
      <c r="R272" s="32"/>
      <c r="S272" s="32"/>
      <c r="T272" s="32"/>
      <c r="U272" s="32"/>
    </row>
    <row r="273" spans="3:21" x14ac:dyDescent="0.3">
      <c r="C273" s="11"/>
      <c r="D273" s="32"/>
      <c r="E273" s="11" t="str" cm="1">
        <f t="array" ref="E273">_xlfn.IFS(
    COUNTIF(Herramientas_eléctricas1862[Herramientas_eléctricas], B273) &gt; 0, Herramientas_eléctricas1862[[#Headers],[Herramientas_eléctricas]],
    COUNTIF(Herramientas_neumáticas1963[Herramientas_neumáticas], B273) &gt; 0, Herramientas_neumáticas1963[[#Headers],[Herramientas_neumáticas]],
    COUNTIF(Herramientas_de_medición2064[Herramientas_de_medición], B273) &gt; 0, Herramientas_de_medición2064[[#Headers],[Herramientas_de_medición]],
    COUNTIF(Herrramientas_mecánicas2165[Herramientas_mecánicas], B273) &gt; 0, Herrramientas_mecánicas2165[[#Headers],[Herramientas_mecánicas]],
    COUNTIF(AK273:AK279, B273) &gt; 0, Herramientas_hidráulicas2266[[#Headers],[Herramientas_hidráulicas]],
    COUNTIF(EPP_2367[SPCC], B273) &gt; 0, EPP_2367[[#Headers],[SPCC]],
   COUNTIF(Herramientas_de_izaje2468[Herramientas_de_izaje], B273) &gt; 0, Herramientas_de_izaje2468[[#Headers],[Herramientas_de_izaje]],
COUNTIF(Tabla162670[Equipos], B273) &gt; 0, Tabla162670[[#Headers],[Equipos]],
    TRUE, "Sin clasificación"
)</f>
        <v>Sin clasificación</v>
      </c>
      <c r="G273" s="15"/>
      <c r="H273" s="47"/>
      <c r="I273" s="87"/>
      <c r="J273" s="78"/>
      <c r="K273" s="78"/>
      <c r="L273" s="78"/>
      <c r="M273" s="78"/>
      <c r="N273" s="76"/>
      <c r="O273" s="76"/>
      <c r="P273" s="78" t="str">
        <f>_xlfn.LET(
    _xlpm.itemBuscado, B273,
    _xlpm.areaBuscada, C273,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TEXT(COUNTIF($C$2:C273, _xlpm.areaBuscada), "0000"),
    _xlpm.codItem &amp; "-" &amp; _xlpm.codArea &amp; "-" &amp; _xlpm.secuencia
)</f>
        <v>-SinArea-0000</v>
      </c>
      <c r="Q273" s="77"/>
      <c r="R273" s="32"/>
      <c r="S273" s="32"/>
      <c r="T273" s="32"/>
      <c r="U273" s="32"/>
    </row>
    <row r="274" spans="3:21" x14ac:dyDescent="0.3">
      <c r="C274" s="11"/>
      <c r="D274" s="32"/>
      <c r="E274" s="11" t="str" cm="1">
        <f t="array" ref="E274">_xlfn.IFS(
    COUNTIF(Herramientas_eléctricas1862[Herramientas_eléctricas], B274) &gt; 0, Herramientas_eléctricas1862[[#Headers],[Herramientas_eléctricas]],
    COUNTIF(Herramientas_neumáticas1963[Herramientas_neumáticas], B274) &gt; 0, Herramientas_neumáticas1963[[#Headers],[Herramientas_neumáticas]],
    COUNTIF(Herramientas_de_medición2064[Herramientas_de_medición], B274) &gt; 0, Herramientas_de_medición2064[[#Headers],[Herramientas_de_medición]],
    COUNTIF(Herrramientas_mecánicas2165[Herramientas_mecánicas], B274) &gt; 0, Herrramientas_mecánicas2165[[#Headers],[Herramientas_mecánicas]],
    COUNTIF(AK274:AK280, B274) &gt; 0, Herramientas_hidráulicas2266[[#Headers],[Herramientas_hidráulicas]],
    COUNTIF(EPP_2367[SPCC], B274) &gt; 0, EPP_2367[[#Headers],[SPCC]],
   COUNTIF(Herramientas_de_izaje2468[Herramientas_de_izaje], B274) &gt; 0, Herramientas_de_izaje2468[[#Headers],[Herramientas_de_izaje]],
COUNTIF(Tabla162670[Equipos], B274) &gt; 0, Tabla162670[[#Headers],[Equipos]],
    TRUE, "Sin clasificación"
)</f>
        <v>Sin clasificación</v>
      </c>
      <c r="G274" s="15"/>
      <c r="H274" s="47"/>
      <c r="I274" s="87"/>
      <c r="J274" s="78"/>
      <c r="K274" s="78"/>
      <c r="L274" s="78"/>
      <c r="M274" s="78"/>
      <c r="N274" s="76"/>
      <c r="O274" s="76"/>
      <c r="P274" s="78" t="str">
        <f>_xlfn.LET(
    _xlpm.itemBuscado, B274,
    _xlpm.areaBuscada, C274,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TEXT(COUNTIF($C$2:C274, _xlpm.areaBuscada), "0000"),
    _xlpm.codItem &amp; "-" &amp; _xlpm.codArea &amp; "-" &amp; _xlpm.secuencia
)</f>
        <v>-SinArea-0000</v>
      </c>
      <c r="Q274" s="77"/>
      <c r="R274" s="32"/>
      <c r="S274" s="32"/>
      <c r="T274" s="32"/>
      <c r="U274" s="32"/>
    </row>
    <row r="275" spans="3:21" x14ac:dyDescent="0.3">
      <c r="C275" s="11"/>
      <c r="D275" s="32"/>
      <c r="E275" s="11" t="str" cm="1">
        <f t="array" ref="E275">_xlfn.IFS(
    COUNTIF(Herramientas_eléctricas1862[Herramientas_eléctricas], B275) &gt; 0, Herramientas_eléctricas1862[[#Headers],[Herramientas_eléctricas]],
    COUNTIF(Herramientas_neumáticas1963[Herramientas_neumáticas], B275) &gt; 0, Herramientas_neumáticas1963[[#Headers],[Herramientas_neumáticas]],
    COUNTIF(Herramientas_de_medición2064[Herramientas_de_medición], B275) &gt; 0, Herramientas_de_medición2064[[#Headers],[Herramientas_de_medición]],
    COUNTIF(Herrramientas_mecánicas2165[Herramientas_mecánicas], B275) &gt; 0, Herrramientas_mecánicas2165[[#Headers],[Herramientas_mecánicas]],
    COUNTIF(AK275:AK281, B275) &gt; 0, Herramientas_hidráulicas2266[[#Headers],[Herramientas_hidráulicas]],
    COUNTIF(EPP_2367[SPCC], B275) &gt; 0, EPP_2367[[#Headers],[SPCC]],
   COUNTIF(Herramientas_de_izaje2468[Herramientas_de_izaje], B275) &gt; 0, Herramientas_de_izaje2468[[#Headers],[Herramientas_de_izaje]],
COUNTIF(Tabla162670[Equipos], B275) &gt; 0, Tabla162670[[#Headers],[Equipos]],
    TRUE, "Sin clasificación"
)</f>
        <v>Sin clasificación</v>
      </c>
      <c r="G275" s="15"/>
      <c r="H275" s="47"/>
      <c r="I275" s="87"/>
      <c r="J275" s="78"/>
      <c r="K275" s="78"/>
      <c r="L275" s="78"/>
      <c r="M275" s="78"/>
      <c r="N275" s="76"/>
      <c r="O275" s="76"/>
      <c r="P275" s="78" t="str">
        <f>_xlfn.LET(
    _xlpm.itemBuscado, B275,
    _xlpm.areaBuscada, C275,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TEXT(COUNTIF($C$2:C275, _xlpm.areaBuscada), "0000"),
    _xlpm.codItem &amp; "-" &amp; _xlpm.codArea &amp; "-" &amp; _xlpm.secuencia
)</f>
        <v>-SinArea-0000</v>
      </c>
      <c r="Q275" s="77"/>
      <c r="R275" s="32"/>
      <c r="S275" s="32"/>
      <c r="T275" s="32"/>
      <c r="U275" s="32"/>
    </row>
    <row r="276" spans="3:21" x14ac:dyDescent="0.3">
      <c r="C276" s="11"/>
      <c r="D276" s="32"/>
      <c r="E276" s="11" t="str" cm="1">
        <f t="array" ref="E276">_xlfn.IFS(
    COUNTIF(Herramientas_eléctricas1862[Herramientas_eléctricas], B276) &gt; 0, Herramientas_eléctricas1862[[#Headers],[Herramientas_eléctricas]],
    COUNTIF(Herramientas_neumáticas1963[Herramientas_neumáticas], B276) &gt; 0, Herramientas_neumáticas1963[[#Headers],[Herramientas_neumáticas]],
    COUNTIF(Herramientas_de_medición2064[Herramientas_de_medición], B276) &gt; 0, Herramientas_de_medición2064[[#Headers],[Herramientas_de_medición]],
    COUNTIF(Herrramientas_mecánicas2165[Herramientas_mecánicas], B276) &gt; 0, Herrramientas_mecánicas2165[[#Headers],[Herramientas_mecánicas]],
    COUNTIF(AK276:AK282, B276) &gt; 0, Herramientas_hidráulicas2266[[#Headers],[Herramientas_hidráulicas]],
    COUNTIF(EPP_2367[SPCC], B276) &gt; 0, EPP_2367[[#Headers],[SPCC]],
   COUNTIF(Herramientas_de_izaje2468[Herramientas_de_izaje], B276) &gt; 0, Herramientas_de_izaje2468[[#Headers],[Herramientas_de_izaje]],
COUNTIF(Tabla162670[Equipos], B276) &gt; 0, Tabla162670[[#Headers],[Equipos]],
    TRUE, "Sin clasificación"
)</f>
        <v>Sin clasificación</v>
      </c>
      <c r="G276" s="15"/>
      <c r="H276" s="47"/>
      <c r="I276" s="87"/>
      <c r="J276" s="78"/>
      <c r="K276" s="78"/>
      <c r="L276" s="78"/>
      <c r="M276" s="78"/>
      <c r="N276" s="76"/>
      <c r="O276" s="76"/>
      <c r="P276" s="78" t="str">
        <f>_xlfn.LET(
    _xlpm.itemBuscado, B276,
    _xlpm.areaBuscada, C276,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TEXT(COUNTIF($C$2:C276, _xlpm.areaBuscada), "0000"),
    _xlpm.codItem &amp; "-" &amp; _xlpm.codArea &amp; "-" &amp; _xlpm.secuencia
)</f>
        <v>-SinArea-0000</v>
      </c>
      <c r="Q276" s="77"/>
      <c r="R276" s="32"/>
      <c r="S276" s="32"/>
      <c r="T276" s="32"/>
      <c r="U276" s="32"/>
    </row>
    <row r="277" spans="3:21" x14ac:dyDescent="0.3">
      <c r="C277" s="11"/>
      <c r="D277" s="32"/>
      <c r="E277" s="11" t="str" cm="1">
        <f t="array" ref="E277">_xlfn.IFS(
    COUNTIF(Herramientas_eléctricas1862[Herramientas_eléctricas], B277) &gt; 0, Herramientas_eléctricas1862[[#Headers],[Herramientas_eléctricas]],
    COUNTIF(Herramientas_neumáticas1963[Herramientas_neumáticas], B277) &gt; 0, Herramientas_neumáticas1963[[#Headers],[Herramientas_neumáticas]],
    COUNTIF(Herramientas_de_medición2064[Herramientas_de_medición], B277) &gt; 0, Herramientas_de_medición2064[[#Headers],[Herramientas_de_medición]],
    COUNTIF(Herrramientas_mecánicas2165[Herramientas_mecánicas], B277) &gt; 0, Herrramientas_mecánicas2165[[#Headers],[Herramientas_mecánicas]],
    COUNTIF(AK277:AK283, B277) &gt; 0, Herramientas_hidráulicas2266[[#Headers],[Herramientas_hidráulicas]],
    COUNTIF(EPP_2367[SPCC], B277) &gt; 0, EPP_2367[[#Headers],[SPCC]],
   COUNTIF(Herramientas_de_izaje2468[Herramientas_de_izaje], B277) &gt; 0, Herramientas_de_izaje2468[[#Headers],[Herramientas_de_izaje]],
COUNTIF(Tabla162670[Equipos], B277) &gt; 0, Tabla162670[[#Headers],[Equipos]],
    TRUE, "Sin clasificación"
)</f>
        <v>Sin clasificación</v>
      </c>
      <c r="G277" s="15"/>
      <c r="H277" s="47"/>
      <c r="I277" s="87"/>
      <c r="J277" s="78"/>
      <c r="K277" s="78"/>
      <c r="L277" s="78"/>
      <c r="M277" s="78"/>
      <c r="N277" s="76"/>
      <c r="O277" s="76"/>
      <c r="P277" s="78" t="str">
        <f>_xlfn.LET(
    _xlpm.itemBuscado, B277,
    _xlpm.areaBuscada, C277,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TEXT(COUNTIF($C$2:C277, _xlpm.areaBuscada), "0000"),
    _xlpm.codItem &amp; "-" &amp; _xlpm.codArea &amp; "-" &amp; _xlpm.secuencia
)</f>
        <v>-SinArea-0000</v>
      </c>
      <c r="Q277" s="77"/>
      <c r="R277" s="32"/>
      <c r="S277" s="32"/>
      <c r="T277" s="32"/>
      <c r="U277" s="32"/>
    </row>
    <row r="278" spans="3:21" x14ac:dyDescent="0.3">
      <c r="C278" s="11"/>
      <c r="D278" s="32"/>
      <c r="E278" s="11" t="str" cm="1">
        <f t="array" ref="E278">_xlfn.IFS(
    COUNTIF(Herramientas_eléctricas1862[Herramientas_eléctricas], B278) &gt; 0, Herramientas_eléctricas1862[[#Headers],[Herramientas_eléctricas]],
    COUNTIF(Herramientas_neumáticas1963[Herramientas_neumáticas], B278) &gt; 0, Herramientas_neumáticas1963[[#Headers],[Herramientas_neumáticas]],
    COUNTIF(Herramientas_de_medición2064[Herramientas_de_medición], B278) &gt; 0, Herramientas_de_medición2064[[#Headers],[Herramientas_de_medición]],
    COUNTIF(Herrramientas_mecánicas2165[Herramientas_mecánicas], B278) &gt; 0, Herrramientas_mecánicas2165[[#Headers],[Herramientas_mecánicas]],
    COUNTIF(AK278:AK284, B278) &gt; 0, Herramientas_hidráulicas2266[[#Headers],[Herramientas_hidráulicas]],
    COUNTIF(EPP_2367[SPCC], B278) &gt; 0, EPP_2367[[#Headers],[SPCC]],
   COUNTIF(Herramientas_de_izaje2468[Herramientas_de_izaje], B278) &gt; 0, Herramientas_de_izaje2468[[#Headers],[Herramientas_de_izaje]],
COUNTIF(Tabla162670[Equipos], B278) &gt; 0, Tabla162670[[#Headers],[Equipos]],
    TRUE, "Sin clasificación"
)</f>
        <v>Sin clasificación</v>
      </c>
      <c r="G278" s="15"/>
      <c r="H278" s="47"/>
      <c r="I278" s="87"/>
      <c r="J278" s="78"/>
      <c r="K278" s="78"/>
      <c r="L278" s="78"/>
      <c r="M278" s="78"/>
      <c r="N278" s="76"/>
      <c r="O278" s="76"/>
      <c r="P278" s="78" t="str">
        <f>_xlfn.LET(
    _xlpm.itemBuscado, B278,
    _xlpm.areaBuscada, C278,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TEXT(COUNTIF($C$2:C278, _xlpm.areaBuscada), "0000"),
    _xlpm.codItem &amp; "-" &amp; _xlpm.codArea &amp; "-" &amp; _xlpm.secuencia
)</f>
        <v>-SinArea-0000</v>
      </c>
      <c r="Q278" s="77"/>
      <c r="R278" s="32"/>
      <c r="S278" s="32"/>
      <c r="T278" s="32"/>
      <c r="U278" s="32"/>
    </row>
    <row r="279" spans="3:21" x14ac:dyDescent="0.3">
      <c r="C279" s="11"/>
      <c r="D279" s="32"/>
      <c r="E279" s="11" t="str" cm="1">
        <f t="array" ref="E279">_xlfn.IFS(
    COUNTIF(Herramientas_eléctricas1862[Herramientas_eléctricas], B279) &gt; 0, Herramientas_eléctricas1862[[#Headers],[Herramientas_eléctricas]],
    COUNTIF(Herramientas_neumáticas1963[Herramientas_neumáticas], B279) &gt; 0, Herramientas_neumáticas1963[[#Headers],[Herramientas_neumáticas]],
    COUNTIF(Herramientas_de_medición2064[Herramientas_de_medición], B279) &gt; 0, Herramientas_de_medición2064[[#Headers],[Herramientas_de_medición]],
    COUNTIF(Herrramientas_mecánicas2165[Herramientas_mecánicas], B279) &gt; 0, Herrramientas_mecánicas2165[[#Headers],[Herramientas_mecánicas]],
    COUNTIF(AK279:AK285, B279) &gt; 0, Herramientas_hidráulicas2266[[#Headers],[Herramientas_hidráulicas]],
    COUNTIF(EPP_2367[SPCC], B279) &gt; 0, EPP_2367[[#Headers],[SPCC]],
   COUNTIF(Herramientas_de_izaje2468[Herramientas_de_izaje], B279) &gt; 0, Herramientas_de_izaje2468[[#Headers],[Herramientas_de_izaje]],
COUNTIF(Tabla162670[Equipos], B279) &gt; 0, Tabla162670[[#Headers],[Equipos]],
    TRUE, "Sin clasificación"
)</f>
        <v>Sin clasificación</v>
      </c>
      <c r="G279" s="15"/>
      <c r="H279" s="47"/>
      <c r="I279" s="87"/>
      <c r="J279" s="78"/>
      <c r="K279" s="78"/>
      <c r="L279" s="78"/>
      <c r="M279" s="78"/>
      <c r="N279" s="76"/>
      <c r="O279" s="76"/>
      <c r="P279" s="78" t="str">
        <f>_xlfn.LET(
    _xlpm.itemBuscado, B279,
    _xlpm.areaBuscada, C279,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TEXT(COUNTIF($C$2:C279, _xlpm.areaBuscada), "0000"),
    _xlpm.codItem &amp; "-" &amp; _xlpm.codArea &amp; "-" &amp; _xlpm.secuencia
)</f>
        <v>-SinArea-0000</v>
      </c>
      <c r="Q279" s="77"/>
      <c r="R279" s="32"/>
      <c r="S279" s="32"/>
      <c r="T279" s="32"/>
      <c r="U279" s="32"/>
    </row>
    <row r="280" spans="3:21" x14ac:dyDescent="0.3">
      <c r="C280" s="11"/>
      <c r="D280" s="32"/>
      <c r="E280" s="11" t="str" cm="1">
        <f t="array" ref="E280">_xlfn.IFS(
    COUNTIF(Herramientas_eléctricas1862[Herramientas_eléctricas], B280) &gt; 0, Herramientas_eléctricas1862[[#Headers],[Herramientas_eléctricas]],
    COUNTIF(Herramientas_neumáticas1963[Herramientas_neumáticas], B280) &gt; 0, Herramientas_neumáticas1963[[#Headers],[Herramientas_neumáticas]],
    COUNTIF(Herramientas_de_medición2064[Herramientas_de_medición], B280) &gt; 0, Herramientas_de_medición2064[[#Headers],[Herramientas_de_medición]],
    COUNTIF(Herrramientas_mecánicas2165[Herramientas_mecánicas], B280) &gt; 0, Herrramientas_mecánicas2165[[#Headers],[Herramientas_mecánicas]],
    COUNTIF(AK280:AK286, B280) &gt; 0, Herramientas_hidráulicas2266[[#Headers],[Herramientas_hidráulicas]],
    COUNTIF(EPP_2367[SPCC], B280) &gt; 0, EPP_2367[[#Headers],[SPCC]],
   COUNTIF(Herramientas_de_izaje2468[Herramientas_de_izaje], B280) &gt; 0, Herramientas_de_izaje2468[[#Headers],[Herramientas_de_izaje]],
COUNTIF(Tabla162670[Equipos], B280) &gt; 0, Tabla162670[[#Headers],[Equipos]],
    TRUE, "Sin clasificación"
)</f>
        <v>Sin clasificación</v>
      </c>
      <c r="G280" s="15"/>
      <c r="H280" s="47"/>
      <c r="I280" s="87"/>
      <c r="J280" s="78"/>
      <c r="K280" s="78"/>
      <c r="L280" s="78"/>
      <c r="M280" s="78"/>
      <c r="N280" s="76"/>
      <c r="O280" s="76"/>
      <c r="P280" s="78" t="str">
        <f>_xlfn.LET(
    _xlpm.itemBuscado, B280,
    _xlpm.areaBuscada, C280,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TEXT(COUNTIF($C$2:C280, _xlpm.areaBuscada), "0000"),
    _xlpm.codItem &amp; "-" &amp; _xlpm.codArea &amp; "-" &amp; _xlpm.secuencia
)</f>
        <v>-SinArea-0000</v>
      </c>
      <c r="Q280" s="77"/>
      <c r="R280" s="32"/>
      <c r="S280" s="32"/>
      <c r="T280" s="32"/>
      <c r="U280" s="32"/>
    </row>
    <row r="281" spans="3:21" x14ac:dyDescent="0.3">
      <c r="C281" s="11"/>
      <c r="D281" s="32"/>
      <c r="E281" s="11" t="str" cm="1">
        <f t="array" ref="E281">_xlfn.IFS(
    COUNTIF(Herramientas_eléctricas1862[Herramientas_eléctricas], B281) &gt; 0, Herramientas_eléctricas1862[[#Headers],[Herramientas_eléctricas]],
    COUNTIF(Herramientas_neumáticas1963[Herramientas_neumáticas], B281) &gt; 0, Herramientas_neumáticas1963[[#Headers],[Herramientas_neumáticas]],
    COUNTIF(Herramientas_de_medición2064[Herramientas_de_medición], B281) &gt; 0, Herramientas_de_medición2064[[#Headers],[Herramientas_de_medición]],
    COUNTIF(Herrramientas_mecánicas2165[Herramientas_mecánicas], B281) &gt; 0, Herrramientas_mecánicas2165[[#Headers],[Herramientas_mecánicas]],
    COUNTIF(AK281:AK287, B281) &gt; 0, Herramientas_hidráulicas2266[[#Headers],[Herramientas_hidráulicas]],
    COUNTIF(EPP_2367[SPCC], B281) &gt; 0, EPP_2367[[#Headers],[SPCC]],
   COUNTIF(Herramientas_de_izaje2468[Herramientas_de_izaje], B281) &gt; 0, Herramientas_de_izaje2468[[#Headers],[Herramientas_de_izaje]],
COUNTIF(Tabla162670[Equipos], B281) &gt; 0, Tabla162670[[#Headers],[Equipos]],
    TRUE, "Sin clasificación"
)</f>
        <v>Sin clasificación</v>
      </c>
      <c r="G281" s="15"/>
      <c r="H281" s="47"/>
      <c r="I281" s="87"/>
      <c r="J281" s="78"/>
      <c r="K281" s="78"/>
      <c r="L281" s="78"/>
      <c r="M281" s="78"/>
      <c r="N281" s="76"/>
      <c r="O281" s="76"/>
      <c r="P281" s="78" t="str">
        <f>_xlfn.LET(
    _xlpm.itemBuscado, B281,
    _xlpm.areaBuscada, C281,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TEXT(COUNTIF($C$2:C281, _xlpm.areaBuscada), "0000"),
    _xlpm.codItem &amp; "-" &amp; _xlpm.codArea &amp; "-" &amp; _xlpm.secuencia
)</f>
        <v>-SinArea-0000</v>
      </c>
      <c r="Q281" s="77"/>
      <c r="R281" s="32"/>
      <c r="S281" s="32"/>
      <c r="T281" s="32"/>
      <c r="U281" s="32"/>
    </row>
    <row r="282" spans="3:21" x14ac:dyDescent="0.3">
      <c r="C282" s="11"/>
      <c r="D282" s="32"/>
      <c r="E282" s="11" t="str" cm="1">
        <f t="array" ref="E282">_xlfn.IFS(
    COUNTIF(Herramientas_eléctricas1862[Herramientas_eléctricas], B282) &gt; 0, Herramientas_eléctricas1862[[#Headers],[Herramientas_eléctricas]],
    COUNTIF(Herramientas_neumáticas1963[Herramientas_neumáticas], B282) &gt; 0, Herramientas_neumáticas1963[[#Headers],[Herramientas_neumáticas]],
    COUNTIF(Herramientas_de_medición2064[Herramientas_de_medición], B282) &gt; 0, Herramientas_de_medición2064[[#Headers],[Herramientas_de_medición]],
    COUNTIF(Herrramientas_mecánicas2165[Herramientas_mecánicas], B282) &gt; 0, Herrramientas_mecánicas2165[[#Headers],[Herramientas_mecánicas]],
    COUNTIF(AK282:AK288, B282) &gt; 0, Herramientas_hidráulicas2266[[#Headers],[Herramientas_hidráulicas]],
    COUNTIF(EPP_2367[SPCC], B282) &gt; 0, EPP_2367[[#Headers],[SPCC]],
   COUNTIF(Herramientas_de_izaje2468[Herramientas_de_izaje], B282) &gt; 0, Herramientas_de_izaje2468[[#Headers],[Herramientas_de_izaje]],
COUNTIF(Tabla162670[Equipos], B282) &gt; 0, Tabla162670[[#Headers],[Equipos]],
    TRUE, "Sin clasificación"
)</f>
        <v>Sin clasificación</v>
      </c>
      <c r="G282" s="15"/>
      <c r="H282" s="47"/>
      <c r="I282" s="87"/>
      <c r="J282" s="78"/>
      <c r="K282" s="78"/>
      <c r="L282" s="78"/>
      <c r="M282" s="78"/>
      <c r="N282" s="76"/>
      <c r="O282" s="76"/>
      <c r="P282" s="78" t="str">
        <f>_xlfn.LET(
    _xlpm.itemBuscado, B282,
    _xlpm.areaBuscada, C282,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TEXT(COUNTIF($C$2:C282, _xlpm.areaBuscada), "0000"),
    _xlpm.codItem &amp; "-" &amp; _xlpm.codArea &amp; "-" &amp; _xlpm.secuencia
)</f>
        <v>-SinArea-0000</v>
      </c>
      <c r="Q282" s="77"/>
      <c r="R282" s="32"/>
      <c r="S282" s="32"/>
      <c r="T282" s="32"/>
      <c r="U282" s="32"/>
    </row>
    <row r="283" spans="3:21" x14ac:dyDescent="0.3">
      <c r="C283" s="11"/>
      <c r="D283" s="32"/>
      <c r="E283" s="11" t="str" cm="1">
        <f t="array" ref="E283">_xlfn.IFS(
    COUNTIF(Herramientas_eléctricas1862[Herramientas_eléctricas], B283) &gt; 0, Herramientas_eléctricas1862[[#Headers],[Herramientas_eléctricas]],
    COUNTIF(Herramientas_neumáticas1963[Herramientas_neumáticas], B283) &gt; 0, Herramientas_neumáticas1963[[#Headers],[Herramientas_neumáticas]],
    COUNTIF(Herramientas_de_medición2064[Herramientas_de_medición], B283) &gt; 0, Herramientas_de_medición2064[[#Headers],[Herramientas_de_medición]],
    COUNTIF(Herrramientas_mecánicas2165[Herramientas_mecánicas], B283) &gt; 0, Herrramientas_mecánicas2165[[#Headers],[Herramientas_mecánicas]],
    COUNTIF(AK283:AK289, B283) &gt; 0, Herramientas_hidráulicas2266[[#Headers],[Herramientas_hidráulicas]],
    COUNTIF(EPP_2367[SPCC], B283) &gt; 0, EPP_2367[[#Headers],[SPCC]],
   COUNTIF(Herramientas_de_izaje2468[Herramientas_de_izaje], B283) &gt; 0, Herramientas_de_izaje2468[[#Headers],[Herramientas_de_izaje]],
COUNTIF(Tabla162670[Equipos], B283) &gt; 0, Tabla162670[[#Headers],[Equipos]],
    TRUE, "Sin clasificación"
)</f>
        <v>Sin clasificación</v>
      </c>
      <c r="G283" s="15"/>
      <c r="H283" s="47"/>
      <c r="I283" s="87"/>
      <c r="J283" s="78"/>
      <c r="K283" s="78"/>
      <c r="L283" s="78"/>
      <c r="M283" s="78"/>
      <c r="N283" s="76"/>
      <c r="O283" s="76"/>
      <c r="P283" s="78" t="str">
        <f>_xlfn.LET(
    _xlpm.itemBuscado, B283,
    _xlpm.areaBuscada, C283,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TEXT(COUNTIF($C$2:C283, _xlpm.areaBuscada), "0000"),
    _xlpm.codItem &amp; "-" &amp; _xlpm.codArea &amp; "-" &amp; _xlpm.secuencia
)</f>
        <v>-SinArea-0000</v>
      </c>
      <c r="Q283" s="77"/>
      <c r="R283" s="32"/>
      <c r="S283" s="32"/>
      <c r="T283" s="32"/>
      <c r="U283" s="32"/>
    </row>
    <row r="284" spans="3:21" x14ac:dyDescent="0.3">
      <c r="C284" s="11"/>
      <c r="D284" s="32"/>
      <c r="E284" s="11" t="str" cm="1">
        <f t="array" ref="E284">_xlfn.IFS(
    COUNTIF(Herramientas_eléctricas1862[Herramientas_eléctricas], B284) &gt; 0, Herramientas_eléctricas1862[[#Headers],[Herramientas_eléctricas]],
    COUNTIF(Herramientas_neumáticas1963[Herramientas_neumáticas], B284) &gt; 0, Herramientas_neumáticas1963[[#Headers],[Herramientas_neumáticas]],
    COUNTIF(Herramientas_de_medición2064[Herramientas_de_medición], B284) &gt; 0, Herramientas_de_medición2064[[#Headers],[Herramientas_de_medición]],
    COUNTIF(Herrramientas_mecánicas2165[Herramientas_mecánicas], B284) &gt; 0, Herrramientas_mecánicas2165[[#Headers],[Herramientas_mecánicas]],
    COUNTIF(AK284:AK290, B284) &gt; 0, Herramientas_hidráulicas2266[[#Headers],[Herramientas_hidráulicas]],
    COUNTIF(EPP_2367[SPCC], B284) &gt; 0, EPP_2367[[#Headers],[SPCC]],
   COUNTIF(Herramientas_de_izaje2468[Herramientas_de_izaje], B284) &gt; 0, Herramientas_de_izaje2468[[#Headers],[Herramientas_de_izaje]],
COUNTIF(Tabla162670[Equipos], B284) &gt; 0, Tabla162670[[#Headers],[Equipos]],
    TRUE, "Sin clasificación"
)</f>
        <v>Sin clasificación</v>
      </c>
      <c r="G284" s="15"/>
      <c r="H284" s="47"/>
      <c r="I284" s="87"/>
      <c r="J284" s="78"/>
      <c r="K284" s="78"/>
      <c r="L284" s="78"/>
      <c r="M284" s="78"/>
      <c r="N284" s="76"/>
      <c r="O284" s="76"/>
      <c r="P284" s="78" t="str">
        <f>_xlfn.LET(
    _xlpm.itemBuscado, B284,
    _xlpm.areaBuscada, C284,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TEXT(COUNTIF($C$2:C284, _xlpm.areaBuscada), "0000"),
    _xlpm.codItem &amp; "-" &amp; _xlpm.codArea &amp; "-" &amp; _xlpm.secuencia
)</f>
        <v>-SinArea-0000</v>
      </c>
      <c r="Q284" s="77"/>
      <c r="R284" s="32"/>
      <c r="S284" s="32"/>
      <c r="T284" s="32"/>
      <c r="U284" s="32"/>
    </row>
    <row r="285" spans="3:21" x14ac:dyDescent="0.3">
      <c r="C285" s="11"/>
      <c r="D285" s="32"/>
      <c r="E285" s="11" t="str" cm="1">
        <f t="array" ref="E285">_xlfn.IFS(
    COUNTIF(Herramientas_eléctricas1862[Herramientas_eléctricas], B285) &gt; 0, Herramientas_eléctricas1862[[#Headers],[Herramientas_eléctricas]],
    COUNTIF(Herramientas_neumáticas1963[Herramientas_neumáticas], B285) &gt; 0, Herramientas_neumáticas1963[[#Headers],[Herramientas_neumáticas]],
    COUNTIF(Herramientas_de_medición2064[Herramientas_de_medición], B285) &gt; 0, Herramientas_de_medición2064[[#Headers],[Herramientas_de_medición]],
    COUNTIF(Herrramientas_mecánicas2165[Herramientas_mecánicas], B285) &gt; 0, Herrramientas_mecánicas2165[[#Headers],[Herramientas_mecánicas]],
    COUNTIF(AK285:AK291, B285) &gt; 0, Herramientas_hidráulicas2266[[#Headers],[Herramientas_hidráulicas]],
    COUNTIF(EPP_2367[SPCC], B285) &gt; 0, EPP_2367[[#Headers],[SPCC]],
   COUNTIF(Herramientas_de_izaje2468[Herramientas_de_izaje], B285) &gt; 0, Herramientas_de_izaje2468[[#Headers],[Herramientas_de_izaje]],
COUNTIF(Tabla162670[Equipos], B285) &gt; 0, Tabla162670[[#Headers],[Equipos]],
    TRUE, "Sin clasificación"
)</f>
        <v>Sin clasificación</v>
      </c>
      <c r="G285" s="15"/>
      <c r="H285" s="47"/>
      <c r="I285" s="87"/>
      <c r="J285" s="78"/>
      <c r="K285" s="78"/>
      <c r="L285" s="78"/>
      <c r="M285" s="78"/>
      <c r="N285" s="76"/>
      <c r="O285" s="76"/>
      <c r="P285" s="78" t="str">
        <f>_xlfn.LET(
    _xlpm.itemBuscado, B285,
    _xlpm.areaBuscada, C285,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TEXT(COUNTIF($C$2:C285, _xlpm.areaBuscada), "0000"),
    _xlpm.codItem &amp; "-" &amp; _xlpm.codArea &amp; "-" &amp; _xlpm.secuencia
)</f>
        <v>-SinArea-0000</v>
      </c>
      <c r="Q285" s="77"/>
      <c r="R285" s="32"/>
      <c r="S285" s="32"/>
      <c r="T285" s="32"/>
      <c r="U285" s="32"/>
    </row>
    <row r="286" spans="3:21" x14ac:dyDescent="0.3">
      <c r="C286" s="11"/>
      <c r="D286" s="32"/>
      <c r="E286" s="11" t="str" cm="1">
        <f t="array" ref="E286">_xlfn.IFS(
    COUNTIF(Herramientas_eléctricas1862[Herramientas_eléctricas], B286) &gt; 0, Herramientas_eléctricas1862[[#Headers],[Herramientas_eléctricas]],
    COUNTIF(Herramientas_neumáticas1963[Herramientas_neumáticas], B286) &gt; 0, Herramientas_neumáticas1963[[#Headers],[Herramientas_neumáticas]],
    COUNTIF(Herramientas_de_medición2064[Herramientas_de_medición], B286) &gt; 0, Herramientas_de_medición2064[[#Headers],[Herramientas_de_medición]],
    COUNTIF(Herrramientas_mecánicas2165[Herramientas_mecánicas], B286) &gt; 0, Herrramientas_mecánicas2165[[#Headers],[Herramientas_mecánicas]],
    COUNTIF(AK286:AK292, B286) &gt; 0, Herramientas_hidráulicas2266[[#Headers],[Herramientas_hidráulicas]],
    COUNTIF(EPP_2367[SPCC], B286) &gt; 0, EPP_2367[[#Headers],[SPCC]],
   COUNTIF(Herramientas_de_izaje2468[Herramientas_de_izaje], B286) &gt; 0, Herramientas_de_izaje2468[[#Headers],[Herramientas_de_izaje]],
COUNTIF(Tabla162670[Equipos], B286) &gt; 0, Tabla162670[[#Headers],[Equipos]],
    TRUE, "Sin clasificación"
)</f>
        <v>Sin clasificación</v>
      </c>
      <c r="G286" s="15"/>
      <c r="H286" s="47"/>
      <c r="I286" s="87"/>
      <c r="J286" s="78"/>
      <c r="K286" s="78"/>
      <c r="L286" s="78"/>
      <c r="M286" s="78"/>
      <c r="N286" s="76"/>
      <c r="O286" s="76"/>
      <c r="P286" s="78" t="str">
        <f>_xlfn.LET(
    _xlpm.itemBuscado, B286,
    _xlpm.areaBuscada, C286,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TEXT(COUNTIF($C$2:C286, _xlpm.areaBuscada), "0000"),
    _xlpm.codItem &amp; "-" &amp; _xlpm.codArea &amp; "-" &amp; _xlpm.secuencia
)</f>
        <v>-SinArea-0000</v>
      </c>
      <c r="Q286" s="77"/>
      <c r="R286" s="32"/>
      <c r="S286" s="32"/>
      <c r="T286" s="32"/>
      <c r="U286" s="32"/>
    </row>
    <row r="287" spans="3:21" x14ac:dyDescent="0.3">
      <c r="C287" s="11"/>
      <c r="D287" s="32"/>
      <c r="E287" s="11" t="str" cm="1">
        <f t="array" ref="E287">_xlfn.IFS(
    COUNTIF(Herramientas_eléctricas1862[Herramientas_eléctricas], B287) &gt; 0, Herramientas_eléctricas1862[[#Headers],[Herramientas_eléctricas]],
    COUNTIF(Herramientas_neumáticas1963[Herramientas_neumáticas], B287) &gt; 0, Herramientas_neumáticas1963[[#Headers],[Herramientas_neumáticas]],
    COUNTIF(Herramientas_de_medición2064[Herramientas_de_medición], B287) &gt; 0, Herramientas_de_medición2064[[#Headers],[Herramientas_de_medición]],
    COUNTIF(Herrramientas_mecánicas2165[Herramientas_mecánicas], B287) &gt; 0, Herrramientas_mecánicas2165[[#Headers],[Herramientas_mecánicas]],
    COUNTIF(AK287:AK293, B287) &gt; 0, Herramientas_hidráulicas2266[[#Headers],[Herramientas_hidráulicas]],
    COUNTIF(EPP_2367[SPCC], B287) &gt; 0, EPP_2367[[#Headers],[SPCC]],
   COUNTIF(Herramientas_de_izaje2468[Herramientas_de_izaje], B287) &gt; 0, Herramientas_de_izaje2468[[#Headers],[Herramientas_de_izaje]],
COUNTIF(Tabla162670[Equipos], B287) &gt; 0, Tabla162670[[#Headers],[Equipos]],
    TRUE, "Sin clasificación"
)</f>
        <v>Sin clasificación</v>
      </c>
      <c r="G287" s="15"/>
      <c r="H287" s="47"/>
      <c r="I287" s="87"/>
      <c r="J287" s="78"/>
      <c r="K287" s="78"/>
      <c r="L287" s="78"/>
      <c r="M287" s="78"/>
      <c r="N287" s="76"/>
      <c r="O287" s="76"/>
      <c r="P287" s="78" t="str">
        <f>_xlfn.LET(
    _xlpm.itemBuscado, B287,
    _xlpm.areaBuscada, C287,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TEXT(COUNTIF($C$2:C287, _xlpm.areaBuscada), "0000"),
    _xlpm.codItem &amp; "-" &amp; _xlpm.codArea &amp; "-" &amp; _xlpm.secuencia
)</f>
        <v>-SinArea-0000</v>
      </c>
      <c r="Q287" s="77"/>
      <c r="R287" s="32"/>
      <c r="S287" s="32"/>
      <c r="T287" s="32"/>
      <c r="U287" s="32"/>
    </row>
    <row r="288" spans="3:21" x14ac:dyDescent="0.3">
      <c r="C288" s="11"/>
      <c r="D288" s="32"/>
      <c r="E288" s="11" t="str" cm="1">
        <f t="array" ref="E288">_xlfn.IFS(
    COUNTIF(Herramientas_eléctricas1862[Herramientas_eléctricas], B288) &gt; 0, Herramientas_eléctricas1862[[#Headers],[Herramientas_eléctricas]],
    COUNTIF(Herramientas_neumáticas1963[Herramientas_neumáticas], B288) &gt; 0, Herramientas_neumáticas1963[[#Headers],[Herramientas_neumáticas]],
    COUNTIF(Herramientas_de_medición2064[Herramientas_de_medición], B288) &gt; 0, Herramientas_de_medición2064[[#Headers],[Herramientas_de_medición]],
    COUNTIF(Herrramientas_mecánicas2165[Herramientas_mecánicas], B288) &gt; 0, Herrramientas_mecánicas2165[[#Headers],[Herramientas_mecánicas]],
    COUNTIF(AK288:AK294, B288) &gt; 0, Herramientas_hidráulicas2266[[#Headers],[Herramientas_hidráulicas]],
    COUNTIF(EPP_2367[SPCC], B288) &gt; 0, EPP_2367[[#Headers],[SPCC]],
   COUNTIF(Herramientas_de_izaje2468[Herramientas_de_izaje], B288) &gt; 0, Herramientas_de_izaje2468[[#Headers],[Herramientas_de_izaje]],
COUNTIF(Tabla162670[Equipos], B288) &gt; 0, Tabla162670[[#Headers],[Equipos]],
    TRUE, "Sin clasificación"
)</f>
        <v>Sin clasificación</v>
      </c>
      <c r="G288" s="15"/>
      <c r="H288" s="47"/>
      <c r="I288" s="87"/>
      <c r="J288" s="78"/>
      <c r="K288" s="78"/>
      <c r="L288" s="78"/>
      <c r="M288" s="78"/>
      <c r="N288" s="76"/>
      <c r="O288" s="76"/>
      <c r="P288" s="78" t="str">
        <f>_xlfn.LET(
    _xlpm.itemBuscado, B288,
    _xlpm.areaBuscada, C288,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TEXT(COUNTIF($C$2:C288, _xlpm.areaBuscada), "0000"),
    _xlpm.codItem &amp; "-" &amp; _xlpm.codArea &amp; "-" &amp; _xlpm.secuencia
)</f>
        <v>-SinArea-0000</v>
      </c>
      <c r="Q288" s="77"/>
      <c r="R288" s="32"/>
      <c r="S288" s="32"/>
      <c r="T288" s="32"/>
      <c r="U288" s="32"/>
    </row>
    <row r="289" spans="3:21" x14ac:dyDescent="0.3">
      <c r="C289" s="11"/>
      <c r="D289" s="32"/>
      <c r="E289" s="11" t="str" cm="1">
        <f t="array" ref="E289">_xlfn.IFS(
    COUNTIF(Herramientas_eléctricas1862[Herramientas_eléctricas], B289) &gt; 0, Herramientas_eléctricas1862[[#Headers],[Herramientas_eléctricas]],
    COUNTIF(Herramientas_neumáticas1963[Herramientas_neumáticas], B289) &gt; 0, Herramientas_neumáticas1963[[#Headers],[Herramientas_neumáticas]],
    COUNTIF(Herramientas_de_medición2064[Herramientas_de_medición], B289) &gt; 0, Herramientas_de_medición2064[[#Headers],[Herramientas_de_medición]],
    COUNTIF(Herrramientas_mecánicas2165[Herramientas_mecánicas], B289) &gt; 0, Herrramientas_mecánicas2165[[#Headers],[Herramientas_mecánicas]],
    COUNTIF(AK289:AK295, B289) &gt; 0, Herramientas_hidráulicas2266[[#Headers],[Herramientas_hidráulicas]],
    COUNTIF(EPP_2367[SPCC], B289) &gt; 0, EPP_2367[[#Headers],[SPCC]],
   COUNTIF(Herramientas_de_izaje2468[Herramientas_de_izaje], B289) &gt; 0, Herramientas_de_izaje2468[[#Headers],[Herramientas_de_izaje]],
COUNTIF(Tabla162670[Equipos], B289) &gt; 0, Tabla162670[[#Headers],[Equipos]],
    TRUE, "Sin clasificación"
)</f>
        <v>Sin clasificación</v>
      </c>
      <c r="G289" s="15"/>
      <c r="H289" s="47"/>
      <c r="I289" s="87"/>
      <c r="J289" s="78"/>
      <c r="K289" s="78"/>
      <c r="L289" s="78"/>
      <c r="M289" s="78"/>
      <c r="N289" s="76"/>
      <c r="O289" s="76"/>
      <c r="P289" s="78" t="str">
        <f>_xlfn.LET(
    _xlpm.itemBuscado, B289,
    _xlpm.areaBuscada, C289,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TEXT(COUNTIF($C$2:C289, _xlpm.areaBuscada), "0000"),
    _xlpm.codItem &amp; "-" &amp; _xlpm.codArea &amp; "-" &amp; _xlpm.secuencia
)</f>
        <v>-SinArea-0000</v>
      </c>
      <c r="Q289" s="77"/>
      <c r="R289" s="32"/>
      <c r="S289" s="32"/>
      <c r="T289" s="32"/>
      <c r="U289" s="32"/>
    </row>
    <row r="290" spans="3:21" x14ac:dyDescent="0.3">
      <c r="C290" s="11"/>
      <c r="D290" s="32"/>
      <c r="E290" s="11" t="str" cm="1">
        <f t="array" ref="E290">_xlfn.IFS(
    COUNTIF(Herramientas_eléctricas1862[Herramientas_eléctricas], B290) &gt; 0, Herramientas_eléctricas1862[[#Headers],[Herramientas_eléctricas]],
    COUNTIF(Herramientas_neumáticas1963[Herramientas_neumáticas], B290) &gt; 0, Herramientas_neumáticas1963[[#Headers],[Herramientas_neumáticas]],
    COUNTIF(Herramientas_de_medición2064[Herramientas_de_medición], B290) &gt; 0, Herramientas_de_medición2064[[#Headers],[Herramientas_de_medición]],
    COUNTIF(Herrramientas_mecánicas2165[Herramientas_mecánicas], B290) &gt; 0, Herrramientas_mecánicas2165[[#Headers],[Herramientas_mecánicas]],
    COUNTIF(AK290:AK296, B290) &gt; 0, Herramientas_hidráulicas2266[[#Headers],[Herramientas_hidráulicas]],
    COUNTIF(EPP_2367[SPCC], B290) &gt; 0, EPP_2367[[#Headers],[SPCC]],
   COUNTIF(Herramientas_de_izaje2468[Herramientas_de_izaje], B290) &gt; 0, Herramientas_de_izaje2468[[#Headers],[Herramientas_de_izaje]],
COUNTIF(Tabla162670[Equipos], B290) &gt; 0, Tabla162670[[#Headers],[Equipos]],
    TRUE, "Sin clasificación"
)</f>
        <v>Sin clasificación</v>
      </c>
      <c r="G290" s="15"/>
      <c r="H290" s="47"/>
      <c r="I290" s="87"/>
      <c r="J290" s="78"/>
      <c r="K290" s="78"/>
      <c r="L290" s="78"/>
      <c r="M290" s="78"/>
      <c r="N290" s="76"/>
      <c r="O290" s="76"/>
      <c r="P290" s="78" t="str">
        <f>_xlfn.LET(
    _xlpm.itemBuscado, B290,
    _xlpm.areaBuscada, C290,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TEXT(COUNTIF($C$2:C290, _xlpm.areaBuscada), "0000"),
    _xlpm.codItem &amp; "-" &amp; _xlpm.codArea &amp; "-" &amp; _xlpm.secuencia
)</f>
        <v>-SinArea-0000</v>
      </c>
      <c r="Q290" s="77"/>
      <c r="R290" s="32"/>
      <c r="S290" s="32"/>
      <c r="T290" s="32"/>
      <c r="U290" s="32"/>
    </row>
    <row r="291" spans="3:21" x14ac:dyDescent="0.3">
      <c r="C291" s="11"/>
      <c r="D291" s="32"/>
      <c r="E291" s="11" t="str" cm="1">
        <f t="array" ref="E291">_xlfn.IFS(
    COUNTIF(Herramientas_eléctricas1862[Herramientas_eléctricas], B291) &gt; 0, Herramientas_eléctricas1862[[#Headers],[Herramientas_eléctricas]],
    COUNTIF(Herramientas_neumáticas1963[Herramientas_neumáticas], B291) &gt; 0, Herramientas_neumáticas1963[[#Headers],[Herramientas_neumáticas]],
    COUNTIF(Herramientas_de_medición2064[Herramientas_de_medición], B291) &gt; 0, Herramientas_de_medición2064[[#Headers],[Herramientas_de_medición]],
    COUNTIF(Herrramientas_mecánicas2165[Herramientas_mecánicas], B291) &gt; 0, Herrramientas_mecánicas2165[[#Headers],[Herramientas_mecánicas]],
    COUNTIF(AK291:AK297, B291) &gt; 0, Herramientas_hidráulicas2266[[#Headers],[Herramientas_hidráulicas]],
    COUNTIF(EPP_2367[SPCC], B291) &gt; 0, EPP_2367[[#Headers],[SPCC]],
   COUNTIF(Herramientas_de_izaje2468[Herramientas_de_izaje], B291) &gt; 0, Herramientas_de_izaje2468[[#Headers],[Herramientas_de_izaje]],
COUNTIF(Tabla162670[Equipos], B291) &gt; 0, Tabla162670[[#Headers],[Equipos]],
    TRUE, "Sin clasificación"
)</f>
        <v>Sin clasificación</v>
      </c>
      <c r="G291" s="15"/>
      <c r="H291" s="47"/>
      <c r="I291" s="87"/>
      <c r="J291" s="78"/>
      <c r="K291" s="78"/>
      <c r="L291" s="78"/>
      <c r="M291" s="78"/>
      <c r="N291" s="76"/>
      <c r="O291" s="76"/>
      <c r="P291" s="78" t="str">
        <f>_xlfn.LET(
    _xlpm.itemBuscado, B291,
    _xlpm.areaBuscada, C291,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TEXT(COUNTIF($C$2:C291, _xlpm.areaBuscada), "0000"),
    _xlpm.codItem &amp; "-" &amp; _xlpm.codArea &amp; "-" &amp; _xlpm.secuencia
)</f>
        <v>-SinArea-0000</v>
      </c>
      <c r="Q291" s="77"/>
      <c r="R291" s="32"/>
      <c r="S291" s="32"/>
      <c r="T291" s="32"/>
      <c r="U291" s="32"/>
    </row>
    <row r="292" spans="3:21" x14ac:dyDescent="0.3">
      <c r="C292" s="11"/>
      <c r="D292" s="32"/>
      <c r="E292" s="11" t="str" cm="1">
        <f t="array" ref="E292">_xlfn.IFS(
    COUNTIF(Herramientas_eléctricas1862[Herramientas_eléctricas], B292) &gt; 0, Herramientas_eléctricas1862[[#Headers],[Herramientas_eléctricas]],
    COUNTIF(Herramientas_neumáticas1963[Herramientas_neumáticas], B292) &gt; 0, Herramientas_neumáticas1963[[#Headers],[Herramientas_neumáticas]],
    COUNTIF(Herramientas_de_medición2064[Herramientas_de_medición], B292) &gt; 0, Herramientas_de_medición2064[[#Headers],[Herramientas_de_medición]],
    COUNTIF(Herrramientas_mecánicas2165[Herramientas_mecánicas], B292) &gt; 0, Herrramientas_mecánicas2165[[#Headers],[Herramientas_mecánicas]],
    COUNTIF(AK292:AK298, B292) &gt; 0, Herramientas_hidráulicas2266[[#Headers],[Herramientas_hidráulicas]],
    COUNTIF(EPP_2367[SPCC], B292) &gt; 0, EPP_2367[[#Headers],[SPCC]],
   COUNTIF(Herramientas_de_izaje2468[Herramientas_de_izaje], B292) &gt; 0, Herramientas_de_izaje2468[[#Headers],[Herramientas_de_izaje]],
COUNTIF(Tabla162670[Equipos], B292) &gt; 0, Tabla162670[[#Headers],[Equipos]],
    TRUE, "Sin clasificación"
)</f>
        <v>Sin clasificación</v>
      </c>
      <c r="G292" s="15"/>
      <c r="H292" s="47"/>
      <c r="I292" s="87"/>
      <c r="J292" s="78"/>
      <c r="K292" s="78"/>
      <c r="L292" s="78"/>
      <c r="M292" s="78"/>
      <c r="N292" s="76"/>
      <c r="O292" s="76"/>
      <c r="P292" s="78" t="str">
        <f>_xlfn.LET(
    _xlpm.itemBuscado, B292,
    _xlpm.areaBuscada, C292,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TEXT(COUNTIF($C$2:C292, _xlpm.areaBuscada), "0000"),
    _xlpm.codItem &amp; "-" &amp; _xlpm.codArea &amp; "-" &amp; _xlpm.secuencia
)</f>
        <v>-SinArea-0000</v>
      </c>
      <c r="Q292" s="77"/>
      <c r="R292" s="32"/>
      <c r="S292" s="32"/>
      <c r="T292" s="32"/>
      <c r="U292" s="32"/>
    </row>
    <row r="293" spans="3:21" x14ac:dyDescent="0.3">
      <c r="C293" s="11"/>
      <c r="D293" s="32"/>
      <c r="E293" s="11" t="str" cm="1">
        <f t="array" ref="E293">_xlfn.IFS(
    COUNTIF(Herramientas_eléctricas1862[Herramientas_eléctricas], B293) &gt; 0, Herramientas_eléctricas1862[[#Headers],[Herramientas_eléctricas]],
    COUNTIF(Herramientas_neumáticas1963[Herramientas_neumáticas], B293) &gt; 0, Herramientas_neumáticas1963[[#Headers],[Herramientas_neumáticas]],
    COUNTIF(Herramientas_de_medición2064[Herramientas_de_medición], B293) &gt; 0, Herramientas_de_medición2064[[#Headers],[Herramientas_de_medición]],
    COUNTIF(Herrramientas_mecánicas2165[Herramientas_mecánicas], B293) &gt; 0, Herrramientas_mecánicas2165[[#Headers],[Herramientas_mecánicas]],
    COUNTIF(AK293:AK299, B293) &gt; 0, Herramientas_hidráulicas2266[[#Headers],[Herramientas_hidráulicas]],
    COUNTIF(EPP_2367[SPCC], B293) &gt; 0, EPP_2367[[#Headers],[SPCC]],
   COUNTIF(Herramientas_de_izaje2468[Herramientas_de_izaje], B293) &gt; 0, Herramientas_de_izaje2468[[#Headers],[Herramientas_de_izaje]],
COUNTIF(Tabla162670[Equipos], B293) &gt; 0, Tabla162670[[#Headers],[Equipos]],
    TRUE, "Sin clasificación"
)</f>
        <v>Sin clasificación</v>
      </c>
      <c r="G293" s="15"/>
      <c r="H293" s="47"/>
      <c r="I293" s="87"/>
      <c r="J293" s="78"/>
      <c r="K293" s="78"/>
      <c r="L293" s="78"/>
      <c r="M293" s="78"/>
      <c r="N293" s="76"/>
      <c r="O293" s="76"/>
      <c r="P293" s="78" t="str">
        <f>_xlfn.LET(
    _xlpm.itemBuscado, B293,
    _xlpm.areaBuscada, C293,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TEXT(COUNTIF($C$2:C293, _xlpm.areaBuscada), "0000"),
    _xlpm.codItem &amp; "-" &amp; _xlpm.codArea &amp; "-" &amp; _xlpm.secuencia
)</f>
        <v>-SinArea-0000</v>
      </c>
      <c r="Q293" s="77"/>
      <c r="R293" s="32"/>
      <c r="S293" s="32"/>
      <c r="T293" s="32"/>
      <c r="U293" s="32"/>
    </row>
    <row r="294" spans="3:21" x14ac:dyDescent="0.3">
      <c r="C294" s="11"/>
      <c r="D294" s="32"/>
      <c r="E294" s="11" t="str" cm="1">
        <f t="array" ref="E294">_xlfn.IFS(
    COUNTIF(Herramientas_eléctricas1862[Herramientas_eléctricas], B294) &gt; 0, Herramientas_eléctricas1862[[#Headers],[Herramientas_eléctricas]],
    COUNTIF(Herramientas_neumáticas1963[Herramientas_neumáticas], B294) &gt; 0, Herramientas_neumáticas1963[[#Headers],[Herramientas_neumáticas]],
    COUNTIF(Herramientas_de_medición2064[Herramientas_de_medición], B294) &gt; 0, Herramientas_de_medición2064[[#Headers],[Herramientas_de_medición]],
    COUNTIF(Herrramientas_mecánicas2165[Herramientas_mecánicas], B294) &gt; 0, Herrramientas_mecánicas2165[[#Headers],[Herramientas_mecánicas]],
    COUNTIF(AK294:AK300, B294) &gt; 0, Herramientas_hidráulicas2266[[#Headers],[Herramientas_hidráulicas]],
    COUNTIF(EPP_2367[SPCC], B294) &gt; 0, EPP_2367[[#Headers],[SPCC]],
   COUNTIF(Herramientas_de_izaje2468[Herramientas_de_izaje], B294) &gt; 0, Herramientas_de_izaje2468[[#Headers],[Herramientas_de_izaje]],
COUNTIF(Tabla162670[Equipos], B294) &gt; 0, Tabla162670[[#Headers],[Equipos]],
    TRUE, "Sin clasificación"
)</f>
        <v>Sin clasificación</v>
      </c>
      <c r="G294" s="15"/>
      <c r="H294" s="47"/>
      <c r="I294" s="87"/>
      <c r="J294" s="78"/>
      <c r="K294" s="78"/>
      <c r="L294" s="78"/>
      <c r="M294" s="78"/>
      <c r="N294" s="76"/>
      <c r="O294" s="76"/>
      <c r="P294" s="78" t="str">
        <f>_xlfn.LET(
    _xlpm.itemBuscado, B294,
    _xlpm.areaBuscada, C294,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TEXT(COUNTIF($C$2:C294, _xlpm.areaBuscada), "0000"),
    _xlpm.codItem &amp; "-" &amp; _xlpm.codArea &amp; "-" &amp; _xlpm.secuencia
)</f>
        <v>-SinArea-0000</v>
      </c>
      <c r="Q294" s="77"/>
      <c r="R294" s="32"/>
      <c r="S294" s="32"/>
      <c r="T294" s="32"/>
      <c r="U294" s="32"/>
    </row>
    <row r="295" spans="3:21" x14ac:dyDescent="0.3">
      <c r="C295" s="11"/>
      <c r="D295" s="32"/>
      <c r="E295" s="11" t="str" cm="1">
        <f t="array" ref="E295">_xlfn.IFS(
    COUNTIF(Herramientas_eléctricas1862[Herramientas_eléctricas], B295) &gt; 0, Herramientas_eléctricas1862[[#Headers],[Herramientas_eléctricas]],
    COUNTIF(Herramientas_neumáticas1963[Herramientas_neumáticas], B295) &gt; 0, Herramientas_neumáticas1963[[#Headers],[Herramientas_neumáticas]],
    COUNTIF(Herramientas_de_medición2064[Herramientas_de_medición], B295) &gt; 0, Herramientas_de_medición2064[[#Headers],[Herramientas_de_medición]],
    COUNTIF(Herrramientas_mecánicas2165[Herramientas_mecánicas], B295) &gt; 0, Herrramientas_mecánicas2165[[#Headers],[Herramientas_mecánicas]],
    COUNTIF(AK295:AK301, B295) &gt; 0, Herramientas_hidráulicas2266[[#Headers],[Herramientas_hidráulicas]],
    COUNTIF(EPP_2367[SPCC], B295) &gt; 0, EPP_2367[[#Headers],[SPCC]],
   COUNTIF(Herramientas_de_izaje2468[Herramientas_de_izaje], B295) &gt; 0, Herramientas_de_izaje2468[[#Headers],[Herramientas_de_izaje]],
COUNTIF(Tabla162670[Equipos], B295) &gt; 0, Tabla162670[[#Headers],[Equipos]],
    TRUE, "Sin clasificación"
)</f>
        <v>Sin clasificación</v>
      </c>
      <c r="G295" s="15"/>
      <c r="H295" s="47"/>
      <c r="I295" s="87"/>
      <c r="J295" s="78"/>
      <c r="K295" s="78"/>
      <c r="L295" s="78"/>
      <c r="M295" s="78"/>
      <c r="N295" s="76"/>
      <c r="O295" s="76"/>
      <c r="P295" s="78" t="str">
        <f>_xlfn.LET(
    _xlpm.itemBuscado, B295,
    _xlpm.areaBuscada, C295,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TEXT(COUNTIF($C$2:C295, _xlpm.areaBuscada), "0000"),
    _xlpm.codItem &amp; "-" &amp; _xlpm.codArea &amp; "-" &amp; _xlpm.secuencia
)</f>
        <v>-SinArea-0000</v>
      </c>
      <c r="Q295" s="77"/>
      <c r="R295" s="32"/>
      <c r="S295" s="32"/>
      <c r="T295" s="32"/>
      <c r="U295" s="32"/>
    </row>
    <row r="296" spans="3:21" x14ac:dyDescent="0.3">
      <c r="C296" s="11"/>
      <c r="D296" s="32"/>
      <c r="E296" s="11" t="str" cm="1">
        <f t="array" ref="E296">_xlfn.IFS(
    COUNTIF(Herramientas_eléctricas1862[Herramientas_eléctricas], B296) &gt; 0, Herramientas_eléctricas1862[[#Headers],[Herramientas_eléctricas]],
    COUNTIF(Herramientas_neumáticas1963[Herramientas_neumáticas], B296) &gt; 0, Herramientas_neumáticas1963[[#Headers],[Herramientas_neumáticas]],
    COUNTIF(Herramientas_de_medición2064[Herramientas_de_medición], B296) &gt; 0, Herramientas_de_medición2064[[#Headers],[Herramientas_de_medición]],
    COUNTIF(Herrramientas_mecánicas2165[Herramientas_mecánicas], B296) &gt; 0, Herrramientas_mecánicas2165[[#Headers],[Herramientas_mecánicas]],
    COUNTIF(AK296:AK302, B296) &gt; 0, Herramientas_hidráulicas2266[[#Headers],[Herramientas_hidráulicas]],
    COUNTIF(EPP_2367[SPCC], B296) &gt; 0, EPP_2367[[#Headers],[SPCC]],
   COUNTIF(Herramientas_de_izaje2468[Herramientas_de_izaje], B296) &gt; 0, Herramientas_de_izaje2468[[#Headers],[Herramientas_de_izaje]],
COUNTIF(Tabla162670[Equipos], B296) &gt; 0, Tabla162670[[#Headers],[Equipos]],
    TRUE, "Sin clasificación"
)</f>
        <v>Sin clasificación</v>
      </c>
      <c r="G296" s="15"/>
      <c r="H296" s="47"/>
      <c r="I296" s="87"/>
      <c r="J296" s="78"/>
      <c r="K296" s="78"/>
      <c r="L296" s="78"/>
      <c r="M296" s="78"/>
      <c r="N296" s="76"/>
      <c r="O296" s="76"/>
      <c r="P296" s="78" t="str">
        <f>_xlfn.LET(
    _xlpm.itemBuscado, B296,
    _xlpm.areaBuscada, C296,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TEXT(COUNTIF($C$2:C296, _xlpm.areaBuscada), "0000"),
    _xlpm.codItem &amp; "-" &amp; _xlpm.codArea &amp; "-" &amp; _xlpm.secuencia
)</f>
        <v>-SinArea-0000</v>
      </c>
      <c r="Q296" s="77"/>
      <c r="R296" s="32"/>
      <c r="S296" s="32"/>
      <c r="T296" s="32"/>
      <c r="U296" s="32"/>
    </row>
    <row r="297" spans="3:21" x14ac:dyDescent="0.3">
      <c r="C297" s="11"/>
      <c r="D297" s="32"/>
      <c r="E297" s="11" t="str" cm="1">
        <f t="array" ref="E297">_xlfn.IFS(
    COUNTIF(Herramientas_eléctricas1862[Herramientas_eléctricas], B297) &gt; 0, Herramientas_eléctricas1862[[#Headers],[Herramientas_eléctricas]],
    COUNTIF(Herramientas_neumáticas1963[Herramientas_neumáticas], B297) &gt; 0, Herramientas_neumáticas1963[[#Headers],[Herramientas_neumáticas]],
    COUNTIF(Herramientas_de_medición2064[Herramientas_de_medición], B297) &gt; 0, Herramientas_de_medición2064[[#Headers],[Herramientas_de_medición]],
    COUNTIF(Herrramientas_mecánicas2165[Herramientas_mecánicas], B297) &gt; 0, Herrramientas_mecánicas2165[[#Headers],[Herramientas_mecánicas]],
    COUNTIF(AK297:AK303, B297) &gt; 0, Herramientas_hidráulicas2266[[#Headers],[Herramientas_hidráulicas]],
    COUNTIF(EPP_2367[SPCC], B297) &gt; 0, EPP_2367[[#Headers],[SPCC]],
   COUNTIF(Herramientas_de_izaje2468[Herramientas_de_izaje], B297) &gt; 0, Herramientas_de_izaje2468[[#Headers],[Herramientas_de_izaje]],
COUNTIF(Tabla162670[Equipos], B297) &gt; 0, Tabla162670[[#Headers],[Equipos]],
    TRUE, "Sin clasificación"
)</f>
        <v>Sin clasificación</v>
      </c>
      <c r="G297" s="15"/>
      <c r="H297" s="47"/>
      <c r="I297" s="87"/>
      <c r="J297" s="78"/>
      <c r="K297" s="78"/>
      <c r="L297" s="78"/>
      <c r="M297" s="78"/>
      <c r="N297" s="76"/>
      <c r="O297" s="76"/>
      <c r="P297" s="78" t="str">
        <f>_xlfn.LET(
    _xlpm.itemBuscado, B297,
    _xlpm.areaBuscada, C297,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TEXT(COUNTIF($C$2:C297, _xlpm.areaBuscada), "0000"),
    _xlpm.codItem &amp; "-" &amp; _xlpm.codArea &amp; "-" &amp; _xlpm.secuencia
)</f>
        <v>-SinArea-0000</v>
      </c>
      <c r="Q297" s="77"/>
      <c r="R297" s="32"/>
      <c r="S297" s="32"/>
      <c r="T297" s="32"/>
      <c r="U297" s="32"/>
    </row>
    <row r="298" spans="3:21" x14ac:dyDescent="0.3">
      <c r="C298" s="11"/>
      <c r="D298" s="32"/>
      <c r="E298" s="11" t="str" cm="1">
        <f t="array" ref="E298">_xlfn.IFS(
    COUNTIF(Herramientas_eléctricas1862[Herramientas_eléctricas], B298) &gt; 0, Herramientas_eléctricas1862[[#Headers],[Herramientas_eléctricas]],
    COUNTIF(Herramientas_neumáticas1963[Herramientas_neumáticas], B298) &gt; 0, Herramientas_neumáticas1963[[#Headers],[Herramientas_neumáticas]],
    COUNTIF(Herramientas_de_medición2064[Herramientas_de_medición], B298) &gt; 0, Herramientas_de_medición2064[[#Headers],[Herramientas_de_medición]],
    COUNTIF(Herrramientas_mecánicas2165[Herramientas_mecánicas], B298) &gt; 0, Herrramientas_mecánicas2165[[#Headers],[Herramientas_mecánicas]],
    COUNTIF(AK298:AK304, B298) &gt; 0, Herramientas_hidráulicas2266[[#Headers],[Herramientas_hidráulicas]],
    COUNTIF(EPP_2367[SPCC], B298) &gt; 0, EPP_2367[[#Headers],[SPCC]],
   COUNTIF(Herramientas_de_izaje2468[Herramientas_de_izaje], B298) &gt; 0, Herramientas_de_izaje2468[[#Headers],[Herramientas_de_izaje]],
COUNTIF(Tabla162670[Equipos], B298) &gt; 0, Tabla162670[[#Headers],[Equipos]],
    TRUE, "Sin clasificación"
)</f>
        <v>Sin clasificación</v>
      </c>
      <c r="G298" s="15"/>
      <c r="H298" s="47"/>
      <c r="I298" s="87"/>
      <c r="J298" s="78"/>
      <c r="K298" s="78"/>
      <c r="L298" s="78"/>
      <c r="M298" s="78"/>
      <c r="N298" s="76"/>
      <c r="O298" s="76"/>
      <c r="P298" s="78" t="str">
        <f>_xlfn.LET(
    _xlpm.itemBuscado, B298,
    _xlpm.areaBuscada, C298,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TEXT(COUNTIF($C$2:C298, _xlpm.areaBuscada), "0000"),
    _xlpm.codItem &amp; "-" &amp; _xlpm.codArea &amp; "-" &amp; _xlpm.secuencia
)</f>
        <v>-SinArea-0000</v>
      </c>
      <c r="Q298" s="77"/>
      <c r="R298" s="32"/>
      <c r="S298" s="32"/>
      <c r="T298" s="32"/>
      <c r="U298" s="32"/>
    </row>
    <row r="299" spans="3:21" x14ac:dyDescent="0.3">
      <c r="C299" s="11"/>
      <c r="D299" s="32"/>
      <c r="E299" s="11" t="str" cm="1">
        <f t="array" ref="E299">_xlfn.IFS(
    COUNTIF(Herramientas_eléctricas1862[Herramientas_eléctricas], B299) &gt; 0, Herramientas_eléctricas1862[[#Headers],[Herramientas_eléctricas]],
    COUNTIF(Herramientas_neumáticas1963[Herramientas_neumáticas], B299) &gt; 0, Herramientas_neumáticas1963[[#Headers],[Herramientas_neumáticas]],
    COUNTIF(Herramientas_de_medición2064[Herramientas_de_medición], B299) &gt; 0, Herramientas_de_medición2064[[#Headers],[Herramientas_de_medición]],
    COUNTIF(Herrramientas_mecánicas2165[Herramientas_mecánicas], B299) &gt; 0, Herrramientas_mecánicas2165[[#Headers],[Herramientas_mecánicas]],
    COUNTIF(AK299:AK305, B299) &gt; 0, Herramientas_hidráulicas2266[[#Headers],[Herramientas_hidráulicas]],
    COUNTIF(EPP_2367[SPCC], B299) &gt; 0, EPP_2367[[#Headers],[SPCC]],
   COUNTIF(Herramientas_de_izaje2468[Herramientas_de_izaje], B299) &gt; 0, Herramientas_de_izaje2468[[#Headers],[Herramientas_de_izaje]],
COUNTIF(Tabla162670[Equipos], B299) &gt; 0, Tabla162670[[#Headers],[Equipos]],
    TRUE, "Sin clasificación"
)</f>
        <v>Sin clasificación</v>
      </c>
      <c r="G299" s="15"/>
      <c r="H299" s="47"/>
      <c r="I299" s="87"/>
      <c r="J299" s="78"/>
      <c r="K299" s="78"/>
      <c r="L299" s="78"/>
      <c r="M299" s="78"/>
      <c r="N299" s="76"/>
      <c r="O299" s="76"/>
      <c r="P299" s="78" t="str">
        <f>_xlfn.LET(
    _xlpm.itemBuscado, B299,
    _xlpm.areaBuscada, C299,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TEXT(COUNTIF($C$2:C299, _xlpm.areaBuscada), "0000"),
    _xlpm.codItem &amp; "-" &amp; _xlpm.codArea &amp; "-" &amp; _xlpm.secuencia
)</f>
        <v>-SinArea-0000</v>
      </c>
      <c r="Q299" s="77"/>
      <c r="R299" s="32"/>
      <c r="S299" s="32"/>
      <c r="T299" s="32"/>
      <c r="U299" s="32"/>
    </row>
    <row r="300" spans="3:21" x14ac:dyDescent="0.3">
      <c r="C300" s="11"/>
      <c r="D300" s="32"/>
      <c r="E300" s="11" t="str" cm="1">
        <f t="array" ref="E300">_xlfn.IFS(
    COUNTIF(Herramientas_eléctricas1862[Herramientas_eléctricas], B300) &gt; 0, Herramientas_eléctricas1862[[#Headers],[Herramientas_eléctricas]],
    COUNTIF(Herramientas_neumáticas1963[Herramientas_neumáticas], B300) &gt; 0, Herramientas_neumáticas1963[[#Headers],[Herramientas_neumáticas]],
    COUNTIF(Herramientas_de_medición2064[Herramientas_de_medición], B300) &gt; 0, Herramientas_de_medición2064[[#Headers],[Herramientas_de_medición]],
    COUNTIF(Herrramientas_mecánicas2165[Herramientas_mecánicas], B300) &gt; 0, Herrramientas_mecánicas2165[[#Headers],[Herramientas_mecánicas]],
    COUNTIF(AK300:AK306, B300) &gt; 0, Herramientas_hidráulicas2266[[#Headers],[Herramientas_hidráulicas]],
    COUNTIF(EPP_2367[SPCC], B300) &gt; 0, EPP_2367[[#Headers],[SPCC]],
   COUNTIF(Herramientas_de_izaje2468[Herramientas_de_izaje], B300) &gt; 0, Herramientas_de_izaje2468[[#Headers],[Herramientas_de_izaje]],
COUNTIF(Tabla162670[Equipos], B300) &gt; 0, Tabla162670[[#Headers],[Equipos]],
    TRUE, "Sin clasificación"
)</f>
        <v>Sin clasificación</v>
      </c>
      <c r="G300" s="15"/>
      <c r="H300" s="47"/>
      <c r="I300" s="87"/>
      <c r="J300" s="78"/>
      <c r="K300" s="78"/>
      <c r="L300" s="78"/>
      <c r="M300" s="78"/>
      <c r="N300" s="76"/>
      <c r="O300" s="76"/>
      <c r="P300" s="78" t="str">
        <f>_xlfn.LET(
    _xlpm.itemBuscado, B300,
    _xlpm.areaBuscada, C300,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TEXT(COUNTIF($C$2:C300, _xlpm.areaBuscada), "0000"),
    _xlpm.codItem &amp; "-" &amp; _xlpm.codArea &amp; "-" &amp; _xlpm.secuencia
)</f>
        <v>-SinArea-0000</v>
      </c>
      <c r="Q300" s="77"/>
      <c r="R300" s="32"/>
      <c r="S300" s="32"/>
      <c r="T300" s="32"/>
      <c r="U300" s="32"/>
    </row>
    <row r="301" spans="3:21" x14ac:dyDescent="0.3">
      <c r="C301" s="11"/>
      <c r="D301" s="32"/>
      <c r="E301" s="11" t="str" cm="1">
        <f t="array" ref="E301">_xlfn.IFS(
    COUNTIF(Herramientas_eléctricas1862[Herramientas_eléctricas], B301) &gt; 0, Herramientas_eléctricas1862[[#Headers],[Herramientas_eléctricas]],
    COUNTIF(Herramientas_neumáticas1963[Herramientas_neumáticas], B301) &gt; 0, Herramientas_neumáticas1963[[#Headers],[Herramientas_neumáticas]],
    COUNTIF(Herramientas_de_medición2064[Herramientas_de_medición], B301) &gt; 0, Herramientas_de_medición2064[[#Headers],[Herramientas_de_medición]],
    COUNTIF(Herrramientas_mecánicas2165[Herramientas_mecánicas], B301) &gt; 0, Herrramientas_mecánicas2165[[#Headers],[Herramientas_mecánicas]],
    COUNTIF(AK301:AK307, B301) &gt; 0, Herramientas_hidráulicas2266[[#Headers],[Herramientas_hidráulicas]],
    COUNTIF(EPP_2367[SPCC], B301) &gt; 0, EPP_2367[[#Headers],[SPCC]],
   COUNTIF(Herramientas_de_izaje2468[Herramientas_de_izaje], B301) &gt; 0, Herramientas_de_izaje2468[[#Headers],[Herramientas_de_izaje]],
COUNTIF(Tabla162670[Equipos], B301) &gt; 0, Tabla162670[[#Headers],[Equipos]],
    TRUE, "Sin clasificación"
)</f>
        <v>Sin clasificación</v>
      </c>
      <c r="G301" s="15"/>
      <c r="H301" s="47"/>
      <c r="I301" s="87"/>
      <c r="J301" s="78"/>
      <c r="K301" s="78"/>
      <c r="L301" s="78"/>
      <c r="M301" s="78"/>
      <c r="N301" s="76"/>
      <c r="O301" s="76"/>
      <c r="P301" s="78" t="str">
        <f>_xlfn.LET(
    _xlpm.itemBuscado, B301,
    _xlpm.areaBuscada, C301,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TEXT(COUNTIF($C$2:C301, _xlpm.areaBuscada), "0000"),
    _xlpm.codItem &amp; "-" &amp; _xlpm.codArea &amp; "-" &amp; _xlpm.secuencia
)</f>
        <v>-SinArea-0000</v>
      </c>
      <c r="Q301" s="77"/>
      <c r="R301" s="32"/>
      <c r="S301" s="32"/>
      <c r="T301" s="32"/>
      <c r="U301" s="32"/>
    </row>
    <row r="302" spans="3:21" x14ac:dyDescent="0.3">
      <c r="C302" s="11"/>
      <c r="D302" s="32"/>
      <c r="E302" s="11" t="str" cm="1">
        <f t="array" ref="E302">_xlfn.IFS(
    COUNTIF(Herramientas_eléctricas1862[Herramientas_eléctricas], B302) &gt; 0, Herramientas_eléctricas1862[[#Headers],[Herramientas_eléctricas]],
    COUNTIF(Herramientas_neumáticas1963[Herramientas_neumáticas], B302) &gt; 0, Herramientas_neumáticas1963[[#Headers],[Herramientas_neumáticas]],
    COUNTIF(Herramientas_de_medición2064[Herramientas_de_medición], B302) &gt; 0, Herramientas_de_medición2064[[#Headers],[Herramientas_de_medición]],
    COUNTIF(Herrramientas_mecánicas2165[Herramientas_mecánicas], B302) &gt; 0, Herrramientas_mecánicas2165[[#Headers],[Herramientas_mecánicas]],
    COUNTIF(AK302:AK308, B302) &gt; 0, Herramientas_hidráulicas2266[[#Headers],[Herramientas_hidráulicas]],
    COUNTIF(EPP_2367[SPCC], B302) &gt; 0, EPP_2367[[#Headers],[SPCC]],
   COUNTIF(Herramientas_de_izaje2468[Herramientas_de_izaje], B302) &gt; 0, Herramientas_de_izaje2468[[#Headers],[Herramientas_de_izaje]],
COUNTIF(Tabla162670[Equipos], B302) &gt; 0, Tabla162670[[#Headers],[Equipos]],
    TRUE, "Sin clasificación"
)</f>
        <v>Sin clasificación</v>
      </c>
      <c r="G302" s="15"/>
      <c r="H302" s="47"/>
      <c r="I302" s="87"/>
      <c r="J302" s="78"/>
      <c r="K302" s="78"/>
      <c r="L302" s="78"/>
      <c r="M302" s="78"/>
      <c r="N302" s="76"/>
      <c r="O302" s="76"/>
      <c r="P302" s="78" t="str">
        <f>_xlfn.LET(
    _xlpm.itemBuscado, B302,
    _xlpm.areaBuscada, C302,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TEXT(COUNTIF($C$2:C302, _xlpm.areaBuscada), "0000"),
    _xlpm.codItem &amp; "-" &amp; _xlpm.codArea &amp; "-" &amp; _xlpm.secuencia
)</f>
        <v>-SinArea-0000</v>
      </c>
      <c r="Q302" s="77"/>
      <c r="R302" s="32"/>
      <c r="S302" s="32"/>
      <c r="T302" s="32"/>
      <c r="U302" s="32"/>
    </row>
    <row r="303" spans="3:21" x14ac:dyDescent="0.3">
      <c r="C303" s="11"/>
      <c r="D303" s="32"/>
      <c r="E303" s="11" t="str" cm="1">
        <f t="array" ref="E303">_xlfn.IFS(
    COUNTIF(Herramientas_eléctricas1862[Herramientas_eléctricas], B303) &gt; 0, Herramientas_eléctricas1862[[#Headers],[Herramientas_eléctricas]],
    COUNTIF(Herramientas_neumáticas1963[Herramientas_neumáticas], B303) &gt; 0, Herramientas_neumáticas1963[[#Headers],[Herramientas_neumáticas]],
    COUNTIF(Herramientas_de_medición2064[Herramientas_de_medición], B303) &gt; 0, Herramientas_de_medición2064[[#Headers],[Herramientas_de_medición]],
    COUNTIF(Herrramientas_mecánicas2165[Herramientas_mecánicas], B303) &gt; 0, Herrramientas_mecánicas2165[[#Headers],[Herramientas_mecánicas]],
    COUNTIF(AK303:AK309, B303) &gt; 0, Herramientas_hidráulicas2266[[#Headers],[Herramientas_hidráulicas]],
    COUNTIF(EPP_2367[SPCC], B303) &gt; 0, EPP_2367[[#Headers],[SPCC]],
   COUNTIF(Herramientas_de_izaje2468[Herramientas_de_izaje], B303) &gt; 0, Herramientas_de_izaje2468[[#Headers],[Herramientas_de_izaje]],
COUNTIF(Tabla162670[Equipos], B303) &gt; 0, Tabla162670[[#Headers],[Equipos]],
    TRUE, "Sin clasificación"
)</f>
        <v>Sin clasificación</v>
      </c>
      <c r="G303" s="15"/>
      <c r="H303" s="47"/>
      <c r="I303" s="87"/>
      <c r="J303" s="78"/>
      <c r="K303" s="78"/>
      <c r="L303" s="78"/>
      <c r="M303" s="78"/>
      <c r="N303" s="76"/>
      <c r="O303" s="76"/>
      <c r="P303" s="78" t="str">
        <f>_xlfn.LET(
    _xlpm.itemBuscado, B303,
    _xlpm.areaBuscada, C303,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TEXT(COUNTIF($C$2:C303, _xlpm.areaBuscada), "0000"),
    _xlpm.codItem &amp; "-" &amp; _xlpm.codArea &amp; "-" &amp; _xlpm.secuencia
)</f>
        <v>-SinArea-0000</v>
      </c>
      <c r="Q303" s="77"/>
      <c r="R303" s="32"/>
      <c r="S303" s="32"/>
      <c r="T303" s="32"/>
      <c r="U303" s="32"/>
    </row>
    <row r="304" spans="3:21" x14ac:dyDescent="0.3">
      <c r="C304" s="11"/>
      <c r="D304" s="32"/>
      <c r="E304" s="11" t="str" cm="1">
        <f t="array" ref="E304">_xlfn.IFS(
    COUNTIF(Herramientas_eléctricas1862[Herramientas_eléctricas], B304) &gt; 0, Herramientas_eléctricas1862[[#Headers],[Herramientas_eléctricas]],
    COUNTIF(Herramientas_neumáticas1963[Herramientas_neumáticas], B304) &gt; 0, Herramientas_neumáticas1963[[#Headers],[Herramientas_neumáticas]],
    COUNTIF(Herramientas_de_medición2064[Herramientas_de_medición], B304) &gt; 0, Herramientas_de_medición2064[[#Headers],[Herramientas_de_medición]],
    COUNTIF(Herrramientas_mecánicas2165[Herramientas_mecánicas], B304) &gt; 0, Herrramientas_mecánicas2165[[#Headers],[Herramientas_mecánicas]],
    COUNTIF(AK304:AK310, B304) &gt; 0, Herramientas_hidráulicas2266[[#Headers],[Herramientas_hidráulicas]],
    COUNTIF(EPP_2367[SPCC], B304) &gt; 0, EPP_2367[[#Headers],[SPCC]],
   COUNTIF(Herramientas_de_izaje2468[Herramientas_de_izaje], B304) &gt; 0, Herramientas_de_izaje2468[[#Headers],[Herramientas_de_izaje]],
COUNTIF(Tabla162670[Equipos], B304) &gt; 0, Tabla162670[[#Headers],[Equipos]],
    TRUE, "Sin clasificación"
)</f>
        <v>Sin clasificación</v>
      </c>
      <c r="G304" s="15"/>
      <c r="H304" s="47"/>
      <c r="I304" s="87"/>
      <c r="J304" s="78"/>
      <c r="K304" s="78"/>
      <c r="L304" s="78"/>
      <c r="M304" s="78"/>
      <c r="N304" s="76"/>
      <c r="O304" s="76"/>
      <c r="P304" s="78" t="str">
        <f>_xlfn.LET(
    _xlpm.itemBuscado, B304,
    _xlpm.areaBuscada, C304,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TEXT(COUNTIF($C$2:C304, _xlpm.areaBuscada), "0000"),
    _xlpm.codItem &amp; "-" &amp; _xlpm.codArea &amp; "-" &amp; _xlpm.secuencia
)</f>
        <v>-SinArea-0000</v>
      </c>
      <c r="Q304" s="77"/>
      <c r="R304" s="32"/>
      <c r="S304" s="32"/>
      <c r="T304" s="32"/>
      <c r="U304" s="32"/>
    </row>
    <row r="305" spans="3:21" x14ac:dyDescent="0.3">
      <c r="C305" s="11"/>
      <c r="D305" s="32"/>
      <c r="E305" s="11" t="str" cm="1">
        <f t="array" ref="E305">_xlfn.IFS(
    COUNTIF(Herramientas_eléctricas1862[Herramientas_eléctricas], B305) &gt; 0, Herramientas_eléctricas1862[[#Headers],[Herramientas_eléctricas]],
    COUNTIF(Herramientas_neumáticas1963[Herramientas_neumáticas], B305) &gt; 0, Herramientas_neumáticas1963[[#Headers],[Herramientas_neumáticas]],
    COUNTIF(Herramientas_de_medición2064[Herramientas_de_medición], B305) &gt; 0, Herramientas_de_medición2064[[#Headers],[Herramientas_de_medición]],
    COUNTIF(Herrramientas_mecánicas2165[Herramientas_mecánicas], B305) &gt; 0, Herrramientas_mecánicas2165[[#Headers],[Herramientas_mecánicas]],
    COUNTIF(AK305:AK311, B305) &gt; 0, Herramientas_hidráulicas2266[[#Headers],[Herramientas_hidráulicas]],
    COUNTIF(EPP_2367[SPCC], B305) &gt; 0, EPP_2367[[#Headers],[SPCC]],
   COUNTIF(Herramientas_de_izaje2468[Herramientas_de_izaje], B305) &gt; 0, Herramientas_de_izaje2468[[#Headers],[Herramientas_de_izaje]],
COUNTIF(Tabla162670[Equipos], B305) &gt; 0, Tabla162670[[#Headers],[Equipos]],
    TRUE, "Sin clasificación"
)</f>
        <v>Sin clasificación</v>
      </c>
      <c r="G305" s="15"/>
      <c r="H305" s="47"/>
      <c r="I305" s="87"/>
      <c r="J305" s="78"/>
      <c r="K305" s="78"/>
      <c r="L305" s="78"/>
      <c r="M305" s="78"/>
      <c r="N305" s="76"/>
      <c r="O305" s="76"/>
      <c r="P305" s="78" t="str">
        <f>_xlfn.LET(
    _xlpm.itemBuscado, B305,
    _xlpm.areaBuscada, C305,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TEXT(COUNTIF($C$2:C305, _xlpm.areaBuscada), "0000"),
    _xlpm.codItem &amp; "-" &amp; _xlpm.codArea &amp; "-" &amp; _xlpm.secuencia
)</f>
        <v>-SinArea-0000</v>
      </c>
      <c r="Q305" s="77"/>
      <c r="R305" s="32"/>
      <c r="S305" s="32"/>
      <c r="T305" s="32"/>
      <c r="U305" s="32"/>
    </row>
    <row r="306" spans="3:21" x14ac:dyDescent="0.3">
      <c r="C306" s="11"/>
      <c r="D306" s="32"/>
      <c r="E306" s="11" t="str" cm="1">
        <f t="array" ref="E306">_xlfn.IFS(
    COUNTIF(Herramientas_eléctricas1862[Herramientas_eléctricas], B306) &gt; 0, Herramientas_eléctricas1862[[#Headers],[Herramientas_eléctricas]],
    COUNTIF(Herramientas_neumáticas1963[Herramientas_neumáticas], B306) &gt; 0, Herramientas_neumáticas1963[[#Headers],[Herramientas_neumáticas]],
    COUNTIF(Herramientas_de_medición2064[Herramientas_de_medición], B306) &gt; 0, Herramientas_de_medición2064[[#Headers],[Herramientas_de_medición]],
    COUNTIF(Herrramientas_mecánicas2165[Herramientas_mecánicas], B306) &gt; 0, Herrramientas_mecánicas2165[[#Headers],[Herramientas_mecánicas]],
    COUNTIF(AK306:AK312, B306) &gt; 0, Herramientas_hidráulicas2266[[#Headers],[Herramientas_hidráulicas]],
    COUNTIF(EPP_2367[SPCC], B306) &gt; 0, EPP_2367[[#Headers],[SPCC]],
   COUNTIF(Herramientas_de_izaje2468[Herramientas_de_izaje], B306) &gt; 0, Herramientas_de_izaje2468[[#Headers],[Herramientas_de_izaje]],
COUNTIF(Tabla162670[Equipos], B306) &gt; 0, Tabla162670[[#Headers],[Equipos]],
    TRUE, "Sin clasificación"
)</f>
        <v>Sin clasificación</v>
      </c>
      <c r="G306" s="15"/>
      <c r="H306" s="47"/>
      <c r="I306" s="87"/>
      <c r="J306" s="78"/>
      <c r="K306" s="78"/>
      <c r="L306" s="78"/>
      <c r="M306" s="78"/>
      <c r="N306" s="76"/>
      <c r="O306" s="76"/>
      <c r="P306" s="78" t="str">
        <f>_xlfn.LET(
    _xlpm.itemBuscado, B306,
    _xlpm.areaBuscada, C306,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TEXT(COUNTIF($C$2:C306, _xlpm.areaBuscada), "0000"),
    _xlpm.codItem &amp; "-" &amp; _xlpm.codArea &amp; "-" &amp; _xlpm.secuencia
)</f>
        <v>-SinArea-0000</v>
      </c>
      <c r="Q306" s="77"/>
      <c r="R306" s="32"/>
      <c r="S306" s="32"/>
      <c r="T306" s="32"/>
      <c r="U306" s="32"/>
    </row>
    <row r="307" spans="3:21" x14ac:dyDescent="0.3">
      <c r="C307" s="11"/>
      <c r="D307" s="32"/>
      <c r="E307" s="11" t="str" cm="1">
        <f t="array" ref="E307">_xlfn.IFS(
    COUNTIF(Herramientas_eléctricas1862[Herramientas_eléctricas], B307) &gt; 0, Herramientas_eléctricas1862[[#Headers],[Herramientas_eléctricas]],
    COUNTIF(Herramientas_neumáticas1963[Herramientas_neumáticas], B307) &gt; 0, Herramientas_neumáticas1963[[#Headers],[Herramientas_neumáticas]],
    COUNTIF(Herramientas_de_medición2064[Herramientas_de_medición], B307) &gt; 0, Herramientas_de_medición2064[[#Headers],[Herramientas_de_medición]],
    COUNTIF(Herrramientas_mecánicas2165[Herramientas_mecánicas], B307) &gt; 0, Herrramientas_mecánicas2165[[#Headers],[Herramientas_mecánicas]],
    COUNTIF(AK307:AK313, B307) &gt; 0, Herramientas_hidráulicas2266[[#Headers],[Herramientas_hidráulicas]],
    COUNTIF(EPP_2367[SPCC], B307) &gt; 0, EPP_2367[[#Headers],[SPCC]],
   COUNTIF(Herramientas_de_izaje2468[Herramientas_de_izaje], B307) &gt; 0, Herramientas_de_izaje2468[[#Headers],[Herramientas_de_izaje]],
COUNTIF(Tabla162670[Equipos], B307) &gt; 0, Tabla162670[[#Headers],[Equipos]],
    TRUE, "Sin clasificación"
)</f>
        <v>Sin clasificación</v>
      </c>
      <c r="G307" s="15"/>
      <c r="H307" s="47"/>
      <c r="I307" s="87"/>
      <c r="J307" s="78"/>
      <c r="K307" s="78"/>
      <c r="L307" s="78"/>
      <c r="M307" s="78"/>
      <c r="N307" s="76"/>
      <c r="O307" s="76"/>
      <c r="P307" s="78" t="str">
        <f>_xlfn.LET(
    _xlpm.itemBuscado, B307,
    _xlpm.areaBuscada, C307,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TEXT(COUNTIF($C$2:C307, _xlpm.areaBuscada), "0000"),
    _xlpm.codItem &amp; "-" &amp; _xlpm.codArea &amp; "-" &amp; _xlpm.secuencia
)</f>
        <v>-SinArea-0000</v>
      </c>
      <c r="Q307" s="77"/>
      <c r="R307" s="32"/>
      <c r="S307" s="32"/>
      <c r="T307" s="32"/>
      <c r="U307" s="32"/>
    </row>
    <row r="308" spans="3:21" x14ac:dyDescent="0.3">
      <c r="C308" s="11"/>
      <c r="D308" s="32"/>
      <c r="E308" s="11" t="str" cm="1">
        <f t="array" ref="E308">_xlfn.IFS(
    COUNTIF(Herramientas_eléctricas1862[Herramientas_eléctricas], B308) &gt; 0, Herramientas_eléctricas1862[[#Headers],[Herramientas_eléctricas]],
    COUNTIF(Herramientas_neumáticas1963[Herramientas_neumáticas], B308) &gt; 0, Herramientas_neumáticas1963[[#Headers],[Herramientas_neumáticas]],
    COUNTIF(Herramientas_de_medición2064[Herramientas_de_medición], B308) &gt; 0, Herramientas_de_medición2064[[#Headers],[Herramientas_de_medición]],
    COUNTIF(Herrramientas_mecánicas2165[Herramientas_mecánicas], B308) &gt; 0, Herrramientas_mecánicas2165[[#Headers],[Herramientas_mecánicas]],
    COUNTIF(AK308:AK314, B308) &gt; 0, Herramientas_hidráulicas2266[[#Headers],[Herramientas_hidráulicas]],
    COUNTIF(EPP_2367[SPCC], B308) &gt; 0, EPP_2367[[#Headers],[SPCC]],
   COUNTIF(Herramientas_de_izaje2468[Herramientas_de_izaje], B308) &gt; 0, Herramientas_de_izaje2468[[#Headers],[Herramientas_de_izaje]],
COUNTIF(Tabla162670[Equipos], B308) &gt; 0, Tabla162670[[#Headers],[Equipos]],
    TRUE, "Sin clasificación"
)</f>
        <v>Sin clasificación</v>
      </c>
      <c r="G308" s="15"/>
      <c r="H308" s="47"/>
      <c r="I308" s="87"/>
      <c r="J308" s="78"/>
      <c r="K308" s="78"/>
      <c r="L308" s="78"/>
      <c r="M308" s="78"/>
      <c r="N308" s="76"/>
      <c r="O308" s="76"/>
      <c r="P308" s="78" t="str">
        <f>_xlfn.LET(
    _xlpm.itemBuscado, B308,
    _xlpm.areaBuscada, C308,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TEXT(COUNTIF($C$2:C308, _xlpm.areaBuscada), "0000"),
    _xlpm.codItem &amp; "-" &amp; _xlpm.codArea &amp; "-" &amp; _xlpm.secuencia
)</f>
        <v>-SinArea-0000</v>
      </c>
      <c r="Q308" s="77"/>
      <c r="R308" s="32"/>
      <c r="S308" s="32"/>
      <c r="T308" s="32"/>
      <c r="U308" s="32"/>
    </row>
    <row r="309" spans="3:21" x14ac:dyDescent="0.3">
      <c r="C309" s="11"/>
      <c r="D309" s="32"/>
      <c r="E309" s="11" t="str" cm="1">
        <f t="array" ref="E309">_xlfn.IFS(
    COUNTIF(Herramientas_eléctricas1862[Herramientas_eléctricas], B309) &gt; 0, Herramientas_eléctricas1862[[#Headers],[Herramientas_eléctricas]],
    COUNTIF(Herramientas_neumáticas1963[Herramientas_neumáticas], B309) &gt; 0, Herramientas_neumáticas1963[[#Headers],[Herramientas_neumáticas]],
    COUNTIF(Herramientas_de_medición2064[Herramientas_de_medición], B309) &gt; 0, Herramientas_de_medición2064[[#Headers],[Herramientas_de_medición]],
    COUNTIF(Herrramientas_mecánicas2165[Herramientas_mecánicas], B309) &gt; 0, Herrramientas_mecánicas2165[[#Headers],[Herramientas_mecánicas]],
    COUNTIF(AK309:AK315, B309) &gt; 0, Herramientas_hidráulicas2266[[#Headers],[Herramientas_hidráulicas]],
    COUNTIF(EPP_2367[SPCC], B309) &gt; 0, EPP_2367[[#Headers],[SPCC]],
   COUNTIF(Herramientas_de_izaje2468[Herramientas_de_izaje], B309) &gt; 0, Herramientas_de_izaje2468[[#Headers],[Herramientas_de_izaje]],
COUNTIF(Tabla162670[Equipos], B309) &gt; 0, Tabla162670[[#Headers],[Equipos]],
    TRUE, "Sin clasificación"
)</f>
        <v>Sin clasificación</v>
      </c>
      <c r="G309" s="15"/>
      <c r="H309" s="47"/>
      <c r="I309" s="87"/>
      <c r="J309" s="78"/>
      <c r="K309" s="78"/>
      <c r="L309" s="78"/>
      <c r="M309" s="78"/>
      <c r="N309" s="76"/>
      <c r="O309" s="76"/>
      <c r="P309" s="78" t="str">
        <f>_xlfn.LET(
    _xlpm.itemBuscado, B309,
    _xlpm.areaBuscada, C309,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TEXT(COUNTIF($C$2:C309, _xlpm.areaBuscada), "0000"),
    _xlpm.codItem &amp; "-" &amp; _xlpm.codArea &amp; "-" &amp; _xlpm.secuencia
)</f>
        <v>-SinArea-0000</v>
      </c>
      <c r="Q309" s="77"/>
      <c r="R309" s="32"/>
      <c r="S309" s="32"/>
      <c r="T309" s="32"/>
      <c r="U309" s="32"/>
    </row>
    <row r="310" spans="3:21" x14ac:dyDescent="0.3">
      <c r="C310" s="11"/>
      <c r="D310" s="32"/>
      <c r="E310" s="11" t="str" cm="1">
        <f t="array" ref="E310">_xlfn.IFS(
    COUNTIF(Herramientas_eléctricas1862[Herramientas_eléctricas], B310) &gt; 0, Herramientas_eléctricas1862[[#Headers],[Herramientas_eléctricas]],
    COUNTIF(Herramientas_neumáticas1963[Herramientas_neumáticas], B310) &gt; 0, Herramientas_neumáticas1963[[#Headers],[Herramientas_neumáticas]],
    COUNTIF(Herramientas_de_medición2064[Herramientas_de_medición], B310) &gt; 0, Herramientas_de_medición2064[[#Headers],[Herramientas_de_medición]],
    COUNTIF(Herrramientas_mecánicas2165[Herramientas_mecánicas], B310) &gt; 0, Herrramientas_mecánicas2165[[#Headers],[Herramientas_mecánicas]],
    COUNTIF(AK310:AK316, B310) &gt; 0, Herramientas_hidráulicas2266[[#Headers],[Herramientas_hidráulicas]],
    COUNTIF(EPP_2367[SPCC], B310) &gt; 0, EPP_2367[[#Headers],[SPCC]],
   COUNTIF(Herramientas_de_izaje2468[Herramientas_de_izaje], B310) &gt; 0, Herramientas_de_izaje2468[[#Headers],[Herramientas_de_izaje]],
COUNTIF(Tabla162670[Equipos], B310) &gt; 0, Tabla162670[[#Headers],[Equipos]],
    TRUE, "Sin clasificación"
)</f>
        <v>Sin clasificación</v>
      </c>
      <c r="G310" s="15"/>
      <c r="H310" s="47"/>
      <c r="I310" s="87"/>
      <c r="J310" s="78"/>
      <c r="K310" s="78"/>
      <c r="L310" s="78"/>
      <c r="M310" s="78"/>
      <c r="N310" s="76"/>
      <c r="O310" s="76"/>
      <c r="P310" s="78" t="str">
        <f>_xlfn.LET(
    _xlpm.itemBuscado, B310,
    _xlpm.areaBuscada, C310,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TEXT(COUNTIF($C$2:C310, _xlpm.areaBuscada), "0000"),
    _xlpm.codItem &amp; "-" &amp; _xlpm.codArea &amp; "-" &amp; _xlpm.secuencia
)</f>
        <v>-SinArea-0000</v>
      </c>
      <c r="Q310" s="77"/>
      <c r="R310" s="32"/>
      <c r="S310" s="32"/>
      <c r="T310" s="32"/>
      <c r="U310" s="32"/>
    </row>
    <row r="311" spans="3:21" x14ac:dyDescent="0.3">
      <c r="C311" s="11"/>
      <c r="D311" s="32"/>
      <c r="E311" s="11" t="str" cm="1">
        <f t="array" ref="E311">_xlfn.IFS(
    COUNTIF(Herramientas_eléctricas1862[Herramientas_eléctricas], B311) &gt; 0, Herramientas_eléctricas1862[[#Headers],[Herramientas_eléctricas]],
    COUNTIF(Herramientas_neumáticas1963[Herramientas_neumáticas], B311) &gt; 0, Herramientas_neumáticas1963[[#Headers],[Herramientas_neumáticas]],
    COUNTIF(Herramientas_de_medición2064[Herramientas_de_medición], B311) &gt; 0, Herramientas_de_medición2064[[#Headers],[Herramientas_de_medición]],
    COUNTIF(Herrramientas_mecánicas2165[Herramientas_mecánicas], B311) &gt; 0, Herrramientas_mecánicas2165[[#Headers],[Herramientas_mecánicas]],
    COUNTIF(AK311:AK317, B311) &gt; 0, Herramientas_hidráulicas2266[[#Headers],[Herramientas_hidráulicas]],
    COUNTIF(EPP_2367[SPCC], B311) &gt; 0, EPP_2367[[#Headers],[SPCC]],
   COUNTIF(Herramientas_de_izaje2468[Herramientas_de_izaje], B311) &gt; 0, Herramientas_de_izaje2468[[#Headers],[Herramientas_de_izaje]],
COUNTIF(Tabla162670[Equipos], B311) &gt; 0, Tabla162670[[#Headers],[Equipos]],
    TRUE, "Sin clasificación"
)</f>
        <v>Sin clasificación</v>
      </c>
      <c r="G311" s="15"/>
      <c r="H311" s="47"/>
      <c r="I311" s="87"/>
      <c r="J311" s="78"/>
      <c r="K311" s="78"/>
      <c r="L311" s="78"/>
      <c r="M311" s="78"/>
      <c r="N311" s="76"/>
      <c r="O311" s="76"/>
      <c r="P311" s="78" t="str">
        <f>_xlfn.LET(
    _xlpm.itemBuscado, B311,
    _xlpm.areaBuscada, C311,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TEXT(COUNTIF($C$2:C311, _xlpm.areaBuscada), "0000"),
    _xlpm.codItem &amp; "-" &amp; _xlpm.codArea &amp; "-" &amp; _xlpm.secuencia
)</f>
        <v>-SinArea-0000</v>
      </c>
      <c r="Q311" s="77"/>
      <c r="R311" s="32"/>
      <c r="S311" s="32"/>
      <c r="T311" s="32"/>
      <c r="U311" s="32"/>
    </row>
    <row r="312" spans="3:21" x14ac:dyDescent="0.3">
      <c r="C312" s="11"/>
      <c r="D312" s="32"/>
      <c r="E312" s="11" t="str" cm="1">
        <f t="array" ref="E312">_xlfn.IFS(
    COUNTIF(Herramientas_eléctricas1862[Herramientas_eléctricas], B312) &gt; 0, Herramientas_eléctricas1862[[#Headers],[Herramientas_eléctricas]],
    COUNTIF(Herramientas_neumáticas1963[Herramientas_neumáticas], B312) &gt; 0, Herramientas_neumáticas1963[[#Headers],[Herramientas_neumáticas]],
    COUNTIF(Herramientas_de_medición2064[Herramientas_de_medición], B312) &gt; 0, Herramientas_de_medición2064[[#Headers],[Herramientas_de_medición]],
    COUNTIF(Herrramientas_mecánicas2165[Herramientas_mecánicas], B312) &gt; 0, Herrramientas_mecánicas2165[[#Headers],[Herramientas_mecánicas]],
    COUNTIF(AK312:AK318, B312) &gt; 0, Herramientas_hidráulicas2266[[#Headers],[Herramientas_hidráulicas]],
    COUNTIF(EPP_2367[SPCC], B312) &gt; 0, EPP_2367[[#Headers],[SPCC]],
   COUNTIF(Herramientas_de_izaje2468[Herramientas_de_izaje], B312) &gt; 0, Herramientas_de_izaje2468[[#Headers],[Herramientas_de_izaje]],
COUNTIF(Tabla162670[Equipos], B312) &gt; 0, Tabla162670[[#Headers],[Equipos]],
    TRUE, "Sin clasificación"
)</f>
        <v>Sin clasificación</v>
      </c>
      <c r="G312" s="15"/>
      <c r="H312" s="47"/>
      <c r="I312" s="87"/>
      <c r="J312" s="78"/>
      <c r="K312" s="78"/>
      <c r="L312" s="78"/>
      <c r="M312" s="78"/>
      <c r="N312" s="76"/>
      <c r="O312" s="76"/>
      <c r="P312" s="78" t="str">
        <f>_xlfn.LET(
    _xlpm.itemBuscado, B312,
    _xlpm.areaBuscada, C312,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TEXT(COUNTIF($C$2:C312, _xlpm.areaBuscada), "0000"),
    _xlpm.codItem &amp; "-" &amp; _xlpm.codArea &amp; "-" &amp; _xlpm.secuencia
)</f>
        <v>-SinArea-0000</v>
      </c>
      <c r="Q312" s="77"/>
      <c r="R312" s="32"/>
      <c r="S312" s="32"/>
      <c r="T312" s="32"/>
      <c r="U312" s="32"/>
    </row>
    <row r="313" spans="3:21" x14ac:dyDescent="0.3">
      <c r="C313" s="11"/>
      <c r="D313" s="32"/>
      <c r="E313" s="11" t="str" cm="1">
        <f t="array" ref="E313">_xlfn.IFS(
    COUNTIF(Herramientas_eléctricas1862[Herramientas_eléctricas], B313) &gt; 0, Herramientas_eléctricas1862[[#Headers],[Herramientas_eléctricas]],
    COUNTIF(Herramientas_neumáticas1963[Herramientas_neumáticas], B313) &gt; 0, Herramientas_neumáticas1963[[#Headers],[Herramientas_neumáticas]],
    COUNTIF(Herramientas_de_medición2064[Herramientas_de_medición], B313) &gt; 0, Herramientas_de_medición2064[[#Headers],[Herramientas_de_medición]],
    COUNTIF(Herrramientas_mecánicas2165[Herramientas_mecánicas], B313) &gt; 0, Herrramientas_mecánicas2165[[#Headers],[Herramientas_mecánicas]],
    COUNTIF(AK313:AK319, B313) &gt; 0, Herramientas_hidráulicas2266[[#Headers],[Herramientas_hidráulicas]],
    COUNTIF(EPP_2367[SPCC], B313) &gt; 0, EPP_2367[[#Headers],[SPCC]],
   COUNTIF(Herramientas_de_izaje2468[Herramientas_de_izaje], B313) &gt; 0, Herramientas_de_izaje2468[[#Headers],[Herramientas_de_izaje]],
COUNTIF(Tabla162670[Equipos], B313) &gt; 0, Tabla162670[[#Headers],[Equipos]],
    TRUE, "Sin clasificación"
)</f>
        <v>Sin clasificación</v>
      </c>
      <c r="G313" s="15"/>
      <c r="H313" s="47"/>
      <c r="I313" s="87"/>
      <c r="J313" s="78"/>
      <c r="K313" s="78"/>
      <c r="L313" s="78"/>
      <c r="M313" s="78"/>
      <c r="N313" s="76"/>
      <c r="O313" s="76"/>
      <c r="P313" s="78" t="str">
        <f>_xlfn.LET(
    _xlpm.itemBuscado, B313,
    _xlpm.areaBuscada, C313,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TEXT(COUNTIF($C$2:C313, _xlpm.areaBuscada), "0000"),
    _xlpm.codItem &amp; "-" &amp; _xlpm.codArea &amp; "-" &amp; _xlpm.secuencia
)</f>
        <v>-SinArea-0000</v>
      </c>
      <c r="Q313" s="77"/>
      <c r="R313" s="32"/>
      <c r="S313" s="32"/>
      <c r="T313" s="32"/>
      <c r="U313" s="32"/>
    </row>
    <row r="314" spans="3:21" x14ac:dyDescent="0.3">
      <c r="C314" s="11"/>
      <c r="D314" s="32"/>
      <c r="E314" s="11" t="str" cm="1">
        <f t="array" ref="E314">_xlfn.IFS(
    COUNTIF(Herramientas_eléctricas1862[Herramientas_eléctricas], B314) &gt; 0, Herramientas_eléctricas1862[[#Headers],[Herramientas_eléctricas]],
    COUNTIF(Herramientas_neumáticas1963[Herramientas_neumáticas], B314) &gt; 0, Herramientas_neumáticas1963[[#Headers],[Herramientas_neumáticas]],
    COUNTIF(Herramientas_de_medición2064[Herramientas_de_medición], B314) &gt; 0, Herramientas_de_medición2064[[#Headers],[Herramientas_de_medición]],
    COUNTIF(Herrramientas_mecánicas2165[Herramientas_mecánicas], B314) &gt; 0, Herrramientas_mecánicas2165[[#Headers],[Herramientas_mecánicas]],
    COUNTIF(AK314:AK320, B314) &gt; 0, Herramientas_hidráulicas2266[[#Headers],[Herramientas_hidráulicas]],
    COUNTIF(EPP_2367[SPCC], B314) &gt; 0, EPP_2367[[#Headers],[SPCC]],
   COUNTIF(Herramientas_de_izaje2468[Herramientas_de_izaje], B314) &gt; 0, Herramientas_de_izaje2468[[#Headers],[Herramientas_de_izaje]],
COUNTIF(Tabla162670[Equipos], B314) &gt; 0, Tabla162670[[#Headers],[Equipos]],
    TRUE, "Sin clasificación"
)</f>
        <v>Sin clasificación</v>
      </c>
      <c r="G314" s="15"/>
      <c r="H314" s="47"/>
      <c r="I314" s="87"/>
      <c r="J314" s="78"/>
      <c r="K314" s="78"/>
      <c r="L314" s="78"/>
      <c r="M314" s="78"/>
      <c r="N314" s="76"/>
      <c r="O314" s="76"/>
      <c r="P314" s="78" t="str">
        <f>_xlfn.LET(
    _xlpm.itemBuscado, B314,
    _xlpm.areaBuscada, C314,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TEXT(COUNTIF($C$2:C314, _xlpm.areaBuscada), "0000"),
    _xlpm.codItem &amp; "-" &amp; _xlpm.codArea &amp; "-" &amp; _xlpm.secuencia
)</f>
        <v>-SinArea-0000</v>
      </c>
      <c r="Q314" s="77"/>
      <c r="R314" s="32"/>
      <c r="S314" s="32"/>
      <c r="T314" s="32"/>
      <c r="U314" s="32"/>
    </row>
    <row r="315" spans="3:21" x14ac:dyDescent="0.3">
      <c r="C315" s="11"/>
      <c r="D315" s="32"/>
      <c r="E315" s="11" t="str" cm="1">
        <f t="array" ref="E315">_xlfn.IFS(
    COUNTIF(Herramientas_eléctricas1862[Herramientas_eléctricas], B315) &gt; 0, Herramientas_eléctricas1862[[#Headers],[Herramientas_eléctricas]],
    COUNTIF(Herramientas_neumáticas1963[Herramientas_neumáticas], B315) &gt; 0, Herramientas_neumáticas1963[[#Headers],[Herramientas_neumáticas]],
    COUNTIF(Herramientas_de_medición2064[Herramientas_de_medición], B315) &gt; 0, Herramientas_de_medición2064[[#Headers],[Herramientas_de_medición]],
    COUNTIF(Herrramientas_mecánicas2165[Herramientas_mecánicas], B315) &gt; 0, Herrramientas_mecánicas2165[[#Headers],[Herramientas_mecánicas]],
    COUNTIF(AK315:AK321, B315) &gt; 0, Herramientas_hidráulicas2266[[#Headers],[Herramientas_hidráulicas]],
    COUNTIF(EPP_2367[SPCC], B315) &gt; 0, EPP_2367[[#Headers],[SPCC]],
   COUNTIF(Herramientas_de_izaje2468[Herramientas_de_izaje], B315) &gt; 0, Herramientas_de_izaje2468[[#Headers],[Herramientas_de_izaje]],
COUNTIF(Tabla162670[Equipos], B315) &gt; 0, Tabla162670[[#Headers],[Equipos]],
    TRUE, "Sin clasificación"
)</f>
        <v>Sin clasificación</v>
      </c>
      <c r="G315" s="15"/>
      <c r="H315" s="47"/>
      <c r="I315" s="87"/>
      <c r="J315" s="78"/>
      <c r="K315" s="78"/>
      <c r="L315" s="78"/>
      <c r="M315" s="78"/>
      <c r="N315" s="76"/>
      <c r="O315" s="76"/>
      <c r="P315" s="78" t="str">
        <f>_xlfn.LET(
    _xlpm.itemBuscado, B315,
    _xlpm.areaBuscada, C315,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TEXT(COUNTIF($C$2:C315, _xlpm.areaBuscada), "0000"),
    _xlpm.codItem &amp; "-" &amp; _xlpm.codArea &amp; "-" &amp; _xlpm.secuencia
)</f>
        <v>-SinArea-0000</v>
      </c>
      <c r="Q315" s="77"/>
      <c r="R315" s="32"/>
      <c r="S315" s="32"/>
      <c r="T315" s="32"/>
      <c r="U315" s="32"/>
    </row>
    <row r="316" spans="3:21" x14ac:dyDescent="0.3">
      <c r="C316" s="11"/>
      <c r="D316" s="32"/>
      <c r="E316" s="11" t="str" cm="1">
        <f t="array" ref="E316">_xlfn.IFS(
    COUNTIF(Herramientas_eléctricas1862[Herramientas_eléctricas], B316) &gt; 0, Herramientas_eléctricas1862[[#Headers],[Herramientas_eléctricas]],
    COUNTIF(Herramientas_neumáticas1963[Herramientas_neumáticas], B316) &gt; 0, Herramientas_neumáticas1963[[#Headers],[Herramientas_neumáticas]],
    COUNTIF(Herramientas_de_medición2064[Herramientas_de_medición], B316) &gt; 0, Herramientas_de_medición2064[[#Headers],[Herramientas_de_medición]],
    COUNTIF(Herrramientas_mecánicas2165[Herramientas_mecánicas], B316) &gt; 0, Herrramientas_mecánicas2165[[#Headers],[Herramientas_mecánicas]],
    COUNTIF(AK316:AK322, B316) &gt; 0, Herramientas_hidráulicas2266[[#Headers],[Herramientas_hidráulicas]],
    COUNTIF(EPP_2367[SPCC], B316) &gt; 0, EPP_2367[[#Headers],[SPCC]],
   COUNTIF(Herramientas_de_izaje2468[Herramientas_de_izaje], B316) &gt; 0, Herramientas_de_izaje2468[[#Headers],[Herramientas_de_izaje]],
COUNTIF(Tabla162670[Equipos], B316) &gt; 0, Tabla162670[[#Headers],[Equipos]],
    TRUE, "Sin clasificación"
)</f>
        <v>Sin clasificación</v>
      </c>
      <c r="G316" s="15"/>
      <c r="H316" s="47"/>
      <c r="I316" s="87"/>
      <c r="J316" s="78"/>
      <c r="K316" s="78"/>
      <c r="L316" s="78"/>
      <c r="M316" s="78"/>
      <c r="N316" s="76"/>
      <c r="O316" s="76"/>
      <c r="P316" s="78" t="str">
        <f>_xlfn.LET(
    _xlpm.itemBuscado, B316,
    _xlpm.areaBuscada, C316,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TEXT(COUNTIF($C$2:C316, _xlpm.areaBuscada), "0000"),
    _xlpm.codItem &amp; "-" &amp; _xlpm.codArea &amp; "-" &amp; _xlpm.secuencia
)</f>
        <v>-SinArea-0000</v>
      </c>
      <c r="Q316" s="77"/>
      <c r="R316" s="32"/>
      <c r="S316" s="32"/>
      <c r="T316" s="32"/>
      <c r="U316" s="32"/>
    </row>
    <row r="317" spans="3:21" x14ac:dyDescent="0.3">
      <c r="C317" s="11"/>
      <c r="D317" s="32"/>
      <c r="E317" s="11" t="str" cm="1">
        <f t="array" ref="E317">_xlfn.IFS(
    COUNTIF(Herramientas_eléctricas1862[Herramientas_eléctricas], B317) &gt; 0, Herramientas_eléctricas1862[[#Headers],[Herramientas_eléctricas]],
    COUNTIF(Herramientas_neumáticas1963[Herramientas_neumáticas], B317) &gt; 0, Herramientas_neumáticas1963[[#Headers],[Herramientas_neumáticas]],
    COUNTIF(Herramientas_de_medición2064[Herramientas_de_medición], B317) &gt; 0, Herramientas_de_medición2064[[#Headers],[Herramientas_de_medición]],
    COUNTIF(Herrramientas_mecánicas2165[Herramientas_mecánicas], B317) &gt; 0, Herrramientas_mecánicas2165[[#Headers],[Herramientas_mecánicas]],
    COUNTIF(AK317:AK323, B317) &gt; 0, Herramientas_hidráulicas2266[[#Headers],[Herramientas_hidráulicas]],
    COUNTIF(EPP_2367[SPCC], B317) &gt; 0, EPP_2367[[#Headers],[SPCC]],
   COUNTIF(Herramientas_de_izaje2468[Herramientas_de_izaje], B317) &gt; 0, Herramientas_de_izaje2468[[#Headers],[Herramientas_de_izaje]],
COUNTIF(Tabla162670[Equipos], B317) &gt; 0, Tabla162670[[#Headers],[Equipos]],
    TRUE, "Sin clasificación"
)</f>
        <v>Sin clasificación</v>
      </c>
      <c r="G317" s="15"/>
      <c r="H317" s="47"/>
      <c r="I317" s="87"/>
      <c r="J317" s="78"/>
      <c r="K317" s="78"/>
      <c r="L317" s="78"/>
      <c r="M317" s="78"/>
      <c r="N317" s="76"/>
      <c r="O317" s="76"/>
      <c r="P317" s="78" t="str">
        <f>_xlfn.LET(
    _xlpm.itemBuscado, B317,
    _xlpm.areaBuscada, C317,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TEXT(COUNTIF($C$2:C317, _xlpm.areaBuscada), "0000"),
    _xlpm.codItem &amp; "-" &amp; _xlpm.codArea &amp; "-" &amp; _xlpm.secuencia
)</f>
        <v>-SinArea-0000</v>
      </c>
      <c r="Q317" s="77"/>
      <c r="R317" s="32"/>
      <c r="S317" s="32"/>
      <c r="T317" s="32"/>
      <c r="U317" s="32"/>
    </row>
    <row r="318" spans="3:21" x14ac:dyDescent="0.3">
      <c r="C318" s="11"/>
      <c r="D318" s="32"/>
      <c r="E318" s="11" t="str" cm="1">
        <f t="array" ref="E318">_xlfn.IFS(
    COUNTIF(Herramientas_eléctricas1862[Herramientas_eléctricas], B318) &gt; 0, Herramientas_eléctricas1862[[#Headers],[Herramientas_eléctricas]],
    COUNTIF(Herramientas_neumáticas1963[Herramientas_neumáticas], B318) &gt; 0, Herramientas_neumáticas1963[[#Headers],[Herramientas_neumáticas]],
    COUNTIF(Herramientas_de_medición2064[Herramientas_de_medición], B318) &gt; 0, Herramientas_de_medición2064[[#Headers],[Herramientas_de_medición]],
    COUNTIF(Herrramientas_mecánicas2165[Herramientas_mecánicas], B318) &gt; 0, Herrramientas_mecánicas2165[[#Headers],[Herramientas_mecánicas]],
    COUNTIF(AK318:AK324, B318) &gt; 0, Herramientas_hidráulicas2266[[#Headers],[Herramientas_hidráulicas]],
    COUNTIF(EPP_2367[SPCC], B318) &gt; 0, EPP_2367[[#Headers],[SPCC]],
   COUNTIF(Herramientas_de_izaje2468[Herramientas_de_izaje], B318) &gt; 0, Herramientas_de_izaje2468[[#Headers],[Herramientas_de_izaje]],
COUNTIF(Tabla162670[Equipos], B318) &gt; 0, Tabla162670[[#Headers],[Equipos]],
    TRUE, "Sin clasificación"
)</f>
        <v>Sin clasificación</v>
      </c>
      <c r="G318" s="15"/>
      <c r="H318" s="47"/>
      <c r="I318" s="87"/>
      <c r="J318" s="78"/>
      <c r="K318" s="78"/>
      <c r="L318" s="78"/>
      <c r="M318" s="78"/>
      <c r="N318" s="76"/>
      <c r="O318" s="76"/>
      <c r="P318" s="78" t="str">
        <f>_xlfn.LET(
    _xlpm.itemBuscado, B318,
    _xlpm.areaBuscada, C318,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TEXT(COUNTIF($C$2:C318, _xlpm.areaBuscada), "0000"),
    _xlpm.codItem &amp; "-" &amp; _xlpm.codArea &amp; "-" &amp; _xlpm.secuencia
)</f>
        <v>-SinArea-0000</v>
      </c>
      <c r="Q318" s="77"/>
      <c r="R318" s="32"/>
      <c r="S318" s="32"/>
      <c r="T318" s="32"/>
      <c r="U318" s="32"/>
    </row>
    <row r="319" spans="3:21" x14ac:dyDescent="0.3">
      <c r="C319" s="11"/>
      <c r="D319" s="32"/>
      <c r="E319" s="11" t="str" cm="1">
        <f t="array" ref="E319">_xlfn.IFS(
    COUNTIF(Herramientas_eléctricas1862[Herramientas_eléctricas], B319) &gt; 0, Herramientas_eléctricas1862[[#Headers],[Herramientas_eléctricas]],
    COUNTIF(Herramientas_neumáticas1963[Herramientas_neumáticas], B319) &gt; 0, Herramientas_neumáticas1963[[#Headers],[Herramientas_neumáticas]],
    COUNTIF(Herramientas_de_medición2064[Herramientas_de_medición], B319) &gt; 0, Herramientas_de_medición2064[[#Headers],[Herramientas_de_medición]],
    COUNTIF(Herrramientas_mecánicas2165[Herramientas_mecánicas], B319) &gt; 0, Herrramientas_mecánicas2165[[#Headers],[Herramientas_mecánicas]],
    COUNTIF(AK319:AK325, B319) &gt; 0, Herramientas_hidráulicas2266[[#Headers],[Herramientas_hidráulicas]],
    COUNTIF(EPP_2367[SPCC], B319) &gt; 0, EPP_2367[[#Headers],[SPCC]],
   COUNTIF(Herramientas_de_izaje2468[Herramientas_de_izaje], B319) &gt; 0, Herramientas_de_izaje2468[[#Headers],[Herramientas_de_izaje]],
COUNTIF(Tabla162670[Equipos], B319) &gt; 0, Tabla162670[[#Headers],[Equipos]],
    TRUE, "Sin clasificación"
)</f>
        <v>Sin clasificación</v>
      </c>
      <c r="G319" s="15"/>
      <c r="H319" s="47"/>
      <c r="I319" s="87"/>
      <c r="J319" s="78"/>
      <c r="K319" s="78"/>
      <c r="L319" s="78"/>
      <c r="M319" s="78"/>
      <c r="N319" s="76"/>
      <c r="O319" s="76"/>
      <c r="P319" s="78" t="str">
        <f>_xlfn.LET(
    _xlpm.itemBuscado, B319,
    _xlpm.areaBuscada, C319,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TEXT(COUNTIF($C$2:C319, _xlpm.areaBuscada), "0000"),
    _xlpm.codItem &amp; "-" &amp; _xlpm.codArea &amp; "-" &amp; _xlpm.secuencia
)</f>
        <v>-SinArea-0000</v>
      </c>
      <c r="Q319" s="77"/>
      <c r="R319" s="32"/>
      <c r="S319" s="32"/>
      <c r="T319" s="32"/>
      <c r="U319" s="32"/>
    </row>
    <row r="320" spans="3:21" x14ac:dyDescent="0.3">
      <c r="C320" s="11"/>
      <c r="D320" s="32"/>
      <c r="E320" s="11" t="str" cm="1">
        <f t="array" ref="E320">_xlfn.IFS(
    COUNTIF(Herramientas_eléctricas1862[Herramientas_eléctricas], B320) &gt; 0, Herramientas_eléctricas1862[[#Headers],[Herramientas_eléctricas]],
    COUNTIF(Herramientas_neumáticas1963[Herramientas_neumáticas], B320) &gt; 0, Herramientas_neumáticas1963[[#Headers],[Herramientas_neumáticas]],
    COUNTIF(Herramientas_de_medición2064[Herramientas_de_medición], B320) &gt; 0, Herramientas_de_medición2064[[#Headers],[Herramientas_de_medición]],
    COUNTIF(Herrramientas_mecánicas2165[Herramientas_mecánicas], B320) &gt; 0, Herrramientas_mecánicas2165[[#Headers],[Herramientas_mecánicas]],
    COUNTIF(AK320:AK326, B320) &gt; 0, Herramientas_hidráulicas2266[[#Headers],[Herramientas_hidráulicas]],
    COUNTIF(EPP_2367[SPCC], B320) &gt; 0, EPP_2367[[#Headers],[SPCC]],
   COUNTIF(Herramientas_de_izaje2468[Herramientas_de_izaje], B320) &gt; 0, Herramientas_de_izaje2468[[#Headers],[Herramientas_de_izaje]],
COUNTIF(Tabla162670[Equipos], B320) &gt; 0, Tabla162670[[#Headers],[Equipos]],
    TRUE, "Sin clasificación"
)</f>
        <v>Sin clasificación</v>
      </c>
      <c r="G320" s="15"/>
      <c r="H320" s="47"/>
      <c r="I320" s="87"/>
      <c r="J320" s="78"/>
      <c r="K320" s="78"/>
      <c r="L320" s="78"/>
      <c r="M320" s="78"/>
      <c r="N320" s="76"/>
      <c r="O320" s="76"/>
      <c r="P320" s="78" t="str">
        <f>_xlfn.LET(
    _xlpm.itemBuscado, B320,
    _xlpm.areaBuscada, C320,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TEXT(COUNTIF($C$2:C320, _xlpm.areaBuscada), "0000"),
    _xlpm.codItem &amp; "-" &amp; _xlpm.codArea &amp; "-" &amp; _xlpm.secuencia
)</f>
        <v>-SinArea-0000</v>
      </c>
      <c r="Q320" s="77"/>
      <c r="R320" s="32"/>
      <c r="S320" s="32"/>
      <c r="T320" s="32"/>
      <c r="U320" s="32"/>
    </row>
    <row r="321" spans="3:21" x14ac:dyDescent="0.3">
      <c r="C321" s="11"/>
      <c r="D321" s="32"/>
      <c r="E321" s="11" t="str" cm="1">
        <f t="array" ref="E321">_xlfn.IFS(
    COUNTIF(Herramientas_eléctricas1862[Herramientas_eléctricas], B321) &gt; 0, Herramientas_eléctricas1862[[#Headers],[Herramientas_eléctricas]],
    COUNTIF(Herramientas_neumáticas1963[Herramientas_neumáticas], B321) &gt; 0, Herramientas_neumáticas1963[[#Headers],[Herramientas_neumáticas]],
    COUNTIF(Herramientas_de_medición2064[Herramientas_de_medición], B321) &gt; 0, Herramientas_de_medición2064[[#Headers],[Herramientas_de_medición]],
    COUNTIF(Herrramientas_mecánicas2165[Herramientas_mecánicas], B321) &gt; 0, Herrramientas_mecánicas2165[[#Headers],[Herramientas_mecánicas]],
    COUNTIF(AK321:AK327, B321) &gt; 0, Herramientas_hidráulicas2266[[#Headers],[Herramientas_hidráulicas]],
    COUNTIF(EPP_2367[SPCC], B321) &gt; 0, EPP_2367[[#Headers],[SPCC]],
   COUNTIF(Herramientas_de_izaje2468[Herramientas_de_izaje], B321) &gt; 0, Herramientas_de_izaje2468[[#Headers],[Herramientas_de_izaje]],
COUNTIF(Tabla162670[Equipos], B321) &gt; 0, Tabla162670[[#Headers],[Equipos]],
    TRUE, "Sin clasificación"
)</f>
        <v>Sin clasificación</v>
      </c>
      <c r="G321" s="15"/>
      <c r="H321" s="47"/>
      <c r="I321" s="87"/>
      <c r="J321" s="78"/>
      <c r="K321" s="78"/>
      <c r="L321" s="78"/>
      <c r="M321" s="78"/>
      <c r="N321" s="76"/>
      <c r="O321" s="76"/>
      <c r="P321" s="78" t="str">
        <f>_xlfn.LET(
    _xlpm.itemBuscado, B321,
    _xlpm.areaBuscada, C321,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TEXT(COUNTIF($C$2:C321, _xlpm.areaBuscada), "0000"),
    _xlpm.codItem &amp; "-" &amp; _xlpm.codArea &amp; "-" &amp; _xlpm.secuencia
)</f>
        <v>-SinArea-0000</v>
      </c>
      <c r="Q321" s="77"/>
      <c r="R321" s="32"/>
      <c r="S321" s="32"/>
      <c r="T321" s="32"/>
      <c r="U321" s="32"/>
    </row>
    <row r="322" spans="3:21" x14ac:dyDescent="0.3">
      <c r="C322" s="11"/>
      <c r="D322" s="32"/>
      <c r="E322" s="11" t="str" cm="1">
        <f t="array" ref="E322">_xlfn.IFS(
    COUNTIF(Herramientas_eléctricas1862[Herramientas_eléctricas], B322) &gt; 0, Herramientas_eléctricas1862[[#Headers],[Herramientas_eléctricas]],
    COUNTIF(Herramientas_neumáticas1963[Herramientas_neumáticas], B322) &gt; 0, Herramientas_neumáticas1963[[#Headers],[Herramientas_neumáticas]],
    COUNTIF(Herramientas_de_medición2064[Herramientas_de_medición], B322) &gt; 0, Herramientas_de_medición2064[[#Headers],[Herramientas_de_medición]],
    COUNTIF(Herrramientas_mecánicas2165[Herramientas_mecánicas], B322) &gt; 0, Herrramientas_mecánicas2165[[#Headers],[Herramientas_mecánicas]],
    COUNTIF(AK322:AK328, B322) &gt; 0, Herramientas_hidráulicas2266[[#Headers],[Herramientas_hidráulicas]],
    COUNTIF(EPP_2367[SPCC], B322) &gt; 0, EPP_2367[[#Headers],[SPCC]],
   COUNTIF(Herramientas_de_izaje2468[Herramientas_de_izaje], B322) &gt; 0, Herramientas_de_izaje2468[[#Headers],[Herramientas_de_izaje]],
COUNTIF(Tabla162670[Equipos], B322) &gt; 0, Tabla162670[[#Headers],[Equipos]],
    TRUE, "Sin clasificación"
)</f>
        <v>Sin clasificación</v>
      </c>
      <c r="G322" s="15"/>
      <c r="H322" s="47"/>
      <c r="I322" s="87"/>
      <c r="J322" s="78"/>
      <c r="K322" s="78"/>
      <c r="L322" s="78"/>
      <c r="M322" s="78"/>
      <c r="N322" s="76"/>
      <c r="O322" s="76"/>
      <c r="P322" s="78" t="str">
        <f>_xlfn.LET(
    _xlpm.itemBuscado, B322,
    _xlpm.areaBuscada, C322,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TEXT(COUNTIF($C$2:C322, _xlpm.areaBuscada), "0000"),
    _xlpm.codItem &amp; "-" &amp; _xlpm.codArea &amp; "-" &amp; _xlpm.secuencia
)</f>
        <v>-SinArea-0000</v>
      </c>
      <c r="Q322" s="77"/>
      <c r="R322" s="32"/>
      <c r="S322" s="32"/>
      <c r="T322" s="32"/>
      <c r="U322" s="32"/>
    </row>
    <row r="323" spans="3:21" x14ac:dyDescent="0.3">
      <c r="C323" s="11"/>
      <c r="D323" s="32"/>
      <c r="E323" s="11" t="str" cm="1">
        <f t="array" ref="E323">_xlfn.IFS(
    COUNTIF(Herramientas_eléctricas1862[Herramientas_eléctricas], B323) &gt; 0, Herramientas_eléctricas1862[[#Headers],[Herramientas_eléctricas]],
    COUNTIF(Herramientas_neumáticas1963[Herramientas_neumáticas], B323) &gt; 0, Herramientas_neumáticas1963[[#Headers],[Herramientas_neumáticas]],
    COUNTIF(Herramientas_de_medición2064[Herramientas_de_medición], B323) &gt; 0, Herramientas_de_medición2064[[#Headers],[Herramientas_de_medición]],
    COUNTIF(Herrramientas_mecánicas2165[Herramientas_mecánicas], B323) &gt; 0, Herrramientas_mecánicas2165[[#Headers],[Herramientas_mecánicas]],
    COUNTIF(AK323:AK329, B323) &gt; 0, Herramientas_hidráulicas2266[[#Headers],[Herramientas_hidráulicas]],
    COUNTIF(EPP_2367[SPCC], B323) &gt; 0, EPP_2367[[#Headers],[SPCC]],
   COUNTIF(Herramientas_de_izaje2468[Herramientas_de_izaje], B323) &gt; 0, Herramientas_de_izaje2468[[#Headers],[Herramientas_de_izaje]],
COUNTIF(Tabla162670[Equipos], B323) &gt; 0, Tabla162670[[#Headers],[Equipos]],
    TRUE, "Sin clasificación"
)</f>
        <v>Sin clasificación</v>
      </c>
      <c r="G323" s="15"/>
      <c r="H323" s="47"/>
      <c r="I323" s="87"/>
      <c r="J323" s="78"/>
      <c r="K323" s="78"/>
      <c r="L323" s="78"/>
      <c r="M323" s="78"/>
      <c r="N323" s="76"/>
      <c r="O323" s="76"/>
      <c r="P323" s="78" t="str">
        <f>_xlfn.LET(
    _xlpm.itemBuscado, B323,
    _xlpm.areaBuscada, C323,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TEXT(COUNTIF($C$2:C323, _xlpm.areaBuscada), "0000"),
    _xlpm.codItem &amp; "-" &amp; _xlpm.codArea &amp; "-" &amp; _xlpm.secuencia
)</f>
        <v>-SinArea-0000</v>
      </c>
      <c r="Q323" s="77"/>
      <c r="R323" s="32"/>
      <c r="S323" s="32"/>
      <c r="T323" s="32"/>
      <c r="U323" s="32"/>
    </row>
    <row r="324" spans="3:21" x14ac:dyDescent="0.3">
      <c r="C324" s="11"/>
      <c r="D324" s="32"/>
      <c r="E324" s="11" t="str" cm="1">
        <f t="array" ref="E324">_xlfn.IFS(
    COUNTIF(Herramientas_eléctricas1862[Herramientas_eléctricas], B324) &gt; 0, Herramientas_eléctricas1862[[#Headers],[Herramientas_eléctricas]],
    COUNTIF(Herramientas_neumáticas1963[Herramientas_neumáticas], B324) &gt; 0, Herramientas_neumáticas1963[[#Headers],[Herramientas_neumáticas]],
    COUNTIF(Herramientas_de_medición2064[Herramientas_de_medición], B324) &gt; 0, Herramientas_de_medición2064[[#Headers],[Herramientas_de_medición]],
    COUNTIF(Herrramientas_mecánicas2165[Herramientas_mecánicas], B324) &gt; 0, Herrramientas_mecánicas2165[[#Headers],[Herramientas_mecánicas]],
    COUNTIF(AK324:AK330, B324) &gt; 0, Herramientas_hidráulicas2266[[#Headers],[Herramientas_hidráulicas]],
    COUNTIF(EPP_2367[SPCC], B324) &gt; 0, EPP_2367[[#Headers],[SPCC]],
   COUNTIF(Herramientas_de_izaje2468[Herramientas_de_izaje], B324) &gt; 0, Herramientas_de_izaje2468[[#Headers],[Herramientas_de_izaje]],
COUNTIF(Tabla162670[Equipos], B324) &gt; 0, Tabla162670[[#Headers],[Equipos]],
    TRUE, "Sin clasificación"
)</f>
        <v>Sin clasificación</v>
      </c>
      <c r="G324" s="15"/>
      <c r="H324" s="47"/>
      <c r="I324" s="87"/>
      <c r="J324" s="78"/>
      <c r="K324" s="78"/>
      <c r="L324" s="78"/>
      <c r="M324" s="78"/>
      <c r="N324" s="76"/>
      <c r="O324" s="76"/>
      <c r="P324" s="78" t="str">
        <f>_xlfn.LET(
    _xlpm.itemBuscado, B324,
    _xlpm.areaBuscada, C324,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TEXT(COUNTIF($C$2:C324, _xlpm.areaBuscada), "0000"),
    _xlpm.codItem &amp; "-" &amp; _xlpm.codArea &amp; "-" &amp; _xlpm.secuencia
)</f>
        <v>-SinArea-0000</v>
      </c>
      <c r="Q324" s="77"/>
      <c r="R324" s="32"/>
      <c r="S324" s="32"/>
      <c r="T324" s="32"/>
      <c r="U324" s="32"/>
    </row>
    <row r="325" spans="3:21" x14ac:dyDescent="0.3">
      <c r="C325" s="11"/>
      <c r="D325" s="32"/>
      <c r="E325" s="11" t="str" cm="1">
        <f t="array" ref="E325">_xlfn.IFS(
    COUNTIF(Herramientas_eléctricas1862[Herramientas_eléctricas], B325) &gt; 0, Herramientas_eléctricas1862[[#Headers],[Herramientas_eléctricas]],
    COUNTIF(Herramientas_neumáticas1963[Herramientas_neumáticas], B325) &gt; 0, Herramientas_neumáticas1963[[#Headers],[Herramientas_neumáticas]],
    COUNTIF(Herramientas_de_medición2064[Herramientas_de_medición], B325) &gt; 0, Herramientas_de_medición2064[[#Headers],[Herramientas_de_medición]],
    COUNTIF(Herrramientas_mecánicas2165[Herramientas_mecánicas], B325) &gt; 0, Herrramientas_mecánicas2165[[#Headers],[Herramientas_mecánicas]],
    COUNTIF(AK325:AK331, B325) &gt; 0, Herramientas_hidráulicas2266[[#Headers],[Herramientas_hidráulicas]],
    COUNTIF(EPP_2367[SPCC], B325) &gt; 0, EPP_2367[[#Headers],[SPCC]],
   COUNTIF(Herramientas_de_izaje2468[Herramientas_de_izaje], B325) &gt; 0, Herramientas_de_izaje2468[[#Headers],[Herramientas_de_izaje]],
COUNTIF(Tabla162670[Equipos], B325) &gt; 0, Tabla162670[[#Headers],[Equipos]],
    TRUE, "Sin clasificación"
)</f>
        <v>Sin clasificación</v>
      </c>
      <c r="G325" s="15"/>
      <c r="H325" s="47"/>
      <c r="I325" s="87"/>
      <c r="J325" s="78"/>
      <c r="K325" s="78"/>
      <c r="L325" s="78"/>
      <c r="M325" s="78"/>
      <c r="N325" s="76"/>
      <c r="O325" s="76"/>
      <c r="P325" s="78" t="str">
        <f>_xlfn.LET(
    _xlpm.itemBuscado, B325,
    _xlpm.areaBuscada, C325,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TEXT(COUNTIF($C$2:C325, _xlpm.areaBuscada), "0000"),
    _xlpm.codItem &amp; "-" &amp; _xlpm.codArea &amp; "-" &amp; _xlpm.secuencia
)</f>
        <v>-SinArea-0000</v>
      </c>
      <c r="Q325" s="77"/>
      <c r="R325" s="32"/>
      <c r="S325" s="32"/>
      <c r="T325" s="32"/>
      <c r="U325" s="32"/>
    </row>
    <row r="326" spans="3:21" x14ac:dyDescent="0.3">
      <c r="C326" s="11"/>
      <c r="D326" s="32"/>
      <c r="E326" s="11" t="str" cm="1">
        <f t="array" ref="E326">_xlfn.IFS(
    COUNTIF(Herramientas_eléctricas1862[Herramientas_eléctricas], B326) &gt; 0, Herramientas_eléctricas1862[[#Headers],[Herramientas_eléctricas]],
    COUNTIF(Herramientas_neumáticas1963[Herramientas_neumáticas], B326) &gt; 0, Herramientas_neumáticas1963[[#Headers],[Herramientas_neumáticas]],
    COUNTIF(Herramientas_de_medición2064[Herramientas_de_medición], B326) &gt; 0, Herramientas_de_medición2064[[#Headers],[Herramientas_de_medición]],
    COUNTIF(Herrramientas_mecánicas2165[Herramientas_mecánicas], B326) &gt; 0, Herrramientas_mecánicas2165[[#Headers],[Herramientas_mecánicas]],
    COUNTIF(AK326:AK332, B326) &gt; 0, Herramientas_hidráulicas2266[[#Headers],[Herramientas_hidráulicas]],
    COUNTIF(EPP_2367[SPCC], B326) &gt; 0, EPP_2367[[#Headers],[SPCC]],
   COUNTIF(Herramientas_de_izaje2468[Herramientas_de_izaje], B326) &gt; 0, Herramientas_de_izaje2468[[#Headers],[Herramientas_de_izaje]],
COUNTIF(Tabla162670[Equipos], B326) &gt; 0, Tabla162670[[#Headers],[Equipos]],
    TRUE, "Sin clasificación"
)</f>
        <v>Sin clasificación</v>
      </c>
      <c r="G326" s="15"/>
      <c r="H326" s="47"/>
      <c r="I326" s="87"/>
      <c r="J326" s="78"/>
      <c r="K326" s="78"/>
      <c r="L326" s="78"/>
      <c r="M326" s="78"/>
      <c r="N326" s="76"/>
      <c r="O326" s="76"/>
      <c r="P326" s="78" t="str">
        <f>_xlfn.LET(
    _xlpm.itemBuscado, B326,
    _xlpm.areaBuscada, C326,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TEXT(COUNTIF($C$2:C326, _xlpm.areaBuscada), "0000"),
    _xlpm.codItem &amp; "-" &amp; _xlpm.codArea &amp; "-" &amp; _xlpm.secuencia
)</f>
        <v>-SinArea-0000</v>
      </c>
      <c r="Q326" s="77"/>
      <c r="R326" s="32"/>
      <c r="S326" s="32"/>
      <c r="T326" s="32"/>
      <c r="U326" s="32"/>
    </row>
    <row r="327" spans="3:21" x14ac:dyDescent="0.3">
      <c r="C327" s="11"/>
      <c r="D327" s="32"/>
      <c r="E327" s="11" t="str" cm="1">
        <f t="array" ref="E327">_xlfn.IFS(
    COUNTIF(Herramientas_eléctricas1862[Herramientas_eléctricas], B327) &gt; 0, Herramientas_eléctricas1862[[#Headers],[Herramientas_eléctricas]],
    COUNTIF(Herramientas_neumáticas1963[Herramientas_neumáticas], B327) &gt; 0, Herramientas_neumáticas1963[[#Headers],[Herramientas_neumáticas]],
    COUNTIF(Herramientas_de_medición2064[Herramientas_de_medición], B327) &gt; 0, Herramientas_de_medición2064[[#Headers],[Herramientas_de_medición]],
    COUNTIF(Herrramientas_mecánicas2165[Herramientas_mecánicas], B327) &gt; 0, Herrramientas_mecánicas2165[[#Headers],[Herramientas_mecánicas]],
    COUNTIF(AK327:AK333, B327) &gt; 0, Herramientas_hidráulicas2266[[#Headers],[Herramientas_hidráulicas]],
    COUNTIF(EPP_2367[SPCC], B327) &gt; 0, EPP_2367[[#Headers],[SPCC]],
   COUNTIF(Herramientas_de_izaje2468[Herramientas_de_izaje], B327) &gt; 0, Herramientas_de_izaje2468[[#Headers],[Herramientas_de_izaje]],
COUNTIF(Tabla162670[Equipos], B327) &gt; 0, Tabla162670[[#Headers],[Equipos]],
    TRUE, "Sin clasificación"
)</f>
        <v>Sin clasificación</v>
      </c>
      <c r="G327" s="15"/>
      <c r="H327" s="47"/>
      <c r="I327" s="87"/>
      <c r="J327" s="78"/>
      <c r="K327" s="78"/>
      <c r="L327" s="78"/>
      <c r="M327" s="78"/>
      <c r="N327" s="76"/>
      <c r="O327" s="76"/>
      <c r="P327" s="78" t="str">
        <f>_xlfn.LET(
    _xlpm.itemBuscado, B327,
    _xlpm.areaBuscada, C327,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TEXT(COUNTIF($C$2:C327, _xlpm.areaBuscada), "0000"),
    _xlpm.codItem &amp; "-" &amp; _xlpm.codArea &amp; "-" &amp; _xlpm.secuencia
)</f>
        <v>-SinArea-0000</v>
      </c>
      <c r="Q327" s="77"/>
      <c r="R327" s="32"/>
      <c r="S327" s="32"/>
      <c r="T327" s="32"/>
      <c r="U327" s="32"/>
    </row>
    <row r="328" spans="3:21" x14ac:dyDescent="0.3">
      <c r="C328" s="11"/>
      <c r="D328" s="32"/>
      <c r="E328" s="11" t="str" cm="1">
        <f t="array" ref="E328">_xlfn.IFS(
    COUNTIF(Herramientas_eléctricas1862[Herramientas_eléctricas], B328) &gt; 0, Herramientas_eléctricas1862[[#Headers],[Herramientas_eléctricas]],
    COUNTIF(Herramientas_neumáticas1963[Herramientas_neumáticas], B328) &gt; 0, Herramientas_neumáticas1963[[#Headers],[Herramientas_neumáticas]],
    COUNTIF(Herramientas_de_medición2064[Herramientas_de_medición], B328) &gt; 0, Herramientas_de_medición2064[[#Headers],[Herramientas_de_medición]],
    COUNTIF(Herrramientas_mecánicas2165[Herramientas_mecánicas], B328) &gt; 0, Herrramientas_mecánicas2165[[#Headers],[Herramientas_mecánicas]],
    COUNTIF(AK328:AK334, B328) &gt; 0, Herramientas_hidráulicas2266[[#Headers],[Herramientas_hidráulicas]],
    COUNTIF(EPP_2367[SPCC], B328) &gt; 0, EPP_2367[[#Headers],[SPCC]],
   COUNTIF(Herramientas_de_izaje2468[Herramientas_de_izaje], B328) &gt; 0, Herramientas_de_izaje2468[[#Headers],[Herramientas_de_izaje]],
COUNTIF(Tabla162670[Equipos], B328) &gt; 0, Tabla162670[[#Headers],[Equipos]],
    TRUE, "Sin clasificación"
)</f>
        <v>Sin clasificación</v>
      </c>
      <c r="G328" s="15"/>
      <c r="H328" s="47"/>
      <c r="I328" s="87"/>
      <c r="J328" s="78"/>
      <c r="K328" s="78"/>
      <c r="L328" s="78"/>
      <c r="M328" s="78"/>
      <c r="N328" s="76"/>
      <c r="O328" s="76"/>
      <c r="P328" s="78" t="str">
        <f>_xlfn.LET(
    _xlpm.itemBuscado, B328,
    _xlpm.areaBuscada, C328,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TEXT(COUNTIF($C$2:C328, _xlpm.areaBuscada), "0000"),
    _xlpm.codItem &amp; "-" &amp; _xlpm.codArea &amp; "-" &amp; _xlpm.secuencia
)</f>
        <v>-SinArea-0000</v>
      </c>
      <c r="Q328" s="77"/>
      <c r="R328" s="32"/>
      <c r="S328" s="32"/>
      <c r="T328" s="32"/>
      <c r="U328" s="32"/>
    </row>
    <row r="329" spans="3:21" x14ac:dyDescent="0.3">
      <c r="C329" s="11"/>
      <c r="D329" s="32"/>
      <c r="E329" s="11" t="str" cm="1">
        <f t="array" ref="E329">_xlfn.IFS(
    COUNTIF(Herramientas_eléctricas1862[Herramientas_eléctricas], B329) &gt; 0, Herramientas_eléctricas1862[[#Headers],[Herramientas_eléctricas]],
    COUNTIF(Herramientas_neumáticas1963[Herramientas_neumáticas], B329) &gt; 0, Herramientas_neumáticas1963[[#Headers],[Herramientas_neumáticas]],
    COUNTIF(Herramientas_de_medición2064[Herramientas_de_medición], B329) &gt; 0, Herramientas_de_medición2064[[#Headers],[Herramientas_de_medición]],
    COUNTIF(Herrramientas_mecánicas2165[Herramientas_mecánicas], B329) &gt; 0, Herrramientas_mecánicas2165[[#Headers],[Herramientas_mecánicas]],
    COUNTIF(AK329:AK335, B329) &gt; 0, Herramientas_hidráulicas2266[[#Headers],[Herramientas_hidráulicas]],
    COUNTIF(EPP_2367[SPCC], B329) &gt; 0, EPP_2367[[#Headers],[SPCC]],
   COUNTIF(Herramientas_de_izaje2468[Herramientas_de_izaje], B329) &gt; 0, Herramientas_de_izaje2468[[#Headers],[Herramientas_de_izaje]],
COUNTIF(Tabla162670[Equipos], B329) &gt; 0, Tabla162670[[#Headers],[Equipos]],
    TRUE, "Sin clasificación"
)</f>
        <v>Sin clasificación</v>
      </c>
      <c r="G329" s="15"/>
      <c r="H329" s="47"/>
      <c r="I329" s="87"/>
      <c r="J329" s="78"/>
      <c r="K329" s="78"/>
      <c r="L329" s="78"/>
      <c r="M329" s="78"/>
      <c r="N329" s="76"/>
      <c r="O329" s="76"/>
      <c r="P329" s="78" t="str">
        <f>_xlfn.LET(
    _xlpm.itemBuscado, B329,
    _xlpm.areaBuscada, C329,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TEXT(COUNTIF($C$2:C329, _xlpm.areaBuscada), "0000"),
    _xlpm.codItem &amp; "-" &amp; _xlpm.codArea &amp; "-" &amp; _xlpm.secuencia
)</f>
        <v>-SinArea-0000</v>
      </c>
      <c r="Q329" s="77"/>
      <c r="R329" s="32"/>
      <c r="S329" s="32"/>
      <c r="T329" s="32"/>
      <c r="U329" s="32"/>
    </row>
    <row r="330" spans="3:21" x14ac:dyDescent="0.3">
      <c r="C330" s="11"/>
      <c r="D330" s="32"/>
      <c r="E330" s="11" t="str" cm="1">
        <f t="array" ref="E330">_xlfn.IFS(
    COUNTIF(Herramientas_eléctricas1862[Herramientas_eléctricas], B330) &gt; 0, Herramientas_eléctricas1862[[#Headers],[Herramientas_eléctricas]],
    COUNTIF(Herramientas_neumáticas1963[Herramientas_neumáticas], B330) &gt; 0, Herramientas_neumáticas1963[[#Headers],[Herramientas_neumáticas]],
    COUNTIF(Herramientas_de_medición2064[Herramientas_de_medición], B330) &gt; 0, Herramientas_de_medición2064[[#Headers],[Herramientas_de_medición]],
    COUNTIF(Herrramientas_mecánicas2165[Herramientas_mecánicas], B330) &gt; 0, Herrramientas_mecánicas2165[[#Headers],[Herramientas_mecánicas]],
    COUNTIF(AK330:AK336, B330) &gt; 0, Herramientas_hidráulicas2266[[#Headers],[Herramientas_hidráulicas]],
    COUNTIF(EPP_2367[SPCC], B330) &gt; 0, EPP_2367[[#Headers],[SPCC]],
   COUNTIF(Herramientas_de_izaje2468[Herramientas_de_izaje], B330) &gt; 0, Herramientas_de_izaje2468[[#Headers],[Herramientas_de_izaje]],
COUNTIF(Tabla162670[Equipos], B330) &gt; 0, Tabla162670[[#Headers],[Equipos]],
    TRUE, "Sin clasificación"
)</f>
        <v>Sin clasificación</v>
      </c>
      <c r="G330" s="15"/>
      <c r="H330" s="47"/>
      <c r="I330" s="87"/>
      <c r="J330" s="78"/>
      <c r="K330" s="78"/>
      <c r="L330" s="78"/>
      <c r="M330" s="78"/>
      <c r="N330" s="76"/>
      <c r="O330" s="76"/>
      <c r="P330" s="78" t="str">
        <f>_xlfn.LET(
    _xlpm.itemBuscado, B330,
    _xlpm.areaBuscada, C330,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TEXT(COUNTIF($C$2:C330, _xlpm.areaBuscada), "0000"),
    _xlpm.codItem &amp; "-" &amp; _xlpm.codArea &amp; "-" &amp; _xlpm.secuencia
)</f>
        <v>-SinArea-0000</v>
      </c>
      <c r="Q330" s="77"/>
      <c r="R330" s="32"/>
      <c r="S330" s="32"/>
      <c r="T330" s="32"/>
      <c r="U330" s="32"/>
    </row>
    <row r="331" spans="3:21" x14ac:dyDescent="0.3">
      <c r="C331" s="11"/>
      <c r="D331" s="32"/>
      <c r="E331" s="11" t="str" cm="1">
        <f t="array" ref="E331">_xlfn.IFS(
    COUNTIF(Herramientas_eléctricas1862[Herramientas_eléctricas], B331) &gt; 0, Herramientas_eléctricas1862[[#Headers],[Herramientas_eléctricas]],
    COUNTIF(Herramientas_neumáticas1963[Herramientas_neumáticas], B331) &gt; 0, Herramientas_neumáticas1963[[#Headers],[Herramientas_neumáticas]],
    COUNTIF(Herramientas_de_medición2064[Herramientas_de_medición], B331) &gt; 0, Herramientas_de_medición2064[[#Headers],[Herramientas_de_medición]],
    COUNTIF(Herrramientas_mecánicas2165[Herramientas_mecánicas], B331) &gt; 0, Herrramientas_mecánicas2165[[#Headers],[Herramientas_mecánicas]],
    COUNTIF(AK331:AK337, B331) &gt; 0, Herramientas_hidráulicas2266[[#Headers],[Herramientas_hidráulicas]],
    COUNTIF(EPP_2367[SPCC], B331) &gt; 0, EPP_2367[[#Headers],[SPCC]],
   COUNTIF(Herramientas_de_izaje2468[Herramientas_de_izaje], B331) &gt; 0, Herramientas_de_izaje2468[[#Headers],[Herramientas_de_izaje]],
COUNTIF(Tabla162670[Equipos], B331) &gt; 0, Tabla162670[[#Headers],[Equipos]],
    TRUE, "Sin clasificación"
)</f>
        <v>Sin clasificación</v>
      </c>
      <c r="G331" s="15"/>
      <c r="H331" s="47"/>
      <c r="I331" s="87"/>
      <c r="J331" s="78"/>
      <c r="K331" s="78"/>
      <c r="L331" s="78"/>
      <c r="M331" s="78"/>
      <c r="N331" s="76"/>
      <c r="O331" s="76"/>
      <c r="P331" s="78" t="str">
        <f>_xlfn.LET(
    _xlpm.itemBuscado, B331,
    _xlpm.areaBuscada, C331,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TEXT(COUNTIF($C$2:C331, _xlpm.areaBuscada), "0000"),
    _xlpm.codItem &amp; "-" &amp; _xlpm.codArea &amp; "-" &amp; _xlpm.secuencia
)</f>
        <v>-SinArea-0000</v>
      </c>
      <c r="Q331" s="77"/>
      <c r="R331" s="32"/>
      <c r="S331" s="32"/>
      <c r="T331" s="32"/>
      <c r="U331" s="32"/>
    </row>
    <row r="332" spans="3:21" x14ac:dyDescent="0.3">
      <c r="C332" s="11"/>
      <c r="D332" s="32"/>
      <c r="E332" s="11" t="str" cm="1">
        <f t="array" ref="E332">_xlfn.IFS(
    COUNTIF(Herramientas_eléctricas1862[Herramientas_eléctricas], B332) &gt; 0, Herramientas_eléctricas1862[[#Headers],[Herramientas_eléctricas]],
    COUNTIF(Herramientas_neumáticas1963[Herramientas_neumáticas], B332) &gt; 0, Herramientas_neumáticas1963[[#Headers],[Herramientas_neumáticas]],
    COUNTIF(Herramientas_de_medición2064[Herramientas_de_medición], B332) &gt; 0, Herramientas_de_medición2064[[#Headers],[Herramientas_de_medición]],
    COUNTIF(Herrramientas_mecánicas2165[Herramientas_mecánicas], B332) &gt; 0, Herrramientas_mecánicas2165[[#Headers],[Herramientas_mecánicas]],
    COUNTIF(AK332:AK338, B332) &gt; 0, Herramientas_hidráulicas2266[[#Headers],[Herramientas_hidráulicas]],
    COUNTIF(EPP_2367[SPCC], B332) &gt; 0, EPP_2367[[#Headers],[SPCC]],
   COUNTIF(Herramientas_de_izaje2468[Herramientas_de_izaje], B332) &gt; 0, Herramientas_de_izaje2468[[#Headers],[Herramientas_de_izaje]],
COUNTIF(Tabla162670[Equipos], B332) &gt; 0, Tabla162670[[#Headers],[Equipos]],
    TRUE, "Sin clasificación"
)</f>
        <v>Sin clasificación</v>
      </c>
      <c r="G332" s="15"/>
      <c r="H332" s="47"/>
      <c r="I332" s="87"/>
      <c r="J332" s="78"/>
      <c r="K332" s="78"/>
      <c r="L332" s="78"/>
      <c r="M332" s="78"/>
      <c r="N332" s="76"/>
      <c r="O332" s="76"/>
      <c r="P332" s="78" t="str">
        <f>_xlfn.LET(
    _xlpm.itemBuscado, B332,
    _xlpm.areaBuscada, C332,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TEXT(COUNTIF($C$2:C332, _xlpm.areaBuscada), "0000"),
    _xlpm.codItem &amp; "-" &amp; _xlpm.codArea &amp; "-" &amp; _xlpm.secuencia
)</f>
        <v>-SinArea-0000</v>
      </c>
      <c r="Q332" s="77"/>
      <c r="R332" s="32"/>
      <c r="S332" s="32"/>
      <c r="T332" s="32"/>
      <c r="U332" s="32"/>
    </row>
    <row r="333" spans="3:21" x14ac:dyDescent="0.3">
      <c r="C333" s="11"/>
      <c r="D333" s="32"/>
      <c r="E333" s="11" t="str" cm="1">
        <f t="array" ref="E333">_xlfn.IFS(
    COUNTIF(Herramientas_eléctricas1862[Herramientas_eléctricas], B333) &gt; 0, Herramientas_eléctricas1862[[#Headers],[Herramientas_eléctricas]],
    COUNTIF(Herramientas_neumáticas1963[Herramientas_neumáticas], B333) &gt; 0, Herramientas_neumáticas1963[[#Headers],[Herramientas_neumáticas]],
    COUNTIF(Herramientas_de_medición2064[Herramientas_de_medición], B333) &gt; 0, Herramientas_de_medición2064[[#Headers],[Herramientas_de_medición]],
    COUNTIF(Herrramientas_mecánicas2165[Herramientas_mecánicas], B333) &gt; 0, Herrramientas_mecánicas2165[[#Headers],[Herramientas_mecánicas]],
    COUNTIF(AK333:AK339, B333) &gt; 0, Herramientas_hidráulicas2266[[#Headers],[Herramientas_hidráulicas]],
    COUNTIF(EPP_2367[SPCC], B333) &gt; 0, EPP_2367[[#Headers],[SPCC]],
   COUNTIF(Herramientas_de_izaje2468[Herramientas_de_izaje], B333) &gt; 0, Herramientas_de_izaje2468[[#Headers],[Herramientas_de_izaje]],
COUNTIF(Tabla162670[Equipos], B333) &gt; 0, Tabla162670[[#Headers],[Equipos]],
    TRUE, "Sin clasificación"
)</f>
        <v>Sin clasificación</v>
      </c>
      <c r="G333" s="15"/>
      <c r="H333" s="47"/>
      <c r="I333" s="87"/>
      <c r="J333" s="78"/>
      <c r="K333" s="78"/>
      <c r="L333" s="78"/>
      <c r="M333" s="78"/>
      <c r="N333" s="76"/>
      <c r="O333" s="76"/>
      <c r="P333" s="78" t="str">
        <f>_xlfn.LET(
    _xlpm.itemBuscado, B333,
    _xlpm.areaBuscada, C333,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TEXT(COUNTIF($C$2:C333, _xlpm.areaBuscada), "0000"),
    _xlpm.codItem &amp; "-" &amp; _xlpm.codArea &amp; "-" &amp; _xlpm.secuencia
)</f>
        <v>-SinArea-0000</v>
      </c>
      <c r="Q333" s="77"/>
      <c r="R333" s="32"/>
      <c r="S333" s="32"/>
      <c r="T333" s="32"/>
      <c r="U333" s="32"/>
    </row>
    <row r="334" spans="3:21" x14ac:dyDescent="0.3">
      <c r="C334" s="11"/>
      <c r="D334" s="32"/>
      <c r="E334" s="11" t="str" cm="1">
        <f t="array" ref="E334">_xlfn.IFS(
    COUNTIF(Herramientas_eléctricas1862[Herramientas_eléctricas], B334) &gt; 0, Herramientas_eléctricas1862[[#Headers],[Herramientas_eléctricas]],
    COUNTIF(Herramientas_neumáticas1963[Herramientas_neumáticas], B334) &gt; 0, Herramientas_neumáticas1963[[#Headers],[Herramientas_neumáticas]],
    COUNTIF(Herramientas_de_medición2064[Herramientas_de_medición], B334) &gt; 0, Herramientas_de_medición2064[[#Headers],[Herramientas_de_medición]],
    COUNTIF(Herrramientas_mecánicas2165[Herramientas_mecánicas], B334) &gt; 0, Herrramientas_mecánicas2165[[#Headers],[Herramientas_mecánicas]],
    COUNTIF(AK334:AK340, B334) &gt; 0, Herramientas_hidráulicas2266[[#Headers],[Herramientas_hidráulicas]],
    COUNTIF(EPP_2367[SPCC], B334) &gt; 0, EPP_2367[[#Headers],[SPCC]],
   COUNTIF(Herramientas_de_izaje2468[Herramientas_de_izaje], B334) &gt; 0, Herramientas_de_izaje2468[[#Headers],[Herramientas_de_izaje]],
COUNTIF(Tabla162670[Equipos], B334) &gt; 0, Tabla162670[[#Headers],[Equipos]],
    TRUE, "Sin clasificación"
)</f>
        <v>Sin clasificación</v>
      </c>
      <c r="G334" s="15"/>
      <c r="H334" s="47"/>
      <c r="I334" s="87"/>
      <c r="J334" s="78"/>
      <c r="K334" s="78"/>
      <c r="L334" s="78"/>
      <c r="M334" s="78"/>
      <c r="N334" s="76"/>
      <c r="O334" s="76"/>
      <c r="P334" s="78" t="str">
        <f>_xlfn.LET(
    _xlpm.itemBuscado, B334,
    _xlpm.areaBuscada, C334,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TEXT(COUNTIF($C$2:C334, _xlpm.areaBuscada), "0000"),
    _xlpm.codItem &amp; "-" &amp; _xlpm.codArea &amp; "-" &amp; _xlpm.secuencia
)</f>
        <v>-SinArea-0000</v>
      </c>
      <c r="Q334" s="77"/>
      <c r="R334" s="32"/>
      <c r="S334" s="32"/>
      <c r="T334" s="32"/>
      <c r="U334" s="32"/>
    </row>
    <row r="335" spans="3:21" x14ac:dyDescent="0.3">
      <c r="C335" s="11"/>
      <c r="D335" s="32"/>
      <c r="E335" s="11" t="str" cm="1">
        <f t="array" ref="E335">_xlfn.IFS(
    COUNTIF(Herramientas_eléctricas1862[Herramientas_eléctricas], B335) &gt; 0, Herramientas_eléctricas1862[[#Headers],[Herramientas_eléctricas]],
    COUNTIF(Herramientas_neumáticas1963[Herramientas_neumáticas], B335) &gt; 0, Herramientas_neumáticas1963[[#Headers],[Herramientas_neumáticas]],
    COUNTIF(Herramientas_de_medición2064[Herramientas_de_medición], B335) &gt; 0, Herramientas_de_medición2064[[#Headers],[Herramientas_de_medición]],
    COUNTIF(Herrramientas_mecánicas2165[Herramientas_mecánicas], B335) &gt; 0, Herrramientas_mecánicas2165[[#Headers],[Herramientas_mecánicas]],
    COUNTIF(AK335:AK341, B335) &gt; 0, Herramientas_hidráulicas2266[[#Headers],[Herramientas_hidráulicas]],
    COUNTIF(EPP_2367[SPCC], B335) &gt; 0, EPP_2367[[#Headers],[SPCC]],
   COUNTIF(Herramientas_de_izaje2468[Herramientas_de_izaje], B335) &gt; 0, Herramientas_de_izaje2468[[#Headers],[Herramientas_de_izaje]],
COUNTIF(Tabla162670[Equipos], B335) &gt; 0, Tabla162670[[#Headers],[Equipos]],
    TRUE, "Sin clasificación"
)</f>
        <v>Sin clasificación</v>
      </c>
      <c r="G335" s="15"/>
      <c r="H335" s="47"/>
      <c r="I335" s="87"/>
      <c r="J335" s="78"/>
      <c r="K335" s="78"/>
      <c r="L335" s="78"/>
      <c r="M335" s="78"/>
      <c r="N335" s="76"/>
      <c r="O335" s="76"/>
      <c r="P335" s="78" t="str">
        <f>_xlfn.LET(
    _xlpm.itemBuscado, B335,
    _xlpm.areaBuscada, C335,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TEXT(COUNTIF($C$2:C335, _xlpm.areaBuscada), "0000"),
    _xlpm.codItem &amp; "-" &amp; _xlpm.codArea &amp; "-" &amp; _xlpm.secuencia
)</f>
        <v>-SinArea-0000</v>
      </c>
      <c r="Q335" s="77"/>
      <c r="R335" s="32"/>
      <c r="S335" s="32"/>
      <c r="T335" s="32"/>
      <c r="U335" s="32"/>
    </row>
    <row r="336" spans="3:21" x14ac:dyDescent="0.3">
      <c r="C336" s="11"/>
      <c r="D336" s="32"/>
      <c r="E336" s="11" t="str" cm="1">
        <f t="array" ref="E336">_xlfn.IFS(
    COUNTIF(Herramientas_eléctricas1862[Herramientas_eléctricas], B336) &gt; 0, Herramientas_eléctricas1862[[#Headers],[Herramientas_eléctricas]],
    COUNTIF(Herramientas_neumáticas1963[Herramientas_neumáticas], B336) &gt; 0, Herramientas_neumáticas1963[[#Headers],[Herramientas_neumáticas]],
    COUNTIF(Herramientas_de_medición2064[Herramientas_de_medición], B336) &gt; 0, Herramientas_de_medición2064[[#Headers],[Herramientas_de_medición]],
    COUNTIF(Herrramientas_mecánicas2165[Herramientas_mecánicas], B336) &gt; 0, Herrramientas_mecánicas2165[[#Headers],[Herramientas_mecánicas]],
    COUNTIF(AK336:AK342, B336) &gt; 0, Herramientas_hidráulicas2266[[#Headers],[Herramientas_hidráulicas]],
    COUNTIF(EPP_2367[SPCC], B336) &gt; 0, EPP_2367[[#Headers],[SPCC]],
   COUNTIF(Herramientas_de_izaje2468[Herramientas_de_izaje], B336) &gt; 0, Herramientas_de_izaje2468[[#Headers],[Herramientas_de_izaje]],
COUNTIF(Tabla162670[Equipos], B336) &gt; 0, Tabla162670[[#Headers],[Equipos]],
    TRUE, "Sin clasificación"
)</f>
        <v>Sin clasificación</v>
      </c>
      <c r="G336" s="15"/>
      <c r="H336" s="47"/>
      <c r="I336" s="87"/>
      <c r="J336" s="78"/>
      <c r="K336" s="78"/>
      <c r="L336" s="78"/>
      <c r="M336" s="78"/>
      <c r="N336" s="76"/>
      <c r="O336" s="76"/>
      <c r="P336" s="78" t="str">
        <f>_xlfn.LET(
    _xlpm.itemBuscado, B336,
    _xlpm.areaBuscada, C336,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TEXT(COUNTIF($C$2:C336, _xlpm.areaBuscada), "0000"),
    _xlpm.codItem &amp; "-" &amp; _xlpm.codArea &amp; "-" &amp; _xlpm.secuencia
)</f>
        <v>-SinArea-0000</v>
      </c>
      <c r="Q336" s="77"/>
      <c r="R336" s="32"/>
      <c r="S336" s="32"/>
      <c r="T336" s="32"/>
      <c r="U336" s="32"/>
    </row>
    <row r="337" spans="3:21" x14ac:dyDescent="0.3">
      <c r="C337" s="11"/>
      <c r="D337" s="32"/>
      <c r="E337" s="11" t="str" cm="1">
        <f t="array" ref="E337">_xlfn.IFS(
    COUNTIF(Herramientas_eléctricas1862[Herramientas_eléctricas], B337) &gt; 0, Herramientas_eléctricas1862[[#Headers],[Herramientas_eléctricas]],
    COUNTIF(Herramientas_neumáticas1963[Herramientas_neumáticas], B337) &gt; 0, Herramientas_neumáticas1963[[#Headers],[Herramientas_neumáticas]],
    COUNTIF(Herramientas_de_medición2064[Herramientas_de_medición], B337) &gt; 0, Herramientas_de_medición2064[[#Headers],[Herramientas_de_medición]],
    COUNTIF(Herrramientas_mecánicas2165[Herramientas_mecánicas], B337) &gt; 0, Herrramientas_mecánicas2165[[#Headers],[Herramientas_mecánicas]],
    COUNTIF(AK337:AK343, B337) &gt; 0, Herramientas_hidráulicas2266[[#Headers],[Herramientas_hidráulicas]],
    COUNTIF(EPP_2367[SPCC], B337) &gt; 0, EPP_2367[[#Headers],[SPCC]],
   COUNTIF(Herramientas_de_izaje2468[Herramientas_de_izaje], B337) &gt; 0, Herramientas_de_izaje2468[[#Headers],[Herramientas_de_izaje]],
COUNTIF(Tabla162670[Equipos], B337) &gt; 0, Tabla162670[[#Headers],[Equipos]],
    TRUE, "Sin clasificación"
)</f>
        <v>Sin clasificación</v>
      </c>
      <c r="G337" s="15"/>
      <c r="H337" s="47"/>
      <c r="I337" s="87"/>
      <c r="J337" s="78"/>
      <c r="K337" s="78"/>
      <c r="L337" s="78"/>
      <c r="M337" s="78"/>
      <c r="N337" s="76"/>
      <c r="O337" s="76"/>
      <c r="P337" s="78" t="str">
        <f>_xlfn.LET(
    _xlpm.itemBuscado, B337,
    _xlpm.areaBuscada, C337,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TEXT(COUNTIF($C$2:C337, _xlpm.areaBuscada), "0000"),
    _xlpm.codItem &amp; "-" &amp; _xlpm.codArea &amp; "-" &amp; _xlpm.secuencia
)</f>
        <v>-SinArea-0000</v>
      </c>
      <c r="Q337" s="77"/>
      <c r="R337" s="32"/>
      <c r="S337" s="32"/>
      <c r="T337" s="32"/>
      <c r="U337" s="32"/>
    </row>
    <row r="338" spans="3:21" x14ac:dyDescent="0.3">
      <c r="C338" s="11"/>
      <c r="D338" s="32"/>
      <c r="E338" s="11" t="str" cm="1">
        <f t="array" ref="E338">_xlfn.IFS(
    COUNTIF(Herramientas_eléctricas1862[Herramientas_eléctricas], B338) &gt; 0, Herramientas_eléctricas1862[[#Headers],[Herramientas_eléctricas]],
    COUNTIF(Herramientas_neumáticas1963[Herramientas_neumáticas], B338) &gt; 0, Herramientas_neumáticas1963[[#Headers],[Herramientas_neumáticas]],
    COUNTIF(Herramientas_de_medición2064[Herramientas_de_medición], B338) &gt; 0, Herramientas_de_medición2064[[#Headers],[Herramientas_de_medición]],
    COUNTIF(Herrramientas_mecánicas2165[Herramientas_mecánicas], B338) &gt; 0, Herrramientas_mecánicas2165[[#Headers],[Herramientas_mecánicas]],
    COUNTIF(AK338:AK344, B338) &gt; 0, Herramientas_hidráulicas2266[[#Headers],[Herramientas_hidráulicas]],
    COUNTIF(EPP_2367[SPCC], B338) &gt; 0, EPP_2367[[#Headers],[SPCC]],
   COUNTIF(Herramientas_de_izaje2468[Herramientas_de_izaje], B338) &gt; 0, Herramientas_de_izaje2468[[#Headers],[Herramientas_de_izaje]],
COUNTIF(Tabla162670[Equipos], B338) &gt; 0, Tabla162670[[#Headers],[Equipos]],
    TRUE, "Sin clasificación"
)</f>
        <v>Sin clasificación</v>
      </c>
      <c r="G338" s="15"/>
      <c r="H338" s="47"/>
      <c r="I338" s="87"/>
      <c r="J338" s="78"/>
      <c r="K338" s="78"/>
      <c r="L338" s="78"/>
      <c r="M338" s="78"/>
      <c r="N338" s="76"/>
      <c r="O338" s="76"/>
      <c r="P338" s="78" t="str">
        <f>_xlfn.LET(
    _xlpm.itemBuscado, B338,
    _xlpm.areaBuscada, C338,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TEXT(COUNTIF($C$2:C338, _xlpm.areaBuscada), "0000"),
    _xlpm.codItem &amp; "-" &amp; _xlpm.codArea &amp; "-" &amp; _xlpm.secuencia
)</f>
        <v>-SinArea-0000</v>
      </c>
      <c r="Q338" s="77"/>
      <c r="R338" s="32"/>
      <c r="S338" s="32"/>
      <c r="T338" s="32"/>
      <c r="U338" s="32"/>
    </row>
    <row r="339" spans="3:21" x14ac:dyDescent="0.3">
      <c r="C339" s="11"/>
      <c r="D339" s="32"/>
      <c r="E339" s="11" t="str" cm="1">
        <f t="array" ref="E339">_xlfn.IFS(
    COUNTIF(Herramientas_eléctricas1862[Herramientas_eléctricas], B339) &gt; 0, Herramientas_eléctricas1862[[#Headers],[Herramientas_eléctricas]],
    COUNTIF(Herramientas_neumáticas1963[Herramientas_neumáticas], B339) &gt; 0, Herramientas_neumáticas1963[[#Headers],[Herramientas_neumáticas]],
    COUNTIF(Herramientas_de_medición2064[Herramientas_de_medición], B339) &gt; 0, Herramientas_de_medición2064[[#Headers],[Herramientas_de_medición]],
    COUNTIF(Herrramientas_mecánicas2165[Herramientas_mecánicas], B339) &gt; 0, Herrramientas_mecánicas2165[[#Headers],[Herramientas_mecánicas]],
    COUNTIF(AK339:AK345, B339) &gt; 0, Herramientas_hidráulicas2266[[#Headers],[Herramientas_hidráulicas]],
    COUNTIF(EPP_2367[SPCC], B339) &gt; 0, EPP_2367[[#Headers],[SPCC]],
   COUNTIF(Herramientas_de_izaje2468[Herramientas_de_izaje], B339) &gt; 0, Herramientas_de_izaje2468[[#Headers],[Herramientas_de_izaje]],
COUNTIF(Tabla162670[Equipos], B339) &gt; 0, Tabla162670[[#Headers],[Equipos]],
    TRUE, "Sin clasificación"
)</f>
        <v>Sin clasificación</v>
      </c>
      <c r="G339" s="15"/>
      <c r="H339" s="47"/>
      <c r="I339" s="87"/>
      <c r="J339" s="78"/>
      <c r="K339" s="78"/>
      <c r="L339" s="78"/>
      <c r="M339" s="78"/>
      <c r="N339" s="76"/>
      <c r="O339" s="76"/>
      <c r="P339" s="78" t="str">
        <f>_xlfn.LET(
    _xlpm.itemBuscado, B339,
    _xlpm.areaBuscada, C339,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TEXT(COUNTIF($C$2:C339, _xlpm.areaBuscada), "0000"),
    _xlpm.codItem &amp; "-" &amp; _xlpm.codArea &amp; "-" &amp; _xlpm.secuencia
)</f>
        <v>-SinArea-0000</v>
      </c>
      <c r="Q339" s="77"/>
      <c r="R339" s="32"/>
      <c r="S339" s="32"/>
      <c r="T339" s="32"/>
      <c r="U339" s="32"/>
    </row>
    <row r="340" spans="3:21" x14ac:dyDescent="0.3">
      <c r="C340" s="11"/>
      <c r="D340" s="32"/>
      <c r="E340" s="11" t="str" cm="1">
        <f t="array" ref="E340">_xlfn.IFS(
    COUNTIF(Herramientas_eléctricas1862[Herramientas_eléctricas], B340) &gt; 0, Herramientas_eléctricas1862[[#Headers],[Herramientas_eléctricas]],
    COUNTIF(Herramientas_neumáticas1963[Herramientas_neumáticas], B340) &gt; 0, Herramientas_neumáticas1963[[#Headers],[Herramientas_neumáticas]],
    COUNTIF(Herramientas_de_medición2064[Herramientas_de_medición], B340) &gt; 0, Herramientas_de_medición2064[[#Headers],[Herramientas_de_medición]],
    COUNTIF(Herrramientas_mecánicas2165[Herramientas_mecánicas], B340) &gt; 0, Herrramientas_mecánicas2165[[#Headers],[Herramientas_mecánicas]],
    COUNTIF(AK340:AK346, B340) &gt; 0, Herramientas_hidráulicas2266[[#Headers],[Herramientas_hidráulicas]],
    COUNTIF(EPP_2367[SPCC], B340) &gt; 0, EPP_2367[[#Headers],[SPCC]],
   COUNTIF(Herramientas_de_izaje2468[Herramientas_de_izaje], B340) &gt; 0, Herramientas_de_izaje2468[[#Headers],[Herramientas_de_izaje]],
COUNTIF(Tabla162670[Equipos], B340) &gt; 0, Tabla162670[[#Headers],[Equipos]],
    TRUE, "Sin clasificación"
)</f>
        <v>Sin clasificación</v>
      </c>
      <c r="G340" s="15"/>
      <c r="H340" s="47"/>
      <c r="I340" s="87"/>
      <c r="J340" s="78"/>
      <c r="K340" s="78"/>
      <c r="L340" s="78"/>
      <c r="M340" s="78"/>
      <c r="N340" s="76"/>
      <c r="O340" s="76"/>
      <c r="P340" s="78" t="str">
        <f>_xlfn.LET(
    _xlpm.itemBuscado, B340,
    _xlpm.areaBuscada, C340,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TEXT(COUNTIF($C$2:C340, _xlpm.areaBuscada), "0000"),
    _xlpm.codItem &amp; "-" &amp; _xlpm.codArea &amp; "-" &amp; _xlpm.secuencia
)</f>
        <v>-SinArea-0000</v>
      </c>
      <c r="Q340" s="77"/>
      <c r="R340" s="32"/>
      <c r="S340" s="32"/>
      <c r="T340" s="32"/>
      <c r="U340" s="32"/>
    </row>
    <row r="341" spans="3:21" x14ac:dyDescent="0.3">
      <c r="C341" s="11"/>
      <c r="D341" s="32"/>
      <c r="E341" s="11" t="str" cm="1">
        <f t="array" ref="E341">_xlfn.IFS(
    COUNTIF(Herramientas_eléctricas1862[Herramientas_eléctricas], B341) &gt; 0, Herramientas_eléctricas1862[[#Headers],[Herramientas_eléctricas]],
    COUNTIF(Herramientas_neumáticas1963[Herramientas_neumáticas], B341) &gt; 0, Herramientas_neumáticas1963[[#Headers],[Herramientas_neumáticas]],
    COUNTIF(Herramientas_de_medición2064[Herramientas_de_medición], B341) &gt; 0, Herramientas_de_medición2064[[#Headers],[Herramientas_de_medición]],
    COUNTIF(Herrramientas_mecánicas2165[Herramientas_mecánicas], B341) &gt; 0, Herrramientas_mecánicas2165[[#Headers],[Herramientas_mecánicas]],
    COUNTIF(AK341:AK347, B341) &gt; 0, Herramientas_hidráulicas2266[[#Headers],[Herramientas_hidráulicas]],
    COUNTIF(EPP_2367[SPCC], B341) &gt; 0, EPP_2367[[#Headers],[SPCC]],
   COUNTIF(Herramientas_de_izaje2468[Herramientas_de_izaje], B341) &gt; 0, Herramientas_de_izaje2468[[#Headers],[Herramientas_de_izaje]],
COUNTIF(Tabla162670[Equipos], B341) &gt; 0, Tabla162670[[#Headers],[Equipos]],
    TRUE, "Sin clasificación"
)</f>
        <v>Sin clasificación</v>
      </c>
      <c r="G341" s="15"/>
      <c r="H341" s="47"/>
      <c r="I341" s="87"/>
      <c r="J341" s="78"/>
      <c r="K341" s="78"/>
      <c r="L341" s="78"/>
      <c r="M341" s="78"/>
      <c r="N341" s="76"/>
      <c r="O341" s="76"/>
      <c r="P341" s="78" t="str">
        <f>_xlfn.LET(
    _xlpm.itemBuscado, B341,
    _xlpm.areaBuscada, C341,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TEXT(COUNTIF($C$2:C341, _xlpm.areaBuscada), "0000"),
    _xlpm.codItem &amp; "-" &amp; _xlpm.codArea &amp; "-" &amp; _xlpm.secuencia
)</f>
        <v>-SinArea-0000</v>
      </c>
      <c r="Q341" s="77"/>
      <c r="R341" s="32"/>
      <c r="S341" s="32"/>
      <c r="T341" s="32"/>
      <c r="U341" s="32"/>
    </row>
    <row r="342" spans="3:21" x14ac:dyDescent="0.3">
      <c r="C342" s="11"/>
      <c r="D342" s="32"/>
      <c r="E342" s="11" t="str" cm="1">
        <f t="array" ref="E342">_xlfn.IFS(
    COUNTIF(Herramientas_eléctricas1862[Herramientas_eléctricas], B342) &gt; 0, Herramientas_eléctricas1862[[#Headers],[Herramientas_eléctricas]],
    COUNTIF(Herramientas_neumáticas1963[Herramientas_neumáticas], B342) &gt; 0, Herramientas_neumáticas1963[[#Headers],[Herramientas_neumáticas]],
    COUNTIF(Herramientas_de_medición2064[Herramientas_de_medición], B342) &gt; 0, Herramientas_de_medición2064[[#Headers],[Herramientas_de_medición]],
    COUNTIF(Herrramientas_mecánicas2165[Herramientas_mecánicas], B342) &gt; 0, Herrramientas_mecánicas2165[[#Headers],[Herramientas_mecánicas]],
    COUNTIF(AK342:AK348, B342) &gt; 0, Herramientas_hidráulicas2266[[#Headers],[Herramientas_hidráulicas]],
    COUNTIF(EPP_2367[SPCC], B342) &gt; 0, EPP_2367[[#Headers],[SPCC]],
   COUNTIF(Herramientas_de_izaje2468[Herramientas_de_izaje], B342) &gt; 0, Herramientas_de_izaje2468[[#Headers],[Herramientas_de_izaje]],
COUNTIF(Tabla162670[Equipos], B342) &gt; 0, Tabla162670[[#Headers],[Equipos]],
    TRUE, "Sin clasificación"
)</f>
        <v>Sin clasificación</v>
      </c>
      <c r="G342" s="15"/>
      <c r="H342" s="47"/>
      <c r="I342" s="87"/>
      <c r="J342" s="78"/>
      <c r="K342" s="78"/>
      <c r="L342" s="78"/>
      <c r="M342" s="78"/>
      <c r="N342" s="76"/>
      <c r="O342" s="76"/>
      <c r="P342" s="78" t="str">
        <f>_xlfn.LET(
    _xlpm.itemBuscado, B342,
    _xlpm.areaBuscada, C342,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TEXT(COUNTIF($C$2:C342, _xlpm.areaBuscada), "0000"),
    _xlpm.codItem &amp; "-" &amp; _xlpm.codArea &amp; "-" &amp; _xlpm.secuencia
)</f>
        <v>-SinArea-0000</v>
      </c>
      <c r="Q342" s="77"/>
      <c r="R342" s="32"/>
      <c r="S342" s="32"/>
      <c r="T342" s="32"/>
      <c r="U342" s="32"/>
    </row>
    <row r="343" spans="3:21" x14ac:dyDescent="0.3">
      <c r="C343" s="11"/>
      <c r="D343" s="32"/>
      <c r="E343" s="11" t="str" cm="1">
        <f t="array" ref="E343">_xlfn.IFS(
    COUNTIF(Herramientas_eléctricas1862[Herramientas_eléctricas], B343) &gt; 0, Herramientas_eléctricas1862[[#Headers],[Herramientas_eléctricas]],
    COUNTIF(Herramientas_neumáticas1963[Herramientas_neumáticas], B343) &gt; 0, Herramientas_neumáticas1963[[#Headers],[Herramientas_neumáticas]],
    COUNTIF(Herramientas_de_medición2064[Herramientas_de_medición], B343) &gt; 0, Herramientas_de_medición2064[[#Headers],[Herramientas_de_medición]],
    COUNTIF(Herrramientas_mecánicas2165[Herramientas_mecánicas], B343) &gt; 0, Herrramientas_mecánicas2165[[#Headers],[Herramientas_mecánicas]],
    COUNTIF(AK343:AK349, B343) &gt; 0, Herramientas_hidráulicas2266[[#Headers],[Herramientas_hidráulicas]],
    COUNTIF(EPP_2367[SPCC], B343) &gt; 0, EPP_2367[[#Headers],[SPCC]],
   COUNTIF(Herramientas_de_izaje2468[Herramientas_de_izaje], B343) &gt; 0, Herramientas_de_izaje2468[[#Headers],[Herramientas_de_izaje]],
COUNTIF(Tabla162670[Equipos], B343) &gt; 0, Tabla162670[[#Headers],[Equipos]],
    TRUE, "Sin clasificación"
)</f>
        <v>Sin clasificación</v>
      </c>
      <c r="G343" s="15"/>
      <c r="H343" s="47"/>
      <c r="I343" s="87"/>
      <c r="J343" s="78"/>
      <c r="K343" s="78"/>
      <c r="L343" s="78"/>
      <c r="M343" s="78"/>
      <c r="N343" s="76"/>
      <c r="O343" s="76"/>
      <c r="P343" s="78" t="str">
        <f>_xlfn.LET(
    _xlpm.itemBuscado, B343,
    _xlpm.areaBuscada, C343,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TEXT(COUNTIF($C$2:C343, _xlpm.areaBuscada), "0000"),
    _xlpm.codItem &amp; "-" &amp; _xlpm.codArea &amp; "-" &amp; _xlpm.secuencia
)</f>
        <v>-SinArea-0000</v>
      </c>
      <c r="Q343" s="77"/>
      <c r="R343" s="32"/>
      <c r="S343" s="32"/>
      <c r="T343" s="32"/>
      <c r="U343" s="32"/>
    </row>
    <row r="344" spans="3:21" x14ac:dyDescent="0.3">
      <c r="C344" s="11"/>
      <c r="D344" s="32"/>
      <c r="E344" s="11" t="str" cm="1">
        <f t="array" ref="E344">_xlfn.IFS(
    COUNTIF(Herramientas_eléctricas1862[Herramientas_eléctricas], B344) &gt; 0, Herramientas_eléctricas1862[[#Headers],[Herramientas_eléctricas]],
    COUNTIF(Herramientas_neumáticas1963[Herramientas_neumáticas], B344) &gt; 0, Herramientas_neumáticas1963[[#Headers],[Herramientas_neumáticas]],
    COUNTIF(Herramientas_de_medición2064[Herramientas_de_medición], B344) &gt; 0, Herramientas_de_medición2064[[#Headers],[Herramientas_de_medición]],
    COUNTIF(Herrramientas_mecánicas2165[Herramientas_mecánicas], B344) &gt; 0, Herrramientas_mecánicas2165[[#Headers],[Herramientas_mecánicas]],
    COUNTIF(AK344:AK350, B344) &gt; 0, Herramientas_hidráulicas2266[[#Headers],[Herramientas_hidráulicas]],
    COUNTIF(EPP_2367[SPCC], B344) &gt; 0, EPP_2367[[#Headers],[SPCC]],
   COUNTIF(Herramientas_de_izaje2468[Herramientas_de_izaje], B344) &gt; 0, Herramientas_de_izaje2468[[#Headers],[Herramientas_de_izaje]],
COUNTIF(Tabla162670[Equipos], B344) &gt; 0, Tabla162670[[#Headers],[Equipos]],
    TRUE, "Sin clasificación"
)</f>
        <v>Sin clasificación</v>
      </c>
      <c r="G344" s="15"/>
      <c r="H344" s="47"/>
      <c r="I344" s="87"/>
      <c r="J344" s="78"/>
      <c r="K344" s="78"/>
      <c r="L344" s="78"/>
      <c r="M344" s="78"/>
      <c r="N344" s="76"/>
      <c r="O344" s="76"/>
      <c r="P344" s="78" t="str">
        <f>_xlfn.LET(
    _xlpm.itemBuscado, B344,
    _xlpm.areaBuscada, C344,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TEXT(COUNTIF($C$2:C344, _xlpm.areaBuscada), "0000"),
    _xlpm.codItem &amp; "-" &amp; _xlpm.codArea &amp; "-" &amp; _xlpm.secuencia
)</f>
        <v>-SinArea-0000</v>
      </c>
      <c r="Q344" s="77"/>
      <c r="R344" s="32"/>
      <c r="S344" s="32"/>
      <c r="T344" s="32"/>
      <c r="U344" s="32"/>
    </row>
    <row r="345" spans="3:21" x14ac:dyDescent="0.3">
      <c r="C345" s="11"/>
      <c r="D345" s="32"/>
      <c r="E345" s="11" t="str" cm="1">
        <f t="array" ref="E345">_xlfn.IFS(
    COUNTIF(Herramientas_eléctricas1862[Herramientas_eléctricas], B345) &gt; 0, Herramientas_eléctricas1862[[#Headers],[Herramientas_eléctricas]],
    COUNTIF(Herramientas_neumáticas1963[Herramientas_neumáticas], B345) &gt; 0, Herramientas_neumáticas1963[[#Headers],[Herramientas_neumáticas]],
    COUNTIF(Herramientas_de_medición2064[Herramientas_de_medición], B345) &gt; 0, Herramientas_de_medición2064[[#Headers],[Herramientas_de_medición]],
    COUNTIF(Herrramientas_mecánicas2165[Herramientas_mecánicas], B345) &gt; 0, Herrramientas_mecánicas2165[[#Headers],[Herramientas_mecánicas]],
    COUNTIF(AK345:AK351, B345) &gt; 0, Herramientas_hidráulicas2266[[#Headers],[Herramientas_hidráulicas]],
    COUNTIF(EPP_2367[SPCC], B345) &gt; 0, EPP_2367[[#Headers],[SPCC]],
   COUNTIF(Herramientas_de_izaje2468[Herramientas_de_izaje], B345) &gt; 0, Herramientas_de_izaje2468[[#Headers],[Herramientas_de_izaje]],
COUNTIF(Tabla162670[Equipos], B345) &gt; 0, Tabla162670[[#Headers],[Equipos]],
    TRUE, "Sin clasificación"
)</f>
        <v>Sin clasificación</v>
      </c>
      <c r="G345" s="15"/>
      <c r="H345" s="47"/>
      <c r="I345" s="87"/>
      <c r="J345" s="78"/>
      <c r="K345" s="78"/>
      <c r="L345" s="78"/>
      <c r="M345" s="78"/>
      <c r="N345" s="76"/>
      <c r="O345" s="76"/>
      <c r="P345" s="78" t="str">
        <f>_xlfn.LET(
    _xlpm.itemBuscado, B345,
    _xlpm.areaBuscada, C345,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TEXT(COUNTIF($C$2:C345, _xlpm.areaBuscada), "0000"),
    _xlpm.codItem &amp; "-" &amp; _xlpm.codArea &amp; "-" &amp; _xlpm.secuencia
)</f>
        <v>-SinArea-0000</v>
      </c>
      <c r="Q345" s="77"/>
      <c r="R345" s="32"/>
      <c r="S345" s="32"/>
      <c r="T345" s="32"/>
      <c r="U345" s="32"/>
    </row>
    <row r="346" spans="3:21" x14ac:dyDescent="0.3">
      <c r="C346" s="11"/>
      <c r="D346" s="32"/>
      <c r="E346" s="11" t="str" cm="1">
        <f t="array" ref="E346">_xlfn.IFS(
    COUNTIF(Herramientas_eléctricas1862[Herramientas_eléctricas], B346) &gt; 0, Herramientas_eléctricas1862[[#Headers],[Herramientas_eléctricas]],
    COUNTIF(Herramientas_neumáticas1963[Herramientas_neumáticas], B346) &gt; 0, Herramientas_neumáticas1963[[#Headers],[Herramientas_neumáticas]],
    COUNTIF(Herramientas_de_medición2064[Herramientas_de_medición], B346) &gt; 0, Herramientas_de_medición2064[[#Headers],[Herramientas_de_medición]],
    COUNTIF(Herrramientas_mecánicas2165[Herramientas_mecánicas], B346) &gt; 0, Herrramientas_mecánicas2165[[#Headers],[Herramientas_mecánicas]],
    COUNTIF(AK346:AK352, B346) &gt; 0, Herramientas_hidráulicas2266[[#Headers],[Herramientas_hidráulicas]],
    COUNTIF(EPP_2367[SPCC], B346) &gt; 0, EPP_2367[[#Headers],[SPCC]],
   COUNTIF(Herramientas_de_izaje2468[Herramientas_de_izaje], B346) &gt; 0, Herramientas_de_izaje2468[[#Headers],[Herramientas_de_izaje]],
COUNTIF(Tabla162670[Equipos], B346) &gt; 0, Tabla162670[[#Headers],[Equipos]],
    TRUE, "Sin clasificación"
)</f>
        <v>Sin clasificación</v>
      </c>
      <c r="G346" s="15"/>
      <c r="H346" s="47"/>
      <c r="I346" s="87"/>
      <c r="J346" s="78"/>
      <c r="K346" s="78"/>
      <c r="L346" s="78"/>
      <c r="M346" s="78"/>
      <c r="N346" s="76"/>
      <c r="O346" s="76"/>
      <c r="P346" s="78" t="str">
        <f>_xlfn.LET(
    _xlpm.itemBuscado, B346,
    _xlpm.areaBuscada, C346,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TEXT(COUNTIF($C$2:C346, _xlpm.areaBuscada), "0000"),
    _xlpm.codItem &amp; "-" &amp; _xlpm.codArea &amp; "-" &amp; _xlpm.secuencia
)</f>
        <v>-SinArea-0000</v>
      </c>
      <c r="Q346" s="77"/>
      <c r="R346" s="32"/>
      <c r="S346" s="32"/>
      <c r="T346" s="32"/>
      <c r="U346" s="32"/>
    </row>
    <row r="347" spans="3:21" x14ac:dyDescent="0.3">
      <c r="C347" s="11"/>
      <c r="D347" s="32"/>
      <c r="E347" s="11" t="str" cm="1">
        <f t="array" ref="E347">_xlfn.IFS(
    COUNTIF(Herramientas_eléctricas1862[Herramientas_eléctricas], B347) &gt; 0, Herramientas_eléctricas1862[[#Headers],[Herramientas_eléctricas]],
    COUNTIF(Herramientas_neumáticas1963[Herramientas_neumáticas], B347) &gt; 0, Herramientas_neumáticas1963[[#Headers],[Herramientas_neumáticas]],
    COUNTIF(Herramientas_de_medición2064[Herramientas_de_medición], B347) &gt; 0, Herramientas_de_medición2064[[#Headers],[Herramientas_de_medición]],
    COUNTIF(Herrramientas_mecánicas2165[Herramientas_mecánicas], B347) &gt; 0, Herrramientas_mecánicas2165[[#Headers],[Herramientas_mecánicas]],
    COUNTIF(AK347:AK353, B347) &gt; 0, Herramientas_hidráulicas2266[[#Headers],[Herramientas_hidráulicas]],
    COUNTIF(EPP_2367[SPCC], B347) &gt; 0, EPP_2367[[#Headers],[SPCC]],
   COUNTIF(Herramientas_de_izaje2468[Herramientas_de_izaje], B347) &gt; 0, Herramientas_de_izaje2468[[#Headers],[Herramientas_de_izaje]],
COUNTIF(Tabla162670[Equipos], B347) &gt; 0, Tabla162670[[#Headers],[Equipos]],
    TRUE, "Sin clasificación"
)</f>
        <v>Sin clasificación</v>
      </c>
      <c r="G347" s="15"/>
      <c r="H347" s="47"/>
      <c r="I347" s="87"/>
      <c r="J347" s="78"/>
      <c r="K347" s="78"/>
      <c r="L347" s="78"/>
      <c r="M347" s="78"/>
      <c r="N347" s="76"/>
      <c r="O347" s="76"/>
      <c r="P347" s="78" t="str">
        <f>_xlfn.LET(
    _xlpm.itemBuscado, B347,
    _xlpm.areaBuscada, C347,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TEXT(COUNTIF($C$2:C347, _xlpm.areaBuscada), "0000"),
    _xlpm.codItem &amp; "-" &amp; _xlpm.codArea &amp; "-" &amp; _xlpm.secuencia
)</f>
        <v>-SinArea-0000</v>
      </c>
      <c r="Q347" s="77"/>
      <c r="R347" s="32"/>
      <c r="S347" s="32"/>
      <c r="T347" s="32"/>
      <c r="U347" s="32"/>
    </row>
    <row r="348" spans="3:21" x14ac:dyDescent="0.3">
      <c r="C348" s="11"/>
      <c r="D348" s="32"/>
      <c r="E348" s="11" t="str" cm="1">
        <f t="array" ref="E348">_xlfn.IFS(
    COUNTIF(Herramientas_eléctricas1862[Herramientas_eléctricas], B348) &gt; 0, Herramientas_eléctricas1862[[#Headers],[Herramientas_eléctricas]],
    COUNTIF(Herramientas_neumáticas1963[Herramientas_neumáticas], B348) &gt; 0, Herramientas_neumáticas1963[[#Headers],[Herramientas_neumáticas]],
    COUNTIF(Herramientas_de_medición2064[Herramientas_de_medición], B348) &gt; 0, Herramientas_de_medición2064[[#Headers],[Herramientas_de_medición]],
    COUNTIF(Herrramientas_mecánicas2165[Herramientas_mecánicas], B348) &gt; 0, Herrramientas_mecánicas2165[[#Headers],[Herramientas_mecánicas]],
    COUNTIF(AK348:AK354, B348) &gt; 0, Herramientas_hidráulicas2266[[#Headers],[Herramientas_hidráulicas]],
    COUNTIF(EPP_2367[SPCC], B348) &gt; 0, EPP_2367[[#Headers],[SPCC]],
   COUNTIF(Herramientas_de_izaje2468[Herramientas_de_izaje], B348) &gt; 0, Herramientas_de_izaje2468[[#Headers],[Herramientas_de_izaje]],
COUNTIF(Tabla162670[Equipos], B348) &gt; 0, Tabla162670[[#Headers],[Equipos]],
    TRUE, "Sin clasificación"
)</f>
        <v>Sin clasificación</v>
      </c>
      <c r="G348" s="15"/>
      <c r="H348" s="47"/>
      <c r="I348" s="87"/>
      <c r="J348" s="78"/>
      <c r="K348" s="78"/>
      <c r="L348" s="78"/>
      <c r="M348" s="78"/>
      <c r="N348" s="76"/>
      <c r="O348" s="76"/>
      <c r="P348" s="78" t="str">
        <f>_xlfn.LET(
    _xlpm.itemBuscado, B348,
    _xlpm.areaBuscada, C348,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TEXT(COUNTIF($C$2:C348, _xlpm.areaBuscada), "0000"),
    _xlpm.codItem &amp; "-" &amp; _xlpm.codArea &amp; "-" &amp; _xlpm.secuencia
)</f>
        <v>-SinArea-0000</v>
      </c>
      <c r="Q348" s="77"/>
      <c r="R348" s="32"/>
      <c r="S348" s="32"/>
      <c r="T348" s="32"/>
      <c r="U348" s="32"/>
    </row>
    <row r="349" spans="3:21" x14ac:dyDescent="0.3">
      <c r="C349" s="11"/>
      <c r="D349" s="32"/>
      <c r="E349" s="11" t="str" cm="1">
        <f t="array" ref="E349">_xlfn.IFS(
    COUNTIF(Herramientas_eléctricas1862[Herramientas_eléctricas], B349) &gt; 0, Herramientas_eléctricas1862[[#Headers],[Herramientas_eléctricas]],
    COUNTIF(Herramientas_neumáticas1963[Herramientas_neumáticas], B349) &gt; 0, Herramientas_neumáticas1963[[#Headers],[Herramientas_neumáticas]],
    COUNTIF(Herramientas_de_medición2064[Herramientas_de_medición], B349) &gt; 0, Herramientas_de_medición2064[[#Headers],[Herramientas_de_medición]],
    COUNTIF(Herrramientas_mecánicas2165[Herramientas_mecánicas], B349) &gt; 0, Herrramientas_mecánicas2165[[#Headers],[Herramientas_mecánicas]],
    COUNTIF(AK349:AK355, B349) &gt; 0, Herramientas_hidráulicas2266[[#Headers],[Herramientas_hidráulicas]],
    COUNTIF(EPP_2367[SPCC], B349) &gt; 0, EPP_2367[[#Headers],[SPCC]],
   COUNTIF(Herramientas_de_izaje2468[Herramientas_de_izaje], B349) &gt; 0, Herramientas_de_izaje2468[[#Headers],[Herramientas_de_izaje]],
COUNTIF(Tabla162670[Equipos], B349) &gt; 0, Tabla162670[[#Headers],[Equipos]],
    TRUE, "Sin clasificación"
)</f>
        <v>Sin clasificación</v>
      </c>
      <c r="G349" s="15"/>
      <c r="H349" s="47"/>
      <c r="I349" s="87"/>
      <c r="J349" s="78"/>
      <c r="K349" s="78"/>
      <c r="L349" s="78"/>
      <c r="M349" s="78"/>
      <c r="N349" s="76"/>
      <c r="O349" s="76"/>
      <c r="P349" s="78" t="str">
        <f>_xlfn.LET(
    _xlpm.itemBuscado, B349,
    _xlpm.areaBuscada, C349,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TEXT(COUNTIF($C$2:C349, _xlpm.areaBuscada), "0000"),
    _xlpm.codItem &amp; "-" &amp; _xlpm.codArea &amp; "-" &amp; _xlpm.secuencia
)</f>
        <v>-SinArea-0000</v>
      </c>
      <c r="Q349" s="77"/>
      <c r="R349" s="32"/>
      <c r="S349" s="32"/>
      <c r="T349" s="32"/>
      <c r="U349" s="32"/>
    </row>
    <row r="350" spans="3:21" x14ac:dyDescent="0.3">
      <c r="C350" s="11"/>
      <c r="D350" s="32"/>
      <c r="E350" s="11" t="str" cm="1">
        <f t="array" ref="E350">_xlfn.IFS(
    COUNTIF(Herramientas_eléctricas1862[Herramientas_eléctricas], B350) &gt; 0, Herramientas_eléctricas1862[[#Headers],[Herramientas_eléctricas]],
    COUNTIF(Herramientas_neumáticas1963[Herramientas_neumáticas], B350) &gt; 0, Herramientas_neumáticas1963[[#Headers],[Herramientas_neumáticas]],
    COUNTIF(Herramientas_de_medición2064[Herramientas_de_medición], B350) &gt; 0, Herramientas_de_medición2064[[#Headers],[Herramientas_de_medición]],
    COUNTIF(Herrramientas_mecánicas2165[Herramientas_mecánicas], B350) &gt; 0, Herrramientas_mecánicas2165[[#Headers],[Herramientas_mecánicas]],
    COUNTIF(AK350:AK356, B350) &gt; 0, Herramientas_hidráulicas2266[[#Headers],[Herramientas_hidráulicas]],
    COUNTIF(EPP_2367[SPCC], B350) &gt; 0, EPP_2367[[#Headers],[SPCC]],
   COUNTIF(Herramientas_de_izaje2468[Herramientas_de_izaje], B350) &gt; 0, Herramientas_de_izaje2468[[#Headers],[Herramientas_de_izaje]],
COUNTIF(Tabla162670[Equipos], B350) &gt; 0, Tabla162670[[#Headers],[Equipos]],
    TRUE, "Sin clasificación"
)</f>
        <v>Sin clasificación</v>
      </c>
      <c r="G350" s="15"/>
      <c r="H350" s="47"/>
      <c r="I350" s="87"/>
      <c r="J350" s="78"/>
      <c r="K350" s="78"/>
      <c r="L350" s="78"/>
      <c r="M350" s="78"/>
      <c r="N350" s="76"/>
      <c r="O350" s="76"/>
      <c r="P350" s="78" t="str">
        <f>_xlfn.LET(
    _xlpm.itemBuscado, B350,
    _xlpm.areaBuscada, C350,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TEXT(COUNTIF($C$2:C350, _xlpm.areaBuscada), "0000"),
    _xlpm.codItem &amp; "-" &amp; _xlpm.codArea &amp; "-" &amp; _xlpm.secuencia
)</f>
        <v>-SinArea-0000</v>
      </c>
      <c r="Q350" s="77"/>
      <c r="R350" s="32"/>
      <c r="S350" s="32"/>
      <c r="T350" s="32"/>
      <c r="U350" s="32"/>
    </row>
    <row r="351" spans="3:21" x14ac:dyDescent="0.3">
      <c r="C351" s="11"/>
      <c r="D351" s="32"/>
      <c r="E351" s="11" t="str" cm="1">
        <f t="array" ref="E351">_xlfn.IFS(
    COUNTIF(Herramientas_eléctricas1862[Herramientas_eléctricas], B351) &gt; 0, Herramientas_eléctricas1862[[#Headers],[Herramientas_eléctricas]],
    COUNTIF(Herramientas_neumáticas1963[Herramientas_neumáticas], B351) &gt; 0, Herramientas_neumáticas1963[[#Headers],[Herramientas_neumáticas]],
    COUNTIF(Herramientas_de_medición2064[Herramientas_de_medición], B351) &gt; 0, Herramientas_de_medición2064[[#Headers],[Herramientas_de_medición]],
    COUNTIF(Herrramientas_mecánicas2165[Herramientas_mecánicas], B351) &gt; 0, Herrramientas_mecánicas2165[[#Headers],[Herramientas_mecánicas]],
    COUNTIF(AK351:AK357, B351) &gt; 0, Herramientas_hidráulicas2266[[#Headers],[Herramientas_hidráulicas]],
    COUNTIF(EPP_2367[SPCC], B351) &gt; 0, EPP_2367[[#Headers],[SPCC]],
   COUNTIF(Herramientas_de_izaje2468[Herramientas_de_izaje], B351) &gt; 0, Herramientas_de_izaje2468[[#Headers],[Herramientas_de_izaje]],
COUNTIF(Tabla162670[Equipos], B351) &gt; 0, Tabla162670[[#Headers],[Equipos]],
    TRUE, "Sin clasificación"
)</f>
        <v>Sin clasificación</v>
      </c>
      <c r="G351" s="15"/>
      <c r="H351" s="47"/>
      <c r="I351" s="87"/>
      <c r="J351" s="78"/>
      <c r="K351" s="78"/>
      <c r="L351" s="78"/>
      <c r="M351" s="78"/>
      <c r="N351" s="76"/>
      <c r="O351" s="76"/>
      <c r="P351" s="78" t="str">
        <f>_xlfn.LET(
    _xlpm.itemBuscado, B351,
    _xlpm.areaBuscada, C351,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TEXT(COUNTIF($C$2:C351, _xlpm.areaBuscada), "0000"),
    _xlpm.codItem &amp; "-" &amp; _xlpm.codArea &amp; "-" &amp; _xlpm.secuencia
)</f>
        <v>-SinArea-0000</v>
      </c>
      <c r="Q351" s="77"/>
      <c r="R351" s="32"/>
      <c r="S351" s="32"/>
      <c r="T351" s="32"/>
      <c r="U351" s="32"/>
    </row>
    <row r="352" spans="3:21" x14ac:dyDescent="0.3">
      <c r="C352" s="11"/>
      <c r="D352" s="32"/>
      <c r="E352" s="11" t="str" cm="1">
        <f t="array" ref="E352">_xlfn.IFS(
    COUNTIF(Herramientas_eléctricas1862[Herramientas_eléctricas], B352) &gt; 0, Herramientas_eléctricas1862[[#Headers],[Herramientas_eléctricas]],
    COUNTIF(Herramientas_neumáticas1963[Herramientas_neumáticas], B352) &gt; 0, Herramientas_neumáticas1963[[#Headers],[Herramientas_neumáticas]],
    COUNTIF(Herramientas_de_medición2064[Herramientas_de_medición], B352) &gt; 0, Herramientas_de_medición2064[[#Headers],[Herramientas_de_medición]],
    COUNTIF(Herrramientas_mecánicas2165[Herramientas_mecánicas], B352) &gt; 0, Herrramientas_mecánicas2165[[#Headers],[Herramientas_mecánicas]],
    COUNTIF(AK352:AK358, B352) &gt; 0, Herramientas_hidráulicas2266[[#Headers],[Herramientas_hidráulicas]],
    COUNTIF(EPP_2367[SPCC], B352) &gt; 0, EPP_2367[[#Headers],[SPCC]],
   COUNTIF(Herramientas_de_izaje2468[Herramientas_de_izaje], B352) &gt; 0, Herramientas_de_izaje2468[[#Headers],[Herramientas_de_izaje]],
COUNTIF(Tabla162670[Equipos], B352) &gt; 0, Tabla162670[[#Headers],[Equipos]],
    TRUE, "Sin clasificación"
)</f>
        <v>Sin clasificación</v>
      </c>
      <c r="G352" s="15"/>
      <c r="H352" s="47"/>
      <c r="I352" s="87"/>
      <c r="J352" s="78"/>
      <c r="K352" s="78"/>
      <c r="L352" s="78"/>
      <c r="M352" s="78"/>
      <c r="N352" s="76"/>
      <c r="O352" s="76"/>
      <c r="P352" s="78" t="str">
        <f>_xlfn.LET(
    _xlpm.itemBuscado, B352,
    _xlpm.areaBuscada, C352,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TEXT(COUNTIF($C$2:C352, _xlpm.areaBuscada), "0000"),
    _xlpm.codItem &amp; "-" &amp; _xlpm.codArea &amp; "-" &amp; _xlpm.secuencia
)</f>
        <v>-SinArea-0000</v>
      </c>
      <c r="Q352" s="77"/>
      <c r="R352" s="32"/>
      <c r="S352" s="32"/>
      <c r="T352" s="32"/>
      <c r="U352" s="32"/>
    </row>
    <row r="353" spans="3:21" x14ac:dyDescent="0.3">
      <c r="C353" s="11"/>
      <c r="D353" s="32"/>
      <c r="E353" s="11" t="str" cm="1">
        <f t="array" ref="E353">_xlfn.IFS(
    COUNTIF(Herramientas_eléctricas1862[Herramientas_eléctricas], B353) &gt; 0, Herramientas_eléctricas1862[[#Headers],[Herramientas_eléctricas]],
    COUNTIF(Herramientas_neumáticas1963[Herramientas_neumáticas], B353) &gt; 0, Herramientas_neumáticas1963[[#Headers],[Herramientas_neumáticas]],
    COUNTIF(Herramientas_de_medición2064[Herramientas_de_medición], B353) &gt; 0, Herramientas_de_medición2064[[#Headers],[Herramientas_de_medición]],
    COUNTIF(Herrramientas_mecánicas2165[Herramientas_mecánicas], B353) &gt; 0, Herrramientas_mecánicas2165[[#Headers],[Herramientas_mecánicas]],
    COUNTIF(AK353:AK359, B353) &gt; 0, Herramientas_hidráulicas2266[[#Headers],[Herramientas_hidráulicas]],
    COUNTIF(EPP_2367[SPCC], B353) &gt; 0, EPP_2367[[#Headers],[SPCC]],
   COUNTIF(Herramientas_de_izaje2468[Herramientas_de_izaje], B353) &gt; 0, Herramientas_de_izaje2468[[#Headers],[Herramientas_de_izaje]],
COUNTIF(Tabla162670[Equipos], B353) &gt; 0, Tabla162670[[#Headers],[Equipos]],
    TRUE, "Sin clasificación"
)</f>
        <v>Sin clasificación</v>
      </c>
      <c r="G353" s="15"/>
      <c r="H353" s="47"/>
      <c r="I353" s="87"/>
      <c r="J353" s="78"/>
      <c r="K353" s="78"/>
      <c r="L353" s="78"/>
      <c r="M353" s="78"/>
      <c r="N353" s="76"/>
      <c r="O353" s="76"/>
      <c r="P353" s="78" t="str">
        <f>_xlfn.LET(
    _xlpm.itemBuscado, B353,
    _xlpm.areaBuscada, C353,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TEXT(COUNTIF($C$2:C353, _xlpm.areaBuscada), "0000"),
    _xlpm.codItem &amp; "-" &amp; _xlpm.codArea &amp; "-" &amp; _xlpm.secuencia
)</f>
        <v>-SinArea-0000</v>
      </c>
      <c r="Q353" s="77"/>
      <c r="R353" s="32"/>
      <c r="S353" s="32"/>
      <c r="T353" s="32"/>
      <c r="U353" s="32"/>
    </row>
    <row r="354" spans="3:21" x14ac:dyDescent="0.3">
      <c r="C354" s="11"/>
      <c r="D354" s="32"/>
      <c r="E354" s="11" t="str" cm="1">
        <f t="array" ref="E354">_xlfn.IFS(
    COUNTIF(Herramientas_eléctricas1862[Herramientas_eléctricas], B354) &gt; 0, Herramientas_eléctricas1862[[#Headers],[Herramientas_eléctricas]],
    COUNTIF(Herramientas_neumáticas1963[Herramientas_neumáticas], B354) &gt; 0, Herramientas_neumáticas1963[[#Headers],[Herramientas_neumáticas]],
    COUNTIF(Herramientas_de_medición2064[Herramientas_de_medición], B354) &gt; 0, Herramientas_de_medición2064[[#Headers],[Herramientas_de_medición]],
    COUNTIF(Herrramientas_mecánicas2165[Herramientas_mecánicas], B354) &gt; 0, Herrramientas_mecánicas2165[[#Headers],[Herramientas_mecánicas]],
    COUNTIF(AK354:AK360, B354) &gt; 0, Herramientas_hidráulicas2266[[#Headers],[Herramientas_hidráulicas]],
    COUNTIF(EPP_2367[SPCC], B354) &gt; 0, EPP_2367[[#Headers],[SPCC]],
   COUNTIF(Herramientas_de_izaje2468[Herramientas_de_izaje], B354) &gt; 0, Herramientas_de_izaje2468[[#Headers],[Herramientas_de_izaje]],
COUNTIF(Tabla162670[Equipos], B354) &gt; 0, Tabla162670[[#Headers],[Equipos]],
    TRUE, "Sin clasificación"
)</f>
        <v>Sin clasificación</v>
      </c>
      <c r="G354" s="15"/>
      <c r="H354" s="47"/>
      <c r="I354" s="87"/>
      <c r="J354" s="78"/>
      <c r="K354" s="78"/>
      <c r="L354" s="78"/>
      <c r="M354" s="78"/>
      <c r="N354" s="76"/>
      <c r="O354" s="76"/>
      <c r="P354" s="78" t="str">
        <f>_xlfn.LET(
    _xlpm.itemBuscado, B354,
    _xlpm.areaBuscada, C354,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TEXT(COUNTIF($C$2:C354, _xlpm.areaBuscada), "0000"),
    _xlpm.codItem &amp; "-" &amp; _xlpm.codArea &amp; "-" &amp; _xlpm.secuencia
)</f>
        <v>-SinArea-0000</v>
      </c>
      <c r="Q354" s="77"/>
      <c r="R354" s="32"/>
      <c r="S354" s="32"/>
      <c r="T354" s="32"/>
      <c r="U354" s="32"/>
    </row>
    <row r="355" spans="3:21" x14ac:dyDescent="0.3">
      <c r="C355" s="11"/>
      <c r="D355" s="32"/>
      <c r="E355" s="11" t="str" cm="1">
        <f t="array" ref="E355">_xlfn.IFS(
    COUNTIF(Herramientas_eléctricas1862[Herramientas_eléctricas], B355) &gt; 0, Herramientas_eléctricas1862[[#Headers],[Herramientas_eléctricas]],
    COUNTIF(Herramientas_neumáticas1963[Herramientas_neumáticas], B355) &gt; 0, Herramientas_neumáticas1963[[#Headers],[Herramientas_neumáticas]],
    COUNTIF(Herramientas_de_medición2064[Herramientas_de_medición], B355) &gt; 0, Herramientas_de_medición2064[[#Headers],[Herramientas_de_medición]],
    COUNTIF(Herrramientas_mecánicas2165[Herramientas_mecánicas], B355) &gt; 0, Herrramientas_mecánicas2165[[#Headers],[Herramientas_mecánicas]],
    COUNTIF(AK355:AK361, B355) &gt; 0, Herramientas_hidráulicas2266[[#Headers],[Herramientas_hidráulicas]],
    COUNTIF(EPP_2367[SPCC], B355) &gt; 0, EPP_2367[[#Headers],[SPCC]],
   COUNTIF(Herramientas_de_izaje2468[Herramientas_de_izaje], B355) &gt; 0, Herramientas_de_izaje2468[[#Headers],[Herramientas_de_izaje]],
COUNTIF(Tabla162670[Equipos], B355) &gt; 0, Tabla162670[[#Headers],[Equipos]],
    TRUE, "Sin clasificación"
)</f>
        <v>Sin clasificación</v>
      </c>
      <c r="G355" s="15"/>
      <c r="H355" s="47"/>
      <c r="I355" s="87"/>
      <c r="J355" s="78"/>
      <c r="K355" s="78"/>
      <c r="L355" s="78"/>
      <c r="M355" s="78"/>
      <c r="N355" s="76"/>
      <c r="O355" s="76"/>
      <c r="P355" s="78" t="str">
        <f>_xlfn.LET(
    _xlpm.itemBuscado, B355,
    _xlpm.areaBuscada, C355,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TEXT(COUNTIF($C$2:C355, _xlpm.areaBuscada), "0000"),
    _xlpm.codItem &amp; "-" &amp; _xlpm.codArea &amp; "-" &amp; _xlpm.secuencia
)</f>
        <v>-SinArea-0000</v>
      </c>
      <c r="Q355" s="77"/>
      <c r="R355" s="32"/>
      <c r="S355" s="32"/>
      <c r="T355" s="32"/>
      <c r="U355" s="32"/>
    </row>
    <row r="356" spans="3:21" x14ac:dyDescent="0.3">
      <c r="C356" s="11"/>
      <c r="D356" s="32"/>
      <c r="E356" s="11" t="str" cm="1">
        <f t="array" ref="E356">_xlfn.IFS(
    COUNTIF(Herramientas_eléctricas1862[Herramientas_eléctricas], B356) &gt; 0, Herramientas_eléctricas1862[[#Headers],[Herramientas_eléctricas]],
    COUNTIF(Herramientas_neumáticas1963[Herramientas_neumáticas], B356) &gt; 0, Herramientas_neumáticas1963[[#Headers],[Herramientas_neumáticas]],
    COUNTIF(Herramientas_de_medición2064[Herramientas_de_medición], B356) &gt; 0, Herramientas_de_medición2064[[#Headers],[Herramientas_de_medición]],
    COUNTIF(Herrramientas_mecánicas2165[Herramientas_mecánicas], B356) &gt; 0, Herrramientas_mecánicas2165[[#Headers],[Herramientas_mecánicas]],
    COUNTIF(AK356:AK362, B356) &gt; 0, Herramientas_hidráulicas2266[[#Headers],[Herramientas_hidráulicas]],
    COUNTIF(EPP_2367[SPCC], B356) &gt; 0, EPP_2367[[#Headers],[SPCC]],
   COUNTIF(Herramientas_de_izaje2468[Herramientas_de_izaje], B356) &gt; 0, Herramientas_de_izaje2468[[#Headers],[Herramientas_de_izaje]],
COUNTIF(Tabla162670[Equipos], B356) &gt; 0, Tabla162670[[#Headers],[Equipos]],
    TRUE, "Sin clasificación"
)</f>
        <v>Sin clasificación</v>
      </c>
      <c r="G356" s="15"/>
      <c r="H356" s="47"/>
      <c r="I356" s="87"/>
      <c r="J356" s="78"/>
      <c r="K356" s="78"/>
      <c r="L356" s="78"/>
      <c r="M356" s="78"/>
      <c r="N356" s="76"/>
      <c r="O356" s="76"/>
      <c r="P356" s="78" t="str">
        <f>_xlfn.LET(
    _xlpm.itemBuscado, B356,
    _xlpm.areaBuscada, C356,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TEXT(COUNTIF($C$2:C356, _xlpm.areaBuscada), "0000"),
    _xlpm.codItem &amp; "-" &amp; _xlpm.codArea &amp; "-" &amp; _xlpm.secuencia
)</f>
        <v>-SinArea-0000</v>
      </c>
      <c r="Q356" s="77"/>
      <c r="R356" s="32"/>
      <c r="S356" s="32"/>
      <c r="T356" s="32"/>
      <c r="U356" s="32"/>
    </row>
    <row r="357" spans="3:21" x14ac:dyDescent="0.3">
      <c r="C357" s="11"/>
      <c r="D357" s="32"/>
      <c r="E357" s="11" t="str" cm="1">
        <f t="array" ref="E357">_xlfn.IFS(
    COUNTIF(Herramientas_eléctricas1862[Herramientas_eléctricas], B357) &gt; 0, Herramientas_eléctricas1862[[#Headers],[Herramientas_eléctricas]],
    COUNTIF(Herramientas_neumáticas1963[Herramientas_neumáticas], B357) &gt; 0, Herramientas_neumáticas1963[[#Headers],[Herramientas_neumáticas]],
    COUNTIF(Herramientas_de_medición2064[Herramientas_de_medición], B357) &gt; 0, Herramientas_de_medición2064[[#Headers],[Herramientas_de_medición]],
    COUNTIF(Herrramientas_mecánicas2165[Herramientas_mecánicas], B357) &gt; 0, Herrramientas_mecánicas2165[[#Headers],[Herramientas_mecánicas]],
    COUNTIF(AK357:AK363, B357) &gt; 0, Herramientas_hidráulicas2266[[#Headers],[Herramientas_hidráulicas]],
    COUNTIF(EPP_2367[SPCC], B357) &gt; 0, EPP_2367[[#Headers],[SPCC]],
   COUNTIF(Herramientas_de_izaje2468[Herramientas_de_izaje], B357) &gt; 0, Herramientas_de_izaje2468[[#Headers],[Herramientas_de_izaje]],
COUNTIF(Tabla162670[Equipos], B357) &gt; 0, Tabla162670[[#Headers],[Equipos]],
    TRUE, "Sin clasificación"
)</f>
        <v>Sin clasificación</v>
      </c>
      <c r="G357" s="15"/>
      <c r="H357" s="47"/>
      <c r="I357" s="87"/>
      <c r="J357" s="78"/>
      <c r="K357" s="78"/>
      <c r="L357" s="78"/>
      <c r="M357" s="78"/>
      <c r="N357" s="76"/>
      <c r="O357" s="76"/>
      <c r="P357" s="78" t="str">
        <f>_xlfn.LET(
    _xlpm.itemBuscado, B357,
    _xlpm.areaBuscada, C357,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TEXT(COUNTIF($C$2:C357, _xlpm.areaBuscada), "0000"),
    _xlpm.codItem &amp; "-" &amp; _xlpm.codArea &amp; "-" &amp; _xlpm.secuencia
)</f>
        <v>-SinArea-0000</v>
      </c>
      <c r="Q357" s="77"/>
      <c r="R357" s="32"/>
      <c r="S357" s="32"/>
      <c r="T357" s="32"/>
      <c r="U357" s="32"/>
    </row>
    <row r="358" spans="3:21" x14ac:dyDescent="0.3">
      <c r="C358" s="11"/>
      <c r="D358" s="32"/>
      <c r="E358" s="11" t="str" cm="1">
        <f t="array" ref="E358">_xlfn.IFS(
    COUNTIF(Herramientas_eléctricas1862[Herramientas_eléctricas], B358) &gt; 0, Herramientas_eléctricas1862[[#Headers],[Herramientas_eléctricas]],
    COUNTIF(Herramientas_neumáticas1963[Herramientas_neumáticas], B358) &gt; 0, Herramientas_neumáticas1963[[#Headers],[Herramientas_neumáticas]],
    COUNTIF(Herramientas_de_medición2064[Herramientas_de_medición], B358) &gt; 0, Herramientas_de_medición2064[[#Headers],[Herramientas_de_medición]],
    COUNTIF(Herrramientas_mecánicas2165[Herramientas_mecánicas], B358) &gt; 0, Herrramientas_mecánicas2165[[#Headers],[Herramientas_mecánicas]],
    COUNTIF(AK358:AK364, B358) &gt; 0, Herramientas_hidráulicas2266[[#Headers],[Herramientas_hidráulicas]],
    COUNTIF(EPP_2367[SPCC], B358) &gt; 0, EPP_2367[[#Headers],[SPCC]],
   COUNTIF(Herramientas_de_izaje2468[Herramientas_de_izaje], B358) &gt; 0, Herramientas_de_izaje2468[[#Headers],[Herramientas_de_izaje]],
COUNTIF(Tabla162670[Equipos], B358) &gt; 0, Tabla162670[[#Headers],[Equipos]],
    TRUE, "Sin clasificación"
)</f>
        <v>Sin clasificación</v>
      </c>
      <c r="G358" s="15"/>
      <c r="H358" s="47"/>
      <c r="I358" s="87"/>
      <c r="J358" s="78"/>
      <c r="K358" s="78"/>
      <c r="L358" s="78"/>
      <c r="M358" s="78"/>
      <c r="N358" s="76"/>
      <c r="O358" s="76"/>
      <c r="P358" s="78" t="str">
        <f>_xlfn.LET(
    _xlpm.itemBuscado, B358,
    _xlpm.areaBuscada, C358,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TEXT(COUNTIF($C$2:C358, _xlpm.areaBuscada), "0000"),
    _xlpm.codItem &amp; "-" &amp; _xlpm.codArea &amp; "-" &amp; _xlpm.secuencia
)</f>
        <v>-SinArea-0000</v>
      </c>
      <c r="Q358" s="77"/>
      <c r="R358" s="32"/>
      <c r="S358" s="32"/>
      <c r="T358" s="32"/>
      <c r="U358" s="32"/>
    </row>
    <row r="359" spans="3:21" x14ac:dyDescent="0.3">
      <c r="C359" s="11"/>
      <c r="D359" s="32"/>
      <c r="E359" s="11" t="str" cm="1">
        <f t="array" ref="E359">_xlfn.IFS(
    COUNTIF(Herramientas_eléctricas1862[Herramientas_eléctricas], B359) &gt; 0, Herramientas_eléctricas1862[[#Headers],[Herramientas_eléctricas]],
    COUNTIF(Herramientas_neumáticas1963[Herramientas_neumáticas], B359) &gt; 0, Herramientas_neumáticas1963[[#Headers],[Herramientas_neumáticas]],
    COUNTIF(Herramientas_de_medición2064[Herramientas_de_medición], B359) &gt; 0, Herramientas_de_medición2064[[#Headers],[Herramientas_de_medición]],
    COUNTIF(Herrramientas_mecánicas2165[Herramientas_mecánicas], B359) &gt; 0, Herrramientas_mecánicas2165[[#Headers],[Herramientas_mecánicas]],
    COUNTIF(AK359:AK365, B359) &gt; 0, Herramientas_hidráulicas2266[[#Headers],[Herramientas_hidráulicas]],
    COUNTIF(EPP_2367[SPCC], B359) &gt; 0, EPP_2367[[#Headers],[SPCC]],
   COUNTIF(Herramientas_de_izaje2468[Herramientas_de_izaje], B359) &gt; 0, Herramientas_de_izaje2468[[#Headers],[Herramientas_de_izaje]],
COUNTIF(Tabla162670[Equipos], B359) &gt; 0, Tabla162670[[#Headers],[Equipos]],
    TRUE, "Sin clasificación"
)</f>
        <v>Sin clasificación</v>
      </c>
      <c r="G359" s="15"/>
      <c r="H359" s="47"/>
      <c r="I359" s="87"/>
      <c r="J359" s="78"/>
      <c r="K359" s="78"/>
      <c r="L359" s="78"/>
      <c r="M359" s="78"/>
      <c r="N359" s="76"/>
      <c r="O359" s="76"/>
      <c r="P359" s="78" t="str">
        <f>_xlfn.LET(
    _xlpm.itemBuscado, B359,
    _xlpm.areaBuscada, C359,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TEXT(COUNTIF($C$2:C359, _xlpm.areaBuscada), "0000"),
    _xlpm.codItem &amp; "-" &amp; _xlpm.codArea &amp; "-" &amp; _xlpm.secuencia
)</f>
        <v>-SinArea-0000</v>
      </c>
      <c r="Q359" s="77"/>
      <c r="R359" s="32"/>
      <c r="S359" s="32"/>
      <c r="T359" s="32"/>
      <c r="U359" s="32"/>
    </row>
    <row r="360" spans="3:21" x14ac:dyDescent="0.3">
      <c r="C360" s="11"/>
      <c r="D360" s="32"/>
      <c r="E360" s="11" t="str" cm="1">
        <f t="array" ref="E360">_xlfn.IFS(
    COUNTIF(Herramientas_eléctricas1862[Herramientas_eléctricas], B360) &gt; 0, Herramientas_eléctricas1862[[#Headers],[Herramientas_eléctricas]],
    COUNTIF(Herramientas_neumáticas1963[Herramientas_neumáticas], B360) &gt; 0, Herramientas_neumáticas1963[[#Headers],[Herramientas_neumáticas]],
    COUNTIF(Herramientas_de_medición2064[Herramientas_de_medición], B360) &gt; 0, Herramientas_de_medición2064[[#Headers],[Herramientas_de_medición]],
    COUNTIF(Herrramientas_mecánicas2165[Herramientas_mecánicas], B360) &gt; 0, Herrramientas_mecánicas2165[[#Headers],[Herramientas_mecánicas]],
    COUNTIF(AK360:AK366, B360) &gt; 0, Herramientas_hidráulicas2266[[#Headers],[Herramientas_hidráulicas]],
    COUNTIF(EPP_2367[SPCC], B360) &gt; 0, EPP_2367[[#Headers],[SPCC]],
   COUNTIF(Herramientas_de_izaje2468[Herramientas_de_izaje], B360) &gt; 0, Herramientas_de_izaje2468[[#Headers],[Herramientas_de_izaje]],
COUNTIF(Tabla162670[Equipos], B360) &gt; 0, Tabla162670[[#Headers],[Equipos]],
    TRUE, "Sin clasificación"
)</f>
        <v>Sin clasificación</v>
      </c>
      <c r="G360" s="15"/>
      <c r="H360" s="47"/>
      <c r="I360" s="87"/>
      <c r="J360" s="78"/>
      <c r="K360" s="78"/>
      <c r="L360" s="78"/>
      <c r="M360" s="78"/>
      <c r="N360" s="76"/>
      <c r="O360" s="76"/>
      <c r="P360" s="78" t="str">
        <f>_xlfn.LET(
    _xlpm.itemBuscado, B360,
    _xlpm.areaBuscada, C360,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TEXT(COUNTIF($C$2:C360, _xlpm.areaBuscada), "0000"),
    _xlpm.codItem &amp; "-" &amp; _xlpm.codArea &amp; "-" &amp; _xlpm.secuencia
)</f>
        <v>-SinArea-0000</v>
      </c>
      <c r="Q360" s="77"/>
      <c r="R360" s="32"/>
      <c r="S360" s="32"/>
      <c r="T360" s="32"/>
      <c r="U360" s="32"/>
    </row>
    <row r="361" spans="3:21" x14ac:dyDescent="0.3">
      <c r="C361" s="11"/>
      <c r="D361" s="32"/>
      <c r="E361" s="11" t="str" cm="1">
        <f t="array" ref="E361">_xlfn.IFS(
    COUNTIF(Herramientas_eléctricas1862[Herramientas_eléctricas], B361) &gt; 0, Herramientas_eléctricas1862[[#Headers],[Herramientas_eléctricas]],
    COUNTIF(Herramientas_neumáticas1963[Herramientas_neumáticas], B361) &gt; 0, Herramientas_neumáticas1963[[#Headers],[Herramientas_neumáticas]],
    COUNTIF(Herramientas_de_medición2064[Herramientas_de_medición], B361) &gt; 0, Herramientas_de_medición2064[[#Headers],[Herramientas_de_medición]],
    COUNTIF(Herrramientas_mecánicas2165[Herramientas_mecánicas], B361) &gt; 0, Herrramientas_mecánicas2165[[#Headers],[Herramientas_mecánicas]],
    COUNTIF(AK361:AK367, B361) &gt; 0, Herramientas_hidráulicas2266[[#Headers],[Herramientas_hidráulicas]],
    COUNTIF(EPP_2367[SPCC], B361) &gt; 0, EPP_2367[[#Headers],[SPCC]],
   COUNTIF(Herramientas_de_izaje2468[Herramientas_de_izaje], B361) &gt; 0, Herramientas_de_izaje2468[[#Headers],[Herramientas_de_izaje]],
COUNTIF(Tabla162670[Equipos], B361) &gt; 0, Tabla162670[[#Headers],[Equipos]],
    TRUE, "Sin clasificación"
)</f>
        <v>Sin clasificación</v>
      </c>
      <c r="G361" s="15"/>
      <c r="H361" s="47"/>
      <c r="I361" s="87"/>
      <c r="J361" s="78"/>
      <c r="K361" s="78"/>
      <c r="L361" s="78"/>
      <c r="M361" s="78"/>
      <c r="N361" s="76"/>
      <c r="O361" s="76"/>
      <c r="P361" s="78" t="str">
        <f>_xlfn.LET(
    _xlpm.itemBuscado, B361,
    _xlpm.areaBuscada, C361,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TEXT(COUNTIF($C$2:C361, _xlpm.areaBuscada), "0000"),
    _xlpm.codItem &amp; "-" &amp; _xlpm.codArea &amp; "-" &amp; _xlpm.secuencia
)</f>
        <v>-SinArea-0000</v>
      </c>
      <c r="Q361" s="77"/>
      <c r="R361" s="32"/>
      <c r="S361" s="32"/>
      <c r="T361" s="32"/>
      <c r="U361" s="32"/>
    </row>
    <row r="362" spans="3:21" x14ac:dyDescent="0.3">
      <c r="C362" s="11"/>
      <c r="D362" s="32"/>
      <c r="E362" s="11" t="str" cm="1">
        <f t="array" ref="E362">_xlfn.IFS(
    COUNTIF(Herramientas_eléctricas1862[Herramientas_eléctricas], B362) &gt; 0, Herramientas_eléctricas1862[[#Headers],[Herramientas_eléctricas]],
    COUNTIF(Herramientas_neumáticas1963[Herramientas_neumáticas], B362) &gt; 0, Herramientas_neumáticas1963[[#Headers],[Herramientas_neumáticas]],
    COUNTIF(Herramientas_de_medición2064[Herramientas_de_medición], B362) &gt; 0, Herramientas_de_medición2064[[#Headers],[Herramientas_de_medición]],
    COUNTIF(Herrramientas_mecánicas2165[Herramientas_mecánicas], B362) &gt; 0, Herrramientas_mecánicas2165[[#Headers],[Herramientas_mecánicas]],
    COUNTIF(AK362:AK368, B362) &gt; 0, Herramientas_hidráulicas2266[[#Headers],[Herramientas_hidráulicas]],
    COUNTIF(EPP_2367[SPCC], B362) &gt; 0, EPP_2367[[#Headers],[SPCC]],
   COUNTIF(Herramientas_de_izaje2468[Herramientas_de_izaje], B362) &gt; 0, Herramientas_de_izaje2468[[#Headers],[Herramientas_de_izaje]],
COUNTIF(Tabla162670[Equipos], B362) &gt; 0, Tabla162670[[#Headers],[Equipos]],
    TRUE, "Sin clasificación"
)</f>
        <v>Sin clasificación</v>
      </c>
      <c r="G362" s="15"/>
      <c r="H362" s="47"/>
      <c r="I362" s="87"/>
      <c r="J362" s="78"/>
      <c r="K362" s="78"/>
      <c r="L362" s="78"/>
      <c r="M362" s="78"/>
      <c r="N362" s="76"/>
      <c r="O362" s="76"/>
      <c r="P362" s="78" t="str">
        <f>_xlfn.LET(
    _xlpm.itemBuscado, B362,
    _xlpm.areaBuscada, C362,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TEXT(COUNTIF($C$2:C362, _xlpm.areaBuscada), "0000"),
    _xlpm.codItem &amp; "-" &amp; _xlpm.codArea &amp; "-" &amp; _xlpm.secuencia
)</f>
        <v>-SinArea-0000</v>
      </c>
      <c r="Q362" s="77"/>
      <c r="R362" s="32"/>
      <c r="S362" s="32"/>
      <c r="T362" s="32"/>
      <c r="U362" s="32"/>
    </row>
    <row r="363" spans="3:21" x14ac:dyDescent="0.3">
      <c r="C363" s="11"/>
      <c r="D363" s="32"/>
      <c r="E363" s="11" t="str" cm="1">
        <f t="array" ref="E363">_xlfn.IFS(
    COUNTIF(Herramientas_eléctricas1862[Herramientas_eléctricas], B363) &gt; 0, Herramientas_eléctricas1862[[#Headers],[Herramientas_eléctricas]],
    COUNTIF(Herramientas_neumáticas1963[Herramientas_neumáticas], B363) &gt; 0, Herramientas_neumáticas1963[[#Headers],[Herramientas_neumáticas]],
    COUNTIF(Herramientas_de_medición2064[Herramientas_de_medición], B363) &gt; 0, Herramientas_de_medición2064[[#Headers],[Herramientas_de_medición]],
    COUNTIF(Herrramientas_mecánicas2165[Herramientas_mecánicas], B363) &gt; 0, Herrramientas_mecánicas2165[[#Headers],[Herramientas_mecánicas]],
    COUNTIF(AK363:AK369, B363) &gt; 0, Herramientas_hidráulicas2266[[#Headers],[Herramientas_hidráulicas]],
    COUNTIF(EPP_2367[SPCC], B363) &gt; 0, EPP_2367[[#Headers],[SPCC]],
   COUNTIF(Herramientas_de_izaje2468[Herramientas_de_izaje], B363) &gt; 0, Herramientas_de_izaje2468[[#Headers],[Herramientas_de_izaje]],
COUNTIF(Tabla162670[Equipos], B363) &gt; 0, Tabla162670[[#Headers],[Equipos]],
    TRUE, "Sin clasificación"
)</f>
        <v>Sin clasificación</v>
      </c>
      <c r="G363" s="15"/>
      <c r="H363" s="47"/>
      <c r="I363" s="87"/>
      <c r="J363" s="78"/>
      <c r="K363" s="78"/>
      <c r="L363" s="78"/>
      <c r="M363" s="78"/>
      <c r="N363" s="76"/>
      <c r="O363" s="76"/>
      <c r="P363" s="78" t="str">
        <f>_xlfn.LET(
    _xlpm.itemBuscado, B363,
    _xlpm.areaBuscada, C363,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TEXT(COUNTIF($C$2:C363, _xlpm.areaBuscada), "0000"),
    _xlpm.codItem &amp; "-" &amp; _xlpm.codArea &amp; "-" &amp; _xlpm.secuencia
)</f>
        <v>-SinArea-0000</v>
      </c>
      <c r="Q363" s="77"/>
      <c r="R363" s="32"/>
      <c r="S363" s="32"/>
      <c r="T363" s="32"/>
      <c r="U363" s="32"/>
    </row>
    <row r="364" spans="3:21" x14ac:dyDescent="0.3">
      <c r="C364" s="11"/>
      <c r="D364" s="32"/>
      <c r="E364" s="11" t="str" cm="1">
        <f t="array" ref="E364">_xlfn.IFS(
    COUNTIF(Herramientas_eléctricas1862[Herramientas_eléctricas], B364) &gt; 0, Herramientas_eléctricas1862[[#Headers],[Herramientas_eléctricas]],
    COUNTIF(Herramientas_neumáticas1963[Herramientas_neumáticas], B364) &gt; 0, Herramientas_neumáticas1963[[#Headers],[Herramientas_neumáticas]],
    COUNTIF(Herramientas_de_medición2064[Herramientas_de_medición], B364) &gt; 0, Herramientas_de_medición2064[[#Headers],[Herramientas_de_medición]],
    COUNTIF(Herrramientas_mecánicas2165[Herramientas_mecánicas], B364) &gt; 0, Herrramientas_mecánicas2165[[#Headers],[Herramientas_mecánicas]],
    COUNTIF(AK364:AK370, B364) &gt; 0, Herramientas_hidráulicas2266[[#Headers],[Herramientas_hidráulicas]],
    COUNTIF(EPP_2367[SPCC], B364) &gt; 0, EPP_2367[[#Headers],[SPCC]],
   COUNTIF(Herramientas_de_izaje2468[Herramientas_de_izaje], B364) &gt; 0, Herramientas_de_izaje2468[[#Headers],[Herramientas_de_izaje]],
COUNTIF(Tabla162670[Equipos], B364) &gt; 0, Tabla162670[[#Headers],[Equipos]],
    TRUE, "Sin clasificación"
)</f>
        <v>Sin clasificación</v>
      </c>
      <c r="G364" s="15"/>
      <c r="H364" s="47"/>
      <c r="I364" s="87"/>
      <c r="J364" s="78"/>
      <c r="K364" s="78"/>
      <c r="L364" s="78"/>
      <c r="M364" s="78"/>
      <c r="N364" s="76"/>
      <c r="O364" s="76"/>
      <c r="P364" s="78" t="str">
        <f>_xlfn.LET(
    _xlpm.itemBuscado, B364,
    _xlpm.areaBuscada, C364,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TEXT(COUNTIF($C$2:C364, _xlpm.areaBuscada), "0000"),
    _xlpm.codItem &amp; "-" &amp; _xlpm.codArea &amp; "-" &amp; _xlpm.secuencia
)</f>
        <v>-SinArea-0000</v>
      </c>
      <c r="Q364" s="77"/>
      <c r="R364" s="32"/>
      <c r="S364" s="32"/>
      <c r="T364" s="32"/>
      <c r="U364" s="32"/>
    </row>
    <row r="365" spans="3:21" x14ac:dyDescent="0.3">
      <c r="C365" s="11"/>
      <c r="D365" s="32"/>
      <c r="E365" s="11" t="str" cm="1">
        <f t="array" ref="E365">_xlfn.IFS(
    COUNTIF(Herramientas_eléctricas1862[Herramientas_eléctricas], B365) &gt; 0, Herramientas_eléctricas1862[[#Headers],[Herramientas_eléctricas]],
    COUNTIF(Herramientas_neumáticas1963[Herramientas_neumáticas], B365) &gt; 0, Herramientas_neumáticas1963[[#Headers],[Herramientas_neumáticas]],
    COUNTIF(Herramientas_de_medición2064[Herramientas_de_medición], B365) &gt; 0, Herramientas_de_medición2064[[#Headers],[Herramientas_de_medición]],
    COUNTIF(Herrramientas_mecánicas2165[Herramientas_mecánicas], B365) &gt; 0, Herrramientas_mecánicas2165[[#Headers],[Herramientas_mecánicas]],
    COUNTIF(AK365:AK371, B365) &gt; 0, Herramientas_hidráulicas2266[[#Headers],[Herramientas_hidráulicas]],
    COUNTIF(EPP_2367[SPCC], B365) &gt; 0, EPP_2367[[#Headers],[SPCC]],
   COUNTIF(Herramientas_de_izaje2468[Herramientas_de_izaje], B365) &gt; 0, Herramientas_de_izaje2468[[#Headers],[Herramientas_de_izaje]],
COUNTIF(Tabla162670[Equipos], B365) &gt; 0, Tabla162670[[#Headers],[Equipos]],
    TRUE, "Sin clasificación"
)</f>
        <v>Sin clasificación</v>
      </c>
      <c r="G365" s="15"/>
      <c r="H365" s="47"/>
      <c r="I365" s="87"/>
      <c r="J365" s="78"/>
      <c r="K365" s="78"/>
      <c r="L365" s="78"/>
      <c r="M365" s="78"/>
      <c r="N365" s="76"/>
      <c r="O365" s="76"/>
      <c r="P365" s="78" t="str">
        <f>_xlfn.LET(
    _xlpm.itemBuscado, B365,
    _xlpm.areaBuscada, C365,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TEXT(COUNTIF($C$2:C365, _xlpm.areaBuscada), "0000"),
    _xlpm.codItem &amp; "-" &amp; _xlpm.codArea &amp; "-" &amp; _xlpm.secuencia
)</f>
        <v>-SinArea-0000</v>
      </c>
      <c r="Q365" s="77"/>
      <c r="R365" s="32"/>
      <c r="S365" s="32"/>
      <c r="T365" s="32"/>
      <c r="U365" s="32"/>
    </row>
    <row r="366" spans="3:21" x14ac:dyDescent="0.3">
      <c r="C366" s="11"/>
      <c r="D366" s="32"/>
      <c r="E366" s="11" t="str" cm="1">
        <f t="array" ref="E366">_xlfn.IFS(
    COUNTIF(Herramientas_eléctricas1862[Herramientas_eléctricas], B366) &gt; 0, Herramientas_eléctricas1862[[#Headers],[Herramientas_eléctricas]],
    COUNTIF(Herramientas_neumáticas1963[Herramientas_neumáticas], B366) &gt; 0, Herramientas_neumáticas1963[[#Headers],[Herramientas_neumáticas]],
    COUNTIF(Herramientas_de_medición2064[Herramientas_de_medición], B366) &gt; 0, Herramientas_de_medición2064[[#Headers],[Herramientas_de_medición]],
    COUNTIF(Herrramientas_mecánicas2165[Herramientas_mecánicas], B366) &gt; 0, Herrramientas_mecánicas2165[[#Headers],[Herramientas_mecánicas]],
    COUNTIF(AK366:AK372, B366) &gt; 0, Herramientas_hidráulicas2266[[#Headers],[Herramientas_hidráulicas]],
    COUNTIF(EPP_2367[SPCC], B366) &gt; 0, EPP_2367[[#Headers],[SPCC]],
   COUNTIF(Herramientas_de_izaje2468[Herramientas_de_izaje], B366) &gt; 0, Herramientas_de_izaje2468[[#Headers],[Herramientas_de_izaje]],
COUNTIF(Tabla162670[Equipos], B366) &gt; 0, Tabla162670[[#Headers],[Equipos]],
    TRUE, "Sin clasificación"
)</f>
        <v>Sin clasificación</v>
      </c>
      <c r="G366" s="15"/>
      <c r="H366" s="47"/>
      <c r="I366" s="87"/>
      <c r="J366" s="78"/>
      <c r="K366" s="78"/>
      <c r="L366" s="78"/>
      <c r="M366" s="78"/>
      <c r="N366" s="76"/>
      <c r="O366" s="76"/>
      <c r="P366" s="78" t="str">
        <f>_xlfn.LET(
    _xlpm.itemBuscado, B366,
    _xlpm.areaBuscada, C366,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TEXT(COUNTIF($C$2:C366, _xlpm.areaBuscada), "0000"),
    _xlpm.codItem &amp; "-" &amp; _xlpm.codArea &amp; "-" &amp; _xlpm.secuencia
)</f>
        <v>-SinArea-0000</v>
      </c>
      <c r="Q366" s="77"/>
      <c r="R366" s="32"/>
      <c r="S366" s="32"/>
      <c r="T366" s="32"/>
      <c r="U366" s="32"/>
    </row>
    <row r="367" spans="3:21" x14ac:dyDescent="0.3">
      <c r="C367" s="11"/>
      <c r="D367" s="32"/>
      <c r="E367" s="11" t="str" cm="1">
        <f t="array" ref="E367">_xlfn.IFS(
    COUNTIF(Herramientas_eléctricas1862[Herramientas_eléctricas], B367) &gt; 0, Herramientas_eléctricas1862[[#Headers],[Herramientas_eléctricas]],
    COUNTIF(Herramientas_neumáticas1963[Herramientas_neumáticas], B367) &gt; 0, Herramientas_neumáticas1963[[#Headers],[Herramientas_neumáticas]],
    COUNTIF(Herramientas_de_medición2064[Herramientas_de_medición], B367) &gt; 0, Herramientas_de_medición2064[[#Headers],[Herramientas_de_medición]],
    COUNTIF(Herrramientas_mecánicas2165[Herramientas_mecánicas], B367) &gt; 0, Herrramientas_mecánicas2165[[#Headers],[Herramientas_mecánicas]],
    COUNTIF(AK367:AK373, B367) &gt; 0, Herramientas_hidráulicas2266[[#Headers],[Herramientas_hidráulicas]],
    COUNTIF(EPP_2367[SPCC], B367) &gt; 0, EPP_2367[[#Headers],[SPCC]],
   COUNTIF(Herramientas_de_izaje2468[Herramientas_de_izaje], B367) &gt; 0, Herramientas_de_izaje2468[[#Headers],[Herramientas_de_izaje]],
COUNTIF(Tabla162670[Equipos], B367) &gt; 0, Tabla162670[[#Headers],[Equipos]],
    TRUE, "Sin clasificación"
)</f>
        <v>Sin clasificación</v>
      </c>
      <c r="G367" s="15"/>
      <c r="H367" s="47"/>
      <c r="I367" s="87"/>
      <c r="J367" s="78"/>
      <c r="K367" s="78"/>
      <c r="L367" s="78"/>
      <c r="M367" s="78"/>
      <c r="N367" s="76"/>
      <c r="O367" s="76"/>
      <c r="P367" s="78" t="str">
        <f>_xlfn.LET(
    _xlpm.itemBuscado, B367,
    _xlpm.areaBuscada, C367,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TEXT(COUNTIF($C$2:C367, _xlpm.areaBuscada), "0000"),
    _xlpm.codItem &amp; "-" &amp; _xlpm.codArea &amp; "-" &amp; _xlpm.secuencia
)</f>
        <v>-SinArea-0000</v>
      </c>
      <c r="Q367" s="77"/>
      <c r="R367" s="32"/>
      <c r="S367" s="32"/>
      <c r="T367" s="32"/>
      <c r="U367" s="32"/>
    </row>
    <row r="368" spans="3:21" x14ac:dyDescent="0.3">
      <c r="C368" s="11"/>
      <c r="D368" s="32"/>
      <c r="E368" s="11" t="str" cm="1">
        <f t="array" ref="E368">_xlfn.IFS(
    COUNTIF(Herramientas_eléctricas1862[Herramientas_eléctricas], B368) &gt; 0, Herramientas_eléctricas1862[[#Headers],[Herramientas_eléctricas]],
    COUNTIF(Herramientas_neumáticas1963[Herramientas_neumáticas], B368) &gt; 0, Herramientas_neumáticas1963[[#Headers],[Herramientas_neumáticas]],
    COUNTIF(Herramientas_de_medición2064[Herramientas_de_medición], B368) &gt; 0, Herramientas_de_medición2064[[#Headers],[Herramientas_de_medición]],
    COUNTIF(Herrramientas_mecánicas2165[Herramientas_mecánicas], B368) &gt; 0, Herrramientas_mecánicas2165[[#Headers],[Herramientas_mecánicas]],
    COUNTIF(AK368:AK374, B368) &gt; 0, Herramientas_hidráulicas2266[[#Headers],[Herramientas_hidráulicas]],
    COUNTIF(EPP_2367[SPCC], B368) &gt; 0, EPP_2367[[#Headers],[SPCC]],
   COUNTIF(Herramientas_de_izaje2468[Herramientas_de_izaje], B368) &gt; 0, Herramientas_de_izaje2468[[#Headers],[Herramientas_de_izaje]],
COUNTIF(Tabla162670[Equipos], B368) &gt; 0, Tabla162670[[#Headers],[Equipos]],
    TRUE, "Sin clasificación"
)</f>
        <v>Sin clasificación</v>
      </c>
      <c r="G368" s="15"/>
      <c r="H368" s="47"/>
      <c r="I368" s="87"/>
      <c r="J368" s="78"/>
      <c r="K368" s="78"/>
      <c r="L368" s="78"/>
      <c r="M368" s="78"/>
      <c r="N368" s="76"/>
      <c r="O368" s="76"/>
      <c r="P368" s="78" t="str">
        <f>_xlfn.LET(
    _xlpm.itemBuscado, B368,
    _xlpm.areaBuscada, C368,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TEXT(COUNTIF($C$2:C368, _xlpm.areaBuscada), "0000"),
    _xlpm.codItem &amp; "-" &amp; _xlpm.codArea &amp; "-" &amp; _xlpm.secuencia
)</f>
        <v>-SinArea-0000</v>
      </c>
      <c r="Q368" s="77"/>
      <c r="R368" s="32"/>
      <c r="S368" s="32"/>
      <c r="T368" s="32"/>
      <c r="U368" s="32"/>
    </row>
    <row r="369" spans="3:21" x14ac:dyDescent="0.3">
      <c r="C369" s="11"/>
      <c r="D369" s="32"/>
      <c r="E369" s="11" t="str" cm="1">
        <f t="array" ref="E369">_xlfn.IFS(
    COUNTIF(Herramientas_eléctricas1862[Herramientas_eléctricas], B369) &gt; 0, Herramientas_eléctricas1862[[#Headers],[Herramientas_eléctricas]],
    COUNTIF(Herramientas_neumáticas1963[Herramientas_neumáticas], B369) &gt; 0, Herramientas_neumáticas1963[[#Headers],[Herramientas_neumáticas]],
    COUNTIF(Herramientas_de_medición2064[Herramientas_de_medición], B369) &gt; 0, Herramientas_de_medición2064[[#Headers],[Herramientas_de_medición]],
    COUNTIF(Herrramientas_mecánicas2165[Herramientas_mecánicas], B369) &gt; 0, Herrramientas_mecánicas2165[[#Headers],[Herramientas_mecánicas]],
    COUNTIF(AK369:AK375, B369) &gt; 0, Herramientas_hidráulicas2266[[#Headers],[Herramientas_hidráulicas]],
    COUNTIF(EPP_2367[SPCC], B369) &gt; 0, EPP_2367[[#Headers],[SPCC]],
   COUNTIF(Herramientas_de_izaje2468[Herramientas_de_izaje], B369) &gt; 0, Herramientas_de_izaje2468[[#Headers],[Herramientas_de_izaje]],
COUNTIF(Tabla162670[Equipos], B369) &gt; 0, Tabla162670[[#Headers],[Equipos]],
    TRUE, "Sin clasificación"
)</f>
        <v>Sin clasificación</v>
      </c>
      <c r="G369" s="15"/>
      <c r="H369" s="47"/>
      <c r="I369" s="87"/>
      <c r="J369" s="78"/>
      <c r="K369" s="78"/>
      <c r="L369" s="78"/>
      <c r="M369" s="78"/>
      <c r="N369" s="76"/>
      <c r="O369" s="76"/>
      <c r="P369" s="78" t="str">
        <f>_xlfn.LET(
    _xlpm.itemBuscado, B369,
    _xlpm.areaBuscada, C369,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TEXT(COUNTIF($C$2:C369, _xlpm.areaBuscada), "0000"),
    _xlpm.codItem &amp; "-" &amp; _xlpm.codArea &amp; "-" &amp; _xlpm.secuencia
)</f>
        <v>-SinArea-0000</v>
      </c>
      <c r="Q369" s="77"/>
      <c r="R369" s="32"/>
      <c r="S369" s="32"/>
      <c r="T369" s="32"/>
      <c r="U369" s="32"/>
    </row>
    <row r="370" spans="3:21" x14ac:dyDescent="0.3">
      <c r="C370" s="11"/>
      <c r="D370" s="32"/>
      <c r="E370" s="11" t="str" cm="1">
        <f t="array" ref="E370">_xlfn.IFS(
    COUNTIF(Herramientas_eléctricas1862[Herramientas_eléctricas], B370) &gt; 0, Herramientas_eléctricas1862[[#Headers],[Herramientas_eléctricas]],
    COUNTIF(Herramientas_neumáticas1963[Herramientas_neumáticas], B370) &gt; 0, Herramientas_neumáticas1963[[#Headers],[Herramientas_neumáticas]],
    COUNTIF(Herramientas_de_medición2064[Herramientas_de_medición], B370) &gt; 0, Herramientas_de_medición2064[[#Headers],[Herramientas_de_medición]],
    COUNTIF(Herrramientas_mecánicas2165[Herramientas_mecánicas], B370) &gt; 0, Herrramientas_mecánicas2165[[#Headers],[Herramientas_mecánicas]],
    COUNTIF(AK370:AK376, B370) &gt; 0, Herramientas_hidráulicas2266[[#Headers],[Herramientas_hidráulicas]],
    COUNTIF(EPP_2367[SPCC], B370) &gt; 0, EPP_2367[[#Headers],[SPCC]],
   COUNTIF(Herramientas_de_izaje2468[Herramientas_de_izaje], B370) &gt; 0, Herramientas_de_izaje2468[[#Headers],[Herramientas_de_izaje]],
COUNTIF(Tabla162670[Equipos], B370) &gt; 0, Tabla162670[[#Headers],[Equipos]],
    TRUE, "Sin clasificación"
)</f>
        <v>Sin clasificación</v>
      </c>
      <c r="G370" s="15"/>
      <c r="H370" s="47"/>
      <c r="I370" s="87"/>
      <c r="J370" s="78"/>
      <c r="K370" s="78"/>
      <c r="L370" s="78"/>
      <c r="M370" s="78"/>
      <c r="N370" s="76"/>
      <c r="O370" s="76"/>
      <c r="P370" s="78" t="str">
        <f>_xlfn.LET(
    _xlpm.itemBuscado, B370,
    _xlpm.areaBuscada, C370,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TEXT(COUNTIF($C$2:C370, _xlpm.areaBuscada), "0000"),
    _xlpm.codItem &amp; "-" &amp; _xlpm.codArea &amp; "-" &amp; _xlpm.secuencia
)</f>
        <v>-SinArea-0000</v>
      </c>
      <c r="Q370" s="77"/>
      <c r="R370" s="32"/>
      <c r="S370" s="32"/>
      <c r="T370" s="32"/>
      <c r="U370" s="32"/>
    </row>
    <row r="371" spans="3:21" x14ac:dyDescent="0.3">
      <c r="C371" s="11"/>
      <c r="D371" s="32"/>
      <c r="E371" s="11" t="str" cm="1">
        <f t="array" ref="E371">_xlfn.IFS(
    COUNTIF(Herramientas_eléctricas1862[Herramientas_eléctricas], B371) &gt; 0, Herramientas_eléctricas1862[[#Headers],[Herramientas_eléctricas]],
    COUNTIF(Herramientas_neumáticas1963[Herramientas_neumáticas], B371) &gt; 0, Herramientas_neumáticas1963[[#Headers],[Herramientas_neumáticas]],
    COUNTIF(Herramientas_de_medición2064[Herramientas_de_medición], B371) &gt; 0, Herramientas_de_medición2064[[#Headers],[Herramientas_de_medición]],
    COUNTIF(Herrramientas_mecánicas2165[Herramientas_mecánicas], B371) &gt; 0, Herrramientas_mecánicas2165[[#Headers],[Herramientas_mecánicas]],
    COUNTIF(AK371:AK377, B371) &gt; 0, Herramientas_hidráulicas2266[[#Headers],[Herramientas_hidráulicas]],
    COUNTIF(EPP_2367[SPCC], B371) &gt; 0, EPP_2367[[#Headers],[SPCC]],
   COUNTIF(Herramientas_de_izaje2468[Herramientas_de_izaje], B371) &gt; 0, Herramientas_de_izaje2468[[#Headers],[Herramientas_de_izaje]],
COUNTIF(Tabla162670[Equipos], B371) &gt; 0, Tabla162670[[#Headers],[Equipos]],
    TRUE, "Sin clasificación"
)</f>
        <v>Sin clasificación</v>
      </c>
      <c r="G371" s="15"/>
      <c r="H371" s="47"/>
      <c r="I371" s="87"/>
      <c r="J371" s="78"/>
      <c r="K371" s="78"/>
      <c r="L371" s="78"/>
      <c r="M371" s="78"/>
      <c r="N371" s="76"/>
      <c r="O371" s="76"/>
      <c r="P371" s="78" t="str">
        <f>_xlfn.LET(
    _xlpm.itemBuscado, B371,
    _xlpm.areaBuscada, C371,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TEXT(COUNTIF($C$2:C371, _xlpm.areaBuscada), "0000"),
    _xlpm.codItem &amp; "-" &amp; _xlpm.codArea &amp; "-" &amp; _xlpm.secuencia
)</f>
        <v>-SinArea-0000</v>
      </c>
      <c r="Q371" s="77"/>
      <c r="R371" s="32"/>
      <c r="S371" s="32"/>
      <c r="T371" s="32"/>
      <c r="U371" s="32"/>
    </row>
    <row r="372" spans="3:21" x14ac:dyDescent="0.3">
      <c r="C372" s="11"/>
      <c r="D372" s="32"/>
      <c r="E372" s="11" t="str" cm="1">
        <f t="array" ref="E372">_xlfn.IFS(
    COUNTIF(Herramientas_eléctricas1862[Herramientas_eléctricas], B372) &gt; 0, Herramientas_eléctricas1862[[#Headers],[Herramientas_eléctricas]],
    COUNTIF(Herramientas_neumáticas1963[Herramientas_neumáticas], B372) &gt; 0, Herramientas_neumáticas1963[[#Headers],[Herramientas_neumáticas]],
    COUNTIF(Herramientas_de_medición2064[Herramientas_de_medición], B372) &gt; 0, Herramientas_de_medición2064[[#Headers],[Herramientas_de_medición]],
    COUNTIF(Herrramientas_mecánicas2165[Herramientas_mecánicas], B372) &gt; 0, Herrramientas_mecánicas2165[[#Headers],[Herramientas_mecánicas]],
    COUNTIF(AK372:AK378, B372) &gt; 0, Herramientas_hidráulicas2266[[#Headers],[Herramientas_hidráulicas]],
    COUNTIF(EPP_2367[SPCC], B372) &gt; 0, EPP_2367[[#Headers],[SPCC]],
   COUNTIF(Herramientas_de_izaje2468[Herramientas_de_izaje], B372) &gt; 0, Herramientas_de_izaje2468[[#Headers],[Herramientas_de_izaje]],
COUNTIF(Tabla162670[Equipos], B372) &gt; 0, Tabla162670[[#Headers],[Equipos]],
    TRUE, "Sin clasificación"
)</f>
        <v>Sin clasificación</v>
      </c>
      <c r="G372" s="15"/>
      <c r="H372" s="47"/>
      <c r="I372" s="87"/>
      <c r="J372" s="78"/>
      <c r="K372" s="78"/>
      <c r="L372" s="78"/>
      <c r="M372" s="78"/>
      <c r="N372" s="76"/>
      <c r="O372" s="76"/>
      <c r="P372" s="78" t="str">
        <f>_xlfn.LET(
    _xlpm.itemBuscado, B372,
    _xlpm.areaBuscada, C372,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TEXT(COUNTIF($C$2:C372, _xlpm.areaBuscada), "0000"),
    _xlpm.codItem &amp; "-" &amp; _xlpm.codArea &amp; "-" &amp; _xlpm.secuencia
)</f>
        <v>-SinArea-0000</v>
      </c>
      <c r="Q372" s="77"/>
      <c r="R372" s="32"/>
      <c r="S372" s="32"/>
      <c r="T372" s="32"/>
      <c r="U372" s="32"/>
    </row>
    <row r="373" spans="3:21" x14ac:dyDescent="0.3">
      <c r="C373" s="11"/>
      <c r="D373" s="32"/>
      <c r="E373" s="11" t="str" cm="1">
        <f t="array" ref="E373">_xlfn.IFS(
    COUNTIF(Herramientas_eléctricas1862[Herramientas_eléctricas], B373) &gt; 0, Herramientas_eléctricas1862[[#Headers],[Herramientas_eléctricas]],
    COUNTIF(Herramientas_neumáticas1963[Herramientas_neumáticas], B373) &gt; 0, Herramientas_neumáticas1963[[#Headers],[Herramientas_neumáticas]],
    COUNTIF(Herramientas_de_medición2064[Herramientas_de_medición], B373) &gt; 0, Herramientas_de_medición2064[[#Headers],[Herramientas_de_medición]],
    COUNTIF(Herrramientas_mecánicas2165[Herramientas_mecánicas], B373) &gt; 0, Herrramientas_mecánicas2165[[#Headers],[Herramientas_mecánicas]],
    COUNTIF(AK373:AK379, B373) &gt; 0, Herramientas_hidráulicas2266[[#Headers],[Herramientas_hidráulicas]],
    COUNTIF(EPP_2367[SPCC], B373) &gt; 0, EPP_2367[[#Headers],[SPCC]],
   COUNTIF(Herramientas_de_izaje2468[Herramientas_de_izaje], B373) &gt; 0, Herramientas_de_izaje2468[[#Headers],[Herramientas_de_izaje]],
COUNTIF(Tabla162670[Equipos], B373) &gt; 0, Tabla162670[[#Headers],[Equipos]],
    TRUE, "Sin clasificación"
)</f>
        <v>Sin clasificación</v>
      </c>
      <c r="G373" s="15"/>
      <c r="H373" s="47"/>
      <c r="I373" s="87"/>
      <c r="J373" s="78"/>
      <c r="K373" s="78"/>
      <c r="L373" s="78"/>
      <c r="M373" s="78"/>
      <c r="N373" s="76"/>
      <c r="O373" s="76"/>
      <c r="P373" s="78" t="str">
        <f>_xlfn.LET(
    _xlpm.itemBuscado, B373,
    _xlpm.areaBuscada, C373,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TEXT(COUNTIF($C$2:C373, _xlpm.areaBuscada), "0000"),
    _xlpm.codItem &amp; "-" &amp; _xlpm.codArea &amp; "-" &amp; _xlpm.secuencia
)</f>
        <v>-SinArea-0000</v>
      </c>
      <c r="Q373" s="77"/>
      <c r="R373" s="32"/>
      <c r="S373" s="32"/>
      <c r="T373" s="32"/>
      <c r="U373" s="32"/>
    </row>
    <row r="374" spans="3:21" x14ac:dyDescent="0.3">
      <c r="C374" s="11"/>
      <c r="D374" s="32"/>
      <c r="E374" s="11" t="str" cm="1">
        <f t="array" ref="E374">_xlfn.IFS(
    COUNTIF(Herramientas_eléctricas1862[Herramientas_eléctricas], B374) &gt; 0, Herramientas_eléctricas1862[[#Headers],[Herramientas_eléctricas]],
    COUNTIF(Herramientas_neumáticas1963[Herramientas_neumáticas], B374) &gt; 0, Herramientas_neumáticas1963[[#Headers],[Herramientas_neumáticas]],
    COUNTIF(Herramientas_de_medición2064[Herramientas_de_medición], B374) &gt; 0, Herramientas_de_medición2064[[#Headers],[Herramientas_de_medición]],
    COUNTIF(Herrramientas_mecánicas2165[Herramientas_mecánicas], B374) &gt; 0, Herrramientas_mecánicas2165[[#Headers],[Herramientas_mecánicas]],
    COUNTIF(AK374:AK380, B374) &gt; 0, Herramientas_hidráulicas2266[[#Headers],[Herramientas_hidráulicas]],
    COUNTIF(EPP_2367[SPCC], B374) &gt; 0, EPP_2367[[#Headers],[SPCC]],
   COUNTIF(Herramientas_de_izaje2468[Herramientas_de_izaje], B374) &gt; 0, Herramientas_de_izaje2468[[#Headers],[Herramientas_de_izaje]],
COUNTIF(Tabla162670[Equipos], B374) &gt; 0, Tabla162670[[#Headers],[Equipos]],
    TRUE, "Sin clasificación"
)</f>
        <v>Sin clasificación</v>
      </c>
      <c r="G374" s="15"/>
      <c r="H374" s="47"/>
      <c r="I374" s="87"/>
      <c r="J374" s="78"/>
      <c r="K374" s="78"/>
      <c r="L374" s="78"/>
      <c r="M374" s="78"/>
      <c r="N374" s="76"/>
      <c r="O374" s="76"/>
      <c r="P374" s="78" t="str">
        <f>_xlfn.LET(
    _xlpm.itemBuscado, B374,
    _xlpm.areaBuscada, C374,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TEXT(COUNTIF($C$2:C374, _xlpm.areaBuscada), "0000"),
    _xlpm.codItem &amp; "-" &amp; _xlpm.codArea &amp; "-" &amp; _xlpm.secuencia
)</f>
        <v>-SinArea-0000</v>
      </c>
      <c r="Q374" s="77"/>
      <c r="R374" s="32"/>
      <c r="S374" s="32"/>
      <c r="T374" s="32"/>
      <c r="U374" s="32"/>
    </row>
    <row r="375" spans="3:21" x14ac:dyDescent="0.3">
      <c r="C375" s="11"/>
      <c r="D375" s="32"/>
      <c r="E375" s="11" t="str" cm="1">
        <f t="array" ref="E375">_xlfn.IFS(
    COUNTIF(Herramientas_eléctricas1862[Herramientas_eléctricas], B375) &gt; 0, Herramientas_eléctricas1862[[#Headers],[Herramientas_eléctricas]],
    COUNTIF(Herramientas_neumáticas1963[Herramientas_neumáticas], B375) &gt; 0, Herramientas_neumáticas1963[[#Headers],[Herramientas_neumáticas]],
    COUNTIF(Herramientas_de_medición2064[Herramientas_de_medición], B375) &gt; 0, Herramientas_de_medición2064[[#Headers],[Herramientas_de_medición]],
    COUNTIF(Herrramientas_mecánicas2165[Herramientas_mecánicas], B375) &gt; 0, Herrramientas_mecánicas2165[[#Headers],[Herramientas_mecánicas]],
    COUNTIF(AK375:AK381, B375) &gt; 0, Herramientas_hidráulicas2266[[#Headers],[Herramientas_hidráulicas]],
    COUNTIF(EPP_2367[SPCC], B375) &gt; 0, EPP_2367[[#Headers],[SPCC]],
   COUNTIF(Herramientas_de_izaje2468[Herramientas_de_izaje], B375) &gt; 0, Herramientas_de_izaje2468[[#Headers],[Herramientas_de_izaje]],
COUNTIF(Tabla162670[Equipos], B375) &gt; 0, Tabla162670[[#Headers],[Equipos]],
    TRUE, "Sin clasificación"
)</f>
        <v>Sin clasificación</v>
      </c>
      <c r="G375" s="15"/>
      <c r="H375" s="47"/>
      <c r="I375" s="87"/>
      <c r="J375" s="78"/>
      <c r="K375" s="78"/>
      <c r="L375" s="78"/>
      <c r="M375" s="78"/>
      <c r="N375" s="76"/>
      <c r="O375" s="76"/>
      <c r="P375" s="78" t="str">
        <f>_xlfn.LET(
    _xlpm.itemBuscado, B375,
    _xlpm.areaBuscada, C375,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TEXT(COUNTIF($C$2:C375, _xlpm.areaBuscada), "0000"),
    _xlpm.codItem &amp; "-" &amp; _xlpm.codArea &amp; "-" &amp; _xlpm.secuencia
)</f>
        <v>-SinArea-0000</v>
      </c>
      <c r="Q375" s="77"/>
      <c r="R375" s="32"/>
      <c r="S375" s="32"/>
      <c r="T375" s="32"/>
      <c r="U375" s="32"/>
    </row>
    <row r="376" spans="3:21" x14ac:dyDescent="0.3">
      <c r="C376" s="11"/>
      <c r="D376" s="32"/>
      <c r="E376" s="11" t="str" cm="1">
        <f t="array" ref="E376">_xlfn.IFS(
    COUNTIF(Herramientas_eléctricas1862[Herramientas_eléctricas], B376) &gt; 0, Herramientas_eléctricas1862[[#Headers],[Herramientas_eléctricas]],
    COUNTIF(Herramientas_neumáticas1963[Herramientas_neumáticas], B376) &gt; 0, Herramientas_neumáticas1963[[#Headers],[Herramientas_neumáticas]],
    COUNTIF(Herramientas_de_medición2064[Herramientas_de_medición], B376) &gt; 0, Herramientas_de_medición2064[[#Headers],[Herramientas_de_medición]],
    COUNTIF(Herrramientas_mecánicas2165[Herramientas_mecánicas], B376) &gt; 0, Herrramientas_mecánicas2165[[#Headers],[Herramientas_mecánicas]],
    COUNTIF(AK376:AK382, B376) &gt; 0, Herramientas_hidráulicas2266[[#Headers],[Herramientas_hidráulicas]],
    COUNTIF(EPP_2367[SPCC], B376) &gt; 0, EPP_2367[[#Headers],[SPCC]],
   COUNTIF(Herramientas_de_izaje2468[Herramientas_de_izaje], B376) &gt; 0, Herramientas_de_izaje2468[[#Headers],[Herramientas_de_izaje]],
COUNTIF(Tabla162670[Equipos], B376) &gt; 0, Tabla162670[[#Headers],[Equipos]],
    TRUE, "Sin clasificación"
)</f>
        <v>Sin clasificación</v>
      </c>
      <c r="G376" s="15"/>
      <c r="H376" s="47"/>
      <c r="I376" s="87"/>
      <c r="J376" s="78"/>
      <c r="K376" s="78"/>
      <c r="L376" s="78"/>
      <c r="M376" s="78"/>
      <c r="N376" s="76"/>
      <c r="O376" s="76"/>
      <c r="P376" s="78" t="str">
        <f>_xlfn.LET(
    _xlpm.itemBuscado, B376,
    _xlpm.areaBuscada, C376,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TEXT(COUNTIF($C$2:C376, _xlpm.areaBuscada), "0000"),
    _xlpm.codItem &amp; "-" &amp; _xlpm.codArea &amp; "-" &amp; _xlpm.secuencia
)</f>
        <v>-SinArea-0000</v>
      </c>
      <c r="Q376" s="77"/>
      <c r="R376" s="32"/>
      <c r="S376" s="32"/>
      <c r="T376" s="32"/>
      <c r="U376" s="32"/>
    </row>
    <row r="377" spans="3:21" x14ac:dyDescent="0.3">
      <c r="C377" s="11"/>
      <c r="D377" s="32"/>
      <c r="E377" s="11" t="str" cm="1">
        <f t="array" ref="E377">_xlfn.IFS(
    COUNTIF(Herramientas_eléctricas1862[Herramientas_eléctricas], B377) &gt; 0, Herramientas_eléctricas1862[[#Headers],[Herramientas_eléctricas]],
    COUNTIF(Herramientas_neumáticas1963[Herramientas_neumáticas], B377) &gt; 0, Herramientas_neumáticas1963[[#Headers],[Herramientas_neumáticas]],
    COUNTIF(Herramientas_de_medición2064[Herramientas_de_medición], B377) &gt; 0, Herramientas_de_medición2064[[#Headers],[Herramientas_de_medición]],
    COUNTIF(Herrramientas_mecánicas2165[Herramientas_mecánicas], B377) &gt; 0, Herrramientas_mecánicas2165[[#Headers],[Herramientas_mecánicas]],
    COUNTIF(AK377:AK383, B377) &gt; 0, Herramientas_hidráulicas2266[[#Headers],[Herramientas_hidráulicas]],
    COUNTIF(EPP_2367[SPCC], B377) &gt; 0, EPP_2367[[#Headers],[SPCC]],
   COUNTIF(Herramientas_de_izaje2468[Herramientas_de_izaje], B377) &gt; 0, Herramientas_de_izaje2468[[#Headers],[Herramientas_de_izaje]],
COUNTIF(Tabla162670[Equipos], B377) &gt; 0, Tabla162670[[#Headers],[Equipos]],
    TRUE, "Sin clasificación"
)</f>
        <v>Sin clasificación</v>
      </c>
      <c r="G377" s="15"/>
      <c r="H377" s="47"/>
      <c r="I377" s="87"/>
      <c r="J377" s="78"/>
      <c r="K377" s="78"/>
      <c r="L377" s="78"/>
      <c r="M377" s="78"/>
      <c r="N377" s="76"/>
      <c r="O377" s="76"/>
      <c r="P377" s="78" t="str">
        <f>_xlfn.LET(
    _xlpm.itemBuscado, B377,
    _xlpm.areaBuscada, C377,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TEXT(COUNTIF($C$2:C377, _xlpm.areaBuscada), "0000"),
    _xlpm.codItem &amp; "-" &amp; _xlpm.codArea &amp; "-" &amp; _xlpm.secuencia
)</f>
        <v>-SinArea-0000</v>
      </c>
      <c r="Q377" s="77"/>
      <c r="R377" s="32"/>
      <c r="S377" s="32"/>
      <c r="T377" s="32"/>
      <c r="U377" s="32"/>
    </row>
    <row r="378" spans="3:21" x14ac:dyDescent="0.3">
      <c r="C378" s="11"/>
      <c r="D378" s="32"/>
      <c r="E378" s="11" t="str" cm="1">
        <f t="array" ref="E378">_xlfn.IFS(
    COUNTIF(Herramientas_eléctricas1862[Herramientas_eléctricas], B378) &gt; 0, Herramientas_eléctricas1862[[#Headers],[Herramientas_eléctricas]],
    COUNTIF(Herramientas_neumáticas1963[Herramientas_neumáticas], B378) &gt; 0, Herramientas_neumáticas1963[[#Headers],[Herramientas_neumáticas]],
    COUNTIF(Herramientas_de_medición2064[Herramientas_de_medición], B378) &gt; 0, Herramientas_de_medición2064[[#Headers],[Herramientas_de_medición]],
    COUNTIF(Herrramientas_mecánicas2165[Herramientas_mecánicas], B378) &gt; 0, Herrramientas_mecánicas2165[[#Headers],[Herramientas_mecánicas]],
    COUNTIF(AK378:AK384, B378) &gt; 0, Herramientas_hidráulicas2266[[#Headers],[Herramientas_hidráulicas]],
    COUNTIF(EPP_2367[SPCC], B378) &gt; 0, EPP_2367[[#Headers],[SPCC]],
   COUNTIF(Herramientas_de_izaje2468[Herramientas_de_izaje], B378) &gt; 0, Herramientas_de_izaje2468[[#Headers],[Herramientas_de_izaje]],
COUNTIF(Tabla162670[Equipos], B378) &gt; 0, Tabla162670[[#Headers],[Equipos]],
    TRUE, "Sin clasificación"
)</f>
        <v>Sin clasificación</v>
      </c>
      <c r="G378" s="15"/>
      <c r="H378" s="47"/>
      <c r="I378" s="87"/>
      <c r="J378" s="78"/>
      <c r="K378" s="78"/>
      <c r="L378" s="78"/>
      <c r="M378" s="78"/>
      <c r="N378" s="76"/>
      <c r="O378" s="76"/>
      <c r="P378" s="78" t="str">
        <f>_xlfn.LET(
    _xlpm.itemBuscado, B378,
    _xlpm.areaBuscada, C378,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TEXT(COUNTIF($C$2:C378, _xlpm.areaBuscada), "0000"),
    _xlpm.codItem &amp; "-" &amp; _xlpm.codArea &amp; "-" &amp; _xlpm.secuencia
)</f>
        <v>-SinArea-0000</v>
      </c>
      <c r="Q378" s="77"/>
      <c r="R378" s="32"/>
      <c r="S378" s="32"/>
      <c r="T378" s="32"/>
      <c r="U378" s="32"/>
    </row>
    <row r="379" spans="3:21" x14ac:dyDescent="0.3">
      <c r="C379" s="11"/>
      <c r="D379" s="32"/>
      <c r="E379" s="11" t="str" cm="1">
        <f t="array" ref="E379">_xlfn.IFS(
    COUNTIF(Herramientas_eléctricas1862[Herramientas_eléctricas], B379) &gt; 0, Herramientas_eléctricas1862[[#Headers],[Herramientas_eléctricas]],
    COUNTIF(Herramientas_neumáticas1963[Herramientas_neumáticas], B379) &gt; 0, Herramientas_neumáticas1963[[#Headers],[Herramientas_neumáticas]],
    COUNTIF(Herramientas_de_medición2064[Herramientas_de_medición], B379) &gt; 0, Herramientas_de_medición2064[[#Headers],[Herramientas_de_medición]],
    COUNTIF(Herrramientas_mecánicas2165[Herramientas_mecánicas], B379) &gt; 0, Herrramientas_mecánicas2165[[#Headers],[Herramientas_mecánicas]],
    COUNTIF(AK379:AK385, B379) &gt; 0, Herramientas_hidráulicas2266[[#Headers],[Herramientas_hidráulicas]],
    COUNTIF(EPP_2367[SPCC], B379) &gt; 0, EPP_2367[[#Headers],[SPCC]],
   COUNTIF(Herramientas_de_izaje2468[Herramientas_de_izaje], B379) &gt; 0, Herramientas_de_izaje2468[[#Headers],[Herramientas_de_izaje]],
COUNTIF(Tabla162670[Equipos], B379) &gt; 0, Tabla162670[[#Headers],[Equipos]],
    TRUE, "Sin clasificación"
)</f>
        <v>Sin clasificación</v>
      </c>
      <c r="G379" s="15"/>
      <c r="H379" s="47"/>
      <c r="I379" s="87"/>
      <c r="J379" s="78"/>
      <c r="K379" s="78"/>
      <c r="L379" s="78"/>
      <c r="M379" s="78"/>
      <c r="N379" s="76"/>
      <c r="O379" s="76"/>
      <c r="P379" s="78" t="str">
        <f>_xlfn.LET(
    _xlpm.itemBuscado, B379,
    _xlpm.areaBuscada, C379,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TEXT(COUNTIF($C$2:C379, _xlpm.areaBuscada), "0000"),
    _xlpm.codItem &amp; "-" &amp; _xlpm.codArea &amp; "-" &amp; _xlpm.secuencia
)</f>
        <v>-SinArea-0000</v>
      </c>
      <c r="Q379" s="77"/>
      <c r="R379" s="32"/>
      <c r="S379" s="32"/>
      <c r="T379" s="32"/>
      <c r="U379" s="32"/>
    </row>
    <row r="380" spans="3:21" x14ac:dyDescent="0.3">
      <c r="C380" s="11"/>
      <c r="D380" s="32"/>
      <c r="E380" s="11" t="str" cm="1">
        <f t="array" ref="E380">_xlfn.IFS(
    COUNTIF(Herramientas_eléctricas1862[Herramientas_eléctricas], B380) &gt; 0, Herramientas_eléctricas1862[[#Headers],[Herramientas_eléctricas]],
    COUNTIF(Herramientas_neumáticas1963[Herramientas_neumáticas], B380) &gt; 0, Herramientas_neumáticas1963[[#Headers],[Herramientas_neumáticas]],
    COUNTIF(Herramientas_de_medición2064[Herramientas_de_medición], B380) &gt; 0, Herramientas_de_medición2064[[#Headers],[Herramientas_de_medición]],
    COUNTIF(Herrramientas_mecánicas2165[Herramientas_mecánicas], B380) &gt; 0, Herrramientas_mecánicas2165[[#Headers],[Herramientas_mecánicas]],
    COUNTIF(AK380:AK386, B380) &gt; 0, Herramientas_hidráulicas2266[[#Headers],[Herramientas_hidráulicas]],
    COUNTIF(EPP_2367[SPCC], B380) &gt; 0, EPP_2367[[#Headers],[SPCC]],
   COUNTIF(Herramientas_de_izaje2468[Herramientas_de_izaje], B380) &gt; 0, Herramientas_de_izaje2468[[#Headers],[Herramientas_de_izaje]],
COUNTIF(Tabla162670[Equipos], B380) &gt; 0, Tabla162670[[#Headers],[Equipos]],
    TRUE, "Sin clasificación"
)</f>
        <v>Sin clasificación</v>
      </c>
      <c r="G380" s="15"/>
      <c r="H380" s="47"/>
      <c r="I380" s="87"/>
      <c r="J380" s="78"/>
      <c r="K380" s="78"/>
      <c r="L380" s="78"/>
      <c r="M380" s="78"/>
      <c r="N380" s="76"/>
      <c r="O380" s="76"/>
      <c r="P380" s="78" t="str">
        <f>_xlfn.LET(
    _xlpm.itemBuscado, B380,
    _xlpm.areaBuscada, C380,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TEXT(COUNTIF($C$2:C380, _xlpm.areaBuscada), "0000"),
    _xlpm.codItem &amp; "-" &amp; _xlpm.codArea &amp; "-" &amp; _xlpm.secuencia
)</f>
        <v>-SinArea-0000</v>
      </c>
      <c r="Q380" s="77"/>
      <c r="R380" s="32"/>
      <c r="S380" s="32"/>
      <c r="T380" s="32"/>
      <c r="U380" s="32"/>
    </row>
    <row r="381" spans="3:21" x14ac:dyDescent="0.3">
      <c r="C381" s="11"/>
      <c r="D381" s="32"/>
      <c r="E381" s="11" t="str" cm="1">
        <f t="array" ref="E381">_xlfn.IFS(
    COUNTIF(Herramientas_eléctricas1862[Herramientas_eléctricas], B381) &gt; 0, Herramientas_eléctricas1862[[#Headers],[Herramientas_eléctricas]],
    COUNTIF(Herramientas_neumáticas1963[Herramientas_neumáticas], B381) &gt; 0, Herramientas_neumáticas1963[[#Headers],[Herramientas_neumáticas]],
    COUNTIF(Herramientas_de_medición2064[Herramientas_de_medición], B381) &gt; 0, Herramientas_de_medición2064[[#Headers],[Herramientas_de_medición]],
    COUNTIF(Herrramientas_mecánicas2165[Herramientas_mecánicas], B381) &gt; 0, Herrramientas_mecánicas2165[[#Headers],[Herramientas_mecánicas]],
    COUNTIF(AK381:AK387, B381) &gt; 0, Herramientas_hidráulicas2266[[#Headers],[Herramientas_hidráulicas]],
    COUNTIF(EPP_2367[SPCC], B381) &gt; 0, EPP_2367[[#Headers],[SPCC]],
   COUNTIF(Herramientas_de_izaje2468[Herramientas_de_izaje], B381) &gt; 0, Herramientas_de_izaje2468[[#Headers],[Herramientas_de_izaje]],
COUNTIF(Tabla162670[Equipos], B381) &gt; 0, Tabla162670[[#Headers],[Equipos]],
    TRUE, "Sin clasificación"
)</f>
        <v>Sin clasificación</v>
      </c>
      <c r="G381" s="15"/>
      <c r="H381" s="47"/>
      <c r="I381" s="87"/>
      <c r="J381" s="78"/>
      <c r="K381" s="78"/>
      <c r="L381" s="78"/>
      <c r="M381" s="78"/>
      <c r="N381" s="76"/>
      <c r="O381" s="76"/>
      <c r="P381" s="78" t="str">
        <f>_xlfn.LET(
    _xlpm.itemBuscado, B381,
    _xlpm.areaBuscada, C381,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TEXT(COUNTIF($C$2:C381, _xlpm.areaBuscada), "0000"),
    _xlpm.codItem &amp; "-" &amp; _xlpm.codArea &amp; "-" &amp; _xlpm.secuencia
)</f>
        <v>-SinArea-0000</v>
      </c>
      <c r="Q381" s="77"/>
      <c r="R381" s="32"/>
      <c r="S381" s="32"/>
      <c r="T381" s="32"/>
      <c r="U381" s="32"/>
    </row>
    <row r="382" spans="3:21" x14ac:dyDescent="0.3">
      <c r="C382" s="11"/>
      <c r="D382" s="32"/>
      <c r="E382" s="11" t="str" cm="1">
        <f t="array" ref="E382">_xlfn.IFS(
    COUNTIF(Herramientas_eléctricas1862[Herramientas_eléctricas], B382) &gt; 0, Herramientas_eléctricas1862[[#Headers],[Herramientas_eléctricas]],
    COUNTIF(Herramientas_neumáticas1963[Herramientas_neumáticas], B382) &gt; 0, Herramientas_neumáticas1963[[#Headers],[Herramientas_neumáticas]],
    COUNTIF(Herramientas_de_medición2064[Herramientas_de_medición], B382) &gt; 0, Herramientas_de_medición2064[[#Headers],[Herramientas_de_medición]],
    COUNTIF(Herrramientas_mecánicas2165[Herramientas_mecánicas], B382) &gt; 0, Herrramientas_mecánicas2165[[#Headers],[Herramientas_mecánicas]],
    COUNTIF(AK382:AK388, B382) &gt; 0, Herramientas_hidráulicas2266[[#Headers],[Herramientas_hidráulicas]],
    COUNTIF(EPP_2367[SPCC], B382) &gt; 0, EPP_2367[[#Headers],[SPCC]],
   COUNTIF(Herramientas_de_izaje2468[Herramientas_de_izaje], B382) &gt; 0, Herramientas_de_izaje2468[[#Headers],[Herramientas_de_izaje]],
COUNTIF(Tabla162670[Equipos], B382) &gt; 0, Tabla162670[[#Headers],[Equipos]],
    TRUE, "Sin clasificación"
)</f>
        <v>Sin clasificación</v>
      </c>
      <c r="G382" s="15"/>
      <c r="H382" s="47"/>
      <c r="I382" s="87"/>
      <c r="J382" s="78"/>
      <c r="K382" s="78"/>
      <c r="L382" s="78"/>
      <c r="M382" s="78"/>
      <c r="N382" s="76"/>
      <c r="O382" s="76"/>
      <c r="P382" s="78" t="str">
        <f>_xlfn.LET(
    _xlpm.itemBuscado, B382,
    _xlpm.areaBuscada, C382,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TEXT(COUNTIF($C$2:C382, _xlpm.areaBuscada), "0000"),
    _xlpm.codItem &amp; "-" &amp; _xlpm.codArea &amp; "-" &amp; _xlpm.secuencia
)</f>
        <v>-SinArea-0000</v>
      </c>
      <c r="Q382" s="77"/>
      <c r="R382" s="32"/>
      <c r="S382" s="32"/>
      <c r="T382" s="32"/>
      <c r="U382" s="32"/>
    </row>
    <row r="383" spans="3:21" x14ac:dyDescent="0.3">
      <c r="C383" s="11"/>
      <c r="D383" s="32"/>
      <c r="E383" s="11" t="str" cm="1">
        <f t="array" ref="E383">_xlfn.IFS(
    COUNTIF(Herramientas_eléctricas1862[Herramientas_eléctricas], B383) &gt; 0, Herramientas_eléctricas1862[[#Headers],[Herramientas_eléctricas]],
    COUNTIF(Herramientas_neumáticas1963[Herramientas_neumáticas], B383) &gt; 0, Herramientas_neumáticas1963[[#Headers],[Herramientas_neumáticas]],
    COUNTIF(Herramientas_de_medición2064[Herramientas_de_medición], B383) &gt; 0, Herramientas_de_medición2064[[#Headers],[Herramientas_de_medición]],
    COUNTIF(Herrramientas_mecánicas2165[Herramientas_mecánicas], B383) &gt; 0, Herrramientas_mecánicas2165[[#Headers],[Herramientas_mecánicas]],
    COUNTIF(AK383:AK389, B383) &gt; 0, Herramientas_hidráulicas2266[[#Headers],[Herramientas_hidráulicas]],
    COUNTIF(EPP_2367[SPCC], B383) &gt; 0, EPP_2367[[#Headers],[SPCC]],
   COUNTIF(Herramientas_de_izaje2468[Herramientas_de_izaje], B383) &gt; 0, Herramientas_de_izaje2468[[#Headers],[Herramientas_de_izaje]],
COUNTIF(Tabla162670[Equipos], B383) &gt; 0, Tabla162670[[#Headers],[Equipos]],
    TRUE, "Sin clasificación"
)</f>
        <v>Sin clasificación</v>
      </c>
      <c r="G383" s="15"/>
      <c r="H383" s="47"/>
      <c r="I383" s="87"/>
      <c r="J383" s="78"/>
      <c r="K383" s="78"/>
      <c r="L383" s="78"/>
      <c r="M383" s="78"/>
      <c r="N383" s="76"/>
      <c r="O383" s="76"/>
      <c r="P383" s="78" t="str">
        <f>_xlfn.LET(
    _xlpm.itemBuscado, B383,
    _xlpm.areaBuscada, C383,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TEXT(COUNTIF($C$2:C383, _xlpm.areaBuscada), "0000"),
    _xlpm.codItem &amp; "-" &amp; _xlpm.codArea &amp; "-" &amp; _xlpm.secuencia
)</f>
        <v>-SinArea-0000</v>
      </c>
      <c r="Q383" s="77"/>
      <c r="R383" s="32"/>
      <c r="S383" s="32"/>
      <c r="T383" s="32"/>
      <c r="U383" s="32"/>
    </row>
    <row r="384" spans="3:21" x14ac:dyDescent="0.3">
      <c r="C384" s="11"/>
      <c r="D384" s="32"/>
      <c r="E384" s="11" t="str" cm="1">
        <f t="array" ref="E384">_xlfn.IFS(
    COUNTIF(Herramientas_eléctricas1862[Herramientas_eléctricas], B384) &gt; 0, Herramientas_eléctricas1862[[#Headers],[Herramientas_eléctricas]],
    COUNTIF(Herramientas_neumáticas1963[Herramientas_neumáticas], B384) &gt; 0, Herramientas_neumáticas1963[[#Headers],[Herramientas_neumáticas]],
    COUNTIF(Herramientas_de_medición2064[Herramientas_de_medición], B384) &gt; 0, Herramientas_de_medición2064[[#Headers],[Herramientas_de_medición]],
    COUNTIF(Herrramientas_mecánicas2165[Herramientas_mecánicas], B384) &gt; 0, Herrramientas_mecánicas2165[[#Headers],[Herramientas_mecánicas]],
    COUNTIF(AK384:AK390, B384) &gt; 0, Herramientas_hidráulicas2266[[#Headers],[Herramientas_hidráulicas]],
    COUNTIF(EPP_2367[SPCC], B384) &gt; 0, EPP_2367[[#Headers],[SPCC]],
   COUNTIF(Herramientas_de_izaje2468[Herramientas_de_izaje], B384) &gt; 0, Herramientas_de_izaje2468[[#Headers],[Herramientas_de_izaje]],
COUNTIF(Tabla162670[Equipos], B384) &gt; 0, Tabla162670[[#Headers],[Equipos]],
    TRUE, "Sin clasificación"
)</f>
        <v>Sin clasificación</v>
      </c>
      <c r="G384" s="15"/>
      <c r="H384" s="47"/>
      <c r="I384" s="87"/>
      <c r="J384" s="78"/>
      <c r="K384" s="78"/>
      <c r="L384" s="78"/>
      <c r="M384" s="78"/>
      <c r="N384" s="76"/>
      <c r="O384" s="76"/>
      <c r="P384" s="78" t="str">
        <f>_xlfn.LET(
    _xlpm.itemBuscado, B384,
    _xlpm.areaBuscada, C384,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TEXT(COUNTIF($C$2:C384, _xlpm.areaBuscada), "0000"),
    _xlpm.codItem &amp; "-" &amp; _xlpm.codArea &amp; "-" &amp; _xlpm.secuencia
)</f>
        <v>-SinArea-0000</v>
      </c>
      <c r="Q384" s="77"/>
      <c r="R384" s="32"/>
      <c r="S384" s="32"/>
      <c r="T384" s="32"/>
      <c r="U384" s="32"/>
    </row>
    <row r="385" spans="3:21" x14ac:dyDescent="0.3">
      <c r="C385" s="11"/>
      <c r="D385" s="32"/>
      <c r="E385" s="11" t="str" cm="1">
        <f t="array" ref="E385">_xlfn.IFS(
    COUNTIF(Herramientas_eléctricas1862[Herramientas_eléctricas], B385) &gt; 0, Herramientas_eléctricas1862[[#Headers],[Herramientas_eléctricas]],
    COUNTIF(Herramientas_neumáticas1963[Herramientas_neumáticas], B385) &gt; 0, Herramientas_neumáticas1963[[#Headers],[Herramientas_neumáticas]],
    COUNTIF(Herramientas_de_medición2064[Herramientas_de_medición], B385) &gt; 0, Herramientas_de_medición2064[[#Headers],[Herramientas_de_medición]],
    COUNTIF(Herrramientas_mecánicas2165[Herramientas_mecánicas], B385) &gt; 0, Herrramientas_mecánicas2165[[#Headers],[Herramientas_mecánicas]],
    COUNTIF(AK385:AK391, B385) &gt; 0, Herramientas_hidráulicas2266[[#Headers],[Herramientas_hidráulicas]],
    COUNTIF(EPP_2367[SPCC], B385) &gt; 0, EPP_2367[[#Headers],[SPCC]],
   COUNTIF(Herramientas_de_izaje2468[Herramientas_de_izaje], B385) &gt; 0, Herramientas_de_izaje2468[[#Headers],[Herramientas_de_izaje]],
COUNTIF(Tabla162670[Equipos], B385) &gt; 0, Tabla162670[[#Headers],[Equipos]],
    TRUE, "Sin clasificación"
)</f>
        <v>Sin clasificación</v>
      </c>
      <c r="G385" s="15"/>
      <c r="H385" s="47"/>
      <c r="I385" s="87"/>
      <c r="J385" s="78"/>
      <c r="K385" s="78"/>
      <c r="L385" s="78"/>
      <c r="M385" s="78"/>
      <c r="N385" s="76"/>
      <c r="O385" s="76"/>
      <c r="P385" s="78" t="str">
        <f>_xlfn.LET(
    _xlpm.itemBuscado, B385,
    _xlpm.areaBuscada, C385,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TEXT(COUNTIF($C$2:C385, _xlpm.areaBuscada), "0000"),
    _xlpm.codItem &amp; "-" &amp; _xlpm.codArea &amp; "-" &amp; _xlpm.secuencia
)</f>
        <v>-SinArea-0000</v>
      </c>
      <c r="Q385" s="77"/>
      <c r="R385" s="32"/>
      <c r="S385" s="32"/>
      <c r="T385" s="32"/>
      <c r="U385" s="32"/>
    </row>
    <row r="386" spans="3:21" x14ac:dyDescent="0.3">
      <c r="C386" s="11"/>
      <c r="D386" s="32"/>
      <c r="E386" s="11" t="str" cm="1">
        <f t="array" ref="E386">_xlfn.IFS(
    COUNTIF(Herramientas_eléctricas1862[Herramientas_eléctricas], B386) &gt; 0, Herramientas_eléctricas1862[[#Headers],[Herramientas_eléctricas]],
    COUNTIF(Herramientas_neumáticas1963[Herramientas_neumáticas], B386) &gt; 0, Herramientas_neumáticas1963[[#Headers],[Herramientas_neumáticas]],
    COUNTIF(Herramientas_de_medición2064[Herramientas_de_medición], B386) &gt; 0, Herramientas_de_medición2064[[#Headers],[Herramientas_de_medición]],
    COUNTIF(Herrramientas_mecánicas2165[Herramientas_mecánicas], B386) &gt; 0, Herrramientas_mecánicas2165[[#Headers],[Herramientas_mecánicas]],
    COUNTIF(AK386:AK392, B386) &gt; 0, Herramientas_hidráulicas2266[[#Headers],[Herramientas_hidráulicas]],
    COUNTIF(EPP_2367[SPCC], B386) &gt; 0, EPP_2367[[#Headers],[SPCC]],
   COUNTIF(Herramientas_de_izaje2468[Herramientas_de_izaje], B386) &gt; 0, Herramientas_de_izaje2468[[#Headers],[Herramientas_de_izaje]],
COUNTIF(Tabla162670[Equipos], B386) &gt; 0, Tabla162670[[#Headers],[Equipos]],
    TRUE, "Sin clasificación"
)</f>
        <v>Sin clasificación</v>
      </c>
      <c r="G386" s="15"/>
      <c r="H386" s="47"/>
      <c r="I386" s="87"/>
      <c r="J386" s="78"/>
      <c r="K386" s="78"/>
      <c r="L386" s="78"/>
      <c r="M386" s="78"/>
      <c r="N386" s="76"/>
      <c r="O386" s="76"/>
      <c r="P386" s="78" t="str">
        <f>_xlfn.LET(
    _xlpm.itemBuscado, B386,
    _xlpm.areaBuscada, C386,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TEXT(COUNTIF($C$2:C386, _xlpm.areaBuscada), "0000"),
    _xlpm.codItem &amp; "-" &amp; _xlpm.codArea &amp; "-" &amp; _xlpm.secuencia
)</f>
        <v>-SinArea-0000</v>
      </c>
      <c r="Q386" s="77"/>
      <c r="R386" s="32"/>
      <c r="S386" s="32"/>
      <c r="T386" s="32"/>
      <c r="U386" s="32"/>
    </row>
    <row r="387" spans="3:21" x14ac:dyDescent="0.3">
      <c r="C387" s="11"/>
      <c r="D387" s="32"/>
      <c r="E387" s="11" t="str" cm="1">
        <f t="array" ref="E387">_xlfn.IFS(
    COUNTIF(Herramientas_eléctricas1862[Herramientas_eléctricas], B387) &gt; 0, Herramientas_eléctricas1862[[#Headers],[Herramientas_eléctricas]],
    COUNTIF(Herramientas_neumáticas1963[Herramientas_neumáticas], B387) &gt; 0, Herramientas_neumáticas1963[[#Headers],[Herramientas_neumáticas]],
    COUNTIF(Herramientas_de_medición2064[Herramientas_de_medición], B387) &gt; 0, Herramientas_de_medición2064[[#Headers],[Herramientas_de_medición]],
    COUNTIF(Herrramientas_mecánicas2165[Herramientas_mecánicas], B387) &gt; 0, Herrramientas_mecánicas2165[[#Headers],[Herramientas_mecánicas]],
    COUNTIF(AK387:AK393, B387) &gt; 0, Herramientas_hidráulicas2266[[#Headers],[Herramientas_hidráulicas]],
    COUNTIF(EPP_2367[SPCC], B387) &gt; 0, EPP_2367[[#Headers],[SPCC]],
   COUNTIF(Herramientas_de_izaje2468[Herramientas_de_izaje], B387) &gt; 0, Herramientas_de_izaje2468[[#Headers],[Herramientas_de_izaje]],
COUNTIF(Tabla162670[Equipos], B387) &gt; 0, Tabla162670[[#Headers],[Equipos]],
    TRUE, "Sin clasificación"
)</f>
        <v>Sin clasificación</v>
      </c>
      <c r="G387" s="15"/>
      <c r="H387" s="47"/>
      <c r="I387" s="87"/>
      <c r="J387" s="78"/>
      <c r="K387" s="78"/>
      <c r="L387" s="78"/>
      <c r="M387" s="78"/>
      <c r="N387" s="76"/>
      <c r="O387" s="76"/>
      <c r="P387" s="78" t="str">
        <f>_xlfn.LET(
    _xlpm.itemBuscado, B387,
    _xlpm.areaBuscada, C387,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TEXT(COUNTIF($C$2:C387, _xlpm.areaBuscada), "0000"),
    _xlpm.codItem &amp; "-" &amp; _xlpm.codArea &amp; "-" &amp; _xlpm.secuencia
)</f>
        <v>-SinArea-0000</v>
      </c>
      <c r="Q387" s="77"/>
      <c r="R387" s="32"/>
      <c r="S387" s="32"/>
      <c r="T387" s="32"/>
      <c r="U387" s="32"/>
    </row>
    <row r="388" spans="3:21" x14ac:dyDescent="0.3">
      <c r="C388" s="11"/>
      <c r="D388" s="32"/>
      <c r="E388" s="11" t="str" cm="1">
        <f t="array" ref="E388">_xlfn.IFS(
    COUNTIF(Herramientas_eléctricas1862[Herramientas_eléctricas], B388) &gt; 0, Herramientas_eléctricas1862[[#Headers],[Herramientas_eléctricas]],
    COUNTIF(Herramientas_neumáticas1963[Herramientas_neumáticas], B388) &gt; 0, Herramientas_neumáticas1963[[#Headers],[Herramientas_neumáticas]],
    COUNTIF(Herramientas_de_medición2064[Herramientas_de_medición], B388) &gt; 0, Herramientas_de_medición2064[[#Headers],[Herramientas_de_medición]],
    COUNTIF(Herrramientas_mecánicas2165[Herramientas_mecánicas], B388) &gt; 0, Herrramientas_mecánicas2165[[#Headers],[Herramientas_mecánicas]],
    COUNTIF(AK388:AK394, B388) &gt; 0, Herramientas_hidráulicas2266[[#Headers],[Herramientas_hidráulicas]],
    COUNTIF(EPP_2367[SPCC], B388) &gt; 0, EPP_2367[[#Headers],[SPCC]],
   COUNTIF(Herramientas_de_izaje2468[Herramientas_de_izaje], B388) &gt; 0, Herramientas_de_izaje2468[[#Headers],[Herramientas_de_izaje]],
COUNTIF(Tabla162670[Equipos], B388) &gt; 0, Tabla162670[[#Headers],[Equipos]],
    TRUE, "Sin clasificación"
)</f>
        <v>Sin clasificación</v>
      </c>
      <c r="G388" s="15"/>
      <c r="H388" s="47"/>
      <c r="I388" s="87"/>
      <c r="J388" s="78"/>
      <c r="K388" s="78"/>
      <c r="L388" s="78"/>
      <c r="M388" s="78"/>
      <c r="N388" s="76"/>
      <c r="O388" s="76"/>
      <c r="P388" s="78" t="str">
        <f>_xlfn.LET(
    _xlpm.itemBuscado, B388,
    _xlpm.areaBuscada, C388,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TEXT(COUNTIF($C$2:C388, _xlpm.areaBuscada), "0000"),
    _xlpm.codItem &amp; "-" &amp; _xlpm.codArea &amp; "-" &amp; _xlpm.secuencia
)</f>
        <v>-SinArea-0000</v>
      </c>
      <c r="Q388" s="77"/>
      <c r="R388" s="32"/>
      <c r="S388" s="32"/>
      <c r="T388" s="32"/>
      <c r="U388" s="32"/>
    </row>
    <row r="389" spans="3:21" x14ac:dyDescent="0.3">
      <c r="C389" s="11"/>
      <c r="D389" s="32"/>
      <c r="E389" s="11" t="str" cm="1">
        <f t="array" ref="E389">_xlfn.IFS(
    COUNTIF(Herramientas_eléctricas1862[Herramientas_eléctricas], B389) &gt; 0, Herramientas_eléctricas1862[[#Headers],[Herramientas_eléctricas]],
    COUNTIF(Herramientas_neumáticas1963[Herramientas_neumáticas], B389) &gt; 0, Herramientas_neumáticas1963[[#Headers],[Herramientas_neumáticas]],
    COUNTIF(Herramientas_de_medición2064[Herramientas_de_medición], B389) &gt; 0, Herramientas_de_medición2064[[#Headers],[Herramientas_de_medición]],
    COUNTIF(Herrramientas_mecánicas2165[Herramientas_mecánicas], B389) &gt; 0, Herrramientas_mecánicas2165[[#Headers],[Herramientas_mecánicas]],
    COUNTIF(AK389:AK395, B389) &gt; 0, Herramientas_hidráulicas2266[[#Headers],[Herramientas_hidráulicas]],
    COUNTIF(EPP_2367[SPCC], B389) &gt; 0, EPP_2367[[#Headers],[SPCC]],
   COUNTIF(Herramientas_de_izaje2468[Herramientas_de_izaje], B389) &gt; 0, Herramientas_de_izaje2468[[#Headers],[Herramientas_de_izaje]],
COUNTIF(Tabla162670[Equipos], B389) &gt; 0, Tabla162670[[#Headers],[Equipos]],
    TRUE, "Sin clasificación"
)</f>
        <v>Sin clasificación</v>
      </c>
      <c r="G389" s="15"/>
      <c r="H389" s="47"/>
      <c r="I389" s="87"/>
      <c r="J389" s="78"/>
      <c r="K389" s="78"/>
      <c r="L389" s="78"/>
      <c r="M389" s="78"/>
      <c r="N389" s="76"/>
      <c r="O389" s="76"/>
      <c r="P389" s="78" t="str">
        <f>_xlfn.LET(
    _xlpm.itemBuscado, B389,
    _xlpm.areaBuscada, C389,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TEXT(COUNTIF($C$2:C389, _xlpm.areaBuscada), "0000"),
    _xlpm.codItem &amp; "-" &amp; _xlpm.codArea &amp; "-" &amp; _xlpm.secuencia
)</f>
        <v>-SinArea-0000</v>
      </c>
      <c r="Q389" s="77"/>
      <c r="R389" s="32"/>
      <c r="S389" s="32"/>
      <c r="T389" s="32"/>
      <c r="U389" s="32"/>
    </row>
    <row r="390" spans="3:21" x14ac:dyDescent="0.3">
      <c r="C390" s="11"/>
      <c r="D390" s="32"/>
      <c r="E390" s="11" t="str" cm="1">
        <f t="array" ref="E390">_xlfn.IFS(
    COUNTIF(Herramientas_eléctricas1862[Herramientas_eléctricas], B390) &gt; 0, Herramientas_eléctricas1862[[#Headers],[Herramientas_eléctricas]],
    COUNTIF(Herramientas_neumáticas1963[Herramientas_neumáticas], B390) &gt; 0, Herramientas_neumáticas1963[[#Headers],[Herramientas_neumáticas]],
    COUNTIF(Herramientas_de_medición2064[Herramientas_de_medición], B390) &gt; 0, Herramientas_de_medición2064[[#Headers],[Herramientas_de_medición]],
    COUNTIF(Herrramientas_mecánicas2165[Herramientas_mecánicas], B390) &gt; 0, Herrramientas_mecánicas2165[[#Headers],[Herramientas_mecánicas]],
    COUNTIF(AK390:AK396, B390) &gt; 0, Herramientas_hidráulicas2266[[#Headers],[Herramientas_hidráulicas]],
    COUNTIF(EPP_2367[SPCC], B390) &gt; 0, EPP_2367[[#Headers],[SPCC]],
   COUNTIF(Herramientas_de_izaje2468[Herramientas_de_izaje], B390) &gt; 0, Herramientas_de_izaje2468[[#Headers],[Herramientas_de_izaje]],
COUNTIF(Tabla162670[Equipos], B390) &gt; 0, Tabla162670[[#Headers],[Equipos]],
    TRUE, "Sin clasificación"
)</f>
        <v>Sin clasificación</v>
      </c>
      <c r="G390" s="15"/>
      <c r="H390" s="47"/>
      <c r="I390" s="87"/>
      <c r="J390" s="78"/>
      <c r="K390" s="78"/>
      <c r="L390" s="78"/>
      <c r="M390" s="78"/>
      <c r="N390" s="76"/>
      <c r="O390" s="76"/>
      <c r="P390" s="78" t="str">
        <f>_xlfn.LET(
    _xlpm.itemBuscado, B390,
    _xlpm.areaBuscada, C390,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TEXT(COUNTIF($C$2:C390, _xlpm.areaBuscada), "0000"),
    _xlpm.codItem &amp; "-" &amp; _xlpm.codArea &amp; "-" &amp; _xlpm.secuencia
)</f>
        <v>-SinArea-0000</v>
      </c>
      <c r="Q390" s="77"/>
      <c r="R390" s="32"/>
      <c r="S390" s="32"/>
      <c r="T390" s="32"/>
      <c r="U390" s="32"/>
    </row>
    <row r="391" spans="3:21" x14ac:dyDescent="0.3">
      <c r="C391" s="11"/>
      <c r="D391" s="32"/>
      <c r="E391" s="11" t="str" cm="1">
        <f t="array" ref="E391">_xlfn.IFS(
    COUNTIF(Herramientas_eléctricas1862[Herramientas_eléctricas], B391) &gt; 0, Herramientas_eléctricas1862[[#Headers],[Herramientas_eléctricas]],
    COUNTIF(Herramientas_neumáticas1963[Herramientas_neumáticas], B391) &gt; 0, Herramientas_neumáticas1963[[#Headers],[Herramientas_neumáticas]],
    COUNTIF(Herramientas_de_medición2064[Herramientas_de_medición], B391) &gt; 0, Herramientas_de_medición2064[[#Headers],[Herramientas_de_medición]],
    COUNTIF(Herrramientas_mecánicas2165[Herramientas_mecánicas], B391) &gt; 0, Herrramientas_mecánicas2165[[#Headers],[Herramientas_mecánicas]],
    COUNTIF(AK391:AK397, B391) &gt; 0, Herramientas_hidráulicas2266[[#Headers],[Herramientas_hidráulicas]],
    COUNTIF(EPP_2367[SPCC], B391) &gt; 0, EPP_2367[[#Headers],[SPCC]],
   COUNTIF(Herramientas_de_izaje2468[Herramientas_de_izaje], B391) &gt; 0, Herramientas_de_izaje2468[[#Headers],[Herramientas_de_izaje]],
COUNTIF(Tabla162670[Equipos], B391) &gt; 0, Tabla162670[[#Headers],[Equipos]],
    TRUE, "Sin clasificación"
)</f>
        <v>Sin clasificación</v>
      </c>
      <c r="G391" s="15"/>
      <c r="H391" s="47"/>
      <c r="I391" s="87"/>
      <c r="J391" s="78"/>
      <c r="K391" s="78"/>
      <c r="L391" s="78"/>
      <c r="M391" s="78"/>
      <c r="N391" s="76"/>
      <c r="O391" s="76"/>
      <c r="P391" s="78" t="str">
        <f>_xlfn.LET(
    _xlpm.itemBuscado, B391,
    _xlpm.areaBuscada, C391,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TEXT(COUNTIF($C$2:C391, _xlpm.areaBuscada), "0000"),
    _xlpm.codItem &amp; "-" &amp; _xlpm.codArea &amp; "-" &amp; _xlpm.secuencia
)</f>
        <v>-SinArea-0000</v>
      </c>
      <c r="Q391" s="77"/>
      <c r="R391" s="32"/>
      <c r="S391" s="32"/>
      <c r="T391" s="32"/>
      <c r="U391" s="32"/>
    </row>
    <row r="392" spans="3:21" x14ac:dyDescent="0.3">
      <c r="C392" s="11"/>
      <c r="D392" s="32"/>
      <c r="E392" s="11" t="str" cm="1">
        <f t="array" ref="E392">_xlfn.IFS(
    COUNTIF(Herramientas_eléctricas1862[Herramientas_eléctricas], B392) &gt; 0, Herramientas_eléctricas1862[[#Headers],[Herramientas_eléctricas]],
    COUNTIF(Herramientas_neumáticas1963[Herramientas_neumáticas], B392) &gt; 0, Herramientas_neumáticas1963[[#Headers],[Herramientas_neumáticas]],
    COUNTIF(Herramientas_de_medición2064[Herramientas_de_medición], B392) &gt; 0, Herramientas_de_medición2064[[#Headers],[Herramientas_de_medición]],
    COUNTIF(Herrramientas_mecánicas2165[Herramientas_mecánicas], B392) &gt; 0, Herrramientas_mecánicas2165[[#Headers],[Herramientas_mecánicas]],
    COUNTIF(AK392:AK398, B392) &gt; 0, Herramientas_hidráulicas2266[[#Headers],[Herramientas_hidráulicas]],
    COUNTIF(EPP_2367[SPCC], B392) &gt; 0, EPP_2367[[#Headers],[SPCC]],
   COUNTIF(Herramientas_de_izaje2468[Herramientas_de_izaje], B392) &gt; 0, Herramientas_de_izaje2468[[#Headers],[Herramientas_de_izaje]],
COUNTIF(Tabla162670[Equipos], B392) &gt; 0, Tabla162670[[#Headers],[Equipos]],
    TRUE, "Sin clasificación"
)</f>
        <v>Sin clasificación</v>
      </c>
      <c r="G392" s="15"/>
      <c r="H392" s="47"/>
      <c r="I392" s="87"/>
      <c r="J392" s="78"/>
      <c r="K392" s="78"/>
      <c r="L392" s="78"/>
      <c r="M392" s="78"/>
      <c r="N392" s="76"/>
      <c r="O392" s="76"/>
      <c r="P392" s="78" t="str">
        <f>_xlfn.LET(
    _xlpm.itemBuscado, B392,
    _xlpm.areaBuscada, C392,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TEXT(COUNTIF($C$2:C392, _xlpm.areaBuscada), "0000"),
    _xlpm.codItem &amp; "-" &amp; _xlpm.codArea &amp; "-" &amp; _xlpm.secuencia
)</f>
        <v>-SinArea-0000</v>
      </c>
      <c r="Q392" s="77"/>
      <c r="R392" s="32"/>
      <c r="S392" s="32"/>
      <c r="T392" s="32"/>
      <c r="U392" s="32"/>
    </row>
    <row r="393" spans="3:21" x14ac:dyDescent="0.3">
      <c r="C393" s="11"/>
      <c r="D393" s="32"/>
      <c r="E393" s="11" t="str" cm="1">
        <f t="array" ref="E393">_xlfn.IFS(
    COUNTIF(Herramientas_eléctricas1862[Herramientas_eléctricas], B393) &gt; 0, Herramientas_eléctricas1862[[#Headers],[Herramientas_eléctricas]],
    COUNTIF(Herramientas_neumáticas1963[Herramientas_neumáticas], B393) &gt; 0, Herramientas_neumáticas1963[[#Headers],[Herramientas_neumáticas]],
    COUNTIF(Herramientas_de_medición2064[Herramientas_de_medición], B393) &gt; 0, Herramientas_de_medición2064[[#Headers],[Herramientas_de_medición]],
    COUNTIF(Herrramientas_mecánicas2165[Herramientas_mecánicas], B393) &gt; 0, Herrramientas_mecánicas2165[[#Headers],[Herramientas_mecánicas]],
    COUNTIF(AK393:AK399, B393) &gt; 0, Herramientas_hidráulicas2266[[#Headers],[Herramientas_hidráulicas]],
    COUNTIF(EPP_2367[SPCC], B393) &gt; 0, EPP_2367[[#Headers],[SPCC]],
   COUNTIF(Herramientas_de_izaje2468[Herramientas_de_izaje], B393) &gt; 0, Herramientas_de_izaje2468[[#Headers],[Herramientas_de_izaje]],
COUNTIF(Tabla162670[Equipos], B393) &gt; 0, Tabla162670[[#Headers],[Equipos]],
    TRUE, "Sin clasificación"
)</f>
        <v>Sin clasificación</v>
      </c>
      <c r="G393" s="15"/>
      <c r="H393" s="47"/>
      <c r="I393" s="87"/>
      <c r="J393" s="78"/>
      <c r="K393" s="78"/>
      <c r="L393" s="78"/>
      <c r="M393" s="78"/>
      <c r="N393" s="76"/>
      <c r="O393" s="76"/>
      <c r="P393" s="78" t="str">
        <f>_xlfn.LET(
    _xlpm.itemBuscado, B393,
    _xlpm.areaBuscada, C393,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TEXT(COUNTIF($C$2:C393, _xlpm.areaBuscada), "0000"),
    _xlpm.codItem &amp; "-" &amp; _xlpm.codArea &amp; "-" &amp; _xlpm.secuencia
)</f>
        <v>-SinArea-0000</v>
      </c>
      <c r="Q393" s="77"/>
      <c r="R393" s="32"/>
      <c r="S393" s="32"/>
      <c r="T393" s="32"/>
      <c r="U393" s="32"/>
    </row>
    <row r="394" spans="3:21" x14ac:dyDescent="0.3">
      <c r="C394" s="11"/>
      <c r="D394" s="32"/>
      <c r="E394" s="11" t="str" cm="1">
        <f t="array" ref="E394">_xlfn.IFS(
    COUNTIF(Herramientas_eléctricas1862[Herramientas_eléctricas], B394) &gt; 0, Herramientas_eléctricas1862[[#Headers],[Herramientas_eléctricas]],
    COUNTIF(Herramientas_neumáticas1963[Herramientas_neumáticas], B394) &gt; 0, Herramientas_neumáticas1963[[#Headers],[Herramientas_neumáticas]],
    COUNTIF(Herramientas_de_medición2064[Herramientas_de_medición], B394) &gt; 0, Herramientas_de_medición2064[[#Headers],[Herramientas_de_medición]],
    COUNTIF(Herrramientas_mecánicas2165[Herramientas_mecánicas], B394) &gt; 0, Herrramientas_mecánicas2165[[#Headers],[Herramientas_mecánicas]],
    COUNTIF(AK394:AK400, B394) &gt; 0, Herramientas_hidráulicas2266[[#Headers],[Herramientas_hidráulicas]],
    COUNTIF(EPP_2367[SPCC], B394) &gt; 0, EPP_2367[[#Headers],[SPCC]],
   COUNTIF(Herramientas_de_izaje2468[Herramientas_de_izaje], B394) &gt; 0, Herramientas_de_izaje2468[[#Headers],[Herramientas_de_izaje]],
COUNTIF(Tabla162670[Equipos], B394) &gt; 0, Tabla162670[[#Headers],[Equipos]],
    TRUE, "Sin clasificación"
)</f>
        <v>Sin clasificación</v>
      </c>
      <c r="G394" s="15"/>
      <c r="H394" s="47"/>
      <c r="I394" s="87"/>
      <c r="J394" s="78"/>
      <c r="K394" s="78"/>
      <c r="L394" s="78"/>
      <c r="M394" s="78"/>
      <c r="N394" s="76"/>
      <c r="O394" s="76"/>
      <c r="P394" s="78" t="str">
        <f>_xlfn.LET(
    _xlpm.itemBuscado, B394,
    _xlpm.areaBuscada, C394,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TEXT(COUNTIF($C$2:C394, _xlpm.areaBuscada), "0000"),
    _xlpm.codItem &amp; "-" &amp; _xlpm.codArea &amp; "-" &amp; _xlpm.secuencia
)</f>
        <v>-SinArea-0000</v>
      </c>
      <c r="Q394" s="77"/>
      <c r="R394" s="32"/>
      <c r="S394" s="32"/>
      <c r="T394" s="32"/>
      <c r="U394" s="32"/>
    </row>
    <row r="395" spans="3:21" x14ac:dyDescent="0.3">
      <c r="C395" s="11"/>
      <c r="D395" s="32"/>
      <c r="E395" s="11" t="str" cm="1">
        <f t="array" ref="E395">_xlfn.IFS(
    COUNTIF(Herramientas_eléctricas1862[Herramientas_eléctricas], B395) &gt; 0, Herramientas_eléctricas1862[[#Headers],[Herramientas_eléctricas]],
    COUNTIF(Herramientas_neumáticas1963[Herramientas_neumáticas], B395) &gt; 0, Herramientas_neumáticas1963[[#Headers],[Herramientas_neumáticas]],
    COUNTIF(Herramientas_de_medición2064[Herramientas_de_medición], B395) &gt; 0, Herramientas_de_medición2064[[#Headers],[Herramientas_de_medición]],
    COUNTIF(Herrramientas_mecánicas2165[Herramientas_mecánicas], B395) &gt; 0, Herrramientas_mecánicas2165[[#Headers],[Herramientas_mecánicas]],
    COUNTIF(AK395:AK401, B395) &gt; 0, Herramientas_hidráulicas2266[[#Headers],[Herramientas_hidráulicas]],
    COUNTIF(EPP_2367[SPCC], B395) &gt; 0, EPP_2367[[#Headers],[SPCC]],
   COUNTIF(Herramientas_de_izaje2468[Herramientas_de_izaje], B395) &gt; 0, Herramientas_de_izaje2468[[#Headers],[Herramientas_de_izaje]],
COUNTIF(Tabla162670[Equipos], B395) &gt; 0, Tabla162670[[#Headers],[Equipos]],
    TRUE, "Sin clasificación"
)</f>
        <v>Sin clasificación</v>
      </c>
      <c r="G395" s="15"/>
      <c r="H395" s="47"/>
      <c r="I395" s="87"/>
      <c r="J395" s="78"/>
      <c r="K395" s="78"/>
      <c r="L395" s="78"/>
      <c r="M395" s="78"/>
      <c r="N395" s="76"/>
      <c r="O395" s="76"/>
      <c r="P395" s="78" t="str">
        <f>_xlfn.LET(
    _xlpm.itemBuscado, B395,
    _xlpm.areaBuscada, C395,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TEXT(COUNTIF($C$2:C395, _xlpm.areaBuscada), "0000"),
    _xlpm.codItem &amp; "-" &amp; _xlpm.codArea &amp; "-" &amp; _xlpm.secuencia
)</f>
        <v>-SinArea-0000</v>
      </c>
      <c r="Q395" s="77"/>
      <c r="R395" s="32"/>
      <c r="S395" s="32"/>
      <c r="T395" s="32"/>
      <c r="U395" s="32"/>
    </row>
    <row r="396" spans="3:21" x14ac:dyDescent="0.3">
      <c r="C396" s="11"/>
      <c r="D396" s="32"/>
      <c r="E396" s="11" t="str" cm="1">
        <f t="array" ref="E396">_xlfn.IFS(
    COUNTIF(Herramientas_eléctricas1862[Herramientas_eléctricas], B396) &gt; 0, Herramientas_eléctricas1862[[#Headers],[Herramientas_eléctricas]],
    COUNTIF(Herramientas_neumáticas1963[Herramientas_neumáticas], B396) &gt; 0, Herramientas_neumáticas1963[[#Headers],[Herramientas_neumáticas]],
    COUNTIF(Herramientas_de_medición2064[Herramientas_de_medición], B396) &gt; 0, Herramientas_de_medición2064[[#Headers],[Herramientas_de_medición]],
    COUNTIF(Herrramientas_mecánicas2165[Herramientas_mecánicas], B396) &gt; 0, Herrramientas_mecánicas2165[[#Headers],[Herramientas_mecánicas]],
    COUNTIF(AK396:AK402, B396) &gt; 0, Herramientas_hidráulicas2266[[#Headers],[Herramientas_hidráulicas]],
    COUNTIF(EPP_2367[SPCC], B396) &gt; 0, EPP_2367[[#Headers],[SPCC]],
   COUNTIF(Herramientas_de_izaje2468[Herramientas_de_izaje], B396) &gt; 0, Herramientas_de_izaje2468[[#Headers],[Herramientas_de_izaje]],
COUNTIF(Tabla162670[Equipos], B396) &gt; 0, Tabla162670[[#Headers],[Equipos]],
    TRUE, "Sin clasificación"
)</f>
        <v>Sin clasificación</v>
      </c>
      <c r="G396" s="15"/>
      <c r="H396" s="47"/>
      <c r="I396" s="87"/>
      <c r="J396" s="78"/>
      <c r="K396" s="78"/>
      <c r="L396" s="78"/>
      <c r="M396" s="78"/>
      <c r="N396" s="76"/>
      <c r="O396" s="76"/>
      <c r="P396" s="78" t="str">
        <f>_xlfn.LET(
    _xlpm.itemBuscado, B396,
    _xlpm.areaBuscada, C396,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TEXT(COUNTIF($C$2:C396, _xlpm.areaBuscada), "0000"),
    _xlpm.codItem &amp; "-" &amp; _xlpm.codArea &amp; "-" &amp; _xlpm.secuencia
)</f>
        <v>-SinArea-0000</v>
      </c>
      <c r="Q396" s="77"/>
      <c r="R396" s="32"/>
      <c r="S396" s="32"/>
      <c r="T396" s="32"/>
      <c r="U396" s="32"/>
    </row>
    <row r="397" spans="3:21" x14ac:dyDescent="0.3">
      <c r="C397" s="11"/>
      <c r="D397" s="32"/>
      <c r="E397" s="11" t="str" cm="1">
        <f t="array" ref="E397">_xlfn.IFS(
    COUNTIF(Herramientas_eléctricas1862[Herramientas_eléctricas], B397) &gt; 0, Herramientas_eléctricas1862[[#Headers],[Herramientas_eléctricas]],
    COUNTIF(Herramientas_neumáticas1963[Herramientas_neumáticas], B397) &gt; 0, Herramientas_neumáticas1963[[#Headers],[Herramientas_neumáticas]],
    COUNTIF(Herramientas_de_medición2064[Herramientas_de_medición], B397) &gt; 0, Herramientas_de_medición2064[[#Headers],[Herramientas_de_medición]],
    COUNTIF(Herrramientas_mecánicas2165[Herramientas_mecánicas], B397) &gt; 0, Herrramientas_mecánicas2165[[#Headers],[Herramientas_mecánicas]],
    COUNTIF(AK397:AK403, B397) &gt; 0, Herramientas_hidráulicas2266[[#Headers],[Herramientas_hidráulicas]],
    COUNTIF(EPP_2367[SPCC], B397) &gt; 0, EPP_2367[[#Headers],[SPCC]],
   COUNTIF(Herramientas_de_izaje2468[Herramientas_de_izaje], B397) &gt; 0, Herramientas_de_izaje2468[[#Headers],[Herramientas_de_izaje]],
COUNTIF(Tabla162670[Equipos], B397) &gt; 0, Tabla162670[[#Headers],[Equipos]],
    TRUE, "Sin clasificación"
)</f>
        <v>Sin clasificación</v>
      </c>
      <c r="G397" s="15"/>
      <c r="H397" s="47"/>
      <c r="I397" s="87"/>
      <c r="J397" s="78"/>
      <c r="K397" s="78"/>
      <c r="L397" s="78"/>
      <c r="M397" s="78"/>
      <c r="N397" s="76"/>
      <c r="O397" s="76"/>
      <c r="P397" s="78" t="str">
        <f>_xlfn.LET(
    _xlpm.itemBuscado, B397,
    _xlpm.areaBuscada, C397,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TEXT(COUNTIF($C$2:C397, _xlpm.areaBuscada), "0000"),
    _xlpm.codItem &amp; "-" &amp; _xlpm.codArea &amp; "-" &amp; _xlpm.secuencia
)</f>
        <v>-SinArea-0000</v>
      </c>
      <c r="Q397" s="77"/>
      <c r="R397" s="32"/>
      <c r="S397" s="32"/>
      <c r="T397" s="32"/>
      <c r="U397" s="32"/>
    </row>
    <row r="398" spans="3:21" x14ac:dyDescent="0.3">
      <c r="C398" s="11"/>
      <c r="D398" s="32"/>
      <c r="E398" s="11" t="str" cm="1">
        <f t="array" ref="E398">_xlfn.IFS(
    COUNTIF(Herramientas_eléctricas1862[Herramientas_eléctricas], B398) &gt; 0, Herramientas_eléctricas1862[[#Headers],[Herramientas_eléctricas]],
    COUNTIF(Herramientas_neumáticas1963[Herramientas_neumáticas], B398) &gt; 0, Herramientas_neumáticas1963[[#Headers],[Herramientas_neumáticas]],
    COUNTIF(Herramientas_de_medición2064[Herramientas_de_medición], B398) &gt; 0, Herramientas_de_medición2064[[#Headers],[Herramientas_de_medición]],
    COUNTIF(Herrramientas_mecánicas2165[Herramientas_mecánicas], B398) &gt; 0, Herrramientas_mecánicas2165[[#Headers],[Herramientas_mecánicas]],
    COUNTIF(AK398:AK404, B398) &gt; 0, Herramientas_hidráulicas2266[[#Headers],[Herramientas_hidráulicas]],
    COUNTIF(EPP_2367[SPCC], B398) &gt; 0, EPP_2367[[#Headers],[SPCC]],
   COUNTIF(Herramientas_de_izaje2468[Herramientas_de_izaje], B398) &gt; 0, Herramientas_de_izaje2468[[#Headers],[Herramientas_de_izaje]],
COUNTIF(Tabla162670[Equipos], B398) &gt; 0, Tabla162670[[#Headers],[Equipos]],
    TRUE, "Sin clasificación"
)</f>
        <v>Sin clasificación</v>
      </c>
      <c r="G398" s="15"/>
      <c r="H398" s="47"/>
      <c r="I398" s="87"/>
      <c r="J398" s="78"/>
      <c r="K398" s="78"/>
      <c r="L398" s="78"/>
      <c r="M398" s="78"/>
      <c r="N398" s="76"/>
      <c r="O398" s="76"/>
      <c r="P398" s="78" t="str">
        <f>_xlfn.LET(
    _xlpm.itemBuscado, B398,
    _xlpm.areaBuscada, C398,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TEXT(COUNTIF($C$2:C398, _xlpm.areaBuscada), "0000"),
    _xlpm.codItem &amp; "-" &amp; _xlpm.codArea &amp; "-" &amp; _xlpm.secuencia
)</f>
        <v>-SinArea-0000</v>
      </c>
      <c r="Q398" s="77"/>
      <c r="R398" s="32"/>
      <c r="S398" s="32"/>
      <c r="T398" s="32"/>
      <c r="U398" s="32"/>
    </row>
    <row r="399" spans="3:21" x14ac:dyDescent="0.3">
      <c r="C399" s="11"/>
      <c r="D399" s="32"/>
      <c r="E399" s="11" t="str" cm="1">
        <f t="array" ref="E399">_xlfn.IFS(
    COUNTIF(Herramientas_eléctricas1862[Herramientas_eléctricas], B399) &gt; 0, Herramientas_eléctricas1862[[#Headers],[Herramientas_eléctricas]],
    COUNTIF(Herramientas_neumáticas1963[Herramientas_neumáticas], B399) &gt; 0, Herramientas_neumáticas1963[[#Headers],[Herramientas_neumáticas]],
    COUNTIF(Herramientas_de_medición2064[Herramientas_de_medición], B399) &gt; 0, Herramientas_de_medición2064[[#Headers],[Herramientas_de_medición]],
    COUNTIF(Herrramientas_mecánicas2165[Herramientas_mecánicas], B399) &gt; 0, Herrramientas_mecánicas2165[[#Headers],[Herramientas_mecánicas]],
    COUNTIF(AK399:AK405, B399) &gt; 0, Herramientas_hidráulicas2266[[#Headers],[Herramientas_hidráulicas]],
    COUNTIF(EPP_2367[SPCC], B399) &gt; 0, EPP_2367[[#Headers],[SPCC]],
   COUNTIF(Herramientas_de_izaje2468[Herramientas_de_izaje], B399) &gt; 0, Herramientas_de_izaje2468[[#Headers],[Herramientas_de_izaje]],
COUNTIF(Tabla162670[Equipos], B399) &gt; 0, Tabla162670[[#Headers],[Equipos]],
    TRUE, "Sin clasificación"
)</f>
        <v>Sin clasificación</v>
      </c>
      <c r="G399" s="15"/>
      <c r="H399" s="47"/>
      <c r="I399" s="87"/>
      <c r="J399" s="78"/>
      <c r="K399" s="78"/>
      <c r="L399" s="78"/>
      <c r="M399" s="78"/>
      <c r="N399" s="76"/>
      <c r="O399" s="76"/>
      <c r="P399" s="78" t="str">
        <f>_xlfn.LET(
    _xlpm.itemBuscado, B399,
    _xlpm.areaBuscada, C399,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TEXT(COUNTIF($C$2:C399, _xlpm.areaBuscada), "0000"),
    _xlpm.codItem &amp; "-" &amp; _xlpm.codArea &amp; "-" &amp; _xlpm.secuencia
)</f>
        <v>-SinArea-0000</v>
      </c>
      <c r="Q399" s="77"/>
      <c r="R399" s="32"/>
      <c r="S399" s="32"/>
      <c r="T399" s="32"/>
      <c r="U399" s="32"/>
    </row>
    <row r="400" spans="3:21" x14ac:dyDescent="0.3">
      <c r="C400" s="11"/>
      <c r="D400" s="32"/>
      <c r="E400" s="11" t="str" cm="1">
        <f t="array" ref="E400">_xlfn.IFS(
    COUNTIF(Herramientas_eléctricas1862[Herramientas_eléctricas], B400) &gt; 0, Herramientas_eléctricas1862[[#Headers],[Herramientas_eléctricas]],
    COUNTIF(Herramientas_neumáticas1963[Herramientas_neumáticas], B400) &gt; 0, Herramientas_neumáticas1963[[#Headers],[Herramientas_neumáticas]],
    COUNTIF(Herramientas_de_medición2064[Herramientas_de_medición], B400) &gt; 0, Herramientas_de_medición2064[[#Headers],[Herramientas_de_medición]],
    COUNTIF(Herrramientas_mecánicas2165[Herramientas_mecánicas], B400) &gt; 0, Herrramientas_mecánicas2165[[#Headers],[Herramientas_mecánicas]],
    COUNTIF(AK400:AK406, B400) &gt; 0, Herramientas_hidráulicas2266[[#Headers],[Herramientas_hidráulicas]],
    COUNTIF(EPP_2367[SPCC], B400) &gt; 0, EPP_2367[[#Headers],[SPCC]],
   COUNTIF(Herramientas_de_izaje2468[Herramientas_de_izaje], B400) &gt; 0, Herramientas_de_izaje2468[[#Headers],[Herramientas_de_izaje]],
COUNTIF(Tabla162670[Equipos], B400) &gt; 0, Tabla162670[[#Headers],[Equipos]],
    TRUE, "Sin clasificación"
)</f>
        <v>Sin clasificación</v>
      </c>
      <c r="G400" s="15"/>
      <c r="H400" s="47"/>
      <c r="I400" s="87"/>
      <c r="J400" s="78"/>
      <c r="K400" s="78"/>
      <c r="L400" s="78"/>
      <c r="M400" s="78"/>
      <c r="N400" s="76"/>
      <c r="O400" s="76"/>
      <c r="P400" s="78" t="str">
        <f>_xlfn.LET(
    _xlpm.itemBuscado, B400,
    _xlpm.areaBuscada, C400,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TEXT(COUNTIF($C$2:C400, _xlpm.areaBuscada), "0000"),
    _xlpm.codItem &amp; "-" &amp; _xlpm.codArea &amp; "-" &amp; _xlpm.secuencia
)</f>
        <v>-SinArea-0000</v>
      </c>
      <c r="Q400" s="77"/>
      <c r="R400" s="32"/>
      <c r="S400" s="32"/>
      <c r="T400" s="32"/>
      <c r="U400" s="32"/>
    </row>
    <row r="401" spans="3:21" x14ac:dyDescent="0.3">
      <c r="C401" s="11"/>
      <c r="D401" s="32"/>
      <c r="E401" s="11" t="str" cm="1">
        <f t="array" ref="E401">_xlfn.IFS(
    COUNTIF(Herramientas_eléctricas1862[Herramientas_eléctricas], B401) &gt; 0, Herramientas_eléctricas1862[[#Headers],[Herramientas_eléctricas]],
    COUNTIF(Herramientas_neumáticas1963[Herramientas_neumáticas], B401) &gt; 0, Herramientas_neumáticas1963[[#Headers],[Herramientas_neumáticas]],
    COUNTIF(Herramientas_de_medición2064[Herramientas_de_medición], B401) &gt; 0, Herramientas_de_medición2064[[#Headers],[Herramientas_de_medición]],
    COUNTIF(Herrramientas_mecánicas2165[Herramientas_mecánicas], B401) &gt; 0, Herrramientas_mecánicas2165[[#Headers],[Herramientas_mecánicas]],
    COUNTIF(AK401:AK407, B401) &gt; 0, Herramientas_hidráulicas2266[[#Headers],[Herramientas_hidráulicas]],
    COUNTIF(EPP_2367[SPCC], B401) &gt; 0, EPP_2367[[#Headers],[SPCC]],
   COUNTIF(Herramientas_de_izaje2468[Herramientas_de_izaje], B401) &gt; 0, Herramientas_de_izaje2468[[#Headers],[Herramientas_de_izaje]],
COUNTIF(Tabla162670[Equipos], B401) &gt; 0, Tabla162670[[#Headers],[Equipos]],
    TRUE, "Sin clasificación"
)</f>
        <v>Sin clasificación</v>
      </c>
      <c r="G401" s="15"/>
      <c r="H401" s="47"/>
      <c r="I401" s="87"/>
      <c r="J401" s="78"/>
      <c r="K401" s="78"/>
      <c r="L401" s="78"/>
      <c r="M401" s="78"/>
      <c r="N401" s="76"/>
      <c r="O401" s="76"/>
      <c r="P401" s="78" t="str">
        <f>_xlfn.LET(
    _xlpm.itemBuscado, B401,
    _xlpm.areaBuscada, C401,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TEXT(COUNTIF($C$2:C401, _xlpm.areaBuscada), "0000"),
    _xlpm.codItem &amp; "-" &amp; _xlpm.codArea &amp; "-" &amp; _xlpm.secuencia
)</f>
        <v>-SinArea-0000</v>
      </c>
      <c r="Q401" s="77"/>
      <c r="R401" s="32"/>
      <c r="S401" s="32"/>
      <c r="T401" s="32"/>
      <c r="U401" s="32"/>
    </row>
    <row r="402" spans="3:21" x14ac:dyDescent="0.3">
      <c r="C402" s="11"/>
      <c r="D402" s="32"/>
      <c r="E402" s="11" t="str" cm="1">
        <f t="array" ref="E402">_xlfn.IFS(
    COUNTIF(Herramientas_eléctricas1862[Herramientas_eléctricas], B402) &gt; 0, Herramientas_eléctricas1862[[#Headers],[Herramientas_eléctricas]],
    COUNTIF(Herramientas_neumáticas1963[Herramientas_neumáticas], B402) &gt; 0, Herramientas_neumáticas1963[[#Headers],[Herramientas_neumáticas]],
    COUNTIF(Herramientas_de_medición2064[Herramientas_de_medición], B402) &gt; 0, Herramientas_de_medición2064[[#Headers],[Herramientas_de_medición]],
    COUNTIF(Herrramientas_mecánicas2165[Herramientas_mecánicas], B402) &gt; 0, Herrramientas_mecánicas2165[[#Headers],[Herramientas_mecánicas]],
    COUNTIF(AK402:AK408, B402) &gt; 0, Herramientas_hidráulicas2266[[#Headers],[Herramientas_hidráulicas]],
    COUNTIF(EPP_2367[SPCC], B402) &gt; 0, EPP_2367[[#Headers],[SPCC]],
   COUNTIF(Herramientas_de_izaje2468[Herramientas_de_izaje], B402) &gt; 0, Herramientas_de_izaje2468[[#Headers],[Herramientas_de_izaje]],
COUNTIF(Tabla162670[Equipos], B402) &gt; 0, Tabla162670[[#Headers],[Equipos]],
    TRUE, "Sin clasificación"
)</f>
        <v>Sin clasificación</v>
      </c>
      <c r="G402" s="15"/>
      <c r="H402" s="47"/>
      <c r="I402" s="87"/>
      <c r="J402" s="78"/>
      <c r="K402" s="78"/>
      <c r="L402" s="78"/>
      <c r="M402" s="78"/>
      <c r="N402" s="76"/>
      <c r="O402" s="76"/>
      <c r="P402" s="78" t="str">
        <f>_xlfn.LET(
    _xlpm.itemBuscado, B402,
    _xlpm.areaBuscada, C402,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TEXT(COUNTIF($C$2:C402, _xlpm.areaBuscada), "0000"),
    _xlpm.codItem &amp; "-" &amp; _xlpm.codArea &amp; "-" &amp; _xlpm.secuencia
)</f>
        <v>-SinArea-0000</v>
      </c>
      <c r="Q402" s="77"/>
      <c r="R402" s="32"/>
      <c r="S402" s="32"/>
      <c r="T402" s="32"/>
      <c r="U402" s="32"/>
    </row>
    <row r="403" spans="3:21" x14ac:dyDescent="0.3">
      <c r="C403" s="11"/>
      <c r="D403" s="32"/>
      <c r="E403" s="11" t="str" cm="1">
        <f t="array" ref="E403">_xlfn.IFS(
    COUNTIF(Herramientas_eléctricas1862[Herramientas_eléctricas], B403) &gt; 0, Herramientas_eléctricas1862[[#Headers],[Herramientas_eléctricas]],
    COUNTIF(Herramientas_neumáticas1963[Herramientas_neumáticas], B403) &gt; 0, Herramientas_neumáticas1963[[#Headers],[Herramientas_neumáticas]],
    COUNTIF(Herramientas_de_medición2064[Herramientas_de_medición], B403) &gt; 0, Herramientas_de_medición2064[[#Headers],[Herramientas_de_medición]],
    COUNTIF(Herrramientas_mecánicas2165[Herramientas_mecánicas], B403) &gt; 0, Herrramientas_mecánicas2165[[#Headers],[Herramientas_mecánicas]],
    COUNTIF(AK403:AK409, B403) &gt; 0, Herramientas_hidráulicas2266[[#Headers],[Herramientas_hidráulicas]],
    COUNTIF(EPP_2367[SPCC], B403) &gt; 0, EPP_2367[[#Headers],[SPCC]],
   COUNTIF(Herramientas_de_izaje2468[Herramientas_de_izaje], B403) &gt; 0, Herramientas_de_izaje2468[[#Headers],[Herramientas_de_izaje]],
COUNTIF(Tabla162670[Equipos], B403) &gt; 0, Tabla162670[[#Headers],[Equipos]],
    TRUE, "Sin clasificación"
)</f>
        <v>Sin clasificación</v>
      </c>
      <c r="G403" s="15"/>
      <c r="H403" s="47"/>
      <c r="I403" s="87"/>
      <c r="J403" s="78"/>
      <c r="K403" s="78"/>
      <c r="L403" s="78"/>
      <c r="M403" s="78"/>
      <c r="N403" s="76"/>
      <c r="O403" s="76"/>
      <c r="P403" s="78" t="str">
        <f>_xlfn.LET(
    _xlpm.itemBuscado, B403,
    _xlpm.areaBuscada, C403,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TEXT(COUNTIF($C$2:C403, _xlpm.areaBuscada), "0000"),
    _xlpm.codItem &amp; "-" &amp; _xlpm.codArea &amp; "-" &amp; _xlpm.secuencia
)</f>
        <v>-SinArea-0000</v>
      </c>
      <c r="Q403" s="77"/>
      <c r="R403" s="32"/>
      <c r="S403" s="32"/>
      <c r="T403" s="32"/>
      <c r="U403" s="32"/>
    </row>
    <row r="404" spans="3:21" x14ac:dyDescent="0.3">
      <c r="C404" s="11"/>
      <c r="D404" s="32"/>
      <c r="E404" s="11" t="str" cm="1">
        <f t="array" ref="E404">_xlfn.IFS(
    COUNTIF(Herramientas_eléctricas1862[Herramientas_eléctricas], B404) &gt; 0, Herramientas_eléctricas1862[[#Headers],[Herramientas_eléctricas]],
    COUNTIF(Herramientas_neumáticas1963[Herramientas_neumáticas], B404) &gt; 0, Herramientas_neumáticas1963[[#Headers],[Herramientas_neumáticas]],
    COUNTIF(Herramientas_de_medición2064[Herramientas_de_medición], B404) &gt; 0, Herramientas_de_medición2064[[#Headers],[Herramientas_de_medición]],
    COUNTIF(Herrramientas_mecánicas2165[Herramientas_mecánicas], B404) &gt; 0, Herrramientas_mecánicas2165[[#Headers],[Herramientas_mecánicas]],
    COUNTIF(AK404:AK410, B404) &gt; 0, Herramientas_hidráulicas2266[[#Headers],[Herramientas_hidráulicas]],
    COUNTIF(EPP_2367[SPCC], B404) &gt; 0, EPP_2367[[#Headers],[SPCC]],
   COUNTIF(Herramientas_de_izaje2468[Herramientas_de_izaje], B404) &gt; 0, Herramientas_de_izaje2468[[#Headers],[Herramientas_de_izaje]],
COUNTIF(Tabla162670[Equipos], B404) &gt; 0, Tabla162670[[#Headers],[Equipos]],
    TRUE, "Sin clasificación"
)</f>
        <v>Sin clasificación</v>
      </c>
      <c r="G404" s="15"/>
      <c r="H404" s="47"/>
      <c r="I404" s="87"/>
      <c r="J404" s="78"/>
      <c r="K404" s="78"/>
      <c r="L404" s="78"/>
      <c r="M404" s="78"/>
      <c r="N404" s="76"/>
      <c r="O404" s="76"/>
      <c r="P404" s="78" t="str">
        <f>_xlfn.LET(
    _xlpm.itemBuscado, B404,
    _xlpm.areaBuscada, C404,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TEXT(COUNTIF($C$2:C404, _xlpm.areaBuscada), "0000"),
    _xlpm.codItem &amp; "-" &amp; _xlpm.codArea &amp; "-" &amp; _xlpm.secuencia
)</f>
        <v>-SinArea-0000</v>
      </c>
      <c r="Q404" s="77"/>
      <c r="R404" s="32"/>
      <c r="S404" s="32"/>
      <c r="T404" s="32"/>
      <c r="U404" s="32"/>
    </row>
    <row r="405" spans="3:21" x14ac:dyDescent="0.3">
      <c r="C405" s="11"/>
      <c r="D405" s="32"/>
      <c r="E405" s="11" t="str" cm="1">
        <f t="array" ref="E405">_xlfn.IFS(
    COUNTIF(Herramientas_eléctricas1862[Herramientas_eléctricas], B405) &gt; 0, Herramientas_eléctricas1862[[#Headers],[Herramientas_eléctricas]],
    COUNTIF(Herramientas_neumáticas1963[Herramientas_neumáticas], B405) &gt; 0, Herramientas_neumáticas1963[[#Headers],[Herramientas_neumáticas]],
    COUNTIF(Herramientas_de_medición2064[Herramientas_de_medición], B405) &gt; 0, Herramientas_de_medición2064[[#Headers],[Herramientas_de_medición]],
    COUNTIF(Herrramientas_mecánicas2165[Herramientas_mecánicas], B405) &gt; 0, Herrramientas_mecánicas2165[[#Headers],[Herramientas_mecánicas]],
    COUNTIF(AK405:AK411, B405) &gt; 0, Herramientas_hidráulicas2266[[#Headers],[Herramientas_hidráulicas]],
    COUNTIF(EPP_2367[SPCC], B405) &gt; 0, EPP_2367[[#Headers],[SPCC]],
   COUNTIF(Herramientas_de_izaje2468[Herramientas_de_izaje], B405) &gt; 0, Herramientas_de_izaje2468[[#Headers],[Herramientas_de_izaje]],
COUNTIF(Tabla162670[Equipos], B405) &gt; 0, Tabla162670[[#Headers],[Equipos]],
    TRUE, "Sin clasificación"
)</f>
        <v>Sin clasificación</v>
      </c>
      <c r="G405" s="15"/>
      <c r="H405" s="47"/>
      <c r="I405" s="87"/>
      <c r="J405" s="78"/>
      <c r="K405" s="78"/>
      <c r="L405" s="78"/>
      <c r="M405" s="78"/>
      <c r="N405" s="76"/>
      <c r="O405" s="76"/>
      <c r="P405" s="78" t="str">
        <f>_xlfn.LET(
    _xlpm.itemBuscado, B405,
    _xlpm.areaBuscada, C405,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TEXT(COUNTIF($C$2:C405, _xlpm.areaBuscada), "0000"),
    _xlpm.codItem &amp; "-" &amp; _xlpm.codArea &amp; "-" &amp; _xlpm.secuencia
)</f>
        <v>-SinArea-0000</v>
      </c>
      <c r="Q405" s="77"/>
      <c r="R405" s="32"/>
      <c r="S405" s="32"/>
      <c r="T405" s="32"/>
      <c r="U405" s="32"/>
    </row>
    <row r="406" spans="3:21" x14ac:dyDescent="0.3">
      <c r="C406" s="11"/>
      <c r="D406" s="32"/>
      <c r="E406" s="11" t="str" cm="1">
        <f t="array" ref="E406">_xlfn.IFS(
    COUNTIF(Herramientas_eléctricas1862[Herramientas_eléctricas], B406) &gt; 0, Herramientas_eléctricas1862[[#Headers],[Herramientas_eléctricas]],
    COUNTIF(Herramientas_neumáticas1963[Herramientas_neumáticas], B406) &gt; 0, Herramientas_neumáticas1963[[#Headers],[Herramientas_neumáticas]],
    COUNTIF(Herramientas_de_medición2064[Herramientas_de_medición], B406) &gt; 0, Herramientas_de_medición2064[[#Headers],[Herramientas_de_medición]],
    COUNTIF(Herrramientas_mecánicas2165[Herramientas_mecánicas], B406) &gt; 0, Herrramientas_mecánicas2165[[#Headers],[Herramientas_mecánicas]],
    COUNTIF(AK406:AK412, B406) &gt; 0, Herramientas_hidráulicas2266[[#Headers],[Herramientas_hidráulicas]],
    COUNTIF(EPP_2367[SPCC], B406) &gt; 0, EPP_2367[[#Headers],[SPCC]],
   COUNTIF(Herramientas_de_izaje2468[Herramientas_de_izaje], B406) &gt; 0, Herramientas_de_izaje2468[[#Headers],[Herramientas_de_izaje]],
COUNTIF(Tabla162670[Equipos], B406) &gt; 0, Tabla162670[[#Headers],[Equipos]],
    TRUE, "Sin clasificación"
)</f>
        <v>Sin clasificación</v>
      </c>
      <c r="G406" s="15"/>
      <c r="H406" s="47"/>
      <c r="I406" s="87"/>
      <c r="J406" s="78"/>
      <c r="K406" s="78"/>
      <c r="L406" s="78"/>
      <c r="M406" s="78"/>
      <c r="N406" s="76"/>
      <c r="O406" s="76"/>
      <c r="P406" s="78" t="str">
        <f>_xlfn.LET(
    _xlpm.itemBuscado, B406,
    _xlpm.areaBuscada, C406,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TEXT(COUNTIF($C$2:C406, _xlpm.areaBuscada), "0000"),
    _xlpm.codItem &amp; "-" &amp; _xlpm.codArea &amp; "-" &amp; _xlpm.secuencia
)</f>
        <v>-SinArea-0000</v>
      </c>
      <c r="Q406" s="77"/>
      <c r="R406" s="32"/>
      <c r="S406" s="32"/>
      <c r="T406" s="32"/>
      <c r="U406" s="32"/>
    </row>
    <row r="407" spans="3:21" x14ac:dyDescent="0.3">
      <c r="C407" s="11"/>
      <c r="D407" s="32"/>
      <c r="E407" s="11" t="str" cm="1">
        <f t="array" ref="E407">_xlfn.IFS(
    COUNTIF(Herramientas_eléctricas1862[Herramientas_eléctricas], B407) &gt; 0, Herramientas_eléctricas1862[[#Headers],[Herramientas_eléctricas]],
    COUNTIF(Herramientas_neumáticas1963[Herramientas_neumáticas], B407) &gt; 0, Herramientas_neumáticas1963[[#Headers],[Herramientas_neumáticas]],
    COUNTIF(Herramientas_de_medición2064[Herramientas_de_medición], B407) &gt; 0, Herramientas_de_medición2064[[#Headers],[Herramientas_de_medición]],
    COUNTIF(Herrramientas_mecánicas2165[Herramientas_mecánicas], B407) &gt; 0, Herrramientas_mecánicas2165[[#Headers],[Herramientas_mecánicas]],
    COUNTIF(AK407:AK413, B407) &gt; 0, Herramientas_hidráulicas2266[[#Headers],[Herramientas_hidráulicas]],
    COUNTIF(EPP_2367[SPCC], B407) &gt; 0, EPP_2367[[#Headers],[SPCC]],
   COUNTIF(Herramientas_de_izaje2468[Herramientas_de_izaje], B407) &gt; 0, Herramientas_de_izaje2468[[#Headers],[Herramientas_de_izaje]],
COUNTIF(Tabla162670[Equipos], B407) &gt; 0, Tabla162670[[#Headers],[Equipos]],
    TRUE, "Sin clasificación"
)</f>
        <v>Sin clasificación</v>
      </c>
      <c r="G407" s="15"/>
      <c r="H407" s="47"/>
      <c r="I407" s="87"/>
      <c r="J407" s="78"/>
      <c r="K407" s="78"/>
      <c r="L407" s="78"/>
      <c r="M407" s="78"/>
      <c r="N407" s="76"/>
      <c r="O407" s="76"/>
      <c r="P407" s="78" t="str">
        <f>_xlfn.LET(
    _xlpm.itemBuscado, B407,
    _xlpm.areaBuscada, C407,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TEXT(COUNTIF($C$2:C407, _xlpm.areaBuscada), "0000"),
    _xlpm.codItem &amp; "-" &amp; _xlpm.codArea &amp; "-" &amp; _xlpm.secuencia
)</f>
        <v>-SinArea-0000</v>
      </c>
      <c r="Q407" s="77"/>
      <c r="R407" s="32"/>
      <c r="S407" s="32"/>
      <c r="T407" s="32"/>
      <c r="U407" s="32"/>
    </row>
    <row r="408" spans="3:21" x14ac:dyDescent="0.3">
      <c r="C408" s="11"/>
      <c r="D408" s="32"/>
      <c r="E408" s="11" t="str" cm="1">
        <f t="array" ref="E408">_xlfn.IFS(
    COUNTIF(Herramientas_eléctricas1862[Herramientas_eléctricas], B408) &gt; 0, Herramientas_eléctricas1862[[#Headers],[Herramientas_eléctricas]],
    COUNTIF(Herramientas_neumáticas1963[Herramientas_neumáticas], B408) &gt; 0, Herramientas_neumáticas1963[[#Headers],[Herramientas_neumáticas]],
    COUNTIF(Herramientas_de_medición2064[Herramientas_de_medición], B408) &gt; 0, Herramientas_de_medición2064[[#Headers],[Herramientas_de_medición]],
    COUNTIF(Herrramientas_mecánicas2165[Herramientas_mecánicas], B408) &gt; 0, Herrramientas_mecánicas2165[[#Headers],[Herramientas_mecánicas]],
    COUNTIF(AK408:AK414, B408) &gt; 0, Herramientas_hidráulicas2266[[#Headers],[Herramientas_hidráulicas]],
    COUNTIF(EPP_2367[SPCC], B408) &gt; 0, EPP_2367[[#Headers],[SPCC]],
   COUNTIF(Herramientas_de_izaje2468[Herramientas_de_izaje], B408) &gt; 0, Herramientas_de_izaje2468[[#Headers],[Herramientas_de_izaje]],
COUNTIF(Tabla162670[Equipos], B408) &gt; 0, Tabla162670[[#Headers],[Equipos]],
    TRUE, "Sin clasificación"
)</f>
        <v>Sin clasificación</v>
      </c>
      <c r="G408" s="15"/>
      <c r="H408" s="47"/>
      <c r="I408" s="87"/>
      <c r="J408" s="78"/>
      <c r="K408" s="78"/>
      <c r="L408" s="78"/>
      <c r="M408" s="78"/>
      <c r="N408" s="76"/>
      <c r="O408" s="76"/>
      <c r="P408" s="78" t="str">
        <f>_xlfn.LET(
    _xlpm.itemBuscado, B408,
    _xlpm.areaBuscada, C408,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TEXT(COUNTIF($C$2:C408, _xlpm.areaBuscada), "0000"),
    _xlpm.codItem &amp; "-" &amp; _xlpm.codArea &amp; "-" &amp; _xlpm.secuencia
)</f>
        <v>-SinArea-0000</v>
      </c>
      <c r="Q408" s="77"/>
      <c r="R408" s="32"/>
      <c r="S408" s="32"/>
      <c r="T408" s="32"/>
      <c r="U408" s="32"/>
    </row>
    <row r="409" spans="3:21" x14ac:dyDescent="0.3">
      <c r="C409" s="11"/>
      <c r="D409" s="32"/>
      <c r="E409" s="11" t="str" cm="1">
        <f t="array" ref="E409">_xlfn.IFS(
    COUNTIF(Herramientas_eléctricas1862[Herramientas_eléctricas], B409) &gt; 0, Herramientas_eléctricas1862[[#Headers],[Herramientas_eléctricas]],
    COUNTIF(Herramientas_neumáticas1963[Herramientas_neumáticas], B409) &gt; 0, Herramientas_neumáticas1963[[#Headers],[Herramientas_neumáticas]],
    COUNTIF(Herramientas_de_medición2064[Herramientas_de_medición], B409) &gt; 0, Herramientas_de_medición2064[[#Headers],[Herramientas_de_medición]],
    COUNTIF(Herrramientas_mecánicas2165[Herramientas_mecánicas], B409) &gt; 0, Herrramientas_mecánicas2165[[#Headers],[Herramientas_mecánicas]],
    COUNTIF(AK409:AK415, B409) &gt; 0, Herramientas_hidráulicas2266[[#Headers],[Herramientas_hidráulicas]],
    COUNTIF(EPP_2367[SPCC], B409) &gt; 0, EPP_2367[[#Headers],[SPCC]],
   COUNTIF(Herramientas_de_izaje2468[Herramientas_de_izaje], B409) &gt; 0, Herramientas_de_izaje2468[[#Headers],[Herramientas_de_izaje]],
COUNTIF(Tabla162670[Equipos], B409) &gt; 0, Tabla162670[[#Headers],[Equipos]],
    TRUE, "Sin clasificación"
)</f>
        <v>Sin clasificación</v>
      </c>
      <c r="G409" s="15"/>
      <c r="H409" s="47"/>
      <c r="I409" s="87"/>
      <c r="J409" s="78"/>
      <c r="K409" s="78"/>
      <c r="L409" s="78"/>
      <c r="M409" s="78"/>
      <c r="N409" s="76"/>
      <c r="O409" s="76"/>
      <c r="P409" s="78" t="str">
        <f>_xlfn.LET(
    _xlpm.itemBuscado, B409,
    _xlpm.areaBuscada, C409,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TEXT(COUNTIF($C$2:C409, _xlpm.areaBuscada), "0000"),
    _xlpm.codItem &amp; "-" &amp; _xlpm.codArea &amp; "-" &amp; _xlpm.secuencia
)</f>
        <v>-SinArea-0000</v>
      </c>
      <c r="Q409" s="77"/>
      <c r="R409" s="32"/>
      <c r="S409" s="32"/>
      <c r="T409" s="32"/>
      <c r="U409" s="32"/>
    </row>
    <row r="410" spans="3:21" x14ac:dyDescent="0.3">
      <c r="C410" s="11"/>
      <c r="D410" s="32"/>
      <c r="E410" s="11" t="str" cm="1">
        <f t="array" ref="E410">_xlfn.IFS(
    COUNTIF(Herramientas_eléctricas1862[Herramientas_eléctricas], B410) &gt; 0, Herramientas_eléctricas1862[[#Headers],[Herramientas_eléctricas]],
    COUNTIF(Herramientas_neumáticas1963[Herramientas_neumáticas], B410) &gt; 0, Herramientas_neumáticas1963[[#Headers],[Herramientas_neumáticas]],
    COUNTIF(Herramientas_de_medición2064[Herramientas_de_medición], B410) &gt; 0, Herramientas_de_medición2064[[#Headers],[Herramientas_de_medición]],
    COUNTIF(Herrramientas_mecánicas2165[Herramientas_mecánicas], B410) &gt; 0, Herrramientas_mecánicas2165[[#Headers],[Herramientas_mecánicas]],
    COUNTIF(AK410:AK416, B410) &gt; 0, Herramientas_hidráulicas2266[[#Headers],[Herramientas_hidráulicas]],
    COUNTIF(EPP_2367[SPCC], B410) &gt; 0, EPP_2367[[#Headers],[SPCC]],
   COUNTIF(Herramientas_de_izaje2468[Herramientas_de_izaje], B410) &gt; 0, Herramientas_de_izaje2468[[#Headers],[Herramientas_de_izaje]],
COUNTIF(Tabla162670[Equipos], B410) &gt; 0, Tabla162670[[#Headers],[Equipos]],
    TRUE, "Sin clasificación"
)</f>
        <v>Sin clasificación</v>
      </c>
      <c r="G410" s="15"/>
      <c r="H410" s="47"/>
      <c r="I410" s="87"/>
      <c r="J410" s="78"/>
      <c r="K410" s="78"/>
      <c r="L410" s="78"/>
      <c r="M410" s="78"/>
      <c r="N410" s="76"/>
      <c r="O410" s="76"/>
      <c r="P410" s="78" t="str">
        <f>_xlfn.LET(
    _xlpm.itemBuscado, B410,
    _xlpm.areaBuscada, C410,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TEXT(COUNTIF($C$2:C410, _xlpm.areaBuscada), "0000"),
    _xlpm.codItem &amp; "-" &amp; _xlpm.codArea &amp; "-" &amp; _xlpm.secuencia
)</f>
        <v>-SinArea-0000</v>
      </c>
      <c r="Q410" s="77"/>
      <c r="R410" s="32"/>
      <c r="S410" s="32"/>
      <c r="T410" s="32"/>
      <c r="U410" s="32"/>
    </row>
    <row r="411" spans="3:21" x14ac:dyDescent="0.3">
      <c r="C411" s="11"/>
      <c r="D411" s="32"/>
      <c r="E411" s="11" t="str" cm="1">
        <f t="array" ref="E411">_xlfn.IFS(
    COUNTIF(Herramientas_eléctricas1862[Herramientas_eléctricas], B411) &gt; 0, Herramientas_eléctricas1862[[#Headers],[Herramientas_eléctricas]],
    COUNTIF(Herramientas_neumáticas1963[Herramientas_neumáticas], B411) &gt; 0, Herramientas_neumáticas1963[[#Headers],[Herramientas_neumáticas]],
    COUNTIF(Herramientas_de_medición2064[Herramientas_de_medición], B411) &gt; 0, Herramientas_de_medición2064[[#Headers],[Herramientas_de_medición]],
    COUNTIF(Herrramientas_mecánicas2165[Herramientas_mecánicas], B411) &gt; 0, Herrramientas_mecánicas2165[[#Headers],[Herramientas_mecánicas]],
    COUNTIF(AK411:AK417, B411) &gt; 0, Herramientas_hidráulicas2266[[#Headers],[Herramientas_hidráulicas]],
    COUNTIF(EPP_2367[SPCC], B411) &gt; 0, EPP_2367[[#Headers],[SPCC]],
   COUNTIF(Herramientas_de_izaje2468[Herramientas_de_izaje], B411) &gt; 0, Herramientas_de_izaje2468[[#Headers],[Herramientas_de_izaje]],
COUNTIF(Tabla162670[Equipos], B411) &gt; 0, Tabla162670[[#Headers],[Equipos]],
    TRUE, "Sin clasificación"
)</f>
        <v>Sin clasificación</v>
      </c>
      <c r="G411" s="15"/>
      <c r="H411" s="47"/>
      <c r="I411" s="87"/>
      <c r="J411" s="78"/>
      <c r="K411" s="78"/>
      <c r="L411" s="78"/>
      <c r="M411" s="78"/>
      <c r="N411" s="76"/>
      <c r="O411" s="76"/>
      <c r="P411" s="78" t="str">
        <f>_xlfn.LET(
    _xlpm.itemBuscado, B411,
    _xlpm.areaBuscada, C411,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TEXT(COUNTIF($C$2:C411, _xlpm.areaBuscada), "0000"),
    _xlpm.codItem &amp; "-" &amp; _xlpm.codArea &amp; "-" &amp; _xlpm.secuencia
)</f>
        <v>-SinArea-0000</v>
      </c>
      <c r="Q411" s="77"/>
      <c r="R411" s="32"/>
      <c r="S411" s="32"/>
      <c r="T411" s="32"/>
      <c r="U411" s="32"/>
    </row>
    <row r="412" spans="3:21" x14ac:dyDescent="0.3">
      <c r="C412" s="11"/>
      <c r="D412" s="32"/>
      <c r="E412" s="11" t="str" cm="1">
        <f t="array" ref="E412">_xlfn.IFS(
    COUNTIF(Herramientas_eléctricas1862[Herramientas_eléctricas], B412) &gt; 0, Herramientas_eléctricas1862[[#Headers],[Herramientas_eléctricas]],
    COUNTIF(Herramientas_neumáticas1963[Herramientas_neumáticas], B412) &gt; 0, Herramientas_neumáticas1963[[#Headers],[Herramientas_neumáticas]],
    COUNTIF(Herramientas_de_medición2064[Herramientas_de_medición], B412) &gt; 0, Herramientas_de_medición2064[[#Headers],[Herramientas_de_medición]],
    COUNTIF(Herrramientas_mecánicas2165[Herramientas_mecánicas], B412) &gt; 0, Herrramientas_mecánicas2165[[#Headers],[Herramientas_mecánicas]],
    COUNTIF(AK412:AK418, B412) &gt; 0, Herramientas_hidráulicas2266[[#Headers],[Herramientas_hidráulicas]],
    COUNTIF(EPP_2367[SPCC], B412) &gt; 0, EPP_2367[[#Headers],[SPCC]],
   COUNTIF(Herramientas_de_izaje2468[Herramientas_de_izaje], B412) &gt; 0, Herramientas_de_izaje2468[[#Headers],[Herramientas_de_izaje]],
COUNTIF(Tabla162670[Equipos], B412) &gt; 0, Tabla162670[[#Headers],[Equipos]],
    TRUE, "Sin clasificación"
)</f>
        <v>Sin clasificación</v>
      </c>
      <c r="G412" s="15"/>
      <c r="H412" s="47"/>
      <c r="I412" s="87"/>
      <c r="J412" s="78"/>
      <c r="K412" s="78"/>
      <c r="L412" s="78"/>
      <c r="M412" s="78"/>
      <c r="N412" s="76"/>
      <c r="O412" s="76"/>
      <c r="P412" s="78" t="str">
        <f>_xlfn.LET(
    _xlpm.itemBuscado, B412,
    _xlpm.areaBuscada, C412,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TEXT(COUNTIF($C$2:C412, _xlpm.areaBuscada), "0000"),
    _xlpm.codItem &amp; "-" &amp; _xlpm.codArea &amp; "-" &amp; _xlpm.secuencia
)</f>
        <v>-SinArea-0000</v>
      </c>
      <c r="Q412" s="77"/>
      <c r="R412" s="32"/>
      <c r="S412" s="32"/>
      <c r="T412" s="32"/>
      <c r="U412" s="32"/>
    </row>
    <row r="413" spans="3:21" x14ac:dyDescent="0.3">
      <c r="C413" s="11"/>
      <c r="D413" s="32"/>
      <c r="E413" s="11" t="str" cm="1">
        <f t="array" ref="E413">_xlfn.IFS(
    COUNTIF(Herramientas_eléctricas1862[Herramientas_eléctricas], B413) &gt; 0, Herramientas_eléctricas1862[[#Headers],[Herramientas_eléctricas]],
    COUNTIF(Herramientas_neumáticas1963[Herramientas_neumáticas], B413) &gt; 0, Herramientas_neumáticas1963[[#Headers],[Herramientas_neumáticas]],
    COUNTIF(Herramientas_de_medición2064[Herramientas_de_medición], B413) &gt; 0, Herramientas_de_medición2064[[#Headers],[Herramientas_de_medición]],
    COUNTIF(Herrramientas_mecánicas2165[Herramientas_mecánicas], B413) &gt; 0, Herrramientas_mecánicas2165[[#Headers],[Herramientas_mecánicas]],
    COUNTIF(AK413:AK419, B413) &gt; 0, Herramientas_hidráulicas2266[[#Headers],[Herramientas_hidráulicas]],
    COUNTIF(EPP_2367[SPCC], B413) &gt; 0, EPP_2367[[#Headers],[SPCC]],
   COUNTIF(Herramientas_de_izaje2468[Herramientas_de_izaje], B413) &gt; 0, Herramientas_de_izaje2468[[#Headers],[Herramientas_de_izaje]],
COUNTIF(Tabla162670[Equipos], B413) &gt; 0, Tabla162670[[#Headers],[Equipos]],
    TRUE, "Sin clasificación"
)</f>
        <v>Sin clasificación</v>
      </c>
      <c r="G413" s="15"/>
      <c r="H413" s="47"/>
      <c r="I413" s="87"/>
      <c r="J413" s="78"/>
      <c r="K413" s="78"/>
      <c r="L413" s="78"/>
      <c r="M413" s="78"/>
      <c r="N413" s="76"/>
      <c r="O413" s="76"/>
      <c r="P413" s="78" t="str">
        <f>_xlfn.LET(
    _xlpm.itemBuscado, B413,
    _xlpm.areaBuscada, C413,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TEXT(COUNTIF($C$2:C413, _xlpm.areaBuscada), "0000"),
    _xlpm.codItem &amp; "-" &amp; _xlpm.codArea &amp; "-" &amp; _xlpm.secuencia
)</f>
        <v>-SinArea-0000</v>
      </c>
      <c r="Q413" s="77"/>
      <c r="R413" s="32"/>
      <c r="S413" s="32"/>
      <c r="T413" s="32"/>
      <c r="U413" s="32"/>
    </row>
    <row r="414" spans="3:21" x14ac:dyDescent="0.3">
      <c r="C414" s="11"/>
      <c r="D414" s="32"/>
      <c r="E414" s="11" t="str" cm="1">
        <f t="array" ref="E414">_xlfn.IFS(
    COUNTIF(Herramientas_eléctricas1862[Herramientas_eléctricas], B414) &gt; 0, Herramientas_eléctricas1862[[#Headers],[Herramientas_eléctricas]],
    COUNTIF(Herramientas_neumáticas1963[Herramientas_neumáticas], B414) &gt; 0, Herramientas_neumáticas1963[[#Headers],[Herramientas_neumáticas]],
    COUNTIF(Herramientas_de_medición2064[Herramientas_de_medición], B414) &gt; 0, Herramientas_de_medición2064[[#Headers],[Herramientas_de_medición]],
    COUNTIF(Herrramientas_mecánicas2165[Herramientas_mecánicas], B414) &gt; 0, Herrramientas_mecánicas2165[[#Headers],[Herramientas_mecánicas]],
    COUNTIF(AK414:AK420, B414) &gt; 0, Herramientas_hidráulicas2266[[#Headers],[Herramientas_hidráulicas]],
    COUNTIF(EPP_2367[SPCC], B414) &gt; 0, EPP_2367[[#Headers],[SPCC]],
   COUNTIF(Herramientas_de_izaje2468[Herramientas_de_izaje], B414) &gt; 0, Herramientas_de_izaje2468[[#Headers],[Herramientas_de_izaje]],
COUNTIF(Tabla162670[Equipos], B414) &gt; 0, Tabla162670[[#Headers],[Equipos]],
    TRUE, "Sin clasificación"
)</f>
        <v>Sin clasificación</v>
      </c>
      <c r="G414" s="15"/>
      <c r="H414" s="47"/>
      <c r="I414" s="87"/>
      <c r="J414" s="78"/>
      <c r="K414" s="78"/>
      <c r="L414" s="78"/>
      <c r="M414" s="78"/>
      <c r="N414" s="76"/>
      <c r="O414" s="76"/>
      <c r="P414" s="78" t="str">
        <f>_xlfn.LET(
    _xlpm.itemBuscado, B414,
    _xlpm.areaBuscada, C414,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TEXT(COUNTIF($C$2:C414, _xlpm.areaBuscada), "0000"),
    _xlpm.codItem &amp; "-" &amp; _xlpm.codArea &amp; "-" &amp; _xlpm.secuencia
)</f>
        <v>-SinArea-0000</v>
      </c>
      <c r="Q414" s="77"/>
      <c r="R414" s="32"/>
      <c r="S414" s="32"/>
      <c r="T414" s="32"/>
      <c r="U414" s="32"/>
    </row>
    <row r="415" spans="3:21" x14ac:dyDescent="0.3">
      <c r="C415" s="11"/>
      <c r="D415" s="32"/>
      <c r="E415" s="11" t="str" cm="1">
        <f t="array" ref="E415">_xlfn.IFS(
    COUNTIF(Herramientas_eléctricas1862[Herramientas_eléctricas], B415) &gt; 0, Herramientas_eléctricas1862[[#Headers],[Herramientas_eléctricas]],
    COUNTIF(Herramientas_neumáticas1963[Herramientas_neumáticas], B415) &gt; 0, Herramientas_neumáticas1963[[#Headers],[Herramientas_neumáticas]],
    COUNTIF(Herramientas_de_medición2064[Herramientas_de_medición], B415) &gt; 0, Herramientas_de_medición2064[[#Headers],[Herramientas_de_medición]],
    COUNTIF(Herrramientas_mecánicas2165[Herramientas_mecánicas], B415) &gt; 0, Herrramientas_mecánicas2165[[#Headers],[Herramientas_mecánicas]],
    COUNTIF(AK415:AK421, B415) &gt; 0, Herramientas_hidráulicas2266[[#Headers],[Herramientas_hidráulicas]],
    COUNTIF(EPP_2367[SPCC], B415) &gt; 0, EPP_2367[[#Headers],[SPCC]],
   COUNTIF(Herramientas_de_izaje2468[Herramientas_de_izaje], B415) &gt; 0, Herramientas_de_izaje2468[[#Headers],[Herramientas_de_izaje]],
COUNTIF(Tabla162670[Equipos], B415) &gt; 0, Tabla162670[[#Headers],[Equipos]],
    TRUE, "Sin clasificación"
)</f>
        <v>Sin clasificación</v>
      </c>
      <c r="G415" s="15"/>
      <c r="H415" s="47"/>
      <c r="I415" s="87"/>
      <c r="J415" s="78"/>
      <c r="K415" s="78"/>
      <c r="L415" s="78"/>
      <c r="M415" s="78"/>
      <c r="N415" s="76"/>
      <c r="O415" s="76"/>
      <c r="P415" s="78" t="str">
        <f>_xlfn.LET(
    _xlpm.itemBuscado, B415,
    _xlpm.areaBuscada, C415,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TEXT(COUNTIF($C$2:C415, _xlpm.areaBuscada), "0000"),
    _xlpm.codItem &amp; "-" &amp; _xlpm.codArea &amp; "-" &amp; _xlpm.secuencia
)</f>
        <v>-SinArea-0000</v>
      </c>
      <c r="Q415" s="77"/>
      <c r="R415" s="32"/>
      <c r="S415" s="32"/>
      <c r="T415" s="32"/>
      <c r="U415" s="32"/>
    </row>
    <row r="416" spans="3:21" x14ac:dyDescent="0.3">
      <c r="C416" s="11"/>
      <c r="D416" s="32"/>
      <c r="E416" s="11" t="str" cm="1">
        <f t="array" ref="E416">_xlfn.IFS(
    COUNTIF(Herramientas_eléctricas1862[Herramientas_eléctricas], B416) &gt; 0, Herramientas_eléctricas1862[[#Headers],[Herramientas_eléctricas]],
    COUNTIF(Herramientas_neumáticas1963[Herramientas_neumáticas], B416) &gt; 0, Herramientas_neumáticas1963[[#Headers],[Herramientas_neumáticas]],
    COUNTIF(Herramientas_de_medición2064[Herramientas_de_medición], B416) &gt; 0, Herramientas_de_medición2064[[#Headers],[Herramientas_de_medición]],
    COUNTIF(Herrramientas_mecánicas2165[Herramientas_mecánicas], B416) &gt; 0, Herrramientas_mecánicas2165[[#Headers],[Herramientas_mecánicas]],
    COUNTIF(AK416:AK422, B416) &gt; 0, Herramientas_hidráulicas2266[[#Headers],[Herramientas_hidráulicas]],
    COUNTIF(EPP_2367[SPCC], B416) &gt; 0, EPP_2367[[#Headers],[SPCC]],
   COUNTIF(Herramientas_de_izaje2468[Herramientas_de_izaje], B416) &gt; 0, Herramientas_de_izaje2468[[#Headers],[Herramientas_de_izaje]],
COUNTIF(Tabla162670[Equipos], B416) &gt; 0, Tabla162670[[#Headers],[Equipos]],
    TRUE, "Sin clasificación"
)</f>
        <v>Sin clasificación</v>
      </c>
      <c r="G416" s="15"/>
      <c r="H416" s="47"/>
      <c r="I416" s="87"/>
      <c r="J416" s="78"/>
      <c r="K416" s="78"/>
      <c r="L416" s="78"/>
      <c r="M416" s="78"/>
      <c r="N416" s="76"/>
      <c r="O416" s="76"/>
      <c r="P416" s="78" t="str">
        <f>_xlfn.LET(
    _xlpm.itemBuscado, B416,
    _xlpm.areaBuscada, C416,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TEXT(COUNTIF($C$2:C416, _xlpm.areaBuscada), "0000"),
    _xlpm.codItem &amp; "-" &amp; _xlpm.codArea &amp; "-" &amp; _xlpm.secuencia
)</f>
        <v>-SinArea-0000</v>
      </c>
      <c r="Q416" s="77"/>
      <c r="R416" s="32"/>
      <c r="S416" s="32"/>
      <c r="T416" s="32"/>
      <c r="U416" s="32"/>
    </row>
    <row r="417" spans="3:21" x14ac:dyDescent="0.3">
      <c r="C417" s="11"/>
      <c r="D417" s="32"/>
      <c r="E417" s="11" t="str" cm="1">
        <f t="array" ref="E417">_xlfn.IFS(
    COUNTIF(Herramientas_eléctricas1862[Herramientas_eléctricas], B417) &gt; 0, Herramientas_eléctricas1862[[#Headers],[Herramientas_eléctricas]],
    COUNTIF(Herramientas_neumáticas1963[Herramientas_neumáticas], B417) &gt; 0, Herramientas_neumáticas1963[[#Headers],[Herramientas_neumáticas]],
    COUNTIF(Herramientas_de_medición2064[Herramientas_de_medición], B417) &gt; 0, Herramientas_de_medición2064[[#Headers],[Herramientas_de_medición]],
    COUNTIF(Herrramientas_mecánicas2165[Herramientas_mecánicas], B417) &gt; 0, Herrramientas_mecánicas2165[[#Headers],[Herramientas_mecánicas]],
    COUNTIF(AK417:AK423, B417) &gt; 0, Herramientas_hidráulicas2266[[#Headers],[Herramientas_hidráulicas]],
    COUNTIF(EPP_2367[SPCC], B417) &gt; 0, EPP_2367[[#Headers],[SPCC]],
   COUNTIF(Herramientas_de_izaje2468[Herramientas_de_izaje], B417) &gt; 0, Herramientas_de_izaje2468[[#Headers],[Herramientas_de_izaje]],
COUNTIF(Tabla162670[Equipos], B417) &gt; 0, Tabla162670[[#Headers],[Equipos]],
    TRUE, "Sin clasificación"
)</f>
        <v>Sin clasificación</v>
      </c>
      <c r="G417" s="15"/>
      <c r="H417" s="47"/>
      <c r="I417" s="87"/>
      <c r="J417" s="78"/>
      <c r="K417" s="78"/>
      <c r="L417" s="78"/>
      <c r="M417" s="78"/>
      <c r="N417" s="76"/>
      <c r="O417" s="76"/>
      <c r="P417" s="78" t="str">
        <f>_xlfn.LET(
    _xlpm.itemBuscado, B417,
    _xlpm.areaBuscada, C417,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TEXT(COUNTIF($C$2:C417, _xlpm.areaBuscada), "0000"),
    _xlpm.codItem &amp; "-" &amp; _xlpm.codArea &amp; "-" &amp; _xlpm.secuencia
)</f>
        <v>-SinArea-0000</v>
      </c>
      <c r="Q417" s="77"/>
      <c r="R417" s="32"/>
      <c r="S417" s="32"/>
      <c r="T417" s="32"/>
      <c r="U417" s="32"/>
    </row>
    <row r="418" spans="3:21" x14ac:dyDescent="0.3">
      <c r="C418" s="11"/>
      <c r="D418" s="32"/>
      <c r="E418" s="11" t="str" cm="1">
        <f t="array" ref="E418">_xlfn.IFS(
    COUNTIF(Herramientas_eléctricas1862[Herramientas_eléctricas], B418) &gt; 0, Herramientas_eléctricas1862[[#Headers],[Herramientas_eléctricas]],
    COUNTIF(Herramientas_neumáticas1963[Herramientas_neumáticas], B418) &gt; 0, Herramientas_neumáticas1963[[#Headers],[Herramientas_neumáticas]],
    COUNTIF(Herramientas_de_medición2064[Herramientas_de_medición], B418) &gt; 0, Herramientas_de_medición2064[[#Headers],[Herramientas_de_medición]],
    COUNTIF(Herrramientas_mecánicas2165[Herramientas_mecánicas], B418) &gt; 0, Herrramientas_mecánicas2165[[#Headers],[Herramientas_mecánicas]],
    COUNTIF(AK418:AK424, B418) &gt; 0, Herramientas_hidráulicas2266[[#Headers],[Herramientas_hidráulicas]],
    COUNTIF(EPP_2367[SPCC], B418) &gt; 0, EPP_2367[[#Headers],[SPCC]],
   COUNTIF(Herramientas_de_izaje2468[Herramientas_de_izaje], B418) &gt; 0, Herramientas_de_izaje2468[[#Headers],[Herramientas_de_izaje]],
COUNTIF(Tabla162670[Equipos], B418) &gt; 0, Tabla162670[[#Headers],[Equipos]],
    TRUE, "Sin clasificación"
)</f>
        <v>Sin clasificación</v>
      </c>
      <c r="G418" s="15"/>
      <c r="H418" s="47"/>
      <c r="I418" s="87"/>
      <c r="J418" s="78"/>
      <c r="K418" s="78"/>
      <c r="L418" s="78"/>
      <c r="M418" s="78"/>
      <c r="N418" s="76"/>
      <c r="O418" s="76"/>
      <c r="P418" s="78" t="str">
        <f>_xlfn.LET(
    _xlpm.itemBuscado, B418,
    _xlpm.areaBuscada, C418,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TEXT(COUNTIF($C$2:C418, _xlpm.areaBuscada), "0000"),
    _xlpm.codItem &amp; "-" &amp; _xlpm.codArea &amp; "-" &amp; _xlpm.secuencia
)</f>
        <v>-SinArea-0000</v>
      </c>
      <c r="Q418" s="77"/>
      <c r="R418" s="32"/>
      <c r="S418" s="32"/>
      <c r="T418" s="32"/>
      <c r="U418" s="32"/>
    </row>
    <row r="419" spans="3:21" x14ac:dyDescent="0.3">
      <c r="C419" s="11"/>
      <c r="D419" s="32"/>
      <c r="E419" s="11" t="str" cm="1">
        <f t="array" ref="E419">_xlfn.IFS(
    COUNTIF(Herramientas_eléctricas1862[Herramientas_eléctricas], B419) &gt; 0, Herramientas_eléctricas1862[[#Headers],[Herramientas_eléctricas]],
    COUNTIF(Herramientas_neumáticas1963[Herramientas_neumáticas], B419) &gt; 0, Herramientas_neumáticas1963[[#Headers],[Herramientas_neumáticas]],
    COUNTIF(Herramientas_de_medición2064[Herramientas_de_medición], B419) &gt; 0, Herramientas_de_medición2064[[#Headers],[Herramientas_de_medición]],
    COUNTIF(Herrramientas_mecánicas2165[Herramientas_mecánicas], B419) &gt; 0, Herrramientas_mecánicas2165[[#Headers],[Herramientas_mecánicas]],
    COUNTIF(AK419:AK425, B419) &gt; 0, Herramientas_hidráulicas2266[[#Headers],[Herramientas_hidráulicas]],
    COUNTIF(EPP_2367[SPCC], B419) &gt; 0, EPP_2367[[#Headers],[SPCC]],
   COUNTIF(Herramientas_de_izaje2468[Herramientas_de_izaje], B419) &gt; 0, Herramientas_de_izaje2468[[#Headers],[Herramientas_de_izaje]],
COUNTIF(Tabla162670[Equipos], B419) &gt; 0, Tabla162670[[#Headers],[Equipos]],
    TRUE, "Sin clasificación"
)</f>
        <v>Sin clasificación</v>
      </c>
      <c r="G419" s="15"/>
      <c r="H419" s="47"/>
      <c r="I419" s="87"/>
      <c r="J419" s="78"/>
      <c r="K419" s="78"/>
      <c r="L419" s="78"/>
      <c r="M419" s="78"/>
      <c r="N419" s="76"/>
      <c r="O419" s="76"/>
      <c r="P419" s="78" t="str">
        <f>_xlfn.LET(
    _xlpm.itemBuscado, B419,
    _xlpm.areaBuscada, C419,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TEXT(COUNTIF($C$2:C419, _xlpm.areaBuscada), "0000"),
    _xlpm.codItem &amp; "-" &amp; _xlpm.codArea &amp; "-" &amp; _xlpm.secuencia
)</f>
        <v>-SinArea-0000</v>
      </c>
      <c r="Q419" s="77"/>
      <c r="R419" s="32"/>
      <c r="S419" s="32"/>
      <c r="T419" s="32"/>
      <c r="U419" s="32"/>
    </row>
    <row r="420" spans="3:21" x14ac:dyDescent="0.3">
      <c r="C420" s="11"/>
      <c r="D420" s="32"/>
      <c r="E420" s="11" t="str" cm="1">
        <f t="array" ref="E420">_xlfn.IFS(
    COUNTIF(Herramientas_eléctricas1862[Herramientas_eléctricas], B420) &gt; 0, Herramientas_eléctricas1862[[#Headers],[Herramientas_eléctricas]],
    COUNTIF(Herramientas_neumáticas1963[Herramientas_neumáticas], B420) &gt; 0, Herramientas_neumáticas1963[[#Headers],[Herramientas_neumáticas]],
    COUNTIF(Herramientas_de_medición2064[Herramientas_de_medición], B420) &gt; 0, Herramientas_de_medición2064[[#Headers],[Herramientas_de_medición]],
    COUNTIF(Herrramientas_mecánicas2165[Herramientas_mecánicas], B420) &gt; 0, Herrramientas_mecánicas2165[[#Headers],[Herramientas_mecánicas]],
    COUNTIF(AK420:AK426, B420) &gt; 0, Herramientas_hidráulicas2266[[#Headers],[Herramientas_hidráulicas]],
    COUNTIF(EPP_2367[SPCC], B420) &gt; 0, EPP_2367[[#Headers],[SPCC]],
   COUNTIF(Herramientas_de_izaje2468[Herramientas_de_izaje], B420) &gt; 0, Herramientas_de_izaje2468[[#Headers],[Herramientas_de_izaje]],
COUNTIF(Tabla162670[Equipos], B420) &gt; 0, Tabla162670[[#Headers],[Equipos]],
    TRUE, "Sin clasificación"
)</f>
        <v>Sin clasificación</v>
      </c>
      <c r="G420" s="15"/>
      <c r="H420" s="47"/>
      <c r="I420" s="87"/>
      <c r="J420" s="78"/>
      <c r="K420" s="78"/>
      <c r="L420" s="78"/>
      <c r="M420" s="78"/>
      <c r="N420" s="76"/>
      <c r="O420" s="76"/>
      <c r="P420" s="78" t="str">
        <f>_xlfn.LET(
    _xlpm.itemBuscado, B420,
    _xlpm.areaBuscada, C420,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TEXT(COUNTIF($C$2:C420, _xlpm.areaBuscada), "0000"),
    _xlpm.codItem &amp; "-" &amp; _xlpm.codArea &amp; "-" &amp; _xlpm.secuencia
)</f>
        <v>-SinArea-0000</v>
      </c>
      <c r="Q420" s="77"/>
      <c r="R420" s="32"/>
      <c r="S420" s="32"/>
      <c r="T420" s="32"/>
      <c r="U420" s="32"/>
    </row>
    <row r="421" spans="3:21" x14ac:dyDescent="0.3">
      <c r="C421" s="11"/>
      <c r="D421" s="32"/>
      <c r="E421" s="11" t="str" cm="1">
        <f t="array" ref="E421">_xlfn.IFS(
    COUNTIF(Herramientas_eléctricas1862[Herramientas_eléctricas], B421) &gt; 0, Herramientas_eléctricas1862[[#Headers],[Herramientas_eléctricas]],
    COUNTIF(Herramientas_neumáticas1963[Herramientas_neumáticas], B421) &gt; 0, Herramientas_neumáticas1963[[#Headers],[Herramientas_neumáticas]],
    COUNTIF(Herramientas_de_medición2064[Herramientas_de_medición], B421) &gt; 0, Herramientas_de_medición2064[[#Headers],[Herramientas_de_medición]],
    COUNTIF(Herrramientas_mecánicas2165[Herramientas_mecánicas], B421) &gt; 0, Herrramientas_mecánicas2165[[#Headers],[Herramientas_mecánicas]],
    COUNTIF(AK421:AK427, B421) &gt; 0, Herramientas_hidráulicas2266[[#Headers],[Herramientas_hidráulicas]],
    COUNTIF(EPP_2367[SPCC], B421) &gt; 0, EPP_2367[[#Headers],[SPCC]],
   COUNTIF(Herramientas_de_izaje2468[Herramientas_de_izaje], B421) &gt; 0, Herramientas_de_izaje2468[[#Headers],[Herramientas_de_izaje]],
COUNTIF(Tabla162670[Equipos], B421) &gt; 0, Tabla162670[[#Headers],[Equipos]],
    TRUE, "Sin clasificación"
)</f>
        <v>Sin clasificación</v>
      </c>
      <c r="G421" s="15"/>
      <c r="H421" s="47"/>
      <c r="I421" s="87"/>
      <c r="J421" s="78"/>
      <c r="K421" s="78"/>
      <c r="L421" s="78"/>
      <c r="M421" s="78"/>
      <c r="N421" s="76"/>
      <c r="O421" s="76"/>
      <c r="P421" s="78" t="str">
        <f>_xlfn.LET(
    _xlpm.itemBuscado, B421,
    _xlpm.areaBuscada, C421,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TEXT(COUNTIF($C$2:C421, _xlpm.areaBuscada), "0000"),
    _xlpm.codItem &amp; "-" &amp; _xlpm.codArea &amp; "-" &amp; _xlpm.secuencia
)</f>
        <v>-SinArea-0000</v>
      </c>
      <c r="Q421" s="77"/>
      <c r="R421" s="32"/>
      <c r="S421" s="32"/>
      <c r="T421" s="32"/>
      <c r="U421" s="32"/>
    </row>
    <row r="422" spans="3:21" x14ac:dyDescent="0.3">
      <c r="C422" s="11"/>
      <c r="D422" s="32"/>
      <c r="E422" s="11" t="str" cm="1">
        <f t="array" ref="E422">_xlfn.IFS(
    COUNTIF(Herramientas_eléctricas1862[Herramientas_eléctricas], B422) &gt; 0, Herramientas_eléctricas1862[[#Headers],[Herramientas_eléctricas]],
    COUNTIF(Herramientas_neumáticas1963[Herramientas_neumáticas], B422) &gt; 0, Herramientas_neumáticas1963[[#Headers],[Herramientas_neumáticas]],
    COUNTIF(Herramientas_de_medición2064[Herramientas_de_medición], B422) &gt; 0, Herramientas_de_medición2064[[#Headers],[Herramientas_de_medición]],
    COUNTIF(Herrramientas_mecánicas2165[Herramientas_mecánicas], B422) &gt; 0, Herrramientas_mecánicas2165[[#Headers],[Herramientas_mecánicas]],
    COUNTIF(AK422:AK428, B422) &gt; 0, Herramientas_hidráulicas2266[[#Headers],[Herramientas_hidráulicas]],
    COUNTIF(EPP_2367[SPCC], B422) &gt; 0, EPP_2367[[#Headers],[SPCC]],
   COUNTIF(Herramientas_de_izaje2468[Herramientas_de_izaje], B422) &gt; 0, Herramientas_de_izaje2468[[#Headers],[Herramientas_de_izaje]],
COUNTIF(Tabla162670[Equipos], B422) &gt; 0, Tabla162670[[#Headers],[Equipos]],
    TRUE, "Sin clasificación"
)</f>
        <v>Sin clasificación</v>
      </c>
      <c r="G422" s="15"/>
      <c r="H422" s="47"/>
      <c r="I422" s="87"/>
      <c r="J422" s="78"/>
      <c r="K422" s="78"/>
      <c r="L422" s="78"/>
      <c r="M422" s="78"/>
      <c r="N422" s="76"/>
      <c r="O422" s="76"/>
      <c r="P422" s="78" t="str">
        <f>_xlfn.LET(
    _xlpm.itemBuscado, B422,
    _xlpm.areaBuscada, C422,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TEXT(COUNTIF($C$2:C422, _xlpm.areaBuscada), "0000"),
    _xlpm.codItem &amp; "-" &amp; _xlpm.codArea &amp; "-" &amp; _xlpm.secuencia
)</f>
        <v>-SinArea-0000</v>
      </c>
      <c r="Q422" s="77"/>
      <c r="R422" s="32"/>
      <c r="S422" s="32"/>
      <c r="T422" s="32"/>
      <c r="U422" s="32"/>
    </row>
    <row r="423" spans="3:21" x14ac:dyDescent="0.3">
      <c r="C423" s="11"/>
      <c r="D423" s="32"/>
      <c r="E423" s="11" t="str" cm="1">
        <f t="array" ref="E423">_xlfn.IFS(
    COUNTIF(Herramientas_eléctricas1862[Herramientas_eléctricas], B423) &gt; 0, Herramientas_eléctricas1862[[#Headers],[Herramientas_eléctricas]],
    COUNTIF(Herramientas_neumáticas1963[Herramientas_neumáticas], B423) &gt; 0, Herramientas_neumáticas1963[[#Headers],[Herramientas_neumáticas]],
    COUNTIF(Herramientas_de_medición2064[Herramientas_de_medición], B423) &gt; 0, Herramientas_de_medición2064[[#Headers],[Herramientas_de_medición]],
    COUNTIF(Herrramientas_mecánicas2165[Herramientas_mecánicas], B423) &gt; 0, Herrramientas_mecánicas2165[[#Headers],[Herramientas_mecánicas]],
    COUNTIF(AK423:AK429, B423) &gt; 0, Herramientas_hidráulicas2266[[#Headers],[Herramientas_hidráulicas]],
    COUNTIF(EPP_2367[SPCC], B423) &gt; 0, EPP_2367[[#Headers],[SPCC]],
   COUNTIF(Herramientas_de_izaje2468[Herramientas_de_izaje], B423) &gt; 0, Herramientas_de_izaje2468[[#Headers],[Herramientas_de_izaje]],
COUNTIF(Tabla162670[Equipos], B423) &gt; 0, Tabla162670[[#Headers],[Equipos]],
    TRUE, "Sin clasificación"
)</f>
        <v>Sin clasificación</v>
      </c>
      <c r="G423" s="15"/>
      <c r="H423" s="47"/>
      <c r="I423" s="87"/>
      <c r="J423" s="78"/>
      <c r="K423" s="78"/>
      <c r="L423" s="78"/>
      <c r="M423" s="78"/>
      <c r="N423" s="76"/>
      <c r="O423" s="76"/>
      <c r="P423" s="78" t="str">
        <f>_xlfn.LET(
    _xlpm.itemBuscado, B423,
    _xlpm.areaBuscada, C423,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TEXT(COUNTIF($C$2:C423, _xlpm.areaBuscada), "0000"),
    _xlpm.codItem &amp; "-" &amp; _xlpm.codArea &amp; "-" &amp; _xlpm.secuencia
)</f>
        <v>-SinArea-0000</v>
      </c>
      <c r="Q423" s="77"/>
      <c r="R423" s="32"/>
      <c r="S423" s="32"/>
      <c r="T423" s="32"/>
      <c r="U423" s="32"/>
    </row>
    <row r="424" spans="3:21" x14ac:dyDescent="0.3">
      <c r="C424" s="11"/>
      <c r="D424" s="32"/>
      <c r="E424" s="11" t="str" cm="1">
        <f t="array" ref="E424">_xlfn.IFS(
    COUNTIF(Herramientas_eléctricas1862[Herramientas_eléctricas], B424) &gt; 0, Herramientas_eléctricas1862[[#Headers],[Herramientas_eléctricas]],
    COUNTIF(Herramientas_neumáticas1963[Herramientas_neumáticas], B424) &gt; 0, Herramientas_neumáticas1963[[#Headers],[Herramientas_neumáticas]],
    COUNTIF(Herramientas_de_medición2064[Herramientas_de_medición], B424) &gt; 0, Herramientas_de_medición2064[[#Headers],[Herramientas_de_medición]],
    COUNTIF(Herrramientas_mecánicas2165[Herramientas_mecánicas], B424) &gt; 0, Herrramientas_mecánicas2165[[#Headers],[Herramientas_mecánicas]],
    COUNTIF(AK424:AK430, B424) &gt; 0, Herramientas_hidráulicas2266[[#Headers],[Herramientas_hidráulicas]],
    COUNTIF(EPP_2367[SPCC], B424) &gt; 0, EPP_2367[[#Headers],[SPCC]],
   COUNTIF(Herramientas_de_izaje2468[Herramientas_de_izaje], B424) &gt; 0, Herramientas_de_izaje2468[[#Headers],[Herramientas_de_izaje]],
COUNTIF(Tabla162670[Equipos], B424) &gt; 0, Tabla162670[[#Headers],[Equipos]],
    TRUE, "Sin clasificación"
)</f>
        <v>Sin clasificación</v>
      </c>
      <c r="G424" s="15"/>
      <c r="H424" s="47"/>
      <c r="I424" s="87"/>
      <c r="J424" s="78"/>
      <c r="K424" s="78"/>
      <c r="L424" s="78"/>
      <c r="M424" s="78"/>
      <c r="N424" s="76"/>
      <c r="O424" s="76"/>
      <c r="P424" s="78" t="str">
        <f>_xlfn.LET(
    _xlpm.itemBuscado, B424,
    _xlpm.areaBuscada, C424,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TEXT(COUNTIF($C$2:C424, _xlpm.areaBuscada), "0000"),
    _xlpm.codItem &amp; "-" &amp; _xlpm.codArea &amp; "-" &amp; _xlpm.secuencia
)</f>
        <v>-SinArea-0000</v>
      </c>
      <c r="Q424" s="77"/>
      <c r="R424" s="32"/>
      <c r="S424" s="32"/>
      <c r="T424" s="32"/>
      <c r="U424" s="32"/>
    </row>
    <row r="425" spans="3:21" x14ac:dyDescent="0.3">
      <c r="C425" s="11"/>
      <c r="D425" s="32"/>
      <c r="E425" s="11" t="str" cm="1">
        <f t="array" ref="E425">_xlfn.IFS(
    COUNTIF(Herramientas_eléctricas1862[Herramientas_eléctricas], B425) &gt; 0, Herramientas_eléctricas1862[[#Headers],[Herramientas_eléctricas]],
    COUNTIF(Herramientas_neumáticas1963[Herramientas_neumáticas], B425) &gt; 0, Herramientas_neumáticas1963[[#Headers],[Herramientas_neumáticas]],
    COUNTIF(Herramientas_de_medición2064[Herramientas_de_medición], B425) &gt; 0, Herramientas_de_medición2064[[#Headers],[Herramientas_de_medición]],
    COUNTIF(Herrramientas_mecánicas2165[Herramientas_mecánicas], B425) &gt; 0, Herrramientas_mecánicas2165[[#Headers],[Herramientas_mecánicas]],
    COUNTIF(AK425:AK431, B425) &gt; 0, Herramientas_hidráulicas2266[[#Headers],[Herramientas_hidráulicas]],
    COUNTIF(EPP_2367[SPCC], B425) &gt; 0, EPP_2367[[#Headers],[SPCC]],
   COUNTIF(Herramientas_de_izaje2468[Herramientas_de_izaje], B425) &gt; 0, Herramientas_de_izaje2468[[#Headers],[Herramientas_de_izaje]],
COUNTIF(Tabla162670[Equipos], B425) &gt; 0, Tabla162670[[#Headers],[Equipos]],
    TRUE, "Sin clasificación"
)</f>
        <v>Sin clasificación</v>
      </c>
      <c r="G425" s="15"/>
      <c r="H425" s="47"/>
      <c r="I425" s="87"/>
      <c r="J425" s="78"/>
      <c r="K425" s="78"/>
      <c r="L425" s="78"/>
      <c r="M425" s="78"/>
      <c r="N425" s="76"/>
      <c r="O425" s="76"/>
      <c r="P425" s="78" t="str">
        <f>_xlfn.LET(
    _xlpm.itemBuscado, B425,
    _xlpm.areaBuscada, C425,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TEXT(COUNTIF($C$2:C425, _xlpm.areaBuscada), "0000"),
    _xlpm.codItem &amp; "-" &amp; _xlpm.codArea &amp; "-" &amp; _xlpm.secuencia
)</f>
        <v>-SinArea-0000</v>
      </c>
      <c r="Q425" s="77"/>
      <c r="R425" s="32"/>
      <c r="S425" s="32"/>
      <c r="T425" s="32"/>
      <c r="U425" s="32"/>
    </row>
    <row r="426" spans="3:21" x14ac:dyDescent="0.3">
      <c r="C426" s="11"/>
      <c r="D426" s="32"/>
      <c r="E426" s="11" t="str" cm="1">
        <f t="array" ref="E426">_xlfn.IFS(
    COUNTIF(Herramientas_eléctricas1862[Herramientas_eléctricas], B426) &gt; 0, Herramientas_eléctricas1862[[#Headers],[Herramientas_eléctricas]],
    COUNTIF(Herramientas_neumáticas1963[Herramientas_neumáticas], B426) &gt; 0, Herramientas_neumáticas1963[[#Headers],[Herramientas_neumáticas]],
    COUNTIF(Herramientas_de_medición2064[Herramientas_de_medición], B426) &gt; 0, Herramientas_de_medición2064[[#Headers],[Herramientas_de_medición]],
    COUNTIF(Herrramientas_mecánicas2165[Herramientas_mecánicas], B426) &gt; 0, Herrramientas_mecánicas2165[[#Headers],[Herramientas_mecánicas]],
    COUNTIF(AK426:AK432, B426) &gt; 0, Herramientas_hidráulicas2266[[#Headers],[Herramientas_hidráulicas]],
    COUNTIF(EPP_2367[SPCC], B426) &gt; 0, EPP_2367[[#Headers],[SPCC]],
   COUNTIF(Herramientas_de_izaje2468[Herramientas_de_izaje], B426) &gt; 0, Herramientas_de_izaje2468[[#Headers],[Herramientas_de_izaje]],
COUNTIF(Tabla162670[Equipos], B426) &gt; 0, Tabla162670[[#Headers],[Equipos]],
    TRUE, "Sin clasificación"
)</f>
        <v>Sin clasificación</v>
      </c>
      <c r="G426" s="15"/>
      <c r="H426" s="47"/>
      <c r="I426" s="87"/>
      <c r="J426" s="78"/>
      <c r="K426" s="78"/>
      <c r="L426" s="78"/>
      <c r="M426" s="78"/>
      <c r="N426" s="76"/>
      <c r="O426" s="76"/>
      <c r="P426" s="78" t="str">
        <f>_xlfn.LET(
    _xlpm.itemBuscado, B426,
    _xlpm.areaBuscada, C426,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TEXT(COUNTIF($C$2:C426, _xlpm.areaBuscada), "0000"),
    _xlpm.codItem &amp; "-" &amp; _xlpm.codArea &amp; "-" &amp; _xlpm.secuencia
)</f>
        <v>-SinArea-0000</v>
      </c>
      <c r="Q426" s="77"/>
      <c r="R426" s="32"/>
      <c r="S426" s="32"/>
      <c r="T426" s="32"/>
      <c r="U426" s="32"/>
    </row>
    <row r="427" spans="3:21" x14ac:dyDescent="0.3">
      <c r="C427" s="11"/>
      <c r="D427" s="32"/>
      <c r="E427" s="11" t="str" cm="1">
        <f t="array" ref="E427">_xlfn.IFS(
    COUNTIF(Herramientas_eléctricas1862[Herramientas_eléctricas], B427) &gt; 0, Herramientas_eléctricas1862[[#Headers],[Herramientas_eléctricas]],
    COUNTIF(Herramientas_neumáticas1963[Herramientas_neumáticas], B427) &gt; 0, Herramientas_neumáticas1963[[#Headers],[Herramientas_neumáticas]],
    COUNTIF(Herramientas_de_medición2064[Herramientas_de_medición], B427) &gt; 0, Herramientas_de_medición2064[[#Headers],[Herramientas_de_medición]],
    COUNTIF(Herrramientas_mecánicas2165[Herramientas_mecánicas], B427) &gt; 0, Herrramientas_mecánicas2165[[#Headers],[Herramientas_mecánicas]],
    COUNTIF(AK427:AK433, B427) &gt; 0, Herramientas_hidráulicas2266[[#Headers],[Herramientas_hidráulicas]],
    COUNTIF(EPP_2367[SPCC], B427) &gt; 0, EPP_2367[[#Headers],[SPCC]],
   COUNTIF(Herramientas_de_izaje2468[Herramientas_de_izaje], B427) &gt; 0, Herramientas_de_izaje2468[[#Headers],[Herramientas_de_izaje]],
COUNTIF(Tabla162670[Equipos], B427) &gt; 0, Tabla162670[[#Headers],[Equipos]],
    TRUE, "Sin clasificación"
)</f>
        <v>Sin clasificación</v>
      </c>
      <c r="G427" s="15"/>
      <c r="H427" s="47"/>
      <c r="I427" s="87"/>
      <c r="J427" s="78"/>
      <c r="K427" s="78"/>
      <c r="L427" s="78"/>
      <c r="M427" s="78"/>
      <c r="N427" s="76"/>
      <c r="O427" s="76"/>
      <c r="P427" s="78" t="str">
        <f>_xlfn.LET(
    _xlpm.itemBuscado, B427,
    _xlpm.areaBuscada, C427,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TEXT(COUNTIF($C$2:C427, _xlpm.areaBuscada), "0000"),
    _xlpm.codItem &amp; "-" &amp; _xlpm.codArea &amp; "-" &amp; _xlpm.secuencia
)</f>
        <v>-SinArea-0000</v>
      </c>
      <c r="Q427" s="77"/>
      <c r="R427" s="32"/>
      <c r="S427" s="32"/>
      <c r="T427" s="32"/>
      <c r="U427" s="32"/>
    </row>
    <row r="428" spans="3:21" x14ac:dyDescent="0.3">
      <c r="C428" s="11"/>
      <c r="D428" s="32"/>
      <c r="E428" s="11" t="str" cm="1">
        <f t="array" ref="E428">_xlfn.IFS(
    COUNTIF(Herramientas_eléctricas1862[Herramientas_eléctricas], B428) &gt; 0, Herramientas_eléctricas1862[[#Headers],[Herramientas_eléctricas]],
    COUNTIF(Herramientas_neumáticas1963[Herramientas_neumáticas], B428) &gt; 0, Herramientas_neumáticas1963[[#Headers],[Herramientas_neumáticas]],
    COUNTIF(Herramientas_de_medición2064[Herramientas_de_medición], B428) &gt; 0, Herramientas_de_medición2064[[#Headers],[Herramientas_de_medición]],
    COUNTIF(Herrramientas_mecánicas2165[Herramientas_mecánicas], B428) &gt; 0, Herrramientas_mecánicas2165[[#Headers],[Herramientas_mecánicas]],
    COUNTIF(AK428:AK434, B428) &gt; 0, Herramientas_hidráulicas2266[[#Headers],[Herramientas_hidráulicas]],
    COUNTIF(EPP_2367[SPCC], B428) &gt; 0, EPP_2367[[#Headers],[SPCC]],
   COUNTIF(Herramientas_de_izaje2468[Herramientas_de_izaje], B428) &gt; 0, Herramientas_de_izaje2468[[#Headers],[Herramientas_de_izaje]],
COUNTIF(Tabla162670[Equipos], B428) &gt; 0, Tabla162670[[#Headers],[Equipos]],
    TRUE, "Sin clasificación"
)</f>
        <v>Sin clasificación</v>
      </c>
      <c r="G428" s="15"/>
      <c r="H428" s="47"/>
      <c r="I428" s="87"/>
      <c r="J428" s="78"/>
      <c r="K428" s="78"/>
      <c r="L428" s="78"/>
      <c r="M428" s="78"/>
      <c r="N428" s="76"/>
      <c r="O428" s="76"/>
      <c r="P428" s="78" t="str">
        <f>_xlfn.LET(
    _xlpm.itemBuscado, B428,
    _xlpm.areaBuscada, C428,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TEXT(COUNTIF($C$2:C428, _xlpm.areaBuscada), "0000"),
    _xlpm.codItem &amp; "-" &amp; _xlpm.codArea &amp; "-" &amp; _xlpm.secuencia
)</f>
        <v>-SinArea-0000</v>
      </c>
      <c r="Q428" s="77"/>
      <c r="R428" s="32"/>
      <c r="S428" s="32"/>
      <c r="T428" s="32"/>
      <c r="U428" s="32"/>
    </row>
    <row r="429" spans="3:21" x14ac:dyDescent="0.3">
      <c r="C429" s="11"/>
      <c r="D429" s="32"/>
      <c r="E429" s="11" t="str" cm="1">
        <f t="array" ref="E429">_xlfn.IFS(
    COUNTIF(Herramientas_eléctricas1862[Herramientas_eléctricas], B429) &gt; 0, Herramientas_eléctricas1862[[#Headers],[Herramientas_eléctricas]],
    COUNTIF(Herramientas_neumáticas1963[Herramientas_neumáticas], B429) &gt; 0, Herramientas_neumáticas1963[[#Headers],[Herramientas_neumáticas]],
    COUNTIF(Herramientas_de_medición2064[Herramientas_de_medición], B429) &gt; 0, Herramientas_de_medición2064[[#Headers],[Herramientas_de_medición]],
    COUNTIF(Herrramientas_mecánicas2165[Herramientas_mecánicas], B429) &gt; 0, Herrramientas_mecánicas2165[[#Headers],[Herramientas_mecánicas]],
    COUNTIF(AK429:AK435, B429) &gt; 0, Herramientas_hidráulicas2266[[#Headers],[Herramientas_hidráulicas]],
    COUNTIF(EPP_2367[SPCC], B429) &gt; 0, EPP_2367[[#Headers],[SPCC]],
   COUNTIF(Herramientas_de_izaje2468[Herramientas_de_izaje], B429) &gt; 0, Herramientas_de_izaje2468[[#Headers],[Herramientas_de_izaje]],
COUNTIF(Tabla162670[Equipos], B429) &gt; 0, Tabla162670[[#Headers],[Equipos]],
    TRUE, "Sin clasificación"
)</f>
        <v>Sin clasificación</v>
      </c>
      <c r="G429" s="15"/>
      <c r="H429" s="47"/>
      <c r="I429" s="87"/>
      <c r="J429" s="78"/>
      <c r="K429" s="78"/>
      <c r="L429" s="78"/>
      <c r="M429" s="78"/>
      <c r="N429" s="76"/>
      <c r="O429" s="76"/>
      <c r="P429" s="78" t="str">
        <f>_xlfn.LET(
    _xlpm.itemBuscado, B429,
    _xlpm.areaBuscada, C429,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TEXT(COUNTIF($C$2:C429, _xlpm.areaBuscada), "0000"),
    _xlpm.codItem &amp; "-" &amp; _xlpm.codArea &amp; "-" &amp; _xlpm.secuencia
)</f>
        <v>-SinArea-0000</v>
      </c>
      <c r="Q429" s="77"/>
      <c r="R429" s="32"/>
      <c r="S429" s="32"/>
      <c r="T429" s="32"/>
      <c r="U429" s="32"/>
    </row>
    <row r="430" spans="3:21" x14ac:dyDescent="0.3">
      <c r="C430" s="11"/>
      <c r="D430" s="32"/>
      <c r="E430" s="11" t="str" cm="1">
        <f t="array" ref="E430">_xlfn.IFS(
    COUNTIF(Herramientas_eléctricas1862[Herramientas_eléctricas], B430) &gt; 0, Herramientas_eléctricas1862[[#Headers],[Herramientas_eléctricas]],
    COUNTIF(Herramientas_neumáticas1963[Herramientas_neumáticas], B430) &gt; 0, Herramientas_neumáticas1963[[#Headers],[Herramientas_neumáticas]],
    COUNTIF(Herramientas_de_medición2064[Herramientas_de_medición], B430) &gt; 0, Herramientas_de_medición2064[[#Headers],[Herramientas_de_medición]],
    COUNTIF(Herrramientas_mecánicas2165[Herramientas_mecánicas], B430) &gt; 0, Herrramientas_mecánicas2165[[#Headers],[Herramientas_mecánicas]],
    COUNTIF(AK430:AK436, B430) &gt; 0, Herramientas_hidráulicas2266[[#Headers],[Herramientas_hidráulicas]],
    COUNTIF(EPP_2367[SPCC], B430) &gt; 0, EPP_2367[[#Headers],[SPCC]],
   COUNTIF(Herramientas_de_izaje2468[Herramientas_de_izaje], B430) &gt; 0, Herramientas_de_izaje2468[[#Headers],[Herramientas_de_izaje]],
COUNTIF(Tabla162670[Equipos], B430) &gt; 0, Tabla162670[[#Headers],[Equipos]],
    TRUE, "Sin clasificación"
)</f>
        <v>Sin clasificación</v>
      </c>
      <c r="G430" s="15"/>
      <c r="H430" s="47"/>
      <c r="I430" s="87"/>
      <c r="J430" s="78"/>
      <c r="K430" s="78"/>
      <c r="L430" s="78"/>
      <c r="M430" s="78"/>
      <c r="N430" s="76"/>
      <c r="O430" s="76"/>
      <c r="P430" s="78" t="str">
        <f>_xlfn.LET(
    _xlpm.itemBuscado, B430,
    _xlpm.areaBuscada, C430,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TEXT(COUNTIF($C$2:C430, _xlpm.areaBuscada), "0000"),
    _xlpm.codItem &amp; "-" &amp; _xlpm.codArea &amp; "-" &amp; _xlpm.secuencia
)</f>
        <v>-SinArea-0000</v>
      </c>
      <c r="Q430" s="77"/>
      <c r="R430" s="32"/>
      <c r="S430" s="32"/>
      <c r="T430" s="32"/>
      <c r="U430" s="32"/>
    </row>
    <row r="431" spans="3:21" x14ac:dyDescent="0.3">
      <c r="C431" s="11"/>
      <c r="D431" s="32"/>
      <c r="E431" s="11" t="str" cm="1">
        <f t="array" ref="E431">_xlfn.IFS(
    COUNTIF(Herramientas_eléctricas1862[Herramientas_eléctricas], B431) &gt; 0, Herramientas_eléctricas1862[[#Headers],[Herramientas_eléctricas]],
    COUNTIF(Herramientas_neumáticas1963[Herramientas_neumáticas], B431) &gt; 0, Herramientas_neumáticas1963[[#Headers],[Herramientas_neumáticas]],
    COUNTIF(Herramientas_de_medición2064[Herramientas_de_medición], B431) &gt; 0, Herramientas_de_medición2064[[#Headers],[Herramientas_de_medición]],
    COUNTIF(Herrramientas_mecánicas2165[Herramientas_mecánicas], B431) &gt; 0, Herrramientas_mecánicas2165[[#Headers],[Herramientas_mecánicas]],
    COUNTIF(AK431:AK437, B431) &gt; 0, Herramientas_hidráulicas2266[[#Headers],[Herramientas_hidráulicas]],
    COUNTIF(EPP_2367[SPCC], B431) &gt; 0, EPP_2367[[#Headers],[SPCC]],
   COUNTIF(Herramientas_de_izaje2468[Herramientas_de_izaje], B431) &gt; 0, Herramientas_de_izaje2468[[#Headers],[Herramientas_de_izaje]],
COUNTIF(Tabla162670[Equipos], B431) &gt; 0, Tabla162670[[#Headers],[Equipos]],
    TRUE, "Sin clasificación"
)</f>
        <v>Sin clasificación</v>
      </c>
      <c r="G431" s="15"/>
      <c r="H431" s="47"/>
      <c r="I431" s="87"/>
      <c r="J431" s="78"/>
      <c r="K431" s="78"/>
      <c r="L431" s="78"/>
      <c r="M431" s="78"/>
      <c r="N431" s="76"/>
      <c r="O431" s="76"/>
      <c r="P431" s="78" t="str">
        <f>_xlfn.LET(
    _xlpm.itemBuscado, B431,
    _xlpm.areaBuscada, C431,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TEXT(COUNTIF($C$2:C431, _xlpm.areaBuscada), "0000"),
    _xlpm.codItem &amp; "-" &amp; _xlpm.codArea &amp; "-" &amp; _xlpm.secuencia
)</f>
        <v>-SinArea-0000</v>
      </c>
      <c r="Q431" s="77"/>
      <c r="R431" s="32"/>
      <c r="S431" s="32"/>
      <c r="T431" s="32"/>
      <c r="U431" s="32"/>
    </row>
    <row r="432" spans="3:21" x14ac:dyDescent="0.3">
      <c r="C432" s="11"/>
      <c r="D432" s="32"/>
      <c r="E432" s="11" t="str" cm="1">
        <f t="array" ref="E432">_xlfn.IFS(
    COUNTIF(Herramientas_eléctricas1862[Herramientas_eléctricas], B432) &gt; 0, Herramientas_eléctricas1862[[#Headers],[Herramientas_eléctricas]],
    COUNTIF(Herramientas_neumáticas1963[Herramientas_neumáticas], B432) &gt; 0, Herramientas_neumáticas1963[[#Headers],[Herramientas_neumáticas]],
    COUNTIF(Herramientas_de_medición2064[Herramientas_de_medición], B432) &gt; 0, Herramientas_de_medición2064[[#Headers],[Herramientas_de_medición]],
    COUNTIF(Herrramientas_mecánicas2165[Herramientas_mecánicas], B432) &gt; 0, Herrramientas_mecánicas2165[[#Headers],[Herramientas_mecánicas]],
    COUNTIF(AK432:AK438, B432) &gt; 0, Herramientas_hidráulicas2266[[#Headers],[Herramientas_hidráulicas]],
    COUNTIF(EPP_2367[SPCC], B432) &gt; 0, EPP_2367[[#Headers],[SPCC]],
   COUNTIF(Herramientas_de_izaje2468[Herramientas_de_izaje], B432) &gt; 0, Herramientas_de_izaje2468[[#Headers],[Herramientas_de_izaje]],
COUNTIF(Tabla162670[Equipos], B432) &gt; 0, Tabla162670[[#Headers],[Equipos]],
    TRUE, "Sin clasificación"
)</f>
        <v>Sin clasificación</v>
      </c>
      <c r="G432" s="15"/>
      <c r="H432" s="47"/>
      <c r="I432" s="87"/>
      <c r="J432" s="78"/>
      <c r="K432" s="78"/>
      <c r="L432" s="78"/>
      <c r="M432" s="78"/>
      <c r="N432" s="76"/>
      <c r="O432" s="76"/>
      <c r="P432" s="78" t="str">
        <f>_xlfn.LET(
    _xlpm.itemBuscado, B432,
    _xlpm.areaBuscada, C432,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TEXT(COUNTIF($C$2:C432, _xlpm.areaBuscada), "0000"),
    _xlpm.codItem &amp; "-" &amp; _xlpm.codArea &amp; "-" &amp; _xlpm.secuencia
)</f>
        <v>-SinArea-0000</v>
      </c>
      <c r="Q432" s="77"/>
      <c r="R432" s="32"/>
      <c r="S432" s="32"/>
      <c r="T432" s="32"/>
      <c r="U432" s="32"/>
    </row>
    <row r="433" spans="3:21" x14ac:dyDescent="0.3">
      <c r="C433" s="11"/>
      <c r="D433" s="32"/>
      <c r="E433" s="11" t="str" cm="1">
        <f t="array" ref="E433">_xlfn.IFS(
    COUNTIF(Herramientas_eléctricas1862[Herramientas_eléctricas], B433) &gt; 0, Herramientas_eléctricas1862[[#Headers],[Herramientas_eléctricas]],
    COUNTIF(Herramientas_neumáticas1963[Herramientas_neumáticas], B433) &gt; 0, Herramientas_neumáticas1963[[#Headers],[Herramientas_neumáticas]],
    COUNTIF(Herramientas_de_medición2064[Herramientas_de_medición], B433) &gt; 0, Herramientas_de_medición2064[[#Headers],[Herramientas_de_medición]],
    COUNTIF(Herrramientas_mecánicas2165[Herramientas_mecánicas], B433) &gt; 0, Herrramientas_mecánicas2165[[#Headers],[Herramientas_mecánicas]],
    COUNTIF(AK433:AK439, B433) &gt; 0, Herramientas_hidráulicas2266[[#Headers],[Herramientas_hidráulicas]],
    COUNTIF(EPP_2367[SPCC], B433) &gt; 0, EPP_2367[[#Headers],[SPCC]],
   COUNTIF(Herramientas_de_izaje2468[Herramientas_de_izaje], B433) &gt; 0, Herramientas_de_izaje2468[[#Headers],[Herramientas_de_izaje]],
COUNTIF(Tabla162670[Equipos], B433) &gt; 0, Tabla162670[[#Headers],[Equipos]],
    TRUE, "Sin clasificación"
)</f>
        <v>Sin clasificación</v>
      </c>
      <c r="G433" s="15"/>
      <c r="H433" s="47"/>
      <c r="I433" s="87"/>
      <c r="J433" s="78"/>
      <c r="K433" s="78"/>
      <c r="L433" s="78"/>
      <c r="M433" s="78"/>
      <c r="N433" s="76"/>
      <c r="O433" s="76"/>
      <c r="P433" s="78" t="str">
        <f>_xlfn.LET(
    _xlpm.itemBuscado, B433,
    _xlpm.areaBuscada, C433,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TEXT(COUNTIF($C$2:C433, _xlpm.areaBuscada), "0000"),
    _xlpm.codItem &amp; "-" &amp; _xlpm.codArea &amp; "-" &amp; _xlpm.secuencia
)</f>
        <v>-SinArea-0000</v>
      </c>
      <c r="Q433" s="77"/>
      <c r="R433" s="32"/>
      <c r="S433" s="32"/>
      <c r="T433" s="32"/>
      <c r="U433" s="32"/>
    </row>
    <row r="434" spans="3:21" x14ac:dyDescent="0.3">
      <c r="C434" s="11"/>
      <c r="D434" s="32"/>
      <c r="E434" s="11" t="str" cm="1">
        <f t="array" ref="E434">_xlfn.IFS(
    COUNTIF(Herramientas_eléctricas1862[Herramientas_eléctricas], B434) &gt; 0, Herramientas_eléctricas1862[[#Headers],[Herramientas_eléctricas]],
    COUNTIF(Herramientas_neumáticas1963[Herramientas_neumáticas], B434) &gt; 0, Herramientas_neumáticas1963[[#Headers],[Herramientas_neumáticas]],
    COUNTIF(Herramientas_de_medición2064[Herramientas_de_medición], B434) &gt; 0, Herramientas_de_medición2064[[#Headers],[Herramientas_de_medición]],
    COUNTIF(Herrramientas_mecánicas2165[Herramientas_mecánicas], B434) &gt; 0, Herrramientas_mecánicas2165[[#Headers],[Herramientas_mecánicas]],
    COUNTIF(AK434:AK440, B434) &gt; 0, Herramientas_hidráulicas2266[[#Headers],[Herramientas_hidráulicas]],
    COUNTIF(EPP_2367[SPCC], B434) &gt; 0, EPP_2367[[#Headers],[SPCC]],
   COUNTIF(Herramientas_de_izaje2468[Herramientas_de_izaje], B434) &gt; 0, Herramientas_de_izaje2468[[#Headers],[Herramientas_de_izaje]],
COUNTIF(Tabla162670[Equipos], B434) &gt; 0, Tabla162670[[#Headers],[Equipos]],
    TRUE, "Sin clasificación"
)</f>
        <v>Sin clasificación</v>
      </c>
      <c r="G434" s="15"/>
      <c r="H434" s="47"/>
      <c r="I434" s="87"/>
      <c r="J434" s="78"/>
      <c r="K434" s="78"/>
      <c r="L434" s="78"/>
      <c r="M434" s="78"/>
      <c r="N434" s="76"/>
      <c r="O434" s="76"/>
      <c r="P434" s="78" t="str">
        <f>_xlfn.LET(
    _xlpm.itemBuscado, B434,
    _xlpm.areaBuscada, C434,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TEXT(COUNTIF($C$2:C434, _xlpm.areaBuscada), "0000"),
    _xlpm.codItem &amp; "-" &amp; _xlpm.codArea &amp; "-" &amp; _xlpm.secuencia
)</f>
        <v>-SinArea-0000</v>
      </c>
      <c r="Q434" s="77"/>
      <c r="R434" s="32"/>
      <c r="S434" s="32"/>
      <c r="T434" s="32"/>
      <c r="U434" s="32"/>
    </row>
    <row r="435" spans="3:21" x14ac:dyDescent="0.3">
      <c r="C435" s="11"/>
      <c r="D435" s="32"/>
      <c r="E435" s="11" t="str" cm="1">
        <f t="array" ref="E435">_xlfn.IFS(
    COUNTIF(Herramientas_eléctricas1862[Herramientas_eléctricas], B435) &gt; 0, Herramientas_eléctricas1862[[#Headers],[Herramientas_eléctricas]],
    COUNTIF(Herramientas_neumáticas1963[Herramientas_neumáticas], B435) &gt; 0, Herramientas_neumáticas1963[[#Headers],[Herramientas_neumáticas]],
    COUNTIF(Herramientas_de_medición2064[Herramientas_de_medición], B435) &gt; 0, Herramientas_de_medición2064[[#Headers],[Herramientas_de_medición]],
    COUNTIF(Herrramientas_mecánicas2165[Herramientas_mecánicas], B435) &gt; 0, Herrramientas_mecánicas2165[[#Headers],[Herramientas_mecánicas]],
    COUNTIF(AK435:AK441, B435) &gt; 0, Herramientas_hidráulicas2266[[#Headers],[Herramientas_hidráulicas]],
    COUNTIF(EPP_2367[SPCC], B435) &gt; 0, EPP_2367[[#Headers],[SPCC]],
   COUNTIF(Herramientas_de_izaje2468[Herramientas_de_izaje], B435) &gt; 0, Herramientas_de_izaje2468[[#Headers],[Herramientas_de_izaje]],
COUNTIF(Tabla162670[Equipos], B435) &gt; 0, Tabla162670[[#Headers],[Equipos]],
    TRUE, "Sin clasificación"
)</f>
        <v>Sin clasificación</v>
      </c>
      <c r="G435" s="15"/>
      <c r="H435" s="47"/>
      <c r="I435" s="87"/>
      <c r="J435" s="78"/>
      <c r="K435" s="78"/>
      <c r="L435" s="78"/>
      <c r="M435" s="78"/>
      <c r="N435" s="76"/>
      <c r="O435" s="76"/>
      <c r="P435" s="78" t="str">
        <f>_xlfn.LET(
    _xlpm.itemBuscado, B435,
    _xlpm.areaBuscada, C435,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TEXT(COUNTIF($C$2:C435, _xlpm.areaBuscada), "0000"),
    _xlpm.codItem &amp; "-" &amp; _xlpm.codArea &amp; "-" &amp; _xlpm.secuencia
)</f>
        <v>-SinArea-0000</v>
      </c>
      <c r="Q435" s="77"/>
      <c r="R435" s="32"/>
      <c r="S435" s="32"/>
      <c r="T435" s="32"/>
      <c r="U435" s="32"/>
    </row>
    <row r="436" spans="3:21" x14ac:dyDescent="0.3">
      <c r="C436" s="11"/>
      <c r="D436" s="32"/>
      <c r="E436" s="11" t="str" cm="1">
        <f t="array" ref="E436">_xlfn.IFS(
    COUNTIF(Herramientas_eléctricas1862[Herramientas_eléctricas], B436) &gt; 0, Herramientas_eléctricas1862[[#Headers],[Herramientas_eléctricas]],
    COUNTIF(Herramientas_neumáticas1963[Herramientas_neumáticas], B436) &gt; 0, Herramientas_neumáticas1963[[#Headers],[Herramientas_neumáticas]],
    COUNTIF(Herramientas_de_medición2064[Herramientas_de_medición], B436) &gt; 0, Herramientas_de_medición2064[[#Headers],[Herramientas_de_medición]],
    COUNTIF(Herrramientas_mecánicas2165[Herramientas_mecánicas], B436) &gt; 0, Herrramientas_mecánicas2165[[#Headers],[Herramientas_mecánicas]],
    COUNTIF(AK436:AK442, B436) &gt; 0, Herramientas_hidráulicas2266[[#Headers],[Herramientas_hidráulicas]],
    COUNTIF(EPP_2367[SPCC], B436) &gt; 0, EPP_2367[[#Headers],[SPCC]],
   COUNTIF(Herramientas_de_izaje2468[Herramientas_de_izaje], B436) &gt; 0, Herramientas_de_izaje2468[[#Headers],[Herramientas_de_izaje]],
COUNTIF(Tabla162670[Equipos], B436) &gt; 0, Tabla162670[[#Headers],[Equipos]],
    TRUE, "Sin clasificación"
)</f>
        <v>Sin clasificación</v>
      </c>
      <c r="G436" s="15"/>
      <c r="H436" s="47"/>
      <c r="I436" s="87"/>
      <c r="J436" s="78"/>
      <c r="K436" s="78"/>
      <c r="L436" s="78"/>
      <c r="M436" s="78"/>
      <c r="N436" s="76"/>
      <c r="O436" s="76"/>
      <c r="P436" s="78" t="str">
        <f>_xlfn.LET(
    _xlpm.itemBuscado, B436,
    _xlpm.areaBuscada, C436,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TEXT(COUNTIF($C$2:C436, _xlpm.areaBuscada), "0000"),
    _xlpm.codItem &amp; "-" &amp; _xlpm.codArea &amp; "-" &amp; _xlpm.secuencia
)</f>
        <v>-SinArea-0000</v>
      </c>
      <c r="Q436" s="77"/>
      <c r="R436" s="32"/>
      <c r="S436" s="32"/>
      <c r="T436" s="32"/>
      <c r="U436" s="32"/>
    </row>
    <row r="437" spans="3:21" x14ac:dyDescent="0.3">
      <c r="C437" s="11"/>
      <c r="D437" s="32"/>
      <c r="E437" s="11" t="str" cm="1">
        <f t="array" ref="E437">_xlfn.IFS(
    COUNTIF(Herramientas_eléctricas1862[Herramientas_eléctricas], B437) &gt; 0, Herramientas_eléctricas1862[[#Headers],[Herramientas_eléctricas]],
    COUNTIF(Herramientas_neumáticas1963[Herramientas_neumáticas], B437) &gt; 0, Herramientas_neumáticas1963[[#Headers],[Herramientas_neumáticas]],
    COUNTIF(Herramientas_de_medición2064[Herramientas_de_medición], B437) &gt; 0, Herramientas_de_medición2064[[#Headers],[Herramientas_de_medición]],
    COUNTIF(Herrramientas_mecánicas2165[Herramientas_mecánicas], B437) &gt; 0, Herrramientas_mecánicas2165[[#Headers],[Herramientas_mecánicas]],
    COUNTIF(AK437:AK443, B437) &gt; 0, Herramientas_hidráulicas2266[[#Headers],[Herramientas_hidráulicas]],
    COUNTIF(EPP_2367[SPCC], B437) &gt; 0, EPP_2367[[#Headers],[SPCC]],
   COUNTIF(Herramientas_de_izaje2468[Herramientas_de_izaje], B437) &gt; 0, Herramientas_de_izaje2468[[#Headers],[Herramientas_de_izaje]],
COUNTIF(Tabla162670[Equipos], B437) &gt; 0, Tabla162670[[#Headers],[Equipos]],
    TRUE, "Sin clasificación"
)</f>
        <v>Sin clasificación</v>
      </c>
      <c r="G437" s="15"/>
      <c r="H437" s="47"/>
      <c r="I437" s="87"/>
      <c r="J437" s="78"/>
      <c r="K437" s="78"/>
      <c r="L437" s="78"/>
      <c r="M437" s="78"/>
      <c r="N437" s="76"/>
      <c r="O437" s="76"/>
      <c r="P437" s="78" t="str">
        <f>_xlfn.LET(
    _xlpm.itemBuscado, B437,
    _xlpm.areaBuscada, C437,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TEXT(COUNTIF($C$2:C437, _xlpm.areaBuscada), "0000"),
    _xlpm.codItem &amp; "-" &amp; _xlpm.codArea &amp; "-" &amp; _xlpm.secuencia
)</f>
        <v>-SinArea-0000</v>
      </c>
      <c r="Q437" s="77"/>
      <c r="R437" s="32"/>
      <c r="S437" s="32"/>
      <c r="T437" s="32"/>
      <c r="U437" s="32"/>
    </row>
    <row r="438" spans="3:21" x14ac:dyDescent="0.3">
      <c r="C438" s="11"/>
      <c r="D438" s="32"/>
      <c r="E438" s="11" t="str" cm="1">
        <f t="array" ref="E438">_xlfn.IFS(
    COUNTIF(Herramientas_eléctricas1862[Herramientas_eléctricas], B438) &gt; 0, Herramientas_eléctricas1862[[#Headers],[Herramientas_eléctricas]],
    COUNTIF(Herramientas_neumáticas1963[Herramientas_neumáticas], B438) &gt; 0, Herramientas_neumáticas1963[[#Headers],[Herramientas_neumáticas]],
    COUNTIF(Herramientas_de_medición2064[Herramientas_de_medición], B438) &gt; 0, Herramientas_de_medición2064[[#Headers],[Herramientas_de_medición]],
    COUNTIF(Herrramientas_mecánicas2165[Herramientas_mecánicas], B438) &gt; 0, Herrramientas_mecánicas2165[[#Headers],[Herramientas_mecánicas]],
    COUNTIF(AK438:AK444, B438) &gt; 0, Herramientas_hidráulicas2266[[#Headers],[Herramientas_hidráulicas]],
    COUNTIF(EPP_2367[SPCC], B438) &gt; 0, EPP_2367[[#Headers],[SPCC]],
   COUNTIF(Herramientas_de_izaje2468[Herramientas_de_izaje], B438) &gt; 0, Herramientas_de_izaje2468[[#Headers],[Herramientas_de_izaje]],
COUNTIF(Tabla162670[Equipos], B438) &gt; 0, Tabla162670[[#Headers],[Equipos]],
    TRUE, "Sin clasificación"
)</f>
        <v>Sin clasificación</v>
      </c>
      <c r="G438" s="15"/>
      <c r="H438" s="47"/>
      <c r="I438" s="87"/>
      <c r="J438" s="78"/>
      <c r="K438" s="78"/>
      <c r="L438" s="78"/>
      <c r="M438" s="78"/>
      <c r="N438" s="76"/>
      <c r="O438" s="76"/>
      <c r="P438" s="78" t="str">
        <f>_xlfn.LET(
    _xlpm.itemBuscado, B438,
    _xlpm.areaBuscada, C438,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TEXT(COUNTIF($C$2:C438, _xlpm.areaBuscada), "0000"),
    _xlpm.codItem &amp; "-" &amp; _xlpm.codArea &amp; "-" &amp; _xlpm.secuencia
)</f>
        <v>-SinArea-0000</v>
      </c>
      <c r="Q438" s="77"/>
      <c r="R438" s="32"/>
      <c r="S438" s="32"/>
      <c r="T438" s="32"/>
      <c r="U438" s="32"/>
    </row>
    <row r="439" spans="3:21" x14ac:dyDescent="0.3">
      <c r="C439" s="11"/>
      <c r="D439" s="32"/>
      <c r="E439" s="11" t="str" cm="1">
        <f t="array" ref="E439">_xlfn.IFS(
    COUNTIF(Herramientas_eléctricas1862[Herramientas_eléctricas], B439) &gt; 0, Herramientas_eléctricas1862[[#Headers],[Herramientas_eléctricas]],
    COUNTIF(Herramientas_neumáticas1963[Herramientas_neumáticas], B439) &gt; 0, Herramientas_neumáticas1963[[#Headers],[Herramientas_neumáticas]],
    COUNTIF(Herramientas_de_medición2064[Herramientas_de_medición], B439) &gt; 0, Herramientas_de_medición2064[[#Headers],[Herramientas_de_medición]],
    COUNTIF(Herrramientas_mecánicas2165[Herramientas_mecánicas], B439) &gt; 0, Herrramientas_mecánicas2165[[#Headers],[Herramientas_mecánicas]],
    COUNTIF(AK439:AK445, B439) &gt; 0, Herramientas_hidráulicas2266[[#Headers],[Herramientas_hidráulicas]],
    COUNTIF(EPP_2367[SPCC], B439) &gt; 0, EPP_2367[[#Headers],[SPCC]],
   COUNTIF(Herramientas_de_izaje2468[Herramientas_de_izaje], B439) &gt; 0, Herramientas_de_izaje2468[[#Headers],[Herramientas_de_izaje]],
COUNTIF(Tabla162670[Equipos], B439) &gt; 0, Tabla162670[[#Headers],[Equipos]],
    TRUE, "Sin clasificación"
)</f>
        <v>Sin clasificación</v>
      </c>
      <c r="G439" s="15"/>
      <c r="H439" s="47"/>
      <c r="I439" s="87"/>
      <c r="J439" s="78"/>
      <c r="K439" s="78"/>
      <c r="L439" s="78"/>
      <c r="M439" s="78"/>
      <c r="N439" s="76"/>
      <c r="O439" s="76"/>
      <c r="P439" s="78" t="str">
        <f>_xlfn.LET(
    _xlpm.itemBuscado, B439,
    _xlpm.areaBuscada, C439,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TEXT(COUNTIF($C$2:C439, _xlpm.areaBuscada), "0000"),
    _xlpm.codItem &amp; "-" &amp; _xlpm.codArea &amp; "-" &amp; _xlpm.secuencia
)</f>
        <v>-SinArea-0000</v>
      </c>
      <c r="Q439" s="77"/>
      <c r="R439" s="32"/>
      <c r="S439" s="32"/>
      <c r="T439" s="32"/>
      <c r="U439" s="32"/>
    </row>
    <row r="440" spans="3:21" x14ac:dyDescent="0.3">
      <c r="C440" s="11"/>
      <c r="D440" s="32"/>
      <c r="E440" s="11" t="str" cm="1">
        <f t="array" ref="E440">_xlfn.IFS(
    COUNTIF(Herramientas_eléctricas1862[Herramientas_eléctricas], B440) &gt; 0, Herramientas_eléctricas1862[[#Headers],[Herramientas_eléctricas]],
    COUNTIF(Herramientas_neumáticas1963[Herramientas_neumáticas], B440) &gt; 0, Herramientas_neumáticas1963[[#Headers],[Herramientas_neumáticas]],
    COUNTIF(Herramientas_de_medición2064[Herramientas_de_medición], B440) &gt; 0, Herramientas_de_medición2064[[#Headers],[Herramientas_de_medición]],
    COUNTIF(Herrramientas_mecánicas2165[Herramientas_mecánicas], B440) &gt; 0, Herrramientas_mecánicas2165[[#Headers],[Herramientas_mecánicas]],
    COUNTIF(AK440:AK446, B440) &gt; 0, Herramientas_hidráulicas2266[[#Headers],[Herramientas_hidráulicas]],
    COUNTIF(EPP_2367[SPCC], B440) &gt; 0, EPP_2367[[#Headers],[SPCC]],
   COUNTIF(Herramientas_de_izaje2468[Herramientas_de_izaje], B440) &gt; 0, Herramientas_de_izaje2468[[#Headers],[Herramientas_de_izaje]],
COUNTIF(Tabla162670[Equipos], B440) &gt; 0, Tabla162670[[#Headers],[Equipos]],
    TRUE, "Sin clasificación"
)</f>
        <v>Sin clasificación</v>
      </c>
      <c r="G440" s="15"/>
      <c r="H440" s="47"/>
      <c r="I440" s="87"/>
      <c r="J440" s="78"/>
      <c r="K440" s="78"/>
      <c r="L440" s="78"/>
      <c r="M440" s="78"/>
      <c r="N440" s="76"/>
      <c r="O440" s="76"/>
      <c r="P440" s="78" t="str">
        <f>_xlfn.LET(
    _xlpm.itemBuscado, B440,
    _xlpm.areaBuscada, C440,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TEXT(COUNTIF($C$2:C440, _xlpm.areaBuscada), "0000"),
    _xlpm.codItem &amp; "-" &amp; _xlpm.codArea &amp; "-" &amp; _xlpm.secuencia
)</f>
        <v>-SinArea-0000</v>
      </c>
      <c r="Q440" s="77"/>
      <c r="R440" s="32"/>
      <c r="S440" s="32"/>
      <c r="T440" s="32"/>
      <c r="U440" s="32"/>
    </row>
    <row r="441" spans="3:21" x14ac:dyDescent="0.3">
      <c r="C441" s="11"/>
      <c r="D441" s="32"/>
      <c r="E441" s="11" t="str" cm="1">
        <f t="array" ref="E441">_xlfn.IFS(
    COUNTIF(Herramientas_eléctricas1862[Herramientas_eléctricas], B441) &gt; 0, Herramientas_eléctricas1862[[#Headers],[Herramientas_eléctricas]],
    COUNTIF(Herramientas_neumáticas1963[Herramientas_neumáticas], B441) &gt; 0, Herramientas_neumáticas1963[[#Headers],[Herramientas_neumáticas]],
    COUNTIF(Herramientas_de_medición2064[Herramientas_de_medición], B441) &gt; 0, Herramientas_de_medición2064[[#Headers],[Herramientas_de_medición]],
    COUNTIF(Herrramientas_mecánicas2165[Herramientas_mecánicas], B441) &gt; 0, Herrramientas_mecánicas2165[[#Headers],[Herramientas_mecánicas]],
    COUNTIF(AK441:AK447, B441) &gt; 0, Herramientas_hidráulicas2266[[#Headers],[Herramientas_hidráulicas]],
    COUNTIF(EPP_2367[SPCC], B441) &gt; 0, EPP_2367[[#Headers],[SPCC]],
   COUNTIF(Herramientas_de_izaje2468[Herramientas_de_izaje], B441) &gt; 0, Herramientas_de_izaje2468[[#Headers],[Herramientas_de_izaje]],
COUNTIF(Tabla162670[Equipos], B441) &gt; 0, Tabla162670[[#Headers],[Equipos]],
    TRUE, "Sin clasificación"
)</f>
        <v>Sin clasificación</v>
      </c>
      <c r="G441" s="15"/>
      <c r="H441" s="47"/>
      <c r="I441" s="87"/>
      <c r="J441" s="78"/>
      <c r="K441" s="78"/>
      <c r="L441" s="78"/>
      <c r="M441" s="78"/>
      <c r="N441" s="76"/>
      <c r="O441" s="76"/>
      <c r="P441" s="78" t="str">
        <f>_xlfn.LET(
    _xlpm.itemBuscado, B441,
    _xlpm.areaBuscada, C441,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TEXT(COUNTIF($C$2:C441, _xlpm.areaBuscada), "0000"),
    _xlpm.codItem &amp; "-" &amp; _xlpm.codArea &amp; "-" &amp; _xlpm.secuencia
)</f>
        <v>-SinArea-0000</v>
      </c>
      <c r="Q441" s="77"/>
      <c r="R441" s="32"/>
      <c r="S441" s="32"/>
      <c r="T441" s="32"/>
      <c r="U441" s="32"/>
    </row>
    <row r="442" spans="3:21" x14ac:dyDescent="0.3">
      <c r="C442" s="11"/>
      <c r="D442" s="32"/>
      <c r="E442" s="11" t="str" cm="1">
        <f t="array" ref="E442">_xlfn.IFS(
    COUNTIF(Herramientas_eléctricas1862[Herramientas_eléctricas], B442) &gt; 0, Herramientas_eléctricas1862[[#Headers],[Herramientas_eléctricas]],
    COUNTIF(Herramientas_neumáticas1963[Herramientas_neumáticas], B442) &gt; 0, Herramientas_neumáticas1963[[#Headers],[Herramientas_neumáticas]],
    COUNTIF(Herramientas_de_medición2064[Herramientas_de_medición], B442) &gt; 0, Herramientas_de_medición2064[[#Headers],[Herramientas_de_medición]],
    COUNTIF(Herrramientas_mecánicas2165[Herramientas_mecánicas], B442) &gt; 0, Herrramientas_mecánicas2165[[#Headers],[Herramientas_mecánicas]],
    COUNTIF(AK442:AK448, B442) &gt; 0, Herramientas_hidráulicas2266[[#Headers],[Herramientas_hidráulicas]],
    COUNTIF(EPP_2367[SPCC], B442) &gt; 0, EPP_2367[[#Headers],[SPCC]],
   COUNTIF(Herramientas_de_izaje2468[Herramientas_de_izaje], B442) &gt; 0, Herramientas_de_izaje2468[[#Headers],[Herramientas_de_izaje]],
COUNTIF(Tabla162670[Equipos], B442) &gt; 0, Tabla162670[[#Headers],[Equipos]],
    TRUE, "Sin clasificación"
)</f>
        <v>Sin clasificación</v>
      </c>
      <c r="G442" s="15"/>
      <c r="H442" s="47"/>
      <c r="I442" s="87"/>
      <c r="J442" s="78"/>
      <c r="K442" s="78"/>
      <c r="L442" s="78"/>
      <c r="M442" s="78"/>
      <c r="N442" s="76"/>
      <c r="O442" s="76"/>
      <c r="P442" s="78" t="str">
        <f>_xlfn.LET(
    _xlpm.itemBuscado, B442,
    _xlpm.areaBuscada, C442,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TEXT(COUNTIF($C$2:C442, _xlpm.areaBuscada), "0000"),
    _xlpm.codItem &amp; "-" &amp; _xlpm.codArea &amp; "-" &amp; _xlpm.secuencia
)</f>
        <v>-SinArea-0000</v>
      </c>
      <c r="Q442" s="77"/>
      <c r="R442" s="32"/>
      <c r="S442" s="32"/>
      <c r="T442" s="32"/>
      <c r="U442" s="32"/>
    </row>
    <row r="443" spans="3:21" x14ac:dyDescent="0.3">
      <c r="C443" s="11"/>
      <c r="D443" s="32"/>
      <c r="E443" s="11" t="str" cm="1">
        <f t="array" ref="E443">_xlfn.IFS(
    COUNTIF(Herramientas_eléctricas1862[Herramientas_eléctricas], B443) &gt; 0, Herramientas_eléctricas1862[[#Headers],[Herramientas_eléctricas]],
    COUNTIF(Herramientas_neumáticas1963[Herramientas_neumáticas], B443) &gt; 0, Herramientas_neumáticas1963[[#Headers],[Herramientas_neumáticas]],
    COUNTIF(Herramientas_de_medición2064[Herramientas_de_medición], B443) &gt; 0, Herramientas_de_medición2064[[#Headers],[Herramientas_de_medición]],
    COUNTIF(Herrramientas_mecánicas2165[Herramientas_mecánicas], B443) &gt; 0, Herrramientas_mecánicas2165[[#Headers],[Herramientas_mecánicas]],
    COUNTIF(AK443:AK449, B443) &gt; 0, Herramientas_hidráulicas2266[[#Headers],[Herramientas_hidráulicas]],
    COUNTIF(EPP_2367[SPCC], B443) &gt; 0, EPP_2367[[#Headers],[SPCC]],
   COUNTIF(Herramientas_de_izaje2468[Herramientas_de_izaje], B443) &gt; 0, Herramientas_de_izaje2468[[#Headers],[Herramientas_de_izaje]],
COUNTIF(Tabla162670[Equipos], B443) &gt; 0, Tabla162670[[#Headers],[Equipos]],
    TRUE, "Sin clasificación"
)</f>
        <v>Sin clasificación</v>
      </c>
      <c r="G443" s="15"/>
      <c r="H443" s="47"/>
      <c r="I443" s="87"/>
      <c r="J443" s="78"/>
      <c r="K443" s="78"/>
      <c r="L443" s="78"/>
      <c r="M443" s="78"/>
      <c r="N443" s="76"/>
      <c r="O443" s="76"/>
      <c r="P443" s="78" t="str">
        <f>_xlfn.LET(
    _xlpm.itemBuscado, B443,
    _xlpm.areaBuscada, C443,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TEXT(COUNTIF($C$2:C443, _xlpm.areaBuscada), "0000"),
    _xlpm.codItem &amp; "-" &amp; _xlpm.codArea &amp; "-" &amp; _xlpm.secuencia
)</f>
        <v>-SinArea-0000</v>
      </c>
      <c r="Q443" s="77"/>
      <c r="R443" s="32"/>
      <c r="S443" s="32"/>
      <c r="T443" s="32"/>
      <c r="U443" s="32"/>
    </row>
    <row r="444" spans="3:21" x14ac:dyDescent="0.3">
      <c r="C444" s="11"/>
      <c r="D444" s="32"/>
      <c r="E444" s="11" t="str" cm="1">
        <f t="array" ref="E444">_xlfn.IFS(
    COUNTIF(Herramientas_eléctricas1862[Herramientas_eléctricas], B444) &gt; 0, Herramientas_eléctricas1862[[#Headers],[Herramientas_eléctricas]],
    COUNTIF(Herramientas_neumáticas1963[Herramientas_neumáticas], B444) &gt; 0, Herramientas_neumáticas1963[[#Headers],[Herramientas_neumáticas]],
    COUNTIF(Herramientas_de_medición2064[Herramientas_de_medición], B444) &gt; 0, Herramientas_de_medición2064[[#Headers],[Herramientas_de_medición]],
    COUNTIF(Herrramientas_mecánicas2165[Herramientas_mecánicas], B444) &gt; 0, Herrramientas_mecánicas2165[[#Headers],[Herramientas_mecánicas]],
    COUNTIF(AK444:AK450, B444) &gt; 0, Herramientas_hidráulicas2266[[#Headers],[Herramientas_hidráulicas]],
    COUNTIF(EPP_2367[SPCC], B444) &gt; 0, EPP_2367[[#Headers],[SPCC]],
   COUNTIF(Herramientas_de_izaje2468[Herramientas_de_izaje], B444) &gt; 0, Herramientas_de_izaje2468[[#Headers],[Herramientas_de_izaje]],
COUNTIF(Tabla162670[Equipos], B444) &gt; 0, Tabla162670[[#Headers],[Equipos]],
    TRUE, "Sin clasificación"
)</f>
        <v>Sin clasificación</v>
      </c>
      <c r="G444" s="15"/>
      <c r="H444" s="47"/>
      <c r="I444" s="87"/>
      <c r="J444" s="78"/>
      <c r="K444" s="78"/>
      <c r="L444" s="78"/>
      <c r="M444" s="78"/>
      <c r="N444" s="76"/>
      <c r="O444" s="76"/>
      <c r="P444" s="78" t="str">
        <f>_xlfn.LET(
    _xlpm.itemBuscado, B444,
    _xlpm.areaBuscada, C444,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TEXT(COUNTIF($C$2:C444, _xlpm.areaBuscada), "0000"),
    _xlpm.codItem &amp; "-" &amp; _xlpm.codArea &amp; "-" &amp; _xlpm.secuencia
)</f>
        <v>-SinArea-0000</v>
      </c>
      <c r="Q444" s="77"/>
      <c r="R444" s="32"/>
      <c r="S444" s="32"/>
      <c r="T444" s="32"/>
      <c r="U444" s="32"/>
    </row>
    <row r="445" spans="3:21" x14ac:dyDescent="0.3">
      <c r="C445" s="11"/>
      <c r="D445" s="32"/>
      <c r="E445" s="11" t="str" cm="1">
        <f t="array" ref="E445">_xlfn.IFS(
    COUNTIF(Herramientas_eléctricas1862[Herramientas_eléctricas], B445) &gt; 0, Herramientas_eléctricas1862[[#Headers],[Herramientas_eléctricas]],
    COUNTIF(Herramientas_neumáticas1963[Herramientas_neumáticas], B445) &gt; 0, Herramientas_neumáticas1963[[#Headers],[Herramientas_neumáticas]],
    COUNTIF(Herramientas_de_medición2064[Herramientas_de_medición], B445) &gt; 0, Herramientas_de_medición2064[[#Headers],[Herramientas_de_medición]],
    COUNTIF(Herrramientas_mecánicas2165[Herramientas_mecánicas], B445) &gt; 0, Herrramientas_mecánicas2165[[#Headers],[Herramientas_mecánicas]],
    COUNTIF(AK445:AK451, B445) &gt; 0, Herramientas_hidráulicas2266[[#Headers],[Herramientas_hidráulicas]],
    COUNTIF(EPP_2367[SPCC], B445) &gt; 0, EPP_2367[[#Headers],[SPCC]],
   COUNTIF(Herramientas_de_izaje2468[Herramientas_de_izaje], B445) &gt; 0, Herramientas_de_izaje2468[[#Headers],[Herramientas_de_izaje]],
COUNTIF(Tabla162670[Equipos], B445) &gt; 0, Tabla162670[[#Headers],[Equipos]],
    TRUE, "Sin clasificación"
)</f>
        <v>Sin clasificación</v>
      </c>
      <c r="G445" s="15"/>
      <c r="H445" s="47"/>
      <c r="I445" s="87"/>
      <c r="J445" s="78"/>
      <c r="K445" s="78"/>
      <c r="L445" s="78"/>
      <c r="M445" s="78"/>
      <c r="N445" s="76"/>
      <c r="O445" s="76"/>
      <c r="P445" s="78" t="str">
        <f>_xlfn.LET(
    _xlpm.itemBuscado, B445,
    _xlpm.areaBuscada, C445,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TEXT(COUNTIF($C$2:C445, _xlpm.areaBuscada), "0000"),
    _xlpm.codItem &amp; "-" &amp; _xlpm.codArea &amp; "-" &amp; _xlpm.secuencia
)</f>
        <v>-SinArea-0000</v>
      </c>
      <c r="Q445" s="77"/>
      <c r="R445" s="32"/>
      <c r="S445" s="32"/>
      <c r="T445" s="32"/>
      <c r="U445" s="32"/>
    </row>
    <row r="446" spans="3:21" x14ac:dyDescent="0.3">
      <c r="C446" s="11"/>
      <c r="D446" s="32"/>
      <c r="E446" s="11" t="str" cm="1">
        <f t="array" ref="E446">_xlfn.IFS(
    COUNTIF(Herramientas_eléctricas1862[Herramientas_eléctricas], B446) &gt; 0, Herramientas_eléctricas1862[[#Headers],[Herramientas_eléctricas]],
    COUNTIF(Herramientas_neumáticas1963[Herramientas_neumáticas], B446) &gt; 0, Herramientas_neumáticas1963[[#Headers],[Herramientas_neumáticas]],
    COUNTIF(Herramientas_de_medición2064[Herramientas_de_medición], B446) &gt; 0, Herramientas_de_medición2064[[#Headers],[Herramientas_de_medición]],
    COUNTIF(Herrramientas_mecánicas2165[Herramientas_mecánicas], B446) &gt; 0, Herrramientas_mecánicas2165[[#Headers],[Herramientas_mecánicas]],
    COUNTIF(AK446:AK452, B446) &gt; 0, Herramientas_hidráulicas2266[[#Headers],[Herramientas_hidráulicas]],
    COUNTIF(EPP_2367[SPCC], B446) &gt; 0, EPP_2367[[#Headers],[SPCC]],
   COUNTIF(Herramientas_de_izaje2468[Herramientas_de_izaje], B446) &gt; 0, Herramientas_de_izaje2468[[#Headers],[Herramientas_de_izaje]],
COUNTIF(Tabla162670[Equipos], B446) &gt; 0, Tabla162670[[#Headers],[Equipos]],
    TRUE, "Sin clasificación"
)</f>
        <v>Sin clasificación</v>
      </c>
      <c r="G446" s="15"/>
      <c r="H446" s="47"/>
      <c r="I446" s="87"/>
      <c r="J446" s="78"/>
      <c r="K446" s="78"/>
      <c r="L446" s="78"/>
      <c r="M446" s="78"/>
      <c r="N446" s="76"/>
      <c r="O446" s="76"/>
      <c r="P446" s="78" t="str">
        <f>_xlfn.LET(
    _xlpm.itemBuscado, B446,
    _xlpm.areaBuscada, C446,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TEXT(COUNTIF($C$2:C446, _xlpm.areaBuscada), "0000"),
    _xlpm.codItem &amp; "-" &amp; _xlpm.codArea &amp; "-" &amp; _xlpm.secuencia
)</f>
        <v>-SinArea-0000</v>
      </c>
      <c r="Q446" s="77"/>
      <c r="R446" s="32"/>
      <c r="S446" s="32"/>
      <c r="T446" s="32"/>
      <c r="U446" s="32"/>
    </row>
    <row r="447" spans="3:21" x14ac:dyDescent="0.3">
      <c r="C447" s="11"/>
      <c r="D447" s="32"/>
      <c r="E447" s="11" t="str" cm="1">
        <f t="array" ref="E447">_xlfn.IFS(
    COUNTIF(Herramientas_eléctricas1862[Herramientas_eléctricas], B447) &gt; 0, Herramientas_eléctricas1862[[#Headers],[Herramientas_eléctricas]],
    COUNTIF(Herramientas_neumáticas1963[Herramientas_neumáticas], B447) &gt; 0, Herramientas_neumáticas1963[[#Headers],[Herramientas_neumáticas]],
    COUNTIF(Herramientas_de_medición2064[Herramientas_de_medición], B447) &gt; 0, Herramientas_de_medición2064[[#Headers],[Herramientas_de_medición]],
    COUNTIF(Herrramientas_mecánicas2165[Herramientas_mecánicas], B447) &gt; 0, Herrramientas_mecánicas2165[[#Headers],[Herramientas_mecánicas]],
    COUNTIF(AK447:AK453, B447) &gt; 0, Herramientas_hidráulicas2266[[#Headers],[Herramientas_hidráulicas]],
    COUNTIF(EPP_2367[SPCC], B447) &gt; 0, EPP_2367[[#Headers],[SPCC]],
   COUNTIF(Herramientas_de_izaje2468[Herramientas_de_izaje], B447) &gt; 0, Herramientas_de_izaje2468[[#Headers],[Herramientas_de_izaje]],
COUNTIF(Tabla162670[Equipos], B447) &gt; 0, Tabla162670[[#Headers],[Equipos]],
    TRUE, "Sin clasificación"
)</f>
        <v>Sin clasificación</v>
      </c>
      <c r="G447" s="15"/>
      <c r="H447" s="47"/>
      <c r="I447" s="87"/>
      <c r="J447" s="78"/>
      <c r="K447" s="78"/>
      <c r="L447" s="78"/>
      <c r="M447" s="78"/>
      <c r="N447" s="76"/>
      <c r="O447" s="76"/>
      <c r="P447" s="78" t="str">
        <f>_xlfn.LET(
    _xlpm.itemBuscado, B447,
    _xlpm.areaBuscada, C447,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TEXT(COUNTIF($C$2:C447, _xlpm.areaBuscada), "0000"),
    _xlpm.codItem &amp; "-" &amp; _xlpm.codArea &amp; "-" &amp; _xlpm.secuencia
)</f>
        <v>-SinArea-0000</v>
      </c>
      <c r="Q447" s="77"/>
      <c r="R447" s="32"/>
      <c r="S447" s="32"/>
      <c r="T447" s="32"/>
      <c r="U447" s="32"/>
    </row>
    <row r="448" spans="3:21" x14ac:dyDescent="0.3">
      <c r="C448" s="11"/>
      <c r="D448" s="32"/>
      <c r="E448" s="11" t="str" cm="1">
        <f t="array" ref="E448">_xlfn.IFS(
    COUNTIF(Herramientas_eléctricas1862[Herramientas_eléctricas], B448) &gt; 0, Herramientas_eléctricas1862[[#Headers],[Herramientas_eléctricas]],
    COUNTIF(Herramientas_neumáticas1963[Herramientas_neumáticas], B448) &gt; 0, Herramientas_neumáticas1963[[#Headers],[Herramientas_neumáticas]],
    COUNTIF(Herramientas_de_medición2064[Herramientas_de_medición], B448) &gt; 0, Herramientas_de_medición2064[[#Headers],[Herramientas_de_medición]],
    COUNTIF(Herrramientas_mecánicas2165[Herramientas_mecánicas], B448) &gt; 0, Herrramientas_mecánicas2165[[#Headers],[Herramientas_mecánicas]],
    COUNTIF(AK448:AK454, B448) &gt; 0, Herramientas_hidráulicas2266[[#Headers],[Herramientas_hidráulicas]],
    COUNTIF(EPP_2367[SPCC], B448) &gt; 0, EPP_2367[[#Headers],[SPCC]],
   COUNTIF(Herramientas_de_izaje2468[Herramientas_de_izaje], B448) &gt; 0, Herramientas_de_izaje2468[[#Headers],[Herramientas_de_izaje]],
COUNTIF(Tabla162670[Equipos], B448) &gt; 0, Tabla162670[[#Headers],[Equipos]],
    TRUE, "Sin clasificación"
)</f>
        <v>Sin clasificación</v>
      </c>
      <c r="G448" s="15"/>
      <c r="H448" s="47"/>
      <c r="I448" s="87"/>
      <c r="J448" s="78"/>
      <c r="K448" s="78"/>
      <c r="L448" s="78"/>
      <c r="M448" s="78"/>
      <c r="N448" s="76"/>
      <c r="O448" s="76"/>
      <c r="P448" s="78" t="str">
        <f>_xlfn.LET(
    _xlpm.itemBuscado, B448,
    _xlpm.areaBuscada, C448,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TEXT(COUNTIF($C$2:C448, _xlpm.areaBuscada), "0000"),
    _xlpm.codItem &amp; "-" &amp; _xlpm.codArea &amp; "-" &amp; _xlpm.secuencia
)</f>
        <v>-SinArea-0000</v>
      </c>
      <c r="Q448" s="77"/>
      <c r="R448" s="32"/>
      <c r="S448" s="32"/>
      <c r="T448" s="32"/>
      <c r="U448" s="32"/>
    </row>
    <row r="449" spans="3:21" x14ac:dyDescent="0.3">
      <c r="C449" s="11"/>
      <c r="D449" s="32"/>
      <c r="E449" s="11" t="str" cm="1">
        <f t="array" ref="E449">_xlfn.IFS(
    COUNTIF(Herramientas_eléctricas1862[Herramientas_eléctricas], B449) &gt; 0, Herramientas_eléctricas1862[[#Headers],[Herramientas_eléctricas]],
    COUNTIF(Herramientas_neumáticas1963[Herramientas_neumáticas], B449) &gt; 0, Herramientas_neumáticas1963[[#Headers],[Herramientas_neumáticas]],
    COUNTIF(Herramientas_de_medición2064[Herramientas_de_medición], B449) &gt; 0, Herramientas_de_medición2064[[#Headers],[Herramientas_de_medición]],
    COUNTIF(Herrramientas_mecánicas2165[Herramientas_mecánicas], B449) &gt; 0, Herrramientas_mecánicas2165[[#Headers],[Herramientas_mecánicas]],
    COUNTIF(AK449:AK455, B449) &gt; 0, Herramientas_hidráulicas2266[[#Headers],[Herramientas_hidráulicas]],
    COUNTIF(EPP_2367[SPCC], B449) &gt; 0, EPP_2367[[#Headers],[SPCC]],
   COUNTIF(Herramientas_de_izaje2468[Herramientas_de_izaje], B449) &gt; 0, Herramientas_de_izaje2468[[#Headers],[Herramientas_de_izaje]],
COUNTIF(Tabla162670[Equipos], B449) &gt; 0, Tabla162670[[#Headers],[Equipos]],
    TRUE, "Sin clasificación"
)</f>
        <v>Sin clasificación</v>
      </c>
      <c r="G449" s="15"/>
      <c r="H449" s="47"/>
      <c r="I449" s="87"/>
      <c r="J449" s="78"/>
      <c r="K449" s="78"/>
      <c r="L449" s="78"/>
      <c r="M449" s="78"/>
      <c r="N449" s="76"/>
      <c r="O449" s="76"/>
      <c r="P449" s="78" t="str">
        <f>_xlfn.LET(
    _xlpm.itemBuscado, B449,
    _xlpm.areaBuscada, C449,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TEXT(COUNTIF($C$2:C449, _xlpm.areaBuscada), "0000"),
    _xlpm.codItem &amp; "-" &amp; _xlpm.codArea &amp; "-" &amp; _xlpm.secuencia
)</f>
        <v>-SinArea-0000</v>
      </c>
      <c r="Q449" s="77"/>
      <c r="R449" s="32"/>
      <c r="S449" s="32"/>
      <c r="T449" s="32"/>
      <c r="U449" s="32"/>
    </row>
    <row r="450" spans="3:21" x14ac:dyDescent="0.3">
      <c r="C450" s="11"/>
      <c r="D450" s="32"/>
      <c r="E450" s="11" t="str" cm="1">
        <f t="array" ref="E450">_xlfn.IFS(
    COUNTIF(Herramientas_eléctricas1862[Herramientas_eléctricas], B450) &gt; 0, Herramientas_eléctricas1862[[#Headers],[Herramientas_eléctricas]],
    COUNTIF(Herramientas_neumáticas1963[Herramientas_neumáticas], B450) &gt; 0, Herramientas_neumáticas1963[[#Headers],[Herramientas_neumáticas]],
    COUNTIF(Herramientas_de_medición2064[Herramientas_de_medición], B450) &gt; 0, Herramientas_de_medición2064[[#Headers],[Herramientas_de_medición]],
    COUNTIF(Herrramientas_mecánicas2165[Herramientas_mecánicas], B450) &gt; 0, Herrramientas_mecánicas2165[[#Headers],[Herramientas_mecánicas]],
    COUNTIF(AK450:AK456, B450) &gt; 0, Herramientas_hidráulicas2266[[#Headers],[Herramientas_hidráulicas]],
    COUNTIF(EPP_2367[SPCC], B450) &gt; 0, EPP_2367[[#Headers],[SPCC]],
   COUNTIF(Herramientas_de_izaje2468[Herramientas_de_izaje], B450) &gt; 0, Herramientas_de_izaje2468[[#Headers],[Herramientas_de_izaje]],
COUNTIF(Tabla162670[Equipos], B450) &gt; 0, Tabla162670[[#Headers],[Equipos]],
    TRUE, "Sin clasificación"
)</f>
        <v>Sin clasificación</v>
      </c>
      <c r="G450" s="15"/>
      <c r="H450" s="47"/>
      <c r="I450" s="87"/>
      <c r="J450" s="78"/>
      <c r="K450" s="78"/>
      <c r="L450" s="78"/>
      <c r="M450" s="78"/>
      <c r="N450" s="76"/>
      <c r="O450" s="76"/>
      <c r="P450" s="78" t="str">
        <f>_xlfn.LET(
    _xlpm.itemBuscado, B450,
    _xlpm.areaBuscada, C450,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TEXT(COUNTIF($C$2:C450, _xlpm.areaBuscada), "0000"),
    _xlpm.codItem &amp; "-" &amp; _xlpm.codArea &amp; "-" &amp; _xlpm.secuencia
)</f>
        <v>-SinArea-0000</v>
      </c>
      <c r="Q450" s="77"/>
      <c r="R450" s="32"/>
      <c r="S450" s="32"/>
      <c r="T450" s="32"/>
      <c r="U450" s="32"/>
    </row>
    <row r="451" spans="3:21" x14ac:dyDescent="0.3">
      <c r="C451" s="11"/>
      <c r="D451" s="32"/>
      <c r="E451" s="11" t="str" cm="1">
        <f t="array" ref="E451">_xlfn.IFS(
    COUNTIF(Herramientas_eléctricas1862[Herramientas_eléctricas], B451) &gt; 0, Herramientas_eléctricas1862[[#Headers],[Herramientas_eléctricas]],
    COUNTIF(Herramientas_neumáticas1963[Herramientas_neumáticas], B451) &gt; 0, Herramientas_neumáticas1963[[#Headers],[Herramientas_neumáticas]],
    COUNTIF(Herramientas_de_medición2064[Herramientas_de_medición], B451) &gt; 0, Herramientas_de_medición2064[[#Headers],[Herramientas_de_medición]],
    COUNTIF(Herrramientas_mecánicas2165[Herramientas_mecánicas], B451) &gt; 0, Herrramientas_mecánicas2165[[#Headers],[Herramientas_mecánicas]],
    COUNTIF(AK451:AK457, B451) &gt; 0, Herramientas_hidráulicas2266[[#Headers],[Herramientas_hidráulicas]],
    COUNTIF(EPP_2367[SPCC], B451) &gt; 0, EPP_2367[[#Headers],[SPCC]],
   COUNTIF(Herramientas_de_izaje2468[Herramientas_de_izaje], B451) &gt; 0, Herramientas_de_izaje2468[[#Headers],[Herramientas_de_izaje]],
COUNTIF(Tabla162670[Equipos], B451) &gt; 0, Tabla162670[[#Headers],[Equipos]],
    TRUE, "Sin clasificación"
)</f>
        <v>Sin clasificación</v>
      </c>
      <c r="G451" s="15"/>
      <c r="H451" s="47"/>
      <c r="I451" s="87"/>
      <c r="J451" s="78"/>
      <c r="K451" s="78"/>
      <c r="L451" s="78"/>
      <c r="M451" s="78"/>
      <c r="N451" s="76"/>
      <c r="O451" s="76"/>
      <c r="P451" s="78" t="str">
        <f>_xlfn.LET(
    _xlpm.itemBuscado, B451,
    _xlpm.areaBuscada, C451,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TEXT(COUNTIF($C$2:C451, _xlpm.areaBuscada), "0000"),
    _xlpm.codItem &amp; "-" &amp; _xlpm.codArea &amp; "-" &amp; _xlpm.secuencia
)</f>
        <v>-SinArea-0000</v>
      </c>
      <c r="Q451" s="77"/>
      <c r="R451" s="32"/>
      <c r="S451" s="32"/>
      <c r="T451" s="32"/>
      <c r="U451" s="32"/>
    </row>
    <row r="452" spans="3:21" x14ac:dyDescent="0.3">
      <c r="C452" s="11"/>
      <c r="D452" s="32"/>
      <c r="E452" s="11" t="str" cm="1">
        <f t="array" ref="E452">_xlfn.IFS(
    COUNTIF(Herramientas_eléctricas1862[Herramientas_eléctricas], B452) &gt; 0, Herramientas_eléctricas1862[[#Headers],[Herramientas_eléctricas]],
    COUNTIF(Herramientas_neumáticas1963[Herramientas_neumáticas], B452) &gt; 0, Herramientas_neumáticas1963[[#Headers],[Herramientas_neumáticas]],
    COUNTIF(Herramientas_de_medición2064[Herramientas_de_medición], B452) &gt; 0, Herramientas_de_medición2064[[#Headers],[Herramientas_de_medición]],
    COUNTIF(Herrramientas_mecánicas2165[Herramientas_mecánicas], B452) &gt; 0, Herrramientas_mecánicas2165[[#Headers],[Herramientas_mecánicas]],
    COUNTIF(AK452:AK458, B452) &gt; 0, Herramientas_hidráulicas2266[[#Headers],[Herramientas_hidráulicas]],
    COUNTIF(EPP_2367[SPCC], B452) &gt; 0, EPP_2367[[#Headers],[SPCC]],
   COUNTIF(Herramientas_de_izaje2468[Herramientas_de_izaje], B452) &gt; 0, Herramientas_de_izaje2468[[#Headers],[Herramientas_de_izaje]],
COUNTIF(Tabla162670[Equipos], B452) &gt; 0, Tabla162670[[#Headers],[Equipos]],
    TRUE, "Sin clasificación"
)</f>
        <v>Sin clasificación</v>
      </c>
      <c r="G452" s="15"/>
      <c r="H452" s="47"/>
      <c r="I452" s="87"/>
      <c r="J452" s="78"/>
      <c r="K452" s="78"/>
      <c r="L452" s="78"/>
      <c r="M452" s="78"/>
      <c r="N452" s="76"/>
      <c r="O452" s="76"/>
      <c r="P452" s="78" t="str">
        <f>_xlfn.LET(
    _xlpm.itemBuscado, B452,
    _xlpm.areaBuscada, C452,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TEXT(COUNTIF($C$2:C452, _xlpm.areaBuscada), "0000"),
    _xlpm.codItem &amp; "-" &amp; _xlpm.codArea &amp; "-" &amp; _xlpm.secuencia
)</f>
        <v>-SinArea-0000</v>
      </c>
      <c r="Q452" s="77"/>
      <c r="R452" s="32"/>
      <c r="S452" s="32"/>
      <c r="T452" s="32"/>
      <c r="U452" s="32"/>
    </row>
    <row r="453" spans="3:21" x14ac:dyDescent="0.3">
      <c r="C453" s="11"/>
      <c r="D453" s="32"/>
      <c r="E453" s="11" t="str" cm="1">
        <f t="array" ref="E453">_xlfn.IFS(
    COUNTIF(Herramientas_eléctricas1862[Herramientas_eléctricas], B453) &gt; 0, Herramientas_eléctricas1862[[#Headers],[Herramientas_eléctricas]],
    COUNTIF(Herramientas_neumáticas1963[Herramientas_neumáticas], B453) &gt; 0, Herramientas_neumáticas1963[[#Headers],[Herramientas_neumáticas]],
    COUNTIF(Herramientas_de_medición2064[Herramientas_de_medición], B453) &gt; 0, Herramientas_de_medición2064[[#Headers],[Herramientas_de_medición]],
    COUNTIF(Herrramientas_mecánicas2165[Herramientas_mecánicas], B453) &gt; 0, Herrramientas_mecánicas2165[[#Headers],[Herramientas_mecánicas]],
    COUNTIF(AK453:AK459, B453) &gt; 0, Herramientas_hidráulicas2266[[#Headers],[Herramientas_hidráulicas]],
    COUNTIF(EPP_2367[SPCC], B453) &gt; 0, EPP_2367[[#Headers],[SPCC]],
   COUNTIF(Herramientas_de_izaje2468[Herramientas_de_izaje], B453) &gt; 0, Herramientas_de_izaje2468[[#Headers],[Herramientas_de_izaje]],
COUNTIF(Tabla162670[Equipos], B453) &gt; 0, Tabla162670[[#Headers],[Equipos]],
    TRUE, "Sin clasificación"
)</f>
        <v>Sin clasificación</v>
      </c>
      <c r="G453" s="15"/>
      <c r="H453" s="47"/>
      <c r="I453" s="87"/>
      <c r="J453" s="78"/>
      <c r="K453" s="78"/>
      <c r="L453" s="78"/>
      <c r="M453" s="78"/>
      <c r="N453" s="76"/>
      <c r="O453" s="76"/>
      <c r="P453" s="78" t="str">
        <f>_xlfn.LET(
    _xlpm.itemBuscado, B453,
    _xlpm.areaBuscada, C453,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TEXT(COUNTIF($C$2:C453, _xlpm.areaBuscada), "0000"),
    _xlpm.codItem &amp; "-" &amp; _xlpm.codArea &amp; "-" &amp; _xlpm.secuencia
)</f>
        <v>-SinArea-0000</v>
      </c>
      <c r="Q453" s="77"/>
      <c r="R453" s="32"/>
      <c r="S453" s="32"/>
      <c r="T453" s="32"/>
      <c r="U453" s="32"/>
    </row>
    <row r="454" spans="3:21" x14ac:dyDescent="0.3">
      <c r="C454" s="11"/>
      <c r="D454" s="32"/>
      <c r="E454" s="11" t="str" cm="1">
        <f t="array" ref="E454">_xlfn.IFS(
    COUNTIF(Herramientas_eléctricas1862[Herramientas_eléctricas], B454) &gt; 0, Herramientas_eléctricas1862[[#Headers],[Herramientas_eléctricas]],
    COUNTIF(Herramientas_neumáticas1963[Herramientas_neumáticas], B454) &gt; 0, Herramientas_neumáticas1963[[#Headers],[Herramientas_neumáticas]],
    COUNTIF(Herramientas_de_medición2064[Herramientas_de_medición], B454) &gt; 0, Herramientas_de_medición2064[[#Headers],[Herramientas_de_medición]],
    COUNTIF(Herrramientas_mecánicas2165[Herramientas_mecánicas], B454) &gt; 0, Herrramientas_mecánicas2165[[#Headers],[Herramientas_mecánicas]],
    COUNTIF(AK454:AK460, B454) &gt; 0, Herramientas_hidráulicas2266[[#Headers],[Herramientas_hidráulicas]],
    COUNTIF(EPP_2367[SPCC], B454) &gt; 0, EPP_2367[[#Headers],[SPCC]],
   COUNTIF(Herramientas_de_izaje2468[Herramientas_de_izaje], B454) &gt; 0, Herramientas_de_izaje2468[[#Headers],[Herramientas_de_izaje]],
COUNTIF(Tabla162670[Equipos], B454) &gt; 0, Tabla162670[[#Headers],[Equipos]],
    TRUE, "Sin clasificación"
)</f>
        <v>Sin clasificación</v>
      </c>
      <c r="G454" s="15"/>
      <c r="H454" s="47"/>
      <c r="I454" s="87"/>
      <c r="J454" s="78"/>
      <c r="K454" s="78"/>
      <c r="L454" s="78"/>
      <c r="M454" s="78"/>
      <c r="N454" s="76"/>
      <c r="O454" s="76"/>
      <c r="P454" s="78" t="str">
        <f>_xlfn.LET(
    _xlpm.itemBuscado, B454,
    _xlpm.areaBuscada, C454,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TEXT(COUNTIF($C$2:C454, _xlpm.areaBuscada), "0000"),
    _xlpm.codItem &amp; "-" &amp; _xlpm.codArea &amp; "-" &amp; _xlpm.secuencia
)</f>
        <v>-SinArea-0000</v>
      </c>
      <c r="Q454" s="77"/>
      <c r="R454" s="32"/>
      <c r="S454" s="32"/>
      <c r="T454" s="32"/>
      <c r="U454" s="32"/>
    </row>
    <row r="455" spans="3:21" x14ac:dyDescent="0.3">
      <c r="C455" s="11"/>
      <c r="D455" s="32"/>
      <c r="E455" s="11" t="str" cm="1">
        <f t="array" ref="E455">_xlfn.IFS(
    COUNTIF(Herramientas_eléctricas1862[Herramientas_eléctricas], B455) &gt; 0, Herramientas_eléctricas1862[[#Headers],[Herramientas_eléctricas]],
    COUNTIF(Herramientas_neumáticas1963[Herramientas_neumáticas], B455) &gt; 0, Herramientas_neumáticas1963[[#Headers],[Herramientas_neumáticas]],
    COUNTIF(Herramientas_de_medición2064[Herramientas_de_medición], B455) &gt; 0, Herramientas_de_medición2064[[#Headers],[Herramientas_de_medición]],
    COUNTIF(Herrramientas_mecánicas2165[Herramientas_mecánicas], B455) &gt; 0, Herrramientas_mecánicas2165[[#Headers],[Herramientas_mecánicas]],
    COUNTIF(AK455:AK461, B455) &gt; 0, Herramientas_hidráulicas2266[[#Headers],[Herramientas_hidráulicas]],
    COUNTIF(EPP_2367[SPCC], B455) &gt; 0, EPP_2367[[#Headers],[SPCC]],
   COUNTIF(Herramientas_de_izaje2468[Herramientas_de_izaje], B455) &gt; 0, Herramientas_de_izaje2468[[#Headers],[Herramientas_de_izaje]],
COUNTIF(Tabla162670[Equipos], B455) &gt; 0, Tabla162670[[#Headers],[Equipos]],
    TRUE, "Sin clasificación"
)</f>
        <v>Sin clasificación</v>
      </c>
      <c r="G455" s="15"/>
      <c r="H455" s="47"/>
      <c r="I455" s="87"/>
      <c r="J455" s="78"/>
      <c r="K455" s="78"/>
      <c r="L455" s="78"/>
      <c r="M455" s="78"/>
      <c r="N455" s="76"/>
      <c r="O455" s="76"/>
      <c r="P455" s="78" t="str">
        <f>_xlfn.LET(
    _xlpm.itemBuscado, B455,
    _xlpm.areaBuscada, C455,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TEXT(COUNTIF($C$2:C455, _xlpm.areaBuscada), "0000"),
    _xlpm.codItem &amp; "-" &amp; _xlpm.codArea &amp; "-" &amp; _xlpm.secuencia
)</f>
        <v>-SinArea-0000</v>
      </c>
      <c r="Q455" s="77"/>
      <c r="R455" s="32"/>
      <c r="S455" s="32"/>
      <c r="T455" s="32"/>
      <c r="U455" s="32"/>
    </row>
    <row r="456" spans="3:21" x14ac:dyDescent="0.3">
      <c r="C456" s="11"/>
      <c r="D456" s="32"/>
      <c r="E456" s="11" t="str" cm="1">
        <f t="array" ref="E456">_xlfn.IFS(
    COUNTIF(Herramientas_eléctricas1862[Herramientas_eléctricas], B456) &gt; 0, Herramientas_eléctricas1862[[#Headers],[Herramientas_eléctricas]],
    COUNTIF(Herramientas_neumáticas1963[Herramientas_neumáticas], B456) &gt; 0, Herramientas_neumáticas1963[[#Headers],[Herramientas_neumáticas]],
    COUNTIF(Herramientas_de_medición2064[Herramientas_de_medición], B456) &gt; 0, Herramientas_de_medición2064[[#Headers],[Herramientas_de_medición]],
    COUNTIF(Herrramientas_mecánicas2165[Herramientas_mecánicas], B456) &gt; 0, Herrramientas_mecánicas2165[[#Headers],[Herramientas_mecánicas]],
    COUNTIF(AK456:AK462, B456) &gt; 0, Herramientas_hidráulicas2266[[#Headers],[Herramientas_hidráulicas]],
    COUNTIF(EPP_2367[SPCC], B456) &gt; 0, EPP_2367[[#Headers],[SPCC]],
   COUNTIF(Herramientas_de_izaje2468[Herramientas_de_izaje], B456) &gt; 0, Herramientas_de_izaje2468[[#Headers],[Herramientas_de_izaje]],
COUNTIF(Tabla162670[Equipos], B456) &gt; 0, Tabla162670[[#Headers],[Equipos]],
    TRUE, "Sin clasificación"
)</f>
        <v>Sin clasificación</v>
      </c>
      <c r="G456" s="15"/>
      <c r="H456" s="47"/>
      <c r="I456" s="87"/>
      <c r="J456" s="78"/>
      <c r="K456" s="78"/>
      <c r="L456" s="78"/>
      <c r="M456" s="78"/>
      <c r="N456" s="76"/>
      <c r="O456" s="76"/>
      <c r="P456" s="78" t="str">
        <f>_xlfn.LET(
    _xlpm.itemBuscado, B456,
    _xlpm.areaBuscada, C456,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TEXT(COUNTIF($C$2:C456, _xlpm.areaBuscada), "0000"),
    _xlpm.codItem &amp; "-" &amp; _xlpm.codArea &amp; "-" &amp; _xlpm.secuencia
)</f>
        <v>-SinArea-0000</v>
      </c>
      <c r="Q456" s="77"/>
      <c r="R456" s="32"/>
      <c r="S456" s="32"/>
      <c r="T456" s="32"/>
      <c r="U456" s="32"/>
    </row>
    <row r="457" spans="3:21" x14ac:dyDescent="0.3">
      <c r="C457" s="11"/>
      <c r="D457" s="32"/>
      <c r="E457" s="11" t="str" cm="1">
        <f t="array" ref="E457">_xlfn.IFS(
    COUNTIF(Herramientas_eléctricas1862[Herramientas_eléctricas], B457) &gt; 0, Herramientas_eléctricas1862[[#Headers],[Herramientas_eléctricas]],
    COUNTIF(Herramientas_neumáticas1963[Herramientas_neumáticas], B457) &gt; 0, Herramientas_neumáticas1963[[#Headers],[Herramientas_neumáticas]],
    COUNTIF(Herramientas_de_medición2064[Herramientas_de_medición], B457) &gt; 0, Herramientas_de_medición2064[[#Headers],[Herramientas_de_medición]],
    COUNTIF(Herrramientas_mecánicas2165[Herramientas_mecánicas], B457) &gt; 0, Herrramientas_mecánicas2165[[#Headers],[Herramientas_mecánicas]],
    COUNTIF(AK457:AK463, B457) &gt; 0, Herramientas_hidráulicas2266[[#Headers],[Herramientas_hidráulicas]],
    COUNTIF(EPP_2367[SPCC], B457) &gt; 0, EPP_2367[[#Headers],[SPCC]],
   COUNTIF(Herramientas_de_izaje2468[Herramientas_de_izaje], B457) &gt; 0, Herramientas_de_izaje2468[[#Headers],[Herramientas_de_izaje]],
COUNTIF(Tabla162670[Equipos], B457) &gt; 0, Tabla162670[[#Headers],[Equipos]],
    TRUE, "Sin clasificación"
)</f>
        <v>Sin clasificación</v>
      </c>
      <c r="G457" s="15"/>
      <c r="H457" s="47"/>
      <c r="I457" s="87"/>
      <c r="J457" s="78"/>
      <c r="K457" s="78"/>
      <c r="L457" s="78"/>
      <c r="M457" s="78"/>
      <c r="N457" s="76"/>
      <c r="O457" s="76"/>
      <c r="P457" s="78" t="str">
        <f>_xlfn.LET(
    _xlpm.itemBuscado, B457,
    _xlpm.areaBuscada, C457,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TEXT(COUNTIF($C$2:C457, _xlpm.areaBuscada), "0000"),
    _xlpm.codItem &amp; "-" &amp; _xlpm.codArea &amp; "-" &amp; _xlpm.secuencia
)</f>
        <v>-SinArea-0000</v>
      </c>
      <c r="Q457" s="77"/>
      <c r="R457" s="32"/>
      <c r="S457" s="32"/>
      <c r="T457" s="32"/>
      <c r="U457" s="32"/>
    </row>
    <row r="458" spans="3:21" x14ac:dyDescent="0.3">
      <c r="C458" s="11"/>
      <c r="D458" s="32"/>
      <c r="E458" s="11" t="str" cm="1">
        <f t="array" ref="E458">_xlfn.IFS(
    COUNTIF(Herramientas_eléctricas1862[Herramientas_eléctricas], B458) &gt; 0, Herramientas_eléctricas1862[[#Headers],[Herramientas_eléctricas]],
    COUNTIF(Herramientas_neumáticas1963[Herramientas_neumáticas], B458) &gt; 0, Herramientas_neumáticas1963[[#Headers],[Herramientas_neumáticas]],
    COUNTIF(Herramientas_de_medición2064[Herramientas_de_medición], B458) &gt; 0, Herramientas_de_medición2064[[#Headers],[Herramientas_de_medición]],
    COUNTIF(Herrramientas_mecánicas2165[Herramientas_mecánicas], B458) &gt; 0, Herrramientas_mecánicas2165[[#Headers],[Herramientas_mecánicas]],
    COUNTIF(AK458:AK464, B458) &gt; 0, Herramientas_hidráulicas2266[[#Headers],[Herramientas_hidráulicas]],
    COUNTIF(EPP_2367[SPCC], B458) &gt; 0, EPP_2367[[#Headers],[SPCC]],
   COUNTIF(Herramientas_de_izaje2468[Herramientas_de_izaje], B458) &gt; 0, Herramientas_de_izaje2468[[#Headers],[Herramientas_de_izaje]],
COUNTIF(Tabla162670[Equipos], B458) &gt; 0, Tabla162670[[#Headers],[Equipos]],
    TRUE, "Sin clasificación"
)</f>
        <v>Sin clasificación</v>
      </c>
      <c r="G458" s="15"/>
      <c r="H458" s="47"/>
      <c r="I458" s="87"/>
      <c r="J458" s="78"/>
      <c r="K458" s="78"/>
      <c r="L458" s="78"/>
      <c r="M458" s="78"/>
      <c r="N458" s="76"/>
      <c r="O458" s="76"/>
      <c r="P458" s="78" t="str">
        <f>_xlfn.LET(
    _xlpm.itemBuscado, B458,
    _xlpm.areaBuscada, C458,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TEXT(COUNTIF($C$2:C458, _xlpm.areaBuscada), "0000"),
    _xlpm.codItem &amp; "-" &amp; _xlpm.codArea &amp; "-" &amp; _xlpm.secuencia
)</f>
        <v>-SinArea-0000</v>
      </c>
      <c r="Q458" s="77"/>
      <c r="R458" s="32"/>
      <c r="S458" s="32"/>
      <c r="T458" s="32"/>
      <c r="U458" s="32"/>
    </row>
    <row r="459" spans="3:21" x14ac:dyDescent="0.3">
      <c r="C459" s="11"/>
      <c r="D459" s="32"/>
      <c r="E459" s="11" t="str" cm="1">
        <f t="array" ref="E459">_xlfn.IFS(
    COUNTIF(Herramientas_eléctricas1862[Herramientas_eléctricas], B459) &gt; 0, Herramientas_eléctricas1862[[#Headers],[Herramientas_eléctricas]],
    COUNTIF(Herramientas_neumáticas1963[Herramientas_neumáticas], B459) &gt; 0, Herramientas_neumáticas1963[[#Headers],[Herramientas_neumáticas]],
    COUNTIF(Herramientas_de_medición2064[Herramientas_de_medición], B459) &gt; 0, Herramientas_de_medición2064[[#Headers],[Herramientas_de_medición]],
    COUNTIF(Herrramientas_mecánicas2165[Herramientas_mecánicas], B459) &gt; 0, Herrramientas_mecánicas2165[[#Headers],[Herramientas_mecánicas]],
    COUNTIF(AK459:AK465, B459) &gt; 0, Herramientas_hidráulicas2266[[#Headers],[Herramientas_hidráulicas]],
    COUNTIF(EPP_2367[SPCC], B459) &gt; 0, EPP_2367[[#Headers],[SPCC]],
   COUNTIF(Herramientas_de_izaje2468[Herramientas_de_izaje], B459) &gt; 0, Herramientas_de_izaje2468[[#Headers],[Herramientas_de_izaje]],
COUNTIF(Tabla162670[Equipos], B459) &gt; 0, Tabla162670[[#Headers],[Equipos]],
    TRUE, "Sin clasificación"
)</f>
        <v>Sin clasificación</v>
      </c>
      <c r="G459" s="15"/>
      <c r="H459" s="47"/>
      <c r="I459" s="87"/>
      <c r="J459" s="78"/>
      <c r="K459" s="78"/>
      <c r="L459" s="78"/>
      <c r="M459" s="78"/>
      <c r="N459" s="76"/>
      <c r="O459" s="76"/>
      <c r="P459" s="78" t="str">
        <f>_xlfn.LET(
    _xlpm.itemBuscado, B459,
    _xlpm.areaBuscada, C459,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TEXT(COUNTIF($C$2:C459, _xlpm.areaBuscada), "0000"),
    _xlpm.codItem &amp; "-" &amp; _xlpm.codArea &amp; "-" &amp; _xlpm.secuencia
)</f>
        <v>-SinArea-0000</v>
      </c>
      <c r="Q459" s="77"/>
      <c r="R459" s="32"/>
      <c r="S459" s="32"/>
      <c r="T459" s="32"/>
      <c r="U459" s="32"/>
    </row>
    <row r="460" spans="3:21" x14ac:dyDescent="0.3">
      <c r="C460" s="11"/>
      <c r="D460" s="32"/>
      <c r="E460" s="11" t="str" cm="1">
        <f t="array" ref="E460">_xlfn.IFS(
    COUNTIF(Herramientas_eléctricas1862[Herramientas_eléctricas], B460) &gt; 0, Herramientas_eléctricas1862[[#Headers],[Herramientas_eléctricas]],
    COUNTIF(Herramientas_neumáticas1963[Herramientas_neumáticas], B460) &gt; 0, Herramientas_neumáticas1963[[#Headers],[Herramientas_neumáticas]],
    COUNTIF(Herramientas_de_medición2064[Herramientas_de_medición], B460) &gt; 0, Herramientas_de_medición2064[[#Headers],[Herramientas_de_medición]],
    COUNTIF(Herrramientas_mecánicas2165[Herramientas_mecánicas], B460) &gt; 0, Herrramientas_mecánicas2165[[#Headers],[Herramientas_mecánicas]],
    COUNTIF(AK460:AK466, B460) &gt; 0, Herramientas_hidráulicas2266[[#Headers],[Herramientas_hidráulicas]],
    COUNTIF(EPP_2367[SPCC], B460) &gt; 0, EPP_2367[[#Headers],[SPCC]],
   COUNTIF(Herramientas_de_izaje2468[Herramientas_de_izaje], B460) &gt; 0, Herramientas_de_izaje2468[[#Headers],[Herramientas_de_izaje]],
COUNTIF(Tabla162670[Equipos], B460) &gt; 0, Tabla162670[[#Headers],[Equipos]],
    TRUE, "Sin clasificación"
)</f>
        <v>Sin clasificación</v>
      </c>
      <c r="G460" s="15"/>
      <c r="H460" s="47"/>
      <c r="I460" s="87"/>
      <c r="J460" s="78"/>
      <c r="K460" s="78"/>
      <c r="L460" s="78"/>
      <c r="M460" s="78"/>
      <c r="N460" s="76"/>
      <c r="O460" s="76"/>
      <c r="P460" s="78" t="str">
        <f>_xlfn.LET(
    _xlpm.itemBuscado, B460,
    _xlpm.areaBuscada, C460,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TEXT(COUNTIF($C$2:C460, _xlpm.areaBuscada), "0000"),
    _xlpm.codItem &amp; "-" &amp; _xlpm.codArea &amp; "-" &amp; _xlpm.secuencia
)</f>
        <v>-SinArea-0000</v>
      </c>
      <c r="Q460" s="77"/>
      <c r="R460" s="32"/>
      <c r="S460" s="32"/>
      <c r="T460" s="32"/>
      <c r="U460" s="32"/>
    </row>
    <row r="461" spans="3:21" x14ac:dyDescent="0.3">
      <c r="C461" s="11"/>
      <c r="D461" s="32"/>
      <c r="E461" s="11" t="str" cm="1">
        <f t="array" ref="E461">_xlfn.IFS(
    COUNTIF(Herramientas_eléctricas1862[Herramientas_eléctricas], B461) &gt; 0, Herramientas_eléctricas1862[[#Headers],[Herramientas_eléctricas]],
    COUNTIF(Herramientas_neumáticas1963[Herramientas_neumáticas], B461) &gt; 0, Herramientas_neumáticas1963[[#Headers],[Herramientas_neumáticas]],
    COUNTIF(Herramientas_de_medición2064[Herramientas_de_medición], B461) &gt; 0, Herramientas_de_medición2064[[#Headers],[Herramientas_de_medición]],
    COUNTIF(Herrramientas_mecánicas2165[Herramientas_mecánicas], B461) &gt; 0, Herrramientas_mecánicas2165[[#Headers],[Herramientas_mecánicas]],
    COUNTIF(AK461:AK467, B461) &gt; 0, Herramientas_hidráulicas2266[[#Headers],[Herramientas_hidráulicas]],
    COUNTIF(EPP_2367[SPCC], B461) &gt; 0, EPP_2367[[#Headers],[SPCC]],
   COUNTIF(Herramientas_de_izaje2468[Herramientas_de_izaje], B461) &gt; 0, Herramientas_de_izaje2468[[#Headers],[Herramientas_de_izaje]],
COUNTIF(Tabla162670[Equipos], B461) &gt; 0, Tabla162670[[#Headers],[Equipos]],
    TRUE, "Sin clasificación"
)</f>
        <v>Sin clasificación</v>
      </c>
      <c r="G461" s="15"/>
      <c r="H461" s="47"/>
      <c r="I461" s="87"/>
      <c r="J461" s="78"/>
      <c r="K461" s="78"/>
      <c r="L461" s="78"/>
      <c r="M461" s="78"/>
      <c r="N461" s="76"/>
      <c r="O461" s="76"/>
      <c r="P461" s="78" t="str">
        <f>_xlfn.LET(
    _xlpm.itemBuscado, B461,
    _xlpm.areaBuscada, C461,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TEXT(COUNTIF($C$2:C461, _xlpm.areaBuscada), "0000"),
    _xlpm.codItem &amp; "-" &amp; _xlpm.codArea &amp; "-" &amp; _xlpm.secuencia
)</f>
        <v>-SinArea-0000</v>
      </c>
      <c r="Q461" s="77"/>
      <c r="R461" s="32"/>
      <c r="S461" s="32"/>
      <c r="T461" s="32"/>
      <c r="U461" s="32"/>
    </row>
    <row r="462" spans="3:21" x14ac:dyDescent="0.3">
      <c r="C462" s="11"/>
      <c r="D462" s="32"/>
      <c r="E462" s="11" t="str" cm="1">
        <f t="array" ref="E462">_xlfn.IFS(
    COUNTIF(Herramientas_eléctricas1862[Herramientas_eléctricas], B462) &gt; 0, Herramientas_eléctricas1862[[#Headers],[Herramientas_eléctricas]],
    COUNTIF(Herramientas_neumáticas1963[Herramientas_neumáticas], B462) &gt; 0, Herramientas_neumáticas1963[[#Headers],[Herramientas_neumáticas]],
    COUNTIF(Herramientas_de_medición2064[Herramientas_de_medición], B462) &gt; 0, Herramientas_de_medición2064[[#Headers],[Herramientas_de_medición]],
    COUNTIF(Herrramientas_mecánicas2165[Herramientas_mecánicas], B462) &gt; 0, Herrramientas_mecánicas2165[[#Headers],[Herramientas_mecánicas]],
    COUNTIF(AK462:AK468, B462) &gt; 0, Herramientas_hidráulicas2266[[#Headers],[Herramientas_hidráulicas]],
    COUNTIF(EPP_2367[SPCC], B462) &gt; 0, EPP_2367[[#Headers],[SPCC]],
   COUNTIF(Herramientas_de_izaje2468[Herramientas_de_izaje], B462) &gt; 0, Herramientas_de_izaje2468[[#Headers],[Herramientas_de_izaje]],
COUNTIF(Tabla162670[Equipos], B462) &gt; 0, Tabla162670[[#Headers],[Equipos]],
    TRUE, "Sin clasificación"
)</f>
        <v>Sin clasificación</v>
      </c>
      <c r="G462" s="15"/>
      <c r="H462" s="47"/>
      <c r="I462" s="87"/>
      <c r="J462" s="78"/>
      <c r="K462" s="78"/>
      <c r="L462" s="78"/>
      <c r="M462" s="78"/>
      <c r="N462" s="76"/>
      <c r="O462" s="76"/>
      <c r="P462" s="78" t="str">
        <f>_xlfn.LET(
    _xlpm.itemBuscado, B462,
    _xlpm.areaBuscada, C462,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TEXT(COUNTIF($C$2:C462, _xlpm.areaBuscada), "0000"),
    _xlpm.codItem &amp; "-" &amp; _xlpm.codArea &amp; "-" &amp; _xlpm.secuencia
)</f>
        <v>-SinArea-0000</v>
      </c>
      <c r="Q462" s="77"/>
      <c r="R462" s="32"/>
      <c r="S462" s="32"/>
      <c r="T462" s="32"/>
      <c r="U462" s="32"/>
    </row>
    <row r="463" spans="3:21" x14ac:dyDescent="0.3">
      <c r="C463" s="11"/>
      <c r="D463" s="32"/>
      <c r="E463" s="11" t="str" cm="1">
        <f t="array" ref="E463">_xlfn.IFS(
    COUNTIF(Herramientas_eléctricas1862[Herramientas_eléctricas], B463) &gt; 0, Herramientas_eléctricas1862[[#Headers],[Herramientas_eléctricas]],
    COUNTIF(Herramientas_neumáticas1963[Herramientas_neumáticas], B463) &gt; 0, Herramientas_neumáticas1963[[#Headers],[Herramientas_neumáticas]],
    COUNTIF(Herramientas_de_medición2064[Herramientas_de_medición], B463) &gt; 0, Herramientas_de_medición2064[[#Headers],[Herramientas_de_medición]],
    COUNTIF(Herrramientas_mecánicas2165[Herramientas_mecánicas], B463) &gt; 0, Herrramientas_mecánicas2165[[#Headers],[Herramientas_mecánicas]],
    COUNTIF(AK463:AK469, B463) &gt; 0, Herramientas_hidráulicas2266[[#Headers],[Herramientas_hidráulicas]],
    COUNTIF(EPP_2367[SPCC], B463) &gt; 0, EPP_2367[[#Headers],[SPCC]],
   COUNTIF(Herramientas_de_izaje2468[Herramientas_de_izaje], B463) &gt; 0, Herramientas_de_izaje2468[[#Headers],[Herramientas_de_izaje]],
COUNTIF(Tabla162670[Equipos], B463) &gt; 0, Tabla162670[[#Headers],[Equipos]],
    TRUE, "Sin clasificación"
)</f>
        <v>Sin clasificación</v>
      </c>
      <c r="G463" s="15"/>
      <c r="H463" s="47"/>
      <c r="I463" s="87"/>
      <c r="J463" s="78"/>
      <c r="K463" s="78"/>
      <c r="L463" s="78"/>
      <c r="M463" s="78"/>
      <c r="N463" s="76"/>
      <c r="O463" s="76"/>
      <c r="P463" s="78" t="str">
        <f>_xlfn.LET(
    _xlpm.itemBuscado, B463,
    _xlpm.areaBuscada, C463,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TEXT(COUNTIF($C$2:C463, _xlpm.areaBuscada), "0000"),
    _xlpm.codItem &amp; "-" &amp; _xlpm.codArea &amp; "-" &amp; _xlpm.secuencia
)</f>
        <v>-SinArea-0000</v>
      </c>
      <c r="Q463" s="77"/>
      <c r="R463" s="32"/>
      <c r="S463" s="32"/>
      <c r="T463" s="32"/>
      <c r="U463" s="32"/>
    </row>
    <row r="464" spans="3:21" x14ac:dyDescent="0.3">
      <c r="C464" s="11"/>
      <c r="D464" s="32"/>
      <c r="E464" s="11" t="str" cm="1">
        <f t="array" ref="E464">_xlfn.IFS(
    COUNTIF(Herramientas_eléctricas1862[Herramientas_eléctricas], B464) &gt; 0, Herramientas_eléctricas1862[[#Headers],[Herramientas_eléctricas]],
    COUNTIF(Herramientas_neumáticas1963[Herramientas_neumáticas], B464) &gt; 0, Herramientas_neumáticas1963[[#Headers],[Herramientas_neumáticas]],
    COUNTIF(Herramientas_de_medición2064[Herramientas_de_medición], B464) &gt; 0, Herramientas_de_medición2064[[#Headers],[Herramientas_de_medición]],
    COUNTIF(Herrramientas_mecánicas2165[Herramientas_mecánicas], B464) &gt; 0, Herrramientas_mecánicas2165[[#Headers],[Herramientas_mecánicas]],
    COUNTIF(AK464:AK470, B464) &gt; 0, Herramientas_hidráulicas2266[[#Headers],[Herramientas_hidráulicas]],
    COUNTIF(EPP_2367[SPCC], B464) &gt; 0, EPP_2367[[#Headers],[SPCC]],
   COUNTIF(Herramientas_de_izaje2468[Herramientas_de_izaje], B464) &gt; 0, Herramientas_de_izaje2468[[#Headers],[Herramientas_de_izaje]],
COUNTIF(Tabla162670[Equipos], B464) &gt; 0, Tabla162670[[#Headers],[Equipos]],
    TRUE, "Sin clasificación"
)</f>
        <v>Sin clasificación</v>
      </c>
      <c r="G464" s="15"/>
      <c r="H464" s="47"/>
      <c r="I464" s="87"/>
      <c r="J464" s="78"/>
      <c r="K464" s="78"/>
      <c r="L464" s="78"/>
      <c r="M464" s="78"/>
      <c r="N464" s="76"/>
      <c r="O464" s="76"/>
      <c r="P464" s="78" t="str">
        <f>_xlfn.LET(
    _xlpm.itemBuscado, B464,
    _xlpm.areaBuscada, C464,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TEXT(COUNTIF($C$2:C464, _xlpm.areaBuscada), "0000"),
    _xlpm.codItem &amp; "-" &amp; _xlpm.codArea &amp; "-" &amp; _xlpm.secuencia
)</f>
        <v>-SinArea-0000</v>
      </c>
      <c r="Q464" s="77"/>
      <c r="R464" s="32"/>
      <c r="S464" s="32"/>
      <c r="T464" s="32"/>
      <c r="U464" s="32"/>
    </row>
    <row r="465" spans="3:21" x14ac:dyDescent="0.3">
      <c r="C465" s="11"/>
      <c r="D465" s="32"/>
      <c r="E465" s="11" t="str" cm="1">
        <f t="array" ref="E465">_xlfn.IFS(
    COUNTIF(Herramientas_eléctricas1862[Herramientas_eléctricas], B465) &gt; 0, Herramientas_eléctricas1862[[#Headers],[Herramientas_eléctricas]],
    COUNTIF(Herramientas_neumáticas1963[Herramientas_neumáticas], B465) &gt; 0, Herramientas_neumáticas1963[[#Headers],[Herramientas_neumáticas]],
    COUNTIF(Herramientas_de_medición2064[Herramientas_de_medición], B465) &gt; 0, Herramientas_de_medición2064[[#Headers],[Herramientas_de_medición]],
    COUNTIF(Herrramientas_mecánicas2165[Herramientas_mecánicas], B465) &gt; 0, Herrramientas_mecánicas2165[[#Headers],[Herramientas_mecánicas]],
    COUNTIF(AK465:AK471, B465) &gt; 0, Herramientas_hidráulicas2266[[#Headers],[Herramientas_hidráulicas]],
    COUNTIF(EPP_2367[SPCC], B465) &gt; 0, EPP_2367[[#Headers],[SPCC]],
   COUNTIF(Herramientas_de_izaje2468[Herramientas_de_izaje], B465) &gt; 0, Herramientas_de_izaje2468[[#Headers],[Herramientas_de_izaje]],
COUNTIF(Tabla162670[Equipos], B465) &gt; 0, Tabla162670[[#Headers],[Equipos]],
    TRUE, "Sin clasificación"
)</f>
        <v>Sin clasificación</v>
      </c>
      <c r="G465" s="15"/>
      <c r="H465" s="47"/>
      <c r="I465" s="87"/>
      <c r="J465" s="78"/>
      <c r="K465" s="78"/>
      <c r="L465" s="78"/>
      <c r="M465" s="78"/>
      <c r="N465" s="76"/>
      <c r="O465" s="76"/>
      <c r="P465" s="78" t="str">
        <f>_xlfn.LET(
    _xlpm.itemBuscado, B465,
    _xlpm.areaBuscada, C465,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TEXT(COUNTIF($C$2:C465, _xlpm.areaBuscada), "0000"),
    _xlpm.codItem &amp; "-" &amp; _xlpm.codArea &amp; "-" &amp; _xlpm.secuencia
)</f>
        <v>-SinArea-0000</v>
      </c>
      <c r="Q465" s="77"/>
      <c r="R465" s="32"/>
      <c r="S465" s="32"/>
      <c r="T465" s="32"/>
      <c r="U465" s="32"/>
    </row>
    <row r="466" spans="3:21" x14ac:dyDescent="0.3">
      <c r="C466" s="11"/>
      <c r="D466" s="32"/>
      <c r="E466" s="11" t="str" cm="1">
        <f t="array" ref="E466">_xlfn.IFS(
    COUNTIF(Herramientas_eléctricas1862[Herramientas_eléctricas], B466) &gt; 0, Herramientas_eléctricas1862[[#Headers],[Herramientas_eléctricas]],
    COUNTIF(Herramientas_neumáticas1963[Herramientas_neumáticas], B466) &gt; 0, Herramientas_neumáticas1963[[#Headers],[Herramientas_neumáticas]],
    COUNTIF(Herramientas_de_medición2064[Herramientas_de_medición], B466) &gt; 0, Herramientas_de_medición2064[[#Headers],[Herramientas_de_medición]],
    COUNTIF(Herrramientas_mecánicas2165[Herramientas_mecánicas], B466) &gt; 0, Herrramientas_mecánicas2165[[#Headers],[Herramientas_mecánicas]],
    COUNTIF(AK466:AK472, B466) &gt; 0, Herramientas_hidráulicas2266[[#Headers],[Herramientas_hidráulicas]],
    COUNTIF(EPP_2367[SPCC], B466) &gt; 0, EPP_2367[[#Headers],[SPCC]],
   COUNTIF(Herramientas_de_izaje2468[Herramientas_de_izaje], B466) &gt; 0, Herramientas_de_izaje2468[[#Headers],[Herramientas_de_izaje]],
COUNTIF(Tabla162670[Equipos], B466) &gt; 0, Tabla162670[[#Headers],[Equipos]],
    TRUE, "Sin clasificación"
)</f>
        <v>Sin clasificación</v>
      </c>
      <c r="G466" s="15"/>
      <c r="H466" s="47"/>
      <c r="I466" s="87"/>
      <c r="J466" s="78"/>
      <c r="K466" s="78"/>
      <c r="L466" s="78"/>
      <c r="M466" s="78"/>
      <c r="N466" s="76"/>
      <c r="O466" s="76"/>
      <c r="P466" s="78" t="str">
        <f>_xlfn.LET(
    _xlpm.itemBuscado, B466,
    _xlpm.areaBuscada, C466,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TEXT(COUNTIF($C$2:C466, _xlpm.areaBuscada), "0000"),
    _xlpm.codItem &amp; "-" &amp; _xlpm.codArea &amp; "-" &amp; _xlpm.secuencia
)</f>
        <v>-SinArea-0000</v>
      </c>
      <c r="Q466" s="77"/>
      <c r="R466" s="32"/>
      <c r="S466" s="32"/>
      <c r="T466" s="32"/>
      <c r="U466" s="32"/>
    </row>
    <row r="467" spans="3:21" x14ac:dyDescent="0.3">
      <c r="C467" s="11"/>
      <c r="D467" s="32"/>
      <c r="E467" s="11" t="str" cm="1">
        <f t="array" ref="E467">_xlfn.IFS(
    COUNTIF(Herramientas_eléctricas1862[Herramientas_eléctricas], B467) &gt; 0, Herramientas_eléctricas1862[[#Headers],[Herramientas_eléctricas]],
    COUNTIF(Herramientas_neumáticas1963[Herramientas_neumáticas], B467) &gt; 0, Herramientas_neumáticas1963[[#Headers],[Herramientas_neumáticas]],
    COUNTIF(Herramientas_de_medición2064[Herramientas_de_medición], B467) &gt; 0, Herramientas_de_medición2064[[#Headers],[Herramientas_de_medición]],
    COUNTIF(Herrramientas_mecánicas2165[Herramientas_mecánicas], B467) &gt; 0, Herrramientas_mecánicas2165[[#Headers],[Herramientas_mecánicas]],
    COUNTIF(AK467:AK473, B467) &gt; 0, Herramientas_hidráulicas2266[[#Headers],[Herramientas_hidráulicas]],
    COUNTIF(EPP_2367[SPCC], B467) &gt; 0, EPP_2367[[#Headers],[SPCC]],
   COUNTIF(Herramientas_de_izaje2468[Herramientas_de_izaje], B467) &gt; 0, Herramientas_de_izaje2468[[#Headers],[Herramientas_de_izaje]],
COUNTIF(Tabla162670[Equipos], B467) &gt; 0, Tabla162670[[#Headers],[Equipos]],
    TRUE, "Sin clasificación"
)</f>
        <v>Sin clasificación</v>
      </c>
      <c r="G467" s="15"/>
      <c r="H467" s="47"/>
      <c r="I467" s="87"/>
      <c r="J467" s="78"/>
      <c r="K467" s="78"/>
      <c r="L467" s="78"/>
      <c r="M467" s="78"/>
      <c r="N467" s="76"/>
      <c r="O467" s="76"/>
      <c r="P467" s="78" t="str">
        <f>_xlfn.LET(
    _xlpm.itemBuscado, B467,
    _xlpm.areaBuscada, C467,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TEXT(COUNTIF($C$2:C467, _xlpm.areaBuscada), "0000"),
    _xlpm.codItem &amp; "-" &amp; _xlpm.codArea &amp; "-" &amp; _xlpm.secuencia
)</f>
        <v>-SinArea-0000</v>
      </c>
      <c r="Q467" s="77"/>
      <c r="R467" s="32"/>
      <c r="S467" s="32"/>
      <c r="T467" s="32"/>
      <c r="U467" s="32"/>
    </row>
    <row r="468" spans="3:21" x14ac:dyDescent="0.3">
      <c r="C468" s="11"/>
      <c r="D468" s="32"/>
      <c r="E468" s="11" t="str" cm="1">
        <f t="array" ref="E468">_xlfn.IFS(
    COUNTIF(Herramientas_eléctricas1862[Herramientas_eléctricas], B468) &gt; 0, Herramientas_eléctricas1862[[#Headers],[Herramientas_eléctricas]],
    COUNTIF(Herramientas_neumáticas1963[Herramientas_neumáticas], B468) &gt; 0, Herramientas_neumáticas1963[[#Headers],[Herramientas_neumáticas]],
    COUNTIF(Herramientas_de_medición2064[Herramientas_de_medición], B468) &gt; 0, Herramientas_de_medición2064[[#Headers],[Herramientas_de_medición]],
    COUNTIF(Herrramientas_mecánicas2165[Herramientas_mecánicas], B468) &gt; 0, Herrramientas_mecánicas2165[[#Headers],[Herramientas_mecánicas]],
    COUNTIF(AK468:AK474, B468) &gt; 0, Herramientas_hidráulicas2266[[#Headers],[Herramientas_hidráulicas]],
    COUNTIF(EPP_2367[SPCC], B468) &gt; 0, EPP_2367[[#Headers],[SPCC]],
   COUNTIF(Herramientas_de_izaje2468[Herramientas_de_izaje], B468) &gt; 0, Herramientas_de_izaje2468[[#Headers],[Herramientas_de_izaje]],
COUNTIF(Tabla162670[Equipos], B468) &gt; 0, Tabla162670[[#Headers],[Equipos]],
    TRUE, "Sin clasificación"
)</f>
        <v>Sin clasificación</v>
      </c>
      <c r="G468" s="15"/>
      <c r="H468" s="47"/>
      <c r="I468" s="87"/>
      <c r="J468" s="78"/>
      <c r="K468" s="78"/>
      <c r="L468" s="78"/>
      <c r="M468" s="78"/>
      <c r="N468" s="76"/>
      <c r="O468" s="76"/>
      <c r="P468" s="78" t="str">
        <f>_xlfn.LET(
    _xlpm.itemBuscado, B468,
    _xlpm.areaBuscada, C468,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TEXT(COUNTIF($C$2:C468, _xlpm.areaBuscada), "0000"),
    _xlpm.codItem &amp; "-" &amp; _xlpm.codArea &amp; "-" &amp; _xlpm.secuencia
)</f>
        <v>-SinArea-0000</v>
      </c>
      <c r="Q468" s="77"/>
      <c r="R468" s="32"/>
      <c r="S468" s="32"/>
      <c r="T468" s="32"/>
      <c r="U468" s="32"/>
    </row>
    <row r="469" spans="3:21" x14ac:dyDescent="0.3">
      <c r="C469" s="11"/>
      <c r="D469" s="32"/>
      <c r="E469" s="11" t="str" cm="1">
        <f t="array" ref="E469">_xlfn.IFS(
    COUNTIF(Herramientas_eléctricas1862[Herramientas_eléctricas], B469) &gt; 0, Herramientas_eléctricas1862[[#Headers],[Herramientas_eléctricas]],
    COUNTIF(Herramientas_neumáticas1963[Herramientas_neumáticas], B469) &gt; 0, Herramientas_neumáticas1963[[#Headers],[Herramientas_neumáticas]],
    COUNTIF(Herramientas_de_medición2064[Herramientas_de_medición], B469) &gt; 0, Herramientas_de_medición2064[[#Headers],[Herramientas_de_medición]],
    COUNTIF(Herrramientas_mecánicas2165[Herramientas_mecánicas], B469) &gt; 0, Herrramientas_mecánicas2165[[#Headers],[Herramientas_mecánicas]],
    COUNTIF(AK469:AK475, B469) &gt; 0, Herramientas_hidráulicas2266[[#Headers],[Herramientas_hidráulicas]],
    COUNTIF(EPP_2367[SPCC], B469) &gt; 0, EPP_2367[[#Headers],[SPCC]],
   COUNTIF(Herramientas_de_izaje2468[Herramientas_de_izaje], B469) &gt; 0, Herramientas_de_izaje2468[[#Headers],[Herramientas_de_izaje]],
COUNTIF(Tabla162670[Equipos], B469) &gt; 0, Tabla162670[[#Headers],[Equipos]],
    TRUE, "Sin clasificación"
)</f>
        <v>Sin clasificación</v>
      </c>
      <c r="G469" s="15"/>
      <c r="H469" s="47"/>
      <c r="I469" s="87"/>
      <c r="J469" s="78"/>
      <c r="K469" s="78"/>
      <c r="L469" s="78"/>
      <c r="M469" s="78"/>
      <c r="N469" s="76"/>
      <c r="O469" s="76"/>
      <c r="P469" s="78" t="str">
        <f>_xlfn.LET(
    _xlpm.itemBuscado, B469,
    _xlpm.areaBuscada, C469,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TEXT(COUNTIF($C$2:C469, _xlpm.areaBuscada), "0000"),
    _xlpm.codItem &amp; "-" &amp; _xlpm.codArea &amp; "-" &amp; _xlpm.secuencia
)</f>
        <v>-SinArea-0000</v>
      </c>
      <c r="Q469" s="77"/>
      <c r="R469" s="32"/>
      <c r="S469" s="32"/>
      <c r="T469" s="32"/>
      <c r="U469" s="32"/>
    </row>
    <row r="470" spans="3:21" x14ac:dyDescent="0.3">
      <c r="C470" s="11"/>
      <c r="D470" s="32"/>
      <c r="E470" s="11" t="str" cm="1">
        <f t="array" ref="E470">_xlfn.IFS(
    COUNTIF(Herramientas_eléctricas1862[Herramientas_eléctricas], B470) &gt; 0, Herramientas_eléctricas1862[[#Headers],[Herramientas_eléctricas]],
    COUNTIF(Herramientas_neumáticas1963[Herramientas_neumáticas], B470) &gt; 0, Herramientas_neumáticas1963[[#Headers],[Herramientas_neumáticas]],
    COUNTIF(Herramientas_de_medición2064[Herramientas_de_medición], B470) &gt; 0, Herramientas_de_medición2064[[#Headers],[Herramientas_de_medición]],
    COUNTIF(Herrramientas_mecánicas2165[Herramientas_mecánicas], B470) &gt; 0, Herrramientas_mecánicas2165[[#Headers],[Herramientas_mecánicas]],
    COUNTIF(AK470:AK476, B470) &gt; 0, Herramientas_hidráulicas2266[[#Headers],[Herramientas_hidráulicas]],
    COUNTIF(EPP_2367[SPCC], B470) &gt; 0, EPP_2367[[#Headers],[SPCC]],
   COUNTIF(Herramientas_de_izaje2468[Herramientas_de_izaje], B470) &gt; 0, Herramientas_de_izaje2468[[#Headers],[Herramientas_de_izaje]],
COUNTIF(Tabla162670[Equipos], B470) &gt; 0, Tabla162670[[#Headers],[Equipos]],
    TRUE, "Sin clasificación"
)</f>
        <v>Sin clasificación</v>
      </c>
      <c r="G470" s="15"/>
      <c r="H470" s="47"/>
      <c r="I470" s="87"/>
      <c r="J470" s="78"/>
      <c r="K470" s="78"/>
      <c r="L470" s="78"/>
      <c r="M470" s="78"/>
      <c r="N470" s="76"/>
      <c r="O470" s="76"/>
      <c r="P470" s="78" t="str">
        <f>_xlfn.LET(
    _xlpm.itemBuscado, B470,
    _xlpm.areaBuscada, C470,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TEXT(COUNTIF($C$2:C470, _xlpm.areaBuscada), "0000"),
    _xlpm.codItem &amp; "-" &amp; _xlpm.codArea &amp; "-" &amp; _xlpm.secuencia
)</f>
        <v>-SinArea-0000</v>
      </c>
      <c r="Q470" s="77"/>
      <c r="R470" s="32"/>
      <c r="S470" s="32"/>
      <c r="T470" s="32"/>
      <c r="U470" s="32"/>
    </row>
    <row r="471" spans="3:21" x14ac:dyDescent="0.3">
      <c r="C471" s="11"/>
      <c r="D471" s="32"/>
      <c r="E471" s="11" t="str" cm="1">
        <f t="array" ref="E471">_xlfn.IFS(
    COUNTIF(Herramientas_eléctricas1862[Herramientas_eléctricas], B471) &gt; 0, Herramientas_eléctricas1862[[#Headers],[Herramientas_eléctricas]],
    COUNTIF(Herramientas_neumáticas1963[Herramientas_neumáticas], B471) &gt; 0, Herramientas_neumáticas1963[[#Headers],[Herramientas_neumáticas]],
    COUNTIF(Herramientas_de_medición2064[Herramientas_de_medición], B471) &gt; 0, Herramientas_de_medición2064[[#Headers],[Herramientas_de_medición]],
    COUNTIF(Herrramientas_mecánicas2165[Herramientas_mecánicas], B471) &gt; 0, Herrramientas_mecánicas2165[[#Headers],[Herramientas_mecánicas]],
    COUNTIF(AK471:AK477, B471) &gt; 0, Herramientas_hidráulicas2266[[#Headers],[Herramientas_hidráulicas]],
    COUNTIF(EPP_2367[SPCC], B471) &gt; 0, EPP_2367[[#Headers],[SPCC]],
   COUNTIF(Herramientas_de_izaje2468[Herramientas_de_izaje], B471) &gt; 0, Herramientas_de_izaje2468[[#Headers],[Herramientas_de_izaje]],
COUNTIF(Tabla162670[Equipos], B471) &gt; 0, Tabla162670[[#Headers],[Equipos]],
    TRUE, "Sin clasificación"
)</f>
        <v>Sin clasificación</v>
      </c>
      <c r="G471" s="15"/>
      <c r="H471" s="47"/>
      <c r="I471" s="87"/>
      <c r="J471" s="78"/>
      <c r="K471" s="78"/>
      <c r="L471" s="78"/>
      <c r="M471" s="78"/>
      <c r="N471" s="76"/>
      <c r="O471" s="76"/>
      <c r="P471" s="78" t="str">
        <f>_xlfn.LET(
    _xlpm.itemBuscado, B471,
    _xlpm.areaBuscada, C471,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TEXT(COUNTIF($C$2:C471, _xlpm.areaBuscada), "0000"),
    _xlpm.codItem &amp; "-" &amp; _xlpm.codArea &amp; "-" &amp; _xlpm.secuencia
)</f>
        <v>-SinArea-0000</v>
      </c>
      <c r="Q471" s="77"/>
      <c r="R471" s="32"/>
      <c r="S471" s="32"/>
      <c r="T471" s="32"/>
      <c r="U471" s="32"/>
    </row>
    <row r="472" spans="3:21" x14ac:dyDescent="0.3">
      <c r="C472" s="11"/>
      <c r="D472" s="32"/>
      <c r="E472" s="11" t="str" cm="1">
        <f t="array" ref="E472">_xlfn.IFS(
    COUNTIF(Herramientas_eléctricas1862[Herramientas_eléctricas], B472) &gt; 0, Herramientas_eléctricas1862[[#Headers],[Herramientas_eléctricas]],
    COUNTIF(Herramientas_neumáticas1963[Herramientas_neumáticas], B472) &gt; 0, Herramientas_neumáticas1963[[#Headers],[Herramientas_neumáticas]],
    COUNTIF(Herramientas_de_medición2064[Herramientas_de_medición], B472) &gt; 0, Herramientas_de_medición2064[[#Headers],[Herramientas_de_medición]],
    COUNTIF(Herrramientas_mecánicas2165[Herramientas_mecánicas], B472) &gt; 0, Herrramientas_mecánicas2165[[#Headers],[Herramientas_mecánicas]],
    COUNTIF(AK472:AK478, B472) &gt; 0, Herramientas_hidráulicas2266[[#Headers],[Herramientas_hidráulicas]],
    COUNTIF(EPP_2367[SPCC], B472) &gt; 0, EPP_2367[[#Headers],[SPCC]],
   COUNTIF(Herramientas_de_izaje2468[Herramientas_de_izaje], B472) &gt; 0, Herramientas_de_izaje2468[[#Headers],[Herramientas_de_izaje]],
COUNTIF(Tabla162670[Equipos], B472) &gt; 0, Tabla162670[[#Headers],[Equipos]],
    TRUE, "Sin clasificación"
)</f>
        <v>Sin clasificación</v>
      </c>
      <c r="G472" s="15"/>
      <c r="H472" s="47"/>
      <c r="I472" s="87"/>
      <c r="J472" s="78"/>
      <c r="K472" s="78"/>
      <c r="L472" s="78"/>
      <c r="M472" s="78"/>
      <c r="N472" s="76"/>
      <c r="O472" s="76"/>
      <c r="P472" s="78" t="str">
        <f>_xlfn.LET(
    _xlpm.itemBuscado, B472,
    _xlpm.areaBuscada, C472,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TEXT(COUNTIF($C$2:C472, _xlpm.areaBuscada), "0000"),
    _xlpm.codItem &amp; "-" &amp; _xlpm.codArea &amp; "-" &amp; _xlpm.secuencia
)</f>
        <v>-SinArea-0000</v>
      </c>
      <c r="Q472" s="77"/>
      <c r="R472" s="32"/>
      <c r="S472" s="32"/>
      <c r="T472" s="32"/>
      <c r="U472" s="32"/>
    </row>
    <row r="473" spans="3:21" x14ac:dyDescent="0.3">
      <c r="C473" s="11"/>
      <c r="D473" s="32"/>
      <c r="E473" s="11" t="str" cm="1">
        <f t="array" ref="E473">_xlfn.IFS(
    COUNTIF(Herramientas_eléctricas1862[Herramientas_eléctricas], B473) &gt; 0, Herramientas_eléctricas1862[[#Headers],[Herramientas_eléctricas]],
    COUNTIF(Herramientas_neumáticas1963[Herramientas_neumáticas], B473) &gt; 0, Herramientas_neumáticas1963[[#Headers],[Herramientas_neumáticas]],
    COUNTIF(Herramientas_de_medición2064[Herramientas_de_medición], B473) &gt; 0, Herramientas_de_medición2064[[#Headers],[Herramientas_de_medición]],
    COUNTIF(Herrramientas_mecánicas2165[Herramientas_mecánicas], B473) &gt; 0, Herrramientas_mecánicas2165[[#Headers],[Herramientas_mecánicas]],
    COUNTIF(AK473:AK479, B473) &gt; 0, Herramientas_hidráulicas2266[[#Headers],[Herramientas_hidráulicas]],
    COUNTIF(EPP_2367[SPCC], B473) &gt; 0, EPP_2367[[#Headers],[SPCC]],
   COUNTIF(Herramientas_de_izaje2468[Herramientas_de_izaje], B473) &gt; 0, Herramientas_de_izaje2468[[#Headers],[Herramientas_de_izaje]],
COUNTIF(Tabla162670[Equipos], B473) &gt; 0, Tabla162670[[#Headers],[Equipos]],
    TRUE, "Sin clasificación"
)</f>
        <v>Sin clasificación</v>
      </c>
      <c r="G473" s="15"/>
      <c r="H473" s="47"/>
      <c r="I473" s="87"/>
      <c r="J473" s="78"/>
      <c r="K473" s="78"/>
      <c r="L473" s="78"/>
      <c r="M473" s="78"/>
      <c r="N473" s="76"/>
      <c r="O473" s="76"/>
      <c r="P473" s="78" t="str">
        <f>_xlfn.LET(
    _xlpm.itemBuscado, B473,
    _xlpm.areaBuscada, C473,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TEXT(COUNTIF($C$2:C473, _xlpm.areaBuscada), "0000"),
    _xlpm.codItem &amp; "-" &amp; _xlpm.codArea &amp; "-" &amp; _xlpm.secuencia
)</f>
        <v>-SinArea-0000</v>
      </c>
      <c r="Q473" s="77"/>
      <c r="R473" s="32"/>
      <c r="S473" s="32"/>
      <c r="T473" s="32"/>
      <c r="U473" s="32"/>
    </row>
    <row r="474" spans="3:21" x14ac:dyDescent="0.3">
      <c r="C474" s="11"/>
      <c r="D474" s="32"/>
      <c r="E474" s="11" t="str" cm="1">
        <f t="array" ref="E474">_xlfn.IFS(
    COUNTIF(Herramientas_eléctricas1862[Herramientas_eléctricas], B474) &gt; 0, Herramientas_eléctricas1862[[#Headers],[Herramientas_eléctricas]],
    COUNTIF(Herramientas_neumáticas1963[Herramientas_neumáticas], B474) &gt; 0, Herramientas_neumáticas1963[[#Headers],[Herramientas_neumáticas]],
    COUNTIF(Herramientas_de_medición2064[Herramientas_de_medición], B474) &gt; 0, Herramientas_de_medición2064[[#Headers],[Herramientas_de_medición]],
    COUNTIF(Herrramientas_mecánicas2165[Herramientas_mecánicas], B474) &gt; 0, Herrramientas_mecánicas2165[[#Headers],[Herramientas_mecánicas]],
    COUNTIF(AK474:AK480, B474) &gt; 0, Herramientas_hidráulicas2266[[#Headers],[Herramientas_hidráulicas]],
    COUNTIF(EPP_2367[SPCC], B474) &gt; 0, EPP_2367[[#Headers],[SPCC]],
   COUNTIF(Herramientas_de_izaje2468[Herramientas_de_izaje], B474) &gt; 0, Herramientas_de_izaje2468[[#Headers],[Herramientas_de_izaje]],
COUNTIF(Tabla162670[Equipos], B474) &gt; 0, Tabla162670[[#Headers],[Equipos]],
    TRUE, "Sin clasificación"
)</f>
        <v>Sin clasificación</v>
      </c>
      <c r="G474" s="15"/>
      <c r="H474" s="47"/>
      <c r="I474" s="87"/>
      <c r="J474" s="78"/>
      <c r="K474" s="78"/>
      <c r="L474" s="78"/>
      <c r="M474" s="78"/>
      <c r="N474" s="76"/>
      <c r="O474" s="76"/>
      <c r="P474" s="78" t="str">
        <f>_xlfn.LET(
    _xlpm.itemBuscado, B474,
    _xlpm.areaBuscada, C474,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TEXT(COUNTIF($C$2:C474, _xlpm.areaBuscada), "0000"),
    _xlpm.codItem &amp; "-" &amp; _xlpm.codArea &amp; "-" &amp; _xlpm.secuencia
)</f>
        <v>-SinArea-0000</v>
      </c>
      <c r="Q474" s="77"/>
      <c r="R474" s="32"/>
      <c r="S474" s="32"/>
      <c r="T474" s="32"/>
      <c r="U474" s="32"/>
    </row>
    <row r="475" spans="3:21" x14ac:dyDescent="0.3">
      <c r="C475" s="11"/>
      <c r="D475" s="32"/>
      <c r="E475" s="11" t="str" cm="1">
        <f t="array" ref="E475">_xlfn.IFS(
    COUNTIF(Herramientas_eléctricas1862[Herramientas_eléctricas], B475) &gt; 0, Herramientas_eléctricas1862[[#Headers],[Herramientas_eléctricas]],
    COUNTIF(Herramientas_neumáticas1963[Herramientas_neumáticas], B475) &gt; 0, Herramientas_neumáticas1963[[#Headers],[Herramientas_neumáticas]],
    COUNTIF(Herramientas_de_medición2064[Herramientas_de_medición], B475) &gt; 0, Herramientas_de_medición2064[[#Headers],[Herramientas_de_medición]],
    COUNTIF(Herrramientas_mecánicas2165[Herramientas_mecánicas], B475) &gt; 0, Herrramientas_mecánicas2165[[#Headers],[Herramientas_mecánicas]],
    COUNTIF(AK475:AK481, B475) &gt; 0, Herramientas_hidráulicas2266[[#Headers],[Herramientas_hidráulicas]],
    COUNTIF(EPP_2367[SPCC], B475) &gt; 0, EPP_2367[[#Headers],[SPCC]],
   COUNTIF(Herramientas_de_izaje2468[Herramientas_de_izaje], B475) &gt; 0, Herramientas_de_izaje2468[[#Headers],[Herramientas_de_izaje]],
COUNTIF(Tabla162670[Equipos], B475) &gt; 0, Tabla162670[[#Headers],[Equipos]],
    TRUE, "Sin clasificación"
)</f>
        <v>Sin clasificación</v>
      </c>
      <c r="G475" s="15"/>
      <c r="H475" s="47"/>
      <c r="I475" s="87"/>
      <c r="J475" s="78"/>
      <c r="K475" s="78"/>
      <c r="L475" s="78"/>
      <c r="M475" s="78"/>
      <c r="N475" s="76"/>
      <c r="O475" s="76"/>
      <c r="P475" s="78" t="str">
        <f>_xlfn.LET(
    _xlpm.itemBuscado, B475,
    _xlpm.areaBuscada, C475,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TEXT(COUNTIF($C$2:C475, _xlpm.areaBuscada), "0000"),
    _xlpm.codItem &amp; "-" &amp; _xlpm.codArea &amp; "-" &amp; _xlpm.secuencia
)</f>
        <v>-SinArea-0000</v>
      </c>
      <c r="Q475" s="77"/>
      <c r="R475" s="32"/>
      <c r="S475" s="32"/>
      <c r="T475" s="32"/>
      <c r="U475" s="32"/>
    </row>
    <row r="476" spans="3:21" x14ac:dyDescent="0.3">
      <c r="C476" s="11"/>
      <c r="D476" s="32"/>
      <c r="E476" s="11" t="str" cm="1">
        <f t="array" ref="E476">_xlfn.IFS(
    COUNTIF(Herramientas_eléctricas1862[Herramientas_eléctricas], B476) &gt; 0, Herramientas_eléctricas1862[[#Headers],[Herramientas_eléctricas]],
    COUNTIF(Herramientas_neumáticas1963[Herramientas_neumáticas], B476) &gt; 0, Herramientas_neumáticas1963[[#Headers],[Herramientas_neumáticas]],
    COUNTIF(Herramientas_de_medición2064[Herramientas_de_medición], B476) &gt; 0, Herramientas_de_medición2064[[#Headers],[Herramientas_de_medición]],
    COUNTIF(Herrramientas_mecánicas2165[Herramientas_mecánicas], B476) &gt; 0, Herrramientas_mecánicas2165[[#Headers],[Herramientas_mecánicas]],
    COUNTIF(AK476:AK482, B476) &gt; 0, Herramientas_hidráulicas2266[[#Headers],[Herramientas_hidráulicas]],
    COUNTIF(EPP_2367[SPCC], B476) &gt; 0, EPP_2367[[#Headers],[SPCC]],
   COUNTIF(Herramientas_de_izaje2468[Herramientas_de_izaje], B476) &gt; 0, Herramientas_de_izaje2468[[#Headers],[Herramientas_de_izaje]],
COUNTIF(Tabla162670[Equipos], B476) &gt; 0, Tabla162670[[#Headers],[Equipos]],
    TRUE, "Sin clasificación"
)</f>
        <v>Sin clasificación</v>
      </c>
      <c r="G476" s="15"/>
      <c r="H476" s="47"/>
      <c r="I476" s="87"/>
      <c r="J476" s="78"/>
      <c r="K476" s="78"/>
      <c r="L476" s="78"/>
      <c r="M476" s="78"/>
      <c r="N476" s="76"/>
      <c r="O476" s="76"/>
      <c r="P476" s="78" t="str">
        <f>_xlfn.LET(
    _xlpm.itemBuscado, B476,
    _xlpm.areaBuscada, C476,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TEXT(COUNTIF($C$2:C476, _xlpm.areaBuscada), "0000"),
    _xlpm.codItem &amp; "-" &amp; _xlpm.codArea &amp; "-" &amp; _xlpm.secuencia
)</f>
        <v>-SinArea-0000</v>
      </c>
      <c r="Q476" s="77"/>
      <c r="R476" s="32"/>
      <c r="S476" s="32"/>
      <c r="T476" s="32"/>
      <c r="U476" s="32"/>
    </row>
    <row r="477" spans="3:21" x14ac:dyDescent="0.3">
      <c r="C477" s="11"/>
      <c r="D477" s="32"/>
      <c r="E477" s="11" t="str" cm="1">
        <f t="array" ref="E477">_xlfn.IFS(
    COUNTIF(Herramientas_eléctricas1862[Herramientas_eléctricas], B477) &gt; 0, Herramientas_eléctricas1862[[#Headers],[Herramientas_eléctricas]],
    COUNTIF(Herramientas_neumáticas1963[Herramientas_neumáticas], B477) &gt; 0, Herramientas_neumáticas1963[[#Headers],[Herramientas_neumáticas]],
    COUNTIF(Herramientas_de_medición2064[Herramientas_de_medición], B477) &gt; 0, Herramientas_de_medición2064[[#Headers],[Herramientas_de_medición]],
    COUNTIF(Herrramientas_mecánicas2165[Herramientas_mecánicas], B477) &gt; 0, Herrramientas_mecánicas2165[[#Headers],[Herramientas_mecánicas]],
    COUNTIF(AK477:AK483, B477) &gt; 0, Herramientas_hidráulicas2266[[#Headers],[Herramientas_hidráulicas]],
    COUNTIF(EPP_2367[SPCC], B477) &gt; 0, EPP_2367[[#Headers],[SPCC]],
   COUNTIF(Herramientas_de_izaje2468[Herramientas_de_izaje], B477) &gt; 0, Herramientas_de_izaje2468[[#Headers],[Herramientas_de_izaje]],
COUNTIF(Tabla162670[Equipos], B477) &gt; 0, Tabla162670[[#Headers],[Equipos]],
    TRUE, "Sin clasificación"
)</f>
        <v>Sin clasificación</v>
      </c>
      <c r="G477" s="15"/>
      <c r="H477" s="47"/>
      <c r="I477" s="87"/>
      <c r="J477" s="78"/>
      <c r="K477" s="78"/>
      <c r="L477" s="78"/>
      <c r="M477" s="78"/>
      <c r="N477" s="76"/>
      <c r="O477" s="76"/>
      <c r="P477" s="78" t="str">
        <f>_xlfn.LET(
    _xlpm.itemBuscado, B477,
    _xlpm.areaBuscada, C477,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TEXT(COUNTIF($C$2:C477, _xlpm.areaBuscada), "0000"),
    _xlpm.codItem &amp; "-" &amp; _xlpm.codArea &amp; "-" &amp; _xlpm.secuencia
)</f>
        <v>-SinArea-0000</v>
      </c>
      <c r="Q477" s="77"/>
      <c r="R477" s="32"/>
      <c r="S477" s="32"/>
      <c r="T477" s="32"/>
      <c r="U477" s="32"/>
    </row>
    <row r="478" spans="3:21" x14ac:dyDescent="0.3">
      <c r="C478" s="11"/>
      <c r="D478" s="32"/>
      <c r="E478" s="11" t="str" cm="1">
        <f t="array" ref="E478">_xlfn.IFS(
    COUNTIF(Herramientas_eléctricas1862[Herramientas_eléctricas], B478) &gt; 0, Herramientas_eléctricas1862[[#Headers],[Herramientas_eléctricas]],
    COUNTIF(Herramientas_neumáticas1963[Herramientas_neumáticas], B478) &gt; 0, Herramientas_neumáticas1963[[#Headers],[Herramientas_neumáticas]],
    COUNTIF(Herramientas_de_medición2064[Herramientas_de_medición], B478) &gt; 0, Herramientas_de_medición2064[[#Headers],[Herramientas_de_medición]],
    COUNTIF(Herrramientas_mecánicas2165[Herramientas_mecánicas], B478) &gt; 0, Herrramientas_mecánicas2165[[#Headers],[Herramientas_mecánicas]],
    COUNTIF(AK478:AK484, B478) &gt; 0, Herramientas_hidráulicas2266[[#Headers],[Herramientas_hidráulicas]],
    COUNTIF(EPP_2367[SPCC], B478) &gt; 0, EPP_2367[[#Headers],[SPCC]],
   COUNTIF(Herramientas_de_izaje2468[Herramientas_de_izaje], B478) &gt; 0, Herramientas_de_izaje2468[[#Headers],[Herramientas_de_izaje]],
COUNTIF(Tabla162670[Equipos], B478) &gt; 0, Tabla162670[[#Headers],[Equipos]],
    TRUE, "Sin clasificación"
)</f>
        <v>Sin clasificación</v>
      </c>
      <c r="G478" s="15"/>
      <c r="H478" s="47"/>
      <c r="I478" s="87"/>
      <c r="J478" s="78"/>
      <c r="K478" s="78"/>
      <c r="L478" s="78"/>
      <c r="M478" s="78"/>
      <c r="N478" s="76"/>
      <c r="O478" s="76"/>
      <c r="P478" s="78" t="str">
        <f>_xlfn.LET(
    _xlpm.itemBuscado, B478,
    _xlpm.areaBuscada, C478,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TEXT(COUNTIF($C$2:C478, _xlpm.areaBuscada), "0000"),
    _xlpm.codItem &amp; "-" &amp; _xlpm.codArea &amp; "-" &amp; _xlpm.secuencia
)</f>
        <v>-SinArea-0000</v>
      </c>
      <c r="Q478" s="77"/>
      <c r="R478" s="32"/>
      <c r="S478" s="32"/>
      <c r="T478" s="32"/>
      <c r="U478" s="32"/>
    </row>
    <row r="479" spans="3:21" x14ac:dyDescent="0.3">
      <c r="C479" s="11"/>
      <c r="D479" s="32"/>
      <c r="E479" s="11" t="str" cm="1">
        <f t="array" ref="E479">_xlfn.IFS(
    COUNTIF(Herramientas_eléctricas1862[Herramientas_eléctricas], B479) &gt; 0, Herramientas_eléctricas1862[[#Headers],[Herramientas_eléctricas]],
    COUNTIF(Herramientas_neumáticas1963[Herramientas_neumáticas], B479) &gt; 0, Herramientas_neumáticas1963[[#Headers],[Herramientas_neumáticas]],
    COUNTIF(Herramientas_de_medición2064[Herramientas_de_medición], B479) &gt; 0, Herramientas_de_medición2064[[#Headers],[Herramientas_de_medición]],
    COUNTIF(Herrramientas_mecánicas2165[Herramientas_mecánicas], B479) &gt; 0, Herrramientas_mecánicas2165[[#Headers],[Herramientas_mecánicas]],
    COUNTIF(AK479:AK485, B479) &gt; 0, Herramientas_hidráulicas2266[[#Headers],[Herramientas_hidráulicas]],
    COUNTIF(EPP_2367[SPCC], B479) &gt; 0, EPP_2367[[#Headers],[SPCC]],
   COUNTIF(Herramientas_de_izaje2468[Herramientas_de_izaje], B479) &gt; 0, Herramientas_de_izaje2468[[#Headers],[Herramientas_de_izaje]],
COUNTIF(Tabla162670[Equipos], B479) &gt; 0, Tabla162670[[#Headers],[Equipos]],
    TRUE, "Sin clasificación"
)</f>
        <v>Sin clasificación</v>
      </c>
      <c r="G479" s="15"/>
      <c r="H479" s="47"/>
      <c r="I479" s="87"/>
      <c r="J479" s="78"/>
      <c r="K479" s="78"/>
      <c r="L479" s="78"/>
      <c r="M479" s="78"/>
      <c r="N479" s="76"/>
      <c r="O479" s="76"/>
      <c r="P479" s="78" t="str">
        <f>_xlfn.LET(
    _xlpm.itemBuscado, B479,
    _xlpm.areaBuscada, C479,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TEXT(COUNTIF($C$2:C479, _xlpm.areaBuscada), "0000"),
    _xlpm.codItem &amp; "-" &amp; _xlpm.codArea &amp; "-" &amp; _xlpm.secuencia
)</f>
        <v>-SinArea-0000</v>
      </c>
      <c r="Q479" s="77"/>
      <c r="R479" s="32"/>
      <c r="S479" s="32"/>
      <c r="T479" s="32"/>
      <c r="U479" s="32"/>
    </row>
    <row r="480" spans="3:21" x14ac:dyDescent="0.3">
      <c r="C480" s="11"/>
      <c r="D480" s="32"/>
      <c r="E480" s="11" t="str" cm="1">
        <f t="array" ref="E480">_xlfn.IFS(
    COUNTIF(Herramientas_eléctricas1862[Herramientas_eléctricas], B480) &gt; 0, Herramientas_eléctricas1862[[#Headers],[Herramientas_eléctricas]],
    COUNTIF(Herramientas_neumáticas1963[Herramientas_neumáticas], B480) &gt; 0, Herramientas_neumáticas1963[[#Headers],[Herramientas_neumáticas]],
    COUNTIF(Herramientas_de_medición2064[Herramientas_de_medición], B480) &gt; 0, Herramientas_de_medición2064[[#Headers],[Herramientas_de_medición]],
    COUNTIF(Herrramientas_mecánicas2165[Herramientas_mecánicas], B480) &gt; 0, Herrramientas_mecánicas2165[[#Headers],[Herramientas_mecánicas]],
    COUNTIF(AK480:AK486, B480) &gt; 0, Herramientas_hidráulicas2266[[#Headers],[Herramientas_hidráulicas]],
    COUNTIF(EPP_2367[SPCC], B480) &gt; 0, EPP_2367[[#Headers],[SPCC]],
   COUNTIF(Herramientas_de_izaje2468[Herramientas_de_izaje], B480) &gt; 0, Herramientas_de_izaje2468[[#Headers],[Herramientas_de_izaje]],
COUNTIF(Tabla162670[Equipos], B480) &gt; 0, Tabla162670[[#Headers],[Equipos]],
    TRUE, "Sin clasificación"
)</f>
        <v>Sin clasificación</v>
      </c>
      <c r="G480" s="15"/>
      <c r="H480" s="47"/>
      <c r="I480" s="87"/>
      <c r="J480" s="78"/>
      <c r="K480" s="78"/>
      <c r="L480" s="78"/>
      <c r="M480" s="78"/>
      <c r="N480" s="76"/>
      <c r="O480" s="76"/>
      <c r="P480" s="78" t="str">
        <f>_xlfn.LET(
    _xlpm.itemBuscado, B480,
    _xlpm.areaBuscada, C480,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TEXT(COUNTIF($C$2:C480, _xlpm.areaBuscada), "0000"),
    _xlpm.codItem &amp; "-" &amp; _xlpm.codArea &amp; "-" &amp; _xlpm.secuencia
)</f>
        <v>-SinArea-0000</v>
      </c>
      <c r="Q480" s="77"/>
      <c r="R480" s="32"/>
      <c r="S480" s="32"/>
      <c r="T480" s="32"/>
      <c r="U480" s="32"/>
    </row>
    <row r="481" spans="3:21" x14ac:dyDescent="0.3">
      <c r="C481" s="11"/>
      <c r="D481" s="32"/>
      <c r="E481" s="11" t="str" cm="1">
        <f t="array" ref="E481">_xlfn.IFS(
    COUNTIF(Herramientas_eléctricas1862[Herramientas_eléctricas], B481) &gt; 0, Herramientas_eléctricas1862[[#Headers],[Herramientas_eléctricas]],
    COUNTIF(Herramientas_neumáticas1963[Herramientas_neumáticas], B481) &gt; 0, Herramientas_neumáticas1963[[#Headers],[Herramientas_neumáticas]],
    COUNTIF(Herramientas_de_medición2064[Herramientas_de_medición], B481) &gt; 0, Herramientas_de_medición2064[[#Headers],[Herramientas_de_medición]],
    COUNTIF(Herrramientas_mecánicas2165[Herramientas_mecánicas], B481) &gt; 0, Herrramientas_mecánicas2165[[#Headers],[Herramientas_mecánicas]],
    COUNTIF(AK481:AK487, B481) &gt; 0, Herramientas_hidráulicas2266[[#Headers],[Herramientas_hidráulicas]],
    COUNTIF(EPP_2367[SPCC], B481) &gt; 0, EPP_2367[[#Headers],[SPCC]],
   COUNTIF(Herramientas_de_izaje2468[Herramientas_de_izaje], B481) &gt; 0, Herramientas_de_izaje2468[[#Headers],[Herramientas_de_izaje]],
COUNTIF(Tabla162670[Equipos], B481) &gt; 0, Tabla162670[[#Headers],[Equipos]],
    TRUE, "Sin clasificación"
)</f>
        <v>Sin clasificación</v>
      </c>
      <c r="G481" s="15"/>
      <c r="H481" s="47"/>
      <c r="I481" s="87"/>
      <c r="J481" s="78"/>
      <c r="K481" s="78"/>
      <c r="L481" s="78"/>
      <c r="M481" s="78"/>
      <c r="N481" s="76"/>
      <c r="O481" s="76"/>
      <c r="P481" s="78" t="str">
        <f>_xlfn.LET(
    _xlpm.itemBuscado, B481,
    _xlpm.areaBuscada, C481,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TEXT(COUNTIF($C$2:C481, _xlpm.areaBuscada), "0000"),
    _xlpm.codItem &amp; "-" &amp; _xlpm.codArea &amp; "-" &amp; _xlpm.secuencia
)</f>
        <v>-SinArea-0000</v>
      </c>
      <c r="Q481" s="77"/>
      <c r="R481" s="32"/>
      <c r="S481" s="32"/>
      <c r="T481" s="32"/>
      <c r="U481" s="32"/>
    </row>
    <row r="482" spans="3:21" x14ac:dyDescent="0.3">
      <c r="C482" s="11"/>
      <c r="D482" s="32"/>
      <c r="E482" s="11" t="str" cm="1">
        <f t="array" ref="E482">_xlfn.IFS(
    COUNTIF(Herramientas_eléctricas1862[Herramientas_eléctricas], B482) &gt; 0, Herramientas_eléctricas1862[[#Headers],[Herramientas_eléctricas]],
    COUNTIF(Herramientas_neumáticas1963[Herramientas_neumáticas], B482) &gt; 0, Herramientas_neumáticas1963[[#Headers],[Herramientas_neumáticas]],
    COUNTIF(Herramientas_de_medición2064[Herramientas_de_medición], B482) &gt; 0, Herramientas_de_medición2064[[#Headers],[Herramientas_de_medición]],
    COUNTIF(Herrramientas_mecánicas2165[Herramientas_mecánicas], B482) &gt; 0, Herrramientas_mecánicas2165[[#Headers],[Herramientas_mecánicas]],
    COUNTIF(AK482:AK488, B482) &gt; 0, Herramientas_hidráulicas2266[[#Headers],[Herramientas_hidráulicas]],
    COUNTIF(EPP_2367[SPCC], B482) &gt; 0, EPP_2367[[#Headers],[SPCC]],
   COUNTIF(Herramientas_de_izaje2468[Herramientas_de_izaje], B482) &gt; 0, Herramientas_de_izaje2468[[#Headers],[Herramientas_de_izaje]],
COUNTIF(Tabla162670[Equipos], B482) &gt; 0, Tabla162670[[#Headers],[Equipos]],
    TRUE, "Sin clasificación"
)</f>
        <v>Sin clasificación</v>
      </c>
      <c r="G482" s="15"/>
      <c r="H482" s="47"/>
      <c r="I482" s="87"/>
      <c r="J482" s="78"/>
      <c r="K482" s="78"/>
      <c r="L482" s="78"/>
      <c r="M482" s="78"/>
      <c r="N482" s="76"/>
      <c r="O482" s="76"/>
      <c r="P482" s="78" t="str">
        <f>_xlfn.LET(
    _xlpm.itemBuscado, B482,
    _xlpm.areaBuscada, C482,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TEXT(COUNTIF($C$2:C482, _xlpm.areaBuscada), "0000"),
    _xlpm.codItem &amp; "-" &amp; _xlpm.codArea &amp; "-" &amp; _xlpm.secuencia
)</f>
        <v>-SinArea-0000</v>
      </c>
      <c r="Q482" s="77"/>
      <c r="R482" s="32"/>
      <c r="S482" s="32"/>
      <c r="T482" s="32"/>
      <c r="U482" s="32"/>
    </row>
    <row r="483" spans="3:21" x14ac:dyDescent="0.3">
      <c r="C483" s="11"/>
      <c r="D483" s="32"/>
      <c r="E483" s="11" t="str" cm="1">
        <f t="array" ref="E483">_xlfn.IFS(
    COUNTIF(Herramientas_eléctricas1862[Herramientas_eléctricas], B483) &gt; 0, Herramientas_eléctricas1862[[#Headers],[Herramientas_eléctricas]],
    COUNTIF(Herramientas_neumáticas1963[Herramientas_neumáticas], B483) &gt; 0, Herramientas_neumáticas1963[[#Headers],[Herramientas_neumáticas]],
    COUNTIF(Herramientas_de_medición2064[Herramientas_de_medición], B483) &gt; 0, Herramientas_de_medición2064[[#Headers],[Herramientas_de_medición]],
    COUNTIF(Herrramientas_mecánicas2165[Herramientas_mecánicas], B483) &gt; 0, Herrramientas_mecánicas2165[[#Headers],[Herramientas_mecánicas]],
    COUNTIF(AK483:AK489, B483) &gt; 0, Herramientas_hidráulicas2266[[#Headers],[Herramientas_hidráulicas]],
    COUNTIF(EPP_2367[SPCC], B483) &gt; 0, EPP_2367[[#Headers],[SPCC]],
   COUNTIF(Herramientas_de_izaje2468[Herramientas_de_izaje], B483) &gt; 0, Herramientas_de_izaje2468[[#Headers],[Herramientas_de_izaje]],
COUNTIF(Tabla162670[Equipos], B483) &gt; 0, Tabla162670[[#Headers],[Equipos]],
    TRUE, "Sin clasificación"
)</f>
        <v>Sin clasificación</v>
      </c>
      <c r="G483" s="15"/>
      <c r="H483" s="47"/>
      <c r="I483" s="87"/>
      <c r="J483" s="78"/>
      <c r="K483" s="78"/>
      <c r="L483" s="78"/>
      <c r="M483" s="78"/>
      <c r="N483" s="76"/>
      <c r="O483" s="76"/>
      <c r="P483" s="78" t="str">
        <f>_xlfn.LET(
    _xlpm.itemBuscado, B483,
    _xlpm.areaBuscada, C483,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TEXT(COUNTIF($C$2:C483, _xlpm.areaBuscada), "0000"),
    _xlpm.codItem &amp; "-" &amp; _xlpm.codArea &amp; "-" &amp; _xlpm.secuencia
)</f>
        <v>-SinArea-0000</v>
      </c>
      <c r="Q483" s="77"/>
      <c r="R483" s="32"/>
      <c r="S483" s="32"/>
      <c r="T483" s="32"/>
      <c r="U483" s="32"/>
    </row>
    <row r="484" spans="3:21" x14ac:dyDescent="0.3">
      <c r="C484" s="11"/>
      <c r="D484" s="32"/>
      <c r="E484" s="11" t="str" cm="1">
        <f t="array" ref="E484">_xlfn.IFS(
    COUNTIF(Herramientas_eléctricas1862[Herramientas_eléctricas], B484) &gt; 0, Herramientas_eléctricas1862[[#Headers],[Herramientas_eléctricas]],
    COUNTIF(Herramientas_neumáticas1963[Herramientas_neumáticas], B484) &gt; 0, Herramientas_neumáticas1963[[#Headers],[Herramientas_neumáticas]],
    COUNTIF(Herramientas_de_medición2064[Herramientas_de_medición], B484) &gt; 0, Herramientas_de_medición2064[[#Headers],[Herramientas_de_medición]],
    COUNTIF(Herrramientas_mecánicas2165[Herramientas_mecánicas], B484) &gt; 0, Herrramientas_mecánicas2165[[#Headers],[Herramientas_mecánicas]],
    COUNTIF(AK484:AK490, B484) &gt; 0, Herramientas_hidráulicas2266[[#Headers],[Herramientas_hidráulicas]],
    COUNTIF(EPP_2367[SPCC], B484) &gt; 0, EPP_2367[[#Headers],[SPCC]],
   COUNTIF(Herramientas_de_izaje2468[Herramientas_de_izaje], B484) &gt; 0, Herramientas_de_izaje2468[[#Headers],[Herramientas_de_izaje]],
COUNTIF(Tabla162670[Equipos], B484) &gt; 0, Tabla162670[[#Headers],[Equipos]],
    TRUE, "Sin clasificación"
)</f>
        <v>Sin clasificación</v>
      </c>
      <c r="G484" s="15"/>
      <c r="H484" s="47"/>
      <c r="I484" s="87"/>
      <c r="J484" s="78"/>
      <c r="K484" s="78"/>
      <c r="L484" s="78"/>
      <c r="M484" s="78"/>
      <c r="N484" s="76"/>
      <c r="O484" s="76"/>
      <c r="P484" s="78" t="str">
        <f>_xlfn.LET(
    _xlpm.itemBuscado, B484,
    _xlpm.areaBuscada, C484,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TEXT(COUNTIF($C$2:C484, _xlpm.areaBuscada), "0000"),
    _xlpm.codItem &amp; "-" &amp; _xlpm.codArea &amp; "-" &amp; _xlpm.secuencia
)</f>
        <v>-SinArea-0000</v>
      </c>
      <c r="Q484" s="77"/>
      <c r="R484" s="32"/>
      <c r="S484" s="32"/>
      <c r="T484" s="32"/>
      <c r="U484" s="32"/>
    </row>
    <row r="485" spans="3:21" x14ac:dyDescent="0.3">
      <c r="C485" s="11"/>
      <c r="D485" s="32"/>
      <c r="E485" s="11" t="str" cm="1">
        <f t="array" ref="E485">_xlfn.IFS(
    COUNTIF(Herramientas_eléctricas1862[Herramientas_eléctricas], B485) &gt; 0, Herramientas_eléctricas1862[[#Headers],[Herramientas_eléctricas]],
    COUNTIF(Herramientas_neumáticas1963[Herramientas_neumáticas], B485) &gt; 0, Herramientas_neumáticas1963[[#Headers],[Herramientas_neumáticas]],
    COUNTIF(Herramientas_de_medición2064[Herramientas_de_medición], B485) &gt; 0, Herramientas_de_medición2064[[#Headers],[Herramientas_de_medición]],
    COUNTIF(Herrramientas_mecánicas2165[Herramientas_mecánicas], B485) &gt; 0, Herrramientas_mecánicas2165[[#Headers],[Herramientas_mecánicas]],
    COUNTIF(AK485:AK491, B485) &gt; 0, Herramientas_hidráulicas2266[[#Headers],[Herramientas_hidráulicas]],
    COUNTIF(EPP_2367[SPCC], B485) &gt; 0, EPP_2367[[#Headers],[SPCC]],
   COUNTIF(Herramientas_de_izaje2468[Herramientas_de_izaje], B485) &gt; 0, Herramientas_de_izaje2468[[#Headers],[Herramientas_de_izaje]],
COUNTIF(Tabla162670[Equipos], B485) &gt; 0, Tabla162670[[#Headers],[Equipos]],
    TRUE, "Sin clasificación"
)</f>
        <v>Sin clasificación</v>
      </c>
      <c r="G485" s="15"/>
      <c r="H485" s="47"/>
      <c r="I485" s="87"/>
      <c r="J485" s="78"/>
      <c r="K485" s="78"/>
      <c r="L485" s="78"/>
      <c r="M485" s="78"/>
      <c r="N485" s="76"/>
      <c r="O485" s="76"/>
      <c r="P485" s="78" t="str">
        <f>_xlfn.LET(
    _xlpm.itemBuscado, B485,
    _xlpm.areaBuscada, C485,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TEXT(COUNTIF($C$2:C485, _xlpm.areaBuscada), "0000"),
    _xlpm.codItem &amp; "-" &amp; _xlpm.codArea &amp; "-" &amp; _xlpm.secuencia
)</f>
        <v>-SinArea-0000</v>
      </c>
      <c r="Q485" s="77"/>
      <c r="R485" s="32"/>
      <c r="S485" s="32"/>
      <c r="T485" s="32"/>
      <c r="U485" s="32"/>
    </row>
    <row r="486" spans="3:21" x14ac:dyDescent="0.3">
      <c r="C486" s="11"/>
      <c r="D486" s="32"/>
      <c r="E486" s="11" t="str" cm="1">
        <f t="array" ref="E486">_xlfn.IFS(
    COUNTIF(Herramientas_eléctricas1862[Herramientas_eléctricas], B486) &gt; 0, Herramientas_eléctricas1862[[#Headers],[Herramientas_eléctricas]],
    COUNTIF(Herramientas_neumáticas1963[Herramientas_neumáticas], B486) &gt; 0, Herramientas_neumáticas1963[[#Headers],[Herramientas_neumáticas]],
    COUNTIF(Herramientas_de_medición2064[Herramientas_de_medición], B486) &gt; 0, Herramientas_de_medición2064[[#Headers],[Herramientas_de_medición]],
    COUNTIF(Herrramientas_mecánicas2165[Herramientas_mecánicas], B486) &gt; 0, Herrramientas_mecánicas2165[[#Headers],[Herramientas_mecánicas]],
    COUNTIF(AK486:AK492, B486) &gt; 0, Herramientas_hidráulicas2266[[#Headers],[Herramientas_hidráulicas]],
    COUNTIF(EPP_2367[SPCC], B486) &gt; 0, EPP_2367[[#Headers],[SPCC]],
   COUNTIF(Herramientas_de_izaje2468[Herramientas_de_izaje], B486) &gt; 0, Herramientas_de_izaje2468[[#Headers],[Herramientas_de_izaje]],
COUNTIF(Tabla162670[Equipos], B486) &gt; 0, Tabla162670[[#Headers],[Equipos]],
    TRUE, "Sin clasificación"
)</f>
        <v>Sin clasificación</v>
      </c>
      <c r="G486" s="15"/>
      <c r="H486" s="47"/>
      <c r="I486" s="87"/>
      <c r="J486" s="78"/>
      <c r="K486" s="78"/>
      <c r="L486" s="78"/>
      <c r="M486" s="78"/>
      <c r="N486" s="76"/>
      <c r="O486" s="76"/>
      <c r="P486" s="78" t="str">
        <f>_xlfn.LET(
    _xlpm.itemBuscado, B486,
    _xlpm.areaBuscada, C486,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TEXT(COUNTIF($C$2:C486, _xlpm.areaBuscada), "0000"),
    _xlpm.codItem &amp; "-" &amp; _xlpm.codArea &amp; "-" &amp; _xlpm.secuencia
)</f>
        <v>-SinArea-0000</v>
      </c>
      <c r="Q486" s="77"/>
      <c r="R486" s="32"/>
      <c r="S486" s="32"/>
      <c r="T486" s="32"/>
      <c r="U486" s="32"/>
    </row>
    <row r="487" spans="3:21" x14ac:dyDescent="0.3">
      <c r="C487" s="11"/>
      <c r="D487" s="32"/>
      <c r="E487" s="11" t="str" cm="1">
        <f t="array" ref="E487">_xlfn.IFS(
    COUNTIF(Herramientas_eléctricas1862[Herramientas_eléctricas], B487) &gt; 0, Herramientas_eléctricas1862[[#Headers],[Herramientas_eléctricas]],
    COUNTIF(Herramientas_neumáticas1963[Herramientas_neumáticas], B487) &gt; 0, Herramientas_neumáticas1963[[#Headers],[Herramientas_neumáticas]],
    COUNTIF(Herramientas_de_medición2064[Herramientas_de_medición], B487) &gt; 0, Herramientas_de_medición2064[[#Headers],[Herramientas_de_medición]],
    COUNTIF(Herrramientas_mecánicas2165[Herramientas_mecánicas], B487) &gt; 0, Herrramientas_mecánicas2165[[#Headers],[Herramientas_mecánicas]],
    COUNTIF(AK487:AK493, B487) &gt; 0, Herramientas_hidráulicas2266[[#Headers],[Herramientas_hidráulicas]],
    COUNTIF(EPP_2367[SPCC], B487) &gt; 0, EPP_2367[[#Headers],[SPCC]],
   COUNTIF(Herramientas_de_izaje2468[Herramientas_de_izaje], B487) &gt; 0, Herramientas_de_izaje2468[[#Headers],[Herramientas_de_izaje]],
COUNTIF(Tabla162670[Equipos], B487) &gt; 0, Tabla162670[[#Headers],[Equipos]],
    TRUE, "Sin clasificación"
)</f>
        <v>Sin clasificación</v>
      </c>
      <c r="G487" s="15"/>
      <c r="H487" s="47"/>
      <c r="I487" s="87"/>
      <c r="J487" s="78"/>
      <c r="K487" s="78"/>
      <c r="L487" s="78"/>
      <c r="M487" s="78"/>
      <c r="N487" s="76"/>
      <c r="O487" s="76"/>
      <c r="P487" s="78" t="str">
        <f>_xlfn.LET(
    _xlpm.itemBuscado, B487,
    _xlpm.areaBuscada, C487,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TEXT(COUNTIF($C$2:C487, _xlpm.areaBuscada), "0000"),
    _xlpm.codItem &amp; "-" &amp; _xlpm.codArea &amp; "-" &amp; _xlpm.secuencia
)</f>
        <v>-SinArea-0000</v>
      </c>
      <c r="Q487" s="77"/>
      <c r="R487" s="32"/>
      <c r="S487" s="32"/>
      <c r="T487" s="32"/>
      <c r="U487" s="32"/>
    </row>
    <row r="488" spans="3:21" x14ac:dyDescent="0.3">
      <c r="C488" s="11"/>
      <c r="D488" s="32"/>
      <c r="E488" s="11" t="str" cm="1">
        <f t="array" ref="E488">_xlfn.IFS(
    COUNTIF(Herramientas_eléctricas1862[Herramientas_eléctricas], B488) &gt; 0, Herramientas_eléctricas1862[[#Headers],[Herramientas_eléctricas]],
    COUNTIF(Herramientas_neumáticas1963[Herramientas_neumáticas], B488) &gt; 0, Herramientas_neumáticas1963[[#Headers],[Herramientas_neumáticas]],
    COUNTIF(Herramientas_de_medición2064[Herramientas_de_medición], B488) &gt; 0, Herramientas_de_medición2064[[#Headers],[Herramientas_de_medición]],
    COUNTIF(Herrramientas_mecánicas2165[Herramientas_mecánicas], B488) &gt; 0, Herrramientas_mecánicas2165[[#Headers],[Herramientas_mecánicas]],
    COUNTIF(AK488:AK494, B488) &gt; 0, Herramientas_hidráulicas2266[[#Headers],[Herramientas_hidráulicas]],
    COUNTIF(EPP_2367[SPCC], B488) &gt; 0, EPP_2367[[#Headers],[SPCC]],
   COUNTIF(Herramientas_de_izaje2468[Herramientas_de_izaje], B488) &gt; 0, Herramientas_de_izaje2468[[#Headers],[Herramientas_de_izaje]],
COUNTIF(Tabla162670[Equipos], B488) &gt; 0, Tabla162670[[#Headers],[Equipos]],
    TRUE, "Sin clasificación"
)</f>
        <v>Sin clasificación</v>
      </c>
      <c r="G488" s="15"/>
      <c r="H488" s="47"/>
      <c r="I488" s="87"/>
      <c r="J488" s="78"/>
      <c r="K488" s="78"/>
      <c r="L488" s="78"/>
      <c r="M488" s="78"/>
      <c r="N488" s="76"/>
      <c r="O488" s="76"/>
      <c r="P488" s="78" t="str">
        <f>_xlfn.LET(
    _xlpm.itemBuscado, B488,
    _xlpm.areaBuscada, C488,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TEXT(COUNTIF($C$2:C488, _xlpm.areaBuscada), "0000"),
    _xlpm.codItem &amp; "-" &amp; _xlpm.codArea &amp; "-" &amp; _xlpm.secuencia
)</f>
        <v>-SinArea-0000</v>
      </c>
      <c r="Q488" s="77"/>
      <c r="R488" s="32"/>
      <c r="S488" s="32"/>
      <c r="T488" s="32"/>
      <c r="U488" s="32"/>
    </row>
    <row r="489" spans="3:21" x14ac:dyDescent="0.3">
      <c r="C489" s="11"/>
      <c r="D489" s="32"/>
      <c r="E489" s="11" t="str" cm="1">
        <f t="array" ref="E489">_xlfn.IFS(
    COUNTIF(Herramientas_eléctricas1862[Herramientas_eléctricas], B489) &gt; 0, Herramientas_eléctricas1862[[#Headers],[Herramientas_eléctricas]],
    COUNTIF(Herramientas_neumáticas1963[Herramientas_neumáticas], B489) &gt; 0, Herramientas_neumáticas1963[[#Headers],[Herramientas_neumáticas]],
    COUNTIF(Herramientas_de_medición2064[Herramientas_de_medición], B489) &gt; 0, Herramientas_de_medición2064[[#Headers],[Herramientas_de_medición]],
    COUNTIF(Herrramientas_mecánicas2165[Herramientas_mecánicas], B489) &gt; 0, Herrramientas_mecánicas2165[[#Headers],[Herramientas_mecánicas]],
    COUNTIF(AK489:AK495, B489) &gt; 0, Herramientas_hidráulicas2266[[#Headers],[Herramientas_hidráulicas]],
    COUNTIF(EPP_2367[SPCC], B489) &gt; 0, EPP_2367[[#Headers],[SPCC]],
   COUNTIF(Herramientas_de_izaje2468[Herramientas_de_izaje], B489) &gt; 0, Herramientas_de_izaje2468[[#Headers],[Herramientas_de_izaje]],
COUNTIF(Tabla162670[Equipos], B489) &gt; 0, Tabla162670[[#Headers],[Equipos]],
    TRUE, "Sin clasificación"
)</f>
        <v>Sin clasificación</v>
      </c>
      <c r="G489" s="15"/>
      <c r="H489" s="47"/>
      <c r="I489" s="87"/>
      <c r="J489" s="78"/>
      <c r="K489" s="78"/>
      <c r="L489" s="78"/>
      <c r="M489" s="78"/>
      <c r="N489" s="76"/>
      <c r="O489" s="76"/>
      <c r="P489" s="78" t="str">
        <f>_xlfn.LET(
    _xlpm.itemBuscado, B489,
    _xlpm.areaBuscada, C489,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TEXT(COUNTIF($C$2:C489, _xlpm.areaBuscada), "0000"),
    _xlpm.codItem &amp; "-" &amp; _xlpm.codArea &amp; "-" &amp; _xlpm.secuencia
)</f>
        <v>-SinArea-0000</v>
      </c>
      <c r="Q489" s="77"/>
      <c r="R489" s="32"/>
      <c r="S489" s="32"/>
      <c r="T489" s="32"/>
      <c r="U489" s="32"/>
    </row>
    <row r="490" spans="3:21" x14ac:dyDescent="0.3">
      <c r="C490" s="11"/>
      <c r="D490" s="32"/>
      <c r="E490" s="11" t="str" cm="1">
        <f t="array" ref="E490">_xlfn.IFS(
    COUNTIF(Herramientas_eléctricas1862[Herramientas_eléctricas], B490) &gt; 0, Herramientas_eléctricas1862[[#Headers],[Herramientas_eléctricas]],
    COUNTIF(Herramientas_neumáticas1963[Herramientas_neumáticas], B490) &gt; 0, Herramientas_neumáticas1963[[#Headers],[Herramientas_neumáticas]],
    COUNTIF(Herramientas_de_medición2064[Herramientas_de_medición], B490) &gt; 0, Herramientas_de_medición2064[[#Headers],[Herramientas_de_medición]],
    COUNTIF(Herrramientas_mecánicas2165[Herramientas_mecánicas], B490) &gt; 0, Herrramientas_mecánicas2165[[#Headers],[Herramientas_mecánicas]],
    COUNTIF(AK490:AK496, B490) &gt; 0, Herramientas_hidráulicas2266[[#Headers],[Herramientas_hidráulicas]],
    COUNTIF(EPP_2367[SPCC], B490) &gt; 0, EPP_2367[[#Headers],[SPCC]],
   COUNTIF(Herramientas_de_izaje2468[Herramientas_de_izaje], B490) &gt; 0, Herramientas_de_izaje2468[[#Headers],[Herramientas_de_izaje]],
COUNTIF(Tabla162670[Equipos], B490) &gt; 0, Tabla162670[[#Headers],[Equipos]],
    TRUE, "Sin clasificación"
)</f>
        <v>Sin clasificación</v>
      </c>
      <c r="G490" s="15"/>
      <c r="H490" s="47"/>
      <c r="I490" s="87"/>
      <c r="J490" s="78"/>
      <c r="K490" s="78"/>
      <c r="L490" s="78"/>
      <c r="M490" s="78"/>
      <c r="N490" s="76"/>
      <c r="O490" s="76"/>
      <c r="P490" s="78" t="str">
        <f>_xlfn.LET(
    _xlpm.itemBuscado, B490,
    _xlpm.areaBuscada, C490,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TEXT(COUNTIF($C$2:C490, _xlpm.areaBuscada), "0000"),
    _xlpm.codItem &amp; "-" &amp; _xlpm.codArea &amp; "-" &amp; _xlpm.secuencia
)</f>
        <v>-SinArea-0000</v>
      </c>
      <c r="Q490" s="77"/>
      <c r="R490" s="32"/>
      <c r="S490" s="32"/>
      <c r="T490" s="32"/>
      <c r="U490" s="32"/>
    </row>
    <row r="491" spans="3:21" x14ac:dyDescent="0.3">
      <c r="C491" s="11"/>
      <c r="D491" s="32"/>
      <c r="E491" s="11" t="str" cm="1">
        <f t="array" ref="E491">_xlfn.IFS(
    COUNTIF(Herramientas_eléctricas1862[Herramientas_eléctricas], B491) &gt; 0, Herramientas_eléctricas1862[[#Headers],[Herramientas_eléctricas]],
    COUNTIF(Herramientas_neumáticas1963[Herramientas_neumáticas], B491) &gt; 0, Herramientas_neumáticas1963[[#Headers],[Herramientas_neumáticas]],
    COUNTIF(Herramientas_de_medición2064[Herramientas_de_medición], B491) &gt; 0, Herramientas_de_medición2064[[#Headers],[Herramientas_de_medición]],
    COUNTIF(Herrramientas_mecánicas2165[Herramientas_mecánicas], B491) &gt; 0, Herrramientas_mecánicas2165[[#Headers],[Herramientas_mecánicas]],
    COUNTIF(AK491:AK497, B491) &gt; 0, Herramientas_hidráulicas2266[[#Headers],[Herramientas_hidráulicas]],
    COUNTIF(EPP_2367[SPCC], B491) &gt; 0, EPP_2367[[#Headers],[SPCC]],
   COUNTIF(Herramientas_de_izaje2468[Herramientas_de_izaje], B491) &gt; 0, Herramientas_de_izaje2468[[#Headers],[Herramientas_de_izaje]],
COUNTIF(Tabla162670[Equipos], B491) &gt; 0, Tabla162670[[#Headers],[Equipos]],
    TRUE, "Sin clasificación"
)</f>
        <v>Sin clasificación</v>
      </c>
      <c r="G491" s="15"/>
      <c r="H491" s="47"/>
      <c r="I491" s="87"/>
      <c r="J491" s="78"/>
      <c r="K491" s="78"/>
      <c r="L491" s="78"/>
      <c r="M491" s="78"/>
      <c r="N491" s="76"/>
      <c r="O491" s="76"/>
      <c r="P491" s="78" t="str">
        <f>_xlfn.LET(
    _xlpm.itemBuscado, B491,
    _xlpm.areaBuscada, C491,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TEXT(COUNTIF($C$2:C491, _xlpm.areaBuscada), "0000"),
    _xlpm.codItem &amp; "-" &amp; _xlpm.codArea &amp; "-" &amp; _xlpm.secuencia
)</f>
        <v>-SinArea-0000</v>
      </c>
      <c r="Q491" s="77"/>
      <c r="R491" s="32"/>
      <c r="S491" s="32"/>
      <c r="T491" s="32"/>
      <c r="U491" s="32"/>
    </row>
    <row r="492" spans="3:21" x14ac:dyDescent="0.3">
      <c r="C492" s="11"/>
      <c r="D492" s="32"/>
      <c r="E492" s="11" t="str" cm="1">
        <f t="array" ref="E492">_xlfn.IFS(
    COUNTIF(Herramientas_eléctricas1862[Herramientas_eléctricas], B492) &gt; 0, Herramientas_eléctricas1862[[#Headers],[Herramientas_eléctricas]],
    COUNTIF(Herramientas_neumáticas1963[Herramientas_neumáticas], B492) &gt; 0, Herramientas_neumáticas1963[[#Headers],[Herramientas_neumáticas]],
    COUNTIF(Herramientas_de_medición2064[Herramientas_de_medición], B492) &gt; 0, Herramientas_de_medición2064[[#Headers],[Herramientas_de_medición]],
    COUNTIF(Herrramientas_mecánicas2165[Herramientas_mecánicas], B492) &gt; 0, Herrramientas_mecánicas2165[[#Headers],[Herramientas_mecánicas]],
    COUNTIF(AK492:AK498, B492) &gt; 0, Herramientas_hidráulicas2266[[#Headers],[Herramientas_hidráulicas]],
    COUNTIF(EPP_2367[SPCC], B492) &gt; 0, EPP_2367[[#Headers],[SPCC]],
   COUNTIF(Herramientas_de_izaje2468[Herramientas_de_izaje], B492) &gt; 0, Herramientas_de_izaje2468[[#Headers],[Herramientas_de_izaje]],
COUNTIF(Tabla162670[Equipos], B492) &gt; 0, Tabla162670[[#Headers],[Equipos]],
    TRUE, "Sin clasificación"
)</f>
        <v>Sin clasificación</v>
      </c>
      <c r="G492" s="15"/>
      <c r="H492" s="47"/>
      <c r="I492" s="87"/>
      <c r="J492" s="78"/>
      <c r="K492" s="78"/>
      <c r="L492" s="78"/>
      <c r="M492" s="78"/>
      <c r="N492" s="76"/>
      <c r="O492" s="76"/>
      <c r="P492" s="78" t="str">
        <f>_xlfn.LET(
    _xlpm.itemBuscado, B492,
    _xlpm.areaBuscada, C492,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TEXT(COUNTIF($C$2:C492, _xlpm.areaBuscada), "0000"),
    _xlpm.codItem &amp; "-" &amp; _xlpm.codArea &amp; "-" &amp; _xlpm.secuencia
)</f>
        <v>-SinArea-0000</v>
      </c>
      <c r="Q492" s="77"/>
      <c r="R492" s="32"/>
      <c r="S492" s="32"/>
      <c r="T492" s="32"/>
      <c r="U492" s="32"/>
    </row>
    <row r="493" spans="3:21" x14ac:dyDescent="0.3">
      <c r="C493" s="11"/>
      <c r="D493" s="32"/>
      <c r="E493" s="11" t="str" cm="1">
        <f t="array" ref="E493">_xlfn.IFS(
    COUNTIF(Herramientas_eléctricas1862[Herramientas_eléctricas], B493) &gt; 0, Herramientas_eléctricas1862[[#Headers],[Herramientas_eléctricas]],
    COUNTIF(Herramientas_neumáticas1963[Herramientas_neumáticas], B493) &gt; 0, Herramientas_neumáticas1963[[#Headers],[Herramientas_neumáticas]],
    COUNTIF(Herramientas_de_medición2064[Herramientas_de_medición], B493) &gt; 0, Herramientas_de_medición2064[[#Headers],[Herramientas_de_medición]],
    COUNTIF(Herrramientas_mecánicas2165[Herramientas_mecánicas], B493) &gt; 0, Herrramientas_mecánicas2165[[#Headers],[Herramientas_mecánicas]],
    COUNTIF(AK493:AK499, B493) &gt; 0, Herramientas_hidráulicas2266[[#Headers],[Herramientas_hidráulicas]],
    COUNTIF(EPP_2367[SPCC], B493) &gt; 0, EPP_2367[[#Headers],[SPCC]],
   COUNTIF(Herramientas_de_izaje2468[Herramientas_de_izaje], B493) &gt; 0, Herramientas_de_izaje2468[[#Headers],[Herramientas_de_izaje]],
COUNTIF(Tabla162670[Equipos], B493) &gt; 0, Tabla162670[[#Headers],[Equipos]],
    TRUE, "Sin clasificación"
)</f>
        <v>Sin clasificación</v>
      </c>
      <c r="G493" s="15"/>
      <c r="H493" s="47"/>
      <c r="I493" s="87"/>
      <c r="J493" s="78"/>
      <c r="K493" s="78"/>
      <c r="L493" s="78"/>
      <c r="M493" s="78"/>
      <c r="N493" s="76"/>
      <c r="O493" s="76"/>
      <c r="P493" s="78" t="str">
        <f>_xlfn.LET(
    _xlpm.itemBuscado, B493,
    _xlpm.areaBuscada, C493,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TEXT(COUNTIF($C$2:C493, _xlpm.areaBuscada), "0000"),
    _xlpm.codItem &amp; "-" &amp; _xlpm.codArea &amp; "-" &amp; _xlpm.secuencia
)</f>
        <v>-SinArea-0000</v>
      </c>
      <c r="Q493" s="77"/>
      <c r="R493" s="32"/>
      <c r="S493" s="32"/>
      <c r="T493" s="32"/>
      <c r="U493" s="32"/>
    </row>
    <row r="494" spans="3:21" x14ac:dyDescent="0.3">
      <c r="C494" s="11"/>
      <c r="D494" s="32"/>
      <c r="E494" s="11" t="str" cm="1">
        <f t="array" ref="E494">_xlfn.IFS(
    COUNTIF(Herramientas_eléctricas1862[Herramientas_eléctricas], B494) &gt; 0, Herramientas_eléctricas1862[[#Headers],[Herramientas_eléctricas]],
    COUNTIF(Herramientas_neumáticas1963[Herramientas_neumáticas], B494) &gt; 0, Herramientas_neumáticas1963[[#Headers],[Herramientas_neumáticas]],
    COUNTIF(Herramientas_de_medición2064[Herramientas_de_medición], B494) &gt; 0, Herramientas_de_medición2064[[#Headers],[Herramientas_de_medición]],
    COUNTIF(Herrramientas_mecánicas2165[Herramientas_mecánicas], B494) &gt; 0, Herrramientas_mecánicas2165[[#Headers],[Herramientas_mecánicas]],
    COUNTIF(AK494:AK500, B494) &gt; 0, Herramientas_hidráulicas2266[[#Headers],[Herramientas_hidráulicas]],
    COUNTIF(EPP_2367[SPCC], B494) &gt; 0, EPP_2367[[#Headers],[SPCC]],
   COUNTIF(Herramientas_de_izaje2468[Herramientas_de_izaje], B494) &gt; 0, Herramientas_de_izaje2468[[#Headers],[Herramientas_de_izaje]],
COUNTIF(Tabla162670[Equipos], B494) &gt; 0, Tabla162670[[#Headers],[Equipos]],
    TRUE, "Sin clasificación"
)</f>
        <v>Sin clasificación</v>
      </c>
      <c r="G494" s="15"/>
      <c r="H494" s="47"/>
      <c r="I494" s="87"/>
      <c r="J494" s="78"/>
      <c r="K494" s="78"/>
      <c r="L494" s="78"/>
      <c r="M494" s="78"/>
      <c r="N494" s="76"/>
      <c r="O494" s="76"/>
      <c r="P494" s="78" t="str">
        <f>_xlfn.LET(
    _xlpm.itemBuscado, B494,
    _xlpm.areaBuscada, C494,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TEXT(COUNTIF($C$2:C494, _xlpm.areaBuscada), "0000"),
    _xlpm.codItem &amp; "-" &amp; _xlpm.codArea &amp; "-" &amp; _xlpm.secuencia
)</f>
        <v>-SinArea-0000</v>
      </c>
      <c r="Q494" s="77"/>
      <c r="R494" s="32"/>
      <c r="S494" s="32"/>
      <c r="T494" s="32"/>
      <c r="U494" s="32"/>
    </row>
    <row r="495" spans="3:21" x14ac:dyDescent="0.3">
      <c r="C495" s="11"/>
      <c r="D495" s="32"/>
      <c r="E495" s="11" t="str" cm="1">
        <f t="array" ref="E495">_xlfn.IFS(
    COUNTIF(Herramientas_eléctricas1862[Herramientas_eléctricas], B495) &gt; 0, Herramientas_eléctricas1862[[#Headers],[Herramientas_eléctricas]],
    COUNTIF(Herramientas_neumáticas1963[Herramientas_neumáticas], B495) &gt; 0, Herramientas_neumáticas1963[[#Headers],[Herramientas_neumáticas]],
    COUNTIF(Herramientas_de_medición2064[Herramientas_de_medición], B495) &gt; 0, Herramientas_de_medición2064[[#Headers],[Herramientas_de_medición]],
    COUNTIF(Herrramientas_mecánicas2165[Herramientas_mecánicas], B495) &gt; 0, Herrramientas_mecánicas2165[[#Headers],[Herramientas_mecánicas]],
    COUNTIF(AK495:AK501, B495) &gt; 0, Herramientas_hidráulicas2266[[#Headers],[Herramientas_hidráulicas]],
    COUNTIF(EPP_2367[SPCC], B495) &gt; 0, EPP_2367[[#Headers],[SPCC]],
   COUNTIF(Herramientas_de_izaje2468[Herramientas_de_izaje], B495) &gt; 0, Herramientas_de_izaje2468[[#Headers],[Herramientas_de_izaje]],
COUNTIF(Tabla162670[Equipos], B495) &gt; 0, Tabla162670[[#Headers],[Equipos]],
    TRUE, "Sin clasificación"
)</f>
        <v>Sin clasificación</v>
      </c>
      <c r="G495" s="15"/>
      <c r="H495" s="47"/>
      <c r="I495" s="87"/>
      <c r="J495" s="78"/>
      <c r="K495" s="78"/>
      <c r="L495" s="78"/>
      <c r="M495" s="78"/>
      <c r="N495" s="76"/>
      <c r="O495" s="76"/>
      <c r="P495" s="78" t="str">
        <f>_xlfn.LET(
    _xlpm.itemBuscado, B495,
    _xlpm.areaBuscada, C495,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TEXT(COUNTIF($C$2:C495, _xlpm.areaBuscada), "0000"),
    _xlpm.codItem &amp; "-" &amp; _xlpm.codArea &amp; "-" &amp; _xlpm.secuencia
)</f>
        <v>-SinArea-0000</v>
      </c>
      <c r="Q495" s="77"/>
      <c r="R495" s="32"/>
      <c r="S495" s="32"/>
      <c r="T495" s="32"/>
      <c r="U495" s="32"/>
    </row>
    <row r="496" spans="3:21" x14ac:dyDescent="0.3">
      <c r="C496" s="11"/>
      <c r="D496" s="32"/>
      <c r="E496" s="11" t="str" cm="1">
        <f t="array" ref="E496">_xlfn.IFS(
    COUNTIF(Herramientas_eléctricas1862[Herramientas_eléctricas], B496) &gt; 0, Herramientas_eléctricas1862[[#Headers],[Herramientas_eléctricas]],
    COUNTIF(Herramientas_neumáticas1963[Herramientas_neumáticas], B496) &gt; 0, Herramientas_neumáticas1963[[#Headers],[Herramientas_neumáticas]],
    COUNTIF(Herramientas_de_medición2064[Herramientas_de_medición], B496) &gt; 0, Herramientas_de_medición2064[[#Headers],[Herramientas_de_medición]],
    COUNTIF(Herrramientas_mecánicas2165[Herramientas_mecánicas], B496) &gt; 0, Herrramientas_mecánicas2165[[#Headers],[Herramientas_mecánicas]],
    COUNTIF(AK496:AK502, B496) &gt; 0, Herramientas_hidráulicas2266[[#Headers],[Herramientas_hidráulicas]],
    COUNTIF(EPP_2367[SPCC], B496) &gt; 0, EPP_2367[[#Headers],[SPCC]],
   COUNTIF(Herramientas_de_izaje2468[Herramientas_de_izaje], B496) &gt; 0, Herramientas_de_izaje2468[[#Headers],[Herramientas_de_izaje]],
COUNTIF(Tabla162670[Equipos], B496) &gt; 0, Tabla162670[[#Headers],[Equipos]],
    TRUE, "Sin clasificación"
)</f>
        <v>Sin clasificación</v>
      </c>
      <c r="G496" s="15"/>
      <c r="H496" s="47"/>
      <c r="I496" s="87"/>
      <c r="J496" s="78"/>
      <c r="K496" s="78"/>
      <c r="L496" s="78"/>
      <c r="M496" s="78"/>
      <c r="N496" s="76"/>
      <c r="O496" s="76"/>
      <c r="P496" s="78" t="str">
        <f>_xlfn.LET(
    _xlpm.itemBuscado, B496,
    _xlpm.areaBuscada, C496,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TEXT(COUNTIF($C$2:C496, _xlpm.areaBuscada), "0000"),
    _xlpm.codItem &amp; "-" &amp; _xlpm.codArea &amp; "-" &amp; _xlpm.secuencia
)</f>
        <v>-SinArea-0000</v>
      </c>
      <c r="Q496" s="77"/>
      <c r="R496" s="32"/>
      <c r="S496" s="32"/>
      <c r="T496" s="32"/>
      <c r="U496" s="32"/>
    </row>
    <row r="497" spans="3:21" x14ac:dyDescent="0.3">
      <c r="C497" s="11"/>
      <c r="D497" s="32"/>
      <c r="E497" s="11" t="str" cm="1">
        <f t="array" ref="E497">_xlfn.IFS(
    COUNTIF(Herramientas_eléctricas1862[Herramientas_eléctricas], B497) &gt; 0, Herramientas_eléctricas1862[[#Headers],[Herramientas_eléctricas]],
    COUNTIF(Herramientas_neumáticas1963[Herramientas_neumáticas], B497) &gt; 0, Herramientas_neumáticas1963[[#Headers],[Herramientas_neumáticas]],
    COUNTIF(Herramientas_de_medición2064[Herramientas_de_medición], B497) &gt; 0, Herramientas_de_medición2064[[#Headers],[Herramientas_de_medición]],
    COUNTIF(Herrramientas_mecánicas2165[Herramientas_mecánicas], B497) &gt; 0, Herrramientas_mecánicas2165[[#Headers],[Herramientas_mecánicas]],
    COUNTIF(AK497:AK503, B497) &gt; 0, Herramientas_hidráulicas2266[[#Headers],[Herramientas_hidráulicas]],
    COUNTIF(EPP_2367[SPCC], B497) &gt; 0, EPP_2367[[#Headers],[SPCC]],
   COUNTIF(Herramientas_de_izaje2468[Herramientas_de_izaje], B497) &gt; 0, Herramientas_de_izaje2468[[#Headers],[Herramientas_de_izaje]],
COUNTIF(Tabla162670[Equipos], B497) &gt; 0, Tabla162670[[#Headers],[Equipos]],
    TRUE, "Sin clasificación"
)</f>
        <v>Sin clasificación</v>
      </c>
      <c r="G497" s="15"/>
      <c r="H497" s="47"/>
      <c r="I497" s="87"/>
      <c r="J497" s="78"/>
      <c r="K497" s="78"/>
      <c r="L497" s="78"/>
      <c r="M497" s="78"/>
      <c r="N497" s="76"/>
      <c r="O497" s="76"/>
      <c r="P497" s="78" t="str">
        <f>_xlfn.LET(
    _xlpm.itemBuscado, B497,
    _xlpm.areaBuscada, C497,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TEXT(COUNTIF($C$2:C497, _xlpm.areaBuscada), "0000"),
    _xlpm.codItem &amp; "-" &amp; _xlpm.codArea &amp; "-" &amp; _xlpm.secuencia
)</f>
        <v>-SinArea-0000</v>
      </c>
      <c r="Q497" s="77"/>
      <c r="R497" s="32"/>
      <c r="S497" s="32"/>
      <c r="T497" s="32"/>
      <c r="U497" s="32"/>
    </row>
    <row r="498" spans="3:21" x14ac:dyDescent="0.3">
      <c r="C498" s="11"/>
      <c r="D498" s="32"/>
      <c r="E498" s="11" t="str" cm="1">
        <f t="array" ref="E498">_xlfn.IFS(
    COUNTIF(Herramientas_eléctricas1862[Herramientas_eléctricas], B498) &gt; 0, Herramientas_eléctricas1862[[#Headers],[Herramientas_eléctricas]],
    COUNTIF(Herramientas_neumáticas1963[Herramientas_neumáticas], B498) &gt; 0, Herramientas_neumáticas1963[[#Headers],[Herramientas_neumáticas]],
    COUNTIF(Herramientas_de_medición2064[Herramientas_de_medición], B498) &gt; 0, Herramientas_de_medición2064[[#Headers],[Herramientas_de_medición]],
    COUNTIF(Herrramientas_mecánicas2165[Herramientas_mecánicas], B498) &gt; 0, Herrramientas_mecánicas2165[[#Headers],[Herramientas_mecánicas]],
    COUNTIF(AK498:AK504, B498) &gt; 0, Herramientas_hidráulicas2266[[#Headers],[Herramientas_hidráulicas]],
    COUNTIF(EPP_2367[SPCC], B498) &gt; 0, EPP_2367[[#Headers],[SPCC]],
   COUNTIF(Herramientas_de_izaje2468[Herramientas_de_izaje], B498) &gt; 0, Herramientas_de_izaje2468[[#Headers],[Herramientas_de_izaje]],
COUNTIF(Tabla162670[Equipos], B498) &gt; 0, Tabla162670[[#Headers],[Equipos]],
    TRUE, "Sin clasificación"
)</f>
        <v>Sin clasificación</v>
      </c>
      <c r="G498" s="15"/>
      <c r="H498" s="47"/>
      <c r="I498" s="87"/>
      <c r="J498" s="78"/>
      <c r="K498" s="78"/>
      <c r="L498" s="78"/>
      <c r="M498" s="78"/>
      <c r="N498" s="76"/>
      <c r="O498" s="76"/>
      <c r="P498" s="78" t="str">
        <f>_xlfn.LET(
    _xlpm.itemBuscado, B498,
    _xlpm.areaBuscada, C498,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TEXT(COUNTIF($C$2:C498, _xlpm.areaBuscada), "0000"),
    _xlpm.codItem &amp; "-" &amp; _xlpm.codArea &amp; "-" &amp; _xlpm.secuencia
)</f>
        <v>-SinArea-0000</v>
      </c>
      <c r="Q498" s="77"/>
      <c r="R498" s="32"/>
      <c r="S498" s="32"/>
      <c r="T498" s="32"/>
      <c r="U498" s="32"/>
    </row>
    <row r="499" spans="3:21" x14ac:dyDescent="0.3">
      <c r="C499" s="11"/>
      <c r="D499" s="32"/>
      <c r="E499" s="11" t="str" cm="1">
        <f t="array" ref="E499">_xlfn.IFS(
    COUNTIF(Herramientas_eléctricas1862[Herramientas_eléctricas], B499) &gt; 0, Herramientas_eléctricas1862[[#Headers],[Herramientas_eléctricas]],
    COUNTIF(Herramientas_neumáticas1963[Herramientas_neumáticas], B499) &gt; 0, Herramientas_neumáticas1963[[#Headers],[Herramientas_neumáticas]],
    COUNTIF(Herramientas_de_medición2064[Herramientas_de_medición], B499) &gt; 0, Herramientas_de_medición2064[[#Headers],[Herramientas_de_medición]],
    COUNTIF(Herrramientas_mecánicas2165[Herramientas_mecánicas], B499) &gt; 0, Herrramientas_mecánicas2165[[#Headers],[Herramientas_mecánicas]],
    COUNTIF(AK499:AK505, B499) &gt; 0, Herramientas_hidráulicas2266[[#Headers],[Herramientas_hidráulicas]],
    COUNTIF(EPP_2367[SPCC], B499) &gt; 0, EPP_2367[[#Headers],[SPCC]],
   COUNTIF(Herramientas_de_izaje2468[Herramientas_de_izaje], B499) &gt; 0, Herramientas_de_izaje2468[[#Headers],[Herramientas_de_izaje]],
COUNTIF(Tabla162670[Equipos], B499) &gt; 0, Tabla162670[[#Headers],[Equipos]],
    TRUE, "Sin clasificación"
)</f>
        <v>Sin clasificación</v>
      </c>
      <c r="G499" s="15"/>
      <c r="H499" s="47"/>
      <c r="I499" s="87"/>
      <c r="J499" s="78"/>
      <c r="K499" s="78"/>
      <c r="L499" s="78"/>
      <c r="M499" s="78"/>
      <c r="N499" s="76"/>
      <c r="O499" s="76"/>
      <c r="P499" s="78" t="str">
        <f>_xlfn.LET(
    _xlpm.itemBuscado, B499,
    _xlpm.areaBuscada, C499,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TEXT(COUNTIF($C$2:C499, _xlpm.areaBuscada), "0000"),
    _xlpm.codItem &amp; "-" &amp; _xlpm.codArea &amp; "-" &amp; _xlpm.secuencia
)</f>
        <v>-SinArea-0000</v>
      </c>
      <c r="Q499" s="77"/>
      <c r="R499" s="32"/>
      <c r="S499" s="32"/>
      <c r="T499" s="32"/>
      <c r="U499" s="32"/>
    </row>
    <row r="500" spans="3:21" x14ac:dyDescent="0.3">
      <c r="C500" s="11"/>
      <c r="D500" s="32"/>
      <c r="E500" s="11" t="str" cm="1">
        <f t="array" ref="E500">_xlfn.IFS(
    COUNTIF(Herramientas_eléctricas1862[Herramientas_eléctricas], B500) &gt; 0, Herramientas_eléctricas1862[[#Headers],[Herramientas_eléctricas]],
    COUNTIF(Herramientas_neumáticas1963[Herramientas_neumáticas], B500) &gt; 0, Herramientas_neumáticas1963[[#Headers],[Herramientas_neumáticas]],
    COUNTIF(Herramientas_de_medición2064[Herramientas_de_medición], B500) &gt; 0, Herramientas_de_medición2064[[#Headers],[Herramientas_de_medición]],
    COUNTIF(Herrramientas_mecánicas2165[Herramientas_mecánicas], B500) &gt; 0, Herrramientas_mecánicas2165[[#Headers],[Herramientas_mecánicas]],
    COUNTIF(AK500:AK506, B500) &gt; 0, Herramientas_hidráulicas2266[[#Headers],[Herramientas_hidráulicas]],
    COUNTIF(EPP_2367[SPCC], B500) &gt; 0, EPP_2367[[#Headers],[SPCC]],
   COUNTIF(Herramientas_de_izaje2468[Herramientas_de_izaje], B500) &gt; 0, Herramientas_de_izaje2468[[#Headers],[Herramientas_de_izaje]],
COUNTIF(Tabla162670[Equipos], B500) &gt; 0, Tabla162670[[#Headers],[Equipos]],
    TRUE, "Sin clasificación"
)</f>
        <v>Sin clasificación</v>
      </c>
      <c r="G500" s="15"/>
      <c r="H500" s="47"/>
      <c r="I500" s="87"/>
      <c r="J500" s="78"/>
      <c r="K500" s="78"/>
      <c r="L500" s="78"/>
      <c r="M500" s="78"/>
      <c r="N500" s="76"/>
      <c r="O500" s="76"/>
      <c r="P500" s="78" t="str">
        <f>_xlfn.LET(
    _xlpm.itemBuscado, B500,
    _xlpm.areaBuscada, C500,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TEXT(COUNTIF($C$2:C500, _xlpm.areaBuscada), "0000"),
    _xlpm.codItem &amp; "-" &amp; _xlpm.codArea &amp; "-" &amp; _xlpm.secuencia
)</f>
        <v>-SinArea-0000</v>
      </c>
      <c r="Q500" s="77"/>
      <c r="R500" s="32"/>
      <c r="S500" s="32"/>
      <c r="T500" s="32"/>
      <c r="U500" s="32"/>
    </row>
    <row r="501" spans="3:21" x14ac:dyDescent="0.3">
      <c r="C501" s="11"/>
      <c r="D501" s="32"/>
      <c r="E501" s="11" t="str" cm="1">
        <f t="array" ref="E501">_xlfn.IFS(
    COUNTIF(Herramientas_eléctricas1862[Herramientas_eléctricas], B501) &gt; 0, Herramientas_eléctricas1862[[#Headers],[Herramientas_eléctricas]],
    COUNTIF(Herramientas_neumáticas1963[Herramientas_neumáticas], B501) &gt; 0, Herramientas_neumáticas1963[[#Headers],[Herramientas_neumáticas]],
    COUNTIF(Herramientas_de_medición2064[Herramientas_de_medición], B501) &gt; 0, Herramientas_de_medición2064[[#Headers],[Herramientas_de_medición]],
    COUNTIF(Herrramientas_mecánicas2165[Herramientas_mecánicas], B501) &gt; 0, Herrramientas_mecánicas2165[[#Headers],[Herramientas_mecánicas]],
    COUNTIF(AK501:AK507, B501) &gt; 0, Herramientas_hidráulicas2266[[#Headers],[Herramientas_hidráulicas]],
    COUNTIF(EPP_2367[SPCC], B501) &gt; 0, EPP_2367[[#Headers],[SPCC]],
   COUNTIF(Herramientas_de_izaje2468[Herramientas_de_izaje], B501) &gt; 0, Herramientas_de_izaje2468[[#Headers],[Herramientas_de_izaje]],
COUNTIF(Tabla162670[Equipos], B501) &gt; 0, Tabla162670[[#Headers],[Equipos]],
    TRUE, "Sin clasificación"
)</f>
        <v>Sin clasificación</v>
      </c>
      <c r="G501" s="15"/>
      <c r="H501" s="47"/>
      <c r="I501" s="87"/>
      <c r="J501" s="78"/>
      <c r="K501" s="78"/>
      <c r="L501" s="78"/>
      <c r="M501" s="78"/>
      <c r="N501" s="76"/>
      <c r="O501" s="76"/>
      <c r="P501" s="78" t="str">
        <f>_xlfn.LET(
    _xlpm.itemBuscado, B501,
    _xlpm.areaBuscada, C501,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TEXT(COUNTIF($C$2:C501, _xlpm.areaBuscada), "0000"),
    _xlpm.codItem &amp; "-" &amp; _xlpm.codArea &amp; "-" &amp; _xlpm.secuencia
)</f>
        <v>-SinArea-0000</v>
      </c>
      <c r="Q501" s="77"/>
      <c r="R501" s="32"/>
      <c r="S501" s="32"/>
      <c r="T501" s="32"/>
      <c r="U501" s="32"/>
    </row>
    <row r="502" spans="3:21" x14ac:dyDescent="0.3">
      <c r="C502" s="11"/>
      <c r="D502" s="32"/>
      <c r="E502" s="11" t="str" cm="1">
        <f t="array" ref="E502">_xlfn.IFS(
    COUNTIF(Herramientas_eléctricas1862[Herramientas_eléctricas], B502) &gt; 0, Herramientas_eléctricas1862[[#Headers],[Herramientas_eléctricas]],
    COUNTIF(Herramientas_neumáticas1963[Herramientas_neumáticas], B502) &gt; 0, Herramientas_neumáticas1963[[#Headers],[Herramientas_neumáticas]],
    COUNTIF(Herramientas_de_medición2064[Herramientas_de_medición], B502) &gt; 0, Herramientas_de_medición2064[[#Headers],[Herramientas_de_medición]],
    COUNTIF(Herrramientas_mecánicas2165[Herramientas_mecánicas], B502) &gt; 0, Herrramientas_mecánicas2165[[#Headers],[Herramientas_mecánicas]],
    COUNTIF(AK502:AK508, B502) &gt; 0, Herramientas_hidráulicas2266[[#Headers],[Herramientas_hidráulicas]],
    COUNTIF(EPP_2367[SPCC], B502) &gt; 0, EPP_2367[[#Headers],[SPCC]],
   COUNTIF(Herramientas_de_izaje2468[Herramientas_de_izaje], B502) &gt; 0, Herramientas_de_izaje2468[[#Headers],[Herramientas_de_izaje]],
COUNTIF(Tabla162670[Equipos], B502) &gt; 0, Tabla162670[[#Headers],[Equipos]],
    TRUE, "Sin clasificación"
)</f>
        <v>Sin clasificación</v>
      </c>
      <c r="G502" s="15"/>
      <c r="H502" s="47"/>
      <c r="I502" s="87"/>
      <c r="J502" s="78"/>
      <c r="K502" s="78"/>
      <c r="L502" s="78"/>
      <c r="M502" s="78"/>
      <c r="N502" s="76"/>
      <c r="O502" s="76"/>
      <c r="P502" s="78" t="str">
        <f>_xlfn.LET(
    _xlpm.itemBuscado, B502,
    _xlpm.areaBuscada, C502,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TEXT(COUNTIF($C$2:C502, _xlpm.areaBuscada), "0000"),
    _xlpm.codItem &amp; "-" &amp; _xlpm.codArea &amp; "-" &amp; _xlpm.secuencia
)</f>
        <v>-SinArea-0000</v>
      </c>
      <c r="Q502" s="77"/>
      <c r="R502" s="32"/>
      <c r="S502" s="32"/>
      <c r="T502" s="32"/>
      <c r="U502" s="32"/>
    </row>
    <row r="503" spans="3:21" x14ac:dyDescent="0.3">
      <c r="C503" s="11"/>
      <c r="D503" s="32"/>
      <c r="E503" s="11" t="str" cm="1">
        <f t="array" ref="E503">_xlfn.IFS(
    COUNTIF(Herramientas_eléctricas1862[Herramientas_eléctricas], B503) &gt; 0, Herramientas_eléctricas1862[[#Headers],[Herramientas_eléctricas]],
    COUNTIF(Herramientas_neumáticas1963[Herramientas_neumáticas], B503) &gt; 0, Herramientas_neumáticas1963[[#Headers],[Herramientas_neumáticas]],
    COUNTIF(Herramientas_de_medición2064[Herramientas_de_medición], B503) &gt; 0, Herramientas_de_medición2064[[#Headers],[Herramientas_de_medición]],
    COUNTIF(Herrramientas_mecánicas2165[Herramientas_mecánicas], B503) &gt; 0, Herrramientas_mecánicas2165[[#Headers],[Herramientas_mecánicas]],
    COUNTIF(AK503:AK509, B503) &gt; 0, Herramientas_hidráulicas2266[[#Headers],[Herramientas_hidráulicas]],
    COUNTIF(EPP_2367[SPCC], B503) &gt; 0, EPP_2367[[#Headers],[SPCC]],
   COUNTIF(Herramientas_de_izaje2468[Herramientas_de_izaje], B503) &gt; 0, Herramientas_de_izaje2468[[#Headers],[Herramientas_de_izaje]],
COUNTIF(Tabla162670[Equipos], B503) &gt; 0, Tabla162670[[#Headers],[Equipos]],
    TRUE, "Sin clasificación"
)</f>
        <v>Sin clasificación</v>
      </c>
      <c r="G503" s="15"/>
      <c r="H503" s="47"/>
      <c r="I503" s="87"/>
      <c r="J503" s="78"/>
      <c r="K503" s="78"/>
      <c r="L503" s="78"/>
      <c r="M503" s="78"/>
      <c r="N503" s="76"/>
      <c r="O503" s="76"/>
      <c r="P503" s="78" t="str">
        <f>_xlfn.LET(
    _xlpm.itemBuscado, B503,
    _xlpm.areaBuscada, C503,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TEXT(COUNTIF($C$2:C503, _xlpm.areaBuscada), "0000"),
    _xlpm.codItem &amp; "-" &amp; _xlpm.codArea &amp; "-" &amp; _xlpm.secuencia
)</f>
        <v>-SinArea-0000</v>
      </c>
      <c r="Q503" s="77"/>
      <c r="R503" s="32"/>
      <c r="S503" s="32"/>
      <c r="T503" s="32"/>
      <c r="U503" s="32"/>
    </row>
    <row r="504" spans="3:21" x14ac:dyDescent="0.3">
      <c r="C504" s="11"/>
      <c r="D504" s="32"/>
      <c r="E504" s="11" t="str" cm="1">
        <f t="array" ref="E504">_xlfn.IFS(
    COUNTIF(Herramientas_eléctricas1862[Herramientas_eléctricas], B504) &gt; 0, Herramientas_eléctricas1862[[#Headers],[Herramientas_eléctricas]],
    COUNTIF(Herramientas_neumáticas1963[Herramientas_neumáticas], B504) &gt; 0, Herramientas_neumáticas1963[[#Headers],[Herramientas_neumáticas]],
    COUNTIF(Herramientas_de_medición2064[Herramientas_de_medición], B504) &gt; 0, Herramientas_de_medición2064[[#Headers],[Herramientas_de_medición]],
    COUNTIF(Herrramientas_mecánicas2165[Herramientas_mecánicas], B504) &gt; 0, Herrramientas_mecánicas2165[[#Headers],[Herramientas_mecánicas]],
    COUNTIF(AK504:AK510, B504) &gt; 0, Herramientas_hidráulicas2266[[#Headers],[Herramientas_hidráulicas]],
    COUNTIF(EPP_2367[SPCC], B504) &gt; 0, EPP_2367[[#Headers],[SPCC]],
   COUNTIF(Herramientas_de_izaje2468[Herramientas_de_izaje], B504) &gt; 0, Herramientas_de_izaje2468[[#Headers],[Herramientas_de_izaje]],
COUNTIF(Tabla162670[Equipos], B504) &gt; 0, Tabla162670[[#Headers],[Equipos]],
    TRUE, "Sin clasificación"
)</f>
        <v>Sin clasificación</v>
      </c>
      <c r="G504" s="15"/>
      <c r="H504" s="47"/>
      <c r="I504" s="87"/>
      <c r="J504" s="78"/>
      <c r="K504" s="78"/>
      <c r="L504" s="78"/>
      <c r="M504" s="78"/>
      <c r="N504" s="76"/>
      <c r="O504" s="76"/>
      <c r="P504" s="78" t="str">
        <f>_xlfn.LET(
    _xlpm.itemBuscado, B504,
    _xlpm.areaBuscada, C504,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TEXT(COUNTIF($C$2:C504, _xlpm.areaBuscada), "0000"),
    _xlpm.codItem &amp; "-" &amp; _xlpm.codArea &amp; "-" &amp; _xlpm.secuencia
)</f>
        <v>-SinArea-0000</v>
      </c>
      <c r="Q504" s="77"/>
      <c r="R504" s="32"/>
      <c r="S504" s="32"/>
      <c r="T504" s="32"/>
      <c r="U504" s="32"/>
    </row>
    <row r="505" spans="3:21" x14ac:dyDescent="0.3">
      <c r="C505" s="11"/>
      <c r="D505" s="32"/>
      <c r="E505" s="11" t="str" cm="1">
        <f t="array" ref="E505">_xlfn.IFS(
    COUNTIF(Herramientas_eléctricas1862[Herramientas_eléctricas], B505) &gt; 0, Herramientas_eléctricas1862[[#Headers],[Herramientas_eléctricas]],
    COUNTIF(Herramientas_neumáticas1963[Herramientas_neumáticas], B505) &gt; 0, Herramientas_neumáticas1963[[#Headers],[Herramientas_neumáticas]],
    COUNTIF(Herramientas_de_medición2064[Herramientas_de_medición], B505) &gt; 0, Herramientas_de_medición2064[[#Headers],[Herramientas_de_medición]],
    COUNTIF(Herrramientas_mecánicas2165[Herramientas_mecánicas], B505) &gt; 0, Herrramientas_mecánicas2165[[#Headers],[Herramientas_mecánicas]],
    COUNTIF(AK505:AK511, B505) &gt; 0, Herramientas_hidráulicas2266[[#Headers],[Herramientas_hidráulicas]],
    COUNTIF(EPP_2367[SPCC], B505) &gt; 0, EPP_2367[[#Headers],[SPCC]],
   COUNTIF(Herramientas_de_izaje2468[Herramientas_de_izaje], B505) &gt; 0, Herramientas_de_izaje2468[[#Headers],[Herramientas_de_izaje]],
COUNTIF(Tabla162670[Equipos], B505) &gt; 0, Tabla162670[[#Headers],[Equipos]],
    TRUE, "Sin clasificación"
)</f>
        <v>Sin clasificación</v>
      </c>
      <c r="G505" s="15"/>
      <c r="H505" s="47"/>
      <c r="I505" s="87"/>
      <c r="J505" s="78"/>
      <c r="K505" s="78"/>
      <c r="L505" s="78"/>
      <c r="M505" s="78"/>
      <c r="N505" s="76"/>
      <c r="O505" s="76"/>
      <c r="P505" s="78" t="str">
        <f>_xlfn.LET(
    _xlpm.itemBuscado, B505,
    _xlpm.areaBuscada, C505,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TEXT(COUNTIF($C$2:C505, _xlpm.areaBuscada), "0000"),
    _xlpm.codItem &amp; "-" &amp; _xlpm.codArea &amp; "-" &amp; _xlpm.secuencia
)</f>
        <v>-SinArea-0000</v>
      </c>
      <c r="Q505" s="77"/>
      <c r="R505" s="32"/>
      <c r="S505" s="32"/>
      <c r="T505" s="32"/>
      <c r="U505" s="32"/>
    </row>
    <row r="506" spans="3:21" x14ac:dyDescent="0.3">
      <c r="C506" s="11"/>
      <c r="D506" s="32"/>
      <c r="E506" s="11" t="str" cm="1">
        <f t="array" ref="E506">_xlfn.IFS(
    COUNTIF(Herramientas_eléctricas1862[Herramientas_eléctricas], B506) &gt; 0, Herramientas_eléctricas1862[[#Headers],[Herramientas_eléctricas]],
    COUNTIF(Herramientas_neumáticas1963[Herramientas_neumáticas], B506) &gt; 0, Herramientas_neumáticas1963[[#Headers],[Herramientas_neumáticas]],
    COUNTIF(Herramientas_de_medición2064[Herramientas_de_medición], B506) &gt; 0, Herramientas_de_medición2064[[#Headers],[Herramientas_de_medición]],
    COUNTIF(Herrramientas_mecánicas2165[Herramientas_mecánicas], B506) &gt; 0, Herrramientas_mecánicas2165[[#Headers],[Herramientas_mecánicas]],
    COUNTIF(AK506:AK512, B506) &gt; 0, Herramientas_hidráulicas2266[[#Headers],[Herramientas_hidráulicas]],
    COUNTIF(EPP_2367[SPCC], B506) &gt; 0, EPP_2367[[#Headers],[SPCC]],
   COUNTIF(Herramientas_de_izaje2468[Herramientas_de_izaje], B506) &gt; 0, Herramientas_de_izaje2468[[#Headers],[Herramientas_de_izaje]],
COUNTIF(Tabla162670[Equipos], B506) &gt; 0, Tabla162670[[#Headers],[Equipos]],
    TRUE, "Sin clasificación"
)</f>
        <v>Sin clasificación</v>
      </c>
      <c r="G506" s="15"/>
      <c r="H506" s="47"/>
      <c r="I506" s="87"/>
      <c r="J506" s="78"/>
      <c r="K506" s="78"/>
      <c r="L506" s="78"/>
      <c r="M506" s="78"/>
      <c r="N506" s="76"/>
      <c r="O506" s="76"/>
      <c r="P506" s="78" t="str">
        <f>_xlfn.LET(
    _xlpm.itemBuscado, B506,
    _xlpm.areaBuscada, C506,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TEXT(COUNTIF($C$2:C506, _xlpm.areaBuscada), "0000"),
    _xlpm.codItem &amp; "-" &amp; _xlpm.codArea &amp; "-" &amp; _xlpm.secuencia
)</f>
        <v>-SinArea-0000</v>
      </c>
      <c r="Q506" s="77"/>
      <c r="R506" s="32"/>
      <c r="S506" s="32"/>
      <c r="T506" s="32"/>
      <c r="U506" s="32"/>
    </row>
    <row r="507" spans="3:21" x14ac:dyDescent="0.3">
      <c r="C507" s="11"/>
      <c r="D507" s="32"/>
      <c r="E507" s="11" t="str" cm="1">
        <f t="array" ref="E507">_xlfn.IFS(
    COUNTIF(Herramientas_eléctricas1862[Herramientas_eléctricas], B507) &gt; 0, Herramientas_eléctricas1862[[#Headers],[Herramientas_eléctricas]],
    COUNTIF(Herramientas_neumáticas1963[Herramientas_neumáticas], B507) &gt; 0, Herramientas_neumáticas1963[[#Headers],[Herramientas_neumáticas]],
    COUNTIF(Herramientas_de_medición2064[Herramientas_de_medición], B507) &gt; 0, Herramientas_de_medición2064[[#Headers],[Herramientas_de_medición]],
    COUNTIF(Herrramientas_mecánicas2165[Herramientas_mecánicas], B507) &gt; 0, Herrramientas_mecánicas2165[[#Headers],[Herramientas_mecánicas]],
    COUNTIF(AK507:AK513, B507) &gt; 0, Herramientas_hidráulicas2266[[#Headers],[Herramientas_hidráulicas]],
    COUNTIF(EPP_2367[SPCC], B507) &gt; 0, EPP_2367[[#Headers],[SPCC]],
   COUNTIF(Herramientas_de_izaje2468[Herramientas_de_izaje], B507) &gt; 0, Herramientas_de_izaje2468[[#Headers],[Herramientas_de_izaje]],
COUNTIF(Tabla162670[Equipos], B507) &gt; 0, Tabla162670[[#Headers],[Equipos]],
    TRUE, "Sin clasificación"
)</f>
        <v>Sin clasificación</v>
      </c>
      <c r="G507" s="15"/>
      <c r="H507" s="47"/>
      <c r="I507" s="87"/>
      <c r="J507" s="78"/>
      <c r="K507" s="78"/>
      <c r="L507" s="78"/>
      <c r="M507" s="78"/>
      <c r="N507" s="76"/>
      <c r="O507" s="76"/>
      <c r="P507" s="78" t="str">
        <f>_xlfn.LET(
    _xlpm.itemBuscado, B507,
    _xlpm.areaBuscada, C507,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TEXT(COUNTIF($C$2:C507, _xlpm.areaBuscada), "0000"),
    _xlpm.codItem &amp; "-" &amp; _xlpm.codArea &amp; "-" &amp; _xlpm.secuencia
)</f>
        <v>-SinArea-0000</v>
      </c>
      <c r="Q507" s="77"/>
      <c r="R507" s="32"/>
      <c r="S507" s="32"/>
      <c r="T507" s="32"/>
      <c r="U507" s="32"/>
    </row>
    <row r="508" spans="3:21" x14ac:dyDescent="0.3">
      <c r="C508" s="11"/>
      <c r="D508" s="32"/>
      <c r="E508" s="11" t="str" cm="1">
        <f t="array" ref="E508">_xlfn.IFS(
    COUNTIF(Herramientas_eléctricas1862[Herramientas_eléctricas], B508) &gt; 0, Herramientas_eléctricas1862[[#Headers],[Herramientas_eléctricas]],
    COUNTIF(Herramientas_neumáticas1963[Herramientas_neumáticas], B508) &gt; 0, Herramientas_neumáticas1963[[#Headers],[Herramientas_neumáticas]],
    COUNTIF(Herramientas_de_medición2064[Herramientas_de_medición], B508) &gt; 0, Herramientas_de_medición2064[[#Headers],[Herramientas_de_medición]],
    COUNTIF(Herrramientas_mecánicas2165[Herramientas_mecánicas], B508) &gt; 0, Herrramientas_mecánicas2165[[#Headers],[Herramientas_mecánicas]],
    COUNTIF(AK508:AK514, B508) &gt; 0, Herramientas_hidráulicas2266[[#Headers],[Herramientas_hidráulicas]],
    COUNTIF(EPP_2367[SPCC], B508) &gt; 0, EPP_2367[[#Headers],[SPCC]],
   COUNTIF(Herramientas_de_izaje2468[Herramientas_de_izaje], B508) &gt; 0, Herramientas_de_izaje2468[[#Headers],[Herramientas_de_izaje]],
COUNTIF(Tabla162670[Equipos], B508) &gt; 0, Tabla162670[[#Headers],[Equipos]],
    TRUE, "Sin clasificación"
)</f>
        <v>Sin clasificación</v>
      </c>
      <c r="G508" s="15"/>
      <c r="H508" s="47"/>
      <c r="I508" s="87"/>
      <c r="J508" s="78"/>
      <c r="K508" s="78"/>
      <c r="L508" s="78"/>
      <c r="M508" s="78"/>
      <c r="N508" s="76"/>
      <c r="O508" s="76"/>
      <c r="P508" s="78" t="str">
        <f>_xlfn.LET(
    _xlpm.itemBuscado, B508,
    _xlpm.areaBuscada, C508,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TEXT(COUNTIF($C$2:C508, _xlpm.areaBuscada), "0000"),
    _xlpm.codItem &amp; "-" &amp; _xlpm.codArea &amp; "-" &amp; _xlpm.secuencia
)</f>
        <v>-SinArea-0000</v>
      </c>
      <c r="Q508" s="77"/>
      <c r="R508" s="32"/>
      <c r="S508" s="32"/>
      <c r="T508" s="32"/>
      <c r="U508" s="32"/>
    </row>
    <row r="509" spans="3:21" x14ac:dyDescent="0.3">
      <c r="C509" s="11"/>
      <c r="D509" s="32"/>
      <c r="E509" s="11" t="str" cm="1">
        <f t="array" ref="E509">_xlfn.IFS(
    COUNTIF(Herramientas_eléctricas1862[Herramientas_eléctricas], B509) &gt; 0, Herramientas_eléctricas1862[[#Headers],[Herramientas_eléctricas]],
    COUNTIF(Herramientas_neumáticas1963[Herramientas_neumáticas], B509) &gt; 0, Herramientas_neumáticas1963[[#Headers],[Herramientas_neumáticas]],
    COUNTIF(Herramientas_de_medición2064[Herramientas_de_medición], B509) &gt; 0, Herramientas_de_medición2064[[#Headers],[Herramientas_de_medición]],
    COUNTIF(Herrramientas_mecánicas2165[Herramientas_mecánicas], B509) &gt; 0, Herrramientas_mecánicas2165[[#Headers],[Herramientas_mecánicas]],
    COUNTIF(AK509:AK515, B509) &gt; 0, Herramientas_hidráulicas2266[[#Headers],[Herramientas_hidráulicas]],
    COUNTIF(EPP_2367[SPCC], B509) &gt; 0, EPP_2367[[#Headers],[SPCC]],
   COUNTIF(Herramientas_de_izaje2468[Herramientas_de_izaje], B509) &gt; 0, Herramientas_de_izaje2468[[#Headers],[Herramientas_de_izaje]],
COUNTIF(Tabla162670[Equipos], B509) &gt; 0, Tabla162670[[#Headers],[Equipos]],
    TRUE, "Sin clasificación"
)</f>
        <v>Sin clasificación</v>
      </c>
      <c r="G509" s="15"/>
      <c r="H509" s="47"/>
      <c r="I509" s="87"/>
      <c r="J509" s="78"/>
      <c r="K509" s="78"/>
      <c r="L509" s="78"/>
      <c r="M509" s="78"/>
      <c r="N509" s="76"/>
      <c r="O509" s="76"/>
      <c r="P509" s="78" t="str">
        <f>_xlfn.LET(
    _xlpm.itemBuscado, B509,
    _xlpm.areaBuscada, C509,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TEXT(COUNTIF($C$2:C509, _xlpm.areaBuscada), "0000"),
    _xlpm.codItem &amp; "-" &amp; _xlpm.codArea &amp; "-" &amp; _xlpm.secuencia
)</f>
        <v>-SinArea-0000</v>
      </c>
      <c r="Q509" s="77"/>
      <c r="R509" s="32"/>
      <c r="S509" s="32"/>
      <c r="T509" s="32"/>
      <c r="U509" s="32"/>
    </row>
    <row r="510" spans="3:21" x14ac:dyDescent="0.3">
      <c r="C510" s="11"/>
      <c r="D510" s="32"/>
      <c r="E510" s="11" t="str" cm="1">
        <f t="array" ref="E510">_xlfn.IFS(
    COUNTIF(Herramientas_eléctricas1862[Herramientas_eléctricas], B510) &gt; 0, Herramientas_eléctricas1862[[#Headers],[Herramientas_eléctricas]],
    COUNTIF(Herramientas_neumáticas1963[Herramientas_neumáticas], B510) &gt; 0, Herramientas_neumáticas1963[[#Headers],[Herramientas_neumáticas]],
    COUNTIF(Herramientas_de_medición2064[Herramientas_de_medición], B510) &gt; 0, Herramientas_de_medición2064[[#Headers],[Herramientas_de_medición]],
    COUNTIF(Herrramientas_mecánicas2165[Herramientas_mecánicas], B510) &gt; 0, Herrramientas_mecánicas2165[[#Headers],[Herramientas_mecánicas]],
    COUNTIF(AK510:AK516, B510) &gt; 0, Herramientas_hidráulicas2266[[#Headers],[Herramientas_hidráulicas]],
    COUNTIF(EPP_2367[SPCC], B510) &gt; 0, EPP_2367[[#Headers],[SPCC]],
   COUNTIF(Herramientas_de_izaje2468[Herramientas_de_izaje], B510) &gt; 0, Herramientas_de_izaje2468[[#Headers],[Herramientas_de_izaje]],
COUNTIF(Tabla162670[Equipos], B510) &gt; 0, Tabla162670[[#Headers],[Equipos]],
    TRUE, "Sin clasificación"
)</f>
        <v>Sin clasificación</v>
      </c>
      <c r="G510" s="15"/>
      <c r="H510" s="47"/>
      <c r="I510" s="87"/>
      <c r="J510" s="78"/>
      <c r="K510" s="78"/>
      <c r="L510" s="78"/>
      <c r="M510" s="78"/>
      <c r="N510" s="76"/>
      <c r="O510" s="76"/>
      <c r="P510" s="78" t="str">
        <f>_xlfn.LET(
    _xlpm.itemBuscado, B510,
    _xlpm.areaBuscada, C510,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TEXT(COUNTIF($C$2:C510, _xlpm.areaBuscada), "0000"),
    _xlpm.codItem &amp; "-" &amp; _xlpm.codArea &amp; "-" &amp; _xlpm.secuencia
)</f>
        <v>-SinArea-0000</v>
      </c>
      <c r="Q510" s="77"/>
      <c r="R510" s="32"/>
      <c r="S510" s="32"/>
      <c r="T510" s="32"/>
      <c r="U510" s="32"/>
    </row>
    <row r="511" spans="3:21" x14ac:dyDescent="0.3">
      <c r="C511" s="11"/>
      <c r="D511" s="32"/>
      <c r="E511" s="11" t="str" cm="1">
        <f t="array" ref="E511">_xlfn.IFS(
    COUNTIF(Herramientas_eléctricas1862[Herramientas_eléctricas], B511) &gt; 0, Herramientas_eléctricas1862[[#Headers],[Herramientas_eléctricas]],
    COUNTIF(Herramientas_neumáticas1963[Herramientas_neumáticas], B511) &gt; 0, Herramientas_neumáticas1963[[#Headers],[Herramientas_neumáticas]],
    COUNTIF(Herramientas_de_medición2064[Herramientas_de_medición], B511) &gt; 0, Herramientas_de_medición2064[[#Headers],[Herramientas_de_medición]],
    COUNTIF(Herrramientas_mecánicas2165[Herramientas_mecánicas], B511) &gt; 0, Herrramientas_mecánicas2165[[#Headers],[Herramientas_mecánicas]],
    COUNTIF(AK511:AK517, B511) &gt; 0, Herramientas_hidráulicas2266[[#Headers],[Herramientas_hidráulicas]],
    COUNTIF(EPP_2367[SPCC], B511) &gt; 0, EPP_2367[[#Headers],[SPCC]],
   COUNTIF(Herramientas_de_izaje2468[Herramientas_de_izaje], B511) &gt; 0, Herramientas_de_izaje2468[[#Headers],[Herramientas_de_izaje]],
COUNTIF(Tabla162670[Equipos], B511) &gt; 0, Tabla162670[[#Headers],[Equipos]],
    TRUE, "Sin clasificación"
)</f>
        <v>Sin clasificación</v>
      </c>
      <c r="G511" s="15"/>
      <c r="H511" s="47"/>
      <c r="I511" s="87"/>
      <c r="J511" s="78"/>
      <c r="K511" s="78"/>
      <c r="L511" s="78"/>
      <c r="M511" s="78"/>
      <c r="N511" s="76"/>
      <c r="O511" s="76"/>
      <c r="P511" s="78" t="str">
        <f>_xlfn.LET(
    _xlpm.itemBuscado, B511,
    _xlpm.areaBuscada, C511,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TEXT(COUNTIF($C$2:C511, _xlpm.areaBuscada), "0000"),
    _xlpm.codItem &amp; "-" &amp; _xlpm.codArea &amp; "-" &amp; _xlpm.secuencia
)</f>
        <v>-SinArea-0000</v>
      </c>
      <c r="Q511" s="77"/>
      <c r="R511" s="32"/>
      <c r="S511" s="32"/>
      <c r="T511" s="32"/>
      <c r="U511" s="32"/>
    </row>
    <row r="512" spans="3:21" x14ac:dyDescent="0.3">
      <c r="C512" s="11"/>
      <c r="D512" s="32"/>
      <c r="E512" s="11" t="str" cm="1">
        <f t="array" ref="E512">_xlfn.IFS(
    COUNTIF(Herramientas_eléctricas1862[Herramientas_eléctricas], B512) &gt; 0, Herramientas_eléctricas1862[[#Headers],[Herramientas_eléctricas]],
    COUNTIF(Herramientas_neumáticas1963[Herramientas_neumáticas], B512) &gt; 0, Herramientas_neumáticas1963[[#Headers],[Herramientas_neumáticas]],
    COUNTIF(Herramientas_de_medición2064[Herramientas_de_medición], B512) &gt; 0, Herramientas_de_medición2064[[#Headers],[Herramientas_de_medición]],
    COUNTIF(Herrramientas_mecánicas2165[Herramientas_mecánicas], B512) &gt; 0, Herrramientas_mecánicas2165[[#Headers],[Herramientas_mecánicas]],
    COUNTIF(AK512:AK518, B512) &gt; 0, Herramientas_hidráulicas2266[[#Headers],[Herramientas_hidráulicas]],
    COUNTIF(EPP_2367[SPCC], B512) &gt; 0, EPP_2367[[#Headers],[SPCC]],
   COUNTIF(Herramientas_de_izaje2468[Herramientas_de_izaje], B512) &gt; 0, Herramientas_de_izaje2468[[#Headers],[Herramientas_de_izaje]],
COUNTIF(Tabla162670[Equipos], B512) &gt; 0, Tabla162670[[#Headers],[Equipos]],
    TRUE, "Sin clasificación"
)</f>
        <v>Sin clasificación</v>
      </c>
      <c r="G512" s="15"/>
      <c r="H512" s="47"/>
      <c r="I512" s="87"/>
      <c r="J512" s="78"/>
      <c r="K512" s="78"/>
      <c r="L512" s="78"/>
      <c r="M512" s="78"/>
      <c r="N512" s="76"/>
      <c r="O512" s="76"/>
      <c r="P512" s="78" t="str">
        <f>_xlfn.LET(
    _xlpm.itemBuscado, B512,
    _xlpm.areaBuscada, C512,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TEXT(COUNTIF($C$2:C512, _xlpm.areaBuscada), "0000"),
    _xlpm.codItem &amp; "-" &amp; _xlpm.codArea &amp; "-" &amp; _xlpm.secuencia
)</f>
        <v>-SinArea-0000</v>
      </c>
      <c r="Q512" s="77"/>
      <c r="R512" s="32"/>
      <c r="S512" s="32"/>
      <c r="T512" s="32"/>
      <c r="U512" s="32"/>
    </row>
    <row r="513" spans="3:21" x14ac:dyDescent="0.3">
      <c r="C513" s="11"/>
      <c r="D513" s="32"/>
      <c r="E513" s="11" t="str" cm="1">
        <f t="array" ref="E513">_xlfn.IFS(
    COUNTIF(Herramientas_eléctricas1862[Herramientas_eléctricas], B513) &gt; 0, Herramientas_eléctricas1862[[#Headers],[Herramientas_eléctricas]],
    COUNTIF(Herramientas_neumáticas1963[Herramientas_neumáticas], B513) &gt; 0, Herramientas_neumáticas1963[[#Headers],[Herramientas_neumáticas]],
    COUNTIF(Herramientas_de_medición2064[Herramientas_de_medición], B513) &gt; 0, Herramientas_de_medición2064[[#Headers],[Herramientas_de_medición]],
    COUNTIF(Herrramientas_mecánicas2165[Herramientas_mecánicas], B513) &gt; 0, Herrramientas_mecánicas2165[[#Headers],[Herramientas_mecánicas]],
    COUNTIF(AK513:AK519, B513) &gt; 0, Herramientas_hidráulicas2266[[#Headers],[Herramientas_hidráulicas]],
    COUNTIF(EPP_2367[SPCC], B513) &gt; 0, EPP_2367[[#Headers],[SPCC]],
   COUNTIF(Herramientas_de_izaje2468[Herramientas_de_izaje], B513) &gt; 0, Herramientas_de_izaje2468[[#Headers],[Herramientas_de_izaje]],
COUNTIF(Tabla162670[Equipos], B513) &gt; 0, Tabla162670[[#Headers],[Equipos]],
    TRUE, "Sin clasificación"
)</f>
        <v>Sin clasificación</v>
      </c>
      <c r="G513" s="15"/>
      <c r="H513" s="47"/>
      <c r="I513" s="87"/>
      <c r="J513" s="78"/>
      <c r="K513" s="78"/>
      <c r="L513" s="78"/>
      <c r="M513" s="78"/>
      <c r="N513" s="76"/>
      <c r="O513" s="76"/>
      <c r="P513" s="78" t="str">
        <f>_xlfn.LET(
    _xlpm.itemBuscado, B513,
    _xlpm.areaBuscada, C513,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TEXT(COUNTIF($C$2:C513, _xlpm.areaBuscada), "0000"),
    _xlpm.codItem &amp; "-" &amp; _xlpm.codArea &amp; "-" &amp; _xlpm.secuencia
)</f>
        <v>-SinArea-0000</v>
      </c>
      <c r="Q513" s="77"/>
      <c r="R513" s="32"/>
      <c r="S513" s="32"/>
      <c r="T513" s="32"/>
      <c r="U513" s="32"/>
    </row>
    <row r="514" spans="3:21" x14ac:dyDescent="0.3">
      <c r="C514" s="11"/>
      <c r="D514" s="32"/>
      <c r="E514" s="11" t="str" cm="1">
        <f t="array" ref="E514">_xlfn.IFS(
    COUNTIF(Herramientas_eléctricas1862[Herramientas_eléctricas], B514) &gt; 0, Herramientas_eléctricas1862[[#Headers],[Herramientas_eléctricas]],
    COUNTIF(Herramientas_neumáticas1963[Herramientas_neumáticas], B514) &gt; 0, Herramientas_neumáticas1963[[#Headers],[Herramientas_neumáticas]],
    COUNTIF(Herramientas_de_medición2064[Herramientas_de_medición], B514) &gt; 0, Herramientas_de_medición2064[[#Headers],[Herramientas_de_medición]],
    COUNTIF(Herrramientas_mecánicas2165[Herramientas_mecánicas], B514) &gt; 0, Herrramientas_mecánicas2165[[#Headers],[Herramientas_mecánicas]],
    COUNTIF(AK514:AK520, B514) &gt; 0, Herramientas_hidráulicas2266[[#Headers],[Herramientas_hidráulicas]],
    COUNTIF(EPP_2367[SPCC], B514) &gt; 0, EPP_2367[[#Headers],[SPCC]],
   COUNTIF(Herramientas_de_izaje2468[Herramientas_de_izaje], B514) &gt; 0, Herramientas_de_izaje2468[[#Headers],[Herramientas_de_izaje]],
COUNTIF(Tabla162670[Equipos], B514) &gt; 0, Tabla162670[[#Headers],[Equipos]],
    TRUE, "Sin clasificación"
)</f>
        <v>Sin clasificación</v>
      </c>
      <c r="G514" s="15"/>
      <c r="H514" s="47"/>
      <c r="I514" s="87"/>
      <c r="J514" s="78"/>
      <c r="K514" s="78"/>
      <c r="L514" s="78"/>
      <c r="M514" s="78"/>
      <c r="N514" s="76"/>
      <c r="O514" s="76"/>
      <c r="P514" s="78" t="str">
        <f>_xlfn.LET(
    _xlpm.itemBuscado, B514,
    _xlpm.areaBuscada, C514,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TEXT(COUNTIF($C$2:C514, _xlpm.areaBuscada), "0000"),
    _xlpm.codItem &amp; "-" &amp; _xlpm.codArea &amp; "-" &amp; _xlpm.secuencia
)</f>
        <v>-SinArea-0000</v>
      </c>
      <c r="Q514" s="77"/>
      <c r="R514" s="32"/>
      <c r="S514" s="32"/>
      <c r="T514" s="32"/>
      <c r="U514" s="32"/>
    </row>
    <row r="515" spans="3:21" x14ac:dyDescent="0.3">
      <c r="C515" s="11"/>
      <c r="D515" s="32"/>
      <c r="E515" s="11" t="str" cm="1">
        <f t="array" ref="E515">_xlfn.IFS(
    COUNTIF(Herramientas_eléctricas1862[Herramientas_eléctricas], B515) &gt; 0, Herramientas_eléctricas1862[[#Headers],[Herramientas_eléctricas]],
    COUNTIF(Herramientas_neumáticas1963[Herramientas_neumáticas], B515) &gt; 0, Herramientas_neumáticas1963[[#Headers],[Herramientas_neumáticas]],
    COUNTIF(Herramientas_de_medición2064[Herramientas_de_medición], B515) &gt; 0, Herramientas_de_medición2064[[#Headers],[Herramientas_de_medición]],
    COUNTIF(Herrramientas_mecánicas2165[Herramientas_mecánicas], B515) &gt; 0, Herrramientas_mecánicas2165[[#Headers],[Herramientas_mecánicas]],
    COUNTIF(AK515:AK521, B515) &gt; 0, Herramientas_hidráulicas2266[[#Headers],[Herramientas_hidráulicas]],
    COUNTIF(EPP_2367[SPCC], B515) &gt; 0, EPP_2367[[#Headers],[SPCC]],
   COUNTIF(Herramientas_de_izaje2468[Herramientas_de_izaje], B515) &gt; 0, Herramientas_de_izaje2468[[#Headers],[Herramientas_de_izaje]],
COUNTIF(Tabla162670[Equipos], B515) &gt; 0, Tabla162670[[#Headers],[Equipos]],
    TRUE, "Sin clasificación"
)</f>
        <v>Sin clasificación</v>
      </c>
      <c r="G515" s="15"/>
      <c r="H515" s="47"/>
      <c r="I515" s="87"/>
      <c r="J515" s="78"/>
      <c r="K515" s="78"/>
      <c r="L515" s="78"/>
      <c r="M515" s="78"/>
      <c r="N515" s="76"/>
      <c r="O515" s="76"/>
      <c r="P515" s="78" t="str">
        <f>_xlfn.LET(
    _xlpm.itemBuscado, B515,
    _xlpm.areaBuscada, C515,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TEXT(COUNTIF($C$2:C515, _xlpm.areaBuscada), "0000"),
    _xlpm.codItem &amp; "-" &amp; _xlpm.codArea &amp; "-" &amp; _xlpm.secuencia
)</f>
        <v>-SinArea-0000</v>
      </c>
      <c r="Q515" s="77"/>
      <c r="R515" s="32"/>
      <c r="S515" s="32"/>
      <c r="T515" s="32"/>
      <c r="U515" s="32"/>
    </row>
    <row r="516" spans="3:21" x14ac:dyDescent="0.3">
      <c r="C516" s="11"/>
      <c r="D516" s="32"/>
      <c r="E516" s="11" t="str" cm="1">
        <f t="array" ref="E516">_xlfn.IFS(
    COUNTIF(Herramientas_eléctricas1862[Herramientas_eléctricas], B516) &gt; 0, Herramientas_eléctricas1862[[#Headers],[Herramientas_eléctricas]],
    COUNTIF(Herramientas_neumáticas1963[Herramientas_neumáticas], B516) &gt; 0, Herramientas_neumáticas1963[[#Headers],[Herramientas_neumáticas]],
    COUNTIF(Herramientas_de_medición2064[Herramientas_de_medición], B516) &gt; 0, Herramientas_de_medición2064[[#Headers],[Herramientas_de_medición]],
    COUNTIF(Herrramientas_mecánicas2165[Herramientas_mecánicas], B516) &gt; 0, Herrramientas_mecánicas2165[[#Headers],[Herramientas_mecánicas]],
    COUNTIF(AK516:AK522, B516) &gt; 0, Herramientas_hidráulicas2266[[#Headers],[Herramientas_hidráulicas]],
    COUNTIF(EPP_2367[SPCC], B516) &gt; 0, EPP_2367[[#Headers],[SPCC]],
   COUNTIF(Herramientas_de_izaje2468[Herramientas_de_izaje], B516) &gt; 0, Herramientas_de_izaje2468[[#Headers],[Herramientas_de_izaje]],
COUNTIF(Tabla162670[Equipos], B516) &gt; 0, Tabla162670[[#Headers],[Equipos]],
    TRUE, "Sin clasificación"
)</f>
        <v>Sin clasificación</v>
      </c>
      <c r="G516" s="15"/>
      <c r="H516" s="47"/>
      <c r="I516" s="87"/>
      <c r="J516" s="78"/>
      <c r="K516" s="78"/>
      <c r="L516" s="78"/>
      <c r="M516" s="78"/>
      <c r="N516" s="76"/>
      <c r="O516" s="76"/>
      <c r="P516" s="78" t="str">
        <f>_xlfn.LET(
    _xlpm.itemBuscado, B516,
    _xlpm.areaBuscada, C516,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TEXT(COUNTIF($C$2:C516, _xlpm.areaBuscada), "0000"),
    _xlpm.codItem &amp; "-" &amp; _xlpm.codArea &amp; "-" &amp; _xlpm.secuencia
)</f>
        <v>-SinArea-0000</v>
      </c>
      <c r="Q516" s="77"/>
      <c r="R516" s="32"/>
      <c r="S516" s="32"/>
      <c r="T516" s="32"/>
      <c r="U516" s="32"/>
    </row>
    <row r="517" spans="3:21" x14ac:dyDescent="0.3">
      <c r="C517" s="11"/>
      <c r="D517" s="32"/>
      <c r="E517" s="11" t="str" cm="1">
        <f t="array" ref="E517">_xlfn.IFS(
    COUNTIF(Herramientas_eléctricas1862[Herramientas_eléctricas], B517) &gt; 0, Herramientas_eléctricas1862[[#Headers],[Herramientas_eléctricas]],
    COUNTIF(Herramientas_neumáticas1963[Herramientas_neumáticas], B517) &gt; 0, Herramientas_neumáticas1963[[#Headers],[Herramientas_neumáticas]],
    COUNTIF(Herramientas_de_medición2064[Herramientas_de_medición], B517) &gt; 0, Herramientas_de_medición2064[[#Headers],[Herramientas_de_medición]],
    COUNTIF(Herrramientas_mecánicas2165[Herramientas_mecánicas], B517) &gt; 0, Herrramientas_mecánicas2165[[#Headers],[Herramientas_mecánicas]],
    COUNTIF(AK517:AK523, B517) &gt; 0, Herramientas_hidráulicas2266[[#Headers],[Herramientas_hidráulicas]],
    COUNTIF(EPP_2367[SPCC], B517) &gt; 0, EPP_2367[[#Headers],[SPCC]],
   COUNTIF(Herramientas_de_izaje2468[Herramientas_de_izaje], B517) &gt; 0, Herramientas_de_izaje2468[[#Headers],[Herramientas_de_izaje]],
COUNTIF(Tabla162670[Equipos], B517) &gt; 0, Tabla162670[[#Headers],[Equipos]],
    TRUE, "Sin clasificación"
)</f>
        <v>Sin clasificación</v>
      </c>
      <c r="G517" s="15"/>
      <c r="H517" s="47"/>
      <c r="I517" s="87"/>
      <c r="J517" s="78"/>
      <c r="K517" s="78"/>
      <c r="L517" s="78"/>
      <c r="M517" s="78"/>
      <c r="N517" s="76"/>
      <c r="O517" s="76"/>
      <c r="P517" s="78" t="str">
        <f>_xlfn.LET(
    _xlpm.itemBuscado, B517,
    _xlpm.areaBuscada, C517,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TEXT(COUNTIF($C$2:C517, _xlpm.areaBuscada), "0000"),
    _xlpm.codItem &amp; "-" &amp; _xlpm.codArea &amp; "-" &amp; _xlpm.secuencia
)</f>
        <v>-SinArea-0000</v>
      </c>
      <c r="Q517" s="77"/>
      <c r="R517" s="32"/>
      <c r="S517" s="32"/>
      <c r="T517" s="32"/>
      <c r="U517" s="32"/>
    </row>
    <row r="518" spans="3:21" x14ac:dyDescent="0.3">
      <c r="C518" s="11"/>
      <c r="D518" s="32"/>
      <c r="E518" s="11" t="str" cm="1">
        <f t="array" ref="E518">_xlfn.IFS(
    COUNTIF(Herramientas_eléctricas1862[Herramientas_eléctricas], B518) &gt; 0, Herramientas_eléctricas1862[[#Headers],[Herramientas_eléctricas]],
    COUNTIF(Herramientas_neumáticas1963[Herramientas_neumáticas], B518) &gt; 0, Herramientas_neumáticas1963[[#Headers],[Herramientas_neumáticas]],
    COUNTIF(Herramientas_de_medición2064[Herramientas_de_medición], B518) &gt; 0, Herramientas_de_medición2064[[#Headers],[Herramientas_de_medición]],
    COUNTIF(Herrramientas_mecánicas2165[Herramientas_mecánicas], B518) &gt; 0, Herrramientas_mecánicas2165[[#Headers],[Herramientas_mecánicas]],
    COUNTIF(AK518:AK524, B518) &gt; 0, Herramientas_hidráulicas2266[[#Headers],[Herramientas_hidráulicas]],
    COUNTIF(EPP_2367[SPCC], B518) &gt; 0, EPP_2367[[#Headers],[SPCC]],
   COUNTIF(Herramientas_de_izaje2468[Herramientas_de_izaje], B518) &gt; 0, Herramientas_de_izaje2468[[#Headers],[Herramientas_de_izaje]],
COUNTIF(Tabla162670[Equipos], B518) &gt; 0, Tabla162670[[#Headers],[Equipos]],
    TRUE, "Sin clasificación"
)</f>
        <v>Sin clasificación</v>
      </c>
      <c r="G518" s="15"/>
      <c r="H518" s="47"/>
      <c r="I518" s="87"/>
      <c r="J518" s="78"/>
      <c r="K518" s="78"/>
      <c r="L518" s="78"/>
      <c r="M518" s="78"/>
      <c r="N518" s="76"/>
      <c r="O518" s="76"/>
      <c r="P518" s="78" t="str">
        <f>_xlfn.LET(
    _xlpm.itemBuscado, B518,
    _xlpm.areaBuscada, C518,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TEXT(COUNTIF($C$2:C518, _xlpm.areaBuscada), "0000"),
    _xlpm.codItem &amp; "-" &amp; _xlpm.codArea &amp; "-" &amp; _xlpm.secuencia
)</f>
        <v>-SinArea-0000</v>
      </c>
      <c r="Q518" s="77"/>
      <c r="R518" s="32"/>
      <c r="S518" s="32"/>
      <c r="T518" s="32"/>
      <c r="U518" s="32"/>
    </row>
    <row r="519" spans="3:21" x14ac:dyDescent="0.3">
      <c r="C519" s="11"/>
      <c r="D519" s="32"/>
      <c r="E519" s="11" t="str" cm="1">
        <f t="array" ref="E519">_xlfn.IFS(
    COUNTIF(Herramientas_eléctricas1862[Herramientas_eléctricas], B519) &gt; 0, Herramientas_eléctricas1862[[#Headers],[Herramientas_eléctricas]],
    COUNTIF(Herramientas_neumáticas1963[Herramientas_neumáticas], B519) &gt; 0, Herramientas_neumáticas1963[[#Headers],[Herramientas_neumáticas]],
    COUNTIF(Herramientas_de_medición2064[Herramientas_de_medición], B519) &gt; 0, Herramientas_de_medición2064[[#Headers],[Herramientas_de_medición]],
    COUNTIF(Herrramientas_mecánicas2165[Herramientas_mecánicas], B519) &gt; 0, Herrramientas_mecánicas2165[[#Headers],[Herramientas_mecánicas]],
    COUNTIF(AK519:AK525, B519) &gt; 0, Herramientas_hidráulicas2266[[#Headers],[Herramientas_hidráulicas]],
    COUNTIF(EPP_2367[SPCC], B519) &gt; 0, EPP_2367[[#Headers],[SPCC]],
   COUNTIF(Herramientas_de_izaje2468[Herramientas_de_izaje], B519) &gt; 0, Herramientas_de_izaje2468[[#Headers],[Herramientas_de_izaje]],
COUNTIF(Tabla162670[Equipos], B519) &gt; 0, Tabla162670[[#Headers],[Equipos]],
    TRUE, "Sin clasificación"
)</f>
        <v>Sin clasificación</v>
      </c>
      <c r="G519" s="15"/>
      <c r="H519" s="47"/>
      <c r="I519" s="87"/>
      <c r="J519" s="78"/>
      <c r="K519" s="78"/>
      <c r="L519" s="78"/>
      <c r="M519" s="78"/>
      <c r="N519" s="76"/>
      <c r="O519" s="76"/>
      <c r="P519" s="78" t="str">
        <f>_xlfn.LET(
    _xlpm.itemBuscado, B519,
    _xlpm.areaBuscada, C519,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TEXT(COUNTIF($C$2:C519, _xlpm.areaBuscada), "0000"),
    _xlpm.codItem &amp; "-" &amp; _xlpm.codArea &amp; "-" &amp; _xlpm.secuencia
)</f>
        <v>-SinArea-0000</v>
      </c>
      <c r="Q519" s="77"/>
      <c r="R519" s="32"/>
      <c r="S519" s="32"/>
      <c r="T519" s="32"/>
      <c r="U519" s="32"/>
    </row>
    <row r="520" spans="3:21" x14ac:dyDescent="0.3">
      <c r="C520" s="11"/>
      <c r="D520" s="32"/>
      <c r="E520" s="11" t="str" cm="1">
        <f t="array" ref="E520">_xlfn.IFS(
    COUNTIF(Herramientas_eléctricas1862[Herramientas_eléctricas], B520) &gt; 0, Herramientas_eléctricas1862[[#Headers],[Herramientas_eléctricas]],
    COUNTIF(Herramientas_neumáticas1963[Herramientas_neumáticas], B520) &gt; 0, Herramientas_neumáticas1963[[#Headers],[Herramientas_neumáticas]],
    COUNTIF(Herramientas_de_medición2064[Herramientas_de_medición], B520) &gt; 0, Herramientas_de_medición2064[[#Headers],[Herramientas_de_medición]],
    COUNTIF(Herrramientas_mecánicas2165[Herramientas_mecánicas], B520) &gt; 0, Herrramientas_mecánicas2165[[#Headers],[Herramientas_mecánicas]],
    COUNTIF(AK520:AK526, B520) &gt; 0, Herramientas_hidráulicas2266[[#Headers],[Herramientas_hidráulicas]],
    COUNTIF(EPP_2367[SPCC], B520) &gt; 0, EPP_2367[[#Headers],[SPCC]],
   COUNTIF(Herramientas_de_izaje2468[Herramientas_de_izaje], B520) &gt; 0, Herramientas_de_izaje2468[[#Headers],[Herramientas_de_izaje]],
COUNTIF(Tabla162670[Equipos], B520) &gt; 0, Tabla162670[[#Headers],[Equipos]],
    TRUE, "Sin clasificación"
)</f>
        <v>Sin clasificación</v>
      </c>
      <c r="G520" s="15"/>
      <c r="H520" s="47"/>
      <c r="I520" s="87"/>
      <c r="J520" s="78"/>
      <c r="K520" s="78"/>
      <c r="L520" s="78"/>
      <c r="M520" s="78"/>
      <c r="N520" s="76"/>
      <c r="O520" s="76"/>
      <c r="P520" s="78" t="str">
        <f>_xlfn.LET(
    _xlpm.itemBuscado, B520,
    _xlpm.areaBuscada, C520,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TEXT(COUNTIF($C$2:C520, _xlpm.areaBuscada), "0000"),
    _xlpm.codItem &amp; "-" &amp; _xlpm.codArea &amp; "-" &amp; _xlpm.secuencia
)</f>
        <v>-SinArea-0000</v>
      </c>
      <c r="Q520" s="77"/>
      <c r="R520" s="32"/>
      <c r="S520" s="32"/>
      <c r="T520" s="32"/>
      <c r="U520" s="32"/>
    </row>
    <row r="521" spans="3:21" x14ac:dyDescent="0.3">
      <c r="C521" s="11"/>
      <c r="D521" s="32"/>
      <c r="E521" s="11" t="str" cm="1">
        <f t="array" ref="E521">_xlfn.IFS(
    COUNTIF(Herramientas_eléctricas1862[Herramientas_eléctricas], B521) &gt; 0, Herramientas_eléctricas1862[[#Headers],[Herramientas_eléctricas]],
    COUNTIF(Herramientas_neumáticas1963[Herramientas_neumáticas], B521) &gt; 0, Herramientas_neumáticas1963[[#Headers],[Herramientas_neumáticas]],
    COUNTIF(Herramientas_de_medición2064[Herramientas_de_medición], B521) &gt; 0, Herramientas_de_medición2064[[#Headers],[Herramientas_de_medición]],
    COUNTIF(Herrramientas_mecánicas2165[Herramientas_mecánicas], B521) &gt; 0, Herrramientas_mecánicas2165[[#Headers],[Herramientas_mecánicas]],
    COUNTIF(AK521:AK527, B521) &gt; 0, Herramientas_hidráulicas2266[[#Headers],[Herramientas_hidráulicas]],
    COUNTIF(EPP_2367[SPCC], B521) &gt; 0, EPP_2367[[#Headers],[SPCC]],
   COUNTIF(Herramientas_de_izaje2468[Herramientas_de_izaje], B521) &gt; 0, Herramientas_de_izaje2468[[#Headers],[Herramientas_de_izaje]],
COUNTIF(Tabla162670[Equipos], B521) &gt; 0, Tabla162670[[#Headers],[Equipos]],
    TRUE, "Sin clasificación"
)</f>
        <v>Sin clasificación</v>
      </c>
      <c r="G521" s="15"/>
      <c r="H521" s="47"/>
      <c r="I521" s="87"/>
      <c r="J521" s="78"/>
      <c r="K521" s="78"/>
      <c r="L521" s="78"/>
      <c r="M521" s="78"/>
      <c r="N521" s="76"/>
      <c r="O521" s="76"/>
      <c r="P521" s="78" t="str">
        <f>_xlfn.LET(
    _xlpm.itemBuscado, B521,
    _xlpm.areaBuscada, C521,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TEXT(COUNTIF($C$2:C521, _xlpm.areaBuscada), "0000"),
    _xlpm.codItem &amp; "-" &amp; _xlpm.codArea &amp; "-" &amp; _xlpm.secuencia
)</f>
        <v>-SinArea-0000</v>
      </c>
      <c r="Q521" s="77"/>
      <c r="R521" s="32"/>
      <c r="S521" s="32"/>
      <c r="T521" s="32"/>
      <c r="U521" s="32"/>
    </row>
    <row r="522" spans="3:21" x14ac:dyDescent="0.3">
      <c r="C522" s="11"/>
      <c r="D522" s="32"/>
      <c r="E522" s="11" t="str" cm="1">
        <f t="array" ref="E522">_xlfn.IFS(
    COUNTIF(Herramientas_eléctricas1862[Herramientas_eléctricas], B522) &gt; 0, Herramientas_eléctricas1862[[#Headers],[Herramientas_eléctricas]],
    COUNTIF(Herramientas_neumáticas1963[Herramientas_neumáticas], B522) &gt; 0, Herramientas_neumáticas1963[[#Headers],[Herramientas_neumáticas]],
    COUNTIF(Herramientas_de_medición2064[Herramientas_de_medición], B522) &gt; 0, Herramientas_de_medición2064[[#Headers],[Herramientas_de_medición]],
    COUNTIF(Herrramientas_mecánicas2165[Herramientas_mecánicas], B522) &gt; 0, Herrramientas_mecánicas2165[[#Headers],[Herramientas_mecánicas]],
    COUNTIF(AK522:AK528, B522) &gt; 0, Herramientas_hidráulicas2266[[#Headers],[Herramientas_hidráulicas]],
    COUNTIF(EPP_2367[SPCC], B522) &gt; 0, EPP_2367[[#Headers],[SPCC]],
   COUNTIF(Herramientas_de_izaje2468[Herramientas_de_izaje], B522) &gt; 0, Herramientas_de_izaje2468[[#Headers],[Herramientas_de_izaje]],
COUNTIF(Tabla162670[Equipos], B522) &gt; 0, Tabla162670[[#Headers],[Equipos]],
    TRUE, "Sin clasificación"
)</f>
        <v>Sin clasificación</v>
      </c>
      <c r="G522" s="15"/>
      <c r="H522" s="47"/>
      <c r="I522" s="87"/>
      <c r="J522" s="78"/>
      <c r="K522" s="78"/>
      <c r="L522" s="78"/>
      <c r="M522" s="78"/>
      <c r="N522" s="76"/>
      <c r="O522" s="76"/>
      <c r="P522" s="78" t="str">
        <f>_xlfn.LET(
    _xlpm.itemBuscado, B522,
    _xlpm.areaBuscada, C522,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TEXT(COUNTIF($C$2:C522, _xlpm.areaBuscada), "0000"),
    _xlpm.codItem &amp; "-" &amp; _xlpm.codArea &amp; "-" &amp; _xlpm.secuencia
)</f>
        <v>-SinArea-0000</v>
      </c>
      <c r="Q522" s="77"/>
      <c r="R522" s="32"/>
      <c r="S522" s="32"/>
      <c r="T522" s="32"/>
      <c r="U522" s="32"/>
    </row>
    <row r="523" spans="3:21" x14ac:dyDescent="0.3">
      <c r="C523" s="11"/>
      <c r="D523" s="32"/>
      <c r="E523" s="11" t="str" cm="1">
        <f t="array" ref="E523">_xlfn.IFS(
    COUNTIF(Herramientas_eléctricas1862[Herramientas_eléctricas], B523) &gt; 0, Herramientas_eléctricas1862[[#Headers],[Herramientas_eléctricas]],
    COUNTIF(Herramientas_neumáticas1963[Herramientas_neumáticas], B523) &gt; 0, Herramientas_neumáticas1963[[#Headers],[Herramientas_neumáticas]],
    COUNTIF(Herramientas_de_medición2064[Herramientas_de_medición], B523) &gt; 0, Herramientas_de_medición2064[[#Headers],[Herramientas_de_medición]],
    COUNTIF(Herrramientas_mecánicas2165[Herramientas_mecánicas], B523) &gt; 0, Herrramientas_mecánicas2165[[#Headers],[Herramientas_mecánicas]],
    COUNTIF(AK523:AK529, B523) &gt; 0, Herramientas_hidráulicas2266[[#Headers],[Herramientas_hidráulicas]],
    COUNTIF(EPP_2367[SPCC], B523) &gt; 0, EPP_2367[[#Headers],[SPCC]],
   COUNTIF(Herramientas_de_izaje2468[Herramientas_de_izaje], B523) &gt; 0, Herramientas_de_izaje2468[[#Headers],[Herramientas_de_izaje]],
COUNTIF(Tabla162670[Equipos], B523) &gt; 0, Tabla162670[[#Headers],[Equipos]],
    TRUE, "Sin clasificación"
)</f>
        <v>Sin clasificación</v>
      </c>
      <c r="G523" s="15"/>
      <c r="H523" s="47"/>
      <c r="I523" s="87"/>
      <c r="J523" s="78"/>
      <c r="K523" s="78"/>
      <c r="L523" s="78"/>
      <c r="M523" s="78"/>
      <c r="N523" s="76"/>
      <c r="O523" s="76"/>
      <c r="P523" s="78" t="str">
        <f>_xlfn.LET(
    _xlpm.itemBuscado, B523,
    _xlpm.areaBuscada, C523,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TEXT(COUNTIF($C$2:C523, _xlpm.areaBuscada), "0000"),
    _xlpm.codItem &amp; "-" &amp; _xlpm.codArea &amp; "-" &amp; _xlpm.secuencia
)</f>
        <v>-SinArea-0000</v>
      </c>
      <c r="Q523" s="77"/>
      <c r="R523" s="32"/>
      <c r="S523" s="32"/>
      <c r="T523" s="32"/>
      <c r="U523" s="32"/>
    </row>
    <row r="524" spans="3:21" x14ac:dyDescent="0.3">
      <c r="C524" s="11"/>
      <c r="D524" s="32"/>
      <c r="E524" s="11" t="str" cm="1">
        <f t="array" ref="E524">_xlfn.IFS(
    COUNTIF(Herramientas_eléctricas1862[Herramientas_eléctricas], B524) &gt; 0, Herramientas_eléctricas1862[[#Headers],[Herramientas_eléctricas]],
    COUNTIF(Herramientas_neumáticas1963[Herramientas_neumáticas], B524) &gt; 0, Herramientas_neumáticas1963[[#Headers],[Herramientas_neumáticas]],
    COUNTIF(Herramientas_de_medición2064[Herramientas_de_medición], B524) &gt; 0, Herramientas_de_medición2064[[#Headers],[Herramientas_de_medición]],
    COUNTIF(Herrramientas_mecánicas2165[Herramientas_mecánicas], B524) &gt; 0, Herrramientas_mecánicas2165[[#Headers],[Herramientas_mecánicas]],
    COUNTIF(AK524:AK530, B524) &gt; 0, Herramientas_hidráulicas2266[[#Headers],[Herramientas_hidráulicas]],
    COUNTIF(EPP_2367[SPCC], B524) &gt; 0, EPP_2367[[#Headers],[SPCC]],
   COUNTIF(Herramientas_de_izaje2468[Herramientas_de_izaje], B524) &gt; 0, Herramientas_de_izaje2468[[#Headers],[Herramientas_de_izaje]],
COUNTIF(Tabla162670[Equipos], B524) &gt; 0, Tabla162670[[#Headers],[Equipos]],
    TRUE, "Sin clasificación"
)</f>
        <v>Sin clasificación</v>
      </c>
      <c r="G524" s="15"/>
      <c r="H524" s="47"/>
      <c r="I524" s="87"/>
      <c r="J524" s="78"/>
      <c r="K524" s="78"/>
      <c r="L524" s="78"/>
      <c r="M524" s="78"/>
      <c r="N524" s="76"/>
      <c r="O524" s="76"/>
      <c r="P524" s="78" t="str">
        <f>_xlfn.LET(
    _xlpm.itemBuscado, B524,
    _xlpm.areaBuscada, C524,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TEXT(COUNTIF($C$2:C524, _xlpm.areaBuscada), "0000"),
    _xlpm.codItem &amp; "-" &amp; _xlpm.codArea &amp; "-" &amp; _xlpm.secuencia
)</f>
        <v>-SinArea-0000</v>
      </c>
      <c r="Q524" s="77"/>
      <c r="R524" s="32"/>
      <c r="S524" s="32"/>
      <c r="T524" s="32"/>
      <c r="U524" s="32"/>
    </row>
    <row r="525" spans="3:21" x14ac:dyDescent="0.3">
      <c r="C525" s="11"/>
      <c r="D525" s="32"/>
      <c r="E525" s="11" t="str" cm="1">
        <f t="array" ref="E525">_xlfn.IFS(
    COUNTIF(Herramientas_eléctricas1862[Herramientas_eléctricas], B525) &gt; 0, Herramientas_eléctricas1862[[#Headers],[Herramientas_eléctricas]],
    COUNTIF(Herramientas_neumáticas1963[Herramientas_neumáticas], B525) &gt; 0, Herramientas_neumáticas1963[[#Headers],[Herramientas_neumáticas]],
    COUNTIF(Herramientas_de_medición2064[Herramientas_de_medición], B525) &gt; 0, Herramientas_de_medición2064[[#Headers],[Herramientas_de_medición]],
    COUNTIF(Herrramientas_mecánicas2165[Herramientas_mecánicas], B525) &gt; 0, Herrramientas_mecánicas2165[[#Headers],[Herramientas_mecánicas]],
    COUNTIF(AK525:AK531, B525) &gt; 0, Herramientas_hidráulicas2266[[#Headers],[Herramientas_hidráulicas]],
    COUNTIF(EPP_2367[SPCC], B525) &gt; 0, EPP_2367[[#Headers],[SPCC]],
   COUNTIF(Herramientas_de_izaje2468[Herramientas_de_izaje], B525) &gt; 0, Herramientas_de_izaje2468[[#Headers],[Herramientas_de_izaje]],
COUNTIF(Tabla162670[Equipos], B525) &gt; 0, Tabla162670[[#Headers],[Equipos]],
    TRUE, "Sin clasificación"
)</f>
        <v>Sin clasificación</v>
      </c>
      <c r="G525" s="15"/>
      <c r="H525" s="47"/>
      <c r="I525" s="87"/>
      <c r="J525" s="78"/>
      <c r="K525" s="78"/>
      <c r="L525" s="78"/>
      <c r="M525" s="78"/>
      <c r="N525" s="76"/>
      <c r="O525" s="76"/>
      <c r="P525" s="78" t="str">
        <f>_xlfn.LET(
    _xlpm.itemBuscado, B525,
    _xlpm.areaBuscada, C525,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TEXT(COUNTIF($C$2:C525, _xlpm.areaBuscada), "0000"),
    _xlpm.codItem &amp; "-" &amp; _xlpm.codArea &amp; "-" &amp; _xlpm.secuencia
)</f>
        <v>-SinArea-0000</v>
      </c>
      <c r="Q525" s="77"/>
      <c r="R525" s="32"/>
      <c r="S525" s="32"/>
      <c r="T525" s="32"/>
      <c r="U525" s="32"/>
    </row>
    <row r="526" spans="3:21" x14ac:dyDescent="0.3">
      <c r="C526" s="11"/>
      <c r="D526" s="32"/>
      <c r="E526" s="11" t="str" cm="1">
        <f t="array" ref="E526">_xlfn.IFS(
    COUNTIF(Herramientas_eléctricas1862[Herramientas_eléctricas], B526) &gt; 0, Herramientas_eléctricas1862[[#Headers],[Herramientas_eléctricas]],
    COUNTIF(Herramientas_neumáticas1963[Herramientas_neumáticas], B526) &gt; 0, Herramientas_neumáticas1963[[#Headers],[Herramientas_neumáticas]],
    COUNTIF(Herramientas_de_medición2064[Herramientas_de_medición], B526) &gt; 0, Herramientas_de_medición2064[[#Headers],[Herramientas_de_medición]],
    COUNTIF(Herrramientas_mecánicas2165[Herramientas_mecánicas], B526) &gt; 0, Herrramientas_mecánicas2165[[#Headers],[Herramientas_mecánicas]],
    COUNTIF(AK526:AK532, B526) &gt; 0, Herramientas_hidráulicas2266[[#Headers],[Herramientas_hidráulicas]],
    COUNTIF(EPP_2367[SPCC], B526) &gt; 0, EPP_2367[[#Headers],[SPCC]],
   COUNTIF(Herramientas_de_izaje2468[Herramientas_de_izaje], B526) &gt; 0, Herramientas_de_izaje2468[[#Headers],[Herramientas_de_izaje]],
COUNTIF(Tabla162670[Equipos], B526) &gt; 0, Tabla162670[[#Headers],[Equipos]],
    TRUE, "Sin clasificación"
)</f>
        <v>Sin clasificación</v>
      </c>
      <c r="G526" s="15"/>
      <c r="H526" s="47"/>
      <c r="I526" s="87"/>
      <c r="J526" s="78"/>
      <c r="K526" s="78"/>
      <c r="L526" s="78"/>
      <c r="M526" s="78"/>
      <c r="N526" s="76"/>
      <c r="O526" s="76"/>
      <c r="P526" s="78" t="str">
        <f>_xlfn.LET(
    _xlpm.itemBuscado, B526,
    _xlpm.areaBuscada, C526,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TEXT(COUNTIF($C$2:C526, _xlpm.areaBuscada), "0000"),
    _xlpm.codItem &amp; "-" &amp; _xlpm.codArea &amp; "-" &amp; _xlpm.secuencia
)</f>
        <v>-SinArea-0000</v>
      </c>
      <c r="Q526" s="77"/>
      <c r="R526" s="32"/>
      <c r="S526" s="32"/>
      <c r="T526" s="32"/>
      <c r="U526" s="32"/>
    </row>
    <row r="527" spans="3:21" x14ac:dyDescent="0.3">
      <c r="C527" s="11"/>
      <c r="D527" s="32"/>
      <c r="E527" s="11" t="str" cm="1">
        <f t="array" ref="E527">_xlfn.IFS(
    COUNTIF(Herramientas_eléctricas1862[Herramientas_eléctricas], B527) &gt; 0, Herramientas_eléctricas1862[[#Headers],[Herramientas_eléctricas]],
    COUNTIF(Herramientas_neumáticas1963[Herramientas_neumáticas], B527) &gt; 0, Herramientas_neumáticas1963[[#Headers],[Herramientas_neumáticas]],
    COUNTIF(Herramientas_de_medición2064[Herramientas_de_medición], B527) &gt; 0, Herramientas_de_medición2064[[#Headers],[Herramientas_de_medición]],
    COUNTIF(Herrramientas_mecánicas2165[Herramientas_mecánicas], B527) &gt; 0, Herrramientas_mecánicas2165[[#Headers],[Herramientas_mecánicas]],
    COUNTIF(AK527:AK533, B527) &gt; 0, Herramientas_hidráulicas2266[[#Headers],[Herramientas_hidráulicas]],
    COUNTIF(EPP_2367[SPCC], B527) &gt; 0, EPP_2367[[#Headers],[SPCC]],
   COUNTIF(Herramientas_de_izaje2468[Herramientas_de_izaje], B527) &gt; 0, Herramientas_de_izaje2468[[#Headers],[Herramientas_de_izaje]],
COUNTIF(Tabla162670[Equipos], B527) &gt; 0, Tabla162670[[#Headers],[Equipos]],
    TRUE, "Sin clasificación"
)</f>
        <v>Sin clasificación</v>
      </c>
      <c r="G527" s="15"/>
      <c r="H527" s="47"/>
      <c r="I527" s="87"/>
      <c r="J527" s="78"/>
      <c r="K527" s="78"/>
      <c r="L527" s="78"/>
      <c r="M527" s="78"/>
      <c r="N527" s="76"/>
      <c r="O527" s="76"/>
      <c r="P527" s="78" t="str">
        <f>_xlfn.LET(
    _xlpm.itemBuscado, B527,
    _xlpm.areaBuscada, C527,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TEXT(COUNTIF($C$2:C527, _xlpm.areaBuscada), "0000"),
    _xlpm.codItem &amp; "-" &amp; _xlpm.codArea &amp; "-" &amp; _xlpm.secuencia
)</f>
        <v>-SinArea-0000</v>
      </c>
      <c r="Q527" s="77"/>
      <c r="R527" s="32"/>
      <c r="S527" s="32"/>
      <c r="T527" s="32"/>
      <c r="U527" s="32"/>
    </row>
    <row r="528" spans="3:21" x14ac:dyDescent="0.3">
      <c r="C528" s="11"/>
      <c r="D528" s="32"/>
      <c r="E528" s="11" t="str" cm="1">
        <f t="array" ref="E528">_xlfn.IFS(
    COUNTIF(Herramientas_eléctricas1862[Herramientas_eléctricas], B528) &gt; 0, Herramientas_eléctricas1862[[#Headers],[Herramientas_eléctricas]],
    COUNTIF(Herramientas_neumáticas1963[Herramientas_neumáticas], B528) &gt; 0, Herramientas_neumáticas1963[[#Headers],[Herramientas_neumáticas]],
    COUNTIF(Herramientas_de_medición2064[Herramientas_de_medición], B528) &gt; 0, Herramientas_de_medición2064[[#Headers],[Herramientas_de_medición]],
    COUNTIF(Herrramientas_mecánicas2165[Herramientas_mecánicas], B528) &gt; 0, Herrramientas_mecánicas2165[[#Headers],[Herramientas_mecánicas]],
    COUNTIF(AK528:AK534, B528) &gt; 0, Herramientas_hidráulicas2266[[#Headers],[Herramientas_hidráulicas]],
    COUNTIF(EPP_2367[SPCC], B528) &gt; 0, EPP_2367[[#Headers],[SPCC]],
   COUNTIF(Herramientas_de_izaje2468[Herramientas_de_izaje], B528) &gt; 0, Herramientas_de_izaje2468[[#Headers],[Herramientas_de_izaje]],
COUNTIF(Tabla162670[Equipos], B528) &gt; 0, Tabla162670[[#Headers],[Equipos]],
    TRUE, "Sin clasificación"
)</f>
        <v>Sin clasificación</v>
      </c>
      <c r="G528" s="15"/>
      <c r="H528" s="47"/>
      <c r="I528" s="87"/>
      <c r="J528" s="78"/>
      <c r="K528" s="78"/>
      <c r="L528" s="78"/>
      <c r="M528" s="78"/>
      <c r="N528" s="76"/>
      <c r="O528" s="76"/>
      <c r="P528" s="78" t="str">
        <f>_xlfn.LET(
    _xlpm.itemBuscado, B528,
    _xlpm.areaBuscada, C528,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TEXT(COUNTIF($C$2:C528, _xlpm.areaBuscada), "0000"),
    _xlpm.codItem &amp; "-" &amp; _xlpm.codArea &amp; "-" &amp; _xlpm.secuencia
)</f>
        <v>-SinArea-0000</v>
      </c>
      <c r="Q528" s="77"/>
      <c r="R528" s="32"/>
      <c r="S528" s="32"/>
      <c r="T528" s="32"/>
      <c r="U528" s="32"/>
    </row>
    <row r="529" spans="3:21" x14ac:dyDescent="0.3">
      <c r="C529" s="11"/>
      <c r="D529" s="32"/>
      <c r="E529" s="11" t="str" cm="1">
        <f t="array" ref="E529">_xlfn.IFS(
    COUNTIF(Herramientas_eléctricas1862[Herramientas_eléctricas], B529) &gt; 0, Herramientas_eléctricas1862[[#Headers],[Herramientas_eléctricas]],
    COUNTIF(Herramientas_neumáticas1963[Herramientas_neumáticas], B529) &gt; 0, Herramientas_neumáticas1963[[#Headers],[Herramientas_neumáticas]],
    COUNTIF(Herramientas_de_medición2064[Herramientas_de_medición], B529) &gt; 0, Herramientas_de_medición2064[[#Headers],[Herramientas_de_medición]],
    COUNTIF(Herrramientas_mecánicas2165[Herramientas_mecánicas], B529) &gt; 0, Herrramientas_mecánicas2165[[#Headers],[Herramientas_mecánicas]],
    COUNTIF(AK529:AK535, B529) &gt; 0, Herramientas_hidráulicas2266[[#Headers],[Herramientas_hidráulicas]],
    COUNTIF(EPP_2367[SPCC], B529) &gt; 0, EPP_2367[[#Headers],[SPCC]],
   COUNTIF(Herramientas_de_izaje2468[Herramientas_de_izaje], B529) &gt; 0, Herramientas_de_izaje2468[[#Headers],[Herramientas_de_izaje]],
COUNTIF(Tabla162670[Equipos], B529) &gt; 0, Tabla162670[[#Headers],[Equipos]],
    TRUE, "Sin clasificación"
)</f>
        <v>Sin clasificación</v>
      </c>
      <c r="G529" s="15"/>
      <c r="H529" s="47"/>
      <c r="I529" s="87"/>
      <c r="J529" s="78"/>
      <c r="K529" s="78"/>
      <c r="L529" s="78"/>
      <c r="M529" s="78"/>
      <c r="N529" s="76"/>
      <c r="O529" s="76"/>
      <c r="P529" s="78" t="str">
        <f>_xlfn.LET(
    _xlpm.itemBuscado, B529,
    _xlpm.areaBuscada, C529,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TEXT(COUNTIF($C$2:C529, _xlpm.areaBuscada), "0000"),
    _xlpm.codItem &amp; "-" &amp; _xlpm.codArea &amp; "-" &amp; _xlpm.secuencia
)</f>
        <v>-SinArea-0000</v>
      </c>
      <c r="Q529" s="77"/>
      <c r="R529" s="32"/>
      <c r="S529" s="32"/>
      <c r="T529" s="32"/>
      <c r="U529" s="32"/>
    </row>
    <row r="530" spans="3:21" x14ac:dyDescent="0.3">
      <c r="C530" s="11"/>
      <c r="D530" s="32"/>
      <c r="E530" s="11" t="str" cm="1">
        <f t="array" ref="E530">_xlfn.IFS(
    COUNTIF(Herramientas_eléctricas1862[Herramientas_eléctricas], B530) &gt; 0, Herramientas_eléctricas1862[[#Headers],[Herramientas_eléctricas]],
    COUNTIF(Herramientas_neumáticas1963[Herramientas_neumáticas], B530) &gt; 0, Herramientas_neumáticas1963[[#Headers],[Herramientas_neumáticas]],
    COUNTIF(Herramientas_de_medición2064[Herramientas_de_medición], B530) &gt; 0, Herramientas_de_medición2064[[#Headers],[Herramientas_de_medición]],
    COUNTIF(Herrramientas_mecánicas2165[Herramientas_mecánicas], B530) &gt; 0, Herrramientas_mecánicas2165[[#Headers],[Herramientas_mecánicas]],
    COUNTIF(AK530:AK536, B530) &gt; 0, Herramientas_hidráulicas2266[[#Headers],[Herramientas_hidráulicas]],
    COUNTIF(EPP_2367[SPCC], B530) &gt; 0, EPP_2367[[#Headers],[SPCC]],
   COUNTIF(Herramientas_de_izaje2468[Herramientas_de_izaje], B530) &gt; 0, Herramientas_de_izaje2468[[#Headers],[Herramientas_de_izaje]],
COUNTIF(Tabla162670[Equipos], B530) &gt; 0, Tabla162670[[#Headers],[Equipos]],
    TRUE, "Sin clasificación"
)</f>
        <v>Sin clasificación</v>
      </c>
      <c r="G530" s="15"/>
      <c r="H530" s="47"/>
      <c r="I530" s="87"/>
      <c r="J530" s="78"/>
      <c r="K530" s="78"/>
      <c r="L530" s="78"/>
      <c r="M530" s="78"/>
      <c r="N530" s="76"/>
      <c r="O530" s="76"/>
      <c r="P530" s="78" t="str">
        <f>_xlfn.LET(
    _xlpm.itemBuscado, B530,
    _xlpm.areaBuscada, C530,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TEXT(COUNTIF($C$2:C530, _xlpm.areaBuscada), "0000"),
    _xlpm.codItem &amp; "-" &amp; _xlpm.codArea &amp; "-" &amp; _xlpm.secuencia
)</f>
        <v>-SinArea-0000</v>
      </c>
      <c r="Q530" s="77"/>
      <c r="R530" s="32"/>
      <c r="S530" s="32"/>
      <c r="T530" s="32"/>
      <c r="U530" s="32"/>
    </row>
    <row r="531" spans="3:21" x14ac:dyDescent="0.3">
      <c r="C531" s="11"/>
      <c r="D531" s="32"/>
      <c r="E531" s="11" t="str" cm="1">
        <f t="array" ref="E531">_xlfn.IFS(
    COUNTIF(Herramientas_eléctricas1862[Herramientas_eléctricas], B531) &gt; 0, Herramientas_eléctricas1862[[#Headers],[Herramientas_eléctricas]],
    COUNTIF(Herramientas_neumáticas1963[Herramientas_neumáticas], B531) &gt; 0, Herramientas_neumáticas1963[[#Headers],[Herramientas_neumáticas]],
    COUNTIF(Herramientas_de_medición2064[Herramientas_de_medición], B531) &gt; 0, Herramientas_de_medición2064[[#Headers],[Herramientas_de_medición]],
    COUNTIF(Herrramientas_mecánicas2165[Herramientas_mecánicas], B531) &gt; 0, Herrramientas_mecánicas2165[[#Headers],[Herramientas_mecánicas]],
    COUNTIF(AK531:AK537, B531) &gt; 0, Herramientas_hidráulicas2266[[#Headers],[Herramientas_hidráulicas]],
    COUNTIF(EPP_2367[SPCC], B531) &gt; 0, EPP_2367[[#Headers],[SPCC]],
   COUNTIF(Herramientas_de_izaje2468[Herramientas_de_izaje], B531) &gt; 0, Herramientas_de_izaje2468[[#Headers],[Herramientas_de_izaje]],
COUNTIF(Tabla162670[Equipos], B531) &gt; 0, Tabla162670[[#Headers],[Equipos]],
    TRUE, "Sin clasificación"
)</f>
        <v>Sin clasificación</v>
      </c>
      <c r="G531" s="15"/>
      <c r="H531" s="47"/>
      <c r="I531" s="87"/>
      <c r="J531" s="78"/>
      <c r="K531" s="78"/>
      <c r="L531" s="78"/>
      <c r="M531" s="78"/>
      <c r="N531" s="76"/>
      <c r="O531" s="76"/>
      <c r="P531" s="78" t="str">
        <f>_xlfn.LET(
    _xlpm.itemBuscado, B531,
    _xlpm.areaBuscada, C531,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TEXT(COUNTIF($C$2:C531, _xlpm.areaBuscada), "0000"),
    _xlpm.codItem &amp; "-" &amp; _xlpm.codArea &amp; "-" &amp; _xlpm.secuencia
)</f>
        <v>-SinArea-0000</v>
      </c>
      <c r="Q531" s="77"/>
      <c r="R531" s="32"/>
      <c r="S531" s="32"/>
      <c r="T531" s="32"/>
      <c r="U531" s="32"/>
    </row>
    <row r="532" spans="3:21" x14ac:dyDescent="0.3">
      <c r="C532" s="11"/>
      <c r="D532" s="32"/>
      <c r="E532" s="11" t="str" cm="1">
        <f t="array" ref="E532">_xlfn.IFS(
    COUNTIF(Herramientas_eléctricas1862[Herramientas_eléctricas], B532) &gt; 0, Herramientas_eléctricas1862[[#Headers],[Herramientas_eléctricas]],
    COUNTIF(Herramientas_neumáticas1963[Herramientas_neumáticas], B532) &gt; 0, Herramientas_neumáticas1963[[#Headers],[Herramientas_neumáticas]],
    COUNTIF(Herramientas_de_medición2064[Herramientas_de_medición], B532) &gt; 0, Herramientas_de_medición2064[[#Headers],[Herramientas_de_medición]],
    COUNTIF(Herrramientas_mecánicas2165[Herramientas_mecánicas], B532) &gt; 0, Herrramientas_mecánicas2165[[#Headers],[Herramientas_mecánicas]],
    COUNTIF(AK532:AK538, B532) &gt; 0, Herramientas_hidráulicas2266[[#Headers],[Herramientas_hidráulicas]],
    COUNTIF(EPP_2367[SPCC], B532) &gt; 0, EPP_2367[[#Headers],[SPCC]],
   COUNTIF(Herramientas_de_izaje2468[Herramientas_de_izaje], B532) &gt; 0, Herramientas_de_izaje2468[[#Headers],[Herramientas_de_izaje]],
COUNTIF(Tabla162670[Equipos], B532) &gt; 0, Tabla162670[[#Headers],[Equipos]],
    TRUE, "Sin clasificación"
)</f>
        <v>Sin clasificación</v>
      </c>
      <c r="G532" s="15"/>
      <c r="H532" s="47"/>
      <c r="I532" s="87"/>
      <c r="J532" s="78"/>
      <c r="K532" s="78"/>
      <c r="L532" s="78"/>
      <c r="M532" s="78"/>
      <c r="N532" s="76"/>
      <c r="O532" s="76"/>
      <c r="P532" s="78" t="str">
        <f>_xlfn.LET(
    _xlpm.itemBuscado, B532,
    _xlpm.areaBuscada, C532,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TEXT(COUNTIF($C$2:C532, _xlpm.areaBuscada), "0000"),
    _xlpm.codItem &amp; "-" &amp; _xlpm.codArea &amp; "-" &amp; _xlpm.secuencia
)</f>
        <v>-SinArea-0000</v>
      </c>
      <c r="Q532" s="77"/>
      <c r="R532" s="32"/>
      <c r="S532" s="32"/>
      <c r="T532" s="32"/>
      <c r="U532" s="32"/>
    </row>
    <row r="533" spans="3:21" x14ac:dyDescent="0.3">
      <c r="C533" s="11"/>
      <c r="D533" s="32"/>
      <c r="E533" s="11" t="str" cm="1">
        <f t="array" ref="E533">_xlfn.IFS(
    COUNTIF(Herramientas_eléctricas1862[Herramientas_eléctricas], B533) &gt; 0, Herramientas_eléctricas1862[[#Headers],[Herramientas_eléctricas]],
    COUNTIF(Herramientas_neumáticas1963[Herramientas_neumáticas], B533) &gt; 0, Herramientas_neumáticas1963[[#Headers],[Herramientas_neumáticas]],
    COUNTIF(Herramientas_de_medición2064[Herramientas_de_medición], B533) &gt; 0, Herramientas_de_medición2064[[#Headers],[Herramientas_de_medición]],
    COUNTIF(Herrramientas_mecánicas2165[Herramientas_mecánicas], B533) &gt; 0, Herrramientas_mecánicas2165[[#Headers],[Herramientas_mecánicas]],
    COUNTIF(AK533:AK539, B533) &gt; 0, Herramientas_hidráulicas2266[[#Headers],[Herramientas_hidráulicas]],
    COUNTIF(EPP_2367[SPCC], B533) &gt; 0, EPP_2367[[#Headers],[SPCC]],
   COUNTIF(Herramientas_de_izaje2468[Herramientas_de_izaje], B533) &gt; 0, Herramientas_de_izaje2468[[#Headers],[Herramientas_de_izaje]],
COUNTIF(Tabla162670[Equipos], B533) &gt; 0, Tabla162670[[#Headers],[Equipos]],
    TRUE, "Sin clasificación"
)</f>
        <v>Sin clasificación</v>
      </c>
      <c r="G533" s="15"/>
      <c r="H533" s="47"/>
      <c r="I533" s="87"/>
      <c r="J533" s="78"/>
      <c r="K533" s="78"/>
      <c r="L533" s="78"/>
      <c r="M533" s="78"/>
      <c r="N533" s="76"/>
      <c r="O533" s="76"/>
      <c r="P533" s="78" t="str">
        <f>_xlfn.LET(
    _xlpm.itemBuscado, B533,
    _xlpm.areaBuscada, C533,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TEXT(COUNTIF($C$2:C533, _xlpm.areaBuscada), "0000"),
    _xlpm.codItem &amp; "-" &amp; _xlpm.codArea &amp; "-" &amp; _xlpm.secuencia
)</f>
        <v>-SinArea-0000</v>
      </c>
      <c r="Q533" s="77"/>
      <c r="R533" s="32"/>
      <c r="S533" s="32"/>
      <c r="T533" s="32"/>
      <c r="U533" s="32"/>
    </row>
    <row r="534" spans="3:21" x14ac:dyDescent="0.3">
      <c r="C534" s="11"/>
      <c r="D534" s="32"/>
      <c r="E534" s="11" t="str" cm="1">
        <f t="array" ref="E534">_xlfn.IFS(
    COUNTIF(Herramientas_eléctricas1862[Herramientas_eléctricas], B534) &gt; 0, Herramientas_eléctricas1862[[#Headers],[Herramientas_eléctricas]],
    COUNTIF(Herramientas_neumáticas1963[Herramientas_neumáticas], B534) &gt; 0, Herramientas_neumáticas1963[[#Headers],[Herramientas_neumáticas]],
    COUNTIF(Herramientas_de_medición2064[Herramientas_de_medición], B534) &gt; 0, Herramientas_de_medición2064[[#Headers],[Herramientas_de_medición]],
    COUNTIF(Herrramientas_mecánicas2165[Herramientas_mecánicas], B534) &gt; 0, Herrramientas_mecánicas2165[[#Headers],[Herramientas_mecánicas]],
    COUNTIF(AK534:AK540, B534) &gt; 0, Herramientas_hidráulicas2266[[#Headers],[Herramientas_hidráulicas]],
    COUNTIF(EPP_2367[SPCC], B534) &gt; 0, EPP_2367[[#Headers],[SPCC]],
   COUNTIF(Herramientas_de_izaje2468[Herramientas_de_izaje], B534) &gt; 0, Herramientas_de_izaje2468[[#Headers],[Herramientas_de_izaje]],
COUNTIF(Tabla162670[Equipos], B534) &gt; 0, Tabla162670[[#Headers],[Equipos]],
    TRUE, "Sin clasificación"
)</f>
        <v>Sin clasificación</v>
      </c>
      <c r="G534" s="15"/>
      <c r="H534" s="78"/>
      <c r="I534" s="78"/>
      <c r="J534" s="78"/>
      <c r="K534" s="78"/>
      <c r="L534" s="78"/>
      <c r="M534" s="78"/>
      <c r="N534" s="76"/>
      <c r="O534" s="76"/>
      <c r="P534" s="78" t="str">
        <f>_xlfn.LET(
    _xlpm.itemBuscado, B534,
    _xlpm.areaBuscada, C534,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TEXT(COUNTIF($C$2:C534, _xlpm.areaBuscada), "0000"),
    _xlpm.codItem &amp; "-" &amp; _xlpm.codArea &amp; "-" &amp; _xlpm.secuencia
)</f>
        <v>-SinArea-0000</v>
      </c>
      <c r="Q534" s="77"/>
      <c r="R534" s="32"/>
      <c r="S534" s="32"/>
      <c r="T534" s="32"/>
      <c r="U534" s="32"/>
    </row>
    <row r="535" spans="3:21" x14ac:dyDescent="0.3">
      <c r="C535" s="11"/>
      <c r="D535" s="32"/>
      <c r="E535" s="11" t="str" cm="1">
        <f t="array" ref="E535">_xlfn.IFS(
    COUNTIF(Herramientas_eléctricas1862[Herramientas_eléctricas], B535) &gt; 0, Herramientas_eléctricas1862[[#Headers],[Herramientas_eléctricas]],
    COUNTIF(Herramientas_neumáticas1963[Herramientas_neumáticas], B535) &gt; 0, Herramientas_neumáticas1963[[#Headers],[Herramientas_neumáticas]],
    COUNTIF(Herramientas_de_medición2064[Herramientas_de_medición], B535) &gt; 0, Herramientas_de_medición2064[[#Headers],[Herramientas_de_medición]],
    COUNTIF(Herrramientas_mecánicas2165[Herramientas_mecánicas], B535) &gt; 0, Herrramientas_mecánicas2165[[#Headers],[Herramientas_mecánicas]],
    COUNTIF(AK535:AK541, B535) &gt; 0, Herramientas_hidráulicas2266[[#Headers],[Herramientas_hidráulicas]],
    COUNTIF(EPP_2367[SPCC], B535) &gt; 0, EPP_2367[[#Headers],[SPCC]],
   COUNTIF(Herramientas_de_izaje2468[Herramientas_de_izaje], B535) &gt; 0, Herramientas_de_izaje2468[[#Headers],[Herramientas_de_izaje]],
COUNTIF(Tabla162670[Equipos], B535) &gt; 0, Tabla162670[[#Headers],[Equipos]],
    TRUE, "Sin clasificación"
)</f>
        <v>Sin clasificación</v>
      </c>
      <c r="G535" s="15"/>
      <c r="H535" s="47"/>
      <c r="I535" s="87"/>
      <c r="J535" s="78"/>
      <c r="K535" s="78"/>
      <c r="L535" s="78"/>
      <c r="M535" s="78"/>
      <c r="N535" s="76"/>
      <c r="O535" s="76"/>
      <c r="P535" s="78" t="str">
        <f>_xlfn.LET(
    _xlpm.itemBuscado, B535,
    _xlpm.areaBuscada, C535,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TEXT(COUNTIF($C$2:C535, _xlpm.areaBuscada), "0000"),
    _xlpm.codItem &amp; "-" &amp; _xlpm.codArea &amp; "-" &amp; _xlpm.secuencia
)</f>
        <v>-SinArea-0000</v>
      </c>
      <c r="Q535" s="77"/>
      <c r="R535" s="32"/>
      <c r="S535" s="32"/>
      <c r="T535" s="32"/>
      <c r="U535" s="32"/>
    </row>
    <row r="536" spans="3:21" x14ac:dyDescent="0.3">
      <c r="C536" s="11"/>
      <c r="D536" s="32"/>
      <c r="E536" s="11" t="str" cm="1">
        <f t="array" ref="E536">_xlfn.IFS(
    COUNTIF(Herramientas_eléctricas1862[Herramientas_eléctricas], B536) &gt; 0, Herramientas_eléctricas1862[[#Headers],[Herramientas_eléctricas]],
    COUNTIF(Herramientas_neumáticas1963[Herramientas_neumáticas], B536) &gt; 0, Herramientas_neumáticas1963[[#Headers],[Herramientas_neumáticas]],
    COUNTIF(Herramientas_de_medición2064[Herramientas_de_medición], B536) &gt; 0, Herramientas_de_medición2064[[#Headers],[Herramientas_de_medición]],
    COUNTIF(Herrramientas_mecánicas2165[Herramientas_mecánicas], B536) &gt; 0, Herrramientas_mecánicas2165[[#Headers],[Herramientas_mecánicas]],
    COUNTIF(AK536:AK542, B536) &gt; 0, Herramientas_hidráulicas2266[[#Headers],[Herramientas_hidráulicas]],
    COUNTIF(EPP_2367[SPCC], B536) &gt; 0, EPP_2367[[#Headers],[SPCC]],
   COUNTIF(Herramientas_de_izaje2468[Herramientas_de_izaje], B536) &gt; 0, Herramientas_de_izaje2468[[#Headers],[Herramientas_de_izaje]],
COUNTIF(Tabla162670[Equipos], B536) &gt; 0, Tabla162670[[#Headers],[Equipos]],
    TRUE, "Sin clasificación"
)</f>
        <v>Sin clasificación</v>
      </c>
      <c r="G536" s="15"/>
      <c r="H536" s="47"/>
      <c r="I536" s="87"/>
      <c r="J536" s="78"/>
      <c r="K536" s="78"/>
      <c r="L536" s="78"/>
      <c r="M536" s="78"/>
      <c r="N536" s="76"/>
      <c r="O536" s="76"/>
      <c r="P536" s="78" t="str">
        <f>_xlfn.LET(
    _xlpm.itemBuscado, B536,
    _xlpm.areaBuscada, C536,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TEXT(COUNTIF($C$2:C536, _xlpm.areaBuscada), "0000"),
    _xlpm.codItem &amp; "-" &amp; _xlpm.codArea &amp; "-" &amp; _xlpm.secuencia
)</f>
        <v>-SinArea-0000</v>
      </c>
      <c r="Q536" s="77"/>
      <c r="R536" s="32"/>
      <c r="S536" s="32"/>
      <c r="T536" s="32"/>
      <c r="U536" s="32"/>
    </row>
    <row r="537" spans="3:21" x14ac:dyDescent="0.3">
      <c r="C537" s="11"/>
      <c r="D537" s="32"/>
      <c r="E537" s="11" t="str" cm="1">
        <f t="array" ref="E537">_xlfn.IFS(
    COUNTIF(Herramientas_eléctricas1862[Herramientas_eléctricas], B537) &gt; 0, Herramientas_eléctricas1862[[#Headers],[Herramientas_eléctricas]],
    COUNTIF(Herramientas_neumáticas1963[Herramientas_neumáticas], B537) &gt; 0, Herramientas_neumáticas1963[[#Headers],[Herramientas_neumáticas]],
    COUNTIF(Herramientas_de_medición2064[Herramientas_de_medición], B537) &gt; 0, Herramientas_de_medición2064[[#Headers],[Herramientas_de_medición]],
    COUNTIF(Herrramientas_mecánicas2165[Herramientas_mecánicas], B537) &gt; 0, Herrramientas_mecánicas2165[[#Headers],[Herramientas_mecánicas]],
    COUNTIF(AK537:AK543, B537) &gt; 0, Herramientas_hidráulicas2266[[#Headers],[Herramientas_hidráulicas]],
    COUNTIF(EPP_2367[SPCC], B537) &gt; 0, EPP_2367[[#Headers],[SPCC]],
   COUNTIF(Herramientas_de_izaje2468[Herramientas_de_izaje], B537) &gt; 0, Herramientas_de_izaje2468[[#Headers],[Herramientas_de_izaje]],
COUNTIF(Tabla162670[Equipos], B537) &gt; 0, Tabla162670[[#Headers],[Equipos]],
    TRUE, "Sin clasificación"
)</f>
        <v>Sin clasificación</v>
      </c>
      <c r="G537" s="15"/>
      <c r="H537" s="47"/>
      <c r="I537" s="87"/>
      <c r="J537" s="78"/>
      <c r="K537" s="78"/>
      <c r="L537" s="78"/>
      <c r="M537" s="78"/>
      <c r="N537" s="76"/>
      <c r="O537" s="76"/>
      <c r="P537" s="78" t="str">
        <f>_xlfn.LET(
    _xlpm.itemBuscado, B537,
    _xlpm.areaBuscada, C537,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TEXT(COUNTIF($C$2:C537, _xlpm.areaBuscada), "0000"),
    _xlpm.codItem &amp; "-" &amp; _xlpm.codArea &amp; "-" &amp; _xlpm.secuencia
)</f>
        <v>-SinArea-0000</v>
      </c>
      <c r="Q537" s="77"/>
      <c r="R537" s="32"/>
      <c r="S537" s="32"/>
      <c r="T537" s="32"/>
      <c r="U537" s="32"/>
    </row>
    <row r="538" spans="3:21" x14ac:dyDescent="0.3">
      <c r="C538" s="11"/>
      <c r="D538" s="32"/>
      <c r="E538" s="11" t="str" cm="1">
        <f t="array" ref="E538">_xlfn.IFS(
    COUNTIF(Herramientas_eléctricas1862[Herramientas_eléctricas], B538) &gt; 0, Herramientas_eléctricas1862[[#Headers],[Herramientas_eléctricas]],
    COUNTIF(Herramientas_neumáticas1963[Herramientas_neumáticas], B538) &gt; 0, Herramientas_neumáticas1963[[#Headers],[Herramientas_neumáticas]],
    COUNTIF(Herramientas_de_medición2064[Herramientas_de_medición], B538) &gt; 0, Herramientas_de_medición2064[[#Headers],[Herramientas_de_medición]],
    COUNTIF(Herrramientas_mecánicas2165[Herramientas_mecánicas], B538) &gt; 0, Herrramientas_mecánicas2165[[#Headers],[Herramientas_mecánicas]],
    COUNTIF(AK538:AK544, B538) &gt; 0, Herramientas_hidráulicas2266[[#Headers],[Herramientas_hidráulicas]],
    COUNTIF(EPP_2367[SPCC], B538) &gt; 0, EPP_2367[[#Headers],[SPCC]],
   COUNTIF(Herramientas_de_izaje2468[Herramientas_de_izaje], B538) &gt; 0, Herramientas_de_izaje2468[[#Headers],[Herramientas_de_izaje]],
COUNTIF(Tabla162670[Equipos], B538) &gt; 0, Tabla162670[[#Headers],[Equipos]],
    TRUE, "Sin clasificación"
)</f>
        <v>Sin clasificación</v>
      </c>
      <c r="G538" s="15"/>
      <c r="H538" s="47"/>
      <c r="I538" s="87"/>
      <c r="J538" s="78"/>
      <c r="K538" s="78"/>
      <c r="L538" s="78"/>
      <c r="M538" s="78"/>
      <c r="N538" s="76"/>
      <c r="O538" s="76"/>
      <c r="P538" s="78" t="str">
        <f>_xlfn.LET(
    _xlpm.itemBuscado, B538,
    _xlpm.areaBuscada, C538,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TEXT(COUNTIF($C$2:C538, _xlpm.areaBuscada), "0000"),
    _xlpm.codItem &amp; "-" &amp; _xlpm.codArea &amp; "-" &amp; _xlpm.secuencia
)</f>
        <v>-SinArea-0000</v>
      </c>
      <c r="Q538" s="77"/>
      <c r="R538" s="32"/>
      <c r="S538" s="32"/>
      <c r="T538" s="32"/>
      <c r="U538" s="32"/>
    </row>
    <row r="539" spans="3:21" x14ac:dyDescent="0.3">
      <c r="C539" s="11"/>
      <c r="D539" s="32"/>
      <c r="E539" s="11" t="str" cm="1">
        <f t="array" ref="E539">_xlfn.IFS(
    COUNTIF(Herramientas_eléctricas1862[Herramientas_eléctricas], B539) &gt; 0, Herramientas_eléctricas1862[[#Headers],[Herramientas_eléctricas]],
    COUNTIF(Herramientas_neumáticas1963[Herramientas_neumáticas], B539) &gt; 0, Herramientas_neumáticas1963[[#Headers],[Herramientas_neumáticas]],
    COUNTIF(Herramientas_de_medición2064[Herramientas_de_medición], B539) &gt; 0, Herramientas_de_medición2064[[#Headers],[Herramientas_de_medición]],
    COUNTIF(Herrramientas_mecánicas2165[Herramientas_mecánicas], B539) &gt; 0, Herrramientas_mecánicas2165[[#Headers],[Herramientas_mecánicas]],
    COUNTIF(AK539:AK545, B539) &gt; 0, Herramientas_hidráulicas2266[[#Headers],[Herramientas_hidráulicas]],
    COUNTIF(EPP_2367[SPCC], B539) &gt; 0, EPP_2367[[#Headers],[SPCC]],
   COUNTIF(Herramientas_de_izaje2468[Herramientas_de_izaje], B539) &gt; 0, Herramientas_de_izaje2468[[#Headers],[Herramientas_de_izaje]],
COUNTIF(Tabla162670[Equipos], B539) &gt; 0, Tabla162670[[#Headers],[Equipos]],
    TRUE, "Sin clasificación"
)</f>
        <v>Sin clasificación</v>
      </c>
      <c r="G539" s="15"/>
      <c r="H539" s="47"/>
      <c r="I539" s="87"/>
      <c r="J539" s="78"/>
      <c r="K539" s="78"/>
      <c r="L539" s="78"/>
      <c r="M539" s="78"/>
      <c r="N539" s="76"/>
      <c r="O539" s="76"/>
      <c r="P539" s="78" t="str">
        <f>_xlfn.LET(
    _xlpm.itemBuscado, B539,
    _xlpm.areaBuscada, C539,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TEXT(COUNTIF($C$2:C539, _xlpm.areaBuscada), "0000"),
    _xlpm.codItem &amp; "-" &amp; _xlpm.codArea &amp; "-" &amp; _xlpm.secuencia
)</f>
        <v>-SinArea-0000</v>
      </c>
      <c r="Q539" s="77"/>
      <c r="R539" s="32"/>
      <c r="S539" s="32"/>
      <c r="T539" s="32"/>
      <c r="U539" s="32"/>
    </row>
    <row r="540" spans="3:21" x14ac:dyDescent="0.3">
      <c r="C540" s="11"/>
      <c r="D540" s="32"/>
      <c r="E540" s="11" t="str" cm="1">
        <f t="array" ref="E540">_xlfn.IFS(
    COUNTIF(Herramientas_eléctricas1862[Herramientas_eléctricas], B540) &gt; 0, Herramientas_eléctricas1862[[#Headers],[Herramientas_eléctricas]],
    COUNTIF(Herramientas_neumáticas1963[Herramientas_neumáticas], B540) &gt; 0, Herramientas_neumáticas1963[[#Headers],[Herramientas_neumáticas]],
    COUNTIF(Herramientas_de_medición2064[Herramientas_de_medición], B540) &gt; 0, Herramientas_de_medición2064[[#Headers],[Herramientas_de_medición]],
    COUNTIF(Herrramientas_mecánicas2165[Herramientas_mecánicas], B540) &gt; 0, Herrramientas_mecánicas2165[[#Headers],[Herramientas_mecánicas]],
    COUNTIF(AK540:AK546, B540) &gt; 0, Herramientas_hidráulicas2266[[#Headers],[Herramientas_hidráulicas]],
    COUNTIF(EPP_2367[SPCC], B540) &gt; 0, EPP_2367[[#Headers],[SPCC]],
   COUNTIF(Herramientas_de_izaje2468[Herramientas_de_izaje], B540) &gt; 0, Herramientas_de_izaje2468[[#Headers],[Herramientas_de_izaje]],
COUNTIF(Tabla162670[Equipos], B540) &gt; 0, Tabla162670[[#Headers],[Equipos]],
    TRUE, "Sin clasificación"
)</f>
        <v>Sin clasificación</v>
      </c>
      <c r="G540" s="15"/>
      <c r="H540" s="47"/>
      <c r="I540" s="87"/>
      <c r="J540" s="78"/>
      <c r="K540" s="78"/>
      <c r="L540" s="78"/>
      <c r="M540" s="78"/>
      <c r="N540" s="76"/>
      <c r="O540" s="76"/>
      <c r="P540" s="78" t="str">
        <f>_xlfn.LET(
    _xlpm.itemBuscado, B540,
    _xlpm.areaBuscada, C540,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TEXT(COUNTIF($C$2:C540, _xlpm.areaBuscada), "0000"),
    _xlpm.codItem &amp; "-" &amp; _xlpm.codArea &amp; "-" &amp; _xlpm.secuencia
)</f>
        <v>-SinArea-0000</v>
      </c>
      <c r="Q540" s="77"/>
      <c r="R540" s="32"/>
      <c r="S540" s="32"/>
      <c r="T540" s="32"/>
      <c r="U540" s="32"/>
    </row>
    <row r="541" spans="3:21" x14ac:dyDescent="0.3">
      <c r="C541" s="11"/>
      <c r="D541" s="32"/>
      <c r="E541" s="11" t="str" cm="1">
        <f t="array" ref="E541">_xlfn.IFS(
    COUNTIF(Herramientas_eléctricas1862[Herramientas_eléctricas], B541) &gt; 0, Herramientas_eléctricas1862[[#Headers],[Herramientas_eléctricas]],
    COUNTIF(Herramientas_neumáticas1963[Herramientas_neumáticas], B541) &gt; 0, Herramientas_neumáticas1963[[#Headers],[Herramientas_neumáticas]],
    COUNTIF(Herramientas_de_medición2064[Herramientas_de_medición], B541) &gt; 0, Herramientas_de_medición2064[[#Headers],[Herramientas_de_medición]],
    COUNTIF(Herrramientas_mecánicas2165[Herramientas_mecánicas], B541) &gt; 0, Herrramientas_mecánicas2165[[#Headers],[Herramientas_mecánicas]],
    COUNTIF(AK541:AK547, B541) &gt; 0, Herramientas_hidráulicas2266[[#Headers],[Herramientas_hidráulicas]],
    COUNTIF(EPP_2367[SPCC], B541) &gt; 0, EPP_2367[[#Headers],[SPCC]],
   COUNTIF(Herramientas_de_izaje2468[Herramientas_de_izaje], B541) &gt; 0, Herramientas_de_izaje2468[[#Headers],[Herramientas_de_izaje]],
COUNTIF(Tabla162670[Equipos], B541) &gt; 0, Tabla162670[[#Headers],[Equipos]],
    TRUE, "Sin clasificación"
)</f>
        <v>Sin clasificación</v>
      </c>
      <c r="G541" s="15"/>
      <c r="H541" s="47"/>
      <c r="I541" s="87"/>
      <c r="J541" s="78"/>
      <c r="K541" s="78"/>
      <c r="L541" s="78"/>
      <c r="M541" s="78"/>
      <c r="N541" s="76"/>
      <c r="O541" s="76"/>
      <c r="P541" s="78" t="str">
        <f>_xlfn.LET(
    _xlpm.itemBuscado, B541,
    _xlpm.areaBuscada, C541,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TEXT(COUNTIF($C$2:C541, _xlpm.areaBuscada), "0000"),
    _xlpm.codItem &amp; "-" &amp; _xlpm.codArea &amp; "-" &amp; _xlpm.secuencia
)</f>
        <v>-SinArea-0000</v>
      </c>
      <c r="Q541" s="77"/>
      <c r="R541" s="32"/>
      <c r="S541" s="32"/>
      <c r="T541" s="32"/>
      <c r="U541" s="32"/>
    </row>
    <row r="542" spans="3:21" x14ac:dyDescent="0.3">
      <c r="C542" s="11"/>
      <c r="D542" s="32"/>
      <c r="E542" s="11" t="str" cm="1">
        <f t="array" ref="E542">_xlfn.IFS(
    COUNTIF(Herramientas_eléctricas1862[Herramientas_eléctricas], B542) &gt; 0, Herramientas_eléctricas1862[[#Headers],[Herramientas_eléctricas]],
    COUNTIF(Herramientas_neumáticas1963[Herramientas_neumáticas], B542) &gt; 0, Herramientas_neumáticas1963[[#Headers],[Herramientas_neumáticas]],
    COUNTIF(Herramientas_de_medición2064[Herramientas_de_medición], B542) &gt; 0, Herramientas_de_medición2064[[#Headers],[Herramientas_de_medición]],
    COUNTIF(Herrramientas_mecánicas2165[Herramientas_mecánicas], B542) &gt; 0, Herrramientas_mecánicas2165[[#Headers],[Herramientas_mecánicas]],
    COUNTIF(AK542:AK548, B542) &gt; 0, Herramientas_hidráulicas2266[[#Headers],[Herramientas_hidráulicas]],
    COUNTIF(EPP_2367[SPCC], B542) &gt; 0, EPP_2367[[#Headers],[SPCC]],
   COUNTIF(Herramientas_de_izaje2468[Herramientas_de_izaje], B542) &gt; 0, Herramientas_de_izaje2468[[#Headers],[Herramientas_de_izaje]],
COUNTIF(Tabla162670[Equipos], B542) &gt; 0, Tabla162670[[#Headers],[Equipos]],
    TRUE, "Sin clasificación"
)</f>
        <v>Sin clasificación</v>
      </c>
      <c r="G542" s="15"/>
      <c r="H542" s="47"/>
      <c r="I542" s="87"/>
      <c r="J542" s="78"/>
      <c r="K542" s="78"/>
      <c r="L542" s="78"/>
      <c r="M542" s="78"/>
      <c r="N542" s="76"/>
      <c r="O542" s="76"/>
      <c r="P542" s="78" t="str">
        <f>_xlfn.LET(
    _xlpm.itemBuscado, B542,
    _xlpm.areaBuscada, C542,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TEXT(COUNTIF($C$2:C542, _xlpm.areaBuscada), "0000"),
    _xlpm.codItem &amp; "-" &amp; _xlpm.codArea &amp; "-" &amp; _xlpm.secuencia
)</f>
        <v>-SinArea-0000</v>
      </c>
      <c r="Q542" s="77"/>
      <c r="R542" s="32"/>
      <c r="S542" s="32"/>
      <c r="T542" s="32"/>
      <c r="U542" s="32"/>
    </row>
    <row r="543" spans="3:21" x14ac:dyDescent="0.3">
      <c r="C543" s="11"/>
      <c r="D543" s="32"/>
      <c r="E543" s="11" t="str" cm="1">
        <f t="array" ref="E543">_xlfn.IFS(
    COUNTIF(Herramientas_eléctricas1862[Herramientas_eléctricas], B543) &gt; 0, Herramientas_eléctricas1862[[#Headers],[Herramientas_eléctricas]],
    COUNTIF(Herramientas_neumáticas1963[Herramientas_neumáticas], B543) &gt; 0, Herramientas_neumáticas1963[[#Headers],[Herramientas_neumáticas]],
    COUNTIF(Herramientas_de_medición2064[Herramientas_de_medición], B543) &gt; 0, Herramientas_de_medición2064[[#Headers],[Herramientas_de_medición]],
    COUNTIF(Herrramientas_mecánicas2165[Herramientas_mecánicas], B543) &gt; 0, Herrramientas_mecánicas2165[[#Headers],[Herramientas_mecánicas]],
    COUNTIF(AK543:AK549, B543) &gt; 0, Herramientas_hidráulicas2266[[#Headers],[Herramientas_hidráulicas]],
    COUNTIF(EPP_2367[SPCC], B543) &gt; 0, EPP_2367[[#Headers],[SPCC]],
   COUNTIF(Herramientas_de_izaje2468[Herramientas_de_izaje], B543) &gt; 0, Herramientas_de_izaje2468[[#Headers],[Herramientas_de_izaje]],
COUNTIF(Tabla162670[Equipos], B543) &gt; 0, Tabla162670[[#Headers],[Equipos]],
    TRUE, "Sin clasificación"
)</f>
        <v>Sin clasificación</v>
      </c>
      <c r="G543" s="15"/>
      <c r="H543" s="47"/>
      <c r="I543" s="87"/>
      <c r="J543" s="78"/>
      <c r="K543" s="78"/>
      <c r="L543" s="78"/>
      <c r="M543" s="78"/>
      <c r="N543" s="76"/>
      <c r="O543" s="76"/>
      <c r="P543" s="78" t="str">
        <f>_xlfn.LET(
    _xlpm.itemBuscado, B543,
    _xlpm.areaBuscada, C543,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TEXT(COUNTIF($C$2:C543, _xlpm.areaBuscada), "0000"),
    _xlpm.codItem &amp; "-" &amp; _xlpm.codArea &amp; "-" &amp; _xlpm.secuencia
)</f>
        <v>-SinArea-0000</v>
      </c>
      <c r="Q543" s="77"/>
      <c r="R543" s="32"/>
      <c r="S543" s="32"/>
      <c r="T543" s="32"/>
      <c r="U543" s="32"/>
    </row>
    <row r="544" spans="3:21" x14ac:dyDescent="0.3">
      <c r="C544" s="11"/>
      <c r="D544" s="32"/>
      <c r="E544" s="11" t="str" cm="1">
        <f t="array" ref="E544">_xlfn.IFS(
    COUNTIF(Herramientas_eléctricas1862[Herramientas_eléctricas], B544) &gt; 0, Herramientas_eléctricas1862[[#Headers],[Herramientas_eléctricas]],
    COUNTIF(Herramientas_neumáticas1963[Herramientas_neumáticas], B544) &gt; 0, Herramientas_neumáticas1963[[#Headers],[Herramientas_neumáticas]],
    COUNTIF(Herramientas_de_medición2064[Herramientas_de_medición], B544) &gt; 0, Herramientas_de_medición2064[[#Headers],[Herramientas_de_medición]],
    COUNTIF(Herrramientas_mecánicas2165[Herramientas_mecánicas], B544) &gt; 0, Herrramientas_mecánicas2165[[#Headers],[Herramientas_mecánicas]],
    COUNTIF(AK544:AK550, B544) &gt; 0, Herramientas_hidráulicas2266[[#Headers],[Herramientas_hidráulicas]],
    COUNTIF(EPP_2367[SPCC], B544) &gt; 0, EPP_2367[[#Headers],[SPCC]],
   COUNTIF(Herramientas_de_izaje2468[Herramientas_de_izaje], B544) &gt; 0, Herramientas_de_izaje2468[[#Headers],[Herramientas_de_izaje]],
COUNTIF(Tabla162670[Equipos], B544) &gt; 0, Tabla162670[[#Headers],[Equipos]],
    TRUE, "Sin clasificación"
)</f>
        <v>Sin clasificación</v>
      </c>
      <c r="G544" s="15"/>
      <c r="H544" s="47"/>
      <c r="I544" s="87"/>
      <c r="J544" s="78"/>
      <c r="K544" s="78"/>
      <c r="L544" s="78"/>
      <c r="M544" s="78"/>
      <c r="N544" s="76"/>
      <c r="O544" s="76"/>
      <c r="P544" s="78" t="str">
        <f>_xlfn.LET(
    _xlpm.itemBuscado, B544,
    _xlpm.areaBuscada, C544,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TEXT(COUNTIF($C$2:C544, _xlpm.areaBuscada), "0000"),
    _xlpm.codItem &amp; "-" &amp; _xlpm.codArea &amp; "-" &amp; _xlpm.secuencia
)</f>
        <v>-SinArea-0000</v>
      </c>
      <c r="Q544" s="77"/>
      <c r="R544" s="32"/>
      <c r="S544" s="32"/>
      <c r="T544" s="32"/>
      <c r="U544" s="32"/>
    </row>
    <row r="545" spans="3:21" x14ac:dyDescent="0.3">
      <c r="C545" s="11"/>
      <c r="D545" s="32"/>
      <c r="E545" s="11" t="str" cm="1">
        <f t="array" ref="E545">_xlfn.IFS(
    COUNTIF(Herramientas_eléctricas1862[Herramientas_eléctricas], B545) &gt; 0, Herramientas_eléctricas1862[[#Headers],[Herramientas_eléctricas]],
    COUNTIF(Herramientas_neumáticas1963[Herramientas_neumáticas], B545) &gt; 0, Herramientas_neumáticas1963[[#Headers],[Herramientas_neumáticas]],
    COUNTIF(Herramientas_de_medición2064[Herramientas_de_medición], B545) &gt; 0, Herramientas_de_medición2064[[#Headers],[Herramientas_de_medición]],
    COUNTIF(Herrramientas_mecánicas2165[Herramientas_mecánicas], B545) &gt; 0, Herrramientas_mecánicas2165[[#Headers],[Herramientas_mecánicas]],
    COUNTIF(AK545:AK551, B545) &gt; 0, Herramientas_hidráulicas2266[[#Headers],[Herramientas_hidráulicas]],
    COUNTIF(EPP_2367[SPCC], B545) &gt; 0, EPP_2367[[#Headers],[SPCC]],
   COUNTIF(Herramientas_de_izaje2468[Herramientas_de_izaje], B545) &gt; 0, Herramientas_de_izaje2468[[#Headers],[Herramientas_de_izaje]],
COUNTIF(Tabla162670[Equipos], B545) &gt; 0, Tabla162670[[#Headers],[Equipos]],
    TRUE, "Sin clasificación"
)</f>
        <v>Sin clasificación</v>
      </c>
      <c r="G545" s="15"/>
      <c r="H545" s="47"/>
      <c r="I545" s="87"/>
      <c r="J545" s="78"/>
      <c r="K545" s="78"/>
      <c r="L545" s="78"/>
      <c r="M545" s="78"/>
      <c r="N545" s="76"/>
      <c r="O545" s="76"/>
      <c r="P545" s="78" t="str">
        <f>_xlfn.LET(
    _xlpm.itemBuscado, B545,
    _xlpm.areaBuscada, C545,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TEXT(COUNTIF($C$2:C545, _xlpm.areaBuscada), "0000"),
    _xlpm.codItem &amp; "-" &amp; _xlpm.codArea &amp; "-" &amp; _xlpm.secuencia
)</f>
        <v>-SinArea-0000</v>
      </c>
      <c r="Q545" s="77"/>
      <c r="R545" s="32"/>
      <c r="S545" s="32"/>
      <c r="T545" s="32"/>
      <c r="U545" s="32"/>
    </row>
    <row r="546" spans="3:21" x14ac:dyDescent="0.3">
      <c r="C546" s="11"/>
      <c r="D546" s="32"/>
      <c r="E546" s="11" t="str" cm="1">
        <f t="array" ref="E546">_xlfn.IFS(
    COUNTIF(Herramientas_eléctricas1862[Herramientas_eléctricas], B546) &gt; 0, Herramientas_eléctricas1862[[#Headers],[Herramientas_eléctricas]],
    COUNTIF(Herramientas_neumáticas1963[Herramientas_neumáticas], B546) &gt; 0, Herramientas_neumáticas1963[[#Headers],[Herramientas_neumáticas]],
    COUNTIF(Herramientas_de_medición2064[Herramientas_de_medición], B546) &gt; 0, Herramientas_de_medición2064[[#Headers],[Herramientas_de_medición]],
    COUNTIF(Herrramientas_mecánicas2165[Herramientas_mecánicas], B546) &gt; 0, Herrramientas_mecánicas2165[[#Headers],[Herramientas_mecánicas]],
    COUNTIF(AK546:AK552, B546) &gt; 0, Herramientas_hidráulicas2266[[#Headers],[Herramientas_hidráulicas]],
    COUNTIF(EPP_2367[SPCC], B546) &gt; 0, EPP_2367[[#Headers],[SPCC]],
   COUNTIF(Herramientas_de_izaje2468[Herramientas_de_izaje], B546) &gt; 0, Herramientas_de_izaje2468[[#Headers],[Herramientas_de_izaje]],
COUNTIF(Tabla162670[Equipos], B546) &gt; 0, Tabla162670[[#Headers],[Equipos]],
    TRUE, "Sin clasificación"
)</f>
        <v>Sin clasificación</v>
      </c>
      <c r="G546" s="15"/>
      <c r="H546" s="47"/>
      <c r="I546" s="87"/>
      <c r="J546" s="78"/>
      <c r="K546" s="78"/>
      <c r="L546" s="78"/>
      <c r="M546" s="78"/>
      <c r="N546" s="76"/>
      <c r="O546" s="76"/>
      <c r="P546" s="78" t="str">
        <f>_xlfn.LET(
    _xlpm.itemBuscado, B546,
    _xlpm.areaBuscada, C546,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TEXT(COUNTIF($C$2:C546, _xlpm.areaBuscada), "0000"),
    _xlpm.codItem &amp; "-" &amp; _xlpm.codArea &amp; "-" &amp; _xlpm.secuencia
)</f>
        <v>-SinArea-0000</v>
      </c>
      <c r="Q546" s="77"/>
      <c r="R546" s="32"/>
      <c r="S546" s="32"/>
      <c r="T546" s="32"/>
      <c r="U546" s="32"/>
    </row>
    <row r="547" spans="3:21" x14ac:dyDescent="0.3">
      <c r="C547" s="11"/>
      <c r="D547" s="32"/>
      <c r="E547" s="11" t="str" cm="1">
        <f t="array" ref="E547">_xlfn.IFS(
    COUNTIF(Herramientas_eléctricas1862[Herramientas_eléctricas], B547) &gt; 0, Herramientas_eléctricas1862[[#Headers],[Herramientas_eléctricas]],
    COUNTIF(Herramientas_neumáticas1963[Herramientas_neumáticas], B547) &gt; 0, Herramientas_neumáticas1963[[#Headers],[Herramientas_neumáticas]],
    COUNTIF(Herramientas_de_medición2064[Herramientas_de_medición], B547) &gt; 0, Herramientas_de_medición2064[[#Headers],[Herramientas_de_medición]],
    COUNTIF(Herrramientas_mecánicas2165[Herramientas_mecánicas], B547) &gt; 0, Herrramientas_mecánicas2165[[#Headers],[Herramientas_mecánicas]],
    COUNTIF(AK547:AK553, B547) &gt; 0, Herramientas_hidráulicas2266[[#Headers],[Herramientas_hidráulicas]],
    COUNTIF(EPP_2367[SPCC], B547) &gt; 0, EPP_2367[[#Headers],[SPCC]],
   COUNTIF(Herramientas_de_izaje2468[Herramientas_de_izaje], B547) &gt; 0, Herramientas_de_izaje2468[[#Headers],[Herramientas_de_izaje]],
COUNTIF(Tabla162670[Equipos], B547) &gt; 0, Tabla162670[[#Headers],[Equipos]],
    TRUE, "Sin clasificación"
)</f>
        <v>Sin clasificación</v>
      </c>
      <c r="G547" s="15"/>
      <c r="H547" s="47"/>
      <c r="I547" s="87"/>
      <c r="J547" s="78"/>
      <c r="K547" s="78"/>
      <c r="L547" s="78"/>
      <c r="M547" s="78"/>
      <c r="N547" s="76"/>
      <c r="O547" s="76"/>
      <c r="P547" s="78" t="str">
        <f>_xlfn.LET(
    _xlpm.itemBuscado, B547,
    _xlpm.areaBuscada, C547,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TEXT(COUNTIF($C$2:C547, _xlpm.areaBuscada), "0000"),
    _xlpm.codItem &amp; "-" &amp; _xlpm.codArea &amp; "-" &amp; _xlpm.secuencia
)</f>
        <v>-SinArea-0000</v>
      </c>
      <c r="Q547" s="77"/>
      <c r="R547" s="32"/>
      <c r="S547" s="32"/>
      <c r="T547" s="32"/>
      <c r="U547" s="32"/>
    </row>
    <row r="548" spans="3:21" x14ac:dyDescent="0.3">
      <c r="C548" s="11"/>
      <c r="D548" s="32"/>
      <c r="E548" s="11" t="str" cm="1">
        <f t="array" ref="E548">_xlfn.IFS(
    COUNTIF(Herramientas_eléctricas1862[Herramientas_eléctricas], B548) &gt; 0, Herramientas_eléctricas1862[[#Headers],[Herramientas_eléctricas]],
    COUNTIF(Herramientas_neumáticas1963[Herramientas_neumáticas], B548) &gt; 0, Herramientas_neumáticas1963[[#Headers],[Herramientas_neumáticas]],
    COUNTIF(Herramientas_de_medición2064[Herramientas_de_medición], B548) &gt; 0, Herramientas_de_medición2064[[#Headers],[Herramientas_de_medición]],
    COUNTIF(Herrramientas_mecánicas2165[Herramientas_mecánicas], B548) &gt; 0, Herrramientas_mecánicas2165[[#Headers],[Herramientas_mecánicas]],
    COUNTIF(AK548:AK554, B548) &gt; 0, Herramientas_hidráulicas2266[[#Headers],[Herramientas_hidráulicas]],
    COUNTIF(EPP_2367[SPCC], B548) &gt; 0, EPP_2367[[#Headers],[SPCC]],
   COUNTIF(Herramientas_de_izaje2468[Herramientas_de_izaje], B548) &gt; 0, Herramientas_de_izaje2468[[#Headers],[Herramientas_de_izaje]],
COUNTIF(Tabla162670[Equipos], B548) &gt; 0, Tabla162670[[#Headers],[Equipos]],
    TRUE, "Sin clasificación"
)</f>
        <v>Sin clasificación</v>
      </c>
      <c r="G548" s="15"/>
      <c r="H548" s="47"/>
      <c r="I548" s="87"/>
      <c r="J548" s="78"/>
      <c r="K548" s="78"/>
      <c r="L548" s="78"/>
      <c r="M548" s="78"/>
      <c r="N548" s="76"/>
      <c r="O548" s="76"/>
      <c r="P548" s="78" t="str">
        <f>_xlfn.LET(
    _xlpm.itemBuscado, B548,
    _xlpm.areaBuscada, C548,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TEXT(COUNTIF($C$2:C548, _xlpm.areaBuscada), "0000"),
    _xlpm.codItem &amp; "-" &amp; _xlpm.codArea &amp; "-" &amp; _xlpm.secuencia
)</f>
        <v>-SinArea-0000</v>
      </c>
      <c r="Q548" s="77"/>
      <c r="R548" s="32"/>
      <c r="S548" s="32"/>
      <c r="T548" s="32"/>
      <c r="U548" s="32"/>
    </row>
    <row r="549" spans="3:21" x14ac:dyDescent="0.3">
      <c r="C549" s="11"/>
      <c r="D549" s="32"/>
      <c r="E549" s="11" t="str" cm="1">
        <f t="array" ref="E549">_xlfn.IFS(
    COUNTIF(Herramientas_eléctricas1862[Herramientas_eléctricas], B549) &gt; 0, Herramientas_eléctricas1862[[#Headers],[Herramientas_eléctricas]],
    COUNTIF(Herramientas_neumáticas1963[Herramientas_neumáticas], B549) &gt; 0, Herramientas_neumáticas1963[[#Headers],[Herramientas_neumáticas]],
    COUNTIF(Herramientas_de_medición2064[Herramientas_de_medición], B549) &gt; 0, Herramientas_de_medición2064[[#Headers],[Herramientas_de_medición]],
    COUNTIF(Herrramientas_mecánicas2165[Herramientas_mecánicas], B549) &gt; 0, Herrramientas_mecánicas2165[[#Headers],[Herramientas_mecánicas]],
    COUNTIF(AK549:AK555, B549) &gt; 0, Herramientas_hidráulicas2266[[#Headers],[Herramientas_hidráulicas]],
    COUNTIF(EPP_2367[SPCC], B549) &gt; 0, EPP_2367[[#Headers],[SPCC]],
   COUNTIF(Herramientas_de_izaje2468[Herramientas_de_izaje], B549) &gt; 0, Herramientas_de_izaje2468[[#Headers],[Herramientas_de_izaje]],
COUNTIF(Tabla162670[Equipos], B549) &gt; 0, Tabla162670[[#Headers],[Equipos]],
    TRUE, "Sin clasificación"
)</f>
        <v>Sin clasificación</v>
      </c>
      <c r="G549" s="15"/>
      <c r="H549" s="47"/>
      <c r="I549" s="87"/>
      <c r="J549" s="78"/>
      <c r="K549" s="78"/>
      <c r="L549" s="78"/>
      <c r="M549" s="78"/>
      <c r="N549" s="76"/>
      <c r="O549" s="76"/>
      <c r="P549" s="78" t="str">
        <f>_xlfn.LET(
    _xlpm.itemBuscado, B549,
    _xlpm.areaBuscada, C549,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TEXT(COUNTIF($C$2:C549, _xlpm.areaBuscada), "0000"),
    _xlpm.codItem &amp; "-" &amp; _xlpm.codArea &amp; "-" &amp; _xlpm.secuencia
)</f>
        <v>-SinArea-0000</v>
      </c>
      <c r="Q549" s="77"/>
      <c r="R549" s="32"/>
      <c r="S549" s="32"/>
      <c r="T549" s="32"/>
      <c r="U549" s="32"/>
    </row>
    <row r="550" spans="3:21" x14ac:dyDescent="0.3">
      <c r="C550" s="11"/>
      <c r="D550" s="32"/>
      <c r="E550" s="11" t="str" cm="1">
        <f t="array" ref="E550">_xlfn.IFS(
    COUNTIF(Herramientas_eléctricas1862[Herramientas_eléctricas], B550) &gt; 0, Herramientas_eléctricas1862[[#Headers],[Herramientas_eléctricas]],
    COUNTIF(Herramientas_neumáticas1963[Herramientas_neumáticas], B550) &gt; 0, Herramientas_neumáticas1963[[#Headers],[Herramientas_neumáticas]],
    COUNTIF(Herramientas_de_medición2064[Herramientas_de_medición], B550) &gt; 0, Herramientas_de_medición2064[[#Headers],[Herramientas_de_medición]],
    COUNTIF(Herrramientas_mecánicas2165[Herramientas_mecánicas], B550) &gt; 0, Herrramientas_mecánicas2165[[#Headers],[Herramientas_mecánicas]],
    COUNTIF(AK550:AK556, B550) &gt; 0, Herramientas_hidráulicas2266[[#Headers],[Herramientas_hidráulicas]],
    COUNTIF(EPP_2367[SPCC], B550) &gt; 0, EPP_2367[[#Headers],[SPCC]],
   COUNTIF(Herramientas_de_izaje2468[Herramientas_de_izaje], B550) &gt; 0, Herramientas_de_izaje2468[[#Headers],[Herramientas_de_izaje]],
COUNTIF(Tabla162670[Equipos], B550) &gt; 0, Tabla162670[[#Headers],[Equipos]],
    TRUE, "Sin clasificación"
)</f>
        <v>Sin clasificación</v>
      </c>
      <c r="G550" s="15"/>
      <c r="H550" s="47"/>
      <c r="I550" s="87"/>
      <c r="J550" s="78"/>
      <c r="K550" s="78"/>
      <c r="L550" s="78"/>
      <c r="M550" s="78"/>
      <c r="N550" s="76"/>
      <c r="O550" s="76"/>
      <c r="P550" s="78" t="str">
        <f>_xlfn.LET(
    _xlpm.itemBuscado, B550,
    _xlpm.areaBuscada, C550,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TEXT(COUNTIF($C$2:C550, _xlpm.areaBuscada), "0000"),
    _xlpm.codItem &amp; "-" &amp; _xlpm.codArea &amp; "-" &amp; _xlpm.secuencia
)</f>
        <v>-SinArea-0000</v>
      </c>
      <c r="Q550" s="77"/>
      <c r="R550" s="32"/>
      <c r="S550" s="32"/>
      <c r="T550" s="32"/>
      <c r="U550" s="32"/>
    </row>
    <row r="551" spans="3:21" x14ac:dyDescent="0.3">
      <c r="C551" s="11"/>
      <c r="D551" s="32"/>
      <c r="E551" s="11" t="str" cm="1">
        <f t="array" ref="E551">_xlfn.IFS(
    COUNTIF(Herramientas_eléctricas1862[Herramientas_eléctricas], B551) &gt; 0, Herramientas_eléctricas1862[[#Headers],[Herramientas_eléctricas]],
    COUNTIF(Herramientas_neumáticas1963[Herramientas_neumáticas], B551) &gt; 0, Herramientas_neumáticas1963[[#Headers],[Herramientas_neumáticas]],
    COUNTIF(Herramientas_de_medición2064[Herramientas_de_medición], B551) &gt; 0, Herramientas_de_medición2064[[#Headers],[Herramientas_de_medición]],
    COUNTIF(Herrramientas_mecánicas2165[Herramientas_mecánicas], B551) &gt; 0, Herrramientas_mecánicas2165[[#Headers],[Herramientas_mecánicas]],
    COUNTIF(AK551:AK557, B551) &gt; 0, Herramientas_hidráulicas2266[[#Headers],[Herramientas_hidráulicas]],
    COUNTIF(EPP_2367[SPCC], B551) &gt; 0, EPP_2367[[#Headers],[SPCC]],
   COUNTIF(Herramientas_de_izaje2468[Herramientas_de_izaje], B551) &gt; 0, Herramientas_de_izaje2468[[#Headers],[Herramientas_de_izaje]],
COUNTIF(Tabla162670[Equipos], B551) &gt; 0, Tabla162670[[#Headers],[Equipos]],
    TRUE, "Sin clasificación"
)</f>
        <v>Sin clasificación</v>
      </c>
      <c r="G551" s="15"/>
      <c r="H551" s="47"/>
      <c r="I551" s="87"/>
      <c r="J551" s="78"/>
      <c r="K551" s="78"/>
      <c r="L551" s="78"/>
      <c r="M551" s="78"/>
      <c r="N551" s="76"/>
      <c r="O551" s="76"/>
      <c r="P551" s="78" t="str">
        <f>_xlfn.LET(
    _xlpm.itemBuscado, B551,
    _xlpm.areaBuscada, C551,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TEXT(COUNTIF($C$2:C551, _xlpm.areaBuscada), "0000"),
    _xlpm.codItem &amp; "-" &amp; _xlpm.codArea &amp; "-" &amp; _xlpm.secuencia
)</f>
        <v>-SinArea-0000</v>
      </c>
      <c r="Q551" s="77"/>
      <c r="R551" s="32"/>
      <c r="S551" s="32"/>
      <c r="T551" s="32"/>
      <c r="U551" s="32"/>
    </row>
    <row r="552" spans="3:21" x14ac:dyDescent="0.3">
      <c r="C552" s="11"/>
      <c r="D552" s="32"/>
      <c r="E552" s="11" t="str" cm="1">
        <f t="array" ref="E552">_xlfn.IFS(
    COUNTIF(Herramientas_eléctricas1862[Herramientas_eléctricas], B552) &gt; 0, Herramientas_eléctricas1862[[#Headers],[Herramientas_eléctricas]],
    COUNTIF(Herramientas_neumáticas1963[Herramientas_neumáticas], B552) &gt; 0, Herramientas_neumáticas1963[[#Headers],[Herramientas_neumáticas]],
    COUNTIF(Herramientas_de_medición2064[Herramientas_de_medición], B552) &gt; 0, Herramientas_de_medición2064[[#Headers],[Herramientas_de_medición]],
    COUNTIF(Herrramientas_mecánicas2165[Herramientas_mecánicas], B552) &gt; 0, Herrramientas_mecánicas2165[[#Headers],[Herramientas_mecánicas]],
    COUNTIF(AK552:AK558, B552) &gt; 0, Herramientas_hidráulicas2266[[#Headers],[Herramientas_hidráulicas]],
    COUNTIF(EPP_2367[SPCC], B552) &gt; 0, EPP_2367[[#Headers],[SPCC]],
   COUNTIF(Herramientas_de_izaje2468[Herramientas_de_izaje], B552) &gt; 0, Herramientas_de_izaje2468[[#Headers],[Herramientas_de_izaje]],
COUNTIF(Tabla162670[Equipos], B552) &gt; 0, Tabla162670[[#Headers],[Equipos]],
    TRUE, "Sin clasificación"
)</f>
        <v>Sin clasificación</v>
      </c>
      <c r="G552" s="15"/>
      <c r="H552" s="47"/>
      <c r="I552" s="87"/>
      <c r="J552" s="78"/>
      <c r="K552" s="78"/>
      <c r="L552" s="78"/>
      <c r="M552" s="78"/>
      <c r="N552" s="76"/>
      <c r="O552" s="76"/>
      <c r="P552" s="78" t="str">
        <f>_xlfn.LET(
    _xlpm.itemBuscado, B552,
    _xlpm.areaBuscada, C552,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TEXT(COUNTIF($C$2:C552, _xlpm.areaBuscada), "0000"),
    _xlpm.codItem &amp; "-" &amp; _xlpm.codArea &amp; "-" &amp; _xlpm.secuencia
)</f>
        <v>-SinArea-0000</v>
      </c>
      <c r="Q552" s="77"/>
      <c r="R552" s="32"/>
      <c r="S552" s="32"/>
      <c r="T552" s="32"/>
      <c r="U552" s="32"/>
    </row>
    <row r="553" spans="3:21" x14ac:dyDescent="0.3">
      <c r="C553" s="11"/>
      <c r="D553" s="32"/>
      <c r="E553" s="11" t="str" cm="1">
        <f t="array" ref="E553">_xlfn.IFS(
    COUNTIF(Herramientas_eléctricas1862[Herramientas_eléctricas], B553) &gt; 0, Herramientas_eléctricas1862[[#Headers],[Herramientas_eléctricas]],
    COUNTIF(Herramientas_neumáticas1963[Herramientas_neumáticas], B553) &gt; 0, Herramientas_neumáticas1963[[#Headers],[Herramientas_neumáticas]],
    COUNTIF(Herramientas_de_medición2064[Herramientas_de_medición], B553) &gt; 0, Herramientas_de_medición2064[[#Headers],[Herramientas_de_medición]],
    COUNTIF(Herrramientas_mecánicas2165[Herramientas_mecánicas], B553) &gt; 0, Herrramientas_mecánicas2165[[#Headers],[Herramientas_mecánicas]],
    COUNTIF(AK553:AK559, B553) &gt; 0, Herramientas_hidráulicas2266[[#Headers],[Herramientas_hidráulicas]],
    COUNTIF(EPP_2367[SPCC], B553) &gt; 0, EPP_2367[[#Headers],[SPCC]],
   COUNTIF(Herramientas_de_izaje2468[Herramientas_de_izaje], B553) &gt; 0, Herramientas_de_izaje2468[[#Headers],[Herramientas_de_izaje]],
COUNTIF(Tabla162670[Equipos], B553) &gt; 0, Tabla162670[[#Headers],[Equipos]],
    TRUE, "Sin clasificación"
)</f>
        <v>Sin clasificación</v>
      </c>
      <c r="G553" s="15"/>
      <c r="H553" s="47"/>
      <c r="I553" s="87"/>
      <c r="J553" s="78"/>
      <c r="K553" s="78"/>
      <c r="L553" s="78"/>
      <c r="M553" s="78"/>
      <c r="N553" s="76"/>
      <c r="O553" s="76"/>
      <c r="P553" s="78" t="str">
        <f>_xlfn.LET(
    _xlpm.itemBuscado, B553,
    _xlpm.areaBuscada, C553,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TEXT(COUNTIF($C$2:C553, _xlpm.areaBuscada), "0000"),
    _xlpm.codItem &amp; "-" &amp; _xlpm.codArea &amp; "-" &amp; _xlpm.secuencia
)</f>
        <v>-SinArea-0000</v>
      </c>
      <c r="Q553" s="77"/>
      <c r="R553" s="32"/>
      <c r="S553" s="32"/>
      <c r="T553" s="32"/>
      <c r="U553" s="32"/>
    </row>
    <row r="554" spans="3:21" x14ac:dyDescent="0.3">
      <c r="C554" s="11"/>
      <c r="D554" s="32"/>
      <c r="E554" s="11" t="str" cm="1">
        <f t="array" ref="E554">_xlfn.IFS(
    COUNTIF(Herramientas_eléctricas1862[Herramientas_eléctricas], B554) &gt; 0, Herramientas_eléctricas1862[[#Headers],[Herramientas_eléctricas]],
    COUNTIF(Herramientas_neumáticas1963[Herramientas_neumáticas], B554) &gt; 0, Herramientas_neumáticas1963[[#Headers],[Herramientas_neumáticas]],
    COUNTIF(Herramientas_de_medición2064[Herramientas_de_medición], B554) &gt; 0, Herramientas_de_medición2064[[#Headers],[Herramientas_de_medición]],
    COUNTIF(Herrramientas_mecánicas2165[Herramientas_mecánicas], B554) &gt; 0, Herrramientas_mecánicas2165[[#Headers],[Herramientas_mecánicas]],
    COUNTIF(AK554:AK560, B554) &gt; 0, Herramientas_hidráulicas2266[[#Headers],[Herramientas_hidráulicas]],
    COUNTIF(EPP_2367[SPCC], B554) &gt; 0, EPP_2367[[#Headers],[SPCC]],
   COUNTIF(Herramientas_de_izaje2468[Herramientas_de_izaje], B554) &gt; 0, Herramientas_de_izaje2468[[#Headers],[Herramientas_de_izaje]],
COUNTIF(Tabla162670[Equipos], B554) &gt; 0, Tabla162670[[#Headers],[Equipos]],
    TRUE, "Sin clasificación"
)</f>
        <v>Sin clasificación</v>
      </c>
      <c r="G554" s="15"/>
      <c r="H554" s="47"/>
      <c r="I554" s="87"/>
      <c r="J554" s="78"/>
      <c r="K554" s="78"/>
      <c r="L554" s="78"/>
      <c r="M554" s="78"/>
      <c r="N554" s="76"/>
      <c r="O554" s="76"/>
      <c r="P554" s="78" t="str">
        <f>_xlfn.LET(
    _xlpm.itemBuscado, B554,
    _xlpm.areaBuscada, C554,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TEXT(COUNTIF($C$2:C554, _xlpm.areaBuscada), "0000"),
    _xlpm.codItem &amp; "-" &amp; _xlpm.codArea &amp; "-" &amp; _xlpm.secuencia
)</f>
        <v>-SinArea-0000</v>
      </c>
      <c r="Q554" s="77"/>
      <c r="R554" s="32"/>
      <c r="S554" s="32"/>
      <c r="T554" s="32"/>
      <c r="U554" s="32"/>
    </row>
    <row r="555" spans="3:21" x14ac:dyDescent="0.3">
      <c r="C555" s="11"/>
      <c r="D555" s="32"/>
      <c r="E555" s="11" t="str" cm="1">
        <f t="array" ref="E555">_xlfn.IFS(
    COUNTIF(Herramientas_eléctricas1862[Herramientas_eléctricas], B555) &gt; 0, Herramientas_eléctricas1862[[#Headers],[Herramientas_eléctricas]],
    COUNTIF(Herramientas_neumáticas1963[Herramientas_neumáticas], B555) &gt; 0, Herramientas_neumáticas1963[[#Headers],[Herramientas_neumáticas]],
    COUNTIF(Herramientas_de_medición2064[Herramientas_de_medición], B555) &gt; 0, Herramientas_de_medición2064[[#Headers],[Herramientas_de_medición]],
    COUNTIF(Herrramientas_mecánicas2165[Herramientas_mecánicas], B555) &gt; 0, Herrramientas_mecánicas2165[[#Headers],[Herramientas_mecánicas]],
    COUNTIF(AK555:AK561, B555) &gt; 0, Herramientas_hidráulicas2266[[#Headers],[Herramientas_hidráulicas]],
    COUNTIF(EPP_2367[SPCC], B555) &gt; 0, EPP_2367[[#Headers],[SPCC]],
   COUNTIF(Herramientas_de_izaje2468[Herramientas_de_izaje], B555) &gt; 0, Herramientas_de_izaje2468[[#Headers],[Herramientas_de_izaje]],
COUNTIF(Tabla162670[Equipos], B555) &gt; 0, Tabla162670[[#Headers],[Equipos]],
    TRUE, "Sin clasificación"
)</f>
        <v>Sin clasificación</v>
      </c>
      <c r="G555" s="15"/>
      <c r="H555" s="47"/>
      <c r="I555" s="87"/>
      <c r="J555" s="78"/>
      <c r="K555" s="78"/>
      <c r="L555" s="78"/>
      <c r="M555" s="78"/>
      <c r="N555" s="76"/>
      <c r="O555" s="76"/>
      <c r="P555" s="78" t="str">
        <f>_xlfn.LET(
    _xlpm.itemBuscado, B555,
    _xlpm.areaBuscada, C555,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TEXT(COUNTIF($C$2:C555, _xlpm.areaBuscada), "0000"),
    _xlpm.codItem &amp; "-" &amp; _xlpm.codArea &amp; "-" &amp; _xlpm.secuencia
)</f>
        <v>-SinArea-0000</v>
      </c>
      <c r="Q555" s="77"/>
      <c r="R555" s="32"/>
      <c r="S555" s="32"/>
      <c r="T555" s="32"/>
      <c r="U555" s="32"/>
    </row>
    <row r="556" spans="3:21" x14ac:dyDescent="0.3">
      <c r="C556" s="11"/>
      <c r="D556" s="32"/>
      <c r="E556" s="11" t="str" cm="1">
        <f t="array" ref="E556">_xlfn.IFS(
    COUNTIF(Herramientas_eléctricas1862[Herramientas_eléctricas], B556) &gt; 0, Herramientas_eléctricas1862[[#Headers],[Herramientas_eléctricas]],
    COUNTIF(Herramientas_neumáticas1963[Herramientas_neumáticas], B556) &gt; 0, Herramientas_neumáticas1963[[#Headers],[Herramientas_neumáticas]],
    COUNTIF(Herramientas_de_medición2064[Herramientas_de_medición], B556) &gt; 0, Herramientas_de_medición2064[[#Headers],[Herramientas_de_medición]],
    COUNTIF(Herrramientas_mecánicas2165[Herramientas_mecánicas], B556) &gt; 0, Herrramientas_mecánicas2165[[#Headers],[Herramientas_mecánicas]],
    COUNTIF(AK556:AK562, B556) &gt; 0, Herramientas_hidráulicas2266[[#Headers],[Herramientas_hidráulicas]],
    COUNTIF(EPP_2367[SPCC], B556) &gt; 0, EPP_2367[[#Headers],[SPCC]],
   COUNTIF(Herramientas_de_izaje2468[Herramientas_de_izaje], B556) &gt; 0, Herramientas_de_izaje2468[[#Headers],[Herramientas_de_izaje]],
COUNTIF(Tabla162670[Equipos], B556) &gt; 0, Tabla162670[[#Headers],[Equipos]],
    TRUE, "Sin clasificación"
)</f>
        <v>Sin clasificación</v>
      </c>
      <c r="G556" s="15"/>
      <c r="H556" s="47"/>
      <c r="I556" s="87"/>
      <c r="J556" s="78"/>
      <c r="K556" s="78"/>
      <c r="L556" s="78"/>
      <c r="M556" s="78"/>
      <c r="N556" s="76"/>
      <c r="O556" s="76"/>
      <c r="P556" s="78" t="str">
        <f>_xlfn.LET(
    _xlpm.itemBuscado, B556,
    _xlpm.areaBuscada, C556,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TEXT(COUNTIF($C$2:C556, _xlpm.areaBuscada), "0000"),
    _xlpm.codItem &amp; "-" &amp; _xlpm.codArea &amp; "-" &amp; _xlpm.secuencia
)</f>
        <v>-SinArea-0000</v>
      </c>
      <c r="Q556" s="77"/>
      <c r="R556" s="32"/>
      <c r="S556" s="32"/>
      <c r="T556" s="32"/>
      <c r="U556" s="32"/>
    </row>
    <row r="557" spans="3:21" x14ac:dyDescent="0.3">
      <c r="C557" s="11"/>
      <c r="D557" s="32"/>
      <c r="E557" s="11" t="str" cm="1">
        <f t="array" ref="E557">_xlfn.IFS(
    COUNTIF(Herramientas_eléctricas1862[Herramientas_eléctricas], B557) &gt; 0, Herramientas_eléctricas1862[[#Headers],[Herramientas_eléctricas]],
    COUNTIF(Herramientas_neumáticas1963[Herramientas_neumáticas], B557) &gt; 0, Herramientas_neumáticas1963[[#Headers],[Herramientas_neumáticas]],
    COUNTIF(Herramientas_de_medición2064[Herramientas_de_medición], B557) &gt; 0, Herramientas_de_medición2064[[#Headers],[Herramientas_de_medición]],
    COUNTIF(Herrramientas_mecánicas2165[Herramientas_mecánicas], B557) &gt; 0, Herrramientas_mecánicas2165[[#Headers],[Herramientas_mecánicas]],
    COUNTIF(AK557:AK563, B557) &gt; 0, Herramientas_hidráulicas2266[[#Headers],[Herramientas_hidráulicas]],
    COUNTIF(EPP_2367[SPCC], B557) &gt; 0, EPP_2367[[#Headers],[SPCC]],
   COUNTIF(Herramientas_de_izaje2468[Herramientas_de_izaje], B557) &gt; 0, Herramientas_de_izaje2468[[#Headers],[Herramientas_de_izaje]],
COUNTIF(Tabla162670[Equipos], B557) &gt; 0, Tabla162670[[#Headers],[Equipos]],
    TRUE, "Sin clasificación"
)</f>
        <v>Sin clasificación</v>
      </c>
      <c r="G557" s="15"/>
      <c r="H557" s="47"/>
      <c r="I557" s="87"/>
      <c r="J557" s="78"/>
      <c r="K557" s="78"/>
      <c r="L557" s="78"/>
      <c r="M557" s="78"/>
      <c r="N557" s="76"/>
      <c r="O557" s="76"/>
      <c r="P557" s="78" t="str">
        <f>_xlfn.LET(
    _xlpm.itemBuscado, B557,
    _xlpm.areaBuscada, C557,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TEXT(COUNTIF($C$2:C557, _xlpm.areaBuscada), "0000"),
    _xlpm.codItem &amp; "-" &amp; _xlpm.codArea &amp; "-" &amp; _xlpm.secuencia
)</f>
        <v>-SinArea-0000</v>
      </c>
      <c r="Q557" s="77"/>
      <c r="R557" s="32"/>
      <c r="S557" s="32"/>
      <c r="T557" s="32"/>
      <c r="U557" s="32"/>
    </row>
    <row r="558" spans="3:21" x14ac:dyDescent="0.3">
      <c r="C558" s="11"/>
      <c r="D558" s="32"/>
      <c r="E558" s="11" t="str" cm="1">
        <f t="array" ref="E558">_xlfn.IFS(
    COUNTIF(Herramientas_eléctricas1862[Herramientas_eléctricas], B558) &gt; 0, Herramientas_eléctricas1862[[#Headers],[Herramientas_eléctricas]],
    COUNTIF(Herramientas_neumáticas1963[Herramientas_neumáticas], B558) &gt; 0, Herramientas_neumáticas1963[[#Headers],[Herramientas_neumáticas]],
    COUNTIF(Herramientas_de_medición2064[Herramientas_de_medición], B558) &gt; 0, Herramientas_de_medición2064[[#Headers],[Herramientas_de_medición]],
    COUNTIF(Herrramientas_mecánicas2165[Herramientas_mecánicas], B558) &gt; 0, Herrramientas_mecánicas2165[[#Headers],[Herramientas_mecánicas]],
    COUNTIF(AK558:AK564, B558) &gt; 0, Herramientas_hidráulicas2266[[#Headers],[Herramientas_hidráulicas]],
    COUNTIF(EPP_2367[SPCC], B558) &gt; 0, EPP_2367[[#Headers],[SPCC]],
   COUNTIF(Herramientas_de_izaje2468[Herramientas_de_izaje], B558) &gt; 0, Herramientas_de_izaje2468[[#Headers],[Herramientas_de_izaje]],
COUNTIF(Tabla162670[Equipos], B558) &gt; 0, Tabla162670[[#Headers],[Equipos]],
    TRUE, "Sin clasificación"
)</f>
        <v>Sin clasificación</v>
      </c>
      <c r="G558" s="15"/>
      <c r="H558" s="47"/>
      <c r="I558" s="87"/>
      <c r="J558" s="78"/>
      <c r="K558" s="78"/>
      <c r="L558" s="78"/>
      <c r="M558" s="78"/>
      <c r="N558" s="76"/>
      <c r="O558" s="76"/>
      <c r="P558" s="78" t="str">
        <f>_xlfn.LET(
    _xlpm.itemBuscado, B558,
    _xlpm.areaBuscada, C558,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TEXT(COUNTIF($C$2:C558, _xlpm.areaBuscada), "0000"),
    _xlpm.codItem &amp; "-" &amp; _xlpm.codArea &amp; "-" &amp; _xlpm.secuencia
)</f>
        <v>-SinArea-0000</v>
      </c>
      <c r="Q558" s="77"/>
      <c r="R558" s="32"/>
      <c r="S558" s="32"/>
      <c r="T558" s="32"/>
      <c r="U558" s="32"/>
    </row>
    <row r="559" spans="3:21" x14ac:dyDescent="0.3">
      <c r="C559" s="11"/>
      <c r="D559" s="32"/>
      <c r="E559" s="11" t="str" cm="1">
        <f t="array" ref="E559">_xlfn.IFS(
    COUNTIF(Herramientas_eléctricas1862[Herramientas_eléctricas], B559) &gt; 0, Herramientas_eléctricas1862[[#Headers],[Herramientas_eléctricas]],
    COUNTIF(Herramientas_neumáticas1963[Herramientas_neumáticas], B559) &gt; 0, Herramientas_neumáticas1963[[#Headers],[Herramientas_neumáticas]],
    COUNTIF(Herramientas_de_medición2064[Herramientas_de_medición], B559) &gt; 0, Herramientas_de_medición2064[[#Headers],[Herramientas_de_medición]],
    COUNTIF(Herrramientas_mecánicas2165[Herramientas_mecánicas], B559) &gt; 0, Herrramientas_mecánicas2165[[#Headers],[Herramientas_mecánicas]],
    COUNTIF(AK559:AK565, B559) &gt; 0, Herramientas_hidráulicas2266[[#Headers],[Herramientas_hidráulicas]],
    COUNTIF(EPP_2367[SPCC], B559) &gt; 0, EPP_2367[[#Headers],[SPCC]],
   COUNTIF(Herramientas_de_izaje2468[Herramientas_de_izaje], B559) &gt; 0, Herramientas_de_izaje2468[[#Headers],[Herramientas_de_izaje]],
COUNTIF(Tabla162670[Equipos], B559) &gt; 0, Tabla162670[[#Headers],[Equipos]],
    TRUE, "Sin clasificación"
)</f>
        <v>Sin clasificación</v>
      </c>
      <c r="G559" s="15"/>
      <c r="H559" s="47"/>
      <c r="I559" s="87"/>
      <c r="J559" s="78"/>
      <c r="K559" s="78"/>
      <c r="L559" s="78"/>
      <c r="M559" s="78"/>
      <c r="N559" s="76"/>
      <c r="O559" s="76"/>
      <c r="P559" s="78" t="str">
        <f>_xlfn.LET(
    _xlpm.itemBuscado, B559,
    _xlpm.areaBuscada, C559,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TEXT(COUNTIF($C$2:C559, _xlpm.areaBuscada), "0000"),
    _xlpm.codItem &amp; "-" &amp; _xlpm.codArea &amp; "-" &amp; _xlpm.secuencia
)</f>
        <v>-SinArea-0000</v>
      </c>
      <c r="Q559" s="77"/>
      <c r="R559" s="32"/>
      <c r="S559" s="32"/>
      <c r="T559" s="32"/>
      <c r="U559" s="32"/>
    </row>
    <row r="560" spans="3:21" x14ac:dyDescent="0.3">
      <c r="C560" s="11"/>
      <c r="D560" s="32"/>
      <c r="E560" s="11" t="str" cm="1">
        <f t="array" ref="E560">_xlfn.IFS(
    COUNTIF(Herramientas_eléctricas1862[Herramientas_eléctricas], B560) &gt; 0, Herramientas_eléctricas1862[[#Headers],[Herramientas_eléctricas]],
    COUNTIF(Herramientas_neumáticas1963[Herramientas_neumáticas], B560) &gt; 0, Herramientas_neumáticas1963[[#Headers],[Herramientas_neumáticas]],
    COUNTIF(Herramientas_de_medición2064[Herramientas_de_medición], B560) &gt; 0, Herramientas_de_medición2064[[#Headers],[Herramientas_de_medición]],
    COUNTIF(Herrramientas_mecánicas2165[Herramientas_mecánicas], B560) &gt; 0, Herrramientas_mecánicas2165[[#Headers],[Herramientas_mecánicas]],
    COUNTIF(AK560:AK566, B560) &gt; 0, Herramientas_hidráulicas2266[[#Headers],[Herramientas_hidráulicas]],
    COUNTIF(EPP_2367[SPCC], B560) &gt; 0, EPP_2367[[#Headers],[SPCC]],
   COUNTIF(Herramientas_de_izaje2468[Herramientas_de_izaje], B560) &gt; 0, Herramientas_de_izaje2468[[#Headers],[Herramientas_de_izaje]],
COUNTIF(Tabla162670[Equipos], B560) &gt; 0, Tabla162670[[#Headers],[Equipos]],
    TRUE, "Sin clasificación"
)</f>
        <v>Sin clasificación</v>
      </c>
      <c r="G560" s="15"/>
      <c r="H560" s="47"/>
      <c r="I560" s="87"/>
      <c r="J560" s="78"/>
      <c r="K560" s="78"/>
      <c r="L560" s="78"/>
      <c r="M560" s="78"/>
      <c r="N560" s="76"/>
      <c r="O560" s="76"/>
      <c r="P560" s="78" t="str">
        <f>_xlfn.LET(
    _xlpm.itemBuscado, B560,
    _xlpm.areaBuscada, C560,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TEXT(COUNTIF($C$2:C560, _xlpm.areaBuscada), "0000"),
    _xlpm.codItem &amp; "-" &amp; _xlpm.codArea &amp; "-" &amp; _xlpm.secuencia
)</f>
        <v>-SinArea-0000</v>
      </c>
      <c r="Q560" s="77"/>
      <c r="R560" s="32"/>
      <c r="S560" s="32"/>
      <c r="T560" s="32"/>
      <c r="U560" s="32"/>
    </row>
    <row r="561" spans="3:21" x14ac:dyDescent="0.3">
      <c r="C561" s="11"/>
      <c r="D561" s="32"/>
      <c r="E561" s="11" t="str" cm="1">
        <f t="array" ref="E561">_xlfn.IFS(
    COUNTIF(Herramientas_eléctricas1862[Herramientas_eléctricas], B561) &gt; 0, Herramientas_eléctricas1862[[#Headers],[Herramientas_eléctricas]],
    COUNTIF(Herramientas_neumáticas1963[Herramientas_neumáticas], B561) &gt; 0, Herramientas_neumáticas1963[[#Headers],[Herramientas_neumáticas]],
    COUNTIF(Herramientas_de_medición2064[Herramientas_de_medición], B561) &gt; 0, Herramientas_de_medición2064[[#Headers],[Herramientas_de_medición]],
    COUNTIF(Herrramientas_mecánicas2165[Herramientas_mecánicas], B561) &gt; 0, Herrramientas_mecánicas2165[[#Headers],[Herramientas_mecánicas]],
    COUNTIF(AK561:AK567, B561) &gt; 0, Herramientas_hidráulicas2266[[#Headers],[Herramientas_hidráulicas]],
    COUNTIF(EPP_2367[SPCC], B561) &gt; 0, EPP_2367[[#Headers],[SPCC]],
   COUNTIF(Herramientas_de_izaje2468[Herramientas_de_izaje], B561) &gt; 0, Herramientas_de_izaje2468[[#Headers],[Herramientas_de_izaje]],
COUNTIF(Tabla162670[Equipos], B561) &gt; 0, Tabla162670[[#Headers],[Equipos]],
    TRUE, "Sin clasificación"
)</f>
        <v>Sin clasificación</v>
      </c>
      <c r="G561" s="15"/>
      <c r="H561" s="47"/>
      <c r="I561" s="87"/>
      <c r="J561" s="78"/>
      <c r="K561" s="78"/>
      <c r="L561" s="78"/>
      <c r="M561" s="78"/>
      <c r="N561" s="76"/>
      <c r="O561" s="76"/>
      <c r="P561" s="78" t="str">
        <f>_xlfn.LET(
    _xlpm.itemBuscado, B561,
    _xlpm.areaBuscada, C561,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TEXT(COUNTIF($C$2:C561, _xlpm.areaBuscada), "0000"),
    _xlpm.codItem &amp; "-" &amp; _xlpm.codArea &amp; "-" &amp; _xlpm.secuencia
)</f>
        <v>-SinArea-0000</v>
      </c>
      <c r="Q561" s="77"/>
      <c r="R561" s="32"/>
      <c r="S561" s="32"/>
      <c r="T561" s="32"/>
      <c r="U561" s="32"/>
    </row>
    <row r="562" spans="3:21" x14ac:dyDescent="0.3">
      <c r="C562" s="11"/>
      <c r="D562" s="32"/>
      <c r="E562" s="11" t="str" cm="1">
        <f t="array" ref="E562">_xlfn.IFS(
    COUNTIF(Herramientas_eléctricas1862[Herramientas_eléctricas], B562) &gt; 0, Herramientas_eléctricas1862[[#Headers],[Herramientas_eléctricas]],
    COUNTIF(Herramientas_neumáticas1963[Herramientas_neumáticas], B562) &gt; 0, Herramientas_neumáticas1963[[#Headers],[Herramientas_neumáticas]],
    COUNTIF(Herramientas_de_medición2064[Herramientas_de_medición], B562) &gt; 0, Herramientas_de_medición2064[[#Headers],[Herramientas_de_medición]],
    COUNTIF(Herrramientas_mecánicas2165[Herramientas_mecánicas], B562) &gt; 0, Herrramientas_mecánicas2165[[#Headers],[Herramientas_mecánicas]],
    COUNTIF(AK562:AK568, B562) &gt; 0, Herramientas_hidráulicas2266[[#Headers],[Herramientas_hidráulicas]],
    COUNTIF(EPP_2367[SPCC], B562) &gt; 0, EPP_2367[[#Headers],[SPCC]],
   COUNTIF(Herramientas_de_izaje2468[Herramientas_de_izaje], B562) &gt; 0, Herramientas_de_izaje2468[[#Headers],[Herramientas_de_izaje]],
COUNTIF(Tabla162670[Equipos], B562) &gt; 0, Tabla162670[[#Headers],[Equipos]],
    TRUE, "Sin clasificación"
)</f>
        <v>Sin clasificación</v>
      </c>
      <c r="G562" s="15"/>
      <c r="H562" s="47"/>
      <c r="I562" s="87"/>
      <c r="J562" s="78"/>
      <c r="K562" s="78"/>
      <c r="L562" s="78"/>
      <c r="M562" s="78"/>
      <c r="N562" s="76"/>
      <c r="O562" s="76"/>
      <c r="P562" s="78" t="str">
        <f>_xlfn.LET(
    _xlpm.itemBuscado, B562,
    _xlpm.areaBuscada, C562,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TEXT(COUNTIF($C$2:C562, _xlpm.areaBuscada), "0000"),
    _xlpm.codItem &amp; "-" &amp; _xlpm.codArea &amp; "-" &amp; _xlpm.secuencia
)</f>
        <v>-SinArea-0000</v>
      </c>
      <c r="Q562" s="77"/>
      <c r="R562" s="32"/>
      <c r="S562" s="32"/>
      <c r="T562" s="32"/>
      <c r="U562" s="32"/>
    </row>
    <row r="563" spans="3:21" x14ac:dyDescent="0.3">
      <c r="C563" s="11"/>
      <c r="D563" s="32"/>
      <c r="E563" s="11" t="str" cm="1">
        <f t="array" ref="E563">_xlfn.IFS(
    COUNTIF(Herramientas_eléctricas1862[Herramientas_eléctricas], B563) &gt; 0, Herramientas_eléctricas1862[[#Headers],[Herramientas_eléctricas]],
    COUNTIF(Herramientas_neumáticas1963[Herramientas_neumáticas], B563) &gt; 0, Herramientas_neumáticas1963[[#Headers],[Herramientas_neumáticas]],
    COUNTIF(Herramientas_de_medición2064[Herramientas_de_medición], B563) &gt; 0, Herramientas_de_medición2064[[#Headers],[Herramientas_de_medición]],
    COUNTIF(Herrramientas_mecánicas2165[Herramientas_mecánicas], B563) &gt; 0, Herrramientas_mecánicas2165[[#Headers],[Herramientas_mecánicas]],
    COUNTIF(AK563:AK569, B563) &gt; 0, Herramientas_hidráulicas2266[[#Headers],[Herramientas_hidráulicas]],
    COUNTIF(EPP_2367[SPCC], B563) &gt; 0, EPP_2367[[#Headers],[SPCC]],
   COUNTIF(Herramientas_de_izaje2468[Herramientas_de_izaje], B563) &gt; 0, Herramientas_de_izaje2468[[#Headers],[Herramientas_de_izaje]],
COUNTIF(Tabla162670[Equipos], B563) &gt; 0, Tabla162670[[#Headers],[Equipos]],
    TRUE, "Sin clasificación"
)</f>
        <v>Sin clasificación</v>
      </c>
      <c r="G563" s="15"/>
      <c r="H563" s="47"/>
      <c r="I563" s="87"/>
      <c r="J563" s="78"/>
      <c r="K563" s="78"/>
      <c r="L563" s="78"/>
      <c r="M563" s="78"/>
      <c r="N563" s="76"/>
      <c r="O563" s="76"/>
      <c r="P563" s="78" t="str">
        <f>_xlfn.LET(
    _xlpm.itemBuscado, B563,
    _xlpm.areaBuscada, C563,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TEXT(COUNTIF($C$2:C563, _xlpm.areaBuscada), "0000"),
    _xlpm.codItem &amp; "-" &amp; _xlpm.codArea &amp; "-" &amp; _xlpm.secuencia
)</f>
        <v>-SinArea-0000</v>
      </c>
      <c r="Q563" s="77"/>
      <c r="R563" s="32"/>
      <c r="S563" s="32"/>
      <c r="T563" s="32"/>
      <c r="U563" s="32"/>
    </row>
    <row r="564" spans="3:21" x14ac:dyDescent="0.3">
      <c r="C564" s="11"/>
      <c r="D564" s="32"/>
      <c r="E564" s="11" t="str" cm="1">
        <f t="array" ref="E564">_xlfn.IFS(
    COUNTIF(Herramientas_eléctricas1862[Herramientas_eléctricas], B564) &gt; 0, Herramientas_eléctricas1862[[#Headers],[Herramientas_eléctricas]],
    COUNTIF(Herramientas_neumáticas1963[Herramientas_neumáticas], B564) &gt; 0, Herramientas_neumáticas1963[[#Headers],[Herramientas_neumáticas]],
    COUNTIF(Herramientas_de_medición2064[Herramientas_de_medición], B564) &gt; 0, Herramientas_de_medición2064[[#Headers],[Herramientas_de_medición]],
    COUNTIF(Herrramientas_mecánicas2165[Herramientas_mecánicas], B564) &gt; 0, Herrramientas_mecánicas2165[[#Headers],[Herramientas_mecánicas]],
    COUNTIF(AK564:AK570, B564) &gt; 0, Herramientas_hidráulicas2266[[#Headers],[Herramientas_hidráulicas]],
    COUNTIF(EPP_2367[SPCC], B564) &gt; 0, EPP_2367[[#Headers],[SPCC]],
   COUNTIF(Herramientas_de_izaje2468[Herramientas_de_izaje], B564) &gt; 0, Herramientas_de_izaje2468[[#Headers],[Herramientas_de_izaje]],
COUNTIF(Tabla162670[Equipos], B564) &gt; 0, Tabla162670[[#Headers],[Equipos]],
    TRUE, "Sin clasificación"
)</f>
        <v>Sin clasificación</v>
      </c>
      <c r="G564" s="15"/>
      <c r="H564" s="47"/>
      <c r="I564" s="87"/>
      <c r="J564" s="78"/>
      <c r="K564" s="78"/>
      <c r="L564" s="78"/>
      <c r="M564" s="78"/>
      <c r="N564" s="76"/>
      <c r="O564" s="76"/>
      <c r="P564" s="78" t="str">
        <f>_xlfn.LET(
    _xlpm.itemBuscado, B564,
    _xlpm.areaBuscada, C564,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TEXT(COUNTIF($C$2:C564, _xlpm.areaBuscada), "0000"),
    _xlpm.codItem &amp; "-" &amp; _xlpm.codArea &amp; "-" &amp; _xlpm.secuencia
)</f>
        <v>-SinArea-0000</v>
      </c>
      <c r="Q564" s="77"/>
      <c r="R564" s="32"/>
      <c r="S564" s="32"/>
      <c r="T564" s="32"/>
      <c r="U564" s="32"/>
    </row>
    <row r="565" spans="3:21" x14ac:dyDescent="0.3">
      <c r="C565" s="11"/>
      <c r="D565" s="32"/>
      <c r="E565" s="11" t="str" cm="1">
        <f t="array" ref="E565">_xlfn.IFS(
    COUNTIF(Herramientas_eléctricas1862[Herramientas_eléctricas], B565) &gt; 0, Herramientas_eléctricas1862[[#Headers],[Herramientas_eléctricas]],
    COUNTIF(Herramientas_neumáticas1963[Herramientas_neumáticas], B565) &gt; 0, Herramientas_neumáticas1963[[#Headers],[Herramientas_neumáticas]],
    COUNTIF(Herramientas_de_medición2064[Herramientas_de_medición], B565) &gt; 0, Herramientas_de_medición2064[[#Headers],[Herramientas_de_medición]],
    COUNTIF(Herrramientas_mecánicas2165[Herramientas_mecánicas], B565) &gt; 0, Herrramientas_mecánicas2165[[#Headers],[Herramientas_mecánicas]],
    COUNTIF(AK565:AK571, B565) &gt; 0, Herramientas_hidráulicas2266[[#Headers],[Herramientas_hidráulicas]],
    COUNTIF(EPP_2367[SPCC], B565) &gt; 0, EPP_2367[[#Headers],[SPCC]],
   COUNTIF(Herramientas_de_izaje2468[Herramientas_de_izaje], B565) &gt; 0, Herramientas_de_izaje2468[[#Headers],[Herramientas_de_izaje]],
COUNTIF(Tabla162670[Equipos], B565) &gt; 0, Tabla162670[[#Headers],[Equipos]],
    TRUE, "Sin clasificación"
)</f>
        <v>Sin clasificación</v>
      </c>
      <c r="G565" s="15"/>
      <c r="H565" s="47"/>
      <c r="I565" s="87"/>
      <c r="J565" s="78"/>
      <c r="K565" s="78"/>
      <c r="L565" s="78"/>
      <c r="M565" s="78"/>
      <c r="N565" s="76"/>
      <c r="O565" s="76"/>
      <c r="P565" s="78" t="str">
        <f>_xlfn.LET(
    _xlpm.itemBuscado, B565,
    _xlpm.areaBuscada, C565,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TEXT(COUNTIF($C$2:C565, _xlpm.areaBuscada), "0000"),
    _xlpm.codItem &amp; "-" &amp; _xlpm.codArea &amp; "-" &amp; _xlpm.secuencia
)</f>
        <v>-SinArea-0000</v>
      </c>
      <c r="Q565" s="77"/>
      <c r="R565" s="32"/>
      <c r="S565" s="32"/>
      <c r="T565" s="32"/>
      <c r="U565" s="32"/>
    </row>
    <row r="566" spans="3:21" x14ac:dyDescent="0.3">
      <c r="C566" s="11"/>
      <c r="D566" s="32"/>
      <c r="E566" s="11" t="str" cm="1">
        <f t="array" ref="E566">_xlfn.IFS(
    COUNTIF(Herramientas_eléctricas1862[Herramientas_eléctricas], B566) &gt; 0, Herramientas_eléctricas1862[[#Headers],[Herramientas_eléctricas]],
    COUNTIF(Herramientas_neumáticas1963[Herramientas_neumáticas], B566) &gt; 0, Herramientas_neumáticas1963[[#Headers],[Herramientas_neumáticas]],
    COUNTIF(Herramientas_de_medición2064[Herramientas_de_medición], B566) &gt; 0, Herramientas_de_medición2064[[#Headers],[Herramientas_de_medición]],
    COUNTIF(Herrramientas_mecánicas2165[Herramientas_mecánicas], B566) &gt; 0, Herrramientas_mecánicas2165[[#Headers],[Herramientas_mecánicas]],
    COUNTIF(AK566:AK572, B566) &gt; 0, Herramientas_hidráulicas2266[[#Headers],[Herramientas_hidráulicas]],
    COUNTIF(EPP_2367[SPCC], B566) &gt; 0, EPP_2367[[#Headers],[SPCC]],
   COUNTIF(Herramientas_de_izaje2468[Herramientas_de_izaje], B566) &gt; 0, Herramientas_de_izaje2468[[#Headers],[Herramientas_de_izaje]],
COUNTIF(Tabla162670[Equipos], B566) &gt; 0, Tabla162670[[#Headers],[Equipos]],
    TRUE, "Sin clasificación"
)</f>
        <v>Sin clasificación</v>
      </c>
      <c r="G566" s="15"/>
      <c r="H566" s="47"/>
      <c r="I566" s="87"/>
      <c r="J566" s="78"/>
      <c r="K566" s="78"/>
      <c r="L566" s="78"/>
      <c r="M566" s="78"/>
      <c r="N566" s="76"/>
      <c r="O566" s="76"/>
      <c r="P566" s="78" t="str">
        <f>_xlfn.LET(
    _xlpm.itemBuscado, B566,
    _xlpm.areaBuscada, C566,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TEXT(COUNTIF($C$2:C566, _xlpm.areaBuscada), "0000"),
    _xlpm.codItem &amp; "-" &amp; _xlpm.codArea &amp; "-" &amp; _xlpm.secuencia
)</f>
        <v>-SinArea-0000</v>
      </c>
      <c r="Q566" s="77"/>
      <c r="R566" s="32"/>
      <c r="S566" s="32"/>
      <c r="T566" s="32"/>
      <c r="U566" s="32"/>
    </row>
    <row r="567" spans="3:21" x14ac:dyDescent="0.3">
      <c r="C567" s="11"/>
      <c r="D567" s="32"/>
      <c r="E567" s="11" t="str" cm="1">
        <f t="array" ref="E567">_xlfn.IFS(
    COUNTIF(Herramientas_eléctricas1862[Herramientas_eléctricas], B567) &gt; 0, Herramientas_eléctricas1862[[#Headers],[Herramientas_eléctricas]],
    COUNTIF(Herramientas_neumáticas1963[Herramientas_neumáticas], B567) &gt; 0, Herramientas_neumáticas1963[[#Headers],[Herramientas_neumáticas]],
    COUNTIF(Herramientas_de_medición2064[Herramientas_de_medición], B567) &gt; 0, Herramientas_de_medición2064[[#Headers],[Herramientas_de_medición]],
    COUNTIF(Herrramientas_mecánicas2165[Herramientas_mecánicas], B567) &gt; 0, Herrramientas_mecánicas2165[[#Headers],[Herramientas_mecánicas]],
    COUNTIF(AK567:AK573, B567) &gt; 0, Herramientas_hidráulicas2266[[#Headers],[Herramientas_hidráulicas]],
    COUNTIF(EPP_2367[SPCC], B567) &gt; 0, EPP_2367[[#Headers],[SPCC]],
   COUNTIF(Herramientas_de_izaje2468[Herramientas_de_izaje], B567) &gt; 0, Herramientas_de_izaje2468[[#Headers],[Herramientas_de_izaje]],
COUNTIF(Tabla162670[Equipos], B567) &gt; 0, Tabla162670[[#Headers],[Equipos]],
    TRUE, "Sin clasificación"
)</f>
        <v>Sin clasificación</v>
      </c>
      <c r="G567" s="15"/>
      <c r="H567" s="47"/>
      <c r="I567" s="87"/>
      <c r="J567" s="78"/>
      <c r="K567" s="78"/>
      <c r="L567" s="78"/>
      <c r="M567" s="78"/>
      <c r="N567" s="76"/>
      <c r="O567" s="76"/>
      <c r="P567" s="78" t="str">
        <f>_xlfn.LET(
    _xlpm.itemBuscado, B567,
    _xlpm.areaBuscada, C567,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TEXT(COUNTIF($C$2:C567, _xlpm.areaBuscada), "0000"),
    _xlpm.codItem &amp; "-" &amp; _xlpm.codArea &amp; "-" &amp; _xlpm.secuencia
)</f>
        <v>-SinArea-0000</v>
      </c>
      <c r="Q567" s="77"/>
      <c r="R567" s="32"/>
      <c r="S567" s="32"/>
      <c r="T567" s="32"/>
      <c r="U567" s="32"/>
    </row>
    <row r="568" spans="3:21" x14ac:dyDescent="0.3">
      <c r="C568" s="11"/>
      <c r="D568" s="32"/>
      <c r="E568" s="11" t="str" cm="1">
        <f t="array" ref="E568">_xlfn.IFS(
    COUNTIF(Herramientas_eléctricas1862[Herramientas_eléctricas], B568) &gt; 0, Herramientas_eléctricas1862[[#Headers],[Herramientas_eléctricas]],
    COUNTIF(Herramientas_neumáticas1963[Herramientas_neumáticas], B568) &gt; 0, Herramientas_neumáticas1963[[#Headers],[Herramientas_neumáticas]],
    COUNTIF(Herramientas_de_medición2064[Herramientas_de_medición], B568) &gt; 0, Herramientas_de_medición2064[[#Headers],[Herramientas_de_medición]],
    COUNTIF(Herrramientas_mecánicas2165[Herramientas_mecánicas], B568) &gt; 0, Herrramientas_mecánicas2165[[#Headers],[Herramientas_mecánicas]],
    COUNTIF(AK568:AK574, B568) &gt; 0, Herramientas_hidráulicas2266[[#Headers],[Herramientas_hidráulicas]],
    COUNTIF(EPP_2367[SPCC], B568) &gt; 0, EPP_2367[[#Headers],[SPCC]],
   COUNTIF(Herramientas_de_izaje2468[Herramientas_de_izaje], B568) &gt; 0, Herramientas_de_izaje2468[[#Headers],[Herramientas_de_izaje]],
COUNTIF(Tabla162670[Equipos], B568) &gt; 0, Tabla162670[[#Headers],[Equipos]],
    TRUE, "Sin clasificación"
)</f>
        <v>Sin clasificación</v>
      </c>
      <c r="G568" s="15"/>
      <c r="H568" s="47"/>
      <c r="I568" s="87"/>
      <c r="J568" s="78"/>
      <c r="K568" s="78"/>
      <c r="L568" s="78"/>
      <c r="M568" s="78"/>
      <c r="N568" s="76"/>
      <c r="O568" s="76"/>
      <c r="P568" s="78" t="str">
        <f>_xlfn.LET(
    _xlpm.itemBuscado, B568,
    _xlpm.areaBuscada, C568,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TEXT(COUNTIF($C$2:C568, _xlpm.areaBuscada), "0000"),
    _xlpm.codItem &amp; "-" &amp; _xlpm.codArea &amp; "-" &amp; _xlpm.secuencia
)</f>
        <v>-SinArea-0000</v>
      </c>
      <c r="Q568" s="77"/>
      <c r="R568" s="32"/>
      <c r="S568" s="32"/>
      <c r="T568" s="32"/>
      <c r="U568" s="32"/>
    </row>
    <row r="569" spans="3:21" x14ac:dyDescent="0.3">
      <c r="C569" s="11"/>
      <c r="D569" s="32"/>
      <c r="E569" s="11" t="str" cm="1">
        <f t="array" ref="E569">_xlfn.IFS(
    COUNTIF(Herramientas_eléctricas1862[Herramientas_eléctricas], B569) &gt; 0, Herramientas_eléctricas1862[[#Headers],[Herramientas_eléctricas]],
    COUNTIF(Herramientas_neumáticas1963[Herramientas_neumáticas], B569) &gt; 0, Herramientas_neumáticas1963[[#Headers],[Herramientas_neumáticas]],
    COUNTIF(Herramientas_de_medición2064[Herramientas_de_medición], B569) &gt; 0, Herramientas_de_medición2064[[#Headers],[Herramientas_de_medición]],
    COUNTIF(Herrramientas_mecánicas2165[Herramientas_mecánicas], B569) &gt; 0, Herrramientas_mecánicas2165[[#Headers],[Herramientas_mecánicas]],
    COUNTIF(AK569:AK575, B569) &gt; 0, Herramientas_hidráulicas2266[[#Headers],[Herramientas_hidráulicas]],
    COUNTIF(EPP_2367[SPCC], B569) &gt; 0, EPP_2367[[#Headers],[SPCC]],
   COUNTIF(Herramientas_de_izaje2468[Herramientas_de_izaje], B569) &gt; 0, Herramientas_de_izaje2468[[#Headers],[Herramientas_de_izaje]],
COUNTIF(Tabla162670[Equipos], B569) &gt; 0, Tabla162670[[#Headers],[Equipos]],
    TRUE, "Sin clasificación"
)</f>
        <v>Sin clasificación</v>
      </c>
      <c r="G569" s="15"/>
      <c r="H569" s="47"/>
      <c r="I569" s="87"/>
      <c r="J569" s="78"/>
      <c r="K569" s="78"/>
      <c r="L569" s="78"/>
      <c r="M569" s="78"/>
      <c r="N569" s="76"/>
      <c r="O569" s="76"/>
      <c r="P569" s="78" t="str">
        <f>_xlfn.LET(
    _xlpm.itemBuscado, B569,
    _xlpm.areaBuscada, C569,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TEXT(COUNTIF($C$2:C569, _xlpm.areaBuscada), "0000"),
    _xlpm.codItem &amp; "-" &amp; _xlpm.codArea &amp; "-" &amp; _xlpm.secuencia
)</f>
        <v>-SinArea-0000</v>
      </c>
      <c r="Q569" s="77"/>
      <c r="R569" s="32"/>
      <c r="S569" s="32"/>
      <c r="T569" s="32"/>
      <c r="U569" s="32"/>
    </row>
    <row r="570" spans="3:21" x14ac:dyDescent="0.3">
      <c r="C570" s="11"/>
      <c r="D570" s="32"/>
      <c r="E570" s="11" t="str" cm="1">
        <f t="array" ref="E570">_xlfn.IFS(
    COUNTIF(Herramientas_eléctricas1862[Herramientas_eléctricas], B570) &gt; 0, Herramientas_eléctricas1862[[#Headers],[Herramientas_eléctricas]],
    COUNTIF(Herramientas_neumáticas1963[Herramientas_neumáticas], B570) &gt; 0, Herramientas_neumáticas1963[[#Headers],[Herramientas_neumáticas]],
    COUNTIF(Herramientas_de_medición2064[Herramientas_de_medición], B570) &gt; 0, Herramientas_de_medición2064[[#Headers],[Herramientas_de_medición]],
    COUNTIF(Herrramientas_mecánicas2165[Herramientas_mecánicas], B570) &gt; 0, Herrramientas_mecánicas2165[[#Headers],[Herramientas_mecánicas]],
    COUNTIF(AK570:AK576, B570) &gt; 0, Herramientas_hidráulicas2266[[#Headers],[Herramientas_hidráulicas]],
    COUNTIF(EPP_2367[SPCC], B570) &gt; 0, EPP_2367[[#Headers],[SPCC]],
   COUNTIF(Herramientas_de_izaje2468[Herramientas_de_izaje], B570) &gt; 0, Herramientas_de_izaje2468[[#Headers],[Herramientas_de_izaje]],
COUNTIF(Tabla162670[Equipos], B570) &gt; 0, Tabla162670[[#Headers],[Equipos]],
    TRUE, "Sin clasificación"
)</f>
        <v>Sin clasificación</v>
      </c>
      <c r="G570" s="15"/>
      <c r="H570" s="47"/>
      <c r="I570" s="87"/>
      <c r="J570" s="78"/>
      <c r="K570" s="78"/>
      <c r="L570" s="78"/>
      <c r="M570" s="78"/>
      <c r="N570" s="76"/>
      <c r="O570" s="76"/>
      <c r="P570" s="78" t="str">
        <f>_xlfn.LET(
    _xlpm.itemBuscado, B570,
    _xlpm.areaBuscada, C570,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TEXT(COUNTIF($C$2:C570, _xlpm.areaBuscada), "0000"),
    _xlpm.codItem &amp; "-" &amp; _xlpm.codArea &amp; "-" &amp; _xlpm.secuencia
)</f>
        <v>-SinArea-0000</v>
      </c>
      <c r="Q570" s="77"/>
      <c r="R570" s="32"/>
      <c r="S570" s="32"/>
      <c r="T570" s="32"/>
      <c r="U570" s="32"/>
    </row>
    <row r="571" spans="3:21" x14ac:dyDescent="0.3">
      <c r="C571" s="11"/>
      <c r="D571" s="32"/>
      <c r="E571" s="11" t="str" cm="1">
        <f t="array" ref="E571">_xlfn.IFS(
    COUNTIF(Herramientas_eléctricas1862[Herramientas_eléctricas], B571) &gt; 0, Herramientas_eléctricas1862[[#Headers],[Herramientas_eléctricas]],
    COUNTIF(Herramientas_neumáticas1963[Herramientas_neumáticas], B571) &gt; 0, Herramientas_neumáticas1963[[#Headers],[Herramientas_neumáticas]],
    COUNTIF(Herramientas_de_medición2064[Herramientas_de_medición], B571) &gt; 0, Herramientas_de_medición2064[[#Headers],[Herramientas_de_medición]],
    COUNTIF(Herrramientas_mecánicas2165[Herramientas_mecánicas], B571) &gt; 0, Herrramientas_mecánicas2165[[#Headers],[Herramientas_mecánicas]],
    COUNTIF(AK571:AK577, B571) &gt; 0, Herramientas_hidráulicas2266[[#Headers],[Herramientas_hidráulicas]],
    COUNTIF(EPP_2367[SPCC], B571) &gt; 0, EPP_2367[[#Headers],[SPCC]],
   COUNTIF(Herramientas_de_izaje2468[Herramientas_de_izaje], B571) &gt; 0, Herramientas_de_izaje2468[[#Headers],[Herramientas_de_izaje]],
COUNTIF(Tabla162670[Equipos], B571) &gt; 0, Tabla162670[[#Headers],[Equipos]],
    TRUE, "Sin clasificación"
)</f>
        <v>Sin clasificación</v>
      </c>
      <c r="G571" s="15"/>
      <c r="H571" s="47"/>
      <c r="I571" s="87"/>
      <c r="J571" s="78"/>
      <c r="K571" s="78"/>
      <c r="L571" s="78"/>
      <c r="M571" s="78"/>
      <c r="N571" s="76"/>
      <c r="O571" s="76"/>
      <c r="P571" s="78" t="str">
        <f>_xlfn.LET(
    _xlpm.itemBuscado, B571,
    _xlpm.areaBuscada, C571,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TEXT(COUNTIF($C$2:C571, _xlpm.areaBuscada), "0000"),
    _xlpm.codItem &amp; "-" &amp; _xlpm.codArea &amp; "-" &amp; _xlpm.secuencia
)</f>
        <v>-SinArea-0000</v>
      </c>
      <c r="Q571" s="77"/>
      <c r="R571" s="32"/>
      <c r="S571" s="32"/>
      <c r="T571" s="32"/>
      <c r="U571" s="32"/>
    </row>
    <row r="572" spans="3:21" x14ac:dyDescent="0.3">
      <c r="C572" s="11"/>
      <c r="D572" s="32"/>
      <c r="E572" s="11" t="str" cm="1">
        <f t="array" ref="E572">_xlfn.IFS(
    COUNTIF(Herramientas_eléctricas1862[Herramientas_eléctricas], B572) &gt; 0, Herramientas_eléctricas1862[[#Headers],[Herramientas_eléctricas]],
    COUNTIF(Herramientas_neumáticas1963[Herramientas_neumáticas], B572) &gt; 0, Herramientas_neumáticas1963[[#Headers],[Herramientas_neumáticas]],
    COUNTIF(Herramientas_de_medición2064[Herramientas_de_medición], B572) &gt; 0, Herramientas_de_medición2064[[#Headers],[Herramientas_de_medición]],
    COUNTIF(Herrramientas_mecánicas2165[Herramientas_mecánicas], B572) &gt; 0, Herrramientas_mecánicas2165[[#Headers],[Herramientas_mecánicas]],
    COUNTIF(AK572:AK578, B572) &gt; 0, Herramientas_hidráulicas2266[[#Headers],[Herramientas_hidráulicas]],
    COUNTIF(EPP_2367[SPCC], B572) &gt; 0, EPP_2367[[#Headers],[SPCC]],
   COUNTIF(Herramientas_de_izaje2468[Herramientas_de_izaje], B572) &gt; 0, Herramientas_de_izaje2468[[#Headers],[Herramientas_de_izaje]],
COUNTIF(Tabla162670[Equipos], B572) &gt; 0, Tabla162670[[#Headers],[Equipos]],
    TRUE, "Sin clasificación"
)</f>
        <v>Sin clasificación</v>
      </c>
      <c r="G572" s="15"/>
      <c r="H572" s="47"/>
      <c r="I572" s="87"/>
      <c r="J572" s="78"/>
      <c r="K572" s="78"/>
      <c r="L572" s="78"/>
      <c r="M572" s="78"/>
      <c r="N572" s="76"/>
      <c r="O572" s="76"/>
      <c r="P572" s="78" t="str">
        <f>_xlfn.LET(
    _xlpm.itemBuscado, B572,
    _xlpm.areaBuscada, C572,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TEXT(COUNTIF($C$2:C572, _xlpm.areaBuscada), "0000"),
    _xlpm.codItem &amp; "-" &amp; _xlpm.codArea &amp; "-" &amp; _xlpm.secuencia
)</f>
        <v>-SinArea-0000</v>
      </c>
      <c r="Q572" s="77"/>
      <c r="R572" s="32"/>
      <c r="S572" s="32"/>
      <c r="T572" s="32"/>
      <c r="U572" s="32"/>
    </row>
    <row r="573" spans="3:21" x14ac:dyDescent="0.3">
      <c r="C573" s="11"/>
      <c r="D573" s="32"/>
      <c r="E573" s="11" t="str" cm="1">
        <f t="array" ref="E573">_xlfn.IFS(
    COUNTIF(Herramientas_eléctricas1862[Herramientas_eléctricas], B573) &gt; 0, Herramientas_eléctricas1862[[#Headers],[Herramientas_eléctricas]],
    COUNTIF(Herramientas_neumáticas1963[Herramientas_neumáticas], B573) &gt; 0, Herramientas_neumáticas1963[[#Headers],[Herramientas_neumáticas]],
    COUNTIF(Herramientas_de_medición2064[Herramientas_de_medición], B573) &gt; 0, Herramientas_de_medición2064[[#Headers],[Herramientas_de_medición]],
    COUNTIF(Herrramientas_mecánicas2165[Herramientas_mecánicas], B573) &gt; 0, Herrramientas_mecánicas2165[[#Headers],[Herramientas_mecánicas]],
    COUNTIF(AK573:AK579, B573) &gt; 0, Herramientas_hidráulicas2266[[#Headers],[Herramientas_hidráulicas]],
    COUNTIF(EPP_2367[SPCC], B573) &gt; 0, EPP_2367[[#Headers],[SPCC]],
   COUNTIF(Herramientas_de_izaje2468[Herramientas_de_izaje], B573) &gt; 0, Herramientas_de_izaje2468[[#Headers],[Herramientas_de_izaje]],
COUNTIF(Tabla162670[Equipos], B573) &gt; 0, Tabla162670[[#Headers],[Equipos]],
    TRUE, "Sin clasificación"
)</f>
        <v>Sin clasificación</v>
      </c>
      <c r="G573" s="15"/>
      <c r="H573" s="47"/>
      <c r="I573" s="87"/>
      <c r="J573" s="78"/>
      <c r="K573" s="78"/>
      <c r="L573" s="78"/>
      <c r="M573" s="78"/>
      <c r="N573" s="76"/>
      <c r="O573" s="76"/>
      <c r="P573" s="78" t="str">
        <f>_xlfn.LET(
    _xlpm.itemBuscado, B573,
    _xlpm.areaBuscada, C573,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TEXT(COUNTIF($C$2:C573, _xlpm.areaBuscada), "0000"),
    _xlpm.codItem &amp; "-" &amp; _xlpm.codArea &amp; "-" &amp; _xlpm.secuencia
)</f>
        <v>-SinArea-0000</v>
      </c>
      <c r="Q573" s="77"/>
      <c r="R573" s="32"/>
      <c r="S573" s="32"/>
      <c r="T573" s="32"/>
      <c r="U573" s="32"/>
    </row>
    <row r="574" spans="3:21" x14ac:dyDescent="0.3">
      <c r="C574" s="11"/>
      <c r="D574" s="32"/>
      <c r="E574" s="11" t="str" cm="1">
        <f t="array" ref="E574">_xlfn.IFS(
    COUNTIF(Herramientas_eléctricas1862[Herramientas_eléctricas], B574) &gt; 0, Herramientas_eléctricas1862[[#Headers],[Herramientas_eléctricas]],
    COUNTIF(Herramientas_neumáticas1963[Herramientas_neumáticas], B574) &gt; 0, Herramientas_neumáticas1963[[#Headers],[Herramientas_neumáticas]],
    COUNTIF(Herramientas_de_medición2064[Herramientas_de_medición], B574) &gt; 0, Herramientas_de_medición2064[[#Headers],[Herramientas_de_medición]],
    COUNTIF(Herrramientas_mecánicas2165[Herramientas_mecánicas], B574) &gt; 0, Herrramientas_mecánicas2165[[#Headers],[Herramientas_mecánicas]],
    COUNTIF(AK574:AK580, B574) &gt; 0, Herramientas_hidráulicas2266[[#Headers],[Herramientas_hidráulicas]],
    COUNTIF(EPP_2367[SPCC], B574) &gt; 0, EPP_2367[[#Headers],[SPCC]],
   COUNTIF(Herramientas_de_izaje2468[Herramientas_de_izaje], B574) &gt; 0, Herramientas_de_izaje2468[[#Headers],[Herramientas_de_izaje]],
COUNTIF(Tabla162670[Equipos], B574) &gt; 0, Tabla162670[[#Headers],[Equipos]],
    TRUE, "Sin clasificación"
)</f>
        <v>Sin clasificación</v>
      </c>
      <c r="G574" s="15"/>
      <c r="H574" s="47"/>
      <c r="I574" s="87"/>
      <c r="J574" s="78"/>
      <c r="K574" s="78"/>
      <c r="L574" s="78"/>
      <c r="M574" s="78"/>
      <c r="N574" s="76"/>
      <c r="O574" s="76"/>
      <c r="P574" s="78" t="str">
        <f>_xlfn.LET(
    _xlpm.itemBuscado, B574,
    _xlpm.areaBuscada, C574,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TEXT(COUNTIF($C$2:C574, _xlpm.areaBuscada), "0000"),
    _xlpm.codItem &amp; "-" &amp; _xlpm.codArea &amp; "-" &amp; _xlpm.secuencia
)</f>
        <v>-SinArea-0000</v>
      </c>
      <c r="Q574" s="77"/>
      <c r="R574" s="32"/>
      <c r="S574" s="32"/>
      <c r="T574" s="32"/>
      <c r="U574" s="32"/>
    </row>
    <row r="575" spans="3:21" x14ac:dyDescent="0.3">
      <c r="C575" s="11"/>
      <c r="D575" s="32"/>
      <c r="E575" s="11" t="str" cm="1">
        <f t="array" ref="E575">_xlfn.IFS(
    COUNTIF(Herramientas_eléctricas1862[Herramientas_eléctricas], B575) &gt; 0, Herramientas_eléctricas1862[[#Headers],[Herramientas_eléctricas]],
    COUNTIF(Herramientas_neumáticas1963[Herramientas_neumáticas], B575) &gt; 0, Herramientas_neumáticas1963[[#Headers],[Herramientas_neumáticas]],
    COUNTIF(Herramientas_de_medición2064[Herramientas_de_medición], B575) &gt; 0, Herramientas_de_medición2064[[#Headers],[Herramientas_de_medición]],
    COUNTIF(Herrramientas_mecánicas2165[Herramientas_mecánicas], B575) &gt; 0, Herrramientas_mecánicas2165[[#Headers],[Herramientas_mecánicas]],
    COUNTIF(AK575:AK581, B575) &gt; 0, Herramientas_hidráulicas2266[[#Headers],[Herramientas_hidráulicas]],
    COUNTIF(EPP_2367[SPCC], B575) &gt; 0, EPP_2367[[#Headers],[SPCC]],
   COUNTIF(Herramientas_de_izaje2468[Herramientas_de_izaje], B575) &gt; 0, Herramientas_de_izaje2468[[#Headers],[Herramientas_de_izaje]],
COUNTIF(Tabla162670[Equipos], B575) &gt; 0, Tabla162670[[#Headers],[Equipos]],
    TRUE, "Sin clasificación"
)</f>
        <v>Sin clasificación</v>
      </c>
      <c r="G575" s="15"/>
      <c r="H575" s="47"/>
      <c r="I575" s="87"/>
      <c r="J575" s="78"/>
      <c r="K575" s="78"/>
      <c r="L575" s="78"/>
      <c r="M575" s="78"/>
      <c r="N575" s="76"/>
      <c r="O575" s="76"/>
      <c r="P575" s="78" t="str">
        <f>_xlfn.LET(
    _xlpm.itemBuscado, B575,
    _xlpm.areaBuscada, C575,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TEXT(COUNTIF($C$2:C575, _xlpm.areaBuscada), "0000"),
    _xlpm.codItem &amp; "-" &amp; _xlpm.codArea &amp; "-" &amp; _xlpm.secuencia
)</f>
        <v>-SinArea-0000</v>
      </c>
      <c r="Q575" s="77"/>
      <c r="R575" s="32"/>
      <c r="S575" s="32"/>
      <c r="T575" s="32"/>
      <c r="U575" s="32"/>
    </row>
    <row r="576" spans="3:21" x14ac:dyDescent="0.3">
      <c r="C576" s="11"/>
      <c r="D576" s="32"/>
      <c r="E576" s="11" t="str" cm="1">
        <f t="array" ref="E576">_xlfn.IFS(
    COUNTIF(Herramientas_eléctricas1862[Herramientas_eléctricas], B576) &gt; 0, Herramientas_eléctricas1862[[#Headers],[Herramientas_eléctricas]],
    COUNTIF(Herramientas_neumáticas1963[Herramientas_neumáticas], B576) &gt; 0, Herramientas_neumáticas1963[[#Headers],[Herramientas_neumáticas]],
    COUNTIF(Herramientas_de_medición2064[Herramientas_de_medición], B576) &gt; 0, Herramientas_de_medición2064[[#Headers],[Herramientas_de_medición]],
    COUNTIF(Herrramientas_mecánicas2165[Herramientas_mecánicas], B576) &gt; 0, Herrramientas_mecánicas2165[[#Headers],[Herramientas_mecánicas]],
    COUNTIF(AK576:AK582, B576) &gt; 0, Herramientas_hidráulicas2266[[#Headers],[Herramientas_hidráulicas]],
    COUNTIF(EPP_2367[SPCC], B576) &gt; 0, EPP_2367[[#Headers],[SPCC]],
   COUNTIF(Herramientas_de_izaje2468[Herramientas_de_izaje], B576) &gt; 0, Herramientas_de_izaje2468[[#Headers],[Herramientas_de_izaje]],
COUNTIF(Tabla162670[Equipos], B576) &gt; 0, Tabla162670[[#Headers],[Equipos]],
    TRUE, "Sin clasificación"
)</f>
        <v>Sin clasificación</v>
      </c>
      <c r="G576" s="15"/>
      <c r="H576" s="47"/>
      <c r="I576" s="87"/>
      <c r="J576" s="78"/>
      <c r="K576" s="78"/>
      <c r="L576" s="78"/>
      <c r="M576" s="78"/>
      <c r="N576" s="76"/>
      <c r="O576" s="76"/>
      <c r="P576" s="78" t="str">
        <f>_xlfn.LET(
    _xlpm.itemBuscado, B576,
    _xlpm.areaBuscada, C576,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TEXT(COUNTIF($C$2:C576, _xlpm.areaBuscada), "0000"),
    _xlpm.codItem &amp; "-" &amp; _xlpm.codArea &amp; "-" &amp; _xlpm.secuencia
)</f>
        <v>-SinArea-0000</v>
      </c>
      <c r="Q576" s="77"/>
      <c r="R576" s="32"/>
      <c r="S576" s="32"/>
      <c r="T576" s="32"/>
      <c r="U576" s="32"/>
    </row>
    <row r="577" spans="3:21" x14ac:dyDescent="0.3">
      <c r="C577" s="11"/>
      <c r="D577" s="32"/>
      <c r="E577" s="11" t="str" cm="1">
        <f t="array" ref="E577">_xlfn.IFS(
    COUNTIF(Herramientas_eléctricas1862[Herramientas_eléctricas], B577) &gt; 0, Herramientas_eléctricas1862[[#Headers],[Herramientas_eléctricas]],
    COUNTIF(Herramientas_neumáticas1963[Herramientas_neumáticas], B577) &gt; 0, Herramientas_neumáticas1963[[#Headers],[Herramientas_neumáticas]],
    COUNTIF(Herramientas_de_medición2064[Herramientas_de_medición], B577) &gt; 0, Herramientas_de_medición2064[[#Headers],[Herramientas_de_medición]],
    COUNTIF(Herrramientas_mecánicas2165[Herramientas_mecánicas], B577) &gt; 0, Herrramientas_mecánicas2165[[#Headers],[Herramientas_mecánicas]],
    COUNTIF(AK577:AK583, B577) &gt; 0, Herramientas_hidráulicas2266[[#Headers],[Herramientas_hidráulicas]],
    COUNTIF(EPP_2367[SPCC], B577) &gt; 0, EPP_2367[[#Headers],[SPCC]],
   COUNTIF(Herramientas_de_izaje2468[Herramientas_de_izaje], B577) &gt; 0, Herramientas_de_izaje2468[[#Headers],[Herramientas_de_izaje]],
COUNTIF(Tabla162670[Equipos], B577) &gt; 0, Tabla162670[[#Headers],[Equipos]],
    TRUE, "Sin clasificación"
)</f>
        <v>Sin clasificación</v>
      </c>
      <c r="G577" s="15"/>
      <c r="H577" s="47"/>
      <c r="I577" s="87"/>
      <c r="J577" s="78"/>
      <c r="K577" s="78"/>
      <c r="L577" s="78"/>
      <c r="M577" s="78"/>
      <c r="N577" s="76"/>
      <c r="O577" s="76"/>
      <c r="P577" s="78" t="str">
        <f>_xlfn.LET(
    _xlpm.itemBuscado, B577,
    _xlpm.areaBuscada, C577,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TEXT(COUNTIF($C$2:C577, _xlpm.areaBuscada), "0000"),
    _xlpm.codItem &amp; "-" &amp; _xlpm.codArea &amp; "-" &amp; _xlpm.secuencia
)</f>
        <v>-SinArea-0000</v>
      </c>
      <c r="Q577" s="77"/>
      <c r="R577" s="32"/>
      <c r="S577" s="32"/>
      <c r="T577" s="32"/>
      <c r="U577" s="32"/>
    </row>
    <row r="578" spans="3:21" x14ac:dyDescent="0.3">
      <c r="C578" s="11"/>
      <c r="D578" s="32"/>
      <c r="E578" s="11" t="str" cm="1">
        <f t="array" ref="E578">_xlfn.IFS(
    COUNTIF(Herramientas_eléctricas1862[Herramientas_eléctricas], B578) &gt; 0, Herramientas_eléctricas1862[[#Headers],[Herramientas_eléctricas]],
    COUNTIF(Herramientas_neumáticas1963[Herramientas_neumáticas], B578) &gt; 0, Herramientas_neumáticas1963[[#Headers],[Herramientas_neumáticas]],
    COUNTIF(Herramientas_de_medición2064[Herramientas_de_medición], B578) &gt; 0, Herramientas_de_medición2064[[#Headers],[Herramientas_de_medición]],
    COUNTIF(Herrramientas_mecánicas2165[Herramientas_mecánicas], B578) &gt; 0, Herrramientas_mecánicas2165[[#Headers],[Herramientas_mecánicas]],
    COUNTIF(AK578:AK584, B578) &gt; 0, Herramientas_hidráulicas2266[[#Headers],[Herramientas_hidráulicas]],
    COUNTIF(EPP_2367[SPCC], B578) &gt; 0, EPP_2367[[#Headers],[SPCC]],
   COUNTIF(Herramientas_de_izaje2468[Herramientas_de_izaje], B578) &gt; 0, Herramientas_de_izaje2468[[#Headers],[Herramientas_de_izaje]],
COUNTIF(Tabla162670[Equipos], B578) &gt; 0, Tabla162670[[#Headers],[Equipos]],
    TRUE, "Sin clasificación"
)</f>
        <v>Sin clasificación</v>
      </c>
      <c r="G578" s="15"/>
      <c r="H578" s="47"/>
      <c r="I578" s="87"/>
      <c r="J578" s="78"/>
      <c r="K578" s="78"/>
      <c r="L578" s="78"/>
      <c r="M578" s="78"/>
      <c r="N578" s="76"/>
      <c r="O578" s="76"/>
      <c r="P578" s="78" t="str">
        <f>_xlfn.LET(
    _xlpm.itemBuscado, B578,
    _xlpm.areaBuscada, C578,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TEXT(COUNTIF($C$2:C578, _xlpm.areaBuscada), "0000"),
    _xlpm.codItem &amp; "-" &amp; _xlpm.codArea &amp; "-" &amp; _xlpm.secuencia
)</f>
        <v>-SinArea-0000</v>
      </c>
      <c r="Q578" s="77"/>
      <c r="R578" s="32"/>
      <c r="S578" s="32"/>
      <c r="T578" s="32"/>
      <c r="U578" s="32"/>
    </row>
    <row r="579" spans="3:21" x14ac:dyDescent="0.3">
      <c r="C579" s="11"/>
      <c r="D579" s="32"/>
      <c r="E579" s="11" t="str" cm="1">
        <f t="array" ref="E579">_xlfn.IFS(
    COUNTIF(Herramientas_eléctricas1862[Herramientas_eléctricas], B579) &gt; 0, Herramientas_eléctricas1862[[#Headers],[Herramientas_eléctricas]],
    COUNTIF(Herramientas_neumáticas1963[Herramientas_neumáticas], B579) &gt; 0, Herramientas_neumáticas1963[[#Headers],[Herramientas_neumáticas]],
    COUNTIF(Herramientas_de_medición2064[Herramientas_de_medición], B579) &gt; 0, Herramientas_de_medición2064[[#Headers],[Herramientas_de_medición]],
    COUNTIF(Herrramientas_mecánicas2165[Herramientas_mecánicas], B579) &gt; 0, Herrramientas_mecánicas2165[[#Headers],[Herramientas_mecánicas]],
    COUNTIF(AK579:AK585, B579) &gt; 0, Herramientas_hidráulicas2266[[#Headers],[Herramientas_hidráulicas]],
    COUNTIF(EPP_2367[SPCC], B579) &gt; 0, EPP_2367[[#Headers],[SPCC]],
   COUNTIF(Herramientas_de_izaje2468[Herramientas_de_izaje], B579) &gt; 0, Herramientas_de_izaje2468[[#Headers],[Herramientas_de_izaje]],
COUNTIF(Tabla162670[Equipos], B579) &gt; 0, Tabla162670[[#Headers],[Equipos]],
    TRUE, "Sin clasificación"
)</f>
        <v>Sin clasificación</v>
      </c>
      <c r="G579" s="15"/>
      <c r="H579" s="47"/>
      <c r="I579" s="87"/>
      <c r="J579" s="78"/>
      <c r="K579" s="78"/>
      <c r="L579" s="78"/>
      <c r="M579" s="78"/>
      <c r="N579" s="76"/>
      <c r="O579" s="76"/>
      <c r="P579" s="78" t="str">
        <f>_xlfn.LET(
    _xlpm.itemBuscado, B579,
    _xlpm.areaBuscada, C579,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TEXT(COUNTIF($C$2:C579, _xlpm.areaBuscada), "0000"),
    _xlpm.codItem &amp; "-" &amp; _xlpm.codArea &amp; "-" &amp; _xlpm.secuencia
)</f>
        <v>-SinArea-0000</v>
      </c>
      <c r="Q579" s="77"/>
      <c r="R579" s="32"/>
      <c r="S579" s="32"/>
      <c r="T579" s="32"/>
      <c r="U579" s="32"/>
    </row>
    <row r="580" spans="3:21" x14ac:dyDescent="0.3">
      <c r="C580" s="11"/>
      <c r="D580" s="32"/>
      <c r="E580" s="11" t="str" cm="1">
        <f t="array" ref="E580">_xlfn.IFS(
    COUNTIF(Herramientas_eléctricas1862[Herramientas_eléctricas], B580) &gt; 0, Herramientas_eléctricas1862[[#Headers],[Herramientas_eléctricas]],
    COUNTIF(Herramientas_neumáticas1963[Herramientas_neumáticas], B580) &gt; 0, Herramientas_neumáticas1963[[#Headers],[Herramientas_neumáticas]],
    COUNTIF(Herramientas_de_medición2064[Herramientas_de_medición], B580) &gt; 0, Herramientas_de_medición2064[[#Headers],[Herramientas_de_medición]],
    COUNTIF(Herrramientas_mecánicas2165[Herramientas_mecánicas], B580) &gt; 0, Herrramientas_mecánicas2165[[#Headers],[Herramientas_mecánicas]],
    COUNTIF(AK580:AK586, B580) &gt; 0, Herramientas_hidráulicas2266[[#Headers],[Herramientas_hidráulicas]],
    COUNTIF(EPP_2367[SPCC], B580) &gt; 0, EPP_2367[[#Headers],[SPCC]],
   COUNTIF(Herramientas_de_izaje2468[Herramientas_de_izaje], B580) &gt; 0, Herramientas_de_izaje2468[[#Headers],[Herramientas_de_izaje]],
COUNTIF(Tabla162670[Equipos], B580) &gt; 0, Tabla162670[[#Headers],[Equipos]],
    TRUE, "Sin clasificación"
)</f>
        <v>Sin clasificación</v>
      </c>
      <c r="G580" s="15"/>
      <c r="H580" s="47"/>
      <c r="I580" s="87"/>
      <c r="J580" s="78"/>
      <c r="K580" s="78"/>
      <c r="L580" s="78"/>
      <c r="M580" s="78"/>
      <c r="N580" s="76"/>
      <c r="O580" s="76"/>
      <c r="P580" s="78" t="str">
        <f>_xlfn.LET(
    _xlpm.itemBuscado, B580,
    _xlpm.areaBuscada, C580,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TEXT(COUNTIF($C$2:C580, _xlpm.areaBuscada), "0000"),
    _xlpm.codItem &amp; "-" &amp; _xlpm.codArea &amp; "-" &amp; _xlpm.secuencia
)</f>
        <v>-SinArea-0000</v>
      </c>
      <c r="Q580" s="77"/>
      <c r="R580" s="32"/>
      <c r="S580" s="32"/>
      <c r="T580" s="32"/>
      <c r="U580" s="32"/>
    </row>
    <row r="581" spans="3:21" x14ac:dyDescent="0.3">
      <c r="C581" s="11"/>
      <c r="D581" s="32"/>
      <c r="E581" s="11" t="str" cm="1">
        <f t="array" ref="E581">_xlfn.IFS(
    COUNTIF(Herramientas_eléctricas1862[Herramientas_eléctricas], B581) &gt; 0, Herramientas_eléctricas1862[[#Headers],[Herramientas_eléctricas]],
    COUNTIF(Herramientas_neumáticas1963[Herramientas_neumáticas], B581) &gt; 0, Herramientas_neumáticas1963[[#Headers],[Herramientas_neumáticas]],
    COUNTIF(Herramientas_de_medición2064[Herramientas_de_medición], B581) &gt; 0, Herramientas_de_medición2064[[#Headers],[Herramientas_de_medición]],
    COUNTIF(Herrramientas_mecánicas2165[Herramientas_mecánicas], B581) &gt; 0, Herrramientas_mecánicas2165[[#Headers],[Herramientas_mecánicas]],
    COUNTIF(AK581:AK587, B581) &gt; 0, Herramientas_hidráulicas2266[[#Headers],[Herramientas_hidráulicas]],
    COUNTIF(EPP_2367[SPCC], B581) &gt; 0, EPP_2367[[#Headers],[SPCC]],
   COUNTIF(Herramientas_de_izaje2468[Herramientas_de_izaje], B581) &gt; 0, Herramientas_de_izaje2468[[#Headers],[Herramientas_de_izaje]],
COUNTIF(Tabla162670[Equipos], B581) &gt; 0, Tabla162670[[#Headers],[Equipos]],
    TRUE, "Sin clasificación"
)</f>
        <v>Sin clasificación</v>
      </c>
      <c r="G581" s="15"/>
      <c r="H581" s="47"/>
      <c r="I581" s="87"/>
      <c r="J581" s="78"/>
      <c r="K581" s="78"/>
      <c r="L581" s="78"/>
      <c r="M581" s="78"/>
      <c r="N581" s="76"/>
      <c r="O581" s="76"/>
      <c r="P581" s="78" t="str">
        <f>_xlfn.LET(
    _xlpm.itemBuscado, B581,
    _xlpm.areaBuscada, C581,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TEXT(COUNTIF($C$2:C581, _xlpm.areaBuscada), "0000"),
    _xlpm.codItem &amp; "-" &amp; _xlpm.codArea &amp; "-" &amp; _xlpm.secuencia
)</f>
        <v>-SinArea-0000</v>
      </c>
      <c r="Q581" s="77"/>
      <c r="R581" s="32"/>
      <c r="S581" s="32"/>
      <c r="T581" s="32"/>
      <c r="U581" s="32"/>
    </row>
    <row r="582" spans="3:21" x14ac:dyDescent="0.3">
      <c r="C582" s="11"/>
      <c r="D582" s="32"/>
      <c r="E582" s="11" t="str" cm="1">
        <f t="array" ref="E582">_xlfn.IFS(
    COUNTIF(Herramientas_eléctricas1862[Herramientas_eléctricas], B582) &gt; 0, Herramientas_eléctricas1862[[#Headers],[Herramientas_eléctricas]],
    COUNTIF(Herramientas_neumáticas1963[Herramientas_neumáticas], B582) &gt; 0, Herramientas_neumáticas1963[[#Headers],[Herramientas_neumáticas]],
    COUNTIF(Herramientas_de_medición2064[Herramientas_de_medición], B582) &gt; 0, Herramientas_de_medición2064[[#Headers],[Herramientas_de_medición]],
    COUNTIF(Herrramientas_mecánicas2165[Herramientas_mecánicas], B582) &gt; 0, Herrramientas_mecánicas2165[[#Headers],[Herramientas_mecánicas]],
    COUNTIF(AK582:AK588, B582) &gt; 0, Herramientas_hidráulicas2266[[#Headers],[Herramientas_hidráulicas]],
    COUNTIF(EPP_2367[SPCC], B582) &gt; 0, EPP_2367[[#Headers],[SPCC]],
   COUNTIF(Herramientas_de_izaje2468[Herramientas_de_izaje], B582) &gt; 0, Herramientas_de_izaje2468[[#Headers],[Herramientas_de_izaje]],
COUNTIF(Tabla162670[Equipos], B582) &gt; 0, Tabla162670[[#Headers],[Equipos]],
    TRUE, "Sin clasificación"
)</f>
        <v>Sin clasificación</v>
      </c>
      <c r="G582" s="15"/>
      <c r="H582" s="47"/>
      <c r="I582" s="87"/>
      <c r="J582" s="78"/>
      <c r="K582" s="78"/>
      <c r="L582" s="78"/>
      <c r="M582" s="78"/>
      <c r="N582" s="76"/>
      <c r="O582" s="76"/>
      <c r="P582" s="78" t="str">
        <f>_xlfn.LET(
    _xlpm.itemBuscado, B582,
    _xlpm.areaBuscada, C582,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TEXT(COUNTIF($C$2:C582, _xlpm.areaBuscada), "0000"),
    _xlpm.codItem &amp; "-" &amp; _xlpm.codArea &amp; "-" &amp; _xlpm.secuencia
)</f>
        <v>-SinArea-0000</v>
      </c>
      <c r="Q582" s="77"/>
      <c r="R582" s="32"/>
      <c r="S582" s="32"/>
      <c r="T582" s="32"/>
      <c r="U582" s="32"/>
    </row>
    <row r="583" spans="3:21" x14ac:dyDescent="0.3">
      <c r="C583" s="11"/>
      <c r="D583" s="32"/>
      <c r="E583" s="11" t="str" cm="1">
        <f t="array" ref="E583">_xlfn.IFS(
    COUNTIF(Herramientas_eléctricas1862[Herramientas_eléctricas], B583) &gt; 0, Herramientas_eléctricas1862[[#Headers],[Herramientas_eléctricas]],
    COUNTIF(Herramientas_neumáticas1963[Herramientas_neumáticas], B583) &gt; 0, Herramientas_neumáticas1963[[#Headers],[Herramientas_neumáticas]],
    COUNTIF(Herramientas_de_medición2064[Herramientas_de_medición], B583) &gt; 0, Herramientas_de_medición2064[[#Headers],[Herramientas_de_medición]],
    COUNTIF(Herrramientas_mecánicas2165[Herramientas_mecánicas], B583) &gt; 0, Herrramientas_mecánicas2165[[#Headers],[Herramientas_mecánicas]],
    COUNTIF(AK583:AK589, B583) &gt; 0, Herramientas_hidráulicas2266[[#Headers],[Herramientas_hidráulicas]],
    COUNTIF(EPP_2367[SPCC], B583) &gt; 0, EPP_2367[[#Headers],[SPCC]],
   COUNTIF(Herramientas_de_izaje2468[Herramientas_de_izaje], B583) &gt; 0, Herramientas_de_izaje2468[[#Headers],[Herramientas_de_izaje]],
COUNTIF(Tabla162670[Equipos], B583) &gt; 0, Tabla162670[[#Headers],[Equipos]],
    TRUE, "Sin clasificación"
)</f>
        <v>Sin clasificación</v>
      </c>
      <c r="G583" s="15"/>
      <c r="H583" s="47"/>
      <c r="I583" s="87"/>
      <c r="J583" s="78"/>
      <c r="K583" s="78"/>
      <c r="L583" s="78"/>
      <c r="M583" s="78"/>
      <c r="N583" s="76"/>
      <c r="O583" s="76"/>
      <c r="P583" s="78" t="str">
        <f>_xlfn.LET(
    _xlpm.itemBuscado, B583,
    _xlpm.areaBuscada, C583,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TEXT(COUNTIF($C$2:C583, _xlpm.areaBuscada), "0000"),
    _xlpm.codItem &amp; "-" &amp; _xlpm.codArea &amp; "-" &amp; _xlpm.secuencia
)</f>
        <v>-SinArea-0000</v>
      </c>
      <c r="Q583" s="77"/>
      <c r="R583" s="32"/>
      <c r="S583" s="32"/>
      <c r="T583" s="32"/>
      <c r="U583" s="32"/>
    </row>
    <row r="584" spans="3:21" x14ac:dyDescent="0.3">
      <c r="C584" s="11"/>
      <c r="D584" s="32"/>
      <c r="E584" s="11" t="str" cm="1">
        <f t="array" ref="E584">_xlfn.IFS(
    COUNTIF(Herramientas_eléctricas1862[Herramientas_eléctricas], B584) &gt; 0, Herramientas_eléctricas1862[[#Headers],[Herramientas_eléctricas]],
    COUNTIF(Herramientas_neumáticas1963[Herramientas_neumáticas], B584) &gt; 0, Herramientas_neumáticas1963[[#Headers],[Herramientas_neumáticas]],
    COUNTIF(Herramientas_de_medición2064[Herramientas_de_medición], B584) &gt; 0, Herramientas_de_medición2064[[#Headers],[Herramientas_de_medición]],
    COUNTIF(Herrramientas_mecánicas2165[Herramientas_mecánicas], B584) &gt; 0, Herrramientas_mecánicas2165[[#Headers],[Herramientas_mecánicas]],
    COUNTIF(AK584:AK590, B584) &gt; 0, Herramientas_hidráulicas2266[[#Headers],[Herramientas_hidráulicas]],
    COUNTIF(EPP_2367[SPCC], B584) &gt; 0, EPP_2367[[#Headers],[SPCC]],
   COUNTIF(Herramientas_de_izaje2468[Herramientas_de_izaje], B584) &gt; 0, Herramientas_de_izaje2468[[#Headers],[Herramientas_de_izaje]],
COUNTIF(Tabla162670[Equipos], B584) &gt; 0, Tabla162670[[#Headers],[Equipos]],
    TRUE, "Sin clasificación"
)</f>
        <v>Sin clasificación</v>
      </c>
      <c r="G584" s="15"/>
      <c r="H584" s="47"/>
      <c r="I584" s="87"/>
      <c r="J584" s="78"/>
      <c r="K584" s="78"/>
      <c r="L584" s="78"/>
      <c r="M584" s="78"/>
      <c r="N584" s="76"/>
      <c r="O584" s="76"/>
      <c r="P584" s="78" t="str">
        <f>_xlfn.LET(
    _xlpm.itemBuscado, B584,
    _xlpm.areaBuscada, C584,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TEXT(COUNTIF($C$2:C584, _xlpm.areaBuscada), "0000"),
    _xlpm.codItem &amp; "-" &amp; _xlpm.codArea &amp; "-" &amp; _xlpm.secuencia
)</f>
        <v>-SinArea-0000</v>
      </c>
      <c r="Q584" s="77"/>
      <c r="R584" s="32"/>
      <c r="S584" s="32"/>
      <c r="T584" s="32"/>
      <c r="U584" s="32"/>
    </row>
    <row r="585" spans="3:21" x14ac:dyDescent="0.3">
      <c r="C585" s="11"/>
      <c r="D585" s="32"/>
      <c r="E585" s="11" t="str" cm="1">
        <f t="array" ref="E585">_xlfn.IFS(
    COUNTIF(Herramientas_eléctricas1862[Herramientas_eléctricas], B585) &gt; 0, Herramientas_eléctricas1862[[#Headers],[Herramientas_eléctricas]],
    COUNTIF(Herramientas_neumáticas1963[Herramientas_neumáticas], B585) &gt; 0, Herramientas_neumáticas1963[[#Headers],[Herramientas_neumáticas]],
    COUNTIF(Herramientas_de_medición2064[Herramientas_de_medición], B585) &gt; 0, Herramientas_de_medición2064[[#Headers],[Herramientas_de_medición]],
    COUNTIF(Herrramientas_mecánicas2165[Herramientas_mecánicas], B585) &gt; 0, Herrramientas_mecánicas2165[[#Headers],[Herramientas_mecánicas]],
    COUNTIF(AK585:AK591, B585) &gt; 0, Herramientas_hidráulicas2266[[#Headers],[Herramientas_hidráulicas]],
    COUNTIF(EPP_2367[SPCC], B585) &gt; 0, EPP_2367[[#Headers],[SPCC]],
   COUNTIF(Herramientas_de_izaje2468[Herramientas_de_izaje], B585) &gt; 0, Herramientas_de_izaje2468[[#Headers],[Herramientas_de_izaje]],
COUNTIF(Tabla162670[Equipos], B585) &gt; 0, Tabla162670[[#Headers],[Equipos]],
    TRUE, "Sin clasificación"
)</f>
        <v>Sin clasificación</v>
      </c>
      <c r="G585" s="15"/>
      <c r="H585" s="47"/>
      <c r="I585" s="87"/>
      <c r="J585" s="78"/>
      <c r="K585" s="78"/>
      <c r="L585" s="78"/>
      <c r="M585" s="78"/>
      <c r="N585" s="76"/>
      <c r="O585" s="76"/>
      <c r="P585" s="78" t="str">
        <f>_xlfn.LET(
    _xlpm.itemBuscado, B585,
    _xlpm.areaBuscada, C585,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TEXT(COUNTIF($C$2:C585, _xlpm.areaBuscada), "0000"),
    _xlpm.codItem &amp; "-" &amp; _xlpm.codArea &amp; "-" &amp; _xlpm.secuencia
)</f>
        <v>-SinArea-0000</v>
      </c>
      <c r="Q585" s="77"/>
      <c r="R585" s="32"/>
      <c r="S585" s="32"/>
      <c r="T585" s="32"/>
      <c r="U585" s="32"/>
    </row>
    <row r="586" spans="3:21" x14ac:dyDescent="0.3">
      <c r="C586" s="11"/>
      <c r="D586" s="32"/>
      <c r="E586" s="11" t="str" cm="1">
        <f t="array" ref="E586">_xlfn.IFS(
    COUNTIF(Herramientas_eléctricas1862[Herramientas_eléctricas], B586) &gt; 0, Herramientas_eléctricas1862[[#Headers],[Herramientas_eléctricas]],
    COUNTIF(Herramientas_neumáticas1963[Herramientas_neumáticas], B586) &gt; 0, Herramientas_neumáticas1963[[#Headers],[Herramientas_neumáticas]],
    COUNTIF(Herramientas_de_medición2064[Herramientas_de_medición], B586) &gt; 0, Herramientas_de_medición2064[[#Headers],[Herramientas_de_medición]],
    COUNTIF(Herrramientas_mecánicas2165[Herramientas_mecánicas], B586) &gt; 0, Herrramientas_mecánicas2165[[#Headers],[Herramientas_mecánicas]],
    COUNTIF(AK586:AK592, B586) &gt; 0, Herramientas_hidráulicas2266[[#Headers],[Herramientas_hidráulicas]],
    COUNTIF(EPP_2367[SPCC], B586) &gt; 0, EPP_2367[[#Headers],[SPCC]],
   COUNTIF(Herramientas_de_izaje2468[Herramientas_de_izaje], B586) &gt; 0, Herramientas_de_izaje2468[[#Headers],[Herramientas_de_izaje]],
COUNTIF(Tabla162670[Equipos], B586) &gt; 0, Tabla162670[[#Headers],[Equipos]],
    TRUE, "Sin clasificación"
)</f>
        <v>Sin clasificación</v>
      </c>
      <c r="G586" s="15"/>
      <c r="H586" s="47"/>
      <c r="I586" s="87"/>
      <c r="J586" s="78"/>
      <c r="K586" s="78"/>
      <c r="L586" s="78"/>
      <c r="M586" s="78"/>
      <c r="N586" s="76"/>
      <c r="O586" s="76"/>
      <c r="P586" s="78" t="str">
        <f>_xlfn.LET(
    _xlpm.itemBuscado, B586,
    _xlpm.areaBuscada, C586,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TEXT(COUNTIF($C$2:C586, _xlpm.areaBuscada), "0000"),
    _xlpm.codItem &amp; "-" &amp; _xlpm.codArea &amp; "-" &amp; _xlpm.secuencia
)</f>
        <v>-SinArea-0000</v>
      </c>
      <c r="Q586" s="77"/>
      <c r="R586" s="32"/>
      <c r="S586" s="32"/>
      <c r="T586" s="32"/>
      <c r="U586" s="32"/>
    </row>
    <row r="587" spans="3:21" x14ac:dyDescent="0.3">
      <c r="C587" s="11"/>
      <c r="D587" s="32"/>
      <c r="E587" s="11" t="str" cm="1">
        <f t="array" ref="E587">_xlfn.IFS(
    COUNTIF(Herramientas_eléctricas1862[Herramientas_eléctricas], B587) &gt; 0, Herramientas_eléctricas1862[[#Headers],[Herramientas_eléctricas]],
    COUNTIF(Herramientas_neumáticas1963[Herramientas_neumáticas], B587) &gt; 0, Herramientas_neumáticas1963[[#Headers],[Herramientas_neumáticas]],
    COUNTIF(Herramientas_de_medición2064[Herramientas_de_medición], B587) &gt; 0, Herramientas_de_medición2064[[#Headers],[Herramientas_de_medición]],
    COUNTIF(Herrramientas_mecánicas2165[Herramientas_mecánicas], B587) &gt; 0, Herrramientas_mecánicas2165[[#Headers],[Herramientas_mecánicas]],
    COUNTIF(AK587:AK593, B587) &gt; 0, Herramientas_hidráulicas2266[[#Headers],[Herramientas_hidráulicas]],
    COUNTIF(EPP_2367[SPCC], B587) &gt; 0, EPP_2367[[#Headers],[SPCC]],
   COUNTIF(Herramientas_de_izaje2468[Herramientas_de_izaje], B587) &gt; 0, Herramientas_de_izaje2468[[#Headers],[Herramientas_de_izaje]],
COUNTIF(Tabla162670[Equipos], B587) &gt; 0, Tabla162670[[#Headers],[Equipos]],
    TRUE, "Sin clasificación"
)</f>
        <v>Sin clasificación</v>
      </c>
      <c r="G587" s="15"/>
      <c r="H587" s="47"/>
      <c r="I587" s="87"/>
      <c r="J587" s="78"/>
      <c r="K587" s="78"/>
      <c r="L587" s="78"/>
      <c r="M587" s="78"/>
      <c r="N587" s="76"/>
      <c r="O587" s="76"/>
      <c r="P587" s="78" t="str">
        <f>_xlfn.LET(
    _xlpm.itemBuscado, B587,
    _xlpm.areaBuscada, C587,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TEXT(COUNTIF($C$2:C587, _xlpm.areaBuscada), "0000"),
    _xlpm.codItem &amp; "-" &amp; _xlpm.codArea &amp; "-" &amp; _xlpm.secuencia
)</f>
        <v>-SinArea-0000</v>
      </c>
      <c r="Q587" s="77"/>
      <c r="R587" s="32"/>
      <c r="S587" s="32"/>
      <c r="T587" s="32"/>
      <c r="U587" s="32"/>
    </row>
    <row r="588" spans="3:21" x14ac:dyDescent="0.3">
      <c r="C588" s="11"/>
      <c r="D588" s="32"/>
      <c r="E588" s="11" t="str" cm="1">
        <f t="array" ref="E588">_xlfn.IFS(
    COUNTIF(Herramientas_eléctricas1862[Herramientas_eléctricas], B588) &gt; 0, Herramientas_eléctricas1862[[#Headers],[Herramientas_eléctricas]],
    COUNTIF(Herramientas_neumáticas1963[Herramientas_neumáticas], B588) &gt; 0, Herramientas_neumáticas1963[[#Headers],[Herramientas_neumáticas]],
    COUNTIF(Herramientas_de_medición2064[Herramientas_de_medición], B588) &gt; 0, Herramientas_de_medición2064[[#Headers],[Herramientas_de_medición]],
    COUNTIF(Herrramientas_mecánicas2165[Herramientas_mecánicas], B588) &gt; 0, Herrramientas_mecánicas2165[[#Headers],[Herramientas_mecánicas]],
    COUNTIF(AK588:AK594, B588) &gt; 0, Herramientas_hidráulicas2266[[#Headers],[Herramientas_hidráulicas]],
    COUNTIF(EPP_2367[SPCC], B588) &gt; 0, EPP_2367[[#Headers],[SPCC]],
   COUNTIF(Herramientas_de_izaje2468[Herramientas_de_izaje], B588) &gt; 0, Herramientas_de_izaje2468[[#Headers],[Herramientas_de_izaje]],
COUNTIF(Tabla162670[Equipos], B588) &gt; 0, Tabla162670[[#Headers],[Equipos]],
    TRUE, "Sin clasificación"
)</f>
        <v>Sin clasificación</v>
      </c>
      <c r="G588" s="15"/>
      <c r="H588" s="47"/>
      <c r="I588" s="87"/>
      <c r="J588" s="78"/>
      <c r="K588" s="78"/>
      <c r="L588" s="78"/>
      <c r="M588" s="78"/>
      <c r="N588" s="76"/>
      <c r="O588" s="76"/>
      <c r="P588" s="78" t="str">
        <f>_xlfn.LET(
    _xlpm.itemBuscado, B588,
    _xlpm.areaBuscada, C588,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TEXT(COUNTIF($C$2:C588, _xlpm.areaBuscada), "0000"),
    _xlpm.codItem &amp; "-" &amp; _xlpm.codArea &amp; "-" &amp; _xlpm.secuencia
)</f>
        <v>-SinArea-0000</v>
      </c>
      <c r="Q588" s="77"/>
      <c r="R588" s="32"/>
      <c r="S588" s="32"/>
      <c r="T588" s="32"/>
      <c r="U588" s="32"/>
    </row>
    <row r="589" spans="3:21" x14ac:dyDescent="0.3">
      <c r="C589" s="11"/>
      <c r="D589" s="32"/>
      <c r="E589" s="11" t="str" cm="1">
        <f t="array" ref="E589">_xlfn.IFS(
    COUNTIF(Herramientas_eléctricas1862[Herramientas_eléctricas], B589) &gt; 0, Herramientas_eléctricas1862[[#Headers],[Herramientas_eléctricas]],
    COUNTIF(Herramientas_neumáticas1963[Herramientas_neumáticas], B589) &gt; 0, Herramientas_neumáticas1963[[#Headers],[Herramientas_neumáticas]],
    COUNTIF(Herramientas_de_medición2064[Herramientas_de_medición], B589) &gt; 0, Herramientas_de_medición2064[[#Headers],[Herramientas_de_medición]],
    COUNTIF(Herrramientas_mecánicas2165[Herramientas_mecánicas], B589) &gt; 0, Herrramientas_mecánicas2165[[#Headers],[Herramientas_mecánicas]],
    COUNTIF(AK589:AK595, B589) &gt; 0, Herramientas_hidráulicas2266[[#Headers],[Herramientas_hidráulicas]],
    COUNTIF(EPP_2367[SPCC], B589) &gt; 0, EPP_2367[[#Headers],[SPCC]],
   COUNTIF(Herramientas_de_izaje2468[Herramientas_de_izaje], B589) &gt; 0, Herramientas_de_izaje2468[[#Headers],[Herramientas_de_izaje]],
COUNTIF(Tabla162670[Equipos], B589) &gt; 0, Tabla162670[[#Headers],[Equipos]],
    TRUE, "Sin clasificación"
)</f>
        <v>Sin clasificación</v>
      </c>
      <c r="G589" s="15"/>
      <c r="H589" s="47"/>
      <c r="I589" s="87"/>
      <c r="J589" s="78"/>
      <c r="K589" s="78"/>
      <c r="L589" s="78"/>
      <c r="M589" s="78"/>
      <c r="N589" s="76"/>
      <c r="O589" s="76"/>
      <c r="P589" s="78" t="str">
        <f>_xlfn.LET(
    _xlpm.itemBuscado, B589,
    _xlpm.areaBuscada, C589,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TEXT(COUNTIF($C$2:C589, _xlpm.areaBuscada), "0000"),
    _xlpm.codItem &amp; "-" &amp; _xlpm.codArea &amp; "-" &amp; _xlpm.secuencia
)</f>
        <v>-SinArea-0000</v>
      </c>
      <c r="Q589" s="77"/>
      <c r="R589" s="32"/>
      <c r="S589" s="32"/>
      <c r="T589" s="32"/>
      <c r="U589" s="32"/>
    </row>
    <row r="590" spans="3:21" x14ac:dyDescent="0.3">
      <c r="C590" s="11"/>
      <c r="D590" s="32"/>
      <c r="E590" s="11" t="str" cm="1">
        <f t="array" ref="E590">_xlfn.IFS(
    COUNTIF(Herramientas_eléctricas1862[Herramientas_eléctricas], B590) &gt; 0, Herramientas_eléctricas1862[[#Headers],[Herramientas_eléctricas]],
    COUNTIF(Herramientas_neumáticas1963[Herramientas_neumáticas], B590) &gt; 0, Herramientas_neumáticas1963[[#Headers],[Herramientas_neumáticas]],
    COUNTIF(Herramientas_de_medición2064[Herramientas_de_medición], B590) &gt; 0, Herramientas_de_medición2064[[#Headers],[Herramientas_de_medición]],
    COUNTIF(Herrramientas_mecánicas2165[Herramientas_mecánicas], B590) &gt; 0, Herrramientas_mecánicas2165[[#Headers],[Herramientas_mecánicas]],
    COUNTIF(AK590:AK596, B590) &gt; 0, Herramientas_hidráulicas2266[[#Headers],[Herramientas_hidráulicas]],
    COUNTIF(EPP_2367[SPCC], B590) &gt; 0, EPP_2367[[#Headers],[SPCC]],
   COUNTIF(Herramientas_de_izaje2468[Herramientas_de_izaje], B590) &gt; 0, Herramientas_de_izaje2468[[#Headers],[Herramientas_de_izaje]],
COUNTIF(Tabla162670[Equipos], B590) &gt; 0, Tabla162670[[#Headers],[Equipos]],
    TRUE, "Sin clasificación"
)</f>
        <v>Sin clasificación</v>
      </c>
      <c r="G590" s="15"/>
      <c r="H590" s="47"/>
      <c r="I590" s="87"/>
      <c r="J590" s="78"/>
      <c r="K590" s="78"/>
      <c r="L590" s="78"/>
      <c r="M590" s="78"/>
      <c r="N590" s="76"/>
      <c r="O590" s="76"/>
      <c r="P590" s="78" t="str">
        <f>_xlfn.LET(
    _xlpm.itemBuscado, B590,
    _xlpm.areaBuscada, C590,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TEXT(COUNTIF($C$2:C590, _xlpm.areaBuscada), "0000"),
    _xlpm.codItem &amp; "-" &amp; _xlpm.codArea &amp; "-" &amp; _xlpm.secuencia
)</f>
        <v>-SinArea-0000</v>
      </c>
      <c r="Q590" s="77"/>
      <c r="R590" s="32"/>
      <c r="S590" s="32"/>
      <c r="T590" s="32"/>
      <c r="U590" s="32"/>
    </row>
    <row r="591" spans="3:21" x14ac:dyDescent="0.3">
      <c r="C591" s="11"/>
      <c r="D591" s="32"/>
      <c r="E591" s="11" t="str" cm="1">
        <f t="array" ref="E591">_xlfn.IFS(
    COUNTIF(Herramientas_eléctricas1862[Herramientas_eléctricas], B591) &gt; 0, Herramientas_eléctricas1862[[#Headers],[Herramientas_eléctricas]],
    COUNTIF(Herramientas_neumáticas1963[Herramientas_neumáticas], B591) &gt; 0, Herramientas_neumáticas1963[[#Headers],[Herramientas_neumáticas]],
    COUNTIF(Herramientas_de_medición2064[Herramientas_de_medición], B591) &gt; 0, Herramientas_de_medición2064[[#Headers],[Herramientas_de_medición]],
    COUNTIF(Herrramientas_mecánicas2165[Herramientas_mecánicas], B591) &gt; 0, Herrramientas_mecánicas2165[[#Headers],[Herramientas_mecánicas]],
    COUNTIF(AK591:AK597, B591) &gt; 0, Herramientas_hidráulicas2266[[#Headers],[Herramientas_hidráulicas]],
    COUNTIF(EPP_2367[SPCC], B591) &gt; 0, EPP_2367[[#Headers],[SPCC]],
   COUNTIF(Herramientas_de_izaje2468[Herramientas_de_izaje], B591) &gt; 0, Herramientas_de_izaje2468[[#Headers],[Herramientas_de_izaje]],
COUNTIF(Tabla162670[Equipos], B591) &gt; 0, Tabla162670[[#Headers],[Equipos]],
    TRUE, "Sin clasificación"
)</f>
        <v>Sin clasificación</v>
      </c>
      <c r="G591" s="15"/>
      <c r="H591" s="47"/>
      <c r="I591" s="87"/>
      <c r="J591" s="78"/>
      <c r="K591" s="78"/>
      <c r="L591" s="78"/>
      <c r="M591" s="78"/>
      <c r="N591" s="76"/>
      <c r="O591" s="76"/>
      <c r="P591" s="78" t="str">
        <f>_xlfn.LET(
    _xlpm.itemBuscado, B591,
    _xlpm.areaBuscada, C591,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TEXT(COUNTIF($C$2:C591, _xlpm.areaBuscada), "0000"),
    _xlpm.codItem &amp; "-" &amp; _xlpm.codArea &amp; "-" &amp; _xlpm.secuencia
)</f>
        <v>-SinArea-0000</v>
      </c>
      <c r="Q591" s="77"/>
      <c r="R591" s="32"/>
      <c r="S591" s="32"/>
      <c r="T591" s="32"/>
      <c r="U591" s="32"/>
    </row>
    <row r="592" spans="3:21" x14ac:dyDescent="0.3">
      <c r="C592" s="11"/>
      <c r="D592" s="32"/>
      <c r="E592" s="11" t="str" cm="1">
        <f t="array" ref="E592">_xlfn.IFS(
    COUNTIF(Herramientas_eléctricas1862[Herramientas_eléctricas], B592) &gt; 0, Herramientas_eléctricas1862[[#Headers],[Herramientas_eléctricas]],
    COUNTIF(Herramientas_neumáticas1963[Herramientas_neumáticas], B592) &gt; 0, Herramientas_neumáticas1963[[#Headers],[Herramientas_neumáticas]],
    COUNTIF(Herramientas_de_medición2064[Herramientas_de_medición], B592) &gt; 0, Herramientas_de_medición2064[[#Headers],[Herramientas_de_medición]],
    COUNTIF(Herrramientas_mecánicas2165[Herramientas_mecánicas], B592) &gt; 0, Herrramientas_mecánicas2165[[#Headers],[Herramientas_mecánicas]],
    COUNTIF(AK592:AK598, B592) &gt; 0, Herramientas_hidráulicas2266[[#Headers],[Herramientas_hidráulicas]],
    COUNTIF(EPP_2367[SPCC], B592) &gt; 0, EPP_2367[[#Headers],[SPCC]],
   COUNTIF(Herramientas_de_izaje2468[Herramientas_de_izaje], B592) &gt; 0, Herramientas_de_izaje2468[[#Headers],[Herramientas_de_izaje]],
COUNTIF(Tabla162670[Equipos], B592) &gt; 0, Tabla162670[[#Headers],[Equipos]],
    TRUE, "Sin clasificación"
)</f>
        <v>Sin clasificación</v>
      </c>
      <c r="G592" s="15"/>
      <c r="H592" s="47"/>
      <c r="I592" s="87"/>
      <c r="J592" s="78"/>
      <c r="K592" s="78"/>
      <c r="L592" s="78"/>
      <c r="M592" s="78"/>
      <c r="N592" s="76"/>
      <c r="O592" s="76"/>
      <c r="P592" s="78" t="str">
        <f>_xlfn.LET(
    _xlpm.itemBuscado, B592,
    _xlpm.areaBuscada, C592,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TEXT(COUNTIF($C$2:C592, _xlpm.areaBuscada), "0000"),
    _xlpm.codItem &amp; "-" &amp; _xlpm.codArea &amp; "-" &amp; _xlpm.secuencia
)</f>
        <v>-SinArea-0000</v>
      </c>
      <c r="Q592" s="77"/>
      <c r="R592" s="32"/>
      <c r="S592" s="32"/>
      <c r="T592" s="32"/>
      <c r="U592" s="32"/>
    </row>
    <row r="593" spans="3:21" x14ac:dyDescent="0.3">
      <c r="C593" s="11"/>
      <c r="D593" s="32"/>
      <c r="E593" s="11" t="str" cm="1">
        <f t="array" ref="E593">_xlfn.IFS(
    COUNTIF(Herramientas_eléctricas1862[Herramientas_eléctricas], B593) &gt; 0, Herramientas_eléctricas1862[[#Headers],[Herramientas_eléctricas]],
    COUNTIF(Herramientas_neumáticas1963[Herramientas_neumáticas], B593) &gt; 0, Herramientas_neumáticas1963[[#Headers],[Herramientas_neumáticas]],
    COUNTIF(Herramientas_de_medición2064[Herramientas_de_medición], B593) &gt; 0, Herramientas_de_medición2064[[#Headers],[Herramientas_de_medición]],
    COUNTIF(Herrramientas_mecánicas2165[Herramientas_mecánicas], B593) &gt; 0, Herrramientas_mecánicas2165[[#Headers],[Herramientas_mecánicas]],
    COUNTIF(AK593:AK599, B593) &gt; 0, Herramientas_hidráulicas2266[[#Headers],[Herramientas_hidráulicas]],
    COUNTIF(EPP_2367[SPCC], B593) &gt; 0, EPP_2367[[#Headers],[SPCC]],
   COUNTIF(Herramientas_de_izaje2468[Herramientas_de_izaje], B593) &gt; 0, Herramientas_de_izaje2468[[#Headers],[Herramientas_de_izaje]],
COUNTIF(Tabla162670[Equipos], B593) &gt; 0, Tabla162670[[#Headers],[Equipos]],
    TRUE, "Sin clasificación"
)</f>
        <v>Sin clasificación</v>
      </c>
      <c r="G593" s="15"/>
      <c r="H593" s="47"/>
      <c r="I593" s="87"/>
      <c r="J593" s="78"/>
      <c r="K593" s="78"/>
      <c r="L593" s="78"/>
      <c r="M593" s="78"/>
      <c r="N593" s="76"/>
      <c r="O593" s="76"/>
      <c r="P593" s="78" t="str">
        <f>_xlfn.LET(
    _xlpm.itemBuscado, B593,
    _xlpm.areaBuscada, C593,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TEXT(COUNTIF($C$2:C593, _xlpm.areaBuscada), "0000"),
    _xlpm.codItem &amp; "-" &amp; _xlpm.codArea &amp; "-" &amp; _xlpm.secuencia
)</f>
        <v>-SinArea-0000</v>
      </c>
      <c r="Q593" s="77"/>
      <c r="R593" s="32"/>
      <c r="S593" s="32"/>
      <c r="T593" s="32"/>
      <c r="U593" s="32"/>
    </row>
    <row r="594" spans="3:21" x14ac:dyDescent="0.3">
      <c r="C594" s="11"/>
      <c r="D594" s="32"/>
      <c r="E594" s="11" t="str" cm="1">
        <f t="array" ref="E594">_xlfn.IFS(
    COUNTIF(Herramientas_eléctricas1862[Herramientas_eléctricas], B594) &gt; 0, Herramientas_eléctricas1862[[#Headers],[Herramientas_eléctricas]],
    COUNTIF(Herramientas_neumáticas1963[Herramientas_neumáticas], B594) &gt; 0, Herramientas_neumáticas1963[[#Headers],[Herramientas_neumáticas]],
    COUNTIF(Herramientas_de_medición2064[Herramientas_de_medición], B594) &gt; 0, Herramientas_de_medición2064[[#Headers],[Herramientas_de_medición]],
    COUNTIF(Herrramientas_mecánicas2165[Herramientas_mecánicas], B594) &gt; 0, Herrramientas_mecánicas2165[[#Headers],[Herramientas_mecánicas]],
    COUNTIF(AK594:AK600, B594) &gt; 0, Herramientas_hidráulicas2266[[#Headers],[Herramientas_hidráulicas]],
    COUNTIF(EPP_2367[SPCC], B594) &gt; 0, EPP_2367[[#Headers],[SPCC]],
   COUNTIF(Herramientas_de_izaje2468[Herramientas_de_izaje], B594) &gt; 0, Herramientas_de_izaje2468[[#Headers],[Herramientas_de_izaje]],
COUNTIF(Tabla162670[Equipos], B594) &gt; 0, Tabla162670[[#Headers],[Equipos]],
    TRUE, "Sin clasificación"
)</f>
        <v>Sin clasificación</v>
      </c>
      <c r="G594" s="15"/>
      <c r="H594" s="47"/>
      <c r="I594" s="87"/>
      <c r="J594" s="78"/>
      <c r="K594" s="78"/>
      <c r="L594" s="78"/>
      <c r="M594" s="78"/>
      <c r="N594" s="76"/>
      <c r="O594" s="76"/>
      <c r="P594" s="78" t="str">
        <f>_xlfn.LET(
    _xlpm.itemBuscado, B594,
    _xlpm.areaBuscada, C594,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TEXT(COUNTIF($C$2:C594, _xlpm.areaBuscada), "0000"),
    _xlpm.codItem &amp; "-" &amp; _xlpm.codArea &amp; "-" &amp; _xlpm.secuencia
)</f>
        <v>-SinArea-0000</v>
      </c>
      <c r="Q594" s="77"/>
      <c r="R594" s="32"/>
      <c r="S594" s="32"/>
      <c r="T594" s="32"/>
      <c r="U594" s="32"/>
    </row>
    <row r="595" spans="3:21" x14ac:dyDescent="0.3">
      <c r="C595" s="11"/>
      <c r="D595" s="32"/>
      <c r="E595" s="11" t="str" cm="1">
        <f t="array" ref="E595">_xlfn.IFS(
    COUNTIF(Herramientas_eléctricas1862[Herramientas_eléctricas], B595) &gt; 0, Herramientas_eléctricas1862[[#Headers],[Herramientas_eléctricas]],
    COUNTIF(Herramientas_neumáticas1963[Herramientas_neumáticas], B595) &gt; 0, Herramientas_neumáticas1963[[#Headers],[Herramientas_neumáticas]],
    COUNTIF(Herramientas_de_medición2064[Herramientas_de_medición], B595) &gt; 0, Herramientas_de_medición2064[[#Headers],[Herramientas_de_medición]],
    COUNTIF(Herrramientas_mecánicas2165[Herramientas_mecánicas], B595) &gt; 0, Herrramientas_mecánicas2165[[#Headers],[Herramientas_mecánicas]],
    COUNTIF(AK595:AK601, B595) &gt; 0, Herramientas_hidráulicas2266[[#Headers],[Herramientas_hidráulicas]],
    COUNTIF(EPP_2367[SPCC], B595) &gt; 0, EPP_2367[[#Headers],[SPCC]],
   COUNTIF(Herramientas_de_izaje2468[Herramientas_de_izaje], B595) &gt; 0, Herramientas_de_izaje2468[[#Headers],[Herramientas_de_izaje]],
COUNTIF(Tabla162670[Equipos], B595) &gt; 0, Tabla162670[[#Headers],[Equipos]],
    TRUE, "Sin clasificación"
)</f>
        <v>Sin clasificación</v>
      </c>
      <c r="G595" s="15"/>
      <c r="H595" s="47"/>
      <c r="I595" s="87"/>
      <c r="J595" s="78"/>
      <c r="K595" s="78"/>
      <c r="L595" s="78"/>
      <c r="M595" s="78"/>
      <c r="N595" s="76"/>
      <c r="O595" s="76"/>
      <c r="P595" s="78" t="str">
        <f>_xlfn.LET(
    _xlpm.itemBuscado, B595,
    _xlpm.areaBuscada, C595,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TEXT(COUNTIF($C$2:C595, _xlpm.areaBuscada), "0000"),
    _xlpm.codItem &amp; "-" &amp; _xlpm.codArea &amp; "-" &amp; _xlpm.secuencia
)</f>
        <v>-SinArea-0000</v>
      </c>
      <c r="Q595" s="77"/>
      <c r="R595" s="32"/>
      <c r="S595" s="32"/>
      <c r="T595" s="32"/>
      <c r="U595" s="32"/>
    </row>
    <row r="596" spans="3:21" x14ac:dyDescent="0.3">
      <c r="C596" s="11"/>
      <c r="D596" s="32"/>
      <c r="E596" s="11" t="str" cm="1">
        <f t="array" ref="E596">_xlfn.IFS(
    COUNTIF(Herramientas_eléctricas1862[Herramientas_eléctricas], B596) &gt; 0, Herramientas_eléctricas1862[[#Headers],[Herramientas_eléctricas]],
    COUNTIF(Herramientas_neumáticas1963[Herramientas_neumáticas], B596) &gt; 0, Herramientas_neumáticas1963[[#Headers],[Herramientas_neumáticas]],
    COUNTIF(Herramientas_de_medición2064[Herramientas_de_medición], B596) &gt; 0, Herramientas_de_medición2064[[#Headers],[Herramientas_de_medición]],
    COUNTIF(Herrramientas_mecánicas2165[Herramientas_mecánicas], B596) &gt; 0, Herrramientas_mecánicas2165[[#Headers],[Herramientas_mecánicas]],
    COUNTIF(AK596:AK602, B596) &gt; 0, Herramientas_hidráulicas2266[[#Headers],[Herramientas_hidráulicas]],
    COUNTIF(EPP_2367[SPCC], B596) &gt; 0, EPP_2367[[#Headers],[SPCC]],
   COUNTIF(Herramientas_de_izaje2468[Herramientas_de_izaje], B596) &gt; 0, Herramientas_de_izaje2468[[#Headers],[Herramientas_de_izaje]],
COUNTIF(Tabla162670[Equipos], B596) &gt; 0, Tabla162670[[#Headers],[Equipos]],
    TRUE, "Sin clasificación"
)</f>
        <v>Sin clasificación</v>
      </c>
      <c r="G596" s="15"/>
      <c r="H596" s="47"/>
      <c r="I596" s="87"/>
      <c r="J596" s="78"/>
      <c r="K596" s="78"/>
      <c r="L596" s="78"/>
      <c r="M596" s="78"/>
      <c r="N596" s="76"/>
      <c r="O596" s="76"/>
      <c r="P596" s="78" t="str">
        <f>_xlfn.LET(
    _xlpm.itemBuscado, B596,
    _xlpm.areaBuscada, C596,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TEXT(COUNTIF($C$2:C596, _xlpm.areaBuscada), "0000"),
    _xlpm.codItem &amp; "-" &amp; _xlpm.codArea &amp; "-" &amp; _xlpm.secuencia
)</f>
        <v>-SinArea-0000</v>
      </c>
      <c r="Q596" s="77"/>
      <c r="R596" s="32"/>
      <c r="S596" s="32"/>
      <c r="T596" s="32"/>
      <c r="U596" s="32"/>
    </row>
    <row r="597" spans="3:21" x14ac:dyDescent="0.3">
      <c r="C597" s="11"/>
      <c r="D597" s="32"/>
      <c r="E597" s="11" t="str" cm="1">
        <f t="array" ref="E597">_xlfn.IFS(
    COUNTIF(Herramientas_eléctricas1862[Herramientas_eléctricas], B597) &gt; 0, Herramientas_eléctricas1862[[#Headers],[Herramientas_eléctricas]],
    COUNTIF(Herramientas_neumáticas1963[Herramientas_neumáticas], B597) &gt; 0, Herramientas_neumáticas1963[[#Headers],[Herramientas_neumáticas]],
    COUNTIF(Herramientas_de_medición2064[Herramientas_de_medición], B597) &gt; 0, Herramientas_de_medición2064[[#Headers],[Herramientas_de_medición]],
    COUNTIF(Herrramientas_mecánicas2165[Herramientas_mecánicas], B597) &gt; 0, Herrramientas_mecánicas2165[[#Headers],[Herramientas_mecánicas]],
    COUNTIF(AK597:AK603, B597) &gt; 0, Herramientas_hidráulicas2266[[#Headers],[Herramientas_hidráulicas]],
    COUNTIF(EPP_2367[SPCC], B597) &gt; 0, EPP_2367[[#Headers],[SPCC]],
   COUNTIF(Herramientas_de_izaje2468[Herramientas_de_izaje], B597) &gt; 0, Herramientas_de_izaje2468[[#Headers],[Herramientas_de_izaje]],
COUNTIF(Tabla162670[Equipos], B597) &gt; 0, Tabla162670[[#Headers],[Equipos]],
    TRUE, "Sin clasificación"
)</f>
        <v>Sin clasificación</v>
      </c>
      <c r="G597" s="15"/>
      <c r="H597" s="47"/>
      <c r="I597" s="87"/>
      <c r="J597" s="78"/>
      <c r="K597" s="78"/>
      <c r="L597" s="78"/>
      <c r="M597" s="78"/>
      <c r="N597" s="76"/>
      <c r="O597" s="76"/>
      <c r="P597" s="78" t="str">
        <f>_xlfn.LET(
    _xlpm.itemBuscado, B597,
    _xlpm.areaBuscada, C597,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TEXT(COUNTIF($C$2:C597, _xlpm.areaBuscada), "0000"),
    _xlpm.codItem &amp; "-" &amp; _xlpm.codArea &amp; "-" &amp; _xlpm.secuencia
)</f>
        <v>-SinArea-0000</v>
      </c>
      <c r="Q597" s="77"/>
      <c r="R597" s="32"/>
      <c r="S597" s="32"/>
      <c r="T597" s="32"/>
      <c r="U597" s="32"/>
    </row>
    <row r="598" spans="3:21" x14ac:dyDescent="0.3">
      <c r="C598" s="11"/>
      <c r="D598" s="32"/>
      <c r="E598" s="11" t="str" cm="1">
        <f t="array" ref="E598">_xlfn.IFS(
    COUNTIF(Herramientas_eléctricas1862[Herramientas_eléctricas], B598) &gt; 0, Herramientas_eléctricas1862[[#Headers],[Herramientas_eléctricas]],
    COUNTIF(Herramientas_neumáticas1963[Herramientas_neumáticas], B598) &gt; 0, Herramientas_neumáticas1963[[#Headers],[Herramientas_neumáticas]],
    COUNTIF(Herramientas_de_medición2064[Herramientas_de_medición], B598) &gt; 0, Herramientas_de_medición2064[[#Headers],[Herramientas_de_medición]],
    COUNTIF(Herrramientas_mecánicas2165[Herramientas_mecánicas], B598) &gt; 0, Herrramientas_mecánicas2165[[#Headers],[Herramientas_mecánicas]],
    COUNTIF(AK598:AK604, B598) &gt; 0, Herramientas_hidráulicas2266[[#Headers],[Herramientas_hidráulicas]],
    COUNTIF(EPP_2367[SPCC], B598) &gt; 0, EPP_2367[[#Headers],[SPCC]],
   COUNTIF(Herramientas_de_izaje2468[Herramientas_de_izaje], B598) &gt; 0, Herramientas_de_izaje2468[[#Headers],[Herramientas_de_izaje]],
COUNTIF(Tabla162670[Equipos], B598) &gt; 0, Tabla162670[[#Headers],[Equipos]],
    TRUE, "Sin clasificación"
)</f>
        <v>Sin clasificación</v>
      </c>
      <c r="G598" s="15"/>
      <c r="H598" s="47"/>
      <c r="I598" s="87"/>
      <c r="J598" s="78"/>
      <c r="K598" s="78"/>
      <c r="L598" s="78"/>
      <c r="M598" s="78"/>
      <c r="N598" s="76"/>
      <c r="O598" s="76"/>
      <c r="P598" s="78" t="str">
        <f>_xlfn.LET(
    _xlpm.itemBuscado, B598,
    _xlpm.areaBuscada, C598,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TEXT(COUNTIF($C$2:C598, _xlpm.areaBuscada), "0000"),
    _xlpm.codItem &amp; "-" &amp; _xlpm.codArea &amp; "-" &amp; _xlpm.secuencia
)</f>
        <v>-SinArea-0000</v>
      </c>
      <c r="Q598" s="77"/>
      <c r="R598" s="32"/>
      <c r="S598" s="32"/>
      <c r="T598" s="32"/>
      <c r="U598" s="32"/>
    </row>
    <row r="599" spans="3:21" x14ac:dyDescent="0.3">
      <c r="C599" s="11"/>
      <c r="D599" s="32"/>
      <c r="E599" s="11" t="str" cm="1">
        <f t="array" ref="E599">_xlfn.IFS(
    COUNTIF(Herramientas_eléctricas1862[Herramientas_eléctricas], B599) &gt; 0, Herramientas_eléctricas1862[[#Headers],[Herramientas_eléctricas]],
    COUNTIF(Herramientas_neumáticas1963[Herramientas_neumáticas], B599) &gt; 0, Herramientas_neumáticas1963[[#Headers],[Herramientas_neumáticas]],
    COUNTIF(Herramientas_de_medición2064[Herramientas_de_medición], B599) &gt; 0, Herramientas_de_medición2064[[#Headers],[Herramientas_de_medición]],
    COUNTIF(Herrramientas_mecánicas2165[Herramientas_mecánicas], B599) &gt; 0, Herrramientas_mecánicas2165[[#Headers],[Herramientas_mecánicas]],
    COUNTIF(AK599:AK605, B599) &gt; 0, Herramientas_hidráulicas2266[[#Headers],[Herramientas_hidráulicas]],
    COUNTIF(EPP_2367[SPCC], B599) &gt; 0, EPP_2367[[#Headers],[SPCC]],
   COUNTIF(Herramientas_de_izaje2468[Herramientas_de_izaje], B599) &gt; 0, Herramientas_de_izaje2468[[#Headers],[Herramientas_de_izaje]],
COUNTIF(Tabla162670[Equipos], B599) &gt; 0, Tabla162670[[#Headers],[Equipos]],
    TRUE, "Sin clasificación"
)</f>
        <v>Sin clasificación</v>
      </c>
      <c r="G599" s="15"/>
      <c r="H599" s="47"/>
      <c r="I599" s="87"/>
      <c r="J599" s="78"/>
      <c r="K599" s="78"/>
      <c r="L599" s="78"/>
      <c r="M599" s="78"/>
      <c r="N599" s="76"/>
      <c r="O599" s="76"/>
      <c r="P599" s="78" t="str">
        <f>_xlfn.LET(
    _xlpm.itemBuscado, B599,
    _xlpm.areaBuscada, C599,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TEXT(COUNTIF($C$2:C599, _xlpm.areaBuscada), "0000"),
    _xlpm.codItem &amp; "-" &amp; _xlpm.codArea &amp; "-" &amp; _xlpm.secuencia
)</f>
        <v>-SinArea-0000</v>
      </c>
      <c r="Q599" s="77"/>
      <c r="R599" s="32"/>
      <c r="S599" s="32"/>
      <c r="T599" s="32"/>
      <c r="U599" s="32"/>
    </row>
    <row r="600" spans="3:21" x14ac:dyDescent="0.3">
      <c r="C600" s="11"/>
      <c r="D600" s="32"/>
      <c r="E600" s="11" t="str" cm="1">
        <f t="array" ref="E600">_xlfn.IFS(
    COUNTIF(Herramientas_eléctricas1862[Herramientas_eléctricas], B600) &gt; 0, Herramientas_eléctricas1862[[#Headers],[Herramientas_eléctricas]],
    COUNTIF(Herramientas_neumáticas1963[Herramientas_neumáticas], B600) &gt; 0, Herramientas_neumáticas1963[[#Headers],[Herramientas_neumáticas]],
    COUNTIF(Herramientas_de_medición2064[Herramientas_de_medición], B600) &gt; 0, Herramientas_de_medición2064[[#Headers],[Herramientas_de_medición]],
    COUNTIF(Herrramientas_mecánicas2165[Herramientas_mecánicas], B600) &gt; 0, Herrramientas_mecánicas2165[[#Headers],[Herramientas_mecánicas]],
    COUNTIF(AK600:AK606, B600) &gt; 0, Herramientas_hidráulicas2266[[#Headers],[Herramientas_hidráulicas]],
    COUNTIF(EPP_2367[SPCC], B600) &gt; 0, EPP_2367[[#Headers],[SPCC]],
   COUNTIF(Herramientas_de_izaje2468[Herramientas_de_izaje], B600) &gt; 0, Herramientas_de_izaje2468[[#Headers],[Herramientas_de_izaje]],
COUNTIF(Tabla162670[Equipos], B600) &gt; 0, Tabla162670[[#Headers],[Equipos]],
    TRUE, "Sin clasificación"
)</f>
        <v>Sin clasificación</v>
      </c>
      <c r="G600" s="15"/>
      <c r="H600" s="47"/>
      <c r="I600" s="87"/>
      <c r="J600" s="78"/>
      <c r="K600" s="78"/>
      <c r="L600" s="78"/>
      <c r="M600" s="78"/>
      <c r="N600" s="76"/>
      <c r="O600" s="76"/>
      <c r="P600" s="78" t="str">
        <f>_xlfn.LET(
    _xlpm.itemBuscado, B600,
    _xlpm.areaBuscada, C600,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TEXT(COUNTIF($C$2:C600, _xlpm.areaBuscada), "0000"),
    _xlpm.codItem &amp; "-" &amp; _xlpm.codArea &amp; "-" &amp; _xlpm.secuencia
)</f>
        <v>-SinArea-0000</v>
      </c>
      <c r="Q600" s="77"/>
      <c r="R600" s="32"/>
      <c r="S600" s="32"/>
      <c r="T600" s="32"/>
      <c r="U600" s="32"/>
    </row>
    <row r="601" spans="3:21" x14ac:dyDescent="0.3">
      <c r="C601" s="11"/>
      <c r="D601" s="32"/>
      <c r="E601" s="11" t="str" cm="1">
        <f t="array" ref="E601">_xlfn.IFS(
    COUNTIF(Herramientas_eléctricas1862[Herramientas_eléctricas], B601) &gt; 0, Herramientas_eléctricas1862[[#Headers],[Herramientas_eléctricas]],
    COUNTIF(Herramientas_neumáticas1963[Herramientas_neumáticas], B601) &gt; 0, Herramientas_neumáticas1963[[#Headers],[Herramientas_neumáticas]],
    COUNTIF(Herramientas_de_medición2064[Herramientas_de_medición], B601) &gt; 0, Herramientas_de_medición2064[[#Headers],[Herramientas_de_medición]],
    COUNTIF(Herrramientas_mecánicas2165[Herramientas_mecánicas], B601) &gt; 0, Herrramientas_mecánicas2165[[#Headers],[Herramientas_mecánicas]],
    COUNTIF(AK601:AK607, B601) &gt; 0, Herramientas_hidráulicas2266[[#Headers],[Herramientas_hidráulicas]],
    COUNTIF(EPP_2367[SPCC], B601) &gt; 0, EPP_2367[[#Headers],[SPCC]],
   COUNTIF(Herramientas_de_izaje2468[Herramientas_de_izaje], B601) &gt; 0, Herramientas_de_izaje2468[[#Headers],[Herramientas_de_izaje]],
COUNTIF(Tabla162670[Equipos], B601) &gt; 0, Tabla162670[[#Headers],[Equipos]],
    TRUE, "Sin clasificación"
)</f>
        <v>Sin clasificación</v>
      </c>
      <c r="G601" s="15"/>
      <c r="H601" s="47"/>
      <c r="I601" s="87"/>
      <c r="J601" s="78"/>
      <c r="K601" s="78"/>
      <c r="L601" s="78"/>
      <c r="M601" s="78"/>
      <c r="N601" s="76"/>
      <c r="O601" s="76"/>
      <c r="P601" s="78" t="str">
        <f>_xlfn.LET(
    _xlpm.itemBuscado, B601,
    _xlpm.areaBuscada, C601,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TEXT(COUNTIF($C$2:C601, _xlpm.areaBuscada), "0000"),
    _xlpm.codItem &amp; "-" &amp; _xlpm.codArea &amp; "-" &amp; _xlpm.secuencia
)</f>
        <v>-SinArea-0000</v>
      </c>
      <c r="Q601" s="77"/>
      <c r="R601" s="32"/>
      <c r="S601" s="32"/>
      <c r="T601" s="32"/>
      <c r="U601" s="32"/>
    </row>
    <row r="602" spans="3:21" x14ac:dyDescent="0.3">
      <c r="C602" s="11"/>
      <c r="D602" s="32"/>
      <c r="E602" s="11" t="str" cm="1">
        <f t="array" ref="E602">_xlfn.IFS(
    COUNTIF(Herramientas_eléctricas1862[Herramientas_eléctricas], B602) &gt; 0, Herramientas_eléctricas1862[[#Headers],[Herramientas_eléctricas]],
    COUNTIF(Herramientas_neumáticas1963[Herramientas_neumáticas], B602) &gt; 0, Herramientas_neumáticas1963[[#Headers],[Herramientas_neumáticas]],
    COUNTIF(Herramientas_de_medición2064[Herramientas_de_medición], B602) &gt; 0, Herramientas_de_medición2064[[#Headers],[Herramientas_de_medición]],
    COUNTIF(Herrramientas_mecánicas2165[Herramientas_mecánicas], B602) &gt; 0, Herrramientas_mecánicas2165[[#Headers],[Herramientas_mecánicas]],
    COUNTIF(AK602:AK608, B602) &gt; 0, Herramientas_hidráulicas2266[[#Headers],[Herramientas_hidráulicas]],
    COUNTIF(EPP_2367[SPCC], B602) &gt; 0, EPP_2367[[#Headers],[SPCC]],
   COUNTIF(Herramientas_de_izaje2468[Herramientas_de_izaje], B602) &gt; 0, Herramientas_de_izaje2468[[#Headers],[Herramientas_de_izaje]],
COUNTIF(Tabla162670[Equipos], B602) &gt; 0, Tabla162670[[#Headers],[Equipos]],
    TRUE, "Sin clasificación"
)</f>
        <v>Sin clasificación</v>
      </c>
      <c r="G602" s="15"/>
      <c r="H602" s="47"/>
      <c r="I602" s="87"/>
      <c r="J602" s="78"/>
      <c r="K602" s="78"/>
      <c r="L602" s="78"/>
      <c r="M602" s="78"/>
      <c r="N602" s="76"/>
      <c r="O602" s="76"/>
      <c r="P602" s="78" t="str">
        <f>_xlfn.LET(
    _xlpm.itemBuscado, B602,
    _xlpm.areaBuscada, C602,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TEXT(COUNTIF($C$2:C602, _xlpm.areaBuscada), "0000"),
    _xlpm.codItem &amp; "-" &amp; _xlpm.codArea &amp; "-" &amp; _xlpm.secuencia
)</f>
        <v>-SinArea-0000</v>
      </c>
      <c r="Q602" s="77"/>
      <c r="R602" s="32"/>
      <c r="S602" s="32"/>
      <c r="T602" s="32"/>
      <c r="U602" s="32"/>
    </row>
    <row r="603" spans="3:21" x14ac:dyDescent="0.3">
      <c r="C603" s="11"/>
      <c r="D603" s="32"/>
      <c r="E603" s="11" t="str" cm="1">
        <f t="array" ref="E603">_xlfn.IFS(
    COUNTIF(Herramientas_eléctricas1862[Herramientas_eléctricas], B603) &gt; 0, Herramientas_eléctricas1862[[#Headers],[Herramientas_eléctricas]],
    COUNTIF(Herramientas_neumáticas1963[Herramientas_neumáticas], B603) &gt; 0, Herramientas_neumáticas1963[[#Headers],[Herramientas_neumáticas]],
    COUNTIF(Herramientas_de_medición2064[Herramientas_de_medición], B603) &gt; 0, Herramientas_de_medición2064[[#Headers],[Herramientas_de_medición]],
    COUNTIF(Herrramientas_mecánicas2165[Herramientas_mecánicas], B603) &gt; 0, Herrramientas_mecánicas2165[[#Headers],[Herramientas_mecánicas]],
    COUNTIF(AK603:AK609, B603) &gt; 0, Herramientas_hidráulicas2266[[#Headers],[Herramientas_hidráulicas]],
    COUNTIF(EPP_2367[SPCC], B603) &gt; 0, EPP_2367[[#Headers],[SPCC]],
   COUNTIF(Herramientas_de_izaje2468[Herramientas_de_izaje], B603) &gt; 0, Herramientas_de_izaje2468[[#Headers],[Herramientas_de_izaje]],
COUNTIF(Tabla162670[Equipos], B603) &gt; 0, Tabla162670[[#Headers],[Equipos]],
    TRUE, "Sin clasificación"
)</f>
        <v>Sin clasificación</v>
      </c>
      <c r="G603" s="15"/>
      <c r="H603" s="47"/>
      <c r="I603" s="87"/>
      <c r="J603" s="78"/>
      <c r="K603" s="78"/>
      <c r="L603" s="78"/>
      <c r="M603" s="78"/>
      <c r="N603" s="76"/>
      <c r="O603" s="76"/>
      <c r="P603" s="78" t="str">
        <f>_xlfn.LET(
    _xlpm.itemBuscado, B603,
    _xlpm.areaBuscada, C603,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TEXT(COUNTIF($C$2:C603, _xlpm.areaBuscada), "0000"),
    _xlpm.codItem &amp; "-" &amp; _xlpm.codArea &amp; "-" &amp; _xlpm.secuencia
)</f>
        <v>-SinArea-0000</v>
      </c>
      <c r="Q603" s="77"/>
      <c r="R603" s="32"/>
      <c r="S603" s="32"/>
      <c r="T603" s="32"/>
      <c r="U603" s="32"/>
    </row>
    <row r="604" spans="3:21" x14ac:dyDescent="0.3">
      <c r="C604" s="11"/>
      <c r="D604" s="32"/>
      <c r="E604" s="11" t="str" cm="1">
        <f t="array" ref="E604">_xlfn.IFS(
    COUNTIF(Herramientas_eléctricas1862[Herramientas_eléctricas], B604) &gt; 0, Herramientas_eléctricas1862[[#Headers],[Herramientas_eléctricas]],
    COUNTIF(Herramientas_neumáticas1963[Herramientas_neumáticas], B604) &gt; 0, Herramientas_neumáticas1963[[#Headers],[Herramientas_neumáticas]],
    COUNTIF(Herramientas_de_medición2064[Herramientas_de_medición], B604) &gt; 0, Herramientas_de_medición2064[[#Headers],[Herramientas_de_medición]],
    COUNTIF(Herrramientas_mecánicas2165[Herramientas_mecánicas], B604) &gt; 0, Herrramientas_mecánicas2165[[#Headers],[Herramientas_mecánicas]],
    COUNTIF(AK604:AK610, B604) &gt; 0, Herramientas_hidráulicas2266[[#Headers],[Herramientas_hidráulicas]],
    COUNTIF(EPP_2367[SPCC], B604) &gt; 0, EPP_2367[[#Headers],[SPCC]],
   COUNTIF(Herramientas_de_izaje2468[Herramientas_de_izaje], B604) &gt; 0, Herramientas_de_izaje2468[[#Headers],[Herramientas_de_izaje]],
COUNTIF(Tabla162670[Equipos], B604) &gt; 0, Tabla162670[[#Headers],[Equipos]],
    TRUE, "Sin clasificación"
)</f>
        <v>Sin clasificación</v>
      </c>
      <c r="G604" s="15"/>
      <c r="H604" s="47"/>
      <c r="I604" s="87"/>
      <c r="J604" s="78"/>
      <c r="K604" s="78"/>
      <c r="L604" s="78"/>
      <c r="M604" s="78"/>
      <c r="N604" s="76"/>
      <c r="O604" s="76"/>
      <c r="P604" s="78" t="str">
        <f>_xlfn.LET(
    _xlpm.itemBuscado, B604,
    _xlpm.areaBuscada, C604,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TEXT(COUNTIF($C$2:C604, _xlpm.areaBuscada), "0000"),
    _xlpm.codItem &amp; "-" &amp; _xlpm.codArea &amp; "-" &amp; _xlpm.secuencia
)</f>
        <v>-SinArea-0000</v>
      </c>
      <c r="Q604" s="77"/>
      <c r="R604" s="32"/>
      <c r="S604" s="32"/>
      <c r="T604" s="32"/>
      <c r="U604" s="32"/>
    </row>
    <row r="605" spans="3:21" x14ac:dyDescent="0.3">
      <c r="C605" s="11"/>
      <c r="D605" s="32"/>
      <c r="E605" s="11" t="str" cm="1">
        <f t="array" ref="E605">_xlfn.IFS(
    COUNTIF(Herramientas_eléctricas1862[Herramientas_eléctricas], B605) &gt; 0, Herramientas_eléctricas1862[[#Headers],[Herramientas_eléctricas]],
    COUNTIF(Herramientas_neumáticas1963[Herramientas_neumáticas], B605) &gt; 0, Herramientas_neumáticas1963[[#Headers],[Herramientas_neumáticas]],
    COUNTIF(Herramientas_de_medición2064[Herramientas_de_medición], B605) &gt; 0, Herramientas_de_medición2064[[#Headers],[Herramientas_de_medición]],
    COUNTIF(Herrramientas_mecánicas2165[Herramientas_mecánicas], B605) &gt; 0, Herrramientas_mecánicas2165[[#Headers],[Herramientas_mecánicas]],
    COUNTIF(AK605:AK611, B605) &gt; 0, Herramientas_hidráulicas2266[[#Headers],[Herramientas_hidráulicas]],
    COUNTIF(EPP_2367[SPCC], B605) &gt; 0, EPP_2367[[#Headers],[SPCC]],
   COUNTIF(Herramientas_de_izaje2468[Herramientas_de_izaje], B605) &gt; 0, Herramientas_de_izaje2468[[#Headers],[Herramientas_de_izaje]],
COUNTIF(Tabla162670[Equipos], B605) &gt; 0, Tabla162670[[#Headers],[Equipos]],
    TRUE, "Sin clasificación"
)</f>
        <v>Sin clasificación</v>
      </c>
      <c r="G605" s="15"/>
      <c r="H605" s="47"/>
      <c r="I605" s="87"/>
      <c r="J605" s="78"/>
      <c r="K605" s="78"/>
      <c r="L605" s="78"/>
      <c r="M605" s="78"/>
      <c r="N605" s="76"/>
      <c r="O605" s="76"/>
      <c r="P605" s="78" t="str">
        <f>_xlfn.LET(
    _xlpm.itemBuscado, B605,
    _xlpm.areaBuscada, C605,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TEXT(COUNTIF($C$2:C605, _xlpm.areaBuscada), "0000"),
    _xlpm.codItem &amp; "-" &amp; _xlpm.codArea &amp; "-" &amp; _xlpm.secuencia
)</f>
        <v>-SinArea-0000</v>
      </c>
      <c r="Q605" s="77"/>
      <c r="R605" s="32"/>
      <c r="S605" s="32"/>
      <c r="T605" s="32"/>
      <c r="U605" s="32"/>
    </row>
    <row r="606" spans="3:21" x14ac:dyDescent="0.3">
      <c r="C606" s="11"/>
      <c r="D606" s="32"/>
      <c r="E606" s="11" t="str" cm="1">
        <f t="array" ref="E606">_xlfn.IFS(
    COUNTIF(Herramientas_eléctricas1862[Herramientas_eléctricas], B606) &gt; 0, Herramientas_eléctricas1862[[#Headers],[Herramientas_eléctricas]],
    COUNTIF(Herramientas_neumáticas1963[Herramientas_neumáticas], B606) &gt; 0, Herramientas_neumáticas1963[[#Headers],[Herramientas_neumáticas]],
    COUNTIF(Herramientas_de_medición2064[Herramientas_de_medición], B606) &gt; 0, Herramientas_de_medición2064[[#Headers],[Herramientas_de_medición]],
    COUNTIF(Herrramientas_mecánicas2165[Herramientas_mecánicas], B606) &gt; 0, Herrramientas_mecánicas2165[[#Headers],[Herramientas_mecánicas]],
    COUNTIF(AK606:AK612, B606) &gt; 0, Herramientas_hidráulicas2266[[#Headers],[Herramientas_hidráulicas]],
    COUNTIF(EPP_2367[SPCC], B606) &gt; 0, EPP_2367[[#Headers],[SPCC]],
   COUNTIF(Herramientas_de_izaje2468[Herramientas_de_izaje], B606) &gt; 0, Herramientas_de_izaje2468[[#Headers],[Herramientas_de_izaje]],
COUNTIF(Tabla162670[Equipos], B606) &gt; 0, Tabla162670[[#Headers],[Equipos]],
    TRUE, "Sin clasificación"
)</f>
        <v>Sin clasificación</v>
      </c>
      <c r="G606" s="15"/>
      <c r="H606" s="47"/>
      <c r="I606" s="87"/>
      <c r="J606" s="78"/>
      <c r="K606" s="78"/>
      <c r="L606" s="78"/>
      <c r="M606" s="78"/>
      <c r="N606" s="76"/>
      <c r="O606" s="76"/>
      <c r="P606" s="78" t="str">
        <f>_xlfn.LET(
    _xlpm.itemBuscado, B606,
    _xlpm.areaBuscada, C606,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TEXT(COUNTIF($C$2:C606, _xlpm.areaBuscada), "0000"),
    _xlpm.codItem &amp; "-" &amp; _xlpm.codArea &amp; "-" &amp; _xlpm.secuencia
)</f>
        <v>-SinArea-0000</v>
      </c>
      <c r="Q606" s="77"/>
      <c r="R606" s="32"/>
      <c r="S606" s="32"/>
      <c r="T606" s="32"/>
      <c r="U606" s="32"/>
    </row>
    <row r="607" spans="3:21" x14ac:dyDescent="0.3">
      <c r="C607" s="11"/>
      <c r="D607" s="32"/>
      <c r="E607" s="11" t="str" cm="1">
        <f t="array" ref="E607">_xlfn.IFS(
    COUNTIF(Herramientas_eléctricas1862[Herramientas_eléctricas], B607) &gt; 0, Herramientas_eléctricas1862[[#Headers],[Herramientas_eléctricas]],
    COUNTIF(Herramientas_neumáticas1963[Herramientas_neumáticas], B607) &gt; 0, Herramientas_neumáticas1963[[#Headers],[Herramientas_neumáticas]],
    COUNTIF(Herramientas_de_medición2064[Herramientas_de_medición], B607) &gt; 0, Herramientas_de_medición2064[[#Headers],[Herramientas_de_medición]],
    COUNTIF(Herrramientas_mecánicas2165[Herramientas_mecánicas], B607) &gt; 0, Herrramientas_mecánicas2165[[#Headers],[Herramientas_mecánicas]],
    COUNTIF(AK607:AK613, B607) &gt; 0, Herramientas_hidráulicas2266[[#Headers],[Herramientas_hidráulicas]],
    COUNTIF(EPP_2367[SPCC], B607) &gt; 0, EPP_2367[[#Headers],[SPCC]],
   COUNTIF(Herramientas_de_izaje2468[Herramientas_de_izaje], B607) &gt; 0, Herramientas_de_izaje2468[[#Headers],[Herramientas_de_izaje]],
COUNTIF(Tabla162670[Equipos], B607) &gt; 0, Tabla162670[[#Headers],[Equipos]],
    TRUE, "Sin clasificación"
)</f>
        <v>Sin clasificación</v>
      </c>
      <c r="G607" s="15"/>
      <c r="H607" s="47"/>
      <c r="I607" s="87"/>
      <c r="J607" s="78"/>
      <c r="K607" s="78"/>
      <c r="L607" s="78"/>
      <c r="M607" s="78"/>
      <c r="N607" s="76"/>
      <c r="O607" s="76"/>
      <c r="P607" s="78" t="str">
        <f>_xlfn.LET(
    _xlpm.itemBuscado, B607,
    _xlpm.areaBuscada, C607,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TEXT(COUNTIF($C$2:C607, _xlpm.areaBuscada), "0000"),
    _xlpm.codItem &amp; "-" &amp; _xlpm.codArea &amp; "-" &amp; _xlpm.secuencia
)</f>
        <v>-SinArea-0000</v>
      </c>
      <c r="Q607" s="77"/>
      <c r="R607" s="32"/>
      <c r="S607" s="32"/>
      <c r="T607" s="32"/>
      <c r="U607" s="32"/>
    </row>
    <row r="608" spans="3:21" x14ac:dyDescent="0.3">
      <c r="C608" s="11"/>
      <c r="D608" s="32"/>
      <c r="E608" s="11" t="str" cm="1">
        <f t="array" ref="E608">_xlfn.IFS(
    COUNTIF(Herramientas_eléctricas1862[Herramientas_eléctricas], B608) &gt; 0, Herramientas_eléctricas1862[[#Headers],[Herramientas_eléctricas]],
    COUNTIF(Herramientas_neumáticas1963[Herramientas_neumáticas], B608) &gt; 0, Herramientas_neumáticas1963[[#Headers],[Herramientas_neumáticas]],
    COUNTIF(Herramientas_de_medición2064[Herramientas_de_medición], B608) &gt; 0, Herramientas_de_medición2064[[#Headers],[Herramientas_de_medición]],
    COUNTIF(Herrramientas_mecánicas2165[Herramientas_mecánicas], B608) &gt; 0, Herrramientas_mecánicas2165[[#Headers],[Herramientas_mecánicas]],
    COUNTIF(AK608:AK614, B608) &gt; 0, Herramientas_hidráulicas2266[[#Headers],[Herramientas_hidráulicas]],
    COUNTIF(EPP_2367[SPCC], B608) &gt; 0, EPP_2367[[#Headers],[SPCC]],
   COUNTIF(Herramientas_de_izaje2468[Herramientas_de_izaje], B608) &gt; 0, Herramientas_de_izaje2468[[#Headers],[Herramientas_de_izaje]],
COUNTIF(Tabla162670[Equipos], B608) &gt; 0, Tabla162670[[#Headers],[Equipos]],
    TRUE, "Sin clasificación"
)</f>
        <v>Sin clasificación</v>
      </c>
      <c r="G608" s="15"/>
      <c r="H608" s="47"/>
      <c r="I608" s="87"/>
      <c r="J608" s="78"/>
      <c r="K608" s="78"/>
      <c r="L608" s="78"/>
      <c r="M608" s="78"/>
      <c r="N608" s="76"/>
      <c r="O608" s="76"/>
      <c r="P608" s="78" t="str">
        <f>_xlfn.LET(
    _xlpm.itemBuscado, B608,
    _xlpm.areaBuscada, C608,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TEXT(COUNTIF($C$2:C608, _xlpm.areaBuscada), "0000"),
    _xlpm.codItem &amp; "-" &amp; _xlpm.codArea &amp; "-" &amp; _xlpm.secuencia
)</f>
        <v>-SinArea-0000</v>
      </c>
      <c r="Q608" s="77"/>
      <c r="R608" s="32"/>
      <c r="S608" s="32"/>
      <c r="T608" s="32"/>
      <c r="U608" s="32"/>
    </row>
    <row r="609" spans="3:21" x14ac:dyDescent="0.3">
      <c r="C609" s="11"/>
      <c r="D609" s="32"/>
      <c r="E609" s="11" t="str" cm="1">
        <f t="array" ref="E609">_xlfn.IFS(
    COUNTIF(Herramientas_eléctricas1862[Herramientas_eléctricas], B609) &gt; 0, Herramientas_eléctricas1862[[#Headers],[Herramientas_eléctricas]],
    COUNTIF(Herramientas_neumáticas1963[Herramientas_neumáticas], B609) &gt; 0, Herramientas_neumáticas1963[[#Headers],[Herramientas_neumáticas]],
    COUNTIF(Herramientas_de_medición2064[Herramientas_de_medición], B609) &gt; 0, Herramientas_de_medición2064[[#Headers],[Herramientas_de_medición]],
    COUNTIF(Herrramientas_mecánicas2165[Herramientas_mecánicas], B609) &gt; 0, Herrramientas_mecánicas2165[[#Headers],[Herramientas_mecánicas]],
    COUNTIF(AK609:AK615, B609) &gt; 0, Herramientas_hidráulicas2266[[#Headers],[Herramientas_hidráulicas]],
    COUNTIF(EPP_2367[SPCC], B609) &gt; 0, EPP_2367[[#Headers],[SPCC]],
   COUNTIF(Herramientas_de_izaje2468[Herramientas_de_izaje], B609) &gt; 0, Herramientas_de_izaje2468[[#Headers],[Herramientas_de_izaje]],
COUNTIF(Tabla162670[Equipos], B609) &gt; 0, Tabla162670[[#Headers],[Equipos]],
    TRUE, "Sin clasificación"
)</f>
        <v>Sin clasificación</v>
      </c>
      <c r="G609" s="15"/>
      <c r="H609" s="47"/>
      <c r="I609" s="87"/>
      <c r="J609" s="78"/>
      <c r="K609" s="78"/>
      <c r="L609" s="78"/>
      <c r="M609" s="78"/>
      <c r="N609" s="76"/>
      <c r="O609" s="76"/>
      <c r="P609" s="78" t="str">
        <f>_xlfn.LET(
    _xlpm.itemBuscado, B609,
    _xlpm.areaBuscada, C609,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TEXT(COUNTIF($C$2:C609, _xlpm.areaBuscada), "0000"),
    _xlpm.codItem &amp; "-" &amp; _xlpm.codArea &amp; "-" &amp; _xlpm.secuencia
)</f>
        <v>-SinArea-0000</v>
      </c>
      <c r="Q609" s="77"/>
      <c r="R609" s="32"/>
      <c r="S609" s="32"/>
      <c r="T609" s="32"/>
      <c r="U609" s="32"/>
    </row>
    <row r="610" spans="3:21" x14ac:dyDescent="0.3">
      <c r="C610" s="11"/>
      <c r="D610" s="32"/>
      <c r="E610" s="11" t="str" cm="1">
        <f t="array" ref="E610">_xlfn.IFS(
    COUNTIF(Herramientas_eléctricas1862[Herramientas_eléctricas], B610) &gt; 0, Herramientas_eléctricas1862[[#Headers],[Herramientas_eléctricas]],
    COUNTIF(Herramientas_neumáticas1963[Herramientas_neumáticas], B610) &gt; 0, Herramientas_neumáticas1963[[#Headers],[Herramientas_neumáticas]],
    COUNTIF(Herramientas_de_medición2064[Herramientas_de_medición], B610) &gt; 0, Herramientas_de_medición2064[[#Headers],[Herramientas_de_medición]],
    COUNTIF(Herrramientas_mecánicas2165[Herramientas_mecánicas], B610) &gt; 0, Herrramientas_mecánicas2165[[#Headers],[Herramientas_mecánicas]],
    COUNTIF(AK610:AK616, B610) &gt; 0, Herramientas_hidráulicas2266[[#Headers],[Herramientas_hidráulicas]],
    COUNTIF(EPP_2367[SPCC], B610) &gt; 0, EPP_2367[[#Headers],[SPCC]],
   COUNTIF(Herramientas_de_izaje2468[Herramientas_de_izaje], B610) &gt; 0, Herramientas_de_izaje2468[[#Headers],[Herramientas_de_izaje]],
COUNTIF(Tabla162670[Equipos], B610) &gt; 0, Tabla162670[[#Headers],[Equipos]],
    TRUE, "Sin clasificación"
)</f>
        <v>Sin clasificación</v>
      </c>
      <c r="G610" s="15"/>
      <c r="H610" s="47"/>
      <c r="I610" s="87"/>
      <c r="J610" s="78"/>
      <c r="K610" s="78"/>
      <c r="L610" s="78"/>
      <c r="M610" s="78"/>
      <c r="N610" s="76"/>
      <c r="O610" s="76"/>
      <c r="P610" s="78" t="str">
        <f>_xlfn.LET(
    _xlpm.itemBuscado, B610,
    _xlpm.areaBuscada, C610,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TEXT(COUNTIF($C$2:C610, _xlpm.areaBuscada), "0000"),
    _xlpm.codItem &amp; "-" &amp; _xlpm.codArea &amp; "-" &amp; _xlpm.secuencia
)</f>
        <v>-SinArea-0000</v>
      </c>
      <c r="Q610" s="77"/>
      <c r="R610" s="32"/>
      <c r="S610" s="32"/>
      <c r="T610" s="32"/>
      <c r="U610" s="32"/>
    </row>
    <row r="611" spans="3:21" x14ac:dyDescent="0.3">
      <c r="C611" s="11"/>
      <c r="D611" s="32"/>
      <c r="E611" s="11" t="str" cm="1">
        <f t="array" ref="E611">_xlfn.IFS(
    COUNTIF(Herramientas_eléctricas1862[Herramientas_eléctricas], B611) &gt; 0, Herramientas_eléctricas1862[[#Headers],[Herramientas_eléctricas]],
    COUNTIF(Herramientas_neumáticas1963[Herramientas_neumáticas], B611) &gt; 0, Herramientas_neumáticas1963[[#Headers],[Herramientas_neumáticas]],
    COUNTIF(Herramientas_de_medición2064[Herramientas_de_medición], B611) &gt; 0, Herramientas_de_medición2064[[#Headers],[Herramientas_de_medición]],
    COUNTIF(Herrramientas_mecánicas2165[Herramientas_mecánicas], B611) &gt; 0, Herrramientas_mecánicas2165[[#Headers],[Herramientas_mecánicas]],
    COUNTIF(AK611:AK617, B611) &gt; 0, Herramientas_hidráulicas2266[[#Headers],[Herramientas_hidráulicas]],
    COUNTIF(EPP_2367[SPCC], B611) &gt; 0, EPP_2367[[#Headers],[SPCC]],
   COUNTIF(Herramientas_de_izaje2468[Herramientas_de_izaje], B611) &gt; 0, Herramientas_de_izaje2468[[#Headers],[Herramientas_de_izaje]],
COUNTIF(Tabla162670[Equipos], B611) &gt; 0, Tabla162670[[#Headers],[Equipos]],
    TRUE, "Sin clasificación"
)</f>
        <v>Sin clasificación</v>
      </c>
      <c r="G611" s="15"/>
      <c r="H611" s="47"/>
      <c r="I611" s="87"/>
      <c r="J611" s="78"/>
      <c r="K611" s="78"/>
      <c r="L611" s="78"/>
      <c r="M611" s="78"/>
      <c r="N611" s="76"/>
      <c r="O611" s="76"/>
      <c r="P611" s="78" t="str">
        <f>_xlfn.LET(
    _xlpm.itemBuscado, B611,
    _xlpm.areaBuscada, C611,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TEXT(COUNTIF($C$2:C611, _xlpm.areaBuscada), "0000"),
    _xlpm.codItem &amp; "-" &amp; _xlpm.codArea &amp; "-" &amp; _xlpm.secuencia
)</f>
        <v>-SinArea-0000</v>
      </c>
      <c r="Q611" s="77"/>
      <c r="R611" s="32"/>
      <c r="S611" s="32"/>
      <c r="T611" s="32"/>
      <c r="U611" s="32"/>
    </row>
    <row r="612" spans="3:21" x14ac:dyDescent="0.3">
      <c r="C612" s="11"/>
    </row>
    <row r="613" spans="3:21" x14ac:dyDescent="0.3">
      <c r="C613" s="11"/>
    </row>
    <row r="614" spans="3:21" x14ac:dyDescent="0.3">
      <c r="C614" s="11"/>
    </row>
    <row r="615" spans="3:21" x14ac:dyDescent="0.3">
      <c r="C615" s="11"/>
    </row>
    <row r="616" spans="3:21" x14ac:dyDescent="0.3">
      <c r="C616" s="11"/>
    </row>
    <row r="617" spans="3:21" x14ac:dyDescent="0.3">
      <c r="C617" s="11"/>
    </row>
    <row r="618" spans="3:21" x14ac:dyDescent="0.3">
      <c r="C618" s="11"/>
    </row>
  </sheetData>
  <dataValidations count="9">
    <dataValidation type="list" allowBlank="1" showInputMessage="1" showErrorMessage="1" sqref="E2:E611" xr:uid="{892BAD15-60FA-49DB-A3A7-DC634E797C38}">
      <formula1>$AG$1:$AN$1</formula1>
    </dataValidation>
    <dataValidation type="list" allowBlank="1" showInputMessage="1" showErrorMessage="1" sqref="T2:T611" xr:uid="{04753D9C-4797-44B7-AC93-4B7548ECC52C}">
      <formula1>$AA$2:$AA$4</formula1>
    </dataValidation>
    <dataValidation type="whole" allowBlank="1" showInputMessage="1" showErrorMessage="1" sqref="D2:D139" xr:uid="{6CE0B4A8-7843-46D1-A913-77DCBC4B27CC}">
      <formula1>1</formula1>
      <formula2>100</formula2>
    </dataValidation>
    <dataValidation type="list" allowBlank="1" showInputMessage="1" promptTitle="Guia" prompt="Si tiene dudas sobre que dato colocar consulte las siguientes tablas y no olvide revisar los comentarios_x000a__x000a_" sqref="F2:F139" xr:uid="{AE158622-D5BE-4A9C-93D3-E8A920A3FDCB}">
      <formula1>INDIRECT($E$2:$E$611)</formula1>
    </dataValidation>
    <dataValidation type="list" allowBlank="1" showInputMessage="1" showErrorMessage="1" sqref="S2:S611" xr:uid="{770A9682-98B0-4928-A608-B789030B6199}">
      <formula1>$AC$10:$AC$12</formula1>
    </dataValidation>
    <dataValidation allowBlank="1" showInputMessage="1" showErrorMessage="1" sqref="D140:D618" xr:uid="{E4D743DA-48DA-445F-9630-93D323EAB0F9}"/>
    <dataValidation type="list" allowBlank="1" showInputMessage="1" promptTitle="Guia" prompt="puede realizar Las siguientes opciones_x000a_si eligio electricos tiene las siguientes opciones de una posible sublista_x000a_" sqref="F140:F613" xr:uid="{FCD0A77B-1C45-4C32-90EB-9C603B7AC664}">
      <formula1>INDIRECT($E$2:$E$611)</formula1>
    </dataValidation>
    <dataValidation type="list" allowBlank="1" showInputMessage="1" showErrorMessage="1" sqref="C2:C618" xr:uid="{EA8295E6-4F24-4850-99F4-8C706F14CB4C}">
      <formula1>$X$2:$X$13</formula1>
    </dataValidation>
    <dataValidation type="list" allowBlank="1" showInputMessage="1" showErrorMessage="1" sqref="E612:E615" xr:uid="{BCFA5CDA-DC0A-4263-985B-E69B4E31306C}">
      <formula1>$AD$2:$AD$7</formula1>
    </dataValidation>
  </dataValidations>
  <pageMargins left="0.7" right="0.7" top="0.75" bottom="0.75" header="0.3" footer="0.3"/>
  <legacyDrawing r:id="rId1"/>
  <tableParts count="43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7244FBE-108E-4563-8F83-307B7CBCE287}">
          <x14:formula1>
            <xm:f>Hoja2!$B$3:$B$80</xm:f>
          </x14:formula1>
          <xm:sqref>B2:B34</xm:sqref>
        </x14:dataValidation>
        <x14:dataValidation type="list" allowBlank="1" showInputMessage="1" showErrorMessage="1" xr:uid="{BEE7679A-22CC-4E46-BFBD-B0F11CEDC0ED}">
          <x14:formula1>
            <xm:f>Hoja2!$B$3:$B$79</xm:f>
          </x14:formula1>
          <xm:sqref>B35:B611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D79B1-AF20-4A7C-B985-3EB01EA28322}">
  <dimension ref="B1:BP618"/>
  <sheetViews>
    <sheetView topLeftCell="A2" zoomScale="120" zoomScaleNormal="120" workbookViewId="0">
      <pane xSplit="3" topLeftCell="N1" activePane="topRight" state="frozen"/>
      <selection pane="topRight" activeCell="L5" sqref="L5:R6"/>
    </sheetView>
  </sheetViews>
  <sheetFormatPr baseColWidth="10" defaultColWidth="8.88671875" defaultRowHeight="14.4" x14ac:dyDescent="0.3"/>
  <cols>
    <col min="2" max="2" width="10.5546875" customWidth="1"/>
    <col min="3" max="3" width="14.6640625" customWidth="1"/>
    <col min="4" max="4" width="17.33203125" customWidth="1"/>
    <col min="5" max="5" width="25.44140625" customWidth="1"/>
    <col min="6" max="9" width="36.33203125" customWidth="1"/>
    <col min="10" max="10" width="18.88671875" customWidth="1"/>
    <col min="11" max="11" width="13.88671875" customWidth="1"/>
    <col min="12" max="12" width="15.109375" customWidth="1"/>
    <col min="13" max="13" width="22.6640625" customWidth="1"/>
    <col min="14" max="14" width="21.33203125" customWidth="1"/>
    <col min="15" max="15" width="23.109375" customWidth="1"/>
    <col min="16" max="16" width="17.44140625" customWidth="1"/>
    <col min="17" max="17" width="24.109375" customWidth="1"/>
    <col min="18" max="18" width="18.6640625" customWidth="1"/>
    <col min="19" max="19" width="43.6640625" customWidth="1"/>
    <col min="20" max="20" width="15.6640625" customWidth="1"/>
    <col min="21" max="21" width="11.6640625" customWidth="1"/>
    <col min="22" max="22" width="36.88671875" customWidth="1"/>
    <col min="25" max="25" width="11.33203125" customWidth="1"/>
    <col min="27" max="27" width="19.5546875" customWidth="1"/>
    <col min="28" max="28" width="23.44140625" bestFit="1" customWidth="1"/>
    <col min="29" max="29" width="21.33203125" customWidth="1"/>
    <col min="30" max="30" width="22.33203125" customWidth="1"/>
    <col min="31" max="31" width="24" customWidth="1"/>
    <col min="32" max="32" width="24.44140625" customWidth="1"/>
    <col min="33" max="33" width="26.109375" customWidth="1"/>
    <col min="34" max="34" width="23.6640625" customWidth="1"/>
    <col min="35" max="35" width="24" customWidth="1"/>
    <col min="36" max="36" width="21.33203125" customWidth="1"/>
    <col min="37" max="37" width="21.109375" customWidth="1"/>
    <col min="38" max="38" width="19.44140625" bestFit="1" customWidth="1"/>
    <col min="39" max="39" width="22.5546875" customWidth="1"/>
    <col min="40" max="40" width="29.6640625" customWidth="1"/>
    <col min="41" max="41" width="25" customWidth="1"/>
    <col min="42" max="42" width="26.6640625" customWidth="1"/>
    <col min="43" max="43" width="28.33203125" customWidth="1"/>
    <col min="44" max="44" width="27.109375" customWidth="1"/>
    <col min="45" max="47" width="33.6640625" customWidth="1"/>
    <col min="48" max="48" width="22.5546875" customWidth="1"/>
    <col min="49" max="49" width="26.109375" customWidth="1"/>
    <col min="50" max="50" width="25.33203125" customWidth="1"/>
    <col min="51" max="51" width="21.109375" customWidth="1"/>
    <col min="52" max="52" width="19" customWidth="1"/>
    <col min="53" max="53" width="15.5546875" customWidth="1"/>
    <col min="54" max="54" width="18.33203125" customWidth="1"/>
    <col min="55" max="55" width="18.109375" customWidth="1"/>
  </cols>
  <sheetData>
    <row r="1" spans="2:68" ht="21.6" customHeight="1" x14ac:dyDescent="0.3">
      <c r="B1" s="36" t="s">
        <v>200</v>
      </c>
      <c r="C1" s="36" t="s">
        <v>201</v>
      </c>
      <c r="D1" s="36" t="s">
        <v>202</v>
      </c>
      <c r="E1" s="36" t="s">
        <v>203</v>
      </c>
      <c r="F1" s="37" t="s">
        <v>204</v>
      </c>
      <c r="G1" s="37" t="s">
        <v>381</v>
      </c>
      <c r="H1" s="37" t="s">
        <v>388</v>
      </c>
      <c r="I1" s="37" t="s">
        <v>387</v>
      </c>
      <c r="J1" s="36" t="s">
        <v>205</v>
      </c>
      <c r="K1" s="36" t="s">
        <v>206</v>
      </c>
      <c r="L1" s="36" t="s">
        <v>342</v>
      </c>
      <c r="M1" s="37" t="s">
        <v>207</v>
      </c>
      <c r="N1" s="37" t="s">
        <v>343</v>
      </c>
      <c r="O1" s="37" t="s">
        <v>208</v>
      </c>
      <c r="P1" s="37" t="s">
        <v>209</v>
      </c>
      <c r="Q1" s="37" t="s">
        <v>210</v>
      </c>
      <c r="R1" s="38" t="s">
        <v>211</v>
      </c>
      <c r="S1" s="37" t="s">
        <v>212</v>
      </c>
      <c r="T1" s="39"/>
      <c r="U1" s="40" t="s">
        <v>213</v>
      </c>
      <c r="V1" s="41" t="s">
        <v>201</v>
      </c>
      <c r="X1" s="42" t="s">
        <v>213</v>
      </c>
      <c r="Y1" s="43" t="s">
        <v>211</v>
      </c>
      <c r="AA1" s="44" t="s">
        <v>213</v>
      </c>
      <c r="AB1" s="45" t="s">
        <v>214</v>
      </c>
      <c r="AD1" s="46"/>
      <c r="AE1" s="1" t="s">
        <v>4</v>
      </c>
      <c r="AF1" s="2" t="s">
        <v>5</v>
      </c>
      <c r="AG1" s="3" t="s">
        <v>6</v>
      </c>
      <c r="AH1" s="2" t="s">
        <v>7</v>
      </c>
      <c r="AI1" s="3" t="s">
        <v>8</v>
      </c>
      <c r="AJ1" s="3" t="s">
        <v>160</v>
      </c>
      <c r="AK1" s="2" t="s">
        <v>9</v>
      </c>
      <c r="AL1" s="4" t="s">
        <v>10</v>
      </c>
      <c r="AM1" t="s">
        <v>11</v>
      </c>
      <c r="AN1" t="s">
        <v>12</v>
      </c>
      <c r="AQ1" t="s">
        <v>215</v>
      </c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</row>
    <row r="2" spans="2:68" ht="26.4" customHeight="1" x14ac:dyDescent="0.3">
      <c r="B2" t="s">
        <v>20</v>
      </c>
      <c r="C2" s="11" t="s">
        <v>177</v>
      </c>
      <c r="D2">
        <v>1</v>
      </c>
      <c r="E2" s="11" t="str" cm="1">
        <f t="array" ref="E2">_xlfn.IFS(
    COUNTIF(Herramientas_eléctricas18[Herramientas_eléctricas], B2) &gt; 0, Herramientas_eléctricas18[[#Headers],[Herramientas_eléctricas]],
    COUNTIF(Herramientas_neumáticas19[Herramientas_neumáticas], B2) &gt; 0, Herramientas_neumáticas19[[#Headers],[Herramientas_neumáticas]],
    COUNTIF(Herramientas_de_medición20[Herramientas_de_medición], B2) &gt; 0, Herramientas_de_medición20[[#Headers],[Herramientas_de_medición]],
    COUNTIF(Herrramientas_mecánicas21[Herramientas_mecánicas], B2) &gt; 0, Herrramientas_mecánicas21[[#Headers],[Herramientas_mecánicas]],
    COUNTIF(AI2:AI8, B2) &gt; 0, Herramientas_hidráulicas22[[#Headers],[Herramientas_hidráulicas]],
    COUNTIF(EPP_23[SPCC], B2) &gt; 0, EPP_23[[#Headers],[SPCC]],
   COUNTIF(Herramientas_de_izaje24[Herramientas_de_izaje], B2) &gt; 0, Herramientas_de_izaje24[[#Headers],[Herramientas_de_izaje]],
COUNTIF(Tabla1626[Equipos], B2) &gt; 0, Tabla1626[[#Headers],[Equipos]],
    TRUE, "Sin clasificación"
)</f>
        <v>Herramientas_mecánicas</v>
      </c>
      <c r="F2" s="15" t="str">
        <f>_xlfn.TEXTJOIN(", ",TRUE, Tabla38[[#This Row],[Tipo de escalera]],Tabla38[[#This Row],[Longitud]],Tabla38[[#This Row],[Carga Maxima]])</f>
        <v>ESCALERA DOBLE O DE TIJERA</v>
      </c>
      <c r="G2" s="15" t="s">
        <v>384</v>
      </c>
      <c r="H2" s="15"/>
      <c r="I2" s="15"/>
      <c r="J2" s="15" t="s">
        <v>318</v>
      </c>
      <c r="K2" s="47" t="s">
        <v>322</v>
      </c>
      <c r="L2" t="s">
        <v>320</v>
      </c>
      <c r="M2" s="47" t="s">
        <v>319</v>
      </c>
      <c r="N2" s="47" t="str">
        <f>_xlfn.LET(
    _xlpm.itemBuscado, B2,
    _xlpm.areaBuscada, C2,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TEXT(COUNTIF($C$2:C2, _xlpm.areaBuscada), "0000"),
    _xlpm.codItem &amp; "-" &amp; _xlpm.codArea &amp; "-" &amp; _xlpm.secuencia
)</f>
        <v>ZM-ES-INS-0001</v>
      </c>
      <c r="P2" s="15" t="s">
        <v>321</v>
      </c>
      <c r="R2" s="48"/>
      <c r="U2" s="49">
        <v>1</v>
      </c>
      <c r="V2" s="50" t="s">
        <v>171</v>
      </c>
      <c r="X2" s="51">
        <v>1</v>
      </c>
      <c r="Y2" s="52" t="s">
        <v>216</v>
      </c>
      <c r="AA2" s="51">
        <v>1</v>
      </c>
      <c r="AB2" s="52" t="s">
        <v>4</v>
      </c>
      <c r="AE2" s="5" t="s">
        <v>13</v>
      </c>
      <c r="AF2" t="s">
        <v>14</v>
      </c>
      <c r="AG2" t="s">
        <v>15</v>
      </c>
      <c r="AH2" t="s">
        <v>16</v>
      </c>
      <c r="AI2" s="6" t="s">
        <v>17</v>
      </c>
      <c r="AJ2" t="s">
        <v>18</v>
      </c>
      <c r="AK2" t="s">
        <v>19</v>
      </c>
      <c r="AL2" s="6" t="s">
        <v>20</v>
      </c>
      <c r="AM2" t="s">
        <v>21</v>
      </c>
      <c r="AN2" s="7" t="s">
        <v>22</v>
      </c>
      <c r="AQ2" s="25" t="s">
        <v>217</v>
      </c>
      <c r="AR2" t="s">
        <v>218</v>
      </c>
      <c r="AS2" t="s">
        <v>219</v>
      </c>
      <c r="AT2" s="25" t="s">
        <v>220</v>
      </c>
      <c r="AU2" t="s">
        <v>221</v>
      </c>
      <c r="BA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</row>
    <row r="3" spans="2:68" ht="29.25" customHeight="1" x14ac:dyDescent="0.3">
      <c r="B3" t="s">
        <v>20</v>
      </c>
      <c r="C3" s="11" t="s">
        <v>177</v>
      </c>
      <c r="D3">
        <v>1</v>
      </c>
      <c r="E3" s="11" t="str" cm="1">
        <f t="array" ref="E3">_xlfn.IFS(
    COUNTIF(Herramientas_eléctricas18[Herramientas_eléctricas], B3) &gt; 0, Herramientas_eléctricas18[[#Headers],[Herramientas_eléctricas]],
    COUNTIF(Herramientas_neumáticas19[Herramientas_neumáticas], B3) &gt; 0, Herramientas_neumáticas19[[#Headers],[Herramientas_neumáticas]],
    COUNTIF(Herramientas_de_medición20[Herramientas_de_medición], B3) &gt; 0, Herramientas_de_medición20[[#Headers],[Herramientas_de_medición]],
    COUNTIF(Herrramientas_mecánicas21[Herramientas_mecánicas], B3) &gt; 0, Herrramientas_mecánicas21[[#Headers],[Herramientas_mecánicas]],
    COUNTIF(AI3:AI9, B3) &gt; 0, Herramientas_hidráulicas22[[#Headers],[Herramientas_hidráulicas]],
    COUNTIF(EPP_23[SPCC], B3) &gt; 0, EPP_23[[#Headers],[SPCC]],
   COUNTIF(Herramientas_de_izaje24[Herramientas_de_izaje], B3) &gt; 0, Herramientas_de_izaje24[[#Headers],[Herramientas_de_izaje]],
COUNTIF(Tabla1626[Equipos], B3) &gt; 0, Tabla1626[[#Headers],[Equipos]],
    TRUE, "Sin clasificación"
)</f>
        <v>Herramientas_mecánicas</v>
      </c>
      <c r="F3" s="15" t="str">
        <f>_xlfn.TEXTJOIN(", ",TRUE, Tabla38[[#This Row],[Tipo de escalera]],Tabla38[[#This Row],[Longitud]],Tabla38[[#This Row],[Carga Maxima]])</f>
        <v>ESCALERA DOBLE O DE TIJERA</v>
      </c>
      <c r="G3" s="15" t="s">
        <v>384</v>
      </c>
      <c r="H3" s="15"/>
      <c r="I3" s="15"/>
      <c r="J3" s="15" t="s">
        <v>318</v>
      </c>
      <c r="K3" s="47" t="s">
        <v>323</v>
      </c>
      <c r="L3" t="s">
        <v>324</v>
      </c>
      <c r="M3" s="47">
        <v>2886502584</v>
      </c>
      <c r="N3" s="47" t="str">
        <f>_xlfn.LET(
    _xlpm.itemBuscado, B3,
    _xlpm.areaBuscada, C3,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TEXT(COUNTIF($C$2:C3, _xlpm.areaBuscada), "0000"),
    _xlpm.codItem &amp; "-" &amp; _xlpm.codArea &amp; "-" &amp; _xlpm.secuencia
)</f>
        <v>ZM-ES-INS-0002</v>
      </c>
      <c r="P3" s="15" t="s">
        <v>321</v>
      </c>
      <c r="R3" s="48"/>
      <c r="U3" s="49">
        <v>2</v>
      </c>
      <c r="V3" s="50" t="s">
        <v>172</v>
      </c>
      <c r="X3" s="51">
        <v>2</v>
      </c>
      <c r="Y3" s="52" t="s">
        <v>222</v>
      </c>
      <c r="AA3" s="51">
        <v>2</v>
      </c>
      <c r="AB3" s="53" t="s">
        <v>5</v>
      </c>
      <c r="AE3" s="6" t="s">
        <v>23</v>
      </c>
      <c r="AF3" t="s">
        <v>24</v>
      </c>
      <c r="AG3" t="s">
        <v>25</v>
      </c>
      <c r="AH3" t="s">
        <v>26</v>
      </c>
      <c r="AI3" s="6" t="s">
        <v>27</v>
      </c>
      <c r="AJ3" t="s">
        <v>28</v>
      </c>
      <c r="AK3" t="s">
        <v>29</v>
      </c>
      <c r="AM3" s="8" t="s">
        <v>30</v>
      </c>
      <c r="AN3" s="9" t="s">
        <v>31</v>
      </c>
      <c r="AQ3" s="25" t="s">
        <v>223</v>
      </c>
      <c r="AR3" t="s">
        <v>70</v>
      </c>
      <c r="BA3" s="11"/>
      <c r="BB3" s="11"/>
      <c r="BC3" s="11"/>
      <c r="BD3" s="11"/>
      <c r="BE3" s="11"/>
      <c r="BF3" s="11"/>
      <c r="BG3" s="11"/>
      <c r="BH3" s="11"/>
      <c r="BI3" s="54"/>
      <c r="BJ3" s="54"/>
      <c r="BK3" s="11"/>
      <c r="BL3" s="11"/>
      <c r="BM3" s="11"/>
      <c r="BN3" s="11"/>
      <c r="BO3" s="11"/>
      <c r="BP3" s="11"/>
    </row>
    <row r="4" spans="2:68" ht="33" customHeight="1" x14ac:dyDescent="0.3">
      <c r="B4" t="s">
        <v>20</v>
      </c>
      <c r="C4" s="11" t="s">
        <v>177</v>
      </c>
      <c r="D4">
        <v>1</v>
      </c>
      <c r="E4" s="11" t="str" cm="1">
        <f t="array" ref="E4">_xlfn.IFS(
    COUNTIF(Herramientas_eléctricas18[Herramientas_eléctricas], B4) &gt; 0, Herramientas_eléctricas18[[#Headers],[Herramientas_eléctricas]],
    COUNTIF(Herramientas_neumáticas19[Herramientas_neumáticas], B4) &gt; 0, Herramientas_neumáticas19[[#Headers],[Herramientas_neumáticas]],
    COUNTIF(Herramientas_de_medición20[Herramientas_de_medición], B4) &gt; 0, Herramientas_de_medición20[[#Headers],[Herramientas_de_medición]],
    COUNTIF(Herrramientas_mecánicas21[Herramientas_mecánicas], B4) &gt; 0, Herrramientas_mecánicas21[[#Headers],[Herramientas_mecánicas]],
    COUNTIF(AI4:AI10, B4) &gt; 0, Herramientas_hidráulicas22[[#Headers],[Herramientas_hidráulicas]],
    COUNTIF(EPP_23[SPCC], B4) &gt; 0, EPP_23[[#Headers],[SPCC]],
   COUNTIF(Herramientas_de_izaje24[Herramientas_de_izaje], B4) &gt; 0, Herramientas_de_izaje24[[#Headers],[Herramientas_de_izaje]],
COUNTIF(Tabla1626[Equipos], B4) &gt; 0, Tabla1626[[#Headers],[Equipos]],
    TRUE, "Sin clasificación"
)</f>
        <v>Herramientas_mecánicas</v>
      </c>
      <c r="F4" s="15" t="str">
        <f>_xlfn.TEXTJOIN(", ",TRUE, Tabla38[[#This Row],[Tipo de escalera]],Tabla38[[#This Row],[Longitud]],Tabla38[[#This Row],[Carga Maxima]])</f>
        <v>ESCALERA DOBLE O DE TIJERA</v>
      </c>
      <c r="G4" s="15" t="s">
        <v>384</v>
      </c>
      <c r="H4" s="15"/>
      <c r="I4" s="15"/>
      <c r="J4" s="15" t="s">
        <v>318</v>
      </c>
      <c r="K4" s="47" t="s">
        <v>325</v>
      </c>
      <c r="L4" t="s">
        <v>326</v>
      </c>
      <c r="M4" s="47">
        <v>2686509121</v>
      </c>
      <c r="N4" s="47" t="str">
        <f>_xlfn.LET(
    _xlpm.itemBuscado, B4,
    _xlpm.areaBuscada, C4,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TEXT(COUNTIF($C$2:C4, _xlpm.areaBuscada), "0000"),
    _xlpm.codItem &amp; "-" &amp; _xlpm.codArea &amp; "-" &amp; _xlpm.secuencia
)</f>
        <v>ZM-ES-INS-0003</v>
      </c>
      <c r="O4" t="e" cm="1">
        <f t="array" ref="O4">bus</f>
        <v>#NAME?</v>
      </c>
      <c r="P4" s="15" t="s">
        <v>329</v>
      </c>
      <c r="R4" s="48"/>
      <c r="U4" s="49">
        <v>3</v>
      </c>
      <c r="V4" s="50" t="s">
        <v>173</v>
      </c>
      <c r="X4" s="55">
        <v>3</v>
      </c>
      <c r="Y4" s="56" t="s">
        <v>224</v>
      </c>
      <c r="AA4" s="51">
        <v>3</v>
      </c>
      <c r="AB4" s="53" t="s">
        <v>6</v>
      </c>
      <c r="AE4" s="10" t="s">
        <v>32</v>
      </c>
      <c r="AF4" t="s">
        <v>33</v>
      </c>
      <c r="AG4" t="s">
        <v>34</v>
      </c>
      <c r="AH4" t="s">
        <v>35</v>
      </c>
      <c r="AI4" s="5" t="s">
        <v>36</v>
      </c>
      <c r="AJ4" s="11" t="s">
        <v>37</v>
      </c>
      <c r="AK4" t="s">
        <v>38</v>
      </c>
      <c r="AM4" s="11" t="s">
        <v>39</v>
      </c>
      <c r="AN4" s="7" t="s">
        <v>40</v>
      </c>
      <c r="AQ4" s="25" t="s">
        <v>225</v>
      </c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</row>
    <row r="5" spans="2:68" ht="28.8" x14ac:dyDescent="0.3">
      <c r="B5" t="s">
        <v>20</v>
      </c>
      <c r="C5" s="11" t="s">
        <v>177</v>
      </c>
      <c r="D5">
        <v>1</v>
      </c>
      <c r="E5" s="11" t="str" cm="1">
        <f t="array" ref="E5">_xlfn.IFS(
    COUNTIF(Herramientas_eléctricas18[Herramientas_eléctricas], B5) &gt; 0, Herramientas_eléctricas18[[#Headers],[Herramientas_eléctricas]],
    COUNTIF(Herramientas_neumáticas19[Herramientas_neumáticas], B5) &gt; 0, Herramientas_neumáticas19[[#Headers],[Herramientas_neumáticas]],
    COUNTIF(Herramientas_de_medición20[Herramientas_de_medición], B5) &gt; 0, Herramientas_de_medición20[[#Headers],[Herramientas_de_medición]],
    COUNTIF(Herrramientas_mecánicas21[Herramientas_mecánicas], B5) &gt; 0, Herrramientas_mecánicas21[[#Headers],[Herramientas_mecánicas]],
    COUNTIF(AI5:AI11, B5) &gt; 0, Herramientas_hidráulicas22[[#Headers],[Herramientas_hidráulicas]],
    COUNTIF(EPP_23[SPCC], B5) &gt; 0, EPP_23[[#Headers],[SPCC]],
   COUNTIF(Herramientas_de_izaje24[Herramientas_de_izaje], B5) &gt; 0, Herramientas_de_izaje24[[#Headers],[Herramientas_de_izaje]],
COUNTIF(Tabla1626[Equipos], B5) &gt; 0, Tabla1626[[#Headers],[Equipos]],
    TRUE, "Sin clasificación"
)</f>
        <v>Herramientas_mecánicas</v>
      </c>
      <c r="F5" s="15" t="str">
        <f>_xlfn.TEXTJOIN(", ",TRUE, Tabla38[[#This Row],[Tipo de escalera]],Tabla38[[#This Row],[Longitud]],Tabla38[[#This Row],[Carga Maxima]])</f>
        <v>ESCALERA DOBLE O DE TIJERA</v>
      </c>
      <c r="G5" s="15" t="s">
        <v>384</v>
      </c>
      <c r="H5" s="15"/>
      <c r="I5" s="15"/>
      <c r="J5" s="15" t="s">
        <v>318</v>
      </c>
      <c r="K5" s="47" t="s">
        <v>327</v>
      </c>
      <c r="L5" t="s">
        <v>328</v>
      </c>
      <c r="M5" s="47">
        <v>2836508941</v>
      </c>
      <c r="N5" s="47" t="str">
        <f>_xlfn.LET(
    _xlpm.itemBuscado, B5,
    _xlpm.areaBuscada, C5,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TEXT(COUNTIF($C$2:C5, _xlpm.areaBuscada), "0000"),
    _xlpm.codItem &amp; "-" &amp; _xlpm.codArea &amp; "-" &amp; _xlpm.secuencia
)</f>
        <v>ZM-ES-INS-0004</v>
      </c>
      <c r="P5" s="15" t="s">
        <v>329</v>
      </c>
      <c r="R5" s="48"/>
      <c r="U5" s="49">
        <v>4</v>
      </c>
      <c r="V5" s="50" t="s">
        <v>174</v>
      </c>
      <c r="AA5" s="51">
        <v>4</v>
      </c>
      <c r="AB5" s="53" t="s">
        <v>7</v>
      </c>
      <c r="AE5" t="s">
        <v>41</v>
      </c>
      <c r="AF5" t="s">
        <v>42</v>
      </c>
      <c r="AG5" t="s">
        <v>43</v>
      </c>
      <c r="AH5" t="s">
        <v>44</v>
      </c>
      <c r="AI5" s="5" t="s">
        <v>45</v>
      </c>
      <c r="AK5" t="s">
        <v>46</v>
      </c>
      <c r="AM5" s="12" t="s">
        <v>47</v>
      </c>
      <c r="AN5" s="9" t="s">
        <v>48</v>
      </c>
      <c r="AQ5" s="25" t="s">
        <v>226</v>
      </c>
      <c r="AR5" t="s">
        <v>80</v>
      </c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</row>
    <row r="6" spans="2:68" ht="30" customHeight="1" x14ac:dyDescent="0.3">
      <c r="B6" t="s">
        <v>20</v>
      </c>
      <c r="C6" s="11" t="s">
        <v>177</v>
      </c>
      <c r="D6">
        <v>1</v>
      </c>
      <c r="E6" s="11" t="str" cm="1">
        <f t="array" ref="E6">_xlfn.IFS(
    COUNTIF(Herramientas_eléctricas18[Herramientas_eléctricas], B6) &gt; 0, Herramientas_eléctricas18[[#Headers],[Herramientas_eléctricas]],
    COUNTIF(Herramientas_neumáticas19[Herramientas_neumáticas], B6) &gt; 0, Herramientas_neumáticas19[[#Headers],[Herramientas_neumáticas]],
    COUNTIF(Herramientas_de_medición20[Herramientas_de_medición], B6) &gt; 0, Herramientas_de_medición20[[#Headers],[Herramientas_de_medición]],
    COUNTIF(Herrramientas_mecánicas21[Herramientas_mecánicas], B6) &gt; 0, Herrramientas_mecánicas21[[#Headers],[Herramientas_mecánicas]],
    COUNTIF(AI6:AI12, B6) &gt; 0, Herramientas_hidráulicas22[[#Headers],[Herramientas_hidráulicas]],
    COUNTIF(EPP_23[SPCC], B6) &gt; 0, EPP_23[[#Headers],[SPCC]],
   COUNTIF(Herramientas_de_izaje24[Herramientas_de_izaje], B6) &gt; 0, Herramientas_de_izaje24[[#Headers],[Herramientas_de_izaje]],
COUNTIF(Tabla1626[Equipos], B6) &gt; 0, Tabla1626[[#Headers],[Equipos]],
    TRUE, "Sin clasificación"
)</f>
        <v>Herramientas_mecánicas</v>
      </c>
      <c r="F6" s="15" t="str">
        <f>_xlfn.TEXTJOIN(", ",TRUE, Tabla38[[#This Row],[Tipo de escalera]],Tabla38[[#This Row],[Longitud]],Tabla38[[#This Row],[Carga Maxima]])</f>
        <v>ESCALERA DOBLE O DE TIJERA</v>
      </c>
      <c r="G6" s="15" t="s">
        <v>384</v>
      </c>
      <c r="H6" s="15"/>
      <c r="I6" s="15"/>
      <c r="J6" s="15" t="s">
        <v>318</v>
      </c>
      <c r="K6" s="47" t="s">
        <v>330</v>
      </c>
      <c r="L6" t="s">
        <v>331</v>
      </c>
      <c r="M6" s="47">
        <v>2886508851</v>
      </c>
      <c r="N6" s="47" t="str">
        <f>_xlfn.LET(
    _xlpm.itemBuscado, B6,
    _xlpm.areaBuscada, C6,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TEXT(COUNTIF($C$2:C6, _xlpm.areaBuscada), "0000"),
    _xlpm.codItem &amp; "-" &amp; _xlpm.codArea &amp; "-" &amp; _xlpm.secuencia
)</f>
        <v>ZM-ES-INS-0005</v>
      </c>
      <c r="P6" s="15" t="s">
        <v>329</v>
      </c>
      <c r="R6" s="48"/>
      <c r="U6" s="49">
        <v>5</v>
      </c>
      <c r="V6" s="50" t="s">
        <v>175</v>
      </c>
      <c r="AA6" s="51">
        <v>5</v>
      </c>
      <c r="AB6" s="53" t="s">
        <v>8</v>
      </c>
      <c r="AE6" t="s">
        <v>49</v>
      </c>
      <c r="AF6" t="s">
        <v>36</v>
      </c>
      <c r="AG6" t="s">
        <v>50</v>
      </c>
      <c r="AH6" t="s">
        <v>51</v>
      </c>
      <c r="AI6" s="5" t="s">
        <v>52</v>
      </c>
      <c r="AM6" t="s">
        <v>53</v>
      </c>
      <c r="AN6" s="7" t="s">
        <v>54</v>
      </c>
      <c r="AQ6" s="25" t="s">
        <v>227</v>
      </c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</row>
    <row r="7" spans="2:68" ht="30" customHeight="1" x14ac:dyDescent="0.3">
      <c r="B7" t="s">
        <v>20</v>
      </c>
      <c r="C7" s="11" t="s">
        <v>177</v>
      </c>
      <c r="D7">
        <v>1</v>
      </c>
      <c r="E7" s="11" t="str" cm="1">
        <f t="array" ref="E7">_xlfn.IFS(
    COUNTIF(Herramientas_eléctricas18[Herramientas_eléctricas], B7) &gt; 0, Herramientas_eléctricas18[[#Headers],[Herramientas_eléctricas]],
    COUNTIF(Herramientas_neumáticas19[Herramientas_neumáticas], B7) &gt; 0, Herramientas_neumáticas19[[#Headers],[Herramientas_neumáticas]],
    COUNTIF(Herramientas_de_medición20[Herramientas_de_medición], B7) &gt; 0, Herramientas_de_medición20[[#Headers],[Herramientas_de_medición]],
    COUNTIF(Herrramientas_mecánicas21[Herramientas_mecánicas], B7) &gt; 0, Herrramientas_mecánicas21[[#Headers],[Herramientas_mecánicas]],
    COUNTIF(AI7:AI13, B7) &gt; 0, Herramientas_hidráulicas22[[#Headers],[Herramientas_hidráulicas]],
    COUNTIF(EPP_23[SPCC], B7) &gt; 0, EPP_23[[#Headers],[SPCC]],
   COUNTIF(Herramientas_de_izaje24[Herramientas_de_izaje], B7) &gt; 0, Herramientas_de_izaje24[[#Headers],[Herramientas_de_izaje]],
COUNTIF(Tabla1626[Equipos], B7) &gt; 0, Tabla1626[[#Headers],[Equipos]],
    TRUE, "Sin clasificación"
)</f>
        <v>Herramientas_mecánicas</v>
      </c>
      <c r="F7" s="15" t="str">
        <f>_xlfn.TEXTJOIN(", ",TRUE, Tabla38[[#This Row],[Tipo de escalera]],Tabla38[[#This Row],[Longitud]],Tabla38[[#This Row],[Carga Maxima]])</f>
        <v>ESCALERA DOBLE O DE TIJERA</v>
      </c>
      <c r="G7" s="15" t="s">
        <v>384</v>
      </c>
      <c r="H7" s="15"/>
      <c r="I7" s="15"/>
      <c r="J7" s="15" t="s">
        <v>318</v>
      </c>
      <c r="K7" s="47" t="s">
        <v>332</v>
      </c>
      <c r="L7" t="s">
        <v>333</v>
      </c>
      <c r="M7" s="47">
        <v>2885108781</v>
      </c>
      <c r="N7" s="47" t="str">
        <f>_xlfn.LET(
    _xlpm.itemBuscado, B7,
    _xlpm.areaBuscada, C7,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TEXT(COUNTIF($C$2:C7, _xlpm.areaBuscada), "0000"),
    _xlpm.codItem &amp; "-" &amp; _xlpm.codArea &amp; "-" &amp; _xlpm.secuencia
)</f>
        <v>ZM-ES-INS-0006</v>
      </c>
      <c r="P7" s="15" t="s">
        <v>329</v>
      </c>
      <c r="R7" s="48"/>
      <c r="U7" s="49">
        <v>6</v>
      </c>
      <c r="V7" s="50" t="s">
        <v>176</v>
      </c>
      <c r="AA7" s="55">
        <v>6</v>
      </c>
      <c r="AB7" s="56" t="s">
        <v>10</v>
      </c>
      <c r="AE7" t="s">
        <v>55</v>
      </c>
      <c r="AG7" s="11" t="s">
        <v>56</v>
      </c>
      <c r="AH7" s="5" t="s">
        <v>57</v>
      </c>
      <c r="AI7" t="s">
        <v>58</v>
      </c>
      <c r="AN7" s="13" t="s">
        <v>59</v>
      </c>
      <c r="AQ7" s="15" t="s">
        <v>228</v>
      </c>
      <c r="AR7" s="15" t="s">
        <v>229</v>
      </c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</row>
    <row r="8" spans="2:68" ht="33.6" customHeight="1" x14ac:dyDescent="0.3">
      <c r="B8" t="s">
        <v>20</v>
      </c>
      <c r="C8" s="11" t="s">
        <v>175</v>
      </c>
      <c r="D8">
        <v>1</v>
      </c>
      <c r="E8" s="11" t="str" cm="1">
        <f t="array" ref="E8">_xlfn.IFS(
    COUNTIF(Herramientas_eléctricas18[Herramientas_eléctricas], B8) &gt; 0, Herramientas_eléctricas18[[#Headers],[Herramientas_eléctricas]],
    COUNTIF(Herramientas_neumáticas19[Herramientas_neumáticas], B8) &gt; 0, Herramientas_neumáticas19[[#Headers],[Herramientas_neumáticas]],
    COUNTIF(Herramientas_de_medición20[Herramientas_de_medición], B8) &gt; 0, Herramientas_de_medición20[[#Headers],[Herramientas_de_medición]],
    COUNTIF(Herrramientas_mecánicas21[Herramientas_mecánicas], B8) &gt; 0, Herrramientas_mecánicas21[[#Headers],[Herramientas_mecánicas]],
    COUNTIF(AI8:AI14, B8) &gt; 0, Herramientas_hidráulicas22[[#Headers],[Herramientas_hidráulicas]],
    COUNTIF(EPP_23[SPCC], B8) &gt; 0, EPP_23[[#Headers],[SPCC]],
   COUNTIF(Herramientas_de_izaje24[Herramientas_de_izaje], B8) &gt; 0, Herramientas_de_izaje24[[#Headers],[Herramientas_de_izaje]],
COUNTIF(Tabla1626[Equipos], B8) &gt; 0, Tabla1626[[#Headers],[Equipos]],
    TRUE, "Sin clasificación"
)</f>
        <v>Herramientas_mecánicas</v>
      </c>
      <c r="F8" s="15" t="str">
        <f>_xlfn.TEXTJOIN(", ",TRUE, Tabla38[[#This Row],[Tipo de escalera]],Tabla38[[#This Row],[Longitud]],Tabla38[[#This Row],[Carga Maxima]])</f>
        <v>ESCALERA DOBLE O DE TIJERA</v>
      </c>
      <c r="G8" s="15" t="s">
        <v>384</v>
      </c>
      <c r="H8" s="15"/>
      <c r="I8" s="15"/>
      <c r="J8" s="15" t="s">
        <v>318</v>
      </c>
      <c r="K8" s="47" t="s">
        <v>335</v>
      </c>
      <c r="L8" t="s">
        <v>334</v>
      </c>
      <c r="M8" s="47" t="s">
        <v>336</v>
      </c>
      <c r="N8" s="47" t="str">
        <f>_xlfn.LET(
    _xlpm.itemBuscado, B8,
    _xlpm.areaBuscada, C8,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TEXT(COUNTIF($C$2:C8, _xlpm.areaBuscada), "0000"),
    _xlpm.codItem &amp; "-" &amp; _xlpm.codArea &amp; "-" &amp; _xlpm.secuencia
)</f>
        <v>ZM-ES-LU-0001</v>
      </c>
      <c r="P8" s="15" t="s">
        <v>344</v>
      </c>
      <c r="R8" s="48"/>
      <c r="U8" s="49">
        <v>7</v>
      </c>
      <c r="V8" s="50" t="s">
        <v>177</v>
      </c>
      <c r="AE8" t="s">
        <v>60</v>
      </c>
      <c r="AG8" s="11" t="s">
        <v>61</v>
      </c>
      <c r="AH8" t="s">
        <v>62</v>
      </c>
      <c r="AI8" t="s">
        <v>35</v>
      </c>
      <c r="AN8" s="14" t="s">
        <v>63</v>
      </c>
      <c r="AQ8" s="25" t="s">
        <v>230</v>
      </c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</row>
    <row r="9" spans="2:68" ht="30" customHeight="1" x14ac:dyDescent="0.3">
      <c r="B9" t="s">
        <v>20</v>
      </c>
      <c r="C9" s="11" t="s">
        <v>175</v>
      </c>
      <c r="D9">
        <v>1</v>
      </c>
      <c r="E9" s="11" t="str" cm="1">
        <f t="array" ref="E9">_xlfn.IFS(
    COUNTIF(Herramientas_eléctricas18[Herramientas_eléctricas], B9) &gt; 0, Herramientas_eléctricas18[[#Headers],[Herramientas_eléctricas]],
    COUNTIF(Herramientas_neumáticas19[Herramientas_neumáticas], B9) &gt; 0, Herramientas_neumáticas19[[#Headers],[Herramientas_neumáticas]],
    COUNTIF(Herramientas_de_medición20[Herramientas_de_medición], B9) &gt; 0, Herramientas_de_medición20[[#Headers],[Herramientas_de_medición]],
    COUNTIF(Herrramientas_mecánicas21[Herramientas_mecánicas], B9) &gt; 0, Herrramientas_mecánicas21[[#Headers],[Herramientas_mecánicas]],
    COUNTIF(AI9:AI15, B9) &gt; 0, Herramientas_hidráulicas22[[#Headers],[Herramientas_hidráulicas]],
    COUNTIF(EPP_23[SPCC], B9) &gt; 0, EPP_23[[#Headers],[SPCC]],
   COUNTIF(Herramientas_de_izaje24[Herramientas_de_izaje], B9) &gt; 0, Herramientas_de_izaje24[[#Headers],[Herramientas_de_izaje]],
COUNTIF(Tabla1626[Equipos], B9) &gt; 0, Tabla1626[[#Headers],[Equipos]],
    TRUE, "Sin clasificación"
)</f>
        <v>Herramientas_mecánicas</v>
      </c>
      <c r="F9" s="15" t="str">
        <f>_xlfn.TEXTJOIN(", ",TRUE, Tabla38[[#This Row],[Tipo de escalera]],Tabla38[[#This Row],[Longitud]],Tabla38[[#This Row],[Carga Maxima]])</f>
        <v>ESCALERA DOBLE O DE TIJERA</v>
      </c>
      <c r="G9" s="15" t="s">
        <v>384</v>
      </c>
      <c r="H9" s="15"/>
      <c r="I9" s="15"/>
      <c r="J9" s="15" t="s">
        <v>337</v>
      </c>
      <c r="K9" s="47" t="s">
        <v>338</v>
      </c>
      <c r="L9" t="s">
        <v>339</v>
      </c>
      <c r="M9" s="47">
        <v>9564100828</v>
      </c>
      <c r="N9" s="47" t="str">
        <f>_xlfn.LET(
    _xlpm.itemBuscado, B9,
    _xlpm.areaBuscada, C9,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TEXT(COUNTIF($C$2:C9, _xlpm.areaBuscada), "0000"),
    _xlpm.codItem &amp; "-" &amp; _xlpm.codArea &amp; "-" &amp; _xlpm.secuencia
)</f>
        <v>ZM-ES-LU-0002</v>
      </c>
      <c r="P9" s="15" t="s">
        <v>344</v>
      </c>
      <c r="R9" s="48"/>
      <c r="U9" s="49">
        <v>8</v>
      </c>
      <c r="V9" s="57" t="s">
        <v>178</v>
      </c>
      <c r="AA9" s="58" t="s">
        <v>210</v>
      </c>
      <c r="AE9" t="s">
        <v>64</v>
      </c>
      <c r="AG9" s="15" t="s">
        <v>65</v>
      </c>
      <c r="AH9" t="s">
        <v>66</v>
      </c>
      <c r="AI9" s="16"/>
      <c r="AN9" s="9" t="s">
        <v>67</v>
      </c>
      <c r="AQ9" s="25" t="s">
        <v>231</v>
      </c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</row>
    <row r="10" spans="2:68" ht="26.4" customHeight="1" x14ac:dyDescent="0.3">
      <c r="B10" t="s">
        <v>20</v>
      </c>
      <c r="C10" s="11" t="s">
        <v>175</v>
      </c>
      <c r="D10">
        <v>1</v>
      </c>
      <c r="E10" s="11" t="str" cm="1">
        <f t="array" ref="E10">_xlfn.IFS(
    COUNTIF(Herramientas_eléctricas18[Herramientas_eléctricas], B10) &gt; 0, Herramientas_eléctricas18[[#Headers],[Herramientas_eléctricas]],
    COUNTIF(Herramientas_neumáticas19[Herramientas_neumáticas], B10) &gt; 0, Herramientas_neumáticas19[[#Headers],[Herramientas_neumáticas]],
    COUNTIF(Herramientas_de_medición20[Herramientas_de_medición], B10) &gt; 0, Herramientas_de_medición20[[#Headers],[Herramientas_de_medición]],
    COUNTIF(Herrramientas_mecánicas21[Herramientas_mecánicas], B10) &gt; 0, Herrramientas_mecánicas21[[#Headers],[Herramientas_mecánicas]],
    COUNTIF(AI10:AI16, B10) &gt; 0, Herramientas_hidráulicas22[[#Headers],[Herramientas_hidráulicas]],
    COUNTIF(EPP_23[SPCC], B10) &gt; 0, EPP_23[[#Headers],[SPCC]],
   COUNTIF(Herramientas_de_izaje24[Herramientas_de_izaje], B10) &gt; 0, Herramientas_de_izaje24[[#Headers],[Herramientas_de_izaje]],
COUNTIF(Tabla1626[Equipos], B10) &gt; 0, Tabla1626[[#Headers],[Equipos]],
    TRUE, "Sin clasificación"
)</f>
        <v>Herramientas_mecánicas</v>
      </c>
      <c r="F10" s="15" t="str">
        <f>_xlfn.TEXTJOIN(", ",TRUE, Tabla38[[#This Row],[Tipo de escalera]],Tabla38[[#This Row],[Longitud]],Tabla38[[#This Row],[Carga Maxima]])</f>
        <v>ESCALERA DOBLE O DE TIJERA</v>
      </c>
      <c r="G10" s="15" t="s">
        <v>384</v>
      </c>
      <c r="H10" s="15"/>
      <c r="I10" s="15"/>
      <c r="J10" s="15" t="s">
        <v>318</v>
      </c>
      <c r="K10" s="47" t="s">
        <v>340</v>
      </c>
      <c r="L10" t="s">
        <v>341</v>
      </c>
      <c r="M10" s="47">
        <v>2886509079</v>
      </c>
      <c r="N10" s="47" t="str">
        <f>_xlfn.LET(
    _xlpm.itemBuscado, B10,
    _xlpm.areaBuscada, C10,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TEXT(COUNTIF($C$2:C10, _xlpm.areaBuscada), "0000"),
    _xlpm.codItem &amp; "-" &amp; _xlpm.codArea &amp; "-" &amp; _xlpm.secuencia
)</f>
        <v>ZM-ES-LU-0003</v>
      </c>
      <c r="P10" s="15" t="s">
        <v>344</v>
      </c>
      <c r="R10" s="48"/>
      <c r="U10" s="49">
        <v>9</v>
      </c>
      <c r="V10" s="57" t="s">
        <v>179</v>
      </c>
      <c r="AA10" s="59" t="s">
        <v>232</v>
      </c>
      <c r="AE10" s="17" t="s">
        <v>68</v>
      </c>
      <c r="AG10" s="15" t="s">
        <v>69</v>
      </c>
      <c r="AH10" t="s">
        <v>70</v>
      </c>
      <c r="AN10" s="18" t="s">
        <v>71</v>
      </c>
      <c r="AQ10" s="15" t="s">
        <v>95</v>
      </c>
    </row>
    <row r="11" spans="2:68" ht="33.6" customHeight="1" x14ac:dyDescent="0.3">
      <c r="B11" t="s">
        <v>20</v>
      </c>
      <c r="C11" s="11" t="s">
        <v>176</v>
      </c>
      <c r="E11" s="11" t="str" cm="1">
        <f t="array" ref="E11">_xlfn.IFS(
    COUNTIF(Herramientas_eléctricas18[Herramientas_eléctricas], B11) &gt; 0, Herramientas_eléctricas18[[#Headers],[Herramientas_eléctricas]],
    COUNTIF(Herramientas_neumáticas19[Herramientas_neumáticas], B11) &gt; 0, Herramientas_neumáticas19[[#Headers],[Herramientas_neumáticas]],
    COUNTIF(Herramientas_de_medición20[Herramientas_de_medición], B11) &gt; 0, Herramientas_de_medición20[[#Headers],[Herramientas_de_medición]],
    COUNTIF(Herrramientas_mecánicas21[Herramientas_mecánicas], B11) &gt; 0, Herrramientas_mecánicas21[[#Headers],[Herramientas_mecánicas]],
    COUNTIF(AI11:AI17, B11) &gt; 0, Herramientas_hidráulicas22[[#Headers],[Herramientas_hidráulicas]],
    COUNTIF(EPP_23[SPCC], B11) &gt; 0, EPP_23[[#Headers],[SPCC]],
   COUNTIF(Herramientas_de_izaje24[Herramientas_de_izaje], B11) &gt; 0, Herramientas_de_izaje24[[#Headers],[Herramientas_de_izaje]],
COUNTIF(Tabla1626[Equipos], B11) &gt; 0, Tabla1626[[#Headers],[Equipos]],
    TRUE, "Sin clasificación"
)</f>
        <v>Herramientas_mecánicas</v>
      </c>
      <c r="F11" s="15" t="str">
        <f>_xlfn.TEXTJOIN(", ",TRUE, Tabla38[[#This Row],[Tipo de escalera]],Tabla38[[#This Row],[Longitud]],Tabla38[[#This Row],[Carga Maxima]])</f>
        <v>ESCALERA DOBLE O DE TIJERA</v>
      </c>
      <c r="G11" s="15" t="s">
        <v>384</v>
      </c>
      <c r="H11" s="15"/>
      <c r="I11" s="15"/>
      <c r="J11" s="15" t="s">
        <v>318</v>
      </c>
      <c r="K11" s="85" t="s">
        <v>345</v>
      </c>
      <c r="L11" t="s">
        <v>346</v>
      </c>
      <c r="M11" s="47">
        <v>28865</v>
      </c>
      <c r="N11" s="47" t="str">
        <f>_xlfn.LET(
    _xlpm.itemBuscado, B11,
    _xlpm.areaBuscada, C11,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TEXT(COUNTIF($C$2:C11, _xlpm.areaBuscada), "0000"),
    _xlpm.codItem &amp; "-" &amp; _xlpm.codArea &amp; "-" &amp; _xlpm.secuencia
)</f>
        <v>ZM-ES-ELT-0001</v>
      </c>
      <c r="P11" s="15"/>
      <c r="R11" s="48"/>
      <c r="U11" s="60">
        <v>10</v>
      </c>
      <c r="V11" s="61" t="s">
        <v>180</v>
      </c>
      <c r="AA11" s="59" t="s">
        <v>233</v>
      </c>
      <c r="AE11" s="8" t="s">
        <v>72</v>
      </c>
      <c r="AG11" s="15" t="s">
        <v>73</v>
      </c>
      <c r="AH11" t="s">
        <v>74</v>
      </c>
      <c r="AN11" s="18" t="s">
        <v>75</v>
      </c>
      <c r="BB11" s="62"/>
    </row>
    <row r="12" spans="2:68" x14ac:dyDescent="0.3">
      <c r="B12" t="s">
        <v>20</v>
      </c>
      <c r="C12" s="11" t="s">
        <v>176</v>
      </c>
      <c r="E12" s="11" t="str" cm="1">
        <f t="array" ref="E12">_xlfn.IFS(
    COUNTIF(Herramientas_eléctricas18[Herramientas_eléctricas], B12) &gt; 0, Herramientas_eléctricas18[[#Headers],[Herramientas_eléctricas]],
    COUNTIF(Herramientas_neumáticas19[Herramientas_neumáticas], B12) &gt; 0, Herramientas_neumáticas19[[#Headers],[Herramientas_neumáticas]],
    COUNTIF(Herramientas_de_medición20[Herramientas_de_medición], B12) &gt; 0, Herramientas_de_medición20[[#Headers],[Herramientas_de_medición]],
    COUNTIF(Herrramientas_mecánicas21[Herramientas_mecánicas], B12) &gt; 0, Herrramientas_mecánicas21[[#Headers],[Herramientas_mecánicas]],
    COUNTIF(AI12:AI18, B12) &gt; 0, Herramientas_hidráulicas22[[#Headers],[Herramientas_hidráulicas]],
    COUNTIF(EPP_23[SPCC], B12) &gt; 0, EPP_23[[#Headers],[SPCC]],
   COUNTIF(Herramientas_de_izaje24[Herramientas_de_izaje], B12) &gt; 0, Herramientas_de_izaje24[[#Headers],[Herramientas_de_izaje]],
COUNTIF(Tabla1626[Equipos], B12) &gt; 0, Tabla1626[[#Headers],[Equipos]],
    TRUE, "Sin clasificación"
)</f>
        <v>Herramientas_mecánicas</v>
      </c>
      <c r="F12" s="15" t="str">
        <f>_xlfn.TEXTJOIN(", ",TRUE, Tabla38[[#This Row],[Tipo de escalera]],Tabla38[[#This Row],[Longitud]],Tabla38[[#This Row],[Carga Maxima]])</f>
        <v>ESCALERA DOBLE O DE TIJERA</v>
      </c>
      <c r="G12" s="15" t="s">
        <v>384</v>
      </c>
      <c r="H12" s="15"/>
      <c r="I12" s="15"/>
      <c r="J12" s="15" t="s">
        <v>318</v>
      </c>
      <c r="K12" s="47" t="s">
        <v>347</v>
      </c>
      <c r="L12" t="s">
        <v>348</v>
      </c>
      <c r="M12" s="47">
        <v>2886501816</v>
      </c>
      <c r="N12" s="47" t="str">
        <f>_xlfn.LET(
    _xlpm.itemBuscado, B12,
    _xlpm.areaBuscada, C12,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TEXT(COUNTIF($C$2:C12, _xlpm.areaBuscada), "0000"),
    _xlpm.codItem &amp; "-" &amp; _xlpm.codArea &amp; "-" &amp; _xlpm.secuencia
)</f>
        <v>ZM-ES-ELT-0002</v>
      </c>
      <c r="P12" s="15"/>
      <c r="R12" s="48"/>
      <c r="U12" s="60">
        <v>11</v>
      </c>
      <c r="V12" s="61" t="s">
        <v>181</v>
      </c>
      <c r="AA12" s="33" t="s">
        <v>234</v>
      </c>
      <c r="AE12" t="s">
        <v>19</v>
      </c>
      <c r="AF12" t="s">
        <v>76</v>
      </c>
      <c r="AG12" s="15" t="s">
        <v>77</v>
      </c>
      <c r="AH12" t="s">
        <v>78</v>
      </c>
      <c r="AN12" s="19" t="s">
        <v>79</v>
      </c>
      <c r="AQ12" s="11"/>
    </row>
    <row r="13" spans="2:68" x14ac:dyDescent="0.3">
      <c r="B13" t="s">
        <v>20</v>
      </c>
      <c r="C13" s="11" t="s">
        <v>176</v>
      </c>
      <c r="E13" s="11" t="str" cm="1">
        <f t="array" ref="E13">_xlfn.IFS(
    COUNTIF(Herramientas_eléctricas18[Herramientas_eléctricas], B13) &gt; 0, Herramientas_eléctricas18[[#Headers],[Herramientas_eléctricas]],
    COUNTIF(Herramientas_neumáticas19[Herramientas_neumáticas], B13) &gt; 0, Herramientas_neumáticas19[[#Headers],[Herramientas_neumáticas]],
    COUNTIF(Herramientas_de_medición20[Herramientas_de_medición], B13) &gt; 0, Herramientas_de_medición20[[#Headers],[Herramientas_de_medición]],
    COUNTIF(Herrramientas_mecánicas21[Herramientas_mecánicas], B13) &gt; 0, Herrramientas_mecánicas21[[#Headers],[Herramientas_mecánicas]],
    COUNTIF(AI13:AI19, B13) &gt; 0, Herramientas_hidráulicas22[[#Headers],[Herramientas_hidráulicas]],
    COUNTIF(EPP_23[SPCC], B13) &gt; 0, EPP_23[[#Headers],[SPCC]],
   COUNTIF(Herramientas_de_izaje24[Herramientas_de_izaje], B13) &gt; 0, Herramientas_de_izaje24[[#Headers],[Herramientas_de_izaje]],
COUNTIF(Tabla1626[Equipos], B13) &gt; 0, Tabla1626[[#Headers],[Equipos]],
    TRUE, "Sin clasificación"
)</f>
        <v>Herramientas_mecánicas</v>
      </c>
      <c r="F13" s="15" t="str">
        <f>_xlfn.TEXTJOIN(", ",TRUE, Tabla38[[#This Row],[Tipo de escalera]],Tabla38[[#This Row],[Longitud]],Tabla38[[#This Row],[Carga Maxima]])</f>
        <v>ESCALERA DOBLE O DE TIJERA</v>
      </c>
      <c r="G13" s="15" t="s">
        <v>384</v>
      </c>
      <c r="H13" s="15"/>
      <c r="I13" s="15"/>
      <c r="J13" s="15" t="s">
        <v>318</v>
      </c>
      <c r="K13" s="47" t="s">
        <v>323</v>
      </c>
      <c r="L13" t="s">
        <v>349</v>
      </c>
      <c r="M13" s="47">
        <v>2886502584</v>
      </c>
      <c r="N13" s="47" t="str">
        <f>_xlfn.LET(
    _xlpm.itemBuscado, B13,
    _xlpm.areaBuscada, C13,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TEXT(COUNTIF($C$2:C13, _xlpm.areaBuscada), "0000"),
    _xlpm.codItem &amp; "-" &amp; _xlpm.codArea &amp; "-" &amp; _xlpm.secuencia
)</f>
        <v>ZM-ES-ELT-0003</v>
      </c>
      <c r="P13" s="15"/>
      <c r="R13" s="48"/>
      <c r="U13" s="60">
        <v>12</v>
      </c>
      <c r="V13" s="61" t="s">
        <v>892</v>
      </c>
      <c r="AE13" t="s">
        <v>80</v>
      </c>
      <c r="AG13" s="15" t="s">
        <v>81</v>
      </c>
      <c r="AH13" t="s">
        <v>82</v>
      </c>
      <c r="AN13" s="20" t="s">
        <v>83</v>
      </c>
      <c r="AQ13" s="11"/>
      <c r="AV13" s="11"/>
    </row>
    <row r="14" spans="2:68" x14ac:dyDescent="0.3">
      <c r="B14" t="s">
        <v>20</v>
      </c>
      <c r="C14" s="11" t="s">
        <v>176</v>
      </c>
      <c r="E14" s="11" t="str" cm="1">
        <f t="array" ref="E14">_xlfn.IFS(
    COUNTIF(Herramientas_eléctricas18[Herramientas_eléctricas], B14) &gt; 0, Herramientas_eléctricas18[[#Headers],[Herramientas_eléctricas]],
    COUNTIF(Herramientas_neumáticas19[Herramientas_neumáticas], B14) &gt; 0, Herramientas_neumáticas19[[#Headers],[Herramientas_neumáticas]],
    COUNTIF(Herramientas_de_medición20[Herramientas_de_medición], B14) &gt; 0, Herramientas_de_medición20[[#Headers],[Herramientas_de_medición]],
    COUNTIF(Herrramientas_mecánicas21[Herramientas_mecánicas], B14) &gt; 0, Herrramientas_mecánicas21[[#Headers],[Herramientas_mecánicas]],
    COUNTIF(AI14:AI20, B14) &gt; 0, Herramientas_hidráulicas22[[#Headers],[Herramientas_hidráulicas]],
    COUNTIF(EPP_23[SPCC], B14) &gt; 0, EPP_23[[#Headers],[SPCC]],
   COUNTIF(Herramientas_de_izaje24[Herramientas_de_izaje], B14) &gt; 0, Herramientas_de_izaje24[[#Headers],[Herramientas_de_izaje]],
COUNTIF(Tabla1626[Equipos], B14) &gt; 0, Tabla1626[[#Headers],[Equipos]],
    TRUE, "Sin clasificación"
)</f>
        <v>Herramientas_mecánicas</v>
      </c>
      <c r="F14" s="15" t="str">
        <f>_xlfn.TEXTJOIN(", ",TRUE, Tabla38[[#This Row],[Tipo de escalera]],Tabla38[[#This Row],[Longitud]],Tabla38[[#This Row],[Carga Maxima]])</f>
        <v>ESCALERA DOBLE O DE TIJERA</v>
      </c>
      <c r="G14" s="15" t="s">
        <v>384</v>
      </c>
      <c r="H14" s="15"/>
      <c r="I14" s="15"/>
      <c r="J14" s="15" t="s">
        <v>337</v>
      </c>
      <c r="K14" s="47" t="s">
        <v>350</v>
      </c>
      <c r="L14" t="s">
        <v>352</v>
      </c>
      <c r="M14" s="47" t="s">
        <v>351</v>
      </c>
      <c r="N14" s="47" t="str">
        <f>_xlfn.LET(
    _xlpm.itemBuscado, B14,
    _xlpm.areaBuscada, C14,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TEXT(COUNTIF($C$2:C14, _xlpm.areaBuscada), "0000"),
    _xlpm.codItem &amp; "-" &amp; _xlpm.codArea &amp; "-" &amp; _xlpm.secuencia
)</f>
        <v>ZM-ES-ELT-0004</v>
      </c>
      <c r="P14" s="15"/>
      <c r="R14" s="48"/>
      <c r="AE14" t="s">
        <v>84</v>
      </c>
      <c r="AG14" s="15" t="s">
        <v>85</v>
      </c>
      <c r="AH14" t="s">
        <v>86</v>
      </c>
      <c r="AN14" s="18" t="s">
        <v>87</v>
      </c>
    </row>
    <row r="15" spans="2:68" ht="43.95" customHeight="1" x14ac:dyDescent="0.3">
      <c r="B15" t="s">
        <v>20</v>
      </c>
      <c r="C15" s="11" t="s">
        <v>176</v>
      </c>
      <c r="E15" s="11" t="str" cm="1">
        <f t="array" ref="E15">_xlfn.IFS(
    COUNTIF(Herramientas_eléctricas18[Herramientas_eléctricas], B15) &gt; 0, Herramientas_eléctricas18[[#Headers],[Herramientas_eléctricas]],
    COUNTIF(Herramientas_neumáticas19[Herramientas_neumáticas], B15) &gt; 0, Herramientas_neumáticas19[[#Headers],[Herramientas_neumáticas]],
    COUNTIF(Herramientas_de_medición20[Herramientas_de_medición], B15) &gt; 0, Herramientas_de_medición20[[#Headers],[Herramientas_de_medición]],
    COUNTIF(Herrramientas_mecánicas21[Herramientas_mecánicas], B15) &gt; 0, Herrramientas_mecánicas21[[#Headers],[Herramientas_mecánicas]],
    COUNTIF(AI15:AI21, B15) &gt; 0, Herramientas_hidráulicas22[[#Headers],[Herramientas_hidráulicas]],
    COUNTIF(EPP_23[SPCC], B15) &gt; 0, EPP_23[[#Headers],[SPCC]],
   COUNTIF(Herramientas_de_izaje24[Herramientas_de_izaje], B15) &gt; 0, Herramientas_de_izaje24[[#Headers],[Herramientas_de_izaje]],
COUNTIF(Tabla1626[Equipos], B15) &gt; 0, Tabla1626[[#Headers],[Equipos]],
    TRUE, "Sin clasificación"
)</f>
        <v>Herramientas_mecánicas</v>
      </c>
      <c r="F15" s="15" t="str">
        <f>_xlfn.TEXTJOIN(", ",TRUE, Tabla38[[#This Row],[Tipo de escalera]],Tabla38[[#This Row],[Longitud]],Tabla38[[#This Row],[Carga Maxima]])</f>
        <v>ESCALERA DOBLE O DE TIJERA</v>
      </c>
      <c r="G15" s="15" t="s">
        <v>384</v>
      </c>
      <c r="H15" s="15"/>
      <c r="I15" s="15"/>
      <c r="J15" s="15" t="s">
        <v>318</v>
      </c>
      <c r="K15" s="47" t="s">
        <v>353</v>
      </c>
      <c r="L15" t="s">
        <v>354</v>
      </c>
      <c r="M15" s="47">
        <v>2886502584</v>
      </c>
      <c r="N15" s="47" t="str">
        <f>_xlfn.LET(
    _xlpm.itemBuscado, B15,
    _xlpm.areaBuscada, C15,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TEXT(COUNTIF($C$2:C15, _xlpm.areaBuscada), "0000"),
    _xlpm.codItem &amp; "-" &amp; _xlpm.codArea &amp; "-" &amp; _xlpm.secuencia
)</f>
        <v>ZM-ES-ELT-0005</v>
      </c>
      <c r="P15" s="15"/>
      <c r="R15" s="48"/>
      <c r="V15" t="s">
        <v>382</v>
      </c>
      <c r="AE15" t="s">
        <v>88</v>
      </c>
      <c r="AG15" t="s">
        <v>89</v>
      </c>
      <c r="AH15" t="s">
        <v>90</v>
      </c>
      <c r="AN15" s="21" t="s">
        <v>91</v>
      </c>
      <c r="AQ15" s="11"/>
    </row>
    <row r="16" spans="2:68" x14ac:dyDescent="0.3">
      <c r="B16" t="s">
        <v>20</v>
      </c>
      <c r="C16" s="11" t="s">
        <v>176</v>
      </c>
      <c r="E16" s="11" t="str" cm="1">
        <f t="array" ref="E16">_xlfn.IFS(
    COUNTIF(Herramientas_eléctricas18[Herramientas_eléctricas], B16) &gt; 0, Herramientas_eléctricas18[[#Headers],[Herramientas_eléctricas]],
    COUNTIF(Herramientas_neumáticas19[Herramientas_neumáticas], B16) &gt; 0, Herramientas_neumáticas19[[#Headers],[Herramientas_neumáticas]],
    COUNTIF(Herramientas_de_medición20[Herramientas_de_medición], B16) &gt; 0, Herramientas_de_medición20[[#Headers],[Herramientas_de_medición]],
    COUNTIF(Herrramientas_mecánicas21[Herramientas_mecánicas], B16) &gt; 0, Herrramientas_mecánicas21[[#Headers],[Herramientas_mecánicas]],
    COUNTIF(AI16:AI22, B16) &gt; 0, Herramientas_hidráulicas22[[#Headers],[Herramientas_hidráulicas]],
    COUNTIF(EPP_23[SPCC], B16) &gt; 0, EPP_23[[#Headers],[SPCC]],
   COUNTIF(Herramientas_de_izaje24[Herramientas_de_izaje], B16) &gt; 0, Herramientas_de_izaje24[[#Headers],[Herramientas_de_izaje]],
COUNTIF(Tabla1626[Equipos], B16) &gt; 0, Tabla1626[[#Headers],[Equipos]],
    TRUE, "Sin clasificación"
)</f>
        <v>Herramientas_mecánicas</v>
      </c>
      <c r="F16" s="15" t="str">
        <f>_xlfn.TEXTJOIN(", ",TRUE, Tabla38[[#This Row],[Tipo de escalera]],Tabla38[[#This Row],[Longitud]],Tabla38[[#This Row],[Carga Maxima]])</f>
        <v>ESCALERA DOBLE O DE TIJERA</v>
      </c>
      <c r="G16" s="15" t="s">
        <v>384</v>
      </c>
      <c r="H16" s="15"/>
      <c r="I16" s="15"/>
      <c r="J16" s="15" t="s">
        <v>318</v>
      </c>
      <c r="K16" s="47" t="s">
        <v>355</v>
      </c>
      <c r="L16" t="s">
        <v>356</v>
      </c>
      <c r="M16" s="47" t="s">
        <v>355</v>
      </c>
      <c r="N16" s="47" t="str">
        <f>_xlfn.LET(
    _xlpm.itemBuscado, B16,
    _xlpm.areaBuscada, C16,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TEXT(COUNTIF($C$2:C16, _xlpm.areaBuscada), "0000"),
    _xlpm.codItem &amp; "-" &amp; _xlpm.codArea &amp; "-" &amp; _xlpm.secuencia
)</f>
        <v>ZM-ES-ELT-0006</v>
      </c>
      <c r="P16" s="15"/>
      <c r="R16" s="48"/>
      <c r="V16" t="s">
        <v>383</v>
      </c>
      <c r="AE16" t="s">
        <v>41</v>
      </c>
      <c r="AG16" t="s">
        <v>62</v>
      </c>
      <c r="AH16" s="11" t="s">
        <v>92</v>
      </c>
      <c r="AI16" s="22"/>
      <c r="AN16" s="23" t="s">
        <v>93</v>
      </c>
    </row>
    <row r="17" spans="2:43" x14ac:dyDescent="0.3">
      <c r="B17" t="s">
        <v>20</v>
      </c>
      <c r="C17" s="11" t="s">
        <v>176</v>
      </c>
      <c r="E17" s="11" t="str" cm="1">
        <f t="array" ref="E17">_xlfn.IFS(
    COUNTIF(Herramientas_eléctricas18[Herramientas_eléctricas], B17) &gt; 0, Herramientas_eléctricas18[[#Headers],[Herramientas_eléctricas]],
    COUNTIF(Herramientas_neumáticas19[Herramientas_neumáticas], B17) &gt; 0, Herramientas_neumáticas19[[#Headers],[Herramientas_neumáticas]],
    COUNTIF(Herramientas_de_medición20[Herramientas_de_medición], B17) &gt; 0, Herramientas_de_medición20[[#Headers],[Herramientas_de_medición]],
    COUNTIF(Herrramientas_mecánicas21[Herramientas_mecánicas], B17) &gt; 0, Herrramientas_mecánicas21[[#Headers],[Herramientas_mecánicas]],
    COUNTIF(AI17:AI23, B17) &gt; 0, Herramientas_hidráulicas22[[#Headers],[Herramientas_hidráulicas]],
    COUNTIF(EPP_23[SPCC], B17) &gt; 0, EPP_23[[#Headers],[SPCC]],
   COUNTIF(Herramientas_de_izaje24[Herramientas_de_izaje], B17) &gt; 0, Herramientas_de_izaje24[[#Headers],[Herramientas_de_izaje]],
COUNTIF(Tabla1626[Equipos], B17) &gt; 0, Tabla1626[[#Headers],[Equipos]],
    TRUE, "Sin clasificación"
)</f>
        <v>Herramientas_mecánicas</v>
      </c>
      <c r="F17" s="15" t="str">
        <f>_xlfn.TEXTJOIN(", ",TRUE, Tabla38[[#This Row],[Tipo de escalera]],Tabla38[[#This Row],[Longitud]],Tabla38[[#This Row],[Carga Maxima]])</f>
        <v>ESCALERA DOBLE O DE TIJERA</v>
      </c>
      <c r="G17" s="15" t="s">
        <v>384</v>
      </c>
      <c r="H17" s="15"/>
      <c r="I17" s="15"/>
      <c r="J17" s="15" t="s">
        <v>337</v>
      </c>
      <c r="K17" s="47" t="s">
        <v>355</v>
      </c>
      <c r="L17" t="s">
        <v>357</v>
      </c>
      <c r="M17" s="47" t="s">
        <v>355</v>
      </c>
      <c r="N17" s="47" t="str">
        <f>_xlfn.LET(
    _xlpm.itemBuscado, B17,
    _xlpm.areaBuscada, C17,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TEXT(COUNTIF($C$2:C17, _xlpm.areaBuscada), "0000"),
    _xlpm.codItem &amp; "-" &amp; _xlpm.codArea &amp; "-" &amp; _xlpm.secuencia
)</f>
        <v>ZM-ES-ELT-0007</v>
      </c>
      <c r="P17" s="15"/>
      <c r="R17" s="48"/>
      <c r="V17" t="s">
        <v>384</v>
      </c>
      <c r="AE17" s="24" t="s">
        <v>94</v>
      </c>
      <c r="AH17" s="15" t="s">
        <v>95</v>
      </c>
      <c r="AI17" s="14"/>
      <c r="AN17" s="25" t="s">
        <v>96</v>
      </c>
      <c r="AQ17" s="11"/>
    </row>
    <row r="18" spans="2:43" x14ac:dyDescent="0.3">
      <c r="B18" t="s">
        <v>20</v>
      </c>
      <c r="C18" s="11" t="s">
        <v>176</v>
      </c>
      <c r="E18" s="11" t="str" cm="1">
        <f t="array" ref="E18">_xlfn.IFS(
    COUNTIF(Herramientas_eléctricas18[Herramientas_eléctricas], B18) &gt; 0, Herramientas_eléctricas18[[#Headers],[Herramientas_eléctricas]],
    COUNTIF(Herramientas_neumáticas19[Herramientas_neumáticas], B18) &gt; 0, Herramientas_neumáticas19[[#Headers],[Herramientas_neumáticas]],
    COUNTIF(Herramientas_de_medición20[Herramientas_de_medición], B18) &gt; 0, Herramientas_de_medición20[[#Headers],[Herramientas_de_medición]],
    COUNTIF(Herrramientas_mecánicas21[Herramientas_mecánicas], B18) &gt; 0, Herrramientas_mecánicas21[[#Headers],[Herramientas_mecánicas]],
    COUNTIF(AI18:AI24, B18) &gt; 0, Herramientas_hidráulicas22[[#Headers],[Herramientas_hidráulicas]],
    COUNTIF(EPP_23[SPCC], B18) &gt; 0, EPP_23[[#Headers],[SPCC]],
   COUNTIF(Herramientas_de_izaje24[Herramientas_de_izaje], B18) &gt; 0, Herramientas_de_izaje24[[#Headers],[Herramientas_de_izaje]],
COUNTIF(Tabla1626[Equipos], B18) &gt; 0, Tabla1626[[#Headers],[Equipos]],
    TRUE, "Sin clasificación"
)</f>
        <v>Herramientas_mecánicas</v>
      </c>
      <c r="F18" s="15" t="str">
        <f>_xlfn.TEXTJOIN(", ",TRUE, Tabla38[[#This Row],[Tipo de escalera]],Tabla38[[#This Row],[Longitud]],Tabla38[[#This Row],[Carga Maxima]])</f>
        <v>ESCALERA DOBLE O DE TIJERA</v>
      </c>
      <c r="G18" s="15" t="s">
        <v>384</v>
      </c>
      <c r="H18" s="15"/>
      <c r="I18" s="15"/>
      <c r="J18" s="15" t="s">
        <v>318</v>
      </c>
      <c r="K18" s="47" t="s">
        <v>330</v>
      </c>
      <c r="L18" t="s">
        <v>358</v>
      </c>
      <c r="M18" s="47">
        <v>2886508851</v>
      </c>
      <c r="N18" s="47" t="str">
        <f>_xlfn.LET(
    _xlpm.itemBuscado, B18,
    _xlpm.areaBuscada, C18,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TEXT(COUNTIF($C$2:C18, _xlpm.areaBuscada), "0000"),
    _xlpm.codItem &amp; "-" &amp; _xlpm.codArea &amp; "-" &amp; _xlpm.secuencia
)</f>
        <v>ZM-ES-ELT-0008</v>
      </c>
      <c r="P18" s="15"/>
      <c r="R18" s="48"/>
      <c r="V18" t="s">
        <v>385</v>
      </c>
      <c r="AE18" t="s">
        <v>97</v>
      </c>
      <c r="AH18" t="s">
        <v>98</v>
      </c>
      <c r="AN18" s="25" t="s">
        <v>99</v>
      </c>
    </row>
    <row r="19" spans="2:43" x14ac:dyDescent="0.3">
      <c r="B19" t="s">
        <v>20</v>
      </c>
      <c r="C19" s="11" t="s">
        <v>176</v>
      </c>
      <c r="E19" s="11" t="str" cm="1">
        <f t="array" ref="E19">_xlfn.IFS(
    COUNTIF(Herramientas_eléctricas18[Herramientas_eléctricas], B19) &gt; 0, Herramientas_eléctricas18[[#Headers],[Herramientas_eléctricas]],
    COUNTIF(Herramientas_neumáticas19[Herramientas_neumáticas], B19) &gt; 0, Herramientas_neumáticas19[[#Headers],[Herramientas_neumáticas]],
    COUNTIF(Herramientas_de_medición20[Herramientas_de_medición], B19) &gt; 0, Herramientas_de_medición20[[#Headers],[Herramientas_de_medición]],
    COUNTIF(Herrramientas_mecánicas21[Herramientas_mecánicas], B19) &gt; 0, Herrramientas_mecánicas21[[#Headers],[Herramientas_mecánicas]],
    COUNTIF(AI19:AI25, B19) &gt; 0, Herramientas_hidráulicas22[[#Headers],[Herramientas_hidráulicas]],
    COUNTIF(EPP_23[SPCC], B19) &gt; 0, EPP_23[[#Headers],[SPCC]],
   COUNTIF(Herramientas_de_izaje24[Herramientas_de_izaje], B19) &gt; 0, Herramientas_de_izaje24[[#Headers],[Herramientas_de_izaje]],
COUNTIF(Tabla1626[Equipos], B19) &gt; 0, Tabla1626[[#Headers],[Equipos]],
    TRUE, "Sin clasificación"
)</f>
        <v>Herramientas_mecánicas</v>
      </c>
      <c r="F19" s="15" t="str">
        <f>_xlfn.TEXTJOIN(", ",TRUE, Tabla38[[#This Row],[Tipo de escalera]],Tabla38[[#This Row],[Longitud]],Tabla38[[#This Row],[Carga Maxima]])</f>
        <v>ESCALERA EXTENSIBLE O TELESCÓPICA</v>
      </c>
      <c r="G19" s="15" t="s">
        <v>385</v>
      </c>
      <c r="H19" s="15"/>
      <c r="I19" s="15"/>
      <c r="J19" s="15" t="s">
        <v>318</v>
      </c>
      <c r="K19" s="47" t="s">
        <v>359</v>
      </c>
      <c r="L19" t="s">
        <v>360</v>
      </c>
      <c r="M19" s="47">
        <v>886508618</v>
      </c>
      <c r="N19" s="47" t="str">
        <f>_xlfn.LET(
    _xlpm.itemBuscado, B19,
    _xlpm.areaBuscada, C19,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TEXT(COUNTIF($C$2:C19, _xlpm.areaBuscada), "0000"),
    _xlpm.codItem &amp; "-" &amp; _xlpm.codArea &amp; "-" &amp; _xlpm.secuencia
)</f>
        <v>ZM-ES-ELT-0009</v>
      </c>
      <c r="P19" s="15"/>
      <c r="R19" s="48"/>
      <c r="V19" t="s">
        <v>386</v>
      </c>
      <c r="AE19" t="s">
        <v>42</v>
      </c>
      <c r="AH19" s="11" t="s">
        <v>41</v>
      </c>
      <c r="AN19" t="s">
        <v>100</v>
      </c>
    </row>
    <row r="20" spans="2:43" x14ac:dyDescent="0.3">
      <c r="B20" t="s">
        <v>20</v>
      </c>
      <c r="C20" s="11" t="s">
        <v>176</v>
      </c>
      <c r="E20" s="11" t="str" cm="1">
        <f t="array" ref="E20">_xlfn.IFS(
    COUNTIF(Herramientas_eléctricas18[Herramientas_eléctricas], B20) &gt; 0, Herramientas_eléctricas18[[#Headers],[Herramientas_eléctricas]],
    COUNTIF(Herramientas_neumáticas19[Herramientas_neumáticas], B20) &gt; 0, Herramientas_neumáticas19[[#Headers],[Herramientas_neumáticas]],
    COUNTIF(Herramientas_de_medición20[Herramientas_de_medición], B20) &gt; 0, Herramientas_de_medición20[[#Headers],[Herramientas_de_medición]],
    COUNTIF(Herrramientas_mecánicas21[Herramientas_mecánicas], B20) &gt; 0, Herrramientas_mecánicas21[[#Headers],[Herramientas_mecánicas]],
    COUNTIF(AI20:AI26, B20) &gt; 0, Herramientas_hidráulicas22[[#Headers],[Herramientas_hidráulicas]],
    COUNTIF(EPP_23[SPCC], B20) &gt; 0, EPP_23[[#Headers],[SPCC]],
   COUNTIF(Herramientas_de_izaje24[Herramientas_de_izaje], B20) &gt; 0, Herramientas_de_izaje24[[#Headers],[Herramientas_de_izaje]],
COUNTIF(Tabla1626[Equipos], B20) &gt; 0, Tabla1626[[#Headers],[Equipos]],
    TRUE, "Sin clasificación"
)</f>
        <v>Herramientas_mecánicas</v>
      </c>
      <c r="F20" s="15" t="str">
        <f>_xlfn.TEXTJOIN(", ",TRUE, Tabla38[[#This Row],[Tipo de escalera]],Tabla38[[#This Row],[Longitud]],Tabla38[[#This Row],[Carga Maxima]])</f>
        <v>ESCALERA EXTENSIBLE O TELESCÓPICA</v>
      </c>
      <c r="G20" s="15" t="s">
        <v>385</v>
      </c>
      <c r="H20" s="15"/>
      <c r="I20" s="15"/>
      <c r="J20" s="15" t="s">
        <v>318</v>
      </c>
      <c r="K20" s="47" t="s">
        <v>355</v>
      </c>
      <c r="L20" t="s">
        <v>361</v>
      </c>
      <c r="M20" s="47">
        <v>2886608618</v>
      </c>
      <c r="N20" s="47" t="str">
        <f>_xlfn.LET(
    _xlpm.itemBuscado, B20,
    _xlpm.areaBuscada, C20,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TEXT(COUNTIF($C$2:C20, _xlpm.areaBuscada), "0000"),
    _xlpm.codItem &amp; "-" &amp; _xlpm.codArea &amp; "-" &amp; _xlpm.secuencia
)</f>
        <v>ZM-ES-ELT-0010</v>
      </c>
      <c r="P20" s="15"/>
      <c r="R20" s="48" t="s">
        <v>224</v>
      </c>
      <c r="AE20" t="s">
        <v>101</v>
      </c>
      <c r="AH20" t="s">
        <v>102</v>
      </c>
      <c r="AN20" s="26" t="s">
        <v>103</v>
      </c>
    </row>
    <row r="21" spans="2:43" x14ac:dyDescent="0.3">
      <c r="B21" t="s">
        <v>20</v>
      </c>
      <c r="C21" s="11" t="s">
        <v>176</v>
      </c>
      <c r="E21" s="11" t="str" cm="1">
        <f t="array" ref="E21">_xlfn.IFS(
    COUNTIF(Herramientas_eléctricas18[Herramientas_eléctricas], B21) &gt; 0, Herramientas_eléctricas18[[#Headers],[Herramientas_eléctricas]],
    COUNTIF(Herramientas_neumáticas19[Herramientas_neumáticas], B21) &gt; 0, Herramientas_neumáticas19[[#Headers],[Herramientas_neumáticas]],
    COUNTIF(Herramientas_de_medición20[Herramientas_de_medición], B21) &gt; 0, Herramientas_de_medición20[[#Headers],[Herramientas_de_medición]],
    COUNTIF(Herrramientas_mecánicas21[Herramientas_mecánicas], B21) &gt; 0, Herrramientas_mecánicas21[[#Headers],[Herramientas_mecánicas]],
    COUNTIF(AI21:AI27, B21) &gt; 0, Herramientas_hidráulicas22[[#Headers],[Herramientas_hidráulicas]],
    COUNTIF(EPP_23[SPCC], B21) &gt; 0, EPP_23[[#Headers],[SPCC]],
   COUNTIF(Herramientas_de_izaje24[Herramientas_de_izaje], B21) &gt; 0, Herramientas_de_izaje24[[#Headers],[Herramientas_de_izaje]],
COUNTIF(Tabla1626[Equipos], B21) &gt; 0, Tabla1626[[#Headers],[Equipos]],
    TRUE, "Sin clasificación"
)</f>
        <v>Herramientas_mecánicas</v>
      </c>
      <c r="F21" s="15" t="str">
        <f>_xlfn.TEXTJOIN(", ",TRUE, Tabla38[[#This Row],[Tipo de escalera]],Tabla38[[#This Row],[Longitud]],Tabla38[[#This Row],[Carga Maxima]])</f>
        <v>ESCALERA SIMPLE DE UN TRAMO</v>
      </c>
      <c r="G21" s="15" t="s">
        <v>383</v>
      </c>
      <c r="H21" s="15"/>
      <c r="I21" s="15"/>
      <c r="J21" s="15" t="s">
        <v>337</v>
      </c>
      <c r="K21" s="47" t="s">
        <v>362</v>
      </c>
      <c r="L21" t="s">
        <v>358</v>
      </c>
      <c r="M21" s="47">
        <v>9564100988</v>
      </c>
      <c r="N21" s="47" t="str">
        <f>_xlfn.LET(
    _xlpm.itemBuscado, B21,
    _xlpm.areaBuscada, C21,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TEXT(COUNTIF($C$2:C21, _xlpm.areaBuscada), "0000"),
    _xlpm.codItem &amp; "-" &amp; _xlpm.codArea &amp; "-" &amp; _xlpm.secuencia
)</f>
        <v>ZM-ES-ELT-0011</v>
      </c>
      <c r="P21" s="15"/>
      <c r="R21" s="48"/>
      <c r="AE21" s="6"/>
      <c r="AH21" s="6" t="s">
        <v>20</v>
      </c>
    </row>
    <row r="22" spans="2:43" x14ac:dyDescent="0.3">
      <c r="B22" t="s">
        <v>20</v>
      </c>
      <c r="C22" s="11" t="s">
        <v>176</v>
      </c>
      <c r="E22" s="11" t="str" cm="1">
        <f t="array" ref="E22">_xlfn.IFS(
    COUNTIF(Herramientas_eléctricas18[Herramientas_eléctricas], B22) &gt; 0, Herramientas_eléctricas18[[#Headers],[Herramientas_eléctricas]],
    COUNTIF(Herramientas_neumáticas19[Herramientas_neumáticas], B22) &gt; 0, Herramientas_neumáticas19[[#Headers],[Herramientas_neumáticas]],
    COUNTIF(Herramientas_de_medición20[Herramientas_de_medición], B22) &gt; 0, Herramientas_de_medición20[[#Headers],[Herramientas_de_medición]],
    COUNTIF(Herrramientas_mecánicas21[Herramientas_mecánicas], B22) &gt; 0, Herrramientas_mecánicas21[[#Headers],[Herramientas_mecánicas]],
    COUNTIF(AI22:AI28, B22) &gt; 0, Herramientas_hidráulicas22[[#Headers],[Herramientas_hidráulicas]],
    COUNTIF(EPP_23[SPCC], B22) &gt; 0, EPP_23[[#Headers],[SPCC]],
   COUNTIF(Herramientas_de_izaje24[Herramientas_de_izaje], B22) &gt; 0, Herramientas_de_izaje24[[#Headers],[Herramientas_de_izaje]],
COUNTIF(Tabla1626[Equipos], B22) &gt; 0, Tabla1626[[#Headers],[Equipos]],
    TRUE, "Sin clasificación"
)</f>
        <v>Herramientas_mecánicas</v>
      </c>
      <c r="F22" s="15" t="str">
        <f>_xlfn.TEXTJOIN(", ",TRUE, Tabla38[[#This Row],[Tipo de escalera]],Tabla38[[#This Row],[Longitud]],Tabla38[[#This Row],[Carga Maxima]])</f>
        <v>ESCALERA DOBLE O DE TIJERA</v>
      </c>
      <c r="G22" s="15" t="s">
        <v>384</v>
      </c>
      <c r="H22" s="15"/>
      <c r="I22" s="15"/>
      <c r="J22" s="15" t="s">
        <v>318</v>
      </c>
      <c r="K22" s="47" t="s">
        <v>330</v>
      </c>
      <c r="L22" t="s">
        <v>363</v>
      </c>
      <c r="M22" s="47">
        <v>288650885</v>
      </c>
      <c r="N22" s="47" t="str">
        <f>_xlfn.LET(
    _xlpm.itemBuscado, B22,
    _xlpm.areaBuscada, C22,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TEXT(COUNTIF($C$2:C22, _xlpm.areaBuscada), "0000"),
    _xlpm.codItem &amp; "-" &amp; _xlpm.codArea &amp; "-" &amp; _xlpm.secuencia
)</f>
        <v>ZM-ES-ELT-0012</v>
      </c>
      <c r="P22" s="15"/>
      <c r="R22" s="48"/>
    </row>
    <row r="23" spans="2:43" x14ac:dyDescent="0.3">
      <c r="B23" t="s">
        <v>20</v>
      </c>
      <c r="C23" s="11" t="s">
        <v>176</v>
      </c>
      <c r="E23" s="11" t="str" cm="1">
        <f t="array" ref="E23">_xlfn.IFS(
    COUNTIF(Herramientas_eléctricas18[Herramientas_eléctricas], B23) &gt; 0, Herramientas_eléctricas18[[#Headers],[Herramientas_eléctricas]],
    COUNTIF(Herramientas_neumáticas19[Herramientas_neumáticas], B23) &gt; 0, Herramientas_neumáticas19[[#Headers],[Herramientas_neumáticas]],
    COUNTIF(Herramientas_de_medición20[Herramientas_de_medición], B23) &gt; 0, Herramientas_de_medición20[[#Headers],[Herramientas_de_medición]],
    COUNTIF(Herrramientas_mecánicas21[Herramientas_mecánicas], B23) &gt; 0, Herrramientas_mecánicas21[[#Headers],[Herramientas_mecánicas]],
    COUNTIF(AI23:AI29, B23) &gt; 0, Herramientas_hidráulicas22[[#Headers],[Herramientas_hidráulicas]],
    COUNTIF(EPP_23[SPCC], B23) &gt; 0, EPP_23[[#Headers],[SPCC]],
   COUNTIF(Herramientas_de_izaje24[Herramientas_de_izaje], B23) &gt; 0, Herramientas_de_izaje24[[#Headers],[Herramientas_de_izaje]],
COUNTIF(Tabla1626[Equipos], B23) &gt; 0, Tabla1626[[#Headers],[Equipos]],
    TRUE, "Sin clasificación"
)</f>
        <v>Herramientas_mecánicas</v>
      </c>
      <c r="F23" s="15" t="str">
        <f>_xlfn.TEXTJOIN(", ",TRUE, Tabla38[[#This Row],[Tipo de escalera]],Tabla38[[#This Row],[Longitud]],Tabla38[[#This Row],[Carga Maxima]])</f>
        <v>ESCALERA EXTENSIBLE O TELESCÓPICA</v>
      </c>
      <c r="G23" s="15" t="s">
        <v>385</v>
      </c>
      <c r="H23" s="15"/>
      <c r="I23" s="15"/>
      <c r="J23" s="15" t="s">
        <v>318</v>
      </c>
      <c r="K23" s="47" t="s">
        <v>355</v>
      </c>
      <c r="L23" t="s">
        <v>334</v>
      </c>
      <c r="M23" s="47" t="s">
        <v>355</v>
      </c>
      <c r="N23" s="47" t="str">
        <f>_xlfn.LET(
    _xlpm.itemBuscado, B23,
    _xlpm.areaBuscada, C23,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TEXT(COUNTIF($C$2:C23, _xlpm.areaBuscada), "0000"),
    _xlpm.codItem &amp; "-" &amp; _xlpm.codArea &amp; "-" &amp; _xlpm.secuencia
)</f>
        <v>ZM-ES-ELT-0013</v>
      </c>
      <c r="P23" s="15"/>
      <c r="R23" s="48"/>
    </row>
    <row r="24" spans="2:43" x14ac:dyDescent="0.3">
      <c r="B24" t="s">
        <v>20</v>
      </c>
      <c r="C24" s="11" t="s">
        <v>176</v>
      </c>
      <c r="E24" s="11" t="str" cm="1">
        <f t="array" ref="E24">_xlfn.IFS(
    COUNTIF(Herramientas_eléctricas18[Herramientas_eléctricas], B24) &gt; 0, Herramientas_eléctricas18[[#Headers],[Herramientas_eléctricas]],
    COUNTIF(Herramientas_neumáticas19[Herramientas_neumáticas], B24) &gt; 0, Herramientas_neumáticas19[[#Headers],[Herramientas_neumáticas]],
    COUNTIF(Herramientas_de_medición20[Herramientas_de_medición], B24) &gt; 0, Herramientas_de_medición20[[#Headers],[Herramientas_de_medición]],
    COUNTIF(Herrramientas_mecánicas21[Herramientas_mecánicas], B24) &gt; 0, Herrramientas_mecánicas21[[#Headers],[Herramientas_mecánicas]],
    COUNTIF(AI24:AI30, B24) &gt; 0, Herramientas_hidráulicas22[[#Headers],[Herramientas_hidráulicas]],
    COUNTIF(EPP_23[SPCC], B24) &gt; 0, EPP_23[[#Headers],[SPCC]],
   COUNTIF(Herramientas_de_izaje24[Herramientas_de_izaje], B24) &gt; 0, Herramientas_de_izaje24[[#Headers],[Herramientas_de_izaje]],
COUNTIF(Tabla1626[Equipos], B24) &gt; 0, Tabla1626[[#Headers],[Equipos]],
    TRUE, "Sin clasificación"
)</f>
        <v>Herramientas_mecánicas</v>
      </c>
      <c r="F24" s="15" t="str">
        <f>_xlfn.TEXTJOIN(", ",TRUE, Tabla38[[#This Row],[Tipo de escalera]],Tabla38[[#This Row],[Longitud]],Tabla38[[#This Row],[Carga Maxima]])</f>
        <v>ESCALERA EXTENSIBLE O TELESCÓPICA</v>
      </c>
      <c r="G24" s="15" t="s">
        <v>385</v>
      </c>
      <c r="H24" s="15"/>
      <c r="I24" s="15"/>
      <c r="J24" s="15" t="s">
        <v>355</v>
      </c>
      <c r="K24" s="47" t="s">
        <v>355</v>
      </c>
      <c r="L24" t="s">
        <v>364</v>
      </c>
      <c r="M24" s="47" t="s">
        <v>355</v>
      </c>
      <c r="N24" s="47" t="str">
        <f>_xlfn.LET(
    _xlpm.itemBuscado, B24,
    _xlpm.areaBuscada, C24,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TEXT(COUNTIF($C$2:C24, _xlpm.areaBuscada), "0000"),
    _xlpm.codItem &amp; "-" &amp; _xlpm.codArea &amp; "-" &amp; _xlpm.secuencia
)</f>
        <v>ZM-ES-ELT-0014</v>
      </c>
      <c r="P24" s="15"/>
      <c r="R24" s="48" t="s">
        <v>224</v>
      </c>
      <c r="AO24" s="18"/>
    </row>
    <row r="25" spans="2:43" x14ac:dyDescent="0.3">
      <c r="B25" t="s">
        <v>20</v>
      </c>
      <c r="C25" s="11" t="s">
        <v>176</v>
      </c>
      <c r="E25" s="11" t="str" cm="1">
        <f t="array" ref="E25">_xlfn.IFS(
    COUNTIF(Herramientas_eléctricas18[Herramientas_eléctricas], B25) &gt; 0, Herramientas_eléctricas18[[#Headers],[Herramientas_eléctricas]],
    COUNTIF(Herramientas_neumáticas19[Herramientas_neumáticas], B25) &gt; 0, Herramientas_neumáticas19[[#Headers],[Herramientas_neumáticas]],
    COUNTIF(Herramientas_de_medición20[Herramientas_de_medición], B25) &gt; 0, Herramientas_de_medición20[[#Headers],[Herramientas_de_medición]],
    COUNTIF(Herrramientas_mecánicas21[Herramientas_mecánicas], B25) &gt; 0, Herrramientas_mecánicas21[[#Headers],[Herramientas_mecánicas]],
    COUNTIF(AI25:AI31, B25) &gt; 0, Herramientas_hidráulicas22[[#Headers],[Herramientas_hidráulicas]],
    COUNTIF(EPP_23[SPCC], B25) &gt; 0, EPP_23[[#Headers],[SPCC]],
   COUNTIF(Herramientas_de_izaje24[Herramientas_de_izaje], B25) &gt; 0, Herramientas_de_izaje24[[#Headers],[Herramientas_de_izaje]],
COUNTIF(Tabla1626[Equipos], B25) &gt; 0, Tabla1626[[#Headers],[Equipos]],
    TRUE, "Sin clasificación"
)</f>
        <v>Herramientas_mecánicas</v>
      </c>
      <c r="F25" s="15" t="str">
        <f>_xlfn.TEXTJOIN(", ",TRUE, Tabla38[[#This Row],[Tipo de escalera]],Tabla38[[#This Row],[Longitud]],Tabla38[[#This Row],[Carga Maxima]])</f>
        <v>ESCALERA EXTENSIBLE O TELESCÓPICA</v>
      </c>
      <c r="G25" s="15" t="s">
        <v>385</v>
      </c>
      <c r="H25" s="15"/>
      <c r="I25" s="15"/>
      <c r="J25" s="15" t="s">
        <v>337</v>
      </c>
      <c r="K25" s="47" t="s">
        <v>365</v>
      </c>
      <c r="L25" t="s">
        <v>366</v>
      </c>
      <c r="M25" s="47">
        <v>9564100916</v>
      </c>
      <c r="N25" s="47" t="str">
        <f>_xlfn.LET(
    _xlpm.itemBuscado, B25,
    _xlpm.areaBuscada, C25,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TEXT(COUNTIF($C$2:C25, _xlpm.areaBuscada), "0000"),
    _xlpm.codItem &amp; "-" &amp; _xlpm.codArea &amp; "-" &amp; _xlpm.secuencia
)</f>
        <v>ZM-ES-ELT-0015</v>
      </c>
      <c r="P25" s="15"/>
      <c r="R25" s="48"/>
      <c r="AO25" s="22"/>
    </row>
    <row r="26" spans="2:43" x14ac:dyDescent="0.3">
      <c r="B26" t="s">
        <v>20</v>
      </c>
      <c r="C26" s="11" t="s">
        <v>176</v>
      </c>
      <c r="E26" s="11" t="str" cm="1">
        <f t="array" ref="E26">_xlfn.IFS(
    COUNTIF(Herramientas_eléctricas18[Herramientas_eléctricas], B26) &gt; 0, Herramientas_eléctricas18[[#Headers],[Herramientas_eléctricas]],
    COUNTIF(Herramientas_neumáticas19[Herramientas_neumáticas], B26) &gt; 0, Herramientas_neumáticas19[[#Headers],[Herramientas_neumáticas]],
    COUNTIF(Herramientas_de_medición20[Herramientas_de_medición], B26) &gt; 0, Herramientas_de_medición20[[#Headers],[Herramientas_de_medición]],
    COUNTIF(Herrramientas_mecánicas21[Herramientas_mecánicas], B26) &gt; 0, Herrramientas_mecánicas21[[#Headers],[Herramientas_mecánicas]],
    COUNTIF(AI26:AI32, B26) &gt; 0, Herramientas_hidráulicas22[[#Headers],[Herramientas_hidráulicas]],
    COUNTIF(EPP_23[SPCC], B26) &gt; 0, EPP_23[[#Headers],[SPCC]],
   COUNTIF(Herramientas_de_izaje24[Herramientas_de_izaje], B26) &gt; 0, Herramientas_de_izaje24[[#Headers],[Herramientas_de_izaje]],
COUNTIF(Tabla1626[Equipos], B26) &gt; 0, Tabla1626[[#Headers],[Equipos]],
    TRUE, "Sin clasificación"
)</f>
        <v>Herramientas_mecánicas</v>
      </c>
      <c r="F26" s="15" t="str">
        <f>_xlfn.TEXTJOIN(", ",TRUE, Tabla38[[#This Row],[Tipo de escalera]],Tabla38[[#This Row],[Longitud]],Tabla38[[#This Row],[Carga Maxima]])</f>
        <v>ESCALERA EXTENSIBLE O TELESCÓPICA</v>
      </c>
      <c r="G26" s="15" t="s">
        <v>385</v>
      </c>
      <c r="H26" s="15"/>
      <c r="I26" s="15"/>
      <c r="J26" s="15" t="s">
        <v>318</v>
      </c>
      <c r="K26" s="47" t="s">
        <v>355</v>
      </c>
      <c r="L26" t="s">
        <v>367</v>
      </c>
      <c r="M26" s="47" t="s">
        <v>355</v>
      </c>
      <c r="N26" s="47" t="str">
        <f>_xlfn.LET(
    _xlpm.itemBuscado, B26,
    _xlpm.areaBuscada, C26,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TEXT(COUNTIF($C$2:C26, _xlpm.areaBuscada), "0000"),
    _xlpm.codItem &amp; "-" &amp; _xlpm.codArea &amp; "-" &amp; _xlpm.secuencia
)</f>
        <v>ZM-ES-ELT-0016</v>
      </c>
      <c r="P26" s="15"/>
      <c r="R26" s="48" t="s">
        <v>224</v>
      </c>
      <c r="AF26" s="18"/>
      <c r="AP26" t="s">
        <v>235</v>
      </c>
    </row>
    <row r="27" spans="2:43" ht="28.8" x14ac:dyDescent="0.3">
      <c r="B27" t="s">
        <v>20</v>
      </c>
      <c r="C27" s="11" t="s">
        <v>176</v>
      </c>
      <c r="E27" s="11" t="str" cm="1">
        <f t="array" ref="E27">_xlfn.IFS(
    COUNTIF(Herramientas_eléctricas18[Herramientas_eléctricas], B27) &gt; 0, Herramientas_eléctricas18[[#Headers],[Herramientas_eléctricas]],
    COUNTIF(Herramientas_neumáticas19[Herramientas_neumáticas], B27) &gt; 0, Herramientas_neumáticas19[[#Headers],[Herramientas_neumáticas]],
    COUNTIF(Herramientas_de_medición20[Herramientas_de_medición], B27) &gt; 0, Herramientas_de_medición20[[#Headers],[Herramientas_de_medición]],
    COUNTIF(Herrramientas_mecánicas21[Herramientas_mecánicas], B27) &gt; 0, Herrramientas_mecánicas21[[#Headers],[Herramientas_mecánicas]],
    COUNTIF(AI27:AI33, B27) &gt; 0, Herramientas_hidráulicas22[[#Headers],[Herramientas_hidráulicas]],
    COUNTIF(EPP_23[SPCC], B27) &gt; 0, EPP_23[[#Headers],[SPCC]],
   COUNTIF(Herramientas_de_izaje24[Herramientas_de_izaje], B27) &gt; 0, Herramientas_de_izaje24[[#Headers],[Herramientas_de_izaje]],
COUNTIF(Tabla1626[Equipos], B27) &gt; 0, Tabla1626[[#Headers],[Equipos]],
    TRUE, "Sin clasificación"
)</f>
        <v>Herramientas_mecánicas</v>
      </c>
      <c r="F27" s="15" t="str">
        <f>_xlfn.TEXTJOIN(", ",TRUE, Tabla38[[#This Row],[Tipo de escalera]],Tabla38[[#This Row],[Longitud]],Tabla38[[#This Row],[Carga Maxima]])</f>
        <v>ESCALERA EXTENSIBLE O TELESCÓPICA</v>
      </c>
      <c r="G27" s="15" t="s">
        <v>385</v>
      </c>
      <c r="H27" s="15"/>
      <c r="I27" s="15"/>
      <c r="J27" s="15" t="s">
        <v>318</v>
      </c>
      <c r="K27" s="47" t="s">
        <v>368</v>
      </c>
      <c r="L27" t="s">
        <v>361</v>
      </c>
      <c r="M27" s="47">
        <v>2868005516</v>
      </c>
      <c r="N27" s="47" t="str">
        <f>_xlfn.LET(
    _xlpm.itemBuscado, B27,
    _xlpm.areaBuscada, C27,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TEXT(COUNTIF($C$2:C27, _xlpm.areaBuscada), "0000"),
    _xlpm.codItem &amp; "-" &amp; _xlpm.codArea &amp; "-" &amp; _xlpm.secuencia
)</f>
        <v>ZM-ES-ELT-0017</v>
      </c>
      <c r="P27" s="15"/>
      <c r="R27" s="48"/>
      <c r="AE27" s="11" t="s">
        <v>236</v>
      </c>
      <c r="AF27" s="11" t="s">
        <v>237</v>
      </c>
      <c r="AG27" s="11" t="s">
        <v>238</v>
      </c>
      <c r="AH27" s="11" t="s">
        <v>239</v>
      </c>
      <c r="AI27" s="11" t="s">
        <v>240</v>
      </c>
      <c r="AJ27" s="11" t="s">
        <v>241</v>
      </c>
      <c r="AK27" s="11" t="s">
        <v>242</v>
      </c>
      <c r="AL27" s="11" t="s">
        <v>243</v>
      </c>
      <c r="AM27" s="11" t="s">
        <v>244</v>
      </c>
      <c r="AN27" s="11" t="s">
        <v>245</v>
      </c>
    </row>
    <row r="28" spans="2:43" x14ac:dyDescent="0.3">
      <c r="B28" t="s">
        <v>20</v>
      </c>
      <c r="C28" s="11" t="s">
        <v>176</v>
      </c>
      <c r="E28" s="11" t="str" cm="1">
        <f t="array" ref="E28">_xlfn.IFS(
    COUNTIF(Herramientas_eléctricas18[Herramientas_eléctricas], B28) &gt; 0, Herramientas_eléctricas18[[#Headers],[Herramientas_eléctricas]],
    COUNTIF(Herramientas_neumáticas19[Herramientas_neumáticas], B28) &gt; 0, Herramientas_neumáticas19[[#Headers],[Herramientas_neumáticas]],
    COUNTIF(Herramientas_de_medición20[Herramientas_de_medición], B28) &gt; 0, Herramientas_de_medición20[[#Headers],[Herramientas_de_medición]],
    COUNTIF(Herrramientas_mecánicas21[Herramientas_mecánicas], B28) &gt; 0, Herrramientas_mecánicas21[[#Headers],[Herramientas_mecánicas]],
    COUNTIF(AI28:AI34, B28) &gt; 0, Herramientas_hidráulicas22[[#Headers],[Herramientas_hidráulicas]],
    COUNTIF(EPP_23[SPCC], B28) &gt; 0, EPP_23[[#Headers],[SPCC]],
   COUNTIF(Herramientas_de_izaje24[Herramientas_de_izaje], B28) &gt; 0, Herramientas_de_izaje24[[#Headers],[Herramientas_de_izaje]],
COUNTIF(Tabla1626[Equipos], B28) &gt; 0, Tabla1626[[#Headers],[Equipos]],
    TRUE, "Sin clasificación"
)</f>
        <v>Herramientas_mecánicas</v>
      </c>
      <c r="F28" s="15" t="str">
        <f>_xlfn.TEXTJOIN(", ",TRUE, Tabla38[[#This Row],[Tipo de escalera]],Tabla38[[#This Row],[Longitud]],Tabla38[[#This Row],[Carga Maxima]])</f>
        <v>ESCALERA EXTENSIBLE O TELESCÓPICA</v>
      </c>
      <c r="G28" s="15" t="s">
        <v>385</v>
      </c>
      <c r="H28" s="15"/>
      <c r="I28" s="15"/>
      <c r="J28" s="15" t="s">
        <v>318</v>
      </c>
      <c r="K28" s="47" t="s">
        <v>369</v>
      </c>
      <c r="L28" t="s">
        <v>370</v>
      </c>
      <c r="M28" s="47">
        <v>2886501525</v>
      </c>
      <c r="N28" s="47" t="str">
        <f>_xlfn.LET(
    _xlpm.itemBuscado, B28,
    _xlpm.areaBuscada, C28,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TEXT(COUNTIF($C$2:C28, _xlpm.areaBuscada), "0000"),
    _xlpm.codItem &amp; "-" &amp; _xlpm.codArea &amp; "-" &amp; _xlpm.secuencia
)</f>
        <v>ZM-ES-ELT-0018</v>
      </c>
      <c r="P28" s="15"/>
      <c r="R28" s="48"/>
    </row>
    <row r="29" spans="2:43" x14ac:dyDescent="0.3">
      <c r="B29" t="s">
        <v>20</v>
      </c>
      <c r="C29" s="11" t="s">
        <v>176</v>
      </c>
      <c r="E29" s="11" t="str" cm="1">
        <f t="array" ref="E29">_xlfn.IFS(
    COUNTIF(Herramientas_eléctricas18[Herramientas_eléctricas], B29) &gt; 0, Herramientas_eléctricas18[[#Headers],[Herramientas_eléctricas]],
    COUNTIF(Herramientas_neumáticas19[Herramientas_neumáticas], B29) &gt; 0, Herramientas_neumáticas19[[#Headers],[Herramientas_neumáticas]],
    COUNTIF(Herramientas_de_medición20[Herramientas_de_medición], B29) &gt; 0, Herramientas_de_medición20[[#Headers],[Herramientas_de_medición]],
    COUNTIF(Herrramientas_mecánicas21[Herramientas_mecánicas], B29) &gt; 0, Herrramientas_mecánicas21[[#Headers],[Herramientas_mecánicas]],
    COUNTIF(AI29:AI35, B29) &gt; 0, Herramientas_hidráulicas22[[#Headers],[Herramientas_hidráulicas]],
    COUNTIF(EPP_23[SPCC], B29) &gt; 0, EPP_23[[#Headers],[SPCC]],
   COUNTIF(Herramientas_de_izaje24[Herramientas_de_izaje], B29) &gt; 0, Herramientas_de_izaje24[[#Headers],[Herramientas_de_izaje]],
COUNTIF(Tabla1626[Equipos], B29) &gt; 0, Tabla1626[[#Headers],[Equipos]],
    TRUE, "Sin clasificación"
)</f>
        <v>Herramientas_mecánicas</v>
      </c>
      <c r="F29" s="15" t="str">
        <f>_xlfn.TEXTJOIN(", ",TRUE, Tabla38[[#This Row],[Tipo de escalera]],Tabla38[[#This Row],[Longitud]],Tabla38[[#This Row],[Carga Maxima]])</f>
        <v>ESCALERA EXTENSIBLE O TELESCÓPICA</v>
      </c>
      <c r="G29" s="15" t="s">
        <v>385</v>
      </c>
      <c r="H29" s="15"/>
      <c r="I29" s="15"/>
      <c r="J29" s="15" t="s">
        <v>318</v>
      </c>
      <c r="K29" s="47" t="s">
        <v>355</v>
      </c>
      <c r="L29" t="s">
        <v>371</v>
      </c>
      <c r="M29" s="47">
        <v>2886501595</v>
      </c>
      <c r="N29" s="47" t="str">
        <f>_xlfn.LET(
    _xlpm.itemBuscado, B29,
    _xlpm.areaBuscada, C29,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TEXT(COUNTIF($C$2:C29, _xlpm.areaBuscada), "0000"),
    _xlpm.codItem &amp; "-" &amp; _xlpm.codArea &amp; "-" &amp; _xlpm.secuencia
)</f>
        <v>ZM-ES-ELT-0019</v>
      </c>
      <c r="P29" s="15"/>
      <c r="R29" s="48"/>
      <c r="AE29" t="s">
        <v>246</v>
      </c>
      <c r="AF29" t="s">
        <v>97</v>
      </c>
      <c r="AG29" t="s">
        <v>34</v>
      </c>
      <c r="AH29" t="s">
        <v>66</v>
      </c>
      <c r="AI29" s="63" t="s">
        <v>247</v>
      </c>
      <c r="AK29" t="s">
        <v>19</v>
      </c>
      <c r="AN29" t="s">
        <v>75</v>
      </c>
    </row>
    <row r="30" spans="2:43" ht="28.8" x14ac:dyDescent="0.3">
      <c r="B30" t="s">
        <v>20</v>
      </c>
      <c r="C30" s="11" t="s">
        <v>176</v>
      </c>
      <c r="E30" s="11" t="str" cm="1">
        <f t="array" ref="E30">_xlfn.IFS(
    COUNTIF(Herramientas_eléctricas18[Herramientas_eléctricas], B30) &gt; 0, Herramientas_eléctricas18[[#Headers],[Herramientas_eléctricas]],
    COUNTIF(Herramientas_neumáticas19[Herramientas_neumáticas], B30) &gt; 0, Herramientas_neumáticas19[[#Headers],[Herramientas_neumáticas]],
    COUNTIF(Herramientas_de_medición20[Herramientas_de_medición], B30) &gt; 0, Herramientas_de_medición20[[#Headers],[Herramientas_de_medición]],
    COUNTIF(Herrramientas_mecánicas21[Herramientas_mecánicas], B30) &gt; 0, Herrramientas_mecánicas21[[#Headers],[Herramientas_mecánicas]],
    COUNTIF(AI30:AI36, B30) &gt; 0, Herramientas_hidráulicas22[[#Headers],[Herramientas_hidráulicas]],
    COUNTIF(EPP_23[SPCC], B30) &gt; 0, EPP_23[[#Headers],[SPCC]],
   COUNTIF(Herramientas_de_izaje24[Herramientas_de_izaje], B30) &gt; 0, Herramientas_de_izaje24[[#Headers],[Herramientas_de_izaje]],
COUNTIF(Tabla1626[Equipos], B30) &gt; 0, Tabla1626[[#Headers],[Equipos]],
    TRUE, "Sin clasificación"
)</f>
        <v>Herramientas_mecánicas</v>
      </c>
      <c r="F30" s="15" t="str">
        <f>_xlfn.TEXTJOIN(", ",TRUE, Tabla38[[#This Row],[Tipo de escalera]],Tabla38[[#This Row],[Longitud]],Tabla38[[#This Row],[Carga Maxima]])</f>
        <v>ESCALERA DOBLE O DE TIJERA</v>
      </c>
      <c r="G30" s="15" t="s">
        <v>384</v>
      </c>
      <c r="H30" s="15"/>
      <c r="I30" s="15"/>
      <c r="J30" s="15" t="s">
        <v>318</v>
      </c>
      <c r="K30" s="47" t="s">
        <v>372</v>
      </c>
      <c r="L30" t="s">
        <v>373</v>
      </c>
      <c r="M30" s="47">
        <v>2886505719</v>
      </c>
      <c r="N30" s="47" t="str">
        <f>_xlfn.LET(
    _xlpm.itemBuscado, B30,
    _xlpm.areaBuscada, C30,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TEXT(COUNTIF($C$2:C30, _xlpm.areaBuscada), "0000"),
    _xlpm.codItem &amp; "-" &amp; _xlpm.codArea &amp; "-" &amp; _xlpm.secuencia
)</f>
        <v>ZM-ES-ELT-0020</v>
      </c>
      <c r="P30" s="15"/>
      <c r="R30" s="48" t="s">
        <v>224</v>
      </c>
      <c r="AE30" s="22" t="s">
        <v>248</v>
      </c>
      <c r="AF30" t="s">
        <v>17</v>
      </c>
      <c r="AG30" s="18" t="s">
        <v>249</v>
      </c>
      <c r="AH30" t="s">
        <v>250</v>
      </c>
      <c r="AI30" s="64" t="s">
        <v>251</v>
      </c>
      <c r="AK30" t="s">
        <v>252</v>
      </c>
      <c r="AN30" s="18" t="s">
        <v>253</v>
      </c>
    </row>
    <row r="31" spans="2:43" x14ac:dyDescent="0.3">
      <c r="B31" t="s">
        <v>20</v>
      </c>
      <c r="C31" s="11" t="s">
        <v>176</v>
      </c>
      <c r="E31" s="11" t="str" cm="1">
        <f t="array" ref="E31">_xlfn.IFS(
    COUNTIF(Herramientas_eléctricas18[Herramientas_eléctricas], B31) &gt; 0, Herramientas_eléctricas18[[#Headers],[Herramientas_eléctricas]],
    COUNTIF(Herramientas_neumáticas19[Herramientas_neumáticas], B31) &gt; 0, Herramientas_neumáticas19[[#Headers],[Herramientas_neumáticas]],
    COUNTIF(Herramientas_de_medición20[Herramientas_de_medición], B31) &gt; 0, Herramientas_de_medición20[[#Headers],[Herramientas_de_medición]],
    COUNTIF(Herrramientas_mecánicas21[Herramientas_mecánicas], B31) &gt; 0, Herrramientas_mecánicas21[[#Headers],[Herramientas_mecánicas]],
    COUNTIF(AI31:AI37, B31) &gt; 0, Herramientas_hidráulicas22[[#Headers],[Herramientas_hidráulicas]],
    COUNTIF(EPP_23[SPCC], B31) &gt; 0, EPP_23[[#Headers],[SPCC]],
   COUNTIF(Herramientas_de_izaje24[Herramientas_de_izaje], B31) &gt; 0, Herramientas_de_izaje24[[#Headers],[Herramientas_de_izaje]],
COUNTIF(Tabla1626[Equipos], B31) &gt; 0, Tabla1626[[#Headers],[Equipos]],
    TRUE, "Sin clasificación"
)</f>
        <v>Herramientas_mecánicas</v>
      </c>
      <c r="F31" s="15" t="str">
        <f>_xlfn.TEXTJOIN(", ",TRUE, Tabla38[[#This Row],[Tipo de escalera]],Tabla38[[#This Row],[Longitud]],Tabla38[[#This Row],[Carga Maxima]])</f>
        <v>ESCALERA DOBLE O DE TIJERA</v>
      </c>
      <c r="G31" s="15" t="s">
        <v>384</v>
      </c>
      <c r="H31" s="15"/>
      <c r="I31" s="15"/>
      <c r="J31" s="15" t="s">
        <v>318</v>
      </c>
      <c r="K31" s="47" t="s">
        <v>355</v>
      </c>
      <c r="L31" t="s">
        <v>374</v>
      </c>
      <c r="M31" s="47" t="s">
        <v>355</v>
      </c>
      <c r="N31" s="47" t="str">
        <f>_xlfn.LET(
    _xlpm.itemBuscado, B31,
    _xlpm.areaBuscada, C31,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TEXT(COUNTIF($C$2:C31, _xlpm.areaBuscada), "0000"),
    _xlpm.codItem &amp; "-" &amp; _xlpm.codArea &amp; "-" &amp; _xlpm.secuencia
)</f>
        <v>ZM-ES-ELT-0021</v>
      </c>
      <c r="P31" s="15"/>
      <c r="R31" s="48"/>
      <c r="AE31" s="65" t="s">
        <v>254</v>
      </c>
      <c r="AG31" t="s">
        <v>255</v>
      </c>
      <c r="AN31" s="26" t="s">
        <v>256</v>
      </c>
    </row>
    <row r="32" spans="2:43" ht="28.5" customHeight="1" x14ac:dyDescent="0.3">
      <c r="B32" t="s">
        <v>20</v>
      </c>
      <c r="C32" s="11" t="s">
        <v>180</v>
      </c>
      <c r="E32" s="11" t="str" cm="1">
        <f t="array" ref="E32">_xlfn.IFS(
    COUNTIF(Herramientas_eléctricas18[Herramientas_eléctricas], B32) &gt; 0, Herramientas_eléctricas18[[#Headers],[Herramientas_eléctricas]],
    COUNTIF(Herramientas_neumáticas19[Herramientas_neumáticas], B32) &gt; 0, Herramientas_neumáticas19[[#Headers],[Herramientas_neumáticas]],
    COUNTIF(Herramientas_de_medición20[Herramientas_de_medición], B32) &gt; 0, Herramientas_de_medición20[[#Headers],[Herramientas_de_medición]],
    COUNTIF(Herrramientas_mecánicas21[Herramientas_mecánicas], B32) &gt; 0, Herrramientas_mecánicas21[[#Headers],[Herramientas_mecánicas]],
    COUNTIF(AI32:AI38, B32) &gt; 0, Herramientas_hidráulicas22[[#Headers],[Herramientas_hidráulicas]],
    COUNTIF(EPP_23[SPCC], B32) &gt; 0, EPP_23[[#Headers],[SPCC]],
   COUNTIF(Herramientas_de_izaje24[Herramientas_de_izaje], B32) &gt; 0, Herramientas_de_izaje24[[#Headers],[Herramientas_de_izaje]],
COUNTIF(Tabla1626[Equipos], B32) &gt; 0, Tabla1626[[#Headers],[Equipos]],
    TRUE, "Sin clasificación"
)</f>
        <v>Herramientas_mecánicas</v>
      </c>
      <c r="F32" s="15" t="str">
        <f>_xlfn.TEXTJOIN(", ",TRUE, Tabla38[[#This Row],[Tipo de escalera]],Tabla38[[#This Row],[Longitud]],Tabla38[[#This Row],[Carga Maxima]])</f>
        <v>ESCALERA SIMPLE DE UN TRAMO</v>
      </c>
      <c r="G32" s="15" t="s">
        <v>383</v>
      </c>
      <c r="H32" s="15"/>
      <c r="I32" s="15"/>
      <c r="J32" s="15" t="s">
        <v>337</v>
      </c>
      <c r="K32" s="47" t="s">
        <v>375</v>
      </c>
      <c r="L32" t="s">
        <v>376</v>
      </c>
      <c r="M32" s="47">
        <v>9564100988</v>
      </c>
      <c r="N32" s="47" t="str">
        <f>_xlfn.LET(
    _xlpm.itemBuscado, B32,
    _xlpm.areaBuscada, C32,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TEXT(COUNTIF($C$2:C32, _xlpm.areaBuscada), "0000"),
    _xlpm.codItem &amp; "-" &amp; _xlpm.codArea &amp; "-" &amp; _xlpm.secuencia
)</f>
        <v>ZM-ES-CO-0001</v>
      </c>
      <c r="P32" s="15"/>
      <c r="R32" s="48"/>
    </row>
    <row r="33" spans="2:43" x14ac:dyDescent="0.3">
      <c r="B33" t="s">
        <v>20</v>
      </c>
      <c r="C33" s="11" t="s">
        <v>180</v>
      </c>
      <c r="E33" s="11" t="str" cm="1">
        <f t="array" ref="E33">_xlfn.IFS(
    COUNTIF(Herramientas_eléctricas18[Herramientas_eléctricas], B33) &gt; 0, Herramientas_eléctricas18[[#Headers],[Herramientas_eléctricas]],
    COUNTIF(Herramientas_neumáticas19[Herramientas_neumáticas], B33) &gt; 0, Herramientas_neumáticas19[[#Headers],[Herramientas_neumáticas]],
    COUNTIF(Herramientas_de_medición20[Herramientas_de_medición], B33) &gt; 0, Herramientas_de_medición20[[#Headers],[Herramientas_de_medición]],
    COUNTIF(Herrramientas_mecánicas21[Herramientas_mecánicas], B33) &gt; 0, Herrramientas_mecánicas21[[#Headers],[Herramientas_mecánicas]],
    COUNTIF(AI33:AI39, B33) &gt; 0, Herramientas_hidráulicas22[[#Headers],[Herramientas_hidráulicas]],
    COUNTIF(EPP_23[SPCC], B33) &gt; 0, EPP_23[[#Headers],[SPCC]],
   COUNTIF(Herramientas_de_izaje24[Herramientas_de_izaje], B33) &gt; 0, Herramientas_de_izaje24[[#Headers],[Herramientas_de_izaje]],
COUNTIF(Tabla1626[Equipos], B33) &gt; 0, Tabla1626[[#Headers],[Equipos]],
    TRUE, "Sin clasificación"
)</f>
        <v>Herramientas_mecánicas</v>
      </c>
      <c r="F33" s="15" t="str">
        <f>_xlfn.TEXTJOIN(", ",TRUE, Tabla38[[#This Row],[Tipo de escalera]],Tabla38[[#This Row],[Longitud]],Tabla38[[#This Row],[Carga Maxima]])</f>
        <v>ESCALERA DOBLE O DE TIJERA</v>
      </c>
      <c r="G33" s="15" t="s">
        <v>384</v>
      </c>
      <c r="H33" s="15"/>
      <c r="I33" s="15"/>
      <c r="J33" s="15" t="s">
        <v>318</v>
      </c>
      <c r="K33" s="47" t="s">
        <v>377</v>
      </c>
      <c r="L33" t="s">
        <v>378</v>
      </c>
      <c r="M33" s="47">
        <v>2886500866</v>
      </c>
      <c r="N33" s="47" t="str">
        <f>_xlfn.LET(
    _xlpm.itemBuscado, B33,
    _xlpm.areaBuscada, C33,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TEXT(COUNTIF($C$2:C33, _xlpm.areaBuscada), "0000"),
    _xlpm.codItem &amp; "-" &amp; _xlpm.codArea &amp; "-" &amp; _xlpm.secuencia
)</f>
        <v>ZM-ES-CO-0002</v>
      </c>
      <c r="P33" s="15"/>
      <c r="R33" s="48"/>
      <c r="AE33" t="s">
        <v>68</v>
      </c>
      <c r="AF33" t="s">
        <v>36</v>
      </c>
      <c r="AG33" t="s">
        <v>257</v>
      </c>
      <c r="AH33" t="s">
        <v>258</v>
      </c>
    </row>
    <row r="34" spans="2:43" x14ac:dyDescent="0.3">
      <c r="B34" t="s">
        <v>20</v>
      </c>
      <c r="C34" s="11" t="s">
        <v>180</v>
      </c>
      <c r="E34" s="11" t="str" cm="1">
        <f t="array" ref="E34">_xlfn.IFS(
    COUNTIF(Herramientas_eléctricas18[Herramientas_eléctricas], B34) &gt; 0, Herramientas_eléctricas18[[#Headers],[Herramientas_eléctricas]],
    COUNTIF(Herramientas_neumáticas19[Herramientas_neumáticas], B34) &gt; 0, Herramientas_neumáticas19[[#Headers],[Herramientas_neumáticas]],
    COUNTIF(Herramientas_de_medición20[Herramientas_de_medición], B34) &gt; 0, Herramientas_de_medición20[[#Headers],[Herramientas_de_medición]],
    COUNTIF(Herrramientas_mecánicas21[Herramientas_mecánicas], B34) &gt; 0, Herrramientas_mecánicas21[[#Headers],[Herramientas_mecánicas]],
    COUNTIF(AI34:AI40, B34) &gt; 0, Herramientas_hidráulicas22[[#Headers],[Herramientas_hidráulicas]],
    COUNTIF(EPP_23[SPCC], B34) &gt; 0, EPP_23[[#Headers],[SPCC]],
   COUNTIF(Herramientas_de_izaje24[Herramientas_de_izaje], B34) &gt; 0, Herramientas_de_izaje24[[#Headers],[Herramientas_de_izaje]],
COUNTIF(Tabla1626[Equipos], B34) &gt; 0, Tabla1626[[#Headers],[Equipos]],
    TRUE, "Sin clasificación"
)</f>
        <v>Herramientas_mecánicas</v>
      </c>
      <c r="F34" s="15" t="str">
        <f>_xlfn.TEXTJOIN(", ",TRUE, Tabla38[[#This Row],[Tipo de escalera]],Tabla38[[#This Row],[Longitud]],Tabla38[[#This Row],[Carga Maxima]])</f>
        <v>ESCALERA DOBLE O DE TIJERA</v>
      </c>
      <c r="G34" s="15" t="s">
        <v>384</v>
      </c>
      <c r="H34" s="15"/>
      <c r="I34" s="15"/>
      <c r="J34" s="15" t="s">
        <v>337</v>
      </c>
      <c r="K34" s="47" t="s">
        <v>379</v>
      </c>
      <c r="L34" t="s">
        <v>380</v>
      </c>
      <c r="M34" s="47">
        <v>9564120744</v>
      </c>
      <c r="N34" s="47" t="str">
        <f>_xlfn.LET(
    _xlpm.itemBuscado, B34,
    _xlpm.areaBuscada, C34,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TEXT(COUNTIF($C$2:C34, _xlpm.areaBuscada), "0000"),
    _xlpm.codItem &amp; "-" &amp; _xlpm.codArea &amp; "-" &amp; _xlpm.secuencia
)</f>
        <v>ZM-ES-CO-0003</v>
      </c>
      <c r="P34" s="15"/>
      <c r="R34" s="48"/>
      <c r="AE34" s="20" t="s">
        <v>259</v>
      </c>
      <c r="AF34" t="s">
        <v>260</v>
      </c>
      <c r="AG34" s="19" t="s">
        <v>261</v>
      </c>
      <c r="AH34" s="22" t="s">
        <v>262</v>
      </c>
    </row>
    <row r="35" spans="2:43" ht="28.8" x14ac:dyDescent="0.3">
      <c r="B35" t="s">
        <v>20</v>
      </c>
      <c r="C35" s="11" t="s">
        <v>178</v>
      </c>
      <c r="E35" s="11" t="str" cm="1">
        <f t="array" ref="E35">_xlfn.IFS(
    COUNTIF(Herramientas_eléctricas18[Herramientas_eléctricas], B35) &gt; 0, Herramientas_eléctricas18[[#Headers],[Herramientas_eléctricas]],
    COUNTIF(Herramientas_neumáticas19[Herramientas_neumáticas], B35) &gt; 0, Herramientas_neumáticas19[[#Headers],[Herramientas_neumáticas]],
    COUNTIF(Herramientas_de_medición20[Herramientas_de_medición], B35) &gt; 0, Herramientas_de_medición20[[#Headers],[Herramientas_de_medición]],
    COUNTIF(Herrramientas_mecánicas21[Herramientas_mecánicas], B35) &gt; 0, Herrramientas_mecánicas21[[#Headers],[Herramientas_mecánicas]],
    COUNTIF(AI35:AI41, B35) &gt; 0, Herramientas_hidráulicas22[[#Headers],[Herramientas_hidráulicas]],
    COUNTIF(EPP_23[SPCC], B35) &gt; 0, EPP_23[[#Headers],[SPCC]],
   COUNTIF(Herramientas_de_izaje24[Herramientas_de_izaje], B35) &gt; 0, Herramientas_de_izaje24[[#Headers],[Herramientas_de_izaje]],
COUNTIF(Tabla1626[Equipos], B35) &gt; 0, Tabla1626[[#Headers],[Equipos]],
    TRUE, "Sin clasificación"
)</f>
        <v>Herramientas_mecánicas</v>
      </c>
      <c r="F35" s="15" t="str">
        <f>_xlfn.TEXTJOIN(", ",TRUE, Tabla38[[#This Row],[Tipo de escalera]],Tabla38[[#This Row],[Longitud]],Tabla38[[#This Row],[Carga Maxima]])</f>
        <v>ESCALERA SIMPLE DE UN TRAMO, 3m, 300 lb</v>
      </c>
      <c r="G35" s="15" t="s">
        <v>383</v>
      </c>
      <c r="H35" s="15" t="s">
        <v>392</v>
      </c>
      <c r="I35" s="15" t="s">
        <v>393</v>
      </c>
      <c r="J35" s="15" t="s">
        <v>318</v>
      </c>
      <c r="K35" s="47" t="s">
        <v>394</v>
      </c>
      <c r="L35" t="s">
        <v>395</v>
      </c>
      <c r="M35" s="47" t="s">
        <v>355</v>
      </c>
      <c r="N35" s="47" t="str">
        <f>_xlfn.LET(
    _xlpm.itemBuscado, B35,
    _xlpm.areaBuscada, C35,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TEXT(COUNTIF($C$2:C35, _xlpm.areaBuscada), "0000"),
    _xlpm.codItem &amp; "-" &amp; _xlpm.codArea &amp; "-" &amp; _xlpm.secuencia
)</f>
        <v>ZM-ES-TG-0001</v>
      </c>
      <c r="P35" s="15"/>
      <c r="R35" s="48"/>
      <c r="AE35" s="66" t="s">
        <v>263</v>
      </c>
      <c r="AG35" s="13" t="s">
        <v>264</v>
      </c>
      <c r="AH35" s="67" t="s">
        <v>265</v>
      </c>
    </row>
    <row r="36" spans="2:43" ht="28.8" x14ac:dyDescent="0.3">
      <c r="B36" t="s">
        <v>20</v>
      </c>
      <c r="C36" s="11" t="s">
        <v>178</v>
      </c>
      <c r="E36" s="11" t="str" cm="1">
        <f t="array" ref="E36">_xlfn.IFS(
    COUNTIF(Herramientas_eléctricas18[Herramientas_eléctricas], B36) &gt; 0, Herramientas_eléctricas18[[#Headers],[Herramientas_eléctricas]],
    COUNTIF(Herramientas_neumáticas19[Herramientas_neumáticas], B36) &gt; 0, Herramientas_neumáticas19[[#Headers],[Herramientas_neumáticas]],
    COUNTIF(Herramientas_de_medición20[Herramientas_de_medición], B36) &gt; 0, Herramientas_de_medición20[[#Headers],[Herramientas_de_medición]],
    COUNTIF(Herrramientas_mecánicas21[Herramientas_mecánicas], B36) &gt; 0, Herrramientas_mecánicas21[[#Headers],[Herramientas_mecánicas]],
    COUNTIF(AI36:AI42, B36) &gt; 0, Herramientas_hidráulicas22[[#Headers],[Herramientas_hidráulicas]],
    COUNTIF(EPP_23[SPCC], B36) &gt; 0, EPP_23[[#Headers],[SPCC]],
   COUNTIF(Herramientas_de_izaje24[Herramientas_de_izaje], B36) &gt; 0, Herramientas_de_izaje24[[#Headers],[Herramientas_de_izaje]],
COUNTIF(Tabla1626[Equipos], B36) &gt; 0, Tabla1626[[#Headers],[Equipos]],
    TRUE, "Sin clasificación"
)</f>
        <v>Herramientas_mecánicas</v>
      </c>
      <c r="F36" s="15" t="str">
        <f>_xlfn.TEXTJOIN(", ",TRUE, Tabla38[[#This Row],[Tipo de escalera]],Tabla38[[#This Row],[Longitud]],Tabla38[[#This Row],[Carga Maxima]])</f>
        <v>ESCALERA SIMPLE DE UN TRAMO, 2.4 M, 300 LB</v>
      </c>
      <c r="G36" s="15" t="s">
        <v>383</v>
      </c>
      <c r="H36" s="15" t="s">
        <v>397</v>
      </c>
      <c r="I36" s="15" t="s">
        <v>396</v>
      </c>
      <c r="J36" s="15" t="s">
        <v>318</v>
      </c>
      <c r="K36" s="47" t="s">
        <v>355</v>
      </c>
      <c r="L36" t="s">
        <v>355</v>
      </c>
      <c r="M36" s="47" t="s">
        <v>355</v>
      </c>
      <c r="N36" s="47" t="str">
        <f>_xlfn.LET(
    _xlpm.itemBuscado, B36,
    _xlpm.areaBuscada, C36,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TEXT(COUNTIF($C$2:C36, _xlpm.areaBuscada), "0000"),
    _xlpm.codItem &amp; "-" &amp; _xlpm.codArea &amp; "-" &amp; _xlpm.secuencia
)</f>
        <v>ZM-ES-TG-0002</v>
      </c>
      <c r="P36" s="15"/>
      <c r="R36" s="48"/>
      <c r="AG36" s="68" t="s">
        <v>266</v>
      </c>
      <c r="AH36" s="22" t="s">
        <v>267</v>
      </c>
    </row>
    <row r="37" spans="2:43" ht="28.8" x14ac:dyDescent="0.3">
      <c r="B37" t="s">
        <v>20</v>
      </c>
      <c r="C37" s="11" t="s">
        <v>178</v>
      </c>
      <c r="E37" s="11" t="str" cm="1">
        <f t="array" ref="E37">_xlfn.IFS(
    COUNTIF(Herramientas_eléctricas18[Herramientas_eléctricas], B37) &gt; 0, Herramientas_eléctricas18[[#Headers],[Herramientas_eléctricas]],
    COUNTIF(Herramientas_neumáticas19[Herramientas_neumáticas], B37) &gt; 0, Herramientas_neumáticas19[[#Headers],[Herramientas_neumáticas]],
    COUNTIF(Herramientas_de_medición20[Herramientas_de_medición], B37) &gt; 0, Herramientas_de_medición20[[#Headers],[Herramientas_de_medición]],
    COUNTIF(Herrramientas_mecánicas21[Herramientas_mecánicas], B37) &gt; 0, Herrramientas_mecánicas21[[#Headers],[Herramientas_mecánicas]],
    COUNTIF(AI37:AI43, B37) &gt; 0, Herramientas_hidráulicas22[[#Headers],[Herramientas_hidráulicas]],
    COUNTIF(EPP_23[SPCC], B37) &gt; 0, EPP_23[[#Headers],[SPCC]],
   COUNTIF(Herramientas_de_izaje24[Herramientas_de_izaje], B37) &gt; 0, Herramientas_de_izaje24[[#Headers],[Herramientas_de_izaje]],
COUNTIF(Tabla1626[Equipos], B37) &gt; 0, Tabla1626[[#Headers],[Equipos]],
    TRUE, "Sin clasificación"
)</f>
        <v>Herramientas_mecánicas</v>
      </c>
      <c r="F37" s="15" t="str">
        <f>_xlfn.TEXTJOIN(", ",TRUE, Tabla38[[#This Row],[Tipo de escalera]],Tabla38[[#This Row],[Longitud]],Tabla38[[#This Row],[Carga Maxima]])</f>
        <v>ESCALERA SIMPLE DE UN TRAMO, 2.2 M, 300 LB</v>
      </c>
      <c r="G37" s="15" t="s">
        <v>383</v>
      </c>
      <c r="H37" s="15" t="s">
        <v>398</v>
      </c>
      <c r="I37" s="15" t="s">
        <v>396</v>
      </c>
      <c r="J37" s="15" t="s">
        <v>318</v>
      </c>
      <c r="K37" s="47" t="s">
        <v>355</v>
      </c>
      <c r="L37" t="s">
        <v>399</v>
      </c>
      <c r="M37" s="47" t="s">
        <v>355</v>
      </c>
      <c r="N37" s="47" t="str">
        <f>_xlfn.LET(
    _xlpm.itemBuscado, B37,
    _xlpm.areaBuscada, C37,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TEXT(COUNTIF($C$2:C37, _xlpm.areaBuscada), "0000"),
    _xlpm.codItem &amp; "-" &amp; _xlpm.codArea &amp; "-" &amp; _xlpm.secuencia
)</f>
        <v>ZM-ES-TG-0003</v>
      </c>
      <c r="P37" s="15"/>
      <c r="R37" s="48"/>
      <c r="AH37" s="18" t="s">
        <v>268</v>
      </c>
    </row>
    <row r="38" spans="2:43" ht="28.8" x14ac:dyDescent="0.3">
      <c r="B38" t="s">
        <v>20</v>
      </c>
      <c r="C38" s="11" t="s">
        <v>178</v>
      </c>
      <c r="E38" s="11" t="str" cm="1">
        <f t="array" ref="E38">_xlfn.IFS(
    COUNTIF(Herramientas_eléctricas18[Herramientas_eléctricas], B38) &gt; 0, Herramientas_eléctricas18[[#Headers],[Herramientas_eléctricas]],
    COUNTIF(Herramientas_neumáticas19[Herramientas_neumáticas], B38) &gt; 0, Herramientas_neumáticas19[[#Headers],[Herramientas_neumáticas]],
    COUNTIF(Herramientas_de_medición20[Herramientas_de_medición], B38) &gt; 0, Herramientas_de_medición20[[#Headers],[Herramientas_de_medición]],
    COUNTIF(Herrramientas_mecánicas21[Herramientas_mecánicas], B38) &gt; 0, Herrramientas_mecánicas21[[#Headers],[Herramientas_mecánicas]],
    COUNTIF(AI38:AI44, B38) &gt; 0, Herramientas_hidráulicas22[[#Headers],[Herramientas_hidráulicas]],
    COUNTIF(EPP_23[SPCC], B38) &gt; 0, EPP_23[[#Headers],[SPCC]],
   COUNTIF(Herramientas_de_izaje24[Herramientas_de_izaje], B38) &gt; 0, Herramientas_de_izaje24[[#Headers],[Herramientas_de_izaje]],
COUNTIF(Tabla1626[Equipos], B38) &gt; 0, Tabla1626[[#Headers],[Equipos]],
    TRUE, "Sin clasificación"
)</f>
        <v>Herramientas_mecánicas</v>
      </c>
      <c r="F38" s="15" t="str">
        <f>_xlfn.TEXTJOIN(", ",TRUE, Tabla38[[#This Row],[Tipo de escalera]],Tabla38[[#This Row],[Longitud]],Tabla38[[#This Row],[Carga Maxima]])</f>
        <v>ESCALERA SIMPLE DE UN TRAMO, 2.4 M, 225 KG</v>
      </c>
      <c r="G38" s="15" t="s">
        <v>383</v>
      </c>
      <c r="H38" s="15" t="s">
        <v>397</v>
      </c>
      <c r="I38" s="15" t="s">
        <v>401</v>
      </c>
      <c r="J38" s="15" t="s">
        <v>337</v>
      </c>
      <c r="K38" s="47" t="s">
        <v>403</v>
      </c>
      <c r="L38" t="s">
        <v>402</v>
      </c>
      <c r="M38" s="47" t="s">
        <v>355</v>
      </c>
      <c r="N38" s="47" t="str">
        <f>_xlfn.LET(
    _xlpm.itemBuscado, B38,
    _xlpm.areaBuscada, C38,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TEXT(COUNTIF($C$2:C38, _xlpm.areaBuscada), "0000"),
    _xlpm.codItem &amp; "-" &amp; _xlpm.codArea &amp; "-" &amp; _xlpm.secuencia
)</f>
        <v>ZM-ES-TG-0004</v>
      </c>
      <c r="P38" s="15"/>
      <c r="R38" s="48"/>
      <c r="AE38" s="69" t="s">
        <v>24</v>
      </c>
      <c r="AG38" t="s">
        <v>269</v>
      </c>
      <c r="AH38" s="18" t="s">
        <v>270</v>
      </c>
    </row>
    <row r="39" spans="2:43" ht="28.8" x14ac:dyDescent="0.3">
      <c r="B39" t="s">
        <v>20</v>
      </c>
      <c r="C39" s="11" t="s">
        <v>178</v>
      </c>
      <c r="E39" s="11" t="str" cm="1">
        <f t="array" ref="E39">_xlfn.IFS(
    COUNTIF(Herramientas_eléctricas18[Herramientas_eléctricas], B39) &gt; 0, Herramientas_eléctricas18[[#Headers],[Herramientas_eléctricas]],
    COUNTIF(Herramientas_neumáticas19[Herramientas_neumáticas], B39) &gt; 0, Herramientas_neumáticas19[[#Headers],[Herramientas_neumáticas]],
    COUNTIF(Herramientas_de_medición20[Herramientas_de_medición], B39) &gt; 0, Herramientas_de_medición20[[#Headers],[Herramientas_de_medición]],
    COUNTIF(Herrramientas_mecánicas21[Herramientas_mecánicas], B39) &gt; 0, Herrramientas_mecánicas21[[#Headers],[Herramientas_mecánicas]],
    COUNTIF(AI39:AI45, B39) &gt; 0, Herramientas_hidráulicas22[[#Headers],[Herramientas_hidráulicas]],
    COUNTIF(EPP_23[SPCC], B39) &gt; 0, EPP_23[[#Headers],[SPCC]],
   COUNTIF(Herramientas_de_izaje24[Herramientas_de_izaje], B39) &gt; 0, Herramientas_de_izaje24[[#Headers],[Herramientas_de_izaje]],
COUNTIF(Tabla1626[Equipos], B39) &gt; 0, Tabla1626[[#Headers],[Equipos]],
    TRUE, "Sin clasificación"
)</f>
        <v>Herramientas_mecánicas</v>
      </c>
      <c r="F39" s="15" t="str">
        <f>_xlfn.TEXTJOIN(", ",TRUE, Tabla38[[#This Row],[Tipo de escalera]],Tabla38[[#This Row],[Longitud]],Tabla38[[#This Row],[Carga Maxima]])</f>
        <v>ESCALERA SIMPLE DE UN TRAMO, 2.4 M, 300 LB</v>
      </c>
      <c r="G39" s="15" t="s">
        <v>383</v>
      </c>
      <c r="H39" s="15" t="s">
        <v>397</v>
      </c>
      <c r="I39" s="15" t="s">
        <v>396</v>
      </c>
      <c r="J39" s="15" t="s">
        <v>318</v>
      </c>
      <c r="K39" s="47" t="s">
        <v>355</v>
      </c>
      <c r="L39" t="s">
        <v>400</v>
      </c>
      <c r="M39" s="47" t="s">
        <v>355</v>
      </c>
      <c r="N39" s="47" t="str">
        <f>_xlfn.LET(
    _xlpm.itemBuscado, B39,
    _xlpm.areaBuscada, C39,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TEXT(COUNTIF($C$2:C39, _xlpm.areaBuscada), "0000"),
    _xlpm.codItem &amp; "-" &amp; _xlpm.codArea &amp; "-" &amp; _xlpm.secuencia
)</f>
        <v>ZM-ES-TG-0005</v>
      </c>
      <c r="P39" s="15"/>
      <c r="R39" s="48"/>
      <c r="AE39" s="62" t="s">
        <v>271</v>
      </c>
      <c r="AG39" s="68" t="s">
        <v>272</v>
      </c>
      <c r="AH39" s="22" t="s">
        <v>273</v>
      </c>
    </row>
    <row r="40" spans="2:43" ht="28.8" x14ac:dyDescent="0.3">
      <c r="B40" t="s">
        <v>20</v>
      </c>
      <c r="C40" s="11" t="s">
        <v>178</v>
      </c>
      <c r="E40" s="11" t="str" cm="1">
        <f t="array" ref="E40">_xlfn.IFS(
    COUNTIF(Herramientas_eléctricas18[Herramientas_eléctricas], B40) &gt; 0, Herramientas_eléctricas18[[#Headers],[Herramientas_eléctricas]],
    COUNTIF(Herramientas_neumáticas19[Herramientas_neumáticas], B40) &gt; 0, Herramientas_neumáticas19[[#Headers],[Herramientas_neumáticas]],
    COUNTIF(Herramientas_de_medición20[Herramientas_de_medición], B40) &gt; 0, Herramientas_de_medición20[[#Headers],[Herramientas_de_medición]],
    COUNTIF(Herrramientas_mecánicas21[Herramientas_mecánicas], B40) &gt; 0, Herrramientas_mecánicas21[[#Headers],[Herramientas_mecánicas]],
    COUNTIF(AI40:AI46, B40) &gt; 0, Herramientas_hidráulicas22[[#Headers],[Herramientas_hidráulicas]],
    COUNTIF(EPP_23[SPCC], B40) &gt; 0, EPP_23[[#Headers],[SPCC]],
   COUNTIF(Herramientas_de_izaje24[Herramientas_de_izaje], B40) &gt; 0, Herramientas_de_izaje24[[#Headers],[Herramientas_de_izaje]],
COUNTIF(Tabla1626[Equipos], B40) &gt; 0, Tabla1626[[#Headers],[Equipos]],
    TRUE, "Sin clasificación"
)</f>
        <v>Herramientas_mecánicas</v>
      </c>
      <c r="F40" s="15" t="str">
        <f>_xlfn.TEXTJOIN(", ",TRUE, Tabla38[[#This Row],[Tipo de escalera]],Tabla38[[#This Row],[Longitud]],Tabla38[[#This Row],[Carga Maxima]])</f>
        <v>ESCALERA SIMPLE DE UN TRAMO, 2,4, 225 KG</v>
      </c>
      <c r="G40" s="15" t="s">
        <v>383</v>
      </c>
      <c r="H40" s="15">
        <v>2.4</v>
      </c>
      <c r="I40" s="15" t="s">
        <v>401</v>
      </c>
      <c r="J40" s="15" t="s">
        <v>337</v>
      </c>
      <c r="K40" s="47" t="s">
        <v>404</v>
      </c>
      <c r="L40" t="s">
        <v>355</v>
      </c>
      <c r="M40" s="47">
        <v>9564100988</v>
      </c>
      <c r="N40" s="47" t="str">
        <f>_xlfn.LET(
    _xlpm.itemBuscado, B40,
    _xlpm.areaBuscada, C40,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TEXT(COUNTIF($C$2:C40, _xlpm.areaBuscada), "0000"),
    _xlpm.codItem &amp; "-" &amp; _xlpm.codArea &amp; "-" &amp; _xlpm.secuencia
)</f>
        <v>ZM-ES-TG-0006</v>
      </c>
      <c r="P40" s="15"/>
      <c r="R40" s="48"/>
      <c r="AE40" s="70" t="s">
        <v>17</v>
      </c>
      <c r="AH40" t="s">
        <v>274</v>
      </c>
    </row>
    <row r="41" spans="2:43" ht="28.8" x14ac:dyDescent="0.3">
      <c r="B41" t="s">
        <v>20</v>
      </c>
      <c r="C41" s="11" t="s">
        <v>178</v>
      </c>
      <c r="E41" s="11" t="str" cm="1">
        <f t="array" ref="E41">_xlfn.IFS(
    COUNTIF(Herramientas_eléctricas18[Herramientas_eléctricas], B41) &gt; 0, Herramientas_eléctricas18[[#Headers],[Herramientas_eléctricas]],
    COUNTIF(Herramientas_neumáticas19[Herramientas_neumáticas], B41) &gt; 0, Herramientas_neumáticas19[[#Headers],[Herramientas_neumáticas]],
    COUNTIF(Herramientas_de_medición20[Herramientas_de_medición], B41) &gt; 0, Herramientas_de_medición20[[#Headers],[Herramientas_de_medición]],
    COUNTIF(Herrramientas_mecánicas21[Herramientas_mecánicas], B41) &gt; 0, Herrramientas_mecánicas21[[#Headers],[Herramientas_mecánicas]],
    COUNTIF(AI41:AI47, B41) &gt; 0, Herramientas_hidráulicas22[[#Headers],[Herramientas_hidráulicas]],
    COUNTIF(EPP_23[SPCC], B41) &gt; 0, EPP_23[[#Headers],[SPCC]],
   COUNTIF(Herramientas_de_izaje24[Herramientas_de_izaje], B41) &gt; 0, Herramientas_de_izaje24[[#Headers],[Herramientas_de_izaje]],
COUNTIF(Tabla1626[Equipos], B41) &gt; 0, Tabla1626[[#Headers],[Equipos]],
    TRUE, "Sin clasificación"
)</f>
        <v>Herramientas_mecánicas</v>
      </c>
      <c r="F41" s="15" t="str">
        <f>_xlfn.TEXTJOIN(", ",TRUE, Tabla38[[#This Row],[Tipo de escalera]],Tabla38[[#This Row],[Longitud]],Tabla38[[#This Row],[Carga Maxima]])</f>
        <v>ESCALERA SIMPLE DE UN TRAMO, NO TIENE, NO TIENE</v>
      </c>
      <c r="G41" s="15" t="s">
        <v>383</v>
      </c>
      <c r="H41" s="15" t="s">
        <v>355</v>
      </c>
      <c r="I41" s="15" t="s">
        <v>355</v>
      </c>
      <c r="J41" s="15" t="s">
        <v>355</v>
      </c>
      <c r="K41" s="47" t="s">
        <v>355</v>
      </c>
      <c r="L41" t="s">
        <v>405</v>
      </c>
      <c r="M41" s="47" t="s">
        <v>355</v>
      </c>
      <c r="N41" s="47" t="str">
        <f>_xlfn.LET(
    _xlpm.itemBuscado, B41,
    _xlpm.areaBuscada, C41,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TEXT(COUNTIF($C$2:C41, _xlpm.areaBuscada), "0000"),
    _xlpm.codItem &amp; "-" &amp; _xlpm.codArea &amp; "-" &amp; _xlpm.secuencia
)</f>
        <v>ZM-ES-TG-0007</v>
      </c>
      <c r="P41" s="15"/>
      <c r="R41" s="48"/>
      <c r="AG41" t="s">
        <v>61</v>
      </c>
    </row>
    <row r="42" spans="2:43" ht="28.8" x14ac:dyDescent="0.3">
      <c r="B42" t="s">
        <v>20</v>
      </c>
      <c r="C42" s="11" t="s">
        <v>178</v>
      </c>
      <c r="E42" s="11" t="str" cm="1">
        <f t="array" ref="E42">_xlfn.IFS(
    COUNTIF(Herramientas_eléctricas18[Herramientas_eléctricas], B42) &gt; 0, Herramientas_eléctricas18[[#Headers],[Herramientas_eléctricas]],
    COUNTIF(Herramientas_neumáticas19[Herramientas_neumáticas], B42) &gt; 0, Herramientas_neumáticas19[[#Headers],[Herramientas_neumáticas]],
    COUNTIF(Herramientas_de_medición20[Herramientas_de_medición], B42) &gt; 0, Herramientas_de_medición20[[#Headers],[Herramientas_de_medición]],
    COUNTIF(Herrramientas_mecánicas21[Herramientas_mecánicas], B42) &gt; 0, Herrramientas_mecánicas21[[#Headers],[Herramientas_mecánicas]],
    COUNTIF(AI42:AI48, B42) &gt; 0, Herramientas_hidráulicas22[[#Headers],[Herramientas_hidráulicas]],
    COUNTIF(EPP_23[SPCC], B42) &gt; 0, EPP_23[[#Headers],[SPCC]],
   COUNTIF(Herramientas_de_izaje24[Herramientas_de_izaje], B42) &gt; 0, Herramientas_de_izaje24[[#Headers],[Herramientas_de_izaje]],
COUNTIF(Tabla1626[Equipos], B42) &gt; 0, Tabla1626[[#Headers],[Equipos]],
    TRUE, "Sin clasificación"
)</f>
        <v>Herramientas_mecánicas</v>
      </c>
      <c r="F42" s="15" t="str">
        <f>_xlfn.TEXTJOIN(", ",TRUE, Tabla38[[#This Row],[Tipo de escalera]],Tabla38[[#This Row],[Longitud]],Tabla38[[#This Row],[Carga Maxima]])</f>
        <v>ESCALERA SIMPLE DE UN TRAMO, 2.4 m, 300 lb</v>
      </c>
      <c r="G42" s="15" t="s">
        <v>383</v>
      </c>
      <c r="H42" s="15" t="s">
        <v>406</v>
      </c>
      <c r="I42" s="15" t="s">
        <v>393</v>
      </c>
      <c r="J42" s="15" t="s">
        <v>355</v>
      </c>
      <c r="K42" s="47" t="s">
        <v>355</v>
      </c>
      <c r="L42" t="s">
        <v>407</v>
      </c>
      <c r="M42" s="47" t="s">
        <v>355</v>
      </c>
      <c r="N42" s="47" t="str">
        <f>_xlfn.LET(
    _xlpm.itemBuscado, B42,
    _xlpm.areaBuscada, C42,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TEXT(COUNTIF($C$2:C42, _xlpm.areaBuscada), "0000"),
    _xlpm.codItem &amp; "-" &amp; _xlpm.codArea &amp; "-" &amp; _xlpm.secuencia
)</f>
        <v>ZM-ES-TG-0008</v>
      </c>
      <c r="P42" s="15"/>
      <c r="R42" s="48"/>
      <c r="AE42" s="71" t="s">
        <v>94</v>
      </c>
      <c r="AG42" t="s">
        <v>275</v>
      </c>
    </row>
    <row r="43" spans="2:43" ht="28.8" x14ac:dyDescent="0.3">
      <c r="B43" t="s">
        <v>20</v>
      </c>
      <c r="C43" s="11" t="s">
        <v>178</v>
      </c>
      <c r="E43" s="11" t="str" cm="1">
        <f t="array" ref="E43">_xlfn.IFS(
    COUNTIF(Herramientas_eléctricas18[Herramientas_eléctricas], B43) &gt; 0, Herramientas_eléctricas18[[#Headers],[Herramientas_eléctricas]],
    COUNTIF(Herramientas_neumáticas19[Herramientas_neumáticas], B43) &gt; 0, Herramientas_neumáticas19[[#Headers],[Herramientas_neumáticas]],
    COUNTIF(Herramientas_de_medición20[Herramientas_de_medición], B43) &gt; 0, Herramientas_de_medición20[[#Headers],[Herramientas_de_medición]],
    COUNTIF(Herrramientas_mecánicas21[Herramientas_mecánicas], B43) &gt; 0, Herrramientas_mecánicas21[[#Headers],[Herramientas_mecánicas]],
    COUNTIF(AI43:AI49, B43) &gt; 0, Herramientas_hidráulicas22[[#Headers],[Herramientas_hidráulicas]],
    COUNTIF(EPP_23[SPCC], B43) &gt; 0, EPP_23[[#Headers],[SPCC]],
   COUNTIF(Herramientas_de_izaje24[Herramientas_de_izaje], B43) &gt; 0, Herramientas_de_izaje24[[#Headers],[Herramientas_de_izaje]],
COUNTIF(Tabla1626[Equipos], B43) &gt; 0, Tabla1626[[#Headers],[Equipos]],
    TRUE, "Sin clasificación"
)</f>
        <v>Herramientas_mecánicas</v>
      </c>
      <c r="F43" s="15" t="str">
        <f>_xlfn.TEXTJOIN(", ",TRUE, Tabla38[[#This Row],[Tipo de escalera]],Tabla38[[#This Row],[Longitud]],Tabla38[[#This Row],[Carga Maxima]])</f>
        <v>ESCALERA SIMPLE DE UN TRAMO, 2,4 M, 300 LB</v>
      </c>
      <c r="G43" s="15" t="s">
        <v>383</v>
      </c>
      <c r="H43" s="15" t="s">
        <v>409</v>
      </c>
      <c r="I43" s="15" t="s">
        <v>396</v>
      </c>
      <c r="J43" s="15" t="s">
        <v>318</v>
      </c>
      <c r="K43" s="47" t="s">
        <v>355</v>
      </c>
      <c r="L43" t="s">
        <v>408</v>
      </c>
      <c r="M43" s="47" t="s">
        <v>355</v>
      </c>
      <c r="N43" s="47" t="str">
        <f>_xlfn.LET(
    _xlpm.itemBuscado, B43,
    _xlpm.areaBuscada, C43,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TEXT(COUNTIF($C$2:C43, _xlpm.areaBuscada), "0000"),
    _xlpm.codItem &amp; "-" &amp; _xlpm.codArea &amp; "-" &amp; _xlpm.secuencia
)</f>
        <v>ZM-ES-TG-0009</v>
      </c>
      <c r="P43" s="15"/>
      <c r="R43" s="48"/>
      <c r="AE43" s="72" t="s">
        <v>276</v>
      </c>
      <c r="AG43" s="20" t="s">
        <v>277</v>
      </c>
      <c r="AH43" t="s">
        <v>98</v>
      </c>
    </row>
    <row r="44" spans="2:43" ht="28.8" x14ac:dyDescent="0.3">
      <c r="B44" t="s">
        <v>20</v>
      </c>
      <c r="C44" s="11" t="s">
        <v>178</v>
      </c>
      <c r="E44" s="11" t="str" cm="1">
        <f t="array" ref="E44">_xlfn.IFS(
    COUNTIF(Herramientas_eléctricas18[Herramientas_eléctricas], B44) &gt; 0, Herramientas_eléctricas18[[#Headers],[Herramientas_eléctricas]],
    COUNTIF(Herramientas_neumáticas19[Herramientas_neumáticas], B44) &gt; 0, Herramientas_neumáticas19[[#Headers],[Herramientas_neumáticas]],
    COUNTIF(Herramientas_de_medición20[Herramientas_de_medición], B44) &gt; 0, Herramientas_de_medición20[[#Headers],[Herramientas_de_medición]],
    COUNTIF(Herrramientas_mecánicas21[Herramientas_mecánicas], B44) &gt; 0, Herrramientas_mecánicas21[[#Headers],[Herramientas_mecánicas]],
    COUNTIF(AI44:AI50, B44) &gt; 0, Herramientas_hidráulicas22[[#Headers],[Herramientas_hidráulicas]],
    COUNTIF(EPP_23[SPCC], B44) &gt; 0, EPP_23[[#Headers],[SPCC]],
   COUNTIF(Herramientas_de_izaje24[Herramientas_de_izaje], B44) &gt; 0, Herramientas_de_izaje24[[#Headers],[Herramientas_de_izaje]],
COUNTIF(Tabla1626[Equipos], B44) &gt; 0, Tabla1626[[#Headers],[Equipos]],
    TRUE, "Sin clasificación"
)</f>
        <v>Herramientas_mecánicas</v>
      </c>
      <c r="F44" s="15" t="str">
        <f>_xlfn.TEXTJOIN(", ",TRUE, Tabla38[[#This Row],[Tipo de escalera]],Tabla38[[#This Row],[Longitud]],Tabla38[[#This Row],[Carga Maxima]])</f>
        <v>ESCALERA SIMPLE DE UN TRAMO, 2,4 M, 225 KG</v>
      </c>
      <c r="G44" s="15" t="s">
        <v>383</v>
      </c>
      <c r="H44" s="15" t="s">
        <v>409</v>
      </c>
      <c r="I44" s="15" t="s">
        <v>401</v>
      </c>
      <c r="J44" s="15" t="s">
        <v>337</v>
      </c>
      <c r="K44" s="47" t="s">
        <v>375</v>
      </c>
      <c r="L44" t="s">
        <v>410</v>
      </c>
      <c r="M44" s="47">
        <v>9564100988</v>
      </c>
      <c r="N44" s="47" t="str">
        <f>_xlfn.LET(
    _xlpm.itemBuscado, B44,
    _xlpm.areaBuscada, C44,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TEXT(COUNTIF($C$2:C44, _xlpm.areaBuscada), "0000"),
    _xlpm.codItem &amp; "-" &amp; _xlpm.codArea &amp; "-" &amp; _xlpm.secuencia
)</f>
        <v>ZM-ES-TG-0010</v>
      </c>
      <c r="P44" s="15"/>
      <c r="R44" s="48"/>
      <c r="AE44" s="73" t="s">
        <v>278</v>
      </c>
      <c r="AG44" s="18" t="s">
        <v>279</v>
      </c>
      <c r="AH44" s="26" t="s">
        <v>280</v>
      </c>
    </row>
    <row r="45" spans="2:43" ht="28.8" x14ac:dyDescent="0.3">
      <c r="B45" t="s">
        <v>20</v>
      </c>
      <c r="C45" s="11" t="s">
        <v>178</v>
      </c>
      <c r="E45" s="11" t="str" cm="1">
        <f t="array" ref="E45">_xlfn.IFS(
    COUNTIF(Herramientas_eléctricas18[Herramientas_eléctricas], B45) &gt; 0, Herramientas_eléctricas18[[#Headers],[Herramientas_eléctricas]],
    COUNTIF(Herramientas_neumáticas19[Herramientas_neumáticas], B45) &gt; 0, Herramientas_neumáticas19[[#Headers],[Herramientas_neumáticas]],
    COUNTIF(Herramientas_de_medición20[Herramientas_de_medición], B45) &gt; 0, Herramientas_de_medición20[[#Headers],[Herramientas_de_medición]],
    COUNTIF(Herrramientas_mecánicas21[Herramientas_mecánicas], B45) &gt; 0, Herrramientas_mecánicas21[[#Headers],[Herramientas_mecánicas]],
    COUNTIF(AI45:AI51, B45) &gt; 0, Herramientas_hidráulicas22[[#Headers],[Herramientas_hidráulicas]],
    COUNTIF(EPP_23[SPCC], B45) &gt; 0, EPP_23[[#Headers],[SPCC]],
   COUNTIF(Herramientas_de_izaje24[Herramientas_de_izaje], B45) &gt; 0, Herramientas_de_izaje24[[#Headers],[Herramientas_de_izaje]],
COUNTIF(Tabla1626[Equipos], B45) &gt; 0, Tabla1626[[#Headers],[Equipos]],
    TRUE, "Sin clasificación"
)</f>
        <v>Herramientas_mecánicas</v>
      </c>
      <c r="F45" s="15" t="str">
        <f>_xlfn.TEXTJOIN(", ",TRUE, Tabla38[[#This Row],[Tipo de escalera]],Tabla38[[#This Row],[Longitud]],Tabla38[[#This Row],[Carga Maxima]])</f>
        <v>ESCALERA DOBLE O DE TIJERA, 3,6 M, 300 LB</v>
      </c>
      <c r="G45" s="15" t="s">
        <v>384</v>
      </c>
      <c r="H45" s="15" t="s">
        <v>412</v>
      </c>
      <c r="I45" s="15" t="s">
        <v>396</v>
      </c>
      <c r="J45" s="15" t="s">
        <v>318</v>
      </c>
      <c r="K45" s="47" t="s">
        <v>355</v>
      </c>
      <c r="L45" t="s">
        <v>411</v>
      </c>
      <c r="M45" s="47" t="s">
        <v>355</v>
      </c>
      <c r="N45" s="47" t="str">
        <f>_xlfn.LET(
    _xlpm.itemBuscado, B45,
    _xlpm.areaBuscada, C45,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TEXT(COUNTIF($C$2:C45, _xlpm.areaBuscada), "0000"),
    _xlpm.codItem &amp; "-" &amp; _xlpm.codArea &amp; "-" &amp; _xlpm.secuencia
)</f>
        <v>ZM-ES-TG-0011</v>
      </c>
      <c r="P45" s="15"/>
      <c r="R45" s="48"/>
      <c r="AE45" t="s">
        <v>42</v>
      </c>
      <c r="AG45" s="26" t="s">
        <v>281</v>
      </c>
    </row>
    <row r="46" spans="2:43" ht="28.8" x14ac:dyDescent="0.3">
      <c r="B46" t="s">
        <v>20</v>
      </c>
      <c r="C46" s="11" t="s">
        <v>178</v>
      </c>
      <c r="E46" s="11" t="str" cm="1">
        <f t="array" ref="E46">_xlfn.IFS(
    COUNTIF(Herramientas_eléctricas18[Herramientas_eléctricas], B46) &gt; 0, Herramientas_eléctricas18[[#Headers],[Herramientas_eléctricas]],
    COUNTIF(Herramientas_neumáticas19[Herramientas_neumáticas], B46) &gt; 0, Herramientas_neumáticas19[[#Headers],[Herramientas_neumáticas]],
    COUNTIF(Herramientas_de_medición20[Herramientas_de_medición], B46) &gt; 0, Herramientas_de_medición20[[#Headers],[Herramientas_de_medición]],
    COUNTIF(Herrramientas_mecánicas21[Herramientas_mecánicas], B46) &gt; 0, Herrramientas_mecánicas21[[#Headers],[Herramientas_mecánicas]],
    COUNTIF(AI46:AI52, B46) &gt; 0, Herramientas_hidráulicas22[[#Headers],[Herramientas_hidráulicas]],
    COUNTIF(EPP_23[SPCC], B46) &gt; 0, EPP_23[[#Headers],[SPCC]],
   COUNTIF(Herramientas_de_izaje24[Herramientas_de_izaje], B46) &gt; 0, Herramientas_de_izaje24[[#Headers],[Herramientas_de_izaje]],
COUNTIF(Tabla1626[Equipos], B46) &gt; 0, Tabla1626[[#Headers],[Equipos]],
    TRUE, "Sin clasificación"
)</f>
        <v>Herramientas_mecánicas</v>
      </c>
      <c r="F46" s="15" t="str">
        <f>_xlfn.TEXTJOIN(", ",TRUE, Tabla38[[#This Row],[Tipo de escalera]],Tabla38[[#This Row],[Longitud]],Tabla38[[#This Row],[Carga Maxima]])</f>
        <v>ESCALERA DOBLE O DE TIJERA, 3,6 M, 300 LB</v>
      </c>
      <c r="G46" s="15" t="s">
        <v>384</v>
      </c>
      <c r="H46" s="15" t="s">
        <v>412</v>
      </c>
      <c r="I46" s="15" t="s">
        <v>396</v>
      </c>
      <c r="J46" s="15" t="s">
        <v>318</v>
      </c>
      <c r="K46" s="47" t="s">
        <v>355</v>
      </c>
      <c r="L46" t="s">
        <v>413</v>
      </c>
      <c r="M46" s="47" t="s">
        <v>355</v>
      </c>
      <c r="N46" s="47" t="str">
        <f>_xlfn.LET(
    _xlpm.itemBuscado, B46,
    _xlpm.areaBuscada, C46,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TEXT(COUNTIF($C$2:C46, _xlpm.areaBuscada), "0000"),
    _xlpm.codItem &amp; "-" &amp; _xlpm.codArea &amp; "-" &amp; _xlpm.secuencia
)</f>
        <v>ZM-ES-TG-0012</v>
      </c>
      <c r="P46" s="15"/>
      <c r="R46" s="48"/>
    </row>
    <row r="47" spans="2:43" ht="28.8" x14ac:dyDescent="0.3">
      <c r="B47" t="s">
        <v>20</v>
      </c>
      <c r="C47" s="11" t="s">
        <v>178</v>
      </c>
      <c r="E47" s="11" t="str" cm="1">
        <f t="array" ref="E47">_xlfn.IFS(
    COUNTIF(Herramientas_eléctricas18[Herramientas_eléctricas], B47) &gt; 0, Herramientas_eléctricas18[[#Headers],[Herramientas_eléctricas]],
    COUNTIF(Herramientas_neumáticas19[Herramientas_neumáticas], B47) &gt; 0, Herramientas_neumáticas19[[#Headers],[Herramientas_neumáticas]],
    COUNTIF(Herramientas_de_medición20[Herramientas_de_medición], B47) &gt; 0, Herramientas_de_medición20[[#Headers],[Herramientas_de_medición]],
    COUNTIF(Herrramientas_mecánicas21[Herramientas_mecánicas], B47) &gt; 0, Herrramientas_mecánicas21[[#Headers],[Herramientas_mecánicas]],
    COUNTIF(AI47:AI53, B47) &gt; 0, Herramientas_hidráulicas22[[#Headers],[Herramientas_hidráulicas]],
    COUNTIF(EPP_23[SPCC], B47) &gt; 0, EPP_23[[#Headers],[SPCC]],
   COUNTIF(Herramientas_de_izaje24[Herramientas_de_izaje], B47) &gt; 0, Herramientas_de_izaje24[[#Headers],[Herramientas_de_izaje]],
COUNTIF(Tabla1626[Equipos], B47) &gt; 0, Tabla1626[[#Headers],[Equipos]],
    TRUE, "Sin clasificación"
)</f>
        <v>Herramientas_mecánicas</v>
      </c>
      <c r="F47" s="15" t="str">
        <f>_xlfn.TEXTJOIN(", ",TRUE, Tabla38[[#This Row],[Tipo de escalera]],Tabla38[[#This Row],[Longitud]],Tabla38[[#This Row],[Carga Maxima]])</f>
        <v>ESCALERA DOBLE O DE TIJERA, NO TIENE, NO TIENE</v>
      </c>
      <c r="G47" s="15" t="s">
        <v>384</v>
      </c>
      <c r="H47" s="15" t="s">
        <v>355</v>
      </c>
      <c r="I47" s="15" t="s">
        <v>355</v>
      </c>
      <c r="J47" s="15" t="s">
        <v>318</v>
      </c>
      <c r="K47" s="47" t="s">
        <v>355</v>
      </c>
      <c r="L47" t="s">
        <v>414</v>
      </c>
      <c r="M47" s="47" t="s">
        <v>355</v>
      </c>
      <c r="N47" s="47" t="str">
        <f>_xlfn.LET(
    _xlpm.itemBuscado, B47,
    _xlpm.areaBuscada, C47,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TEXT(COUNTIF($C$2:C47, _xlpm.areaBuscada), "0000"),
    _xlpm.codItem &amp; "-" &amp; _xlpm.codArea &amp; "-" &amp; _xlpm.secuencia
)</f>
        <v>ZM-ES-TG-0013</v>
      </c>
      <c r="P47" s="15"/>
      <c r="R47" s="48"/>
      <c r="AE47" t="s">
        <v>41</v>
      </c>
      <c r="AH47" t="s">
        <v>282</v>
      </c>
    </row>
    <row r="48" spans="2:43" ht="28.8" x14ac:dyDescent="0.3">
      <c r="B48" t="s">
        <v>20</v>
      </c>
      <c r="C48" s="11" t="s">
        <v>178</v>
      </c>
      <c r="E48" s="11" t="str" cm="1">
        <f t="array" ref="E48">_xlfn.IFS(
    COUNTIF(Herramientas_eléctricas18[Herramientas_eléctricas], B48) &gt; 0, Herramientas_eléctricas18[[#Headers],[Herramientas_eléctricas]],
    COUNTIF(Herramientas_neumáticas19[Herramientas_neumáticas], B48) &gt; 0, Herramientas_neumáticas19[[#Headers],[Herramientas_neumáticas]],
    COUNTIF(Herramientas_de_medición20[Herramientas_de_medición], B48) &gt; 0, Herramientas_de_medición20[[#Headers],[Herramientas_de_medición]],
    COUNTIF(Herrramientas_mecánicas21[Herramientas_mecánicas], B48) &gt; 0, Herrramientas_mecánicas21[[#Headers],[Herramientas_mecánicas]],
    COUNTIF(AI48:AI54, B48) &gt; 0, Herramientas_hidráulicas22[[#Headers],[Herramientas_hidráulicas]],
    COUNTIF(EPP_23[SPCC], B48) &gt; 0, EPP_23[[#Headers],[SPCC]],
   COUNTIF(Herramientas_de_izaje24[Herramientas_de_izaje], B48) &gt; 0, Herramientas_de_izaje24[[#Headers],[Herramientas_de_izaje]],
COUNTIF(Tabla1626[Equipos], B48) &gt; 0, Tabla1626[[#Headers],[Equipos]],
    TRUE, "Sin clasificación"
)</f>
        <v>Herramientas_mecánicas</v>
      </c>
      <c r="F48" s="15" t="str">
        <f>_xlfn.TEXTJOIN(", ",TRUE, Tabla38[[#This Row],[Tipo de escalera]],Tabla38[[#This Row],[Longitud]],Tabla38[[#This Row],[Carga Maxima]])</f>
        <v>ESCALERA DOBLE O DE TIJERA, NO TIENE, 300 LB</v>
      </c>
      <c r="G48" s="15" t="s">
        <v>384</v>
      </c>
      <c r="H48" s="15" t="s">
        <v>355</v>
      </c>
      <c r="I48" s="15" t="s">
        <v>396</v>
      </c>
      <c r="J48" s="15" t="s">
        <v>337</v>
      </c>
      <c r="K48" s="47" t="s">
        <v>355</v>
      </c>
      <c r="L48" t="s">
        <v>415</v>
      </c>
      <c r="M48" s="47" t="s">
        <v>355</v>
      </c>
      <c r="N48" s="47" t="str">
        <f>_xlfn.LET(
    _xlpm.itemBuscado, B48,
    _xlpm.areaBuscada, C48,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TEXT(COUNTIF($C$2:C48, _xlpm.areaBuscada), "0000"),
    _xlpm.codItem &amp; "-" &amp; _xlpm.codArea &amp; "-" &amp; _xlpm.secuencia
)</f>
        <v>ZM-ES-TG-0014</v>
      </c>
      <c r="P48" s="15"/>
      <c r="R48" s="48"/>
      <c r="AE48" t="s">
        <v>41</v>
      </c>
      <c r="AG48" t="s">
        <v>283</v>
      </c>
      <c r="AH48" s="74" t="s">
        <v>284</v>
      </c>
      <c r="AQ48" t="s">
        <v>74</v>
      </c>
    </row>
    <row r="49" spans="2:43" ht="28.8" x14ac:dyDescent="0.3">
      <c r="B49" t="s">
        <v>20</v>
      </c>
      <c r="C49" s="11" t="s">
        <v>178</v>
      </c>
      <c r="E49" s="11" t="str" cm="1">
        <f t="array" ref="E49">_xlfn.IFS(
    COUNTIF(Herramientas_eléctricas18[Herramientas_eléctricas], B49) &gt; 0, Herramientas_eléctricas18[[#Headers],[Herramientas_eléctricas]],
    COUNTIF(Herramientas_neumáticas19[Herramientas_neumáticas], B49) &gt; 0, Herramientas_neumáticas19[[#Headers],[Herramientas_neumáticas]],
    COUNTIF(Herramientas_de_medición20[Herramientas_de_medición], B49) &gt; 0, Herramientas_de_medición20[[#Headers],[Herramientas_de_medición]],
    COUNTIF(Herrramientas_mecánicas21[Herramientas_mecánicas], B49) &gt; 0, Herrramientas_mecánicas21[[#Headers],[Herramientas_mecánicas]],
    COUNTIF(AI49:AI55, B49) &gt; 0, Herramientas_hidráulicas22[[#Headers],[Herramientas_hidráulicas]],
    COUNTIF(EPP_23[SPCC], B49) &gt; 0, EPP_23[[#Headers],[SPCC]],
   COUNTIF(Herramientas_de_izaje24[Herramientas_de_izaje], B49) &gt; 0, Herramientas_de_izaje24[[#Headers],[Herramientas_de_izaje]],
COUNTIF(Tabla1626[Equipos], B49) &gt; 0, Tabla1626[[#Headers],[Equipos]],
    TRUE, "Sin clasificación"
)</f>
        <v>Herramientas_mecánicas</v>
      </c>
      <c r="F49" s="15" t="str">
        <f>_xlfn.TEXTJOIN(", ",TRUE, Tabla38[[#This Row],[Tipo de escalera]],Tabla38[[#This Row],[Longitud]],Tabla38[[#This Row],[Carga Maxima]])</f>
        <v>ESCALERA DOBLE O DE TIJERA, NO TIENE, 102 KG</v>
      </c>
      <c r="G49" s="15" t="s">
        <v>384</v>
      </c>
      <c r="H49" s="15" t="s">
        <v>355</v>
      </c>
      <c r="I49" s="15" t="s">
        <v>417</v>
      </c>
      <c r="J49" s="15" t="s">
        <v>416</v>
      </c>
      <c r="K49" s="47" t="s">
        <v>355</v>
      </c>
      <c r="L49" t="s">
        <v>355</v>
      </c>
      <c r="M49" s="47" t="s">
        <v>355</v>
      </c>
      <c r="N49" s="47" t="str">
        <f>_xlfn.LET(
    _xlpm.itemBuscado, B49,
    _xlpm.areaBuscada, C49,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TEXT(COUNTIF($C$2:C49, _xlpm.areaBuscada), "0000"),
    _xlpm.codItem &amp; "-" &amp; _xlpm.codArea &amp; "-" &amp; _xlpm.secuencia
)</f>
        <v>ZM-ES-TG-0015</v>
      </c>
      <c r="P49" s="15"/>
      <c r="R49" s="48"/>
      <c r="AE49" t="s">
        <v>285</v>
      </c>
      <c r="AG49" t="s">
        <v>286</v>
      </c>
      <c r="AQ49" s="22" t="s">
        <v>74</v>
      </c>
    </row>
    <row r="50" spans="2:43" ht="28.8" x14ac:dyDescent="0.3">
      <c r="B50" t="s">
        <v>20</v>
      </c>
      <c r="C50" s="11" t="s">
        <v>178</v>
      </c>
      <c r="E50" s="11" t="str" cm="1">
        <f t="array" ref="E50">_xlfn.IFS(
    COUNTIF(Herramientas_eléctricas18[Herramientas_eléctricas], B50) &gt; 0, Herramientas_eléctricas18[[#Headers],[Herramientas_eléctricas]],
    COUNTIF(Herramientas_neumáticas19[Herramientas_neumáticas], B50) &gt; 0, Herramientas_neumáticas19[[#Headers],[Herramientas_neumáticas]],
    COUNTIF(Herramientas_de_medición20[Herramientas_de_medición], B50) &gt; 0, Herramientas_de_medición20[[#Headers],[Herramientas_de_medición]],
    COUNTIF(Herrramientas_mecánicas21[Herramientas_mecánicas], B50) &gt; 0, Herrramientas_mecánicas21[[#Headers],[Herramientas_mecánicas]],
    COUNTIF(AI50:AI56, B50) &gt; 0, Herramientas_hidráulicas22[[#Headers],[Herramientas_hidráulicas]],
    COUNTIF(EPP_23[SPCC], B50) &gt; 0, EPP_23[[#Headers],[SPCC]],
   COUNTIF(Herramientas_de_izaje24[Herramientas_de_izaje], B50) &gt; 0, Herramientas_de_izaje24[[#Headers],[Herramientas_de_izaje]],
COUNTIF(Tabla1626[Equipos], B50) &gt; 0, Tabla1626[[#Headers],[Equipos]],
    TRUE, "Sin clasificación"
)</f>
        <v>Herramientas_mecánicas</v>
      </c>
      <c r="F50" s="15" t="str">
        <f>_xlfn.TEXTJOIN(", ",TRUE, Tabla38[[#This Row],[Tipo de escalera]],Tabla38[[#This Row],[Longitud]],Tabla38[[#This Row],[Carga Maxima]])</f>
        <v>ESCALERA DOBLE O DE TIJERA, NO TIENE, NO TIENE</v>
      </c>
      <c r="G50" s="15" t="s">
        <v>384</v>
      </c>
      <c r="H50" s="15" t="s">
        <v>355</v>
      </c>
      <c r="I50" s="15" t="s">
        <v>355</v>
      </c>
      <c r="J50" s="15" t="s">
        <v>355</v>
      </c>
      <c r="K50" s="47" t="s">
        <v>355</v>
      </c>
      <c r="L50" t="s">
        <v>418</v>
      </c>
      <c r="M50" s="47" t="s">
        <v>355</v>
      </c>
      <c r="N50" s="47" t="str">
        <f>_xlfn.LET(
    _xlpm.itemBuscado, B50,
    _xlpm.areaBuscada, C50,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TEXT(COUNTIF($C$2:C50, _xlpm.areaBuscada), "0000"),
    _xlpm.codItem &amp; "-" &amp; _xlpm.codArea &amp; "-" &amp; _xlpm.secuencia
)</f>
        <v>ZM-ES-TG-0016</v>
      </c>
      <c r="P50" s="15"/>
      <c r="R50" s="48"/>
      <c r="AE50" t="s">
        <v>287</v>
      </c>
      <c r="AG50" t="s">
        <v>288</v>
      </c>
      <c r="AH50" t="s">
        <v>289</v>
      </c>
      <c r="AQ50" s="18" t="s">
        <v>290</v>
      </c>
    </row>
    <row r="51" spans="2:43" ht="28.8" x14ac:dyDescent="0.3">
      <c r="B51" t="s">
        <v>20</v>
      </c>
      <c r="C51" s="11" t="s">
        <v>178</v>
      </c>
      <c r="E51" s="11" t="s">
        <v>7</v>
      </c>
      <c r="F51" s="15" t="str">
        <f>_xlfn.TEXTJOIN(", ",TRUE, Tabla38[[#This Row],[Tipo de escalera]],Tabla38[[#This Row],[Longitud]],Tabla38[[#This Row],[Carga Maxima]])</f>
        <v>ESCALERA EXTENSIBLE O TELESCÓPICA, 24 PIES, 250 LB</v>
      </c>
      <c r="G51" s="15" t="s">
        <v>385</v>
      </c>
      <c r="H51" s="15" t="s">
        <v>421</v>
      </c>
      <c r="I51" s="15" t="s">
        <v>420</v>
      </c>
      <c r="J51" s="15" t="s">
        <v>318</v>
      </c>
      <c r="K51" s="47" t="s">
        <v>355</v>
      </c>
      <c r="L51" t="s">
        <v>419</v>
      </c>
      <c r="M51" s="47" t="s">
        <v>355</v>
      </c>
      <c r="N51" s="47" t="str">
        <f>_xlfn.LET(
    _xlpm.itemBuscado, B51,
    _xlpm.areaBuscada, C51,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TEXT(COUNTIF($C$2:C51, _xlpm.areaBuscada), "0000"),
    _xlpm.codItem &amp; "-" &amp; _xlpm.codArea &amp; "-" &amp; _xlpm.secuencia
)</f>
        <v>ZM-ES-TG-0017</v>
      </c>
      <c r="O51">
        <v>0</v>
      </c>
      <c r="P51" s="15"/>
      <c r="R51" s="48"/>
      <c r="S51" t="s">
        <v>425</v>
      </c>
      <c r="AH51" s="22" t="s">
        <v>291</v>
      </c>
    </row>
    <row r="52" spans="2:43" ht="28.8" x14ac:dyDescent="0.3">
      <c r="B52" t="s">
        <v>20</v>
      </c>
      <c r="C52" s="11" t="s">
        <v>178</v>
      </c>
      <c r="E52" s="11" t="s">
        <v>7</v>
      </c>
      <c r="F52" s="15" t="str">
        <f>_xlfn.TEXTJOIN(", ",TRUE, Tabla38[[#This Row],[Tipo de escalera]],Tabla38[[#This Row],[Longitud]],Tabla38[[#This Row],[Carga Maxima]])</f>
        <v>ESCALERA EXTENSIBLE O TELESCÓPICA, 40 PIES, 400 LB</v>
      </c>
      <c r="G52" s="15" t="s">
        <v>385</v>
      </c>
      <c r="H52" s="15" t="s">
        <v>424</v>
      </c>
      <c r="I52" s="15" t="s">
        <v>423</v>
      </c>
      <c r="J52" s="15" t="s">
        <v>318</v>
      </c>
      <c r="K52" s="47" t="s">
        <v>355</v>
      </c>
      <c r="L52" t="s">
        <v>422</v>
      </c>
      <c r="M52" s="47" t="s">
        <v>355</v>
      </c>
      <c r="N52" s="47" t="str">
        <f>_xlfn.LET(
    _xlpm.itemBuscado, B52,
    _xlpm.areaBuscada, C52,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TEXT(COUNTIF($C$2:C52, _xlpm.areaBuscada), "0000"),
    _xlpm.codItem &amp; "-" &amp; _xlpm.codArea &amp; "-" &amp; _xlpm.secuencia
)</f>
        <v>ZM-ES-TG-0018</v>
      </c>
      <c r="P52" s="15"/>
      <c r="R52" s="48"/>
      <c r="AE52" t="s">
        <v>60</v>
      </c>
      <c r="AH52" s="67" t="s">
        <v>292</v>
      </c>
    </row>
    <row r="53" spans="2:43" ht="28.8" x14ac:dyDescent="0.3">
      <c r="B53" t="s">
        <v>20</v>
      </c>
      <c r="C53" s="11" t="s">
        <v>178</v>
      </c>
      <c r="E53" s="11" t="s">
        <v>7</v>
      </c>
      <c r="F53" s="15" t="str">
        <f>_xlfn.TEXTJOIN(", ",TRUE, Tabla38[[#This Row],[Tipo de escalera]],Tabla38[[#This Row],[Longitud]],Tabla38[[#This Row],[Carga Maxima]])</f>
        <v>ESCALERA EXTENSIBLE O TELESCÓPICA, 40 PIES, 400 LB</v>
      </c>
      <c r="G53" s="15" t="s">
        <v>385</v>
      </c>
      <c r="H53" s="15" t="s">
        <v>424</v>
      </c>
      <c r="I53" s="15" t="s">
        <v>423</v>
      </c>
      <c r="J53" s="15" t="s">
        <v>318</v>
      </c>
      <c r="K53" s="47" t="s">
        <v>355</v>
      </c>
      <c r="L53" t="s">
        <v>426</v>
      </c>
      <c r="M53" s="47" t="s">
        <v>355</v>
      </c>
      <c r="N53" s="47" t="str">
        <f>_xlfn.LET(
    _xlpm.itemBuscado, B53,
    _xlpm.areaBuscada, C53,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TEXT(COUNTIF($C$2:C53, _xlpm.areaBuscada), "0000"),
    _xlpm.codItem &amp; "-" &amp; _xlpm.codArea &amp; "-" &amp; _xlpm.secuencia
)</f>
        <v>ZM-ES-TG-0019</v>
      </c>
      <c r="P53" s="15"/>
      <c r="R53" s="48"/>
      <c r="AE53" s="70" t="s">
        <v>293</v>
      </c>
      <c r="AH53" s="22" t="s">
        <v>294</v>
      </c>
    </row>
    <row r="54" spans="2:43" ht="28.8" x14ac:dyDescent="0.3">
      <c r="B54" t="s">
        <v>20</v>
      </c>
      <c r="C54" s="11" t="s">
        <v>178</v>
      </c>
      <c r="E54" s="11" t="s">
        <v>7</v>
      </c>
      <c r="F54" s="15" t="str">
        <f>_xlfn.TEXTJOIN(", ",TRUE, Tabla38[[#This Row],[Tipo de escalera]],Tabla38[[#This Row],[Longitud]],Tabla38[[#This Row],[Carga Maxima]])</f>
        <v>ESCALERA EXTENSIBLE O TELESCÓPICA, 10 PULGADAS, 136 KG</v>
      </c>
      <c r="G54" s="15" t="s">
        <v>385</v>
      </c>
      <c r="H54" s="15" t="s">
        <v>429</v>
      </c>
      <c r="I54" s="15" t="s">
        <v>430</v>
      </c>
      <c r="J54" s="15" t="s">
        <v>318</v>
      </c>
      <c r="K54" s="47" t="s">
        <v>428</v>
      </c>
      <c r="L54" t="s">
        <v>427</v>
      </c>
      <c r="M54" s="47">
        <v>2885510126</v>
      </c>
      <c r="N54" s="47" t="str">
        <f>_xlfn.LET(
    _xlpm.itemBuscado, B54,
    _xlpm.areaBuscada, C54,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TEXT(COUNTIF($C$2:C54, _xlpm.areaBuscada), "0000"),
    _xlpm.codItem &amp; "-" &amp; _xlpm.codArea &amp; "-" &amp; _xlpm.secuencia
)</f>
        <v>ZM-ES-TG-0020</v>
      </c>
      <c r="P54" s="15"/>
      <c r="R54" s="48"/>
      <c r="AH54" s="22" t="s">
        <v>295</v>
      </c>
    </row>
    <row r="55" spans="2:43" ht="28.8" x14ac:dyDescent="0.3">
      <c r="B55" t="s">
        <v>20</v>
      </c>
      <c r="C55" s="11" t="s">
        <v>178</v>
      </c>
      <c r="E55" s="11" t="s">
        <v>7</v>
      </c>
      <c r="F55" s="15" t="str">
        <f>_xlfn.TEXTJOIN(", ",TRUE, Tabla38[[#This Row],[Tipo de escalera]],Tabla38[[#This Row],[Longitud]],Tabla38[[#This Row],[Carga Maxima]])</f>
        <v>ESCALERA TIPO PLATAFORMA MOVIBLE, 50 CM, 136 KG</v>
      </c>
      <c r="G55" s="15" t="s">
        <v>386</v>
      </c>
      <c r="H55" s="15" t="s">
        <v>432</v>
      </c>
      <c r="I55" s="15" t="s">
        <v>430</v>
      </c>
      <c r="J55" s="15" t="s">
        <v>318</v>
      </c>
      <c r="K55" s="47" t="s">
        <v>431</v>
      </c>
      <c r="L55" t="s">
        <v>355</v>
      </c>
      <c r="M55" s="47">
        <v>2886513201</v>
      </c>
      <c r="N55" s="47" t="str">
        <f>_xlfn.LET(
    _xlpm.itemBuscado, B55,
    _xlpm.areaBuscada, C55,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TEXT(COUNTIF($C$2:C55, _xlpm.areaBuscada), "0000"),
    _xlpm.codItem &amp; "-" &amp; _xlpm.codArea &amp; "-" &amp; _xlpm.secuencia
)</f>
        <v>ZM-ES-TG-0021</v>
      </c>
      <c r="P55" s="15"/>
      <c r="R55" s="48"/>
      <c r="AH55" s="22" t="s">
        <v>296</v>
      </c>
    </row>
    <row r="56" spans="2:43" ht="28.8" x14ac:dyDescent="0.3">
      <c r="B56" t="s">
        <v>20</v>
      </c>
      <c r="C56" s="11" t="s">
        <v>178</v>
      </c>
      <c r="E56" s="11" t="s">
        <v>7</v>
      </c>
      <c r="F56" s="15" t="str">
        <f>_xlfn.TEXTJOIN(", ",TRUE, Tabla38[[#This Row],[Tipo de escalera]],Tabla38[[#This Row],[Longitud]],Tabla38[[#This Row],[Carga Maxima]])</f>
        <v>ESCALERA TIPO PLATAFORMA MOVIBLE, 50 CM, 136 KG</v>
      </c>
      <c r="G56" s="15" t="s">
        <v>386</v>
      </c>
      <c r="H56" s="15" t="s">
        <v>432</v>
      </c>
      <c r="I56" s="15" t="s">
        <v>430</v>
      </c>
      <c r="J56" s="15" t="s">
        <v>318</v>
      </c>
      <c r="K56" s="47" t="s">
        <v>431</v>
      </c>
      <c r="L56" t="s">
        <v>355</v>
      </c>
      <c r="M56" s="47">
        <v>2886513201</v>
      </c>
      <c r="N56" s="47" t="str">
        <f>_xlfn.LET(
    _xlpm.itemBuscado, B56,
    _xlpm.areaBuscada, C56,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TEXT(COUNTIF($C$2:C56, _xlpm.areaBuscada), "0000"),
    _xlpm.codItem &amp; "-" &amp; _xlpm.codArea &amp; "-" &amp; _xlpm.secuencia
)</f>
        <v>ZM-ES-TG-0022</v>
      </c>
      <c r="P56" s="15"/>
      <c r="R56" s="48"/>
      <c r="AG56" t="s">
        <v>297</v>
      </c>
      <c r="AH56" s="18" t="s">
        <v>298</v>
      </c>
    </row>
    <row r="57" spans="2:43" x14ac:dyDescent="0.3">
      <c r="B57" t="s">
        <v>20</v>
      </c>
      <c r="C57" s="11" t="s">
        <v>172</v>
      </c>
      <c r="E57" s="11" t="s">
        <v>7</v>
      </c>
      <c r="F57" s="15"/>
      <c r="G57" s="15" t="s">
        <v>385</v>
      </c>
      <c r="H57" s="15" t="s">
        <v>421</v>
      </c>
      <c r="I57" s="15" t="s">
        <v>420</v>
      </c>
      <c r="J57" s="15" t="s">
        <v>318</v>
      </c>
      <c r="K57" s="47" t="s">
        <v>433</v>
      </c>
      <c r="L57" t="s">
        <v>434</v>
      </c>
      <c r="M57" s="47">
        <v>2886508620</v>
      </c>
      <c r="N57" s="47" t="str">
        <f>_xlfn.LET(
    _xlpm.itemBuscado, B57,
    _xlpm.areaBuscada, C57,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TEXT(COUNTIF($C$2:C57, _xlpm.areaBuscada), "0000"),
    _xlpm.codItem &amp; "-" &amp; _xlpm.codArea &amp; "-" &amp; _xlpm.secuencia
)</f>
        <v>ZM-ES-ML-0001</v>
      </c>
      <c r="P57" s="15"/>
      <c r="R57" s="48"/>
      <c r="AG57" t="s">
        <v>299</v>
      </c>
      <c r="AH57" s="22" t="s">
        <v>300</v>
      </c>
    </row>
    <row r="58" spans="2:43" x14ac:dyDescent="0.3">
      <c r="B58" t="s">
        <v>20</v>
      </c>
      <c r="C58" s="11" t="s">
        <v>172</v>
      </c>
      <c r="E58" s="11" t="s">
        <v>7</v>
      </c>
      <c r="F58" s="15" t="str">
        <f>_xlfn.TEXTJOIN(", ",TRUE, Tabla38[[#This Row],[Tipo de escalera]],Tabla38[[#This Row],[Longitud]],Tabla38[[#This Row],[Carga Maxima]])</f>
        <v>ESCALERA EXTENSIBLE O TELESCÓPICA, 24 PIES, 250 LB</v>
      </c>
      <c r="G58" s="15" t="s">
        <v>385</v>
      </c>
      <c r="H58" s="15" t="s">
        <v>421</v>
      </c>
      <c r="I58" s="15" t="s">
        <v>420</v>
      </c>
      <c r="J58" s="15" t="s">
        <v>318</v>
      </c>
      <c r="K58" s="47" t="s">
        <v>433</v>
      </c>
      <c r="L58" t="s">
        <v>435</v>
      </c>
      <c r="M58" s="47">
        <v>2886508620</v>
      </c>
      <c r="N58" s="47" t="str">
        <f>_xlfn.LET(
    _xlpm.itemBuscado, B58,
    _xlpm.areaBuscada, C58,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TEXT(COUNTIF($C$2:C58, _xlpm.areaBuscada), "0000"),
    _xlpm.codItem &amp; "-" &amp; _xlpm.codArea &amp; "-" &amp; _xlpm.secuencia
)</f>
        <v>ZM-ES-ML-0002</v>
      </c>
      <c r="P58" s="15"/>
      <c r="R58" s="48"/>
      <c r="AE58" t="s">
        <v>23</v>
      </c>
      <c r="AH58" s="18" t="s">
        <v>301</v>
      </c>
    </row>
    <row r="59" spans="2:43" x14ac:dyDescent="0.3">
      <c r="B59" t="s">
        <v>20</v>
      </c>
      <c r="C59" s="11" t="s">
        <v>172</v>
      </c>
      <c r="E59" s="11" t="s">
        <v>7</v>
      </c>
      <c r="F59" s="15" t="str">
        <f>_xlfn.TEXTJOIN(", ",TRUE, Tabla38[[#This Row],[Tipo de escalera]],Tabla38[[#This Row],[Longitud]],Tabla38[[#This Row],[Carga Maxima]])</f>
        <v>ESCALERA EXTENSIBLE O TELESCÓPICA, 24 PIES, 250 LB</v>
      </c>
      <c r="G59" s="15" t="s">
        <v>385</v>
      </c>
      <c r="H59" s="15" t="s">
        <v>421</v>
      </c>
      <c r="I59" s="15" t="s">
        <v>420</v>
      </c>
      <c r="J59" s="15" t="s">
        <v>318</v>
      </c>
      <c r="K59" s="47" t="s">
        <v>433</v>
      </c>
      <c r="L59" t="s">
        <v>436</v>
      </c>
      <c r="M59" s="47">
        <v>2886508620</v>
      </c>
      <c r="N59" s="47" t="str">
        <f>_xlfn.LET(
    _xlpm.itemBuscado, B59,
    _xlpm.areaBuscada, C59,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TEXT(COUNTIF($C$2:C59, _xlpm.areaBuscada), "0000"),
    _xlpm.codItem &amp; "-" &amp; _xlpm.codArea &amp; "-" &amp; _xlpm.secuencia
)</f>
        <v>ZM-ES-ML-0003</v>
      </c>
      <c r="P59" s="15"/>
      <c r="R59" s="48"/>
      <c r="AE59" t="s">
        <v>302</v>
      </c>
      <c r="AH59" s="70" t="s">
        <v>303</v>
      </c>
    </row>
    <row r="60" spans="2:43" x14ac:dyDescent="0.3">
      <c r="B60" t="s">
        <v>20</v>
      </c>
      <c r="C60" s="11" t="s">
        <v>172</v>
      </c>
      <c r="E60" s="11" t="s">
        <v>7</v>
      </c>
      <c r="F60" s="15" t="str">
        <f>_xlfn.TEXTJOIN(", ",TRUE, Tabla38[[#This Row],[Tipo de escalera]],Tabla38[[#This Row],[Longitud]],Tabla38[[#This Row],[Carga Maxima]])</f>
        <v>ESCALERA EXTENSIBLE O TELESCÓPICA</v>
      </c>
      <c r="G60" s="15" t="s">
        <v>385</v>
      </c>
      <c r="H60" s="15"/>
      <c r="I60" s="15"/>
      <c r="J60" s="15" t="s">
        <v>318</v>
      </c>
      <c r="K60" s="47" t="s">
        <v>355</v>
      </c>
      <c r="L60" t="s">
        <v>437</v>
      </c>
      <c r="M60" s="47" t="s">
        <v>355</v>
      </c>
      <c r="N60" s="47" t="str">
        <f>_xlfn.LET(
    _xlpm.itemBuscado, B60,
    _xlpm.areaBuscada, C60,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TEXT(COUNTIF($C$2:C60, _xlpm.areaBuscada), "0000"),
    _xlpm.codItem &amp; "-" &amp; _xlpm.codArea &amp; "-" &amp; _xlpm.secuencia
)</f>
        <v>ZM-ES-ML-0004</v>
      </c>
      <c r="P60" s="15"/>
      <c r="R60" s="48"/>
      <c r="AG60" t="s">
        <v>62</v>
      </c>
    </row>
    <row r="61" spans="2:43" x14ac:dyDescent="0.3">
      <c r="B61" t="s">
        <v>20</v>
      </c>
      <c r="C61" s="11" t="s">
        <v>172</v>
      </c>
      <c r="E61" s="11" t="s">
        <v>7</v>
      </c>
      <c r="F61" s="15" t="str">
        <f>_xlfn.TEXTJOIN(", ",TRUE, Tabla38[[#This Row],[Tipo de escalera]],Tabla38[[#This Row],[Longitud]],Tabla38[[#This Row],[Carga Maxima]])</f>
        <v>ESCALERA EXTENSIBLE O TELESCÓPICA, 24 PIES, 250 LB</v>
      </c>
      <c r="G61" s="15" t="s">
        <v>385</v>
      </c>
      <c r="H61" s="15" t="s">
        <v>421</v>
      </c>
      <c r="I61" s="15" t="s">
        <v>420</v>
      </c>
      <c r="J61" s="15" t="s">
        <v>337</v>
      </c>
      <c r="K61" s="47" t="s">
        <v>355</v>
      </c>
      <c r="L61" t="s">
        <v>438</v>
      </c>
      <c r="M61" s="47" t="s">
        <v>355</v>
      </c>
      <c r="N61" s="47" t="str">
        <f>_xlfn.LET(
    _xlpm.itemBuscado, B61,
    _xlpm.areaBuscada, C61,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TEXT(COUNTIF($C$2:C61, _xlpm.areaBuscada), "0000"),
    _xlpm.codItem &amp; "-" &amp; _xlpm.codArea &amp; "-" &amp; _xlpm.secuencia
)</f>
        <v>ZM-ES-ML-0005</v>
      </c>
      <c r="P61" s="15"/>
      <c r="R61" s="48"/>
      <c r="AG61" s="70" t="s">
        <v>304</v>
      </c>
      <c r="AH61" t="s">
        <v>305</v>
      </c>
    </row>
    <row r="62" spans="2:43" x14ac:dyDescent="0.3">
      <c r="B62" t="s">
        <v>20</v>
      </c>
      <c r="C62" s="11" t="s">
        <v>172</v>
      </c>
      <c r="E62" s="11" t="s">
        <v>7</v>
      </c>
      <c r="F62" s="15" t="str">
        <f>_xlfn.TEXTJOIN(", ",TRUE, Tabla38[[#This Row],[Tipo de escalera]],Tabla38[[#This Row],[Longitud]],Tabla38[[#This Row],[Carga Maxima]])</f>
        <v>ESCALERA EXTENSIBLE O TELESCÓPICA, 24 PIES, 250 LB</v>
      </c>
      <c r="G62" s="15" t="s">
        <v>385</v>
      </c>
      <c r="H62" s="15" t="s">
        <v>421</v>
      </c>
      <c r="I62" s="15" t="s">
        <v>420</v>
      </c>
      <c r="J62" s="15" t="s">
        <v>318</v>
      </c>
      <c r="K62" s="47" t="s">
        <v>355</v>
      </c>
      <c r="L62" t="s">
        <v>439</v>
      </c>
      <c r="M62" s="47" t="s">
        <v>355</v>
      </c>
      <c r="N62" s="47" t="str">
        <f>_xlfn.LET(
    _xlpm.itemBuscado, B62,
    _xlpm.areaBuscada, C62,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TEXT(COUNTIF($C$2:C62, _xlpm.areaBuscada), "0000"),
    _xlpm.codItem &amp; "-" &amp; _xlpm.codArea &amp; "-" &amp; _xlpm.secuencia
)</f>
        <v>ZM-ES-ML-0006</v>
      </c>
      <c r="P62" s="15"/>
      <c r="R62" s="48"/>
      <c r="AE62" t="s">
        <v>64</v>
      </c>
      <c r="AH62" t="s">
        <v>306</v>
      </c>
    </row>
    <row r="63" spans="2:43" x14ac:dyDescent="0.3">
      <c r="B63" t="s">
        <v>20</v>
      </c>
      <c r="C63" s="11" t="s">
        <v>172</v>
      </c>
      <c r="E63" s="11" t="s">
        <v>7</v>
      </c>
      <c r="F63" s="15" t="str">
        <f>_xlfn.TEXTJOIN(", ",TRUE, Tabla38[[#This Row],[Tipo de escalera]],Tabla38[[#This Row],[Longitud]],Tabla38[[#This Row],[Carga Maxima]])</f>
        <v>ESCALERA SIMPLE DE UN TRAMO, 16 PIES, 300 LB</v>
      </c>
      <c r="G63" s="15" t="s">
        <v>383</v>
      </c>
      <c r="H63" s="15" t="s">
        <v>442</v>
      </c>
      <c r="I63" s="15" t="s">
        <v>396</v>
      </c>
      <c r="J63" s="15" t="s">
        <v>318</v>
      </c>
      <c r="K63" s="47" t="s">
        <v>441</v>
      </c>
      <c r="L63" t="s">
        <v>439</v>
      </c>
      <c r="M63" s="47">
        <v>2886508594</v>
      </c>
      <c r="N63" s="47" t="str">
        <f>_xlfn.LET(
    _xlpm.itemBuscado, B63,
    _xlpm.areaBuscada, C63,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TEXT(COUNTIF($C$2:C63, _xlpm.areaBuscada), "0000"),
    _xlpm.codItem &amp; "-" &amp; _xlpm.codArea &amp; "-" &amp; _xlpm.secuencia
)</f>
        <v>ZM-ES-ML-0007</v>
      </c>
      <c r="P63" s="15"/>
      <c r="R63" s="48"/>
      <c r="AE63" s="75" t="s">
        <v>307</v>
      </c>
      <c r="AG63" t="s">
        <v>89</v>
      </c>
    </row>
    <row r="64" spans="2:43" ht="28.8" x14ac:dyDescent="0.3">
      <c r="B64" t="s">
        <v>20</v>
      </c>
      <c r="C64" s="11" t="s">
        <v>172</v>
      </c>
      <c r="E64" s="11" t="s">
        <v>7</v>
      </c>
      <c r="F64" s="15" t="str">
        <f>_xlfn.TEXTJOIN(", ",TRUE, Tabla38[[#This Row],[Tipo de escalera]],Tabla38[[#This Row],[Longitud]],Tabla38[[#This Row],[Carga Maxima]])</f>
        <v>ESCALERA SIMPLE DE UN TRAMO, 16 PIES, 300 LB</v>
      </c>
      <c r="G64" s="15" t="s">
        <v>383</v>
      </c>
      <c r="H64" s="15" t="s">
        <v>442</v>
      </c>
      <c r="I64" s="15" t="s">
        <v>396</v>
      </c>
      <c r="J64" s="15" t="s">
        <v>318</v>
      </c>
      <c r="K64" s="47" t="s">
        <v>441</v>
      </c>
      <c r="L64" t="s">
        <v>440</v>
      </c>
      <c r="M64" s="47">
        <v>2886508594</v>
      </c>
      <c r="N64" s="47" t="str">
        <f>_xlfn.LET(
    _xlpm.itemBuscado, B64,
    _xlpm.areaBuscada, C64,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TEXT(COUNTIF($C$2:C64, _xlpm.areaBuscada), "0000"),
    _xlpm.codItem &amp; "-" &amp; _xlpm.codArea &amp; "-" &amp; _xlpm.secuencia
)</f>
        <v>ZM-ES-ML-0008</v>
      </c>
      <c r="P64" s="15"/>
      <c r="R64" s="48"/>
      <c r="AE64" s="70" t="s">
        <v>308</v>
      </c>
      <c r="AG64" s="12" t="s">
        <v>309</v>
      </c>
      <c r="AH64" t="s">
        <v>102</v>
      </c>
    </row>
    <row r="65" spans="2:34" x14ac:dyDescent="0.3">
      <c r="B65" t="s">
        <v>20</v>
      </c>
      <c r="C65" s="11" t="s">
        <v>172</v>
      </c>
      <c r="E65" s="11" t="s">
        <v>7</v>
      </c>
      <c r="F65" s="15" t="str">
        <f>_xlfn.TEXTJOIN(", ",TRUE, Tabla38[[#This Row],[Tipo de escalera]],Tabla38[[#This Row],[Longitud]],Tabla38[[#This Row],[Carga Maxima]])</f>
        <v>ESCALERA SIMPLE DE UN TRAMO, 3,6 METROS, 225 KG</v>
      </c>
      <c r="G65" s="15" t="s">
        <v>383</v>
      </c>
      <c r="H65" s="15" t="s">
        <v>445</v>
      </c>
      <c r="I65" s="15" t="s">
        <v>401</v>
      </c>
      <c r="J65" s="15" t="s">
        <v>337</v>
      </c>
      <c r="K65" s="47" t="s">
        <v>444</v>
      </c>
      <c r="L65" t="s">
        <v>443</v>
      </c>
      <c r="M65" s="47">
        <v>9564100900</v>
      </c>
      <c r="N65" s="47" t="str">
        <f>_xlfn.LET(
    _xlpm.itemBuscado, B65,
    _xlpm.areaBuscada, C65,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TEXT(COUNTIF($C$2:C65, _xlpm.areaBuscada), "0000"),
    _xlpm.codItem &amp; "-" &amp; _xlpm.codArea &amp; "-" &amp; _xlpm.secuencia
)</f>
        <v>ZM-ES-ML-0009</v>
      </c>
      <c r="P65" s="15"/>
      <c r="R65" s="48"/>
      <c r="AH65" t="s">
        <v>310</v>
      </c>
    </row>
    <row r="66" spans="2:34" x14ac:dyDescent="0.3">
      <c r="B66" t="s">
        <v>20</v>
      </c>
      <c r="C66" s="11" t="s">
        <v>172</v>
      </c>
      <c r="E66" s="11" t="s">
        <v>7</v>
      </c>
      <c r="F66" s="15" t="str">
        <f>_xlfn.TEXTJOIN(", ",TRUE, Tabla38[[#This Row],[Tipo de escalera]],Tabla38[[#This Row],[Longitud]],Tabla38[[#This Row],[Carga Maxima]])</f>
        <v>ESCALERA SIMPLE DE UN TRAMO, 3,6 METROS, 225 KG</v>
      </c>
      <c r="G66" s="15" t="s">
        <v>383</v>
      </c>
      <c r="H66" s="15" t="s">
        <v>445</v>
      </c>
      <c r="I66" s="15" t="s">
        <v>401</v>
      </c>
      <c r="J66" s="15" t="s">
        <v>337</v>
      </c>
      <c r="K66" s="47" t="s">
        <v>444</v>
      </c>
      <c r="L66" t="s">
        <v>446</v>
      </c>
      <c r="M66" s="47">
        <v>9564100900</v>
      </c>
      <c r="N66" s="47" t="str">
        <f>_xlfn.LET(
    _xlpm.itemBuscado, B66,
    _xlpm.areaBuscada, C66,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TEXT(COUNTIF($C$2:C66, _xlpm.areaBuscada), "0000"),
    _xlpm.codItem &amp; "-" &amp; _xlpm.codArea &amp; "-" &amp; _xlpm.secuencia
)</f>
        <v>ZM-ES-ML-0010</v>
      </c>
      <c r="P66" s="15"/>
      <c r="R66" s="48"/>
      <c r="AE66" t="s">
        <v>101</v>
      </c>
      <c r="AG66" s="34" t="s">
        <v>73</v>
      </c>
    </row>
    <row r="67" spans="2:34" x14ac:dyDescent="0.3">
      <c r="B67" t="s">
        <v>20</v>
      </c>
      <c r="C67" s="11" t="s">
        <v>172</v>
      </c>
      <c r="E67" s="11" t="s">
        <v>7</v>
      </c>
      <c r="F67" s="15" t="str">
        <f>_xlfn.TEXTJOIN(", ",TRUE, Tabla38[[#This Row],[Tipo de escalera]],Tabla38[[#This Row],[Longitud]],Tabla38[[#This Row],[Carga Maxima]])</f>
        <v>ESCALERA SIMPLE DE UN TRAMO, 8 PIES, 300 LB</v>
      </c>
      <c r="G67" s="15" t="s">
        <v>383</v>
      </c>
      <c r="H67" s="15" t="s">
        <v>450</v>
      </c>
      <c r="I67" s="15" t="s">
        <v>396</v>
      </c>
      <c r="J67" s="15" t="s">
        <v>318</v>
      </c>
      <c r="K67" s="47" t="s">
        <v>327</v>
      </c>
      <c r="L67" t="s">
        <v>448</v>
      </c>
      <c r="M67" s="47" t="s">
        <v>355</v>
      </c>
      <c r="N67" s="47" t="str">
        <f>_xlfn.LET(
    _xlpm.itemBuscado, B67,
    _xlpm.areaBuscada, C67,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TEXT(COUNTIF($C$2:C67, _xlpm.areaBuscada), "0000"),
    _xlpm.codItem &amp; "-" &amp; _xlpm.codArea &amp; "-" &amp; _xlpm.secuencia
)</f>
        <v>ZM-ES-ML-0011</v>
      </c>
      <c r="P67" s="15"/>
      <c r="R67" s="48"/>
      <c r="AE67" t="s">
        <v>311</v>
      </c>
      <c r="AG67" s="22" t="s">
        <v>312</v>
      </c>
      <c r="AH67" t="s">
        <v>313</v>
      </c>
    </row>
    <row r="68" spans="2:34" x14ac:dyDescent="0.3">
      <c r="B68" t="s">
        <v>20</v>
      </c>
      <c r="C68" s="11" t="s">
        <v>172</v>
      </c>
      <c r="E68" s="11" t="s">
        <v>7</v>
      </c>
      <c r="F68" s="15" t="str">
        <f>_xlfn.TEXTJOIN(", ",TRUE, Tabla38[[#This Row],[Tipo de escalera]],Tabla38[[#This Row],[Longitud]],Tabla38[[#This Row],[Carga Maxima]])</f>
        <v>ESCALERA SIMPLE DE UN TRAMO, 16 PIES, 300 LB</v>
      </c>
      <c r="G68" s="15" t="s">
        <v>383</v>
      </c>
      <c r="H68" s="15" t="s">
        <v>442</v>
      </c>
      <c r="I68" s="15" t="s">
        <v>396</v>
      </c>
      <c r="J68" s="15" t="s">
        <v>318</v>
      </c>
      <c r="K68" s="47" t="s">
        <v>447</v>
      </c>
      <c r="L68" t="s">
        <v>449</v>
      </c>
      <c r="M68" s="47" t="s">
        <v>355</v>
      </c>
      <c r="N68" s="47" t="str">
        <f>_xlfn.LET(
    _xlpm.itemBuscado, B68,
    _xlpm.areaBuscada, C68,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TEXT(COUNTIF($C$2:C68, _xlpm.areaBuscada), "0000"),
    _xlpm.codItem &amp; "-" &amp; _xlpm.codArea &amp; "-" &amp; _xlpm.secuencia
)</f>
        <v>ZM-ES-ML-0012</v>
      </c>
      <c r="P68" s="15"/>
      <c r="R68" s="48"/>
      <c r="AH68" s="21" t="s">
        <v>314</v>
      </c>
    </row>
    <row r="69" spans="2:34" x14ac:dyDescent="0.3">
      <c r="B69" t="s">
        <v>20</v>
      </c>
      <c r="C69" s="11" t="s">
        <v>172</v>
      </c>
      <c r="E69" s="11" t="s">
        <v>7</v>
      </c>
      <c r="F69" s="15" t="str">
        <f>_xlfn.TEXTJOIN(", ",TRUE, Tabla38[[#This Row],[Tipo de escalera]],Tabla38[[#This Row],[Longitud]],Tabla38[[#This Row],[Carga Maxima]])</f>
        <v>ESCALERA SIMPLE DE UN TRAMO, 8 PIES, 300 LB</v>
      </c>
      <c r="G69" s="15" t="s">
        <v>383</v>
      </c>
      <c r="H69" s="15" t="s">
        <v>450</v>
      </c>
      <c r="I69" s="15" t="s">
        <v>396</v>
      </c>
      <c r="J69" s="15" t="s">
        <v>318</v>
      </c>
      <c r="K69" s="47" t="s">
        <v>327</v>
      </c>
      <c r="L69" t="s">
        <v>451</v>
      </c>
      <c r="M69" s="47" t="s">
        <v>355</v>
      </c>
      <c r="N69" s="47" t="str">
        <f>_xlfn.LET(
    _xlpm.itemBuscado, B69,
    _xlpm.areaBuscada, C69,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TEXT(COUNTIF($C$2:C69, _xlpm.areaBuscada), "0000"),
    _xlpm.codItem &amp; "-" &amp; _xlpm.codArea &amp; "-" &amp; _xlpm.secuencia
)</f>
        <v>ZM-ES-ML-0013</v>
      </c>
      <c r="P69" s="15"/>
      <c r="R69" s="48"/>
      <c r="AH69" s="70" t="s">
        <v>315</v>
      </c>
    </row>
    <row r="70" spans="2:34" x14ac:dyDescent="0.3">
      <c r="B70" t="s">
        <v>20</v>
      </c>
      <c r="C70" s="11" t="s">
        <v>172</v>
      </c>
      <c r="E70" s="11" t="s">
        <v>7</v>
      </c>
      <c r="F70" s="15" t="str">
        <f>_xlfn.TEXTJOIN(", ",TRUE, Tabla38[[#This Row],[Tipo de escalera]],Tabla38[[#This Row],[Longitud]],Tabla38[[#This Row],[Carga Maxima]])</f>
        <v>ESCALERA SIMPLE DE UN TRAMO, 8 PIES, 300 LB</v>
      </c>
      <c r="G70" s="15" t="s">
        <v>383</v>
      </c>
      <c r="H70" s="15" t="s">
        <v>450</v>
      </c>
      <c r="I70" s="15" t="s">
        <v>396</v>
      </c>
      <c r="J70" s="15" t="s">
        <v>318</v>
      </c>
      <c r="K70" s="47" t="s">
        <v>327</v>
      </c>
      <c r="L70" t="s">
        <v>452</v>
      </c>
      <c r="M70" s="47" t="s">
        <v>355</v>
      </c>
      <c r="N70" s="47" t="str">
        <f>_xlfn.LET(
    _xlpm.itemBuscado, B70,
    _xlpm.areaBuscada, C70,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TEXT(COUNTIF($C$2:C70, _xlpm.areaBuscada), "0000"),
    _xlpm.codItem &amp; "-" &amp; _xlpm.codArea &amp; "-" &amp; _xlpm.secuencia
)</f>
        <v>ZM-ES-ML-0014</v>
      </c>
      <c r="P70" s="15"/>
      <c r="R70" s="48"/>
    </row>
    <row r="71" spans="2:34" x14ac:dyDescent="0.3">
      <c r="B71" t="s">
        <v>20</v>
      </c>
      <c r="C71" s="11" t="s">
        <v>172</v>
      </c>
      <c r="E71" s="11" t="s">
        <v>7</v>
      </c>
      <c r="F71" s="15" t="str">
        <f>_xlfn.TEXTJOIN(", ",TRUE, Tabla38[[#This Row],[Tipo de escalera]],Tabla38[[#This Row],[Longitud]],Tabla38[[#This Row],[Carga Maxima]])</f>
        <v>ESCALERA DOBLE O DE TIJERA, NO TIENE, NO TIENE</v>
      </c>
      <c r="G71" s="15" t="s">
        <v>384</v>
      </c>
      <c r="H71" s="15" t="s">
        <v>355</v>
      </c>
      <c r="I71" s="15" t="s">
        <v>355</v>
      </c>
      <c r="J71" s="15" t="s">
        <v>318</v>
      </c>
      <c r="K71" s="47" t="s">
        <v>355</v>
      </c>
      <c r="L71" t="s">
        <v>355</v>
      </c>
      <c r="M71" s="47" t="s">
        <v>355</v>
      </c>
      <c r="N71" s="47" t="str">
        <f>_xlfn.LET(
    _xlpm.itemBuscado, B71,
    _xlpm.areaBuscada, C71,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TEXT(COUNTIF($C$2:C71, _xlpm.areaBuscada), "0000"),
    _xlpm.codItem &amp; "-" &amp; _xlpm.codArea &amp; "-" &amp; _xlpm.secuencia
)</f>
        <v>ZM-ES-ML-0015</v>
      </c>
      <c r="P71" s="15"/>
      <c r="R71" s="48"/>
    </row>
    <row r="72" spans="2:34" x14ac:dyDescent="0.3">
      <c r="B72" t="s">
        <v>20</v>
      </c>
      <c r="C72" s="11" t="s">
        <v>172</v>
      </c>
      <c r="E72" s="11" t="s">
        <v>7</v>
      </c>
      <c r="F72" s="15" t="str">
        <f>_xlfn.TEXTJOIN(", ",TRUE, Tabla38[[#This Row],[Tipo de escalera]],Tabla38[[#This Row],[Longitud]],Tabla38[[#This Row],[Carga Maxima]])</f>
        <v>ESCALERA DOBLE O DE TIJERA, 6 PIES, 300 LB</v>
      </c>
      <c r="G72" s="15" t="s">
        <v>384</v>
      </c>
      <c r="H72" s="15" t="s">
        <v>455</v>
      </c>
      <c r="I72" s="15" t="s">
        <v>396</v>
      </c>
      <c r="J72" s="15" t="s">
        <v>318</v>
      </c>
      <c r="K72" s="47" t="s">
        <v>454</v>
      </c>
      <c r="L72" t="s">
        <v>453</v>
      </c>
      <c r="M72" s="47">
        <v>2886508833</v>
      </c>
      <c r="N72" s="47" t="str">
        <f>_xlfn.LET(
    _xlpm.itemBuscado, B72,
    _xlpm.areaBuscada, C72,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TEXT(COUNTIF($C$2:C72, _xlpm.areaBuscada), "0000"),
    _xlpm.codItem &amp; "-" &amp; _xlpm.codArea &amp; "-" &amp; _xlpm.secuencia
)</f>
        <v>ZM-ES-ML-0016</v>
      </c>
      <c r="P72" s="15"/>
      <c r="R72" s="48"/>
    </row>
    <row r="73" spans="2:34" x14ac:dyDescent="0.3">
      <c r="B73" t="s">
        <v>20</v>
      </c>
      <c r="C73" s="11" t="s">
        <v>171</v>
      </c>
      <c r="E73" s="11" t="s">
        <v>7</v>
      </c>
      <c r="F73" s="15" t="str">
        <f>_xlfn.TEXTJOIN(", ",TRUE, Tabla38[[#This Row],[Tipo de escalera]],Tabla38[[#This Row],[Longitud]],Tabla38[[#This Row],[Carga Maxima]])</f>
        <v>ESCALERA DOBLE O DE TIJERA, 6 PIES, 250 KG</v>
      </c>
      <c r="G73" s="15" t="s">
        <v>384</v>
      </c>
      <c r="H73" s="15" t="s">
        <v>455</v>
      </c>
      <c r="I73" s="15" t="s">
        <v>457</v>
      </c>
      <c r="J73" s="15" t="s">
        <v>318</v>
      </c>
      <c r="K73" s="47" t="s">
        <v>458</v>
      </c>
      <c r="L73" t="s">
        <v>456</v>
      </c>
      <c r="M73" s="47">
        <v>2866502588</v>
      </c>
      <c r="N73" s="47" t="str">
        <f>_xlfn.LET(
    _xlpm.itemBuscado, B73,
    _xlpm.areaBuscada, C73,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TEXT(COUNTIF($C$2:C73, _xlpm.areaBuscada), "0000"),
    _xlpm.codItem &amp; "-" &amp; _xlpm.codArea &amp; "-" &amp; _xlpm.secuencia
)</f>
        <v>ZM-ES-CH-0001</v>
      </c>
      <c r="P73" s="15"/>
      <c r="R73" s="48"/>
    </row>
    <row r="74" spans="2:34" x14ac:dyDescent="0.3">
      <c r="B74" t="s">
        <v>20</v>
      </c>
      <c r="C74" s="11" t="s">
        <v>171</v>
      </c>
      <c r="E74" s="11" t="s">
        <v>7</v>
      </c>
      <c r="F74" s="15" t="str">
        <f>_xlfn.TEXTJOIN(", ",TRUE, Tabla38[[#This Row],[Tipo de escalera]],Tabla38[[#This Row],[Longitud]],Tabla38[[#This Row],[Carga Maxima]])</f>
        <v>ESCALERA DOBLE O DE TIJERA, 4 PIES, 250 KG</v>
      </c>
      <c r="G74" s="15" t="s">
        <v>384</v>
      </c>
      <c r="H74" s="15" t="s">
        <v>460</v>
      </c>
      <c r="I74" s="15" t="s">
        <v>457</v>
      </c>
      <c r="J74" s="15" t="s">
        <v>318</v>
      </c>
      <c r="K74" s="47" t="s">
        <v>323</v>
      </c>
      <c r="L74" t="s">
        <v>459</v>
      </c>
      <c r="M74" s="47">
        <v>728665025645</v>
      </c>
      <c r="N74" s="47" t="str">
        <f>_xlfn.LET(
    _xlpm.itemBuscado, B74,
    _xlpm.areaBuscada, C74,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TEXT(COUNTIF($C$2:C74, _xlpm.areaBuscada), "0000"),
    _xlpm.codItem &amp; "-" &amp; _xlpm.codArea &amp; "-" &amp; _xlpm.secuencia
)</f>
        <v>ZM-ES-CH-0002</v>
      </c>
      <c r="P74" s="15"/>
      <c r="R74" s="48"/>
    </row>
    <row r="75" spans="2:34" ht="57.6" x14ac:dyDescent="0.3">
      <c r="B75" t="s">
        <v>20</v>
      </c>
      <c r="C75" s="11" t="s">
        <v>171</v>
      </c>
      <c r="E75" s="11" t="s">
        <v>7</v>
      </c>
      <c r="F75" s="15" t="str">
        <f>_xlfn.TEXTJOIN(", ",TRUE, Tabla38[[#This Row],[Tipo de escalera]],Tabla38[[#This Row],[Longitud]],Tabla38[[#This Row],[Carga Maxima]])</f>
        <v>ESCALERA SIMPLE DE UN TRAMO, 8 PIES, 300 LB</v>
      </c>
      <c r="G75" s="15" t="s">
        <v>383</v>
      </c>
      <c r="H75" s="15" t="s">
        <v>450</v>
      </c>
      <c r="I75" s="15" t="s">
        <v>396</v>
      </c>
      <c r="J75" s="15" t="s">
        <v>318</v>
      </c>
      <c r="K75" s="47" t="s">
        <v>462</v>
      </c>
      <c r="L75" t="s">
        <v>461</v>
      </c>
      <c r="M75" s="47">
        <v>28866508690</v>
      </c>
      <c r="N75" s="47" t="str">
        <f>_xlfn.LET(
    _xlpm.itemBuscado, B75,
    _xlpm.areaBuscada, C75,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TEXT(COUNTIF($C$2:C75, _xlpm.areaBuscada), "0000"),
    _xlpm.codItem &amp; "-" &amp; _xlpm.codArea &amp; "-" &amp; _xlpm.secuencia
)</f>
        <v>ZM-ES-CH-0003</v>
      </c>
      <c r="P75" s="15"/>
      <c r="R75" s="48"/>
      <c r="AE75" s="11" t="s">
        <v>316</v>
      </c>
    </row>
    <row r="76" spans="2:34" x14ac:dyDescent="0.3">
      <c r="B76" t="s">
        <v>20</v>
      </c>
      <c r="C76" s="11" t="s">
        <v>171</v>
      </c>
      <c r="E76" s="11" t="s">
        <v>7</v>
      </c>
      <c r="F76" s="15" t="str">
        <f>_xlfn.TEXTJOIN(", ",TRUE, Tabla38[[#This Row],[Tipo de escalera]],Tabla38[[#This Row],[Longitud]],Tabla38[[#This Row],[Carga Maxima]])</f>
        <v>ESCALERA EXTENSIBLE O TELESCÓPICA, 17 PIES, 300 LB</v>
      </c>
      <c r="G76" s="15" t="s">
        <v>385</v>
      </c>
      <c r="H76" s="15" t="s">
        <v>465</v>
      </c>
      <c r="I76" s="15" t="s">
        <v>396</v>
      </c>
      <c r="J76" s="15" t="s">
        <v>318</v>
      </c>
      <c r="K76" s="47" t="s">
        <v>464</v>
      </c>
      <c r="L76" t="s">
        <v>463</v>
      </c>
      <c r="M76" s="47" t="s">
        <v>355</v>
      </c>
      <c r="N76" s="47" t="str">
        <f>_xlfn.LET(
    _xlpm.itemBuscado, B76,
    _xlpm.areaBuscada, C76,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TEXT(COUNTIF($C$2:C76, _xlpm.areaBuscada), "0000"),
    _xlpm.codItem &amp; "-" &amp; _xlpm.codArea &amp; "-" &amp; _xlpm.secuencia
)</f>
        <v>ZM-ES-CH-0004</v>
      </c>
      <c r="P76" s="15"/>
      <c r="R76" s="48"/>
    </row>
    <row r="77" spans="2:34" x14ac:dyDescent="0.3">
      <c r="B77" t="s">
        <v>20</v>
      </c>
      <c r="C77" s="11" t="s">
        <v>171</v>
      </c>
      <c r="E77" s="11" t="s">
        <v>7</v>
      </c>
      <c r="F77" s="15" t="str">
        <f>_xlfn.TEXTJOIN(", ",TRUE, Tabla38[[#This Row],[Tipo de escalera]],Tabla38[[#This Row],[Longitud]],Tabla38[[#This Row],[Carga Maxima]])</f>
        <v>ESCALERA DOBLE O DE TIJERA, 4 PIES, 225 LB</v>
      </c>
      <c r="G77" s="15" t="s">
        <v>384</v>
      </c>
      <c r="H77" s="15" t="s">
        <v>460</v>
      </c>
      <c r="I77" s="15" t="s">
        <v>468</v>
      </c>
      <c r="J77" s="15" t="s">
        <v>337</v>
      </c>
      <c r="K77" s="47" t="s">
        <v>467</v>
      </c>
      <c r="L77" t="s">
        <v>466</v>
      </c>
      <c r="M77" s="47">
        <v>9564100820</v>
      </c>
      <c r="N77" s="47" t="str">
        <f>_xlfn.LET(
    _xlpm.itemBuscado, B77,
    _xlpm.areaBuscada, C77,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TEXT(COUNTIF($C$2:C77, _xlpm.areaBuscada), "0000"),
    _xlpm.codItem &amp; "-" &amp; _xlpm.codArea &amp; "-" &amp; _xlpm.secuencia
)</f>
        <v>ZM-ES-CH-0005</v>
      </c>
      <c r="P77" s="15"/>
      <c r="R77" s="48"/>
    </row>
    <row r="78" spans="2:34" x14ac:dyDescent="0.3">
      <c r="B78" t="s">
        <v>20</v>
      </c>
      <c r="C78" s="11" t="s">
        <v>171</v>
      </c>
      <c r="E78" s="11" t="s">
        <v>7</v>
      </c>
      <c r="F78" s="15" t="str">
        <f>_xlfn.TEXTJOIN(", ",TRUE, Tabla38[[#This Row],[Tipo de escalera]],Tabla38[[#This Row],[Longitud]],Tabla38[[#This Row],[Carga Maxima]])</f>
        <v>ESCALERA SIMPLE DE UN TRAMO, 12 PIES, 220KG</v>
      </c>
      <c r="G78" s="15" t="s">
        <v>383</v>
      </c>
      <c r="H78" s="15" t="s">
        <v>472</v>
      </c>
      <c r="I78" s="15" t="s">
        <v>471</v>
      </c>
      <c r="J78" s="15" t="s">
        <v>337</v>
      </c>
      <c r="K78" s="47" t="s">
        <v>444</v>
      </c>
      <c r="L78" t="s">
        <v>469</v>
      </c>
      <c r="M78" s="47">
        <v>95641009901</v>
      </c>
      <c r="N78" s="47" t="str">
        <f>_xlfn.LET(
    _xlpm.itemBuscado, B78,
    _xlpm.areaBuscada, C78,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TEXT(COUNTIF($C$2:C78, _xlpm.areaBuscada), "0000"),
    _xlpm.codItem &amp; "-" &amp; _xlpm.codArea &amp; "-" &amp; _xlpm.secuencia
)</f>
        <v>ZM-ES-CH-0006</v>
      </c>
      <c r="P78" s="15"/>
      <c r="R78" s="48"/>
    </row>
    <row r="79" spans="2:34" x14ac:dyDescent="0.3">
      <c r="B79" t="s">
        <v>20</v>
      </c>
      <c r="C79" s="11" t="s">
        <v>171</v>
      </c>
      <c r="E79" s="11" t="s">
        <v>7</v>
      </c>
      <c r="F79" s="15" t="str">
        <f>_xlfn.TEXTJOIN(", ",TRUE, Tabla38[[#This Row],[Tipo de escalera]],Tabla38[[#This Row],[Longitud]],Tabla38[[#This Row],[Carga Maxima]])</f>
        <v>ESCALERA SIMPLE DE UN TRAMO, 8 PIES, 300 LB</v>
      </c>
      <c r="G79" s="15" t="s">
        <v>383</v>
      </c>
      <c r="H79" s="15" t="s">
        <v>450</v>
      </c>
      <c r="I79" s="15" t="s">
        <v>396</v>
      </c>
      <c r="J79" s="15" t="s">
        <v>318</v>
      </c>
      <c r="K79" s="47" t="s">
        <v>473</v>
      </c>
      <c r="L79" t="s">
        <v>470</v>
      </c>
      <c r="M79" s="47">
        <v>28866508590</v>
      </c>
      <c r="N79" s="47" t="str">
        <f>_xlfn.LET(
    _xlpm.itemBuscado, B79,
    _xlpm.areaBuscada, C79,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TEXT(COUNTIF($C$2:C79, _xlpm.areaBuscada), "0000"),
    _xlpm.codItem &amp; "-" &amp; _xlpm.codArea &amp; "-" &amp; _xlpm.secuencia
)</f>
        <v>ZM-ES-CH-0007</v>
      </c>
      <c r="P79" s="15"/>
      <c r="R79" s="48"/>
    </row>
    <row r="80" spans="2:34" x14ac:dyDescent="0.3">
      <c r="B80" t="s">
        <v>20</v>
      </c>
      <c r="C80" s="11" t="s">
        <v>179</v>
      </c>
      <c r="E80" s="11" t="s">
        <v>7</v>
      </c>
      <c r="F80" s="15" t="str">
        <f>_xlfn.TEXTJOIN(", ",TRUE, Tabla38[[#This Row],[Tipo de escalera]],Tabla38[[#This Row],[Longitud]],Tabla38[[#This Row],[Carga Maxima]])</f>
        <v>ESCALERA SIMPLE DE UN TRAMO, 8 PIES, 225 KG</v>
      </c>
      <c r="G80" s="15" t="s">
        <v>383</v>
      </c>
      <c r="H80" s="15" t="s">
        <v>450</v>
      </c>
      <c r="I80" s="15" t="s">
        <v>401</v>
      </c>
      <c r="J80" s="15" t="s">
        <v>337</v>
      </c>
      <c r="K80" s="47" t="s">
        <v>362</v>
      </c>
      <c r="L80" t="s">
        <v>475</v>
      </c>
      <c r="M80" s="47">
        <v>9564100988</v>
      </c>
      <c r="N80" s="47" t="str">
        <f>_xlfn.LET(
    _xlpm.itemBuscado, B80,
    _xlpm.areaBuscada, C80,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TEXT(COUNTIF($C$2:C80, _xlpm.areaBuscada), "0000"),
    _xlpm.codItem &amp; "-" &amp; _xlpm.codArea &amp; "-" &amp; _xlpm.secuencia
)</f>
        <v>ZM-ES-GE-0001</v>
      </c>
      <c r="P80" s="15"/>
      <c r="R80" s="48"/>
    </row>
    <row r="81" spans="2:18" x14ac:dyDescent="0.3">
      <c r="B81" t="s">
        <v>20</v>
      </c>
      <c r="C81" s="11" t="s">
        <v>179</v>
      </c>
      <c r="E81" s="11" t="s">
        <v>7</v>
      </c>
      <c r="F81" s="15" t="str">
        <f>_xlfn.TEXTJOIN(", ",TRUE, Tabla38[[#This Row],[Tipo de escalera]],Tabla38[[#This Row],[Longitud]],Tabla38[[#This Row],[Carga Maxima]])</f>
        <v>ESCALERA DOBLE O DE TIJERA, 4 PIES, 136 KG</v>
      </c>
      <c r="G81" s="15" t="s">
        <v>384</v>
      </c>
      <c r="H81" s="15" t="s">
        <v>460</v>
      </c>
      <c r="I81" s="15" t="s">
        <v>430</v>
      </c>
      <c r="J81" s="15" t="s">
        <v>318</v>
      </c>
      <c r="K81" s="47" t="s">
        <v>476</v>
      </c>
      <c r="L81" t="s">
        <v>474</v>
      </c>
      <c r="M81" s="47">
        <v>2886508836</v>
      </c>
      <c r="N81" s="47" t="str">
        <f>_xlfn.LET(
    _xlpm.itemBuscado, B81,
    _xlpm.areaBuscada, C81,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TEXT(COUNTIF($C$2:C81, _xlpm.areaBuscada), "0000"),
    _xlpm.codItem &amp; "-" &amp; _xlpm.codArea &amp; "-" &amp; _xlpm.secuencia
)</f>
        <v>ZM-ES-GE-0002</v>
      </c>
      <c r="P81" s="15"/>
      <c r="R81" s="48"/>
    </row>
    <row r="82" spans="2:18" x14ac:dyDescent="0.3">
      <c r="B82" t="s">
        <v>20</v>
      </c>
      <c r="C82" s="11" t="s">
        <v>179</v>
      </c>
      <c r="E82" s="11" t="s">
        <v>7</v>
      </c>
      <c r="F82" s="15" t="str">
        <f>_xlfn.TEXTJOIN(", ",TRUE, Tabla38[[#This Row],[Tipo de escalera]],Tabla38[[#This Row],[Longitud]],Tabla38[[#This Row],[Carga Maxima]])</f>
        <v>ESCALERA EXTENSIBLE O TELESCÓPICA, 22 PIES, 250 LB</v>
      </c>
      <c r="G82" s="15" t="s">
        <v>385</v>
      </c>
      <c r="H82" s="15" t="s">
        <v>478</v>
      </c>
      <c r="I82" s="15" t="s">
        <v>420</v>
      </c>
      <c r="J82" s="15" t="s">
        <v>318</v>
      </c>
      <c r="K82" s="47" t="s">
        <v>355</v>
      </c>
      <c r="L82" t="s">
        <v>477</v>
      </c>
      <c r="M82" s="47" t="s">
        <v>355</v>
      </c>
      <c r="N82" s="47" t="str">
        <f>_xlfn.LET(
    _xlpm.itemBuscado, B82,
    _xlpm.areaBuscada, C82,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TEXT(COUNTIF($C$2:C82, _xlpm.areaBuscada), "0000"),
    _xlpm.codItem &amp; "-" &amp; _xlpm.codArea &amp; "-" &amp; _xlpm.secuencia
)</f>
        <v>ZM-ES-GE-0003</v>
      </c>
      <c r="P82" s="15"/>
      <c r="R82" s="48"/>
    </row>
    <row r="83" spans="2:18" x14ac:dyDescent="0.3">
      <c r="B83" t="s">
        <v>20</v>
      </c>
      <c r="C83" s="11" t="s">
        <v>179</v>
      </c>
      <c r="E83" s="11" t="s">
        <v>7</v>
      </c>
      <c r="F83" s="15" t="str">
        <f>_xlfn.TEXTJOIN(", ",TRUE, Tabla38[[#This Row],[Tipo de escalera]],Tabla38[[#This Row],[Longitud]],Tabla38[[#This Row],[Carga Maxima]])</f>
        <v>ESCALERA DOBLE O DE TIJERA, 5 PIES, NO TIENE</v>
      </c>
      <c r="G83" s="15" t="s">
        <v>384</v>
      </c>
      <c r="H83" s="15" t="s">
        <v>479</v>
      </c>
      <c r="I83" s="15" t="s">
        <v>355</v>
      </c>
      <c r="J83" s="15" t="s">
        <v>337</v>
      </c>
      <c r="K83" s="47" t="s">
        <v>355</v>
      </c>
      <c r="L83" t="s">
        <v>480</v>
      </c>
      <c r="M83" s="47" t="s">
        <v>355</v>
      </c>
      <c r="N83" s="47" t="str">
        <f>_xlfn.LET(
    _xlpm.itemBuscado, B83,
    _xlpm.areaBuscada, C83,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TEXT(COUNTIF($C$2:C83, _xlpm.areaBuscada), "0000"),
    _xlpm.codItem &amp; "-" &amp; _xlpm.codArea &amp; "-" &amp; _xlpm.secuencia
)</f>
        <v>ZM-ES-GE-0004</v>
      </c>
      <c r="P83" s="15"/>
      <c r="R83" s="48"/>
    </row>
    <row r="84" spans="2:18" x14ac:dyDescent="0.3">
      <c r="B84" t="s">
        <v>20</v>
      </c>
      <c r="C84" s="11" t="s">
        <v>179</v>
      </c>
      <c r="E84" s="11" t="s">
        <v>7</v>
      </c>
      <c r="F84" s="15" t="str">
        <f>_xlfn.TEXTJOIN(", ",TRUE, Tabla38[[#This Row],[Tipo de escalera]],Tabla38[[#This Row],[Longitud]],Tabla38[[#This Row],[Carga Maxima]])</f>
        <v>ESCALERA DOBLE O DE TIJERA, 6 PIES, 300 LB</v>
      </c>
      <c r="G84" s="15" t="s">
        <v>384</v>
      </c>
      <c r="H84" s="15" t="s">
        <v>455</v>
      </c>
      <c r="I84" s="15" t="s">
        <v>396</v>
      </c>
      <c r="J84" s="15" t="s">
        <v>318</v>
      </c>
      <c r="K84" s="47" t="s">
        <v>355</v>
      </c>
      <c r="L84" t="s">
        <v>481</v>
      </c>
      <c r="M84" s="47">
        <v>288650849</v>
      </c>
      <c r="N84" s="47" t="str">
        <f>_xlfn.LET(
    _xlpm.itemBuscado, B84,
    _xlpm.areaBuscada, C84,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TEXT(COUNTIF($C$2:C84, _xlpm.areaBuscada), "0000"),
    _xlpm.codItem &amp; "-" &amp; _xlpm.codArea &amp; "-" &amp; _xlpm.secuencia
)</f>
        <v>ZM-ES-GE-0005</v>
      </c>
      <c r="P84" s="15"/>
      <c r="R84" s="48"/>
    </row>
    <row r="85" spans="2:18" x14ac:dyDescent="0.3">
      <c r="B85" t="s">
        <v>20</v>
      </c>
      <c r="C85" s="11" t="s">
        <v>179</v>
      </c>
      <c r="E85" s="11" t="s">
        <v>7</v>
      </c>
      <c r="F85" s="15" t="str">
        <f>_xlfn.TEXTJOIN(", ",TRUE, Tabla38[[#This Row],[Tipo de escalera]],Tabla38[[#This Row],[Longitud]],Tabla38[[#This Row],[Carga Maxima]])</f>
        <v>ESCALERA DOBLE O DE TIJERA, 4 PIES, 250 LB</v>
      </c>
      <c r="G85" s="15" t="s">
        <v>384</v>
      </c>
      <c r="H85" s="15" t="s">
        <v>460</v>
      </c>
      <c r="I85" s="15" t="s">
        <v>420</v>
      </c>
      <c r="J85" s="15" t="s">
        <v>318</v>
      </c>
      <c r="K85" s="47" t="s">
        <v>355</v>
      </c>
      <c r="L85" t="s">
        <v>475</v>
      </c>
      <c r="M85" s="47" t="s">
        <v>355</v>
      </c>
      <c r="N85" s="47" t="str">
        <f>_xlfn.LET(
    _xlpm.itemBuscado, B85,
    _xlpm.areaBuscada, C85,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TEXT(COUNTIF($C$2:C85, _xlpm.areaBuscada), "0000"),
    _xlpm.codItem &amp; "-" &amp; _xlpm.codArea &amp; "-" &amp; _xlpm.secuencia
)</f>
        <v>ZM-ES-GE-0006</v>
      </c>
      <c r="P85" s="15"/>
      <c r="R85" s="48"/>
    </row>
    <row r="86" spans="2:18" x14ac:dyDescent="0.3">
      <c r="B86" t="s">
        <v>20</v>
      </c>
      <c r="C86" s="11" t="s">
        <v>174</v>
      </c>
      <c r="E86" s="11" t="s">
        <v>7</v>
      </c>
      <c r="F86" s="15" t="str">
        <f>_xlfn.TEXTJOIN(", ",TRUE, Tabla38[[#This Row],[Tipo de escalera]],Tabla38[[#This Row],[Longitud]],Tabla38[[#This Row],[Carga Maxima]])</f>
        <v>ESCALERA EXTENSIBLE O TELESCÓPICA, 40 PIES, 300LB</v>
      </c>
      <c r="G86" s="15" t="s">
        <v>385</v>
      </c>
      <c r="H86" s="15" t="s">
        <v>424</v>
      </c>
      <c r="I86" s="15" t="s">
        <v>483</v>
      </c>
      <c r="J86" s="15" t="s">
        <v>318</v>
      </c>
      <c r="K86" s="47" t="s">
        <v>482</v>
      </c>
      <c r="L86" t="s">
        <v>484</v>
      </c>
      <c r="M86" s="47">
        <v>266008667</v>
      </c>
      <c r="N86" s="47" t="str">
        <f>_xlfn.LET(
    _xlpm.itemBuscado, B86,
    _xlpm.areaBuscada, C86,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TEXT(COUNTIF($C$2:C86, _xlpm.areaBuscada), "0000"),
    _xlpm.codItem &amp; "-" &amp; _xlpm.codArea &amp; "-" &amp; _xlpm.secuencia
)</f>
        <v>ZM-ES-FI-0001</v>
      </c>
      <c r="P86" s="15"/>
      <c r="R86" s="48"/>
    </row>
    <row r="87" spans="2:18" x14ac:dyDescent="0.3">
      <c r="B87" t="s">
        <v>20</v>
      </c>
      <c r="C87" s="11" t="s">
        <v>174</v>
      </c>
      <c r="E87" s="11" t="s">
        <v>7</v>
      </c>
      <c r="F87" s="15" t="str">
        <f>_xlfn.TEXTJOIN(", ",TRUE, Tabla38[[#This Row],[Tipo de escalera]],Tabla38[[#This Row],[Longitud]],Tabla38[[#This Row],[Carga Maxima]])</f>
        <v>ESCALERA EXTENSIBLE O TELESCÓPICA, 40 PIES, 300 LB</v>
      </c>
      <c r="G87" s="15" t="s">
        <v>385</v>
      </c>
      <c r="H87" s="15" t="s">
        <v>424</v>
      </c>
      <c r="I87" s="15" t="s">
        <v>396</v>
      </c>
      <c r="J87" s="15" t="s">
        <v>318</v>
      </c>
      <c r="K87" s="47" t="s">
        <v>482</v>
      </c>
      <c r="L87" t="s">
        <v>485</v>
      </c>
      <c r="M87" s="47">
        <v>2660086007</v>
      </c>
      <c r="N87" s="47" t="str">
        <f>_xlfn.LET(
    _xlpm.itemBuscado, B87,
    _xlpm.areaBuscada, C87,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TEXT(COUNTIF($C$2:C87, _xlpm.areaBuscada), "0000"),
    _xlpm.codItem &amp; "-" &amp; _xlpm.codArea &amp; "-" &amp; _xlpm.secuencia
)</f>
        <v>ZM-ES-FI-0002</v>
      </c>
      <c r="P87" s="15"/>
      <c r="R87" s="48"/>
    </row>
    <row r="88" spans="2:18" x14ac:dyDescent="0.3">
      <c r="B88" t="s">
        <v>20</v>
      </c>
      <c r="C88" s="11" t="s">
        <v>174</v>
      </c>
      <c r="E88" s="11" t="s">
        <v>7</v>
      </c>
      <c r="F88" s="15" t="str">
        <f>_xlfn.TEXTJOIN(", ",TRUE, Tabla38[[#This Row],[Tipo de escalera]],Tabla38[[#This Row],[Longitud]],Tabla38[[#This Row],[Carga Maxima]])</f>
        <v>ESCALERA EXTENSIBLE O TELESCÓPICA, 24 PIES, 150 KG</v>
      </c>
      <c r="G88" s="15" t="s">
        <v>385</v>
      </c>
      <c r="H88" s="15" t="s">
        <v>421</v>
      </c>
      <c r="I88" s="15" t="s">
        <v>488</v>
      </c>
      <c r="J88" s="15" t="s">
        <v>337</v>
      </c>
      <c r="K88" s="47" t="s">
        <v>487</v>
      </c>
      <c r="L88" t="s">
        <v>486</v>
      </c>
      <c r="M88" s="47">
        <v>9564100682</v>
      </c>
      <c r="N88" s="47" t="str">
        <f>_xlfn.LET(
    _xlpm.itemBuscado, B88,
    _xlpm.areaBuscada, C88,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TEXT(COUNTIF($C$2:C88, _xlpm.areaBuscada), "0000"),
    _xlpm.codItem &amp; "-" &amp; _xlpm.codArea &amp; "-" &amp; _xlpm.secuencia
)</f>
        <v>ZM-ES-FI-0003</v>
      </c>
      <c r="P88" s="15"/>
      <c r="R88" s="48"/>
    </row>
    <row r="89" spans="2:18" x14ac:dyDescent="0.3">
      <c r="B89" t="s">
        <v>20</v>
      </c>
      <c r="C89" s="11" t="s">
        <v>174</v>
      </c>
      <c r="E89" s="11" t="s">
        <v>7</v>
      </c>
      <c r="F89" s="15" t="str">
        <f>_xlfn.TEXTJOIN(", ",TRUE, Tabla38[[#This Row],[Tipo de escalera]],Tabla38[[#This Row],[Longitud]],Tabla38[[#This Row],[Carga Maxima]])</f>
        <v>ESCALERA EXTENSIBLE O TELESCÓPICA, 24 PIES, 150 KG</v>
      </c>
      <c r="G89" s="15" t="s">
        <v>385</v>
      </c>
      <c r="H89" s="15" t="s">
        <v>421</v>
      </c>
      <c r="I89" s="15" t="s">
        <v>488</v>
      </c>
      <c r="J89" s="15" t="s">
        <v>318</v>
      </c>
      <c r="K89" s="47" t="s">
        <v>489</v>
      </c>
      <c r="L89" t="s">
        <v>485</v>
      </c>
      <c r="M89" s="47" t="s">
        <v>355</v>
      </c>
      <c r="N89" s="47" t="str">
        <f>_xlfn.LET(
    _xlpm.itemBuscado, B89,
    _xlpm.areaBuscada, C89,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TEXT(COUNTIF($C$2:C89, _xlpm.areaBuscada), "0000"),
    _xlpm.codItem &amp; "-" &amp; _xlpm.codArea &amp; "-" &amp; _xlpm.secuencia
)</f>
        <v>ZM-ES-FI-0004</v>
      </c>
      <c r="P89" s="15"/>
      <c r="R89" s="48"/>
    </row>
    <row r="90" spans="2:18" x14ac:dyDescent="0.3">
      <c r="B90" t="s">
        <v>20</v>
      </c>
      <c r="C90" s="11" t="s">
        <v>174</v>
      </c>
      <c r="E90" s="11" t="s">
        <v>7</v>
      </c>
      <c r="F90" s="15" t="str">
        <f>_xlfn.TEXTJOIN(", ",TRUE, Tabla38[[#This Row],[Tipo de escalera]],Tabla38[[#This Row],[Longitud]],Tabla38[[#This Row],[Carga Maxima]])</f>
        <v>ESCALERA EXTENSIBLE O TELESCÓPICA, 24 PIES, 113 KG</v>
      </c>
      <c r="G90" s="15" t="s">
        <v>385</v>
      </c>
      <c r="H90" s="15" t="s">
        <v>421</v>
      </c>
      <c r="I90" s="15" t="s">
        <v>491</v>
      </c>
      <c r="J90" s="15" t="s">
        <v>337</v>
      </c>
      <c r="K90" s="47" t="s">
        <v>490</v>
      </c>
      <c r="L90" t="s">
        <v>492</v>
      </c>
      <c r="M90" s="47">
        <v>956412022</v>
      </c>
      <c r="N90" s="47" t="str">
        <f>_xlfn.LET(
    _xlpm.itemBuscado, B90,
    _xlpm.areaBuscada, C90,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TEXT(COUNTIF($C$2:C90, _xlpm.areaBuscada), "0000"),
    _xlpm.codItem &amp; "-" &amp; _xlpm.codArea &amp; "-" &amp; _xlpm.secuencia
)</f>
        <v>ZM-ES-FI-0005</v>
      </c>
      <c r="P90" s="15"/>
      <c r="R90" s="48"/>
    </row>
    <row r="91" spans="2:18" x14ac:dyDescent="0.3">
      <c r="B91" t="s">
        <v>20</v>
      </c>
      <c r="C91" s="11" t="s">
        <v>174</v>
      </c>
      <c r="E91" s="11" t="s">
        <v>7</v>
      </c>
      <c r="F91" s="15" t="str">
        <f>_xlfn.TEXTJOIN(", ",TRUE, Tabla38[[#This Row],[Tipo de escalera]],Tabla38[[#This Row],[Longitud]],Tabla38[[#This Row],[Carga Maxima]])</f>
        <v>ESCALERA EXTENSIBLE O TELESCÓPICA, 24 PIES, 150 KG</v>
      </c>
      <c r="G91" s="15" t="s">
        <v>385</v>
      </c>
      <c r="H91" s="15" t="s">
        <v>421</v>
      </c>
      <c r="I91" s="15" t="s">
        <v>488</v>
      </c>
      <c r="J91" s="15" t="s">
        <v>337</v>
      </c>
      <c r="K91" s="47" t="s">
        <v>355</v>
      </c>
      <c r="L91" t="s">
        <v>493</v>
      </c>
      <c r="M91" s="47" t="s">
        <v>355</v>
      </c>
      <c r="N91" s="47" t="str">
        <f>_xlfn.LET(
    _xlpm.itemBuscado, B91,
    _xlpm.areaBuscada, C91,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TEXT(COUNTIF($C$2:C91, _xlpm.areaBuscada), "0000"),
    _xlpm.codItem &amp; "-" &amp; _xlpm.codArea &amp; "-" &amp; _xlpm.secuencia
)</f>
        <v>ZM-ES-FI-0006</v>
      </c>
      <c r="P91" s="15"/>
      <c r="R91" s="48"/>
    </row>
    <row r="92" spans="2:18" x14ac:dyDescent="0.3">
      <c r="B92" t="s">
        <v>20</v>
      </c>
      <c r="C92" s="11" t="s">
        <v>174</v>
      </c>
      <c r="E92" s="11" t="s">
        <v>7</v>
      </c>
      <c r="F92" s="15" t="str">
        <f>_xlfn.TEXTJOIN(", ",TRUE, Tabla38[[#This Row],[Tipo de escalera]],Tabla38[[#This Row],[Longitud]],Tabla38[[#This Row],[Carga Maxima]])</f>
        <v>ESCALERA EXTENSIBLE O TELESCÓPICA, 14 PIES, 250 LB</v>
      </c>
      <c r="G92" s="15" t="s">
        <v>385</v>
      </c>
      <c r="H92" s="15" t="s">
        <v>494</v>
      </c>
      <c r="I92" s="15" t="s">
        <v>420</v>
      </c>
      <c r="J92" s="15" t="s">
        <v>318</v>
      </c>
      <c r="K92" s="47" t="s">
        <v>355</v>
      </c>
      <c r="L92" t="s">
        <v>495</v>
      </c>
      <c r="M92" s="47" t="s">
        <v>355</v>
      </c>
      <c r="N92" s="47" t="str">
        <f>_xlfn.LET(
    _xlpm.itemBuscado, B92,
    _xlpm.areaBuscada, C92,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TEXT(COUNTIF($C$2:C92, _xlpm.areaBuscada), "0000"),
    _xlpm.codItem &amp; "-" &amp; _xlpm.codArea &amp; "-" &amp; _xlpm.secuencia
)</f>
        <v>ZM-ES-FI-0007</v>
      </c>
      <c r="P92" s="15"/>
      <c r="R92" s="48"/>
    </row>
    <row r="93" spans="2:18" x14ac:dyDescent="0.3">
      <c r="B93" t="s">
        <v>20</v>
      </c>
      <c r="C93" s="11" t="s">
        <v>174</v>
      </c>
      <c r="E93" s="11" t="s">
        <v>7</v>
      </c>
      <c r="F93" s="15" t="str">
        <f>_xlfn.TEXTJOIN(", ",TRUE, Tabla38[[#This Row],[Tipo de escalera]],Tabla38[[#This Row],[Longitud]],Tabla38[[#This Row],[Carga Maxima]])</f>
        <v>ESCALERA EXTENSIBLE O TELESCÓPICA, 8 PIES, NO TIENE</v>
      </c>
      <c r="G93" s="15" t="s">
        <v>385</v>
      </c>
      <c r="H93" s="15" t="s">
        <v>450</v>
      </c>
      <c r="I93" s="15" t="s">
        <v>355</v>
      </c>
      <c r="J93" s="15" t="s">
        <v>337</v>
      </c>
      <c r="K93" s="47" t="s">
        <v>355</v>
      </c>
      <c r="L93" t="s">
        <v>355</v>
      </c>
      <c r="M93" s="47" t="s">
        <v>355</v>
      </c>
      <c r="N93" s="47" t="str">
        <f>_xlfn.LET(
    _xlpm.itemBuscado, B93,
    _xlpm.areaBuscada, C93,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TEXT(COUNTIF($C$2:C93, _xlpm.areaBuscada), "0000"),
    _xlpm.codItem &amp; "-" &amp; _xlpm.codArea &amp; "-" &amp; _xlpm.secuencia
)</f>
        <v>ZM-ES-FI-0008</v>
      </c>
      <c r="P93" s="15"/>
      <c r="R93" s="48"/>
    </row>
    <row r="94" spans="2:18" x14ac:dyDescent="0.3">
      <c r="B94" t="s">
        <v>20</v>
      </c>
      <c r="C94" s="11" t="s">
        <v>174</v>
      </c>
      <c r="E94" s="11" t="s">
        <v>7</v>
      </c>
      <c r="F94" s="15" t="str">
        <f>_xlfn.TEXTJOIN(", ",TRUE, Tabla38[[#This Row],[Tipo de escalera]],Tabla38[[#This Row],[Longitud]],Tabla38[[#This Row],[Carga Maxima]])</f>
        <v>ESCALERA EXTENSIBLE O TELESCÓPICA, 8 PIES, 102 KG</v>
      </c>
      <c r="G94" s="15" t="s">
        <v>385</v>
      </c>
      <c r="H94" s="15" t="s">
        <v>450</v>
      </c>
      <c r="I94" s="15" t="s">
        <v>417</v>
      </c>
      <c r="J94" s="15" t="s">
        <v>496</v>
      </c>
      <c r="K94" s="47" t="s">
        <v>498</v>
      </c>
      <c r="L94" t="s">
        <v>497</v>
      </c>
      <c r="M94" s="47">
        <v>2886512280</v>
      </c>
      <c r="N94" s="47" t="str">
        <f>_xlfn.LET(
    _xlpm.itemBuscado, B94,
    _xlpm.areaBuscada, C94,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TEXT(COUNTIF($C$2:C94, _xlpm.areaBuscada), "0000"),
    _xlpm.codItem &amp; "-" &amp; _xlpm.codArea &amp; "-" &amp; _xlpm.secuencia
)</f>
        <v>ZM-ES-FI-0009</v>
      </c>
      <c r="P94" s="15"/>
      <c r="R94" s="48"/>
    </row>
    <row r="95" spans="2:18" x14ac:dyDescent="0.3">
      <c r="B95" t="s">
        <v>20</v>
      </c>
      <c r="C95" s="11" t="s">
        <v>174</v>
      </c>
      <c r="E95" s="11" t="s">
        <v>7</v>
      </c>
      <c r="F95" s="15" t="str">
        <f>_xlfn.TEXTJOIN(", ",TRUE, Tabla38[[#This Row],[Tipo de escalera]],Tabla38[[#This Row],[Longitud]],Tabla38[[#This Row],[Carga Maxima]])</f>
        <v>ESCALERA DOBLE O DE TIJERA, 8 PIES, 300 LB</v>
      </c>
      <c r="G95" s="15" t="s">
        <v>384</v>
      </c>
      <c r="H95" s="15" t="s">
        <v>450</v>
      </c>
      <c r="I95" s="15" t="s">
        <v>396</v>
      </c>
      <c r="J95" s="15" t="s">
        <v>318</v>
      </c>
      <c r="K95" s="47" t="s">
        <v>330</v>
      </c>
      <c r="L95" t="s">
        <v>499</v>
      </c>
      <c r="M95" s="47">
        <v>2886508851</v>
      </c>
      <c r="N95" s="47" t="str">
        <f>_xlfn.LET(
    _xlpm.itemBuscado, B95,
    _xlpm.areaBuscada, C95,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TEXT(COUNTIF($C$2:C95, _xlpm.areaBuscada), "0000"),
    _xlpm.codItem &amp; "-" &amp; _xlpm.codArea &amp; "-" &amp; _xlpm.secuencia
)</f>
        <v>ZM-ES-FI-0010</v>
      </c>
      <c r="P95" s="15"/>
      <c r="R95" s="48"/>
    </row>
    <row r="96" spans="2:18" x14ac:dyDescent="0.3">
      <c r="B96" t="s">
        <v>20</v>
      </c>
      <c r="C96" s="11" t="s">
        <v>174</v>
      </c>
      <c r="E96" s="11" t="s">
        <v>7</v>
      </c>
      <c r="F96" s="15" t="str">
        <f>_xlfn.TEXTJOIN(", ",TRUE, Tabla38[[#This Row],[Tipo de escalera]],Tabla38[[#This Row],[Longitud]],Tabla38[[#This Row],[Carga Maxima]])</f>
        <v>ESCALERA DOBLE O DE TIJERA, 4 PIES, 102 KG</v>
      </c>
      <c r="G96" s="15" t="s">
        <v>384</v>
      </c>
      <c r="H96" s="15" t="s">
        <v>460</v>
      </c>
      <c r="I96" s="15" t="s">
        <v>417</v>
      </c>
      <c r="J96" s="15" t="s">
        <v>416</v>
      </c>
      <c r="K96" s="47" t="s">
        <v>355</v>
      </c>
      <c r="L96" t="s">
        <v>500</v>
      </c>
      <c r="M96" s="47">
        <v>5080240616252</v>
      </c>
      <c r="N96" s="47" t="str">
        <f>_xlfn.LET(
    _xlpm.itemBuscado, B96,
    _xlpm.areaBuscada, C96,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TEXT(COUNTIF($C$2:C96, _xlpm.areaBuscada), "0000"),
    _xlpm.codItem &amp; "-" &amp; _xlpm.codArea &amp; "-" &amp; _xlpm.secuencia
)</f>
        <v>ZM-ES-FI-0011</v>
      </c>
      <c r="P96" s="15"/>
      <c r="R96" s="48"/>
    </row>
    <row r="97" spans="2:18" x14ac:dyDescent="0.3">
      <c r="B97" t="s">
        <v>20</v>
      </c>
      <c r="C97" s="11" t="s">
        <v>173</v>
      </c>
      <c r="E97" s="11" t="s">
        <v>7</v>
      </c>
      <c r="F97" s="15" t="str">
        <f>_xlfn.TEXTJOIN(", ",TRUE, Tabla38[[#This Row],[Tipo de escalera]],Tabla38[[#This Row],[Longitud]],Tabla38[[#This Row],[Carga Maxima]])</f>
        <v>ESCALERA SIMPLE DE UN TRAMO, 19 PIES, 136 KG</v>
      </c>
      <c r="G97" s="15" t="s">
        <v>383</v>
      </c>
      <c r="H97" s="15" t="s">
        <v>503</v>
      </c>
      <c r="I97" s="15" t="s">
        <v>430</v>
      </c>
      <c r="J97" s="15" t="s">
        <v>502</v>
      </c>
      <c r="K97" s="47"/>
      <c r="L97" t="s">
        <v>509</v>
      </c>
      <c r="M97" s="47"/>
      <c r="N97" s="47" t="str">
        <f>_xlfn.LET(
    _xlpm.itemBuscado, B97,
    _xlpm.areaBuscada, C97,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TEXT(COUNTIF($C$2:C97, _xlpm.areaBuscada), "0000"),
    _xlpm.codItem &amp; "-" &amp; _xlpm.codArea &amp; "-" &amp; _xlpm.secuencia
)</f>
        <v>ZM-ES-FL-0001</v>
      </c>
      <c r="P97" s="15"/>
      <c r="R97" s="48"/>
    </row>
    <row r="98" spans="2:18" x14ac:dyDescent="0.3">
      <c r="B98" t="s">
        <v>20</v>
      </c>
      <c r="C98" s="11" t="s">
        <v>173</v>
      </c>
      <c r="E98" s="11" t="s">
        <v>7</v>
      </c>
      <c r="F98" s="15" t="str">
        <f>_xlfn.TEXTJOIN(", ",TRUE, Tabla38[[#This Row],[Tipo de escalera]],Tabla38[[#This Row],[Longitud]],Tabla38[[#This Row],[Carga Maxima]])</f>
        <v>ESCALERA SIMPLE DE UN TRAMO, 19 PIES, 136 KG</v>
      </c>
      <c r="G98" s="15" t="s">
        <v>383</v>
      </c>
      <c r="H98" s="15" t="s">
        <v>503</v>
      </c>
      <c r="I98" s="15" t="s">
        <v>430</v>
      </c>
      <c r="J98" s="15" t="s">
        <v>502</v>
      </c>
      <c r="K98" s="47"/>
      <c r="L98" t="s">
        <v>355</v>
      </c>
      <c r="M98" s="47"/>
      <c r="N98" s="47" t="str">
        <f>_xlfn.LET(
    _xlpm.itemBuscado, B98,
    _xlpm.areaBuscada, C98,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TEXT(COUNTIF($C$2:C98, _xlpm.areaBuscada), "0000"),
    _xlpm.codItem &amp; "-" &amp; _xlpm.codArea &amp; "-" &amp; _xlpm.secuencia
)</f>
        <v>ZM-ES-FL-0002</v>
      </c>
      <c r="P98" s="15"/>
      <c r="R98" s="48"/>
    </row>
    <row r="99" spans="2:18" x14ac:dyDescent="0.3">
      <c r="B99" t="s">
        <v>20</v>
      </c>
      <c r="C99" s="11" t="s">
        <v>173</v>
      </c>
      <c r="E99" s="11" t="s">
        <v>7</v>
      </c>
      <c r="F99" s="15" t="str">
        <f>_xlfn.TEXTJOIN(", ",TRUE, Tabla38[[#This Row],[Tipo de escalera]],Tabla38[[#This Row],[Longitud]],Tabla38[[#This Row],[Carga Maxima]])</f>
        <v>ESCALERA SIMPLE DE UN TRAMO, 19 PIES, 136 KG</v>
      </c>
      <c r="G99" s="15" t="s">
        <v>383</v>
      </c>
      <c r="H99" s="15" t="s">
        <v>503</v>
      </c>
      <c r="I99" s="15" t="s">
        <v>430</v>
      </c>
      <c r="J99" s="15" t="s">
        <v>502</v>
      </c>
      <c r="K99" s="47"/>
      <c r="L99" t="s">
        <v>508</v>
      </c>
      <c r="M99" s="47"/>
      <c r="N99" s="47" t="str">
        <f>_xlfn.LET(
    _xlpm.itemBuscado, B99,
    _xlpm.areaBuscada, C99,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TEXT(COUNTIF($C$2:C99, _xlpm.areaBuscada), "0000"),
    _xlpm.codItem &amp; "-" &amp; _xlpm.codArea &amp; "-" &amp; _xlpm.secuencia
)</f>
        <v>ZM-ES-FL-0003</v>
      </c>
      <c r="P99" s="15"/>
      <c r="R99" s="48"/>
    </row>
    <row r="100" spans="2:18" x14ac:dyDescent="0.3">
      <c r="B100" t="s">
        <v>20</v>
      </c>
      <c r="C100" s="11" t="s">
        <v>173</v>
      </c>
      <c r="E100" s="11" t="s">
        <v>7</v>
      </c>
      <c r="F100" s="15" t="str">
        <f>_xlfn.TEXTJOIN(", ",TRUE, Tabla38[[#This Row],[Tipo de escalera]],Tabla38[[#This Row],[Longitud]],Tabla38[[#This Row],[Carga Maxima]])</f>
        <v>ESCALERA SIMPLE DE UN TRAMO, 19 PIES, 136 KG</v>
      </c>
      <c r="G100" s="15" t="s">
        <v>383</v>
      </c>
      <c r="H100" s="15" t="s">
        <v>503</v>
      </c>
      <c r="I100" s="15" t="s">
        <v>430</v>
      </c>
      <c r="J100" s="15" t="s">
        <v>502</v>
      </c>
      <c r="K100" s="47"/>
      <c r="L100" t="s">
        <v>507</v>
      </c>
      <c r="M100" s="47"/>
      <c r="N100" s="47" t="str">
        <f>_xlfn.LET(
    _xlpm.itemBuscado, B100,
    _xlpm.areaBuscada, C100,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TEXT(COUNTIF($C$2:C100, _xlpm.areaBuscada), "0000"),
    _xlpm.codItem &amp; "-" &amp; _xlpm.codArea &amp; "-" &amp; _xlpm.secuencia
)</f>
        <v>ZM-ES-FL-0004</v>
      </c>
      <c r="P100" s="15"/>
      <c r="R100" s="48"/>
    </row>
    <row r="101" spans="2:18" x14ac:dyDescent="0.3">
      <c r="B101" t="s">
        <v>20</v>
      </c>
      <c r="C101" s="11" t="s">
        <v>173</v>
      </c>
      <c r="E101" s="11" t="s">
        <v>7</v>
      </c>
      <c r="F101" s="15" t="str">
        <f>_xlfn.TEXTJOIN(", ",TRUE, Tabla38[[#This Row],[Tipo de escalera]],Tabla38[[#This Row],[Longitud]],Tabla38[[#This Row],[Carga Maxima]])</f>
        <v>ESCALERA SIMPLE DE UN TRAMO, 19 PIES, 136 KG</v>
      </c>
      <c r="G101" s="15" t="s">
        <v>383</v>
      </c>
      <c r="H101" s="15" t="s">
        <v>503</v>
      </c>
      <c r="I101" s="15" t="s">
        <v>430</v>
      </c>
      <c r="J101" s="15" t="s">
        <v>502</v>
      </c>
      <c r="K101" s="47"/>
      <c r="L101" t="s">
        <v>506</v>
      </c>
      <c r="M101" s="47"/>
      <c r="N101" s="47" t="str">
        <f>_xlfn.LET(
    _xlpm.itemBuscado, B101,
    _xlpm.areaBuscada, C101,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TEXT(COUNTIF($C$2:C101, _xlpm.areaBuscada), "0000"),
    _xlpm.codItem &amp; "-" &amp; _xlpm.codArea &amp; "-" &amp; _xlpm.secuencia
)</f>
        <v>ZM-ES-FL-0005</v>
      </c>
      <c r="P101" s="15"/>
      <c r="R101" s="48"/>
    </row>
    <row r="102" spans="2:18" x14ac:dyDescent="0.3">
      <c r="B102" t="s">
        <v>20</v>
      </c>
      <c r="C102" s="11" t="s">
        <v>173</v>
      </c>
      <c r="E102" s="11" t="s">
        <v>7</v>
      </c>
      <c r="F102" s="15" t="str">
        <f>_xlfn.TEXTJOIN(", ",TRUE, Tabla38[[#This Row],[Tipo de escalera]],Tabla38[[#This Row],[Longitud]],Tabla38[[#This Row],[Carga Maxima]])</f>
        <v>ESCALERA SIMPLE DE UN TRAMO, 16 PIES, 136 KG</v>
      </c>
      <c r="G102" s="15" t="s">
        <v>383</v>
      </c>
      <c r="H102" s="15" t="s">
        <v>442</v>
      </c>
      <c r="I102" s="15" t="s">
        <v>430</v>
      </c>
      <c r="J102" s="15" t="s">
        <v>502</v>
      </c>
      <c r="K102" s="47"/>
      <c r="L102" t="s">
        <v>505</v>
      </c>
      <c r="M102" s="47"/>
      <c r="N102" s="47" t="str">
        <f>_xlfn.LET(
    _xlpm.itemBuscado, B102,
    _xlpm.areaBuscada, C102,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TEXT(COUNTIF($C$2:C102, _xlpm.areaBuscada), "0000"),
    _xlpm.codItem &amp; "-" &amp; _xlpm.codArea &amp; "-" &amp; _xlpm.secuencia
)</f>
        <v>ZM-ES-FL-0006</v>
      </c>
      <c r="P102" s="15"/>
      <c r="R102" s="48"/>
    </row>
    <row r="103" spans="2:18" x14ac:dyDescent="0.3">
      <c r="B103" t="s">
        <v>20</v>
      </c>
      <c r="C103" s="11" t="s">
        <v>173</v>
      </c>
      <c r="E103" s="11" t="s">
        <v>7</v>
      </c>
      <c r="F103" s="15" t="str">
        <f>_xlfn.TEXTJOIN(", ",TRUE, Tabla38[[#This Row],[Tipo de escalera]],Tabla38[[#This Row],[Longitud]],Tabla38[[#This Row],[Carga Maxima]])</f>
        <v>ESCALERA SIMPLE DE UN TRAMO, 19 PIES, 136 KG</v>
      </c>
      <c r="G103" s="15" t="s">
        <v>383</v>
      </c>
      <c r="H103" s="15" t="s">
        <v>503</v>
      </c>
      <c r="I103" s="15" t="s">
        <v>430</v>
      </c>
      <c r="J103" s="15" t="s">
        <v>502</v>
      </c>
      <c r="K103" s="47"/>
      <c r="L103" t="s">
        <v>504</v>
      </c>
      <c r="M103" s="47"/>
      <c r="N103" s="47" t="str">
        <f>_xlfn.LET(
    _xlpm.itemBuscado, B103,
    _xlpm.areaBuscada, C103,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TEXT(COUNTIF($C$2:C103, _xlpm.areaBuscada), "0000"),
    _xlpm.codItem &amp; "-" &amp; _xlpm.codArea &amp; "-" &amp; _xlpm.secuencia
)</f>
        <v>ZM-ES-FL-0007</v>
      </c>
      <c r="P103" s="15"/>
      <c r="R103" s="48"/>
    </row>
    <row r="104" spans="2:18" x14ac:dyDescent="0.3">
      <c r="B104" t="s">
        <v>20</v>
      </c>
      <c r="C104" s="11" t="s">
        <v>173</v>
      </c>
      <c r="E104" s="11" t="s">
        <v>7</v>
      </c>
      <c r="F104" s="15" t="str">
        <f>_xlfn.TEXTJOIN(", ",TRUE, Tabla38[[#This Row],[Tipo de escalera]],Tabla38[[#This Row],[Longitud]],Tabla38[[#This Row],[Carga Maxima]])</f>
        <v>ESCALERA SIMPLE DE UN TRAMO, 19 PIES, 136 KG</v>
      </c>
      <c r="G104" s="15" t="s">
        <v>383</v>
      </c>
      <c r="H104" s="15" t="s">
        <v>503</v>
      </c>
      <c r="I104" s="15" t="s">
        <v>430</v>
      </c>
      <c r="J104" s="15" t="s">
        <v>502</v>
      </c>
      <c r="K104" s="47"/>
      <c r="L104" t="s">
        <v>501</v>
      </c>
      <c r="M104" s="47"/>
      <c r="N104" s="47" t="str">
        <f>_xlfn.LET(
    _xlpm.itemBuscado, B104,
    _xlpm.areaBuscada, C104,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TEXT(COUNTIF($C$2:C104, _xlpm.areaBuscada), "0000"),
    _xlpm.codItem &amp; "-" &amp; _xlpm.codArea &amp; "-" &amp; _xlpm.secuencia
)</f>
        <v>ZM-ES-FL-0008</v>
      </c>
      <c r="P104" s="15"/>
      <c r="R104" s="48"/>
    </row>
    <row r="105" spans="2:18" x14ac:dyDescent="0.3">
      <c r="B105" t="s">
        <v>20</v>
      </c>
      <c r="C105" s="11" t="s">
        <v>173</v>
      </c>
      <c r="E105" s="11" t="s">
        <v>7</v>
      </c>
      <c r="F105" s="15" t="str">
        <f>_xlfn.TEXTJOIN(", ",TRUE, Tabla38[[#This Row],[Tipo de escalera]],Tabla38[[#This Row],[Longitud]],Tabla38[[#This Row],[Carga Maxima]])</f>
        <v xml:space="preserve">ESCALERA SIMPLE DE UN TRAMO, 19 PIES, 136 KG </v>
      </c>
      <c r="G105" s="15" t="s">
        <v>383</v>
      </c>
      <c r="H105" s="15" t="s">
        <v>503</v>
      </c>
      <c r="I105" s="15" t="s">
        <v>510</v>
      </c>
      <c r="J105" s="15" t="s">
        <v>502</v>
      </c>
      <c r="K105" s="47"/>
      <c r="L105" t="s">
        <v>511</v>
      </c>
      <c r="M105" s="47"/>
      <c r="N105" s="47" t="str">
        <f>_xlfn.LET(
    _xlpm.itemBuscado, B105,
    _xlpm.areaBuscada, C105,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TEXT(COUNTIF($C$2:C105, _xlpm.areaBuscada), "0000"),
    _xlpm.codItem &amp; "-" &amp; _xlpm.codArea &amp; "-" &amp; _xlpm.secuencia
)</f>
        <v>ZM-ES-FL-0009</v>
      </c>
      <c r="P105" s="15"/>
      <c r="R105" s="48"/>
    </row>
    <row r="106" spans="2:18" x14ac:dyDescent="0.3">
      <c r="B106" t="s">
        <v>20</v>
      </c>
      <c r="C106" s="11" t="s">
        <v>173</v>
      </c>
      <c r="E106" s="11" t="s">
        <v>7</v>
      </c>
      <c r="F106" s="15" t="str">
        <f>_xlfn.TEXTJOIN(", ",TRUE, Tabla38[[#This Row],[Tipo de escalera]],Tabla38[[#This Row],[Longitud]],Tabla38[[#This Row],[Carga Maxima]])</f>
        <v>ESCALERA SIMPLE DE UN TRAMO, 20 PIES, 136 KG</v>
      </c>
      <c r="G106" s="15" t="s">
        <v>383</v>
      </c>
      <c r="H106" s="15" t="s">
        <v>513</v>
      </c>
      <c r="I106" s="15" t="s">
        <v>430</v>
      </c>
      <c r="J106" s="15" t="s">
        <v>502</v>
      </c>
      <c r="K106" s="47"/>
      <c r="L106" t="s">
        <v>512</v>
      </c>
      <c r="M106" s="47"/>
      <c r="N106" s="47" t="str">
        <f>_xlfn.LET(
    _xlpm.itemBuscado, B106,
    _xlpm.areaBuscada, C106,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TEXT(COUNTIF($C$2:C106, _xlpm.areaBuscada), "0000"),
    _xlpm.codItem &amp; "-" &amp; _xlpm.codArea &amp; "-" &amp; _xlpm.secuencia
)</f>
        <v>ZM-ES-FL-0010</v>
      </c>
      <c r="P106" s="15"/>
      <c r="R106" s="48"/>
    </row>
    <row r="107" spans="2:18" x14ac:dyDescent="0.3">
      <c r="B107" t="s">
        <v>20</v>
      </c>
      <c r="C107" s="11" t="s">
        <v>173</v>
      </c>
      <c r="E107" s="11" t="s">
        <v>7</v>
      </c>
      <c r="F107" s="15" t="str">
        <f>_xlfn.TEXTJOIN(", ",TRUE, Tabla38[[#This Row],[Tipo de escalera]],Tabla38[[#This Row],[Longitud]],Tabla38[[#This Row],[Carga Maxima]])</f>
        <v>ESCALERA SIMPLE DE UN TRAMO, 20 PIES, 136 KG</v>
      </c>
      <c r="G107" s="15" t="s">
        <v>383</v>
      </c>
      <c r="H107" s="15" t="s">
        <v>513</v>
      </c>
      <c r="I107" s="15" t="s">
        <v>430</v>
      </c>
      <c r="J107" s="15" t="s">
        <v>502</v>
      </c>
      <c r="K107" s="47"/>
      <c r="L107" t="s">
        <v>514</v>
      </c>
      <c r="M107" s="47"/>
      <c r="N107" s="47" t="str">
        <f>_xlfn.LET(
    _xlpm.itemBuscado, B107,
    _xlpm.areaBuscada, C107,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TEXT(COUNTIF($C$2:C107, _xlpm.areaBuscada), "0000"),
    _xlpm.codItem &amp; "-" &amp; _xlpm.codArea &amp; "-" &amp; _xlpm.secuencia
)</f>
        <v>ZM-ES-FL-0011</v>
      </c>
      <c r="P107" s="15"/>
      <c r="R107" s="48"/>
    </row>
    <row r="108" spans="2:18" x14ac:dyDescent="0.3">
      <c r="B108" t="s">
        <v>20</v>
      </c>
      <c r="C108" s="11" t="s">
        <v>173</v>
      </c>
      <c r="E108" s="11" t="s">
        <v>7</v>
      </c>
      <c r="F108" s="15" t="str">
        <f>_xlfn.TEXTJOIN(", ",TRUE, Tabla38[[#This Row],[Tipo de escalera]],Tabla38[[#This Row],[Longitud]],Tabla38[[#This Row],[Carga Maxima]])</f>
        <v>ESCALERA SIMPLE DE UN TRAMO, 18 PIES, 136 KG</v>
      </c>
      <c r="G108" s="15" t="s">
        <v>383</v>
      </c>
      <c r="H108" s="15" t="s">
        <v>515</v>
      </c>
      <c r="I108" s="15" t="s">
        <v>430</v>
      </c>
      <c r="J108" s="15" t="s">
        <v>502</v>
      </c>
      <c r="K108" s="47"/>
      <c r="L108" t="s">
        <v>516</v>
      </c>
      <c r="M108" s="47"/>
      <c r="N108" s="47" t="str">
        <f>_xlfn.LET(
    _xlpm.itemBuscado, B108,
    _xlpm.areaBuscada, C108,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TEXT(COUNTIF($C$2:C108, _xlpm.areaBuscada), "0000"),
    _xlpm.codItem &amp; "-" &amp; _xlpm.codArea &amp; "-" &amp; _xlpm.secuencia
)</f>
        <v>ZM-ES-FL-0012</v>
      </c>
      <c r="P108" s="15"/>
      <c r="R108" s="48"/>
    </row>
    <row r="109" spans="2:18" x14ac:dyDescent="0.3">
      <c r="B109" t="s">
        <v>20</v>
      </c>
      <c r="C109" s="11" t="s">
        <v>173</v>
      </c>
      <c r="E109" s="11" t="s">
        <v>7</v>
      </c>
      <c r="F109" s="15" t="str">
        <f>_xlfn.TEXTJOIN(", ",TRUE, Tabla38[[#This Row],[Tipo de escalera]],Tabla38[[#This Row],[Longitud]],Tabla38[[#This Row],[Carga Maxima]])</f>
        <v>ESCALERA SIMPLE DE UN TRAMO, 20 PIES, 136 KG</v>
      </c>
      <c r="G109" s="15" t="s">
        <v>383</v>
      </c>
      <c r="H109" s="15" t="s">
        <v>513</v>
      </c>
      <c r="I109" s="15" t="s">
        <v>430</v>
      </c>
      <c r="J109" s="15" t="s">
        <v>502</v>
      </c>
      <c r="K109" s="47"/>
      <c r="L109" t="s">
        <v>517</v>
      </c>
      <c r="M109" s="47"/>
      <c r="N109" s="47" t="str">
        <f>_xlfn.LET(
    _xlpm.itemBuscado, B109,
    _xlpm.areaBuscada, C109,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TEXT(COUNTIF($C$2:C109, _xlpm.areaBuscada), "0000"),
    _xlpm.codItem &amp; "-" &amp; _xlpm.codArea &amp; "-" &amp; _xlpm.secuencia
)</f>
        <v>ZM-ES-FL-0013</v>
      </c>
      <c r="P109" s="15"/>
      <c r="R109" s="48"/>
    </row>
    <row r="110" spans="2:18" x14ac:dyDescent="0.3">
      <c r="B110" t="s">
        <v>20</v>
      </c>
      <c r="C110" s="11" t="s">
        <v>173</v>
      </c>
      <c r="E110" s="11" t="s">
        <v>7</v>
      </c>
      <c r="F110" s="15" t="str">
        <f>_xlfn.TEXTJOIN(", ",TRUE, Tabla38[[#This Row],[Tipo de escalera]],Tabla38[[#This Row],[Longitud]],Tabla38[[#This Row],[Carga Maxima]])</f>
        <v xml:space="preserve">ESCALERA SIMPLE DE UN TRAMO, 20 PIES, 136 KG </v>
      </c>
      <c r="G110" s="15" t="s">
        <v>383</v>
      </c>
      <c r="H110" s="15" t="s">
        <v>513</v>
      </c>
      <c r="I110" s="15" t="s">
        <v>510</v>
      </c>
      <c r="J110" s="15" t="s">
        <v>502</v>
      </c>
      <c r="K110" s="47"/>
      <c r="L110" t="s">
        <v>518</v>
      </c>
      <c r="M110" s="47"/>
      <c r="N110" s="47" t="str">
        <f>_xlfn.LET(
    _xlpm.itemBuscado, B110,
    _xlpm.areaBuscada, C110,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TEXT(COUNTIF($C$2:C110, _xlpm.areaBuscada), "0000"),
    _xlpm.codItem &amp; "-" &amp; _xlpm.codArea &amp; "-" &amp; _xlpm.secuencia
)</f>
        <v>ZM-ES-FL-0014</v>
      </c>
      <c r="P110" s="15"/>
      <c r="R110" s="48"/>
    </row>
    <row r="111" spans="2:18" x14ac:dyDescent="0.3">
      <c r="B111" t="s">
        <v>20</v>
      </c>
      <c r="C111" s="11" t="s">
        <v>173</v>
      </c>
      <c r="E111" s="11" t="s">
        <v>7</v>
      </c>
      <c r="F111" s="15" t="str">
        <f>_xlfn.TEXTJOIN(", ",TRUE, Tabla38[[#This Row],[Tipo de escalera]],Tabla38[[#This Row],[Longitud]],Tabla38[[#This Row],[Carga Maxima]])</f>
        <v>ESCALERA SIMPLE DE UN TRAMO, 20 PIES, 136 KG</v>
      </c>
      <c r="G111" s="15" t="s">
        <v>383</v>
      </c>
      <c r="H111" s="15" t="s">
        <v>513</v>
      </c>
      <c r="I111" s="15" t="s">
        <v>430</v>
      </c>
      <c r="J111" s="15" t="s">
        <v>502</v>
      </c>
      <c r="K111" s="47"/>
      <c r="L111" t="s">
        <v>519</v>
      </c>
      <c r="M111" s="47"/>
      <c r="N111" s="47" t="str">
        <f>_xlfn.LET(
    _xlpm.itemBuscado, B111,
    _xlpm.areaBuscada, C111,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TEXT(COUNTIF($C$2:C111, _xlpm.areaBuscada), "0000"),
    _xlpm.codItem &amp; "-" &amp; _xlpm.codArea &amp; "-" &amp; _xlpm.secuencia
)</f>
        <v>ZM-ES-FL-0015</v>
      </c>
      <c r="P111" s="15"/>
      <c r="R111" s="48"/>
    </row>
    <row r="112" spans="2:18" x14ac:dyDescent="0.3">
      <c r="B112" t="s">
        <v>20</v>
      </c>
      <c r="C112" s="11" t="s">
        <v>173</v>
      </c>
      <c r="E112" s="11" t="s">
        <v>7</v>
      </c>
      <c r="F112" s="15" t="str">
        <f>_xlfn.TEXTJOIN(", ",TRUE, Tabla38[[#This Row],[Tipo de escalera]],Tabla38[[#This Row],[Longitud]],Tabla38[[#This Row],[Carga Maxima]])</f>
        <v>ESCALERA SIMPLE DE UN TRAMO, 18 PIES, 136 KG</v>
      </c>
      <c r="G112" s="15" t="s">
        <v>383</v>
      </c>
      <c r="H112" s="15" t="s">
        <v>515</v>
      </c>
      <c r="I112" s="15" t="s">
        <v>430</v>
      </c>
      <c r="J112" s="15" t="s">
        <v>502</v>
      </c>
      <c r="K112" s="47"/>
      <c r="L112" t="s">
        <v>520</v>
      </c>
      <c r="M112" s="47"/>
      <c r="N112" s="47" t="str">
        <f>_xlfn.LET(
    _xlpm.itemBuscado, B112,
    _xlpm.areaBuscada, C112,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TEXT(COUNTIF($C$2:C112, _xlpm.areaBuscada), "0000"),
    _xlpm.codItem &amp; "-" &amp; _xlpm.codArea &amp; "-" &amp; _xlpm.secuencia
)</f>
        <v>ZM-ES-FL-0016</v>
      </c>
      <c r="P112" s="15"/>
      <c r="R112" s="48"/>
    </row>
    <row r="113" spans="2:18" x14ac:dyDescent="0.3">
      <c r="B113" t="s">
        <v>20</v>
      </c>
      <c r="C113" s="11" t="s">
        <v>173</v>
      </c>
      <c r="E113" s="11" t="s">
        <v>7</v>
      </c>
      <c r="F113" s="15" t="str">
        <f>_xlfn.TEXTJOIN(", ",TRUE, Tabla38[[#This Row],[Tipo de escalera]],Tabla38[[#This Row],[Longitud]],Tabla38[[#This Row],[Carga Maxima]])</f>
        <v>ESCALERA SIMPLE DE UN TRAMO, 18 PIES, 136 KG</v>
      </c>
      <c r="G113" s="15" t="s">
        <v>383</v>
      </c>
      <c r="H113" s="15" t="s">
        <v>515</v>
      </c>
      <c r="I113" s="15" t="s">
        <v>430</v>
      </c>
      <c r="J113" s="15" t="s">
        <v>502</v>
      </c>
      <c r="K113" s="47"/>
      <c r="L113" t="s">
        <v>521</v>
      </c>
      <c r="M113" s="47"/>
      <c r="N113" s="47" t="str">
        <f>_xlfn.LET(
    _xlpm.itemBuscado, B113,
    _xlpm.areaBuscada, C113,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TEXT(COUNTIF($C$2:C113, _xlpm.areaBuscada), "0000"),
    _xlpm.codItem &amp; "-" &amp; _xlpm.codArea &amp; "-" &amp; _xlpm.secuencia
)</f>
        <v>ZM-ES-FL-0017</v>
      </c>
      <c r="P113" s="15"/>
      <c r="R113" s="48"/>
    </row>
    <row r="114" spans="2:18" x14ac:dyDescent="0.3">
      <c r="B114" t="s">
        <v>20</v>
      </c>
      <c r="C114" s="11" t="s">
        <v>173</v>
      </c>
      <c r="E114" s="11" t="s">
        <v>7</v>
      </c>
      <c r="F114" s="15" t="str">
        <f>_xlfn.TEXTJOIN(", ",TRUE, Tabla38[[#This Row],[Tipo de escalera]],Tabla38[[#This Row],[Longitud]],Tabla38[[#This Row],[Carga Maxima]])</f>
        <v>ESCALERA SIMPLE DE UN TRAMO, 19 PIES, 136 KG</v>
      </c>
      <c r="G114" s="15" t="s">
        <v>383</v>
      </c>
      <c r="H114" s="15" t="s">
        <v>503</v>
      </c>
      <c r="I114" s="15" t="s">
        <v>430</v>
      </c>
      <c r="J114" s="15" t="s">
        <v>502</v>
      </c>
      <c r="K114" s="47"/>
      <c r="L114" t="s">
        <v>522</v>
      </c>
      <c r="M114" s="47"/>
      <c r="N114" s="47" t="str">
        <f>_xlfn.LET(
    _xlpm.itemBuscado, B114,
    _xlpm.areaBuscada, C114,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TEXT(COUNTIF($C$2:C114, _xlpm.areaBuscada), "0000"),
    _xlpm.codItem &amp; "-" &amp; _xlpm.codArea &amp; "-" &amp; _xlpm.secuencia
)</f>
        <v>ZM-ES-FL-0018</v>
      </c>
      <c r="P114" s="15"/>
      <c r="R114" s="48"/>
    </row>
    <row r="115" spans="2:18" x14ac:dyDescent="0.3">
      <c r="B115" t="s">
        <v>20</v>
      </c>
      <c r="C115" s="11" t="s">
        <v>173</v>
      </c>
      <c r="E115" s="11" t="s">
        <v>7</v>
      </c>
      <c r="F115" s="15" t="str">
        <f>_xlfn.TEXTJOIN(", ",TRUE, Tabla38[[#This Row],[Tipo de escalera]],Tabla38[[#This Row],[Longitud]],Tabla38[[#This Row],[Carga Maxima]])</f>
        <v>ESCALERA SIMPLE DE UN TRAMO, 17 PIES, 136 KG</v>
      </c>
      <c r="G115" s="15" t="s">
        <v>383</v>
      </c>
      <c r="H115" s="15" t="s">
        <v>465</v>
      </c>
      <c r="I115" s="15" t="s">
        <v>430</v>
      </c>
      <c r="J115" s="15" t="s">
        <v>502</v>
      </c>
      <c r="K115" s="47"/>
      <c r="L115" t="s">
        <v>523</v>
      </c>
      <c r="M115" s="47"/>
      <c r="N115" s="47" t="str">
        <f>_xlfn.LET(
    _xlpm.itemBuscado, B115,
    _xlpm.areaBuscada, C115,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TEXT(COUNTIF($C$2:C115, _xlpm.areaBuscada), "0000"),
    _xlpm.codItem &amp; "-" &amp; _xlpm.codArea &amp; "-" &amp; _xlpm.secuencia
)</f>
        <v>ZM-ES-FL-0019</v>
      </c>
      <c r="P115" s="15"/>
      <c r="R115" s="48"/>
    </row>
    <row r="116" spans="2:18" x14ac:dyDescent="0.3">
      <c r="B116" t="s">
        <v>20</v>
      </c>
      <c r="C116" s="11" t="s">
        <v>173</v>
      </c>
      <c r="E116" s="11" t="s">
        <v>7</v>
      </c>
      <c r="F116" s="15" t="str">
        <f>_xlfn.TEXTJOIN(", ",TRUE, Tabla38[[#This Row],[Tipo de escalera]],Tabla38[[#This Row],[Longitud]],Tabla38[[#This Row],[Carga Maxima]])</f>
        <v>ESCALERA SIMPLE DE UN TRAMO, 14 PIES, 225 LB</v>
      </c>
      <c r="G116" s="15" t="s">
        <v>383</v>
      </c>
      <c r="H116" s="15" t="s">
        <v>494</v>
      </c>
      <c r="I116" s="15" t="s">
        <v>468</v>
      </c>
      <c r="J116" s="15" t="s">
        <v>318</v>
      </c>
      <c r="K116" s="47" t="s">
        <v>525</v>
      </c>
      <c r="L116" t="s">
        <v>524</v>
      </c>
      <c r="M116" s="47"/>
      <c r="N116" s="47" t="str">
        <f>_xlfn.LET(
    _xlpm.itemBuscado, B116,
    _xlpm.areaBuscada, C116,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TEXT(COUNTIF($C$2:C116, _xlpm.areaBuscada), "0000"),
    _xlpm.codItem &amp; "-" &amp; _xlpm.codArea &amp; "-" &amp; _xlpm.secuencia
)</f>
        <v>ZM-ES-FL-0020</v>
      </c>
      <c r="P116" s="15"/>
      <c r="R116" s="48"/>
    </row>
    <row r="117" spans="2:18" x14ac:dyDescent="0.3">
      <c r="B117" t="s">
        <v>20</v>
      </c>
      <c r="C117" s="11" t="s">
        <v>173</v>
      </c>
      <c r="E117" s="11" t="s">
        <v>7</v>
      </c>
      <c r="F117" s="15" t="str">
        <f>_xlfn.TEXTJOIN(", ",TRUE, Tabla38[[#This Row],[Tipo de escalera]],Tabla38[[#This Row],[Longitud]],Tabla38[[#This Row],[Carga Maxima]])</f>
        <v>ESCALERA SIMPLE DE UN TRAMO, 18 PIES, 136 KG</v>
      </c>
      <c r="G117" s="15" t="s">
        <v>383</v>
      </c>
      <c r="H117" s="15" t="s">
        <v>515</v>
      </c>
      <c r="I117" s="15" t="s">
        <v>430</v>
      </c>
      <c r="J117" s="15" t="s">
        <v>502</v>
      </c>
      <c r="K117" s="47"/>
      <c r="L117" t="s">
        <v>526</v>
      </c>
      <c r="M117" s="47"/>
      <c r="N117" s="47" t="str">
        <f>_xlfn.LET(
    _xlpm.itemBuscado, B117,
    _xlpm.areaBuscada, C117,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TEXT(COUNTIF($C$2:C117, _xlpm.areaBuscada), "0000"),
    _xlpm.codItem &amp; "-" &amp; _xlpm.codArea &amp; "-" &amp; _xlpm.secuencia
)</f>
        <v>ZM-ES-FL-0021</v>
      </c>
      <c r="P117" s="15"/>
      <c r="R117" s="48"/>
    </row>
    <row r="118" spans="2:18" x14ac:dyDescent="0.3">
      <c r="B118" t="s">
        <v>20</v>
      </c>
      <c r="C118" s="11" t="s">
        <v>173</v>
      </c>
      <c r="E118" s="11" t="s">
        <v>7</v>
      </c>
      <c r="F118" s="15" t="str">
        <f>_xlfn.TEXTJOIN(", ",TRUE, Tabla38[[#This Row],[Tipo de escalera]],Tabla38[[#This Row],[Longitud]],Tabla38[[#This Row],[Carga Maxima]])</f>
        <v>ESCALERA SIMPLE DE UN TRAMO, 8 PIES, NO TIENE</v>
      </c>
      <c r="G118" s="15" t="s">
        <v>383</v>
      </c>
      <c r="H118" s="15" t="s">
        <v>450</v>
      </c>
      <c r="I118" s="15" t="s">
        <v>355</v>
      </c>
      <c r="J118" s="15" t="s">
        <v>337</v>
      </c>
      <c r="K118" s="47"/>
      <c r="L118" t="s">
        <v>527</v>
      </c>
      <c r="M118" s="47"/>
      <c r="N118" s="47" t="str">
        <f>_xlfn.LET(
    _xlpm.itemBuscado, B118,
    _xlpm.areaBuscada, C118,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TEXT(COUNTIF($C$2:C118, _xlpm.areaBuscada), "0000"),
    _xlpm.codItem &amp; "-" &amp; _xlpm.codArea &amp; "-" &amp; _xlpm.secuencia
)</f>
        <v>ZM-ES-FL-0022</v>
      </c>
      <c r="P118" s="15"/>
      <c r="R118" s="48"/>
    </row>
    <row r="119" spans="2:18" x14ac:dyDescent="0.3">
      <c r="B119" t="s">
        <v>20</v>
      </c>
      <c r="C119" s="11" t="s">
        <v>173</v>
      </c>
      <c r="E119" s="11" t="s">
        <v>7</v>
      </c>
      <c r="F119" s="15" t="str">
        <f>_xlfn.TEXTJOIN(", ",TRUE, Tabla38[[#This Row],[Tipo de escalera]],Tabla38[[#This Row],[Longitud]],Tabla38[[#This Row],[Carga Maxima]])</f>
        <v>ESCALERA SIMPLE DE UN TRAMO, 8 PIES, 175 KG</v>
      </c>
      <c r="G119" s="15" t="s">
        <v>383</v>
      </c>
      <c r="H119" s="15" t="s">
        <v>450</v>
      </c>
      <c r="I119" s="15" t="s">
        <v>530</v>
      </c>
      <c r="J119" s="15" t="s">
        <v>337</v>
      </c>
      <c r="K119" s="47" t="s">
        <v>529</v>
      </c>
      <c r="L119" t="s">
        <v>528</v>
      </c>
      <c r="M119" s="47">
        <v>9564100898</v>
      </c>
      <c r="N119" s="47" t="str">
        <f>_xlfn.LET(
    _xlpm.itemBuscado, B119,
    _xlpm.areaBuscada, C119,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TEXT(COUNTIF($C$2:C119, _xlpm.areaBuscada), "0000"),
    _xlpm.codItem &amp; "-" &amp; _xlpm.codArea &amp; "-" &amp; _xlpm.secuencia
)</f>
        <v>ZM-ES-FL-0023</v>
      </c>
      <c r="P119" s="15"/>
      <c r="R119" s="48"/>
    </row>
    <row r="120" spans="2:18" x14ac:dyDescent="0.3">
      <c r="B120" t="s">
        <v>20</v>
      </c>
      <c r="C120" s="11" t="s">
        <v>173</v>
      </c>
      <c r="E120" s="11" t="s">
        <v>7</v>
      </c>
      <c r="F120" s="15" t="str">
        <f>_xlfn.TEXTJOIN(", ",TRUE, Tabla38[[#This Row],[Tipo de escalera]],Tabla38[[#This Row],[Longitud]],Tabla38[[#This Row],[Carga Maxima]])</f>
        <v>ESCALERA SIMPLE DE UN TRAMO, 8 PIES, 175 KG</v>
      </c>
      <c r="G120" s="15" t="s">
        <v>383</v>
      </c>
      <c r="H120" s="15" t="s">
        <v>450</v>
      </c>
      <c r="I120" s="15" t="s">
        <v>530</v>
      </c>
      <c r="J120" s="15" t="s">
        <v>337</v>
      </c>
      <c r="K120" s="47" t="s">
        <v>529</v>
      </c>
      <c r="L120" t="s">
        <v>532</v>
      </c>
      <c r="M120" s="47">
        <v>9564100898</v>
      </c>
      <c r="N120" s="47" t="str">
        <f>_xlfn.LET(
    _xlpm.itemBuscado, B120,
    _xlpm.areaBuscada, C120,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TEXT(COUNTIF($C$2:C120, _xlpm.areaBuscada), "0000"),
    _xlpm.codItem &amp; "-" &amp; _xlpm.codArea &amp; "-" &amp; _xlpm.secuencia
)</f>
        <v>ZM-ES-FL-0024</v>
      </c>
      <c r="P120" s="15"/>
      <c r="R120" s="48"/>
    </row>
    <row r="121" spans="2:18" x14ac:dyDescent="0.3">
      <c r="B121" t="s">
        <v>20</v>
      </c>
      <c r="C121" s="11" t="s">
        <v>173</v>
      </c>
      <c r="E121" s="11" t="s">
        <v>7</v>
      </c>
      <c r="F121" s="15" t="str">
        <f>_xlfn.TEXTJOIN(", ",TRUE, Tabla38[[#This Row],[Tipo de escalera]],Tabla38[[#This Row],[Longitud]],Tabla38[[#This Row],[Carga Maxima]])</f>
        <v>ESCALERA SIMPLE DE UN TRAMO, 8 PIES, 175 KG</v>
      </c>
      <c r="G121" s="15" t="s">
        <v>383</v>
      </c>
      <c r="H121" s="15" t="s">
        <v>450</v>
      </c>
      <c r="I121" s="15" t="s">
        <v>530</v>
      </c>
      <c r="J121" s="15" t="s">
        <v>337</v>
      </c>
      <c r="K121" s="47" t="s">
        <v>529</v>
      </c>
      <c r="L121" t="s">
        <v>531</v>
      </c>
      <c r="M121" s="47">
        <v>9564100898</v>
      </c>
      <c r="N121" s="47" t="str">
        <f>_xlfn.LET(
    _xlpm.itemBuscado, B121,
    _xlpm.areaBuscada, C121,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TEXT(COUNTIF($C$2:C121, _xlpm.areaBuscada), "0000"),
    _xlpm.codItem &amp; "-" &amp; _xlpm.codArea &amp; "-" &amp; _xlpm.secuencia
)</f>
        <v>ZM-ES-FL-0025</v>
      </c>
      <c r="P121" s="15"/>
      <c r="R121" s="48"/>
    </row>
    <row r="122" spans="2:18" x14ac:dyDescent="0.3">
      <c r="B122" t="s">
        <v>20</v>
      </c>
      <c r="C122" s="11" t="s">
        <v>173</v>
      </c>
      <c r="E122" s="11" t="s">
        <v>7</v>
      </c>
      <c r="F122" s="15" t="str">
        <f>_xlfn.TEXTJOIN(", ",TRUE, Tabla38[[#This Row],[Tipo de escalera]],Tabla38[[#This Row],[Longitud]],Tabla38[[#This Row],[Carga Maxima]])</f>
        <v>ESCALERA SIMPLE DE UN TRAMO, 8 PIES, 300 LB</v>
      </c>
      <c r="G122" s="15" t="s">
        <v>383</v>
      </c>
      <c r="H122" s="15" t="s">
        <v>450</v>
      </c>
      <c r="I122" s="15" t="s">
        <v>396</v>
      </c>
      <c r="J122" s="15" t="s">
        <v>318</v>
      </c>
      <c r="K122" s="47" t="s">
        <v>355</v>
      </c>
      <c r="L122" t="s">
        <v>533</v>
      </c>
      <c r="M122" s="47" t="s">
        <v>355</v>
      </c>
      <c r="N122" s="47" t="str">
        <f>_xlfn.LET(
    _xlpm.itemBuscado, B122,
    _xlpm.areaBuscada, C122,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TEXT(COUNTIF($C$2:C122, _xlpm.areaBuscada), "0000"),
    _xlpm.codItem &amp; "-" &amp; _xlpm.codArea &amp; "-" &amp; _xlpm.secuencia
)</f>
        <v>ZM-ES-FL-0026</v>
      </c>
      <c r="P122" s="15"/>
      <c r="R122" s="48"/>
    </row>
    <row r="123" spans="2:18" x14ac:dyDescent="0.3">
      <c r="B123" t="s">
        <v>20</v>
      </c>
      <c r="C123" s="11" t="s">
        <v>173</v>
      </c>
      <c r="E123" s="11" t="s">
        <v>7</v>
      </c>
      <c r="F123" s="15" t="str">
        <f>_xlfn.TEXTJOIN(", ",TRUE, Tabla38[[#This Row],[Tipo de escalera]],Tabla38[[#This Row],[Longitud]],Tabla38[[#This Row],[Carga Maxima]])</f>
        <v>ESCALERA SIMPLE DE UN TRAMO, 9 PIES, 301 LB</v>
      </c>
      <c r="G123" s="15" t="s">
        <v>383</v>
      </c>
      <c r="H123" s="15" t="s">
        <v>537</v>
      </c>
      <c r="I123" s="15" t="s">
        <v>534</v>
      </c>
      <c r="J123" s="15" t="s">
        <v>318</v>
      </c>
      <c r="K123" s="47" t="s">
        <v>355</v>
      </c>
      <c r="L123" t="s">
        <v>355</v>
      </c>
      <c r="M123" s="47" t="s">
        <v>355</v>
      </c>
      <c r="N123" s="47" t="str">
        <f>_xlfn.LET(
    _xlpm.itemBuscado, B123,
    _xlpm.areaBuscada, C123,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TEXT(COUNTIF($C$2:C123, _xlpm.areaBuscada), "0000"),
    _xlpm.codItem &amp; "-" &amp; _xlpm.codArea &amp; "-" &amp; _xlpm.secuencia
)</f>
        <v>ZM-ES-FL-0027</v>
      </c>
      <c r="P123" s="15"/>
      <c r="R123" s="48"/>
    </row>
    <row r="124" spans="2:18" x14ac:dyDescent="0.3">
      <c r="B124" t="s">
        <v>20</v>
      </c>
      <c r="C124" s="11" t="s">
        <v>173</v>
      </c>
      <c r="E124" s="11" t="s">
        <v>7</v>
      </c>
      <c r="F124" s="15" t="str">
        <f>_xlfn.TEXTJOIN(", ",TRUE, Tabla38[[#This Row],[Tipo de escalera]],Tabla38[[#This Row],[Longitud]],Tabla38[[#This Row],[Carga Maxima]])</f>
        <v>ESCALERA SIMPLE DE UN TRAMO, 10 PIES, 302 LB</v>
      </c>
      <c r="G124" s="15" t="s">
        <v>383</v>
      </c>
      <c r="H124" s="15" t="s">
        <v>538</v>
      </c>
      <c r="I124" s="15" t="s">
        <v>535</v>
      </c>
      <c r="J124" s="15" t="s">
        <v>318</v>
      </c>
      <c r="K124" s="47" t="s">
        <v>355</v>
      </c>
      <c r="L124" t="s">
        <v>540</v>
      </c>
      <c r="M124" s="47" t="s">
        <v>355</v>
      </c>
      <c r="N124" s="47" t="str">
        <f>_xlfn.LET(
    _xlpm.itemBuscado, B124,
    _xlpm.areaBuscada, C124,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TEXT(COUNTIF($C$2:C124, _xlpm.areaBuscada), "0000"),
    _xlpm.codItem &amp; "-" &amp; _xlpm.codArea &amp; "-" &amp; _xlpm.secuencia
)</f>
        <v>ZM-ES-FL-0028</v>
      </c>
      <c r="P124" s="15"/>
      <c r="R124" s="48"/>
    </row>
    <row r="125" spans="2:18" x14ac:dyDescent="0.3">
      <c r="B125" t="s">
        <v>20</v>
      </c>
      <c r="C125" s="11" t="s">
        <v>173</v>
      </c>
      <c r="E125" s="11" t="s">
        <v>7</v>
      </c>
      <c r="F125" s="15" t="str">
        <f>_xlfn.TEXTJOIN(", ",TRUE, Tabla38[[#This Row],[Tipo de escalera]],Tabla38[[#This Row],[Longitud]],Tabla38[[#This Row],[Carga Maxima]])</f>
        <v>ESCALERA SIMPLE DE UN TRAMO, 11 PIES, 303 LB</v>
      </c>
      <c r="G125" s="15" t="s">
        <v>383</v>
      </c>
      <c r="H125" s="15" t="s">
        <v>539</v>
      </c>
      <c r="I125" s="15" t="s">
        <v>536</v>
      </c>
      <c r="J125" s="15" t="s">
        <v>318</v>
      </c>
      <c r="K125" s="47" t="s">
        <v>355</v>
      </c>
      <c r="L125" t="s">
        <v>541</v>
      </c>
      <c r="M125" s="47" t="s">
        <v>355</v>
      </c>
      <c r="N125" s="47" t="str">
        <f>_xlfn.LET(
    _xlpm.itemBuscado, B125,
    _xlpm.areaBuscada, C125,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TEXT(COUNTIF($C$2:C125, _xlpm.areaBuscada), "0000"),
    _xlpm.codItem &amp; "-" &amp; _xlpm.codArea &amp; "-" &amp; _xlpm.secuencia
)</f>
        <v>ZM-ES-FL-0029</v>
      </c>
      <c r="P125" s="15"/>
      <c r="R125" s="48"/>
    </row>
    <row r="126" spans="2:18" x14ac:dyDescent="0.3">
      <c r="B126" t="s">
        <v>20</v>
      </c>
      <c r="C126" s="11" t="s">
        <v>173</v>
      </c>
      <c r="E126" s="11" t="s">
        <v>7</v>
      </c>
      <c r="F126" s="15" t="str">
        <f>_xlfn.TEXTJOIN(", ",TRUE, Tabla38[[#This Row],[Tipo de escalera]],Tabla38[[#This Row],[Longitud]],Tabla38[[#This Row],[Carga Maxima]])</f>
        <v>ESCALERA SIMPLE DE UN TRAMO, 10 PIES, 175 KG</v>
      </c>
      <c r="G126" s="15" t="s">
        <v>383</v>
      </c>
      <c r="H126" s="15" t="s">
        <v>538</v>
      </c>
      <c r="I126" s="15" t="s">
        <v>530</v>
      </c>
      <c r="J126" s="15" t="s">
        <v>337</v>
      </c>
      <c r="K126" s="47" t="s">
        <v>355</v>
      </c>
      <c r="L126" t="s">
        <v>355</v>
      </c>
      <c r="M126" s="47" t="s">
        <v>355</v>
      </c>
      <c r="N126" s="47" t="str">
        <f>_xlfn.LET(
    _xlpm.itemBuscado, B126,
    _xlpm.areaBuscada, C126,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TEXT(COUNTIF($C$2:C126, _xlpm.areaBuscada), "0000"),
    _xlpm.codItem &amp; "-" &amp; _xlpm.codArea &amp; "-" &amp; _xlpm.secuencia
)</f>
        <v>ZM-ES-FL-0030</v>
      </c>
      <c r="P126" s="15"/>
      <c r="R126" s="48"/>
    </row>
    <row r="127" spans="2:18" x14ac:dyDescent="0.3">
      <c r="B127" t="s">
        <v>20</v>
      </c>
      <c r="C127" s="11" t="s">
        <v>173</v>
      </c>
      <c r="E127" s="11" t="s">
        <v>7</v>
      </c>
      <c r="F127" s="15" t="str">
        <f>_xlfn.TEXTJOIN(", ",TRUE, Tabla38[[#This Row],[Tipo de escalera]],Tabla38[[#This Row],[Longitud]],Tabla38[[#This Row],[Carga Maxima]])</f>
        <v>ESCALERA SIMPLE DE UN TRAMO, 10 PIES, 175 KG</v>
      </c>
      <c r="G127" s="15" t="s">
        <v>383</v>
      </c>
      <c r="H127" s="15" t="s">
        <v>538</v>
      </c>
      <c r="I127" s="15" t="s">
        <v>530</v>
      </c>
      <c r="J127" s="15" t="s">
        <v>337</v>
      </c>
      <c r="K127" s="47" t="s">
        <v>542</v>
      </c>
      <c r="L127" t="s">
        <v>355</v>
      </c>
      <c r="M127" s="47" t="s">
        <v>355</v>
      </c>
      <c r="N127" s="47" t="str">
        <f>_xlfn.LET(
    _xlpm.itemBuscado, B127,
    _xlpm.areaBuscada, C127,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TEXT(COUNTIF($C$2:C127, _xlpm.areaBuscada), "0000"),
    _xlpm.codItem &amp; "-" &amp; _xlpm.codArea &amp; "-" &amp; _xlpm.secuencia
)</f>
        <v>ZM-ES-FL-0031</v>
      </c>
      <c r="P127" s="15"/>
      <c r="R127" s="48"/>
    </row>
    <row r="128" spans="2:18" x14ac:dyDescent="0.3">
      <c r="B128" t="s">
        <v>20</v>
      </c>
      <c r="C128" s="11" t="s">
        <v>173</v>
      </c>
      <c r="E128" s="11" t="s">
        <v>7</v>
      </c>
      <c r="F128" s="15" t="str">
        <f>_xlfn.TEXTJOIN(", ",TRUE, Tabla38[[#This Row],[Tipo de escalera]],Tabla38[[#This Row],[Longitud]],Tabla38[[#This Row],[Carga Maxima]])</f>
        <v>ESCALERA SIMPLE DE UN TRAMO, 10 PIES, 175 KG</v>
      </c>
      <c r="G128" s="15" t="s">
        <v>383</v>
      </c>
      <c r="H128" s="15" t="s">
        <v>538</v>
      </c>
      <c r="I128" s="15" t="s">
        <v>530</v>
      </c>
      <c r="J128" s="15" t="s">
        <v>337</v>
      </c>
      <c r="K128" s="47" t="s">
        <v>355</v>
      </c>
      <c r="L128" t="s">
        <v>543</v>
      </c>
      <c r="M128" s="47" t="s">
        <v>355</v>
      </c>
      <c r="N128" s="47" t="str">
        <f>_xlfn.LET(
    _xlpm.itemBuscado, B128,
    _xlpm.areaBuscada, C128,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TEXT(COUNTIF($C$2:C128, _xlpm.areaBuscada), "0000"),
    _xlpm.codItem &amp; "-" &amp; _xlpm.codArea &amp; "-" &amp; _xlpm.secuencia
)</f>
        <v>ZM-ES-FL-0032</v>
      </c>
      <c r="P128" s="15"/>
      <c r="R128" s="48"/>
    </row>
    <row r="129" spans="2:19" x14ac:dyDescent="0.3">
      <c r="B129" t="s">
        <v>20</v>
      </c>
      <c r="C129" s="11" t="s">
        <v>173</v>
      </c>
      <c r="E129" s="11" t="s">
        <v>7</v>
      </c>
      <c r="F129" s="15" t="str">
        <f>_xlfn.TEXTJOIN(", ",TRUE, Tabla38[[#This Row],[Tipo de escalera]],Tabla38[[#This Row],[Longitud]],Tabla38[[#This Row],[Carga Maxima]])</f>
        <v>ESCALERA SIMPLE DE UN TRAMO, 10 PIES, 175 KG</v>
      </c>
      <c r="G129" s="15" t="s">
        <v>383</v>
      </c>
      <c r="H129" s="15" t="s">
        <v>538</v>
      </c>
      <c r="I129" s="15" t="s">
        <v>530</v>
      </c>
      <c r="J129" s="15" t="s">
        <v>337</v>
      </c>
      <c r="K129" s="47" t="s">
        <v>355</v>
      </c>
      <c r="L129" t="s">
        <v>532</v>
      </c>
      <c r="M129" s="47" t="s">
        <v>355</v>
      </c>
      <c r="N129" s="47" t="str">
        <f>_xlfn.LET(
    _xlpm.itemBuscado, B129,
    _xlpm.areaBuscada, C129,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TEXT(COUNTIF($C$2:C129, _xlpm.areaBuscada), "0000"),
    _xlpm.codItem &amp; "-" &amp; _xlpm.codArea &amp; "-" &amp; _xlpm.secuencia
)</f>
        <v>ZM-ES-FL-0033</v>
      </c>
      <c r="P129" s="15"/>
      <c r="R129" s="48"/>
    </row>
    <row r="130" spans="2:19" x14ac:dyDescent="0.3">
      <c r="B130" t="s">
        <v>20</v>
      </c>
      <c r="C130" s="11" t="s">
        <v>173</v>
      </c>
      <c r="E130" s="11" t="s">
        <v>7</v>
      </c>
      <c r="F130" s="15" t="str">
        <f>_xlfn.TEXTJOIN(", ",TRUE, Tabla38[[#This Row],[Tipo de escalera]],Tabla38[[#This Row],[Longitud]],Tabla38[[#This Row],[Carga Maxima]])</f>
        <v>ESCALERA SIMPLE DE UN TRAMO, 10 PIES, 175 KG</v>
      </c>
      <c r="G130" s="15" t="s">
        <v>383</v>
      </c>
      <c r="H130" s="15" t="s">
        <v>538</v>
      </c>
      <c r="I130" s="15" t="s">
        <v>530</v>
      </c>
      <c r="J130" s="15" t="s">
        <v>337</v>
      </c>
      <c r="K130" s="47" t="s">
        <v>355</v>
      </c>
      <c r="L130" t="s">
        <v>355</v>
      </c>
      <c r="M130" s="47" t="s">
        <v>355</v>
      </c>
      <c r="N130" s="47" t="str">
        <f>_xlfn.LET(
    _xlpm.itemBuscado, B130,
    _xlpm.areaBuscada, C130,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TEXT(COUNTIF($C$2:C130, _xlpm.areaBuscada), "0000"),
    _xlpm.codItem &amp; "-" &amp; _xlpm.codArea &amp; "-" &amp; _xlpm.secuencia
)</f>
        <v>ZM-ES-FL-0034</v>
      </c>
      <c r="P130" s="15"/>
      <c r="R130" s="48"/>
    </row>
    <row r="131" spans="2:19" x14ac:dyDescent="0.3">
      <c r="B131" t="s">
        <v>20</v>
      </c>
      <c r="C131" s="11" t="s">
        <v>173</v>
      </c>
      <c r="E131" s="11" t="s">
        <v>7</v>
      </c>
      <c r="F131" s="15" t="str">
        <f>_xlfn.TEXTJOIN(", ",TRUE, Tabla38[[#This Row],[Tipo de escalera]],Tabla38[[#This Row],[Longitud]],Tabla38[[#This Row],[Carga Maxima]])</f>
        <v>ESCALERA SIMPLE DE UN TRAMO, 12 PIES, 175 KG</v>
      </c>
      <c r="G131" s="15" t="s">
        <v>383</v>
      </c>
      <c r="H131" s="15" t="s">
        <v>472</v>
      </c>
      <c r="I131" s="15" t="s">
        <v>530</v>
      </c>
      <c r="J131" s="15" t="s">
        <v>337</v>
      </c>
      <c r="K131" s="47" t="s">
        <v>544</v>
      </c>
      <c r="L131" t="s">
        <v>355</v>
      </c>
      <c r="M131" s="47">
        <v>9564100900</v>
      </c>
      <c r="N131" s="47" t="str">
        <f>_xlfn.LET(
    _xlpm.itemBuscado, B131,
    _xlpm.areaBuscada, C131,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TEXT(COUNTIF($C$2:C131, _xlpm.areaBuscada), "0000"),
    _xlpm.codItem &amp; "-" &amp; _xlpm.codArea &amp; "-" &amp; _xlpm.secuencia
)</f>
        <v>ZM-ES-FL-0035</v>
      </c>
      <c r="P131" s="15"/>
      <c r="R131" s="48"/>
    </row>
    <row r="132" spans="2:19" x14ac:dyDescent="0.3">
      <c r="B132" t="s">
        <v>20</v>
      </c>
      <c r="C132" s="11" t="s">
        <v>173</v>
      </c>
      <c r="E132" s="11" t="s">
        <v>7</v>
      </c>
      <c r="F132" s="15" t="str">
        <f>_xlfn.TEXTJOIN(", ",TRUE, Tabla38[[#This Row],[Tipo de escalera]],Tabla38[[#This Row],[Longitud]],Tabla38[[#This Row],[Carga Maxima]])</f>
        <v>ESCALERA SIMPLE DE UN TRAMO, 12 PIES, 175 KG</v>
      </c>
      <c r="G132" s="15" t="s">
        <v>383</v>
      </c>
      <c r="H132" s="15" t="s">
        <v>472</v>
      </c>
      <c r="I132" s="15" t="s">
        <v>530</v>
      </c>
      <c r="J132" s="15" t="s">
        <v>337</v>
      </c>
      <c r="K132" s="47" t="s">
        <v>544</v>
      </c>
      <c r="L132" t="s">
        <v>355</v>
      </c>
      <c r="M132" s="47">
        <v>9564100900</v>
      </c>
      <c r="N132" s="47" t="str">
        <f>_xlfn.LET(
    _xlpm.itemBuscado, B132,
    _xlpm.areaBuscada, C132,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TEXT(COUNTIF($C$2:C132, _xlpm.areaBuscada), "0000"),
    _xlpm.codItem &amp; "-" &amp; _xlpm.codArea &amp; "-" &amp; _xlpm.secuencia
)</f>
        <v>ZM-ES-FL-0036</v>
      </c>
      <c r="P132" s="15"/>
      <c r="R132" s="48"/>
    </row>
    <row r="133" spans="2:19" x14ac:dyDescent="0.3">
      <c r="B133" t="s">
        <v>20</v>
      </c>
      <c r="C133" s="11" t="s">
        <v>173</v>
      </c>
      <c r="E133" s="11" t="s">
        <v>7</v>
      </c>
      <c r="F133" s="15" t="str">
        <f>_xlfn.TEXTJOIN(", ",TRUE, Tabla38[[#This Row],[Tipo de escalera]],Tabla38[[#This Row],[Longitud]],Tabla38[[#This Row],[Carga Maxima]])</f>
        <v>ESCALERA SIMPLE DE UN TRAMO, 12 PIES, 175 KG</v>
      </c>
      <c r="G133" s="15" t="s">
        <v>383</v>
      </c>
      <c r="H133" s="15" t="s">
        <v>472</v>
      </c>
      <c r="I133" s="15" t="s">
        <v>530</v>
      </c>
      <c r="J133" s="15" t="s">
        <v>337</v>
      </c>
      <c r="K133" s="47" t="s">
        <v>544</v>
      </c>
      <c r="L133" t="s">
        <v>355</v>
      </c>
      <c r="M133" s="47">
        <v>9564100900</v>
      </c>
      <c r="N133" s="47" t="str">
        <f>_xlfn.LET(
    _xlpm.itemBuscado, B133,
    _xlpm.areaBuscada, C133,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TEXT(COUNTIF($C$2:C133, _xlpm.areaBuscada), "0000"),
    _xlpm.codItem &amp; "-" &amp; _xlpm.codArea &amp; "-" &amp; _xlpm.secuencia
)</f>
        <v>ZM-ES-FL-0037</v>
      </c>
      <c r="P133" s="15"/>
      <c r="R133" s="48"/>
    </row>
    <row r="134" spans="2:19" x14ac:dyDescent="0.3">
      <c r="B134" t="s">
        <v>20</v>
      </c>
      <c r="C134" s="11" t="s">
        <v>173</v>
      </c>
      <c r="E134" s="11" t="s">
        <v>7</v>
      </c>
      <c r="F134" s="15" t="str">
        <f>_xlfn.TEXTJOIN(", ",TRUE, Tabla38[[#This Row],[Tipo de escalera]],Tabla38[[#This Row],[Longitud]],Tabla38[[#This Row],[Carga Maxima]])</f>
        <v>ESCALERA SIMPLE DE UN TRAMO, 12 PIES, 175 KG</v>
      </c>
      <c r="G134" s="15" t="s">
        <v>383</v>
      </c>
      <c r="H134" s="15" t="s">
        <v>472</v>
      </c>
      <c r="I134" s="15" t="s">
        <v>530</v>
      </c>
      <c r="J134" s="15" t="s">
        <v>337</v>
      </c>
      <c r="K134" s="47" t="s">
        <v>544</v>
      </c>
      <c r="L134" t="s">
        <v>355</v>
      </c>
      <c r="M134" s="47">
        <v>9564100900</v>
      </c>
      <c r="N134" s="47" t="str">
        <f>_xlfn.LET(
    _xlpm.itemBuscado, B134,
    _xlpm.areaBuscada, C134,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TEXT(COUNTIF($C$2:C134, _xlpm.areaBuscada), "0000"),
    _xlpm.codItem &amp; "-" &amp; _xlpm.codArea &amp; "-" &amp; _xlpm.secuencia
)</f>
        <v>ZM-ES-FL-0038</v>
      </c>
      <c r="P134" s="15"/>
      <c r="R134" s="48"/>
    </row>
    <row r="135" spans="2:19" x14ac:dyDescent="0.3">
      <c r="B135" t="s">
        <v>20</v>
      </c>
      <c r="C135" s="11" t="s">
        <v>173</v>
      </c>
      <c r="E135" s="11" t="s">
        <v>7</v>
      </c>
      <c r="F135" s="15" t="str">
        <f>_xlfn.TEXTJOIN(", ",TRUE, Tabla38[[#This Row],[Tipo de escalera]],Tabla38[[#This Row],[Longitud]],Tabla38[[#This Row],[Carga Maxima]])</f>
        <v>ESCALERA SIMPLE DE UN TRAMO, 12 PIES, 175 KG</v>
      </c>
      <c r="G135" s="15" t="s">
        <v>383</v>
      </c>
      <c r="H135" s="15" t="s">
        <v>472</v>
      </c>
      <c r="I135" s="15" t="s">
        <v>530</v>
      </c>
      <c r="J135" s="15" t="s">
        <v>337</v>
      </c>
      <c r="K135" s="47" t="s">
        <v>544</v>
      </c>
      <c r="L135" t="s">
        <v>355</v>
      </c>
      <c r="M135" s="47">
        <v>9564100900</v>
      </c>
      <c r="N135" s="47" t="str">
        <f>_xlfn.LET(
    _xlpm.itemBuscado, B135,
    _xlpm.areaBuscada, C135,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TEXT(COUNTIF($C$2:C135, _xlpm.areaBuscada), "0000"),
    _xlpm.codItem &amp; "-" &amp; _xlpm.codArea &amp; "-" &amp; _xlpm.secuencia
)</f>
        <v>ZM-ES-FL-0039</v>
      </c>
      <c r="P135" s="15"/>
      <c r="R135" s="48"/>
    </row>
    <row r="136" spans="2:19" x14ac:dyDescent="0.3">
      <c r="B136" t="s">
        <v>20</v>
      </c>
      <c r="C136" s="11" t="s">
        <v>173</v>
      </c>
      <c r="E136" s="11" t="s">
        <v>7</v>
      </c>
      <c r="F136" s="15" t="str">
        <f>_xlfn.TEXTJOIN(", ",TRUE, Tabla38[[#This Row],[Tipo de escalera]],Tabla38[[#This Row],[Longitud]],Tabla38[[#This Row],[Carga Maxima]])</f>
        <v>ESCALERA SIMPLE DE UN TRAMO, 12 PIES, 300 LB</v>
      </c>
      <c r="G136" s="15" t="s">
        <v>383</v>
      </c>
      <c r="H136" s="15" t="s">
        <v>472</v>
      </c>
      <c r="I136" s="15" t="s">
        <v>396</v>
      </c>
      <c r="J136" s="15" t="s">
        <v>318</v>
      </c>
      <c r="K136" s="47" t="s">
        <v>545</v>
      </c>
      <c r="L136" t="s">
        <v>546</v>
      </c>
      <c r="M136" s="47" t="s">
        <v>355</v>
      </c>
      <c r="N136" s="47" t="str">
        <f>_xlfn.LET(
    _xlpm.itemBuscado, B136,
    _xlpm.areaBuscada, C136,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TEXT(COUNTIF($C$2:C136, _xlpm.areaBuscada), "0000"),
    _xlpm.codItem &amp; "-" &amp; _xlpm.codArea &amp; "-" &amp; _xlpm.secuencia
)</f>
        <v>ZM-ES-FL-0040</v>
      </c>
      <c r="P136" s="15"/>
      <c r="R136" s="48"/>
    </row>
    <row r="137" spans="2:19" x14ac:dyDescent="0.3">
      <c r="B137" t="s">
        <v>20</v>
      </c>
      <c r="C137" s="11" t="s">
        <v>173</v>
      </c>
      <c r="E137" s="11" t="s">
        <v>7</v>
      </c>
      <c r="F137" s="15" t="str">
        <f>_xlfn.TEXTJOIN(", ",TRUE, Tabla38[[#This Row],[Tipo de escalera]],Tabla38[[#This Row],[Longitud]],Tabla38[[#This Row],[Carga Maxima]])</f>
        <v>ESCALERA SIMPLE DE UN TRAMO, 12 PIES, 300 LB</v>
      </c>
      <c r="G137" s="15" t="s">
        <v>383</v>
      </c>
      <c r="H137" s="15" t="s">
        <v>472</v>
      </c>
      <c r="I137" s="15" t="s">
        <v>396</v>
      </c>
      <c r="J137" s="15" t="s">
        <v>318</v>
      </c>
      <c r="K137" s="47" t="s">
        <v>545</v>
      </c>
      <c r="L137" t="s">
        <v>355</v>
      </c>
      <c r="M137" s="47" t="s">
        <v>355</v>
      </c>
      <c r="N137" s="47" t="str">
        <f>_xlfn.LET(
    _xlpm.itemBuscado, B137,
    _xlpm.areaBuscada, C137,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TEXT(COUNTIF($C$2:C137, _xlpm.areaBuscada), "0000"),
    _xlpm.codItem &amp; "-" &amp; _xlpm.codArea &amp; "-" &amp; _xlpm.secuencia
)</f>
        <v>ZM-ES-FL-0041</v>
      </c>
      <c r="P137" s="15"/>
      <c r="R137" s="48"/>
    </row>
    <row r="138" spans="2:19" x14ac:dyDescent="0.3">
      <c r="B138" t="s">
        <v>20</v>
      </c>
      <c r="C138" s="11" t="s">
        <v>173</v>
      </c>
      <c r="E138" s="11" t="s">
        <v>7</v>
      </c>
      <c r="F138" s="15" t="str">
        <f>_xlfn.TEXTJOIN(", ",TRUE, Tabla38[[#This Row],[Tipo de escalera]],Tabla38[[#This Row],[Longitud]],Tabla38[[#This Row],[Carga Maxima]])</f>
        <v>ESCALERA SIMPLE DE UN TRAMO, 12 PIES, 300 LB</v>
      </c>
      <c r="G138" s="15" t="s">
        <v>383</v>
      </c>
      <c r="H138" s="15" t="s">
        <v>472</v>
      </c>
      <c r="I138" s="15" t="s">
        <v>396</v>
      </c>
      <c r="J138" s="15" t="s">
        <v>318</v>
      </c>
      <c r="K138" s="47" t="s">
        <v>545</v>
      </c>
      <c r="L138" t="s">
        <v>355</v>
      </c>
      <c r="M138" s="47" t="s">
        <v>355</v>
      </c>
      <c r="N138" s="47" t="str">
        <f>_xlfn.LET(
    _xlpm.itemBuscado, B138,
    _xlpm.areaBuscada, C138,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TEXT(COUNTIF($C$2:C138, _xlpm.areaBuscada), "0000"),
    _xlpm.codItem &amp; "-" &amp; _xlpm.codArea &amp; "-" &amp; _xlpm.secuencia
)</f>
        <v>ZM-ES-FL-0042</v>
      </c>
      <c r="P138" s="15"/>
      <c r="R138" s="48"/>
    </row>
    <row r="139" spans="2:19" x14ac:dyDescent="0.3">
      <c r="B139" t="s">
        <v>20</v>
      </c>
      <c r="C139" s="11" t="s">
        <v>173</v>
      </c>
      <c r="E139" s="11" t="s">
        <v>7</v>
      </c>
      <c r="F139" s="15" t="str">
        <f>_xlfn.TEXTJOIN(", ",TRUE, Tabla38[[#This Row],[Tipo de escalera]],Tabla38[[#This Row],[Longitud]],Tabla38[[#This Row],[Carga Maxima]])</f>
        <v>ESCALERA SIMPLE DE UN TRAMO, 12 PIES, 300 LB</v>
      </c>
      <c r="G139" s="15" t="s">
        <v>383</v>
      </c>
      <c r="H139" s="15" t="s">
        <v>472</v>
      </c>
      <c r="I139" s="15" t="s">
        <v>396</v>
      </c>
      <c r="J139" s="15" t="s">
        <v>318</v>
      </c>
      <c r="K139" s="47" t="s">
        <v>545</v>
      </c>
      <c r="L139" t="s">
        <v>355</v>
      </c>
      <c r="M139" s="47" t="s">
        <v>355</v>
      </c>
      <c r="N139" s="47" t="str">
        <f>_xlfn.LET(
    _xlpm.itemBuscado, B139,
    _xlpm.areaBuscada, C139,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TEXT(COUNTIF($C$2:C139, _xlpm.areaBuscada), "0000"),
    _xlpm.codItem &amp; "-" &amp; _xlpm.codArea &amp; "-" &amp; _xlpm.secuencia
)</f>
        <v>ZM-ES-FL-0043</v>
      </c>
      <c r="P139" s="15"/>
      <c r="R139" s="48"/>
    </row>
    <row r="140" spans="2:19" x14ac:dyDescent="0.3">
      <c r="B140" t="s">
        <v>20</v>
      </c>
      <c r="C140" s="11" t="s">
        <v>173</v>
      </c>
      <c r="D140" s="32"/>
      <c r="E140" s="11" t="s">
        <v>7</v>
      </c>
      <c r="F140" s="15" t="str">
        <f>_xlfn.TEXTJOIN(", ",TRUE, Tabla38[[#This Row],[Tipo de escalera]],Tabla38[[#This Row],[Longitud]],Tabla38[[#This Row],[Carga Maxima]])</f>
        <v>ESCALERA SIMPLE DE UN TRAMO, 12 PIES, 300 LB</v>
      </c>
      <c r="G140" s="15" t="s">
        <v>383</v>
      </c>
      <c r="H140" s="15" t="s">
        <v>472</v>
      </c>
      <c r="I140" s="15" t="s">
        <v>396</v>
      </c>
      <c r="J140" s="15" t="s">
        <v>318</v>
      </c>
      <c r="K140" s="47" t="s">
        <v>545</v>
      </c>
      <c r="L140" s="76" t="s">
        <v>355</v>
      </c>
      <c r="M140" s="47" t="s">
        <v>355</v>
      </c>
      <c r="N140" s="47" t="str">
        <f>_xlfn.LET(
    _xlpm.itemBuscado, B140,
    _xlpm.areaBuscada, C140,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TEXT(COUNTIF($C$2:C140, _xlpm.areaBuscada), "0000"),
    _xlpm.codItem &amp; "-" &amp; _xlpm.codArea &amp; "-" &amp; _xlpm.secuencia
)</f>
        <v>ZM-ES-FL-0044</v>
      </c>
      <c r="O140" s="77"/>
      <c r="P140" s="15"/>
      <c r="Q140" s="32"/>
      <c r="R140" s="48"/>
    </row>
    <row r="141" spans="2:19" x14ac:dyDescent="0.3">
      <c r="B141" t="s">
        <v>20</v>
      </c>
      <c r="C141" s="11" t="s">
        <v>173</v>
      </c>
      <c r="D141" s="32"/>
      <c r="E141" s="11" t="s">
        <v>7</v>
      </c>
      <c r="F141" t="str">
        <f>_xlfn.TEXTJOIN(", ",TRUE, Tabla38[[#This Row],[Tipo de escalera]],Tabla38[[#This Row],[Longitud]],Tabla38[[#This Row],[Carga Maxima]])</f>
        <v>ESCALERA SIMPLE DE UN TRAMO, 12 PIES, 300 LB</v>
      </c>
      <c r="G141" s="15" t="s">
        <v>383</v>
      </c>
      <c r="H141" s="15" t="s">
        <v>472</v>
      </c>
      <c r="I141" s="15" t="s">
        <v>396</v>
      </c>
      <c r="J141" s="15" t="s">
        <v>318</v>
      </c>
      <c r="K141" s="47" t="s">
        <v>545</v>
      </c>
      <c r="L141" s="76" t="s">
        <v>547</v>
      </c>
      <c r="M141" s="47" t="s">
        <v>355</v>
      </c>
      <c r="N141" s="78" t="str">
        <f>_xlfn.LET(
    _xlpm.itemBuscado, B141,
    _xlpm.areaBuscada, C141,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TEXT(COUNTIF($C$2:C141, _xlpm.areaBuscada), "0000"),
    _xlpm.codItem &amp; "-" &amp; _xlpm.codArea &amp; "-" &amp; _xlpm.secuencia
)</f>
        <v>ZM-ES-FL-0045</v>
      </c>
      <c r="O141" s="77"/>
      <c r="P141" s="32"/>
      <c r="Q141" s="32"/>
      <c r="R141" s="32"/>
      <c r="S141" s="32"/>
    </row>
    <row r="142" spans="2:19" x14ac:dyDescent="0.3">
      <c r="B142" t="s">
        <v>20</v>
      </c>
      <c r="C142" s="11" t="s">
        <v>173</v>
      </c>
      <c r="D142" s="32"/>
      <c r="E142" s="11" t="s">
        <v>7</v>
      </c>
      <c r="F142" t="str">
        <f>_xlfn.TEXTJOIN(", ",TRUE, Tabla38[[#This Row],[Tipo de escalera]],Tabla38[[#This Row],[Longitud]],Tabla38[[#This Row],[Carga Maxima]])</f>
        <v>ESCALERA EXTENSIBLE O TELESCÓPICA, 20 PIES, 90 KG</v>
      </c>
      <c r="G142" s="15" t="s">
        <v>385</v>
      </c>
      <c r="H142" t="s">
        <v>513</v>
      </c>
      <c r="I142" t="s">
        <v>548</v>
      </c>
      <c r="J142" s="15" t="s">
        <v>496</v>
      </c>
      <c r="K142" s="47" t="s">
        <v>549</v>
      </c>
      <c r="L142" s="76" t="s">
        <v>355</v>
      </c>
      <c r="M142" s="76" t="s">
        <v>355</v>
      </c>
      <c r="N142" s="78" t="str">
        <f>_xlfn.LET(
    _xlpm.itemBuscado, B142,
    _xlpm.areaBuscada, C142,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TEXT(COUNTIF($C$2:C142, _xlpm.areaBuscada), "0000"),
    _xlpm.codItem &amp; "-" &amp; _xlpm.codArea &amp; "-" &amp; _xlpm.secuencia
)</f>
        <v>ZM-ES-FL-0046</v>
      </c>
      <c r="O142" s="77"/>
      <c r="P142" s="32"/>
      <c r="Q142" s="32"/>
      <c r="R142" s="32"/>
      <c r="S142" s="32"/>
    </row>
    <row r="143" spans="2:19" x14ac:dyDescent="0.3">
      <c r="B143" t="s">
        <v>20</v>
      </c>
      <c r="C143" s="11" t="s">
        <v>173</v>
      </c>
      <c r="D143" s="32"/>
      <c r="E143" s="11" t="s">
        <v>7</v>
      </c>
      <c r="F143" t="str">
        <f>_xlfn.TEXTJOIN(", ",TRUE, Tabla38[[#This Row],[Tipo de escalera]],Tabla38[[#This Row],[Longitud]],Tabla38[[#This Row],[Carga Maxima]])</f>
        <v>ESCALERA EXTENSIBLE O TELESCÓPICA, 20 PIES, 90 KG</v>
      </c>
      <c r="G143" s="15" t="s">
        <v>385</v>
      </c>
      <c r="H143" t="s">
        <v>513</v>
      </c>
      <c r="I143" t="s">
        <v>548</v>
      </c>
      <c r="J143" s="15" t="s">
        <v>496</v>
      </c>
      <c r="K143" s="47" t="s">
        <v>549</v>
      </c>
      <c r="L143" s="76" t="s">
        <v>550</v>
      </c>
      <c r="M143" s="76" t="s">
        <v>355</v>
      </c>
      <c r="N143" s="78" t="str">
        <f>_xlfn.LET(
    _xlpm.itemBuscado, B143,
    _xlpm.areaBuscada, C143,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TEXT(COUNTIF($C$2:C143, _xlpm.areaBuscada), "0000"),
    _xlpm.codItem &amp; "-" &amp; _xlpm.codArea &amp; "-" &amp; _xlpm.secuencia
)</f>
        <v>ZM-ES-FL-0047</v>
      </c>
      <c r="O143" s="77"/>
      <c r="P143" s="32"/>
      <c r="Q143" s="32"/>
      <c r="R143" s="32"/>
      <c r="S143" s="32"/>
    </row>
    <row r="144" spans="2:19" x14ac:dyDescent="0.3">
      <c r="B144" t="s">
        <v>20</v>
      </c>
      <c r="C144" s="11" t="s">
        <v>173</v>
      </c>
      <c r="D144" s="32"/>
      <c r="E144" s="11" t="s">
        <v>7</v>
      </c>
      <c r="F144" t="str">
        <f>_xlfn.TEXTJOIN(", ",TRUE, Tabla38[[#This Row],[Tipo de escalera]],Tabla38[[#This Row],[Longitud]],Tabla38[[#This Row],[Carga Maxima]])</f>
        <v>ESCALERA EXTENSIBLE O TELESCÓPICA, 20 PIES, 90 KG</v>
      </c>
      <c r="G144" s="15" t="s">
        <v>385</v>
      </c>
      <c r="H144" t="s">
        <v>513</v>
      </c>
      <c r="I144" t="s">
        <v>548</v>
      </c>
      <c r="J144" s="15" t="s">
        <v>496</v>
      </c>
      <c r="K144" s="47" t="s">
        <v>549</v>
      </c>
      <c r="L144" s="76" t="s">
        <v>355</v>
      </c>
      <c r="M144" s="76" t="s">
        <v>355</v>
      </c>
      <c r="N144" s="78" t="str">
        <f>_xlfn.LET(
    _xlpm.itemBuscado, B144,
    _xlpm.areaBuscada, C144,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TEXT(COUNTIF($C$2:C144, _xlpm.areaBuscada), "0000"),
    _xlpm.codItem &amp; "-" &amp; _xlpm.codArea &amp; "-" &amp; _xlpm.secuencia
)</f>
        <v>ZM-ES-FL-0048</v>
      </c>
      <c r="O144" s="77"/>
      <c r="P144" s="32"/>
      <c r="Q144" s="32"/>
      <c r="R144" s="32"/>
      <c r="S144" s="32"/>
    </row>
    <row r="145" spans="2:19" x14ac:dyDescent="0.3">
      <c r="B145" t="s">
        <v>20</v>
      </c>
      <c r="C145" s="11" t="s">
        <v>173</v>
      </c>
      <c r="D145" s="32"/>
      <c r="E145" s="11" t="s">
        <v>7</v>
      </c>
      <c r="F145" t="str">
        <f>_xlfn.TEXTJOIN(", ",TRUE, Tabla38[[#This Row],[Tipo de escalera]],Tabla38[[#This Row],[Longitud]],Tabla38[[#This Row],[Carga Maxima]])</f>
        <v>ESCALERA EXTENSIBLE O TELESCÓPICA, 30 PIES, NO TIENE</v>
      </c>
      <c r="G145" s="15" t="s">
        <v>385</v>
      </c>
      <c r="H145" t="s">
        <v>551</v>
      </c>
      <c r="I145" t="s">
        <v>355</v>
      </c>
      <c r="J145" s="15" t="s">
        <v>318</v>
      </c>
      <c r="K145" s="47" t="s">
        <v>355</v>
      </c>
      <c r="L145" s="76" t="s">
        <v>355</v>
      </c>
      <c r="M145" s="76" t="s">
        <v>355</v>
      </c>
      <c r="N145" s="78" t="str">
        <f>_xlfn.LET(
    _xlpm.itemBuscado, B145,
    _xlpm.areaBuscada, C145,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TEXT(COUNTIF($C$2:C145, _xlpm.areaBuscada), "0000"),
    _xlpm.codItem &amp; "-" &amp; _xlpm.codArea &amp; "-" &amp; _xlpm.secuencia
)</f>
        <v>ZM-ES-FL-0049</v>
      </c>
      <c r="O145" s="77"/>
      <c r="P145" s="32"/>
      <c r="Q145" s="32"/>
      <c r="R145" s="32"/>
      <c r="S145" s="32"/>
    </row>
    <row r="146" spans="2:19" x14ac:dyDescent="0.3">
      <c r="B146" t="s">
        <v>20</v>
      </c>
      <c r="C146" s="11" t="s">
        <v>173</v>
      </c>
      <c r="D146" s="32"/>
      <c r="E146" s="11" t="s">
        <v>7</v>
      </c>
      <c r="F146" t="str">
        <f>_xlfn.TEXTJOIN(", ",TRUE, Tabla38[[#This Row],[Tipo de escalera]],Tabla38[[#This Row],[Longitud]],Tabla38[[#This Row],[Carga Maxima]])</f>
        <v>ESCALERA DOBLE O DE TIJERA, 10 PIES, 102 KG</v>
      </c>
      <c r="G146" s="15" t="s">
        <v>384</v>
      </c>
      <c r="H146" t="s">
        <v>538</v>
      </c>
      <c r="I146" t="s">
        <v>417</v>
      </c>
      <c r="J146" s="15" t="s">
        <v>496</v>
      </c>
      <c r="K146" s="47" t="s">
        <v>355</v>
      </c>
      <c r="L146" s="76" t="s">
        <v>552</v>
      </c>
      <c r="M146" s="76" t="s">
        <v>355</v>
      </c>
      <c r="N146" s="78" t="str">
        <f>_xlfn.LET(
    _xlpm.itemBuscado, B146,
    _xlpm.areaBuscada, C146,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TEXT(COUNTIF($C$2:C146, _xlpm.areaBuscada), "0000"),
    _xlpm.codItem &amp; "-" &amp; _xlpm.codArea &amp; "-" &amp; _xlpm.secuencia
)</f>
        <v>ZM-ES-FL-0050</v>
      </c>
      <c r="O146" s="77"/>
      <c r="P146" s="32"/>
      <c r="Q146" s="32"/>
      <c r="R146" s="32"/>
      <c r="S146" s="32"/>
    </row>
    <row r="147" spans="2:19" x14ac:dyDescent="0.3">
      <c r="B147" t="s">
        <v>20</v>
      </c>
      <c r="C147" s="11" t="s">
        <v>173</v>
      </c>
      <c r="D147" s="32"/>
      <c r="E147" s="11" t="s">
        <v>7</v>
      </c>
      <c r="F147" t="str">
        <f>_xlfn.TEXTJOIN(", ",TRUE, Tabla38[[#This Row],[Tipo de escalera]],Tabla38[[#This Row],[Longitud]],Tabla38[[#This Row],[Carga Maxima]])</f>
        <v>ESCALERA DOBLE O DE TIJERA, 10 PIES, 102 KG</v>
      </c>
      <c r="G147" s="15" t="s">
        <v>384</v>
      </c>
      <c r="H147" t="s">
        <v>538</v>
      </c>
      <c r="I147" t="s">
        <v>417</v>
      </c>
      <c r="J147" s="15" t="s">
        <v>496</v>
      </c>
      <c r="K147" s="47" t="s">
        <v>355</v>
      </c>
      <c r="L147" s="76" t="s">
        <v>553</v>
      </c>
      <c r="M147" s="76" t="s">
        <v>355</v>
      </c>
      <c r="N147" s="78" t="str">
        <f>_xlfn.LET(
    _xlpm.itemBuscado, B147,
    _xlpm.areaBuscada, C147,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TEXT(COUNTIF($C$2:C147, _xlpm.areaBuscada), "0000"),
    _xlpm.codItem &amp; "-" &amp; _xlpm.codArea &amp; "-" &amp; _xlpm.secuencia
)</f>
        <v>ZM-ES-FL-0051</v>
      </c>
      <c r="O147" s="77"/>
      <c r="P147" s="32"/>
      <c r="Q147" s="32"/>
      <c r="R147" s="32"/>
      <c r="S147" s="32"/>
    </row>
    <row r="148" spans="2:19" x14ac:dyDescent="0.3">
      <c r="B148" t="s">
        <v>20</v>
      </c>
      <c r="C148" s="11" t="s">
        <v>173</v>
      </c>
      <c r="D148" s="32"/>
      <c r="E148" s="11" t="s">
        <v>7</v>
      </c>
      <c r="F148" t="str">
        <f>_xlfn.TEXTJOIN(", ",TRUE, Tabla38[[#This Row],[Tipo de escalera]],Tabla38[[#This Row],[Longitud]],Tabla38[[#This Row],[Carga Maxima]])</f>
        <v>ESCALERA DOBLE O DE TIJERA, 10 PIES, 135 KG</v>
      </c>
      <c r="G148" s="15" t="s">
        <v>384</v>
      </c>
      <c r="H148" t="s">
        <v>538</v>
      </c>
      <c r="I148" t="s">
        <v>556</v>
      </c>
      <c r="J148" s="15" t="s">
        <v>318</v>
      </c>
      <c r="K148" s="47" t="s">
        <v>555</v>
      </c>
      <c r="L148" s="76" t="s">
        <v>554</v>
      </c>
      <c r="M148" s="76">
        <v>2886508852</v>
      </c>
      <c r="N148" s="78" t="str">
        <f>_xlfn.LET(
    _xlpm.itemBuscado, B148,
    _xlpm.areaBuscada, C148,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TEXT(COUNTIF($C$2:C148, _xlpm.areaBuscada), "0000"),
    _xlpm.codItem &amp; "-" &amp; _xlpm.codArea &amp; "-" &amp; _xlpm.secuencia
)</f>
        <v>ZM-ES-FL-0052</v>
      </c>
      <c r="O148" s="77"/>
      <c r="P148" s="32"/>
      <c r="Q148" s="32"/>
      <c r="R148" s="32"/>
      <c r="S148" s="32"/>
    </row>
    <row r="149" spans="2:19" x14ac:dyDescent="0.3">
      <c r="B149" t="s">
        <v>20</v>
      </c>
      <c r="C149" s="11" t="s">
        <v>173</v>
      </c>
      <c r="D149" s="32"/>
      <c r="E149" s="11" t="s">
        <v>7</v>
      </c>
      <c r="F149" t="str">
        <f>_xlfn.TEXTJOIN(", ",TRUE, Tabla38[[#This Row],[Tipo de escalera]],Tabla38[[#This Row],[Longitud]],Tabla38[[#This Row],[Carga Maxima]])</f>
        <v>ESCALERA DOBLE O DE TIJERA, 10 PIES, 102 KG</v>
      </c>
      <c r="G149" s="15" t="s">
        <v>384</v>
      </c>
      <c r="H149" t="s">
        <v>538</v>
      </c>
      <c r="I149" t="s">
        <v>417</v>
      </c>
      <c r="J149" s="15" t="s">
        <v>496</v>
      </c>
      <c r="K149" s="47" t="s">
        <v>557</v>
      </c>
      <c r="L149" s="76" t="s">
        <v>558</v>
      </c>
      <c r="M149" s="76" t="s">
        <v>355</v>
      </c>
      <c r="N149" s="78" t="str">
        <f>_xlfn.LET(
    _xlpm.itemBuscado, B149,
    _xlpm.areaBuscada, C149,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TEXT(COUNTIF($C$2:C149, _xlpm.areaBuscada), "0000"),
    _xlpm.codItem &amp; "-" &amp; _xlpm.codArea &amp; "-" &amp; _xlpm.secuencia
)</f>
        <v>ZM-ES-FL-0053</v>
      </c>
      <c r="O149" s="77"/>
      <c r="P149" s="32"/>
      <c r="Q149" s="32"/>
      <c r="R149" s="32"/>
      <c r="S149" s="32"/>
    </row>
    <row r="150" spans="2:19" x14ac:dyDescent="0.3">
      <c r="B150" t="s">
        <v>20</v>
      </c>
      <c r="C150" s="11" t="s">
        <v>173</v>
      </c>
      <c r="D150" s="32"/>
      <c r="E150" s="11" t="s">
        <v>7</v>
      </c>
      <c r="F150" t="str">
        <f>_xlfn.TEXTJOIN(", ",TRUE, Tabla38[[#This Row],[Tipo de escalera]],Tabla38[[#This Row],[Longitud]],Tabla38[[#This Row],[Carga Maxima]])</f>
        <v>ESCALERA DOBLE O DE TIJERA, 10 PIES, 102 KG</v>
      </c>
      <c r="G150" s="15" t="s">
        <v>384</v>
      </c>
      <c r="H150" t="s">
        <v>538</v>
      </c>
      <c r="I150" t="s">
        <v>417</v>
      </c>
      <c r="J150" s="15" t="s">
        <v>496</v>
      </c>
      <c r="K150" s="47" t="s">
        <v>557</v>
      </c>
      <c r="L150" s="76" t="s">
        <v>559</v>
      </c>
      <c r="M150" s="76" t="s">
        <v>355</v>
      </c>
      <c r="N150" s="78" t="str">
        <f>_xlfn.LET(
    _xlpm.itemBuscado, B150,
    _xlpm.areaBuscada, C150,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TEXT(COUNTIF($C$2:C150, _xlpm.areaBuscada), "0000"),
    _xlpm.codItem &amp; "-" &amp; _xlpm.codArea &amp; "-" &amp; _xlpm.secuencia
)</f>
        <v>ZM-ES-FL-0054</v>
      </c>
      <c r="O150" s="77"/>
      <c r="P150" s="32"/>
      <c r="Q150" s="32"/>
      <c r="R150" s="32"/>
      <c r="S150" s="32"/>
    </row>
    <row r="151" spans="2:19" x14ac:dyDescent="0.3">
      <c r="B151" t="s">
        <v>20</v>
      </c>
      <c r="C151" s="11" t="s">
        <v>173</v>
      </c>
      <c r="D151" s="32"/>
      <c r="E151" s="11" t="s">
        <v>7</v>
      </c>
      <c r="F151" t="str">
        <f>_xlfn.TEXTJOIN(", ",TRUE, Tabla38[[#This Row],[Tipo de escalera]],Tabla38[[#This Row],[Longitud]],Tabla38[[#This Row],[Carga Maxima]])</f>
        <v>ESCALERA DOBLE O DE TIJERA, 10 PIES, 102 KG</v>
      </c>
      <c r="G151" s="15" t="s">
        <v>384</v>
      </c>
      <c r="H151" t="s">
        <v>538</v>
      </c>
      <c r="I151" t="s">
        <v>417</v>
      </c>
      <c r="J151" s="15" t="s">
        <v>496</v>
      </c>
      <c r="K151" s="47" t="s">
        <v>557</v>
      </c>
      <c r="L151" s="76" t="s">
        <v>560</v>
      </c>
      <c r="M151" s="76" t="s">
        <v>355</v>
      </c>
      <c r="N151" s="78" t="str">
        <f>_xlfn.LET(
    _xlpm.itemBuscado, B151,
    _xlpm.areaBuscada, C151,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TEXT(COUNTIF($C$2:C151, _xlpm.areaBuscada), "0000"),
    _xlpm.codItem &amp; "-" &amp; _xlpm.codArea &amp; "-" &amp; _xlpm.secuencia
)</f>
        <v>ZM-ES-FL-0055</v>
      </c>
      <c r="O151" s="77"/>
      <c r="P151" s="32"/>
      <c r="Q151" s="32"/>
      <c r="R151" s="32"/>
      <c r="S151" s="32"/>
    </row>
    <row r="152" spans="2:19" x14ac:dyDescent="0.3">
      <c r="B152" t="s">
        <v>20</v>
      </c>
      <c r="C152" s="11" t="s">
        <v>173</v>
      </c>
      <c r="D152" s="32"/>
      <c r="E152" s="11" t="s">
        <v>7</v>
      </c>
      <c r="F152" t="str">
        <f>_xlfn.TEXTJOIN(", ",TRUE, Tabla38[[#This Row],[Tipo de escalera]],Tabla38[[#This Row],[Longitud]],Tabla38[[#This Row],[Carga Maxima]])</f>
        <v>ESCALERA DOBLE O DE TIJERA, 8 PIES, 136 KG</v>
      </c>
      <c r="G152" s="15" t="s">
        <v>384</v>
      </c>
      <c r="H152" t="s">
        <v>450</v>
      </c>
      <c r="I152" t="s">
        <v>430</v>
      </c>
      <c r="J152" s="15" t="s">
        <v>318</v>
      </c>
      <c r="K152" s="47" t="s">
        <v>330</v>
      </c>
      <c r="L152" s="76" t="s">
        <v>561</v>
      </c>
      <c r="M152" s="76">
        <v>2886508851</v>
      </c>
      <c r="N152" s="78" t="str">
        <f>_xlfn.LET(
    _xlpm.itemBuscado, B152,
    _xlpm.areaBuscada, C152,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TEXT(COUNTIF($C$2:C152, _xlpm.areaBuscada), "0000"),
    _xlpm.codItem &amp; "-" &amp; _xlpm.codArea &amp; "-" &amp; _xlpm.secuencia
)</f>
        <v>ZM-ES-FL-0056</v>
      </c>
      <c r="O152" s="77"/>
      <c r="P152" s="32"/>
      <c r="Q152" s="32"/>
      <c r="R152" s="32"/>
      <c r="S152" s="32"/>
    </row>
    <row r="153" spans="2:19" ht="43.2" x14ac:dyDescent="0.3">
      <c r="B153" t="s">
        <v>20</v>
      </c>
      <c r="C153" s="11" t="s">
        <v>181</v>
      </c>
      <c r="D153" s="32"/>
      <c r="E153" s="11" t="s">
        <v>7</v>
      </c>
      <c r="G153" s="15" t="s">
        <v>385</v>
      </c>
      <c r="H153" t="s">
        <v>562</v>
      </c>
      <c r="I153" t="s">
        <v>420</v>
      </c>
      <c r="J153" s="15" t="s">
        <v>318</v>
      </c>
      <c r="K153" s="47" t="s">
        <v>355</v>
      </c>
      <c r="L153" s="76" t="s">
        <v>563</v>
      </c>
      <c r="M153" s="76" t="s">
        <v>355</v>
      </c>
      <c r="N153" s="78" t="str">
        <f>_xlfn.LET(
    _xlpm.itemBuscado, B153,
    _xlpm.areaBuscada, C153,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TEXT(COUNTIF($C$2:C153, _xlpm.areaBuscada), "0000"),
    _xlpm.codItem &amp; "-" &amp; _xlpm.codArea &amp; "-" &amp; _xlpm.secuencia
)</f>
        <v>ZM-ES-RH-0001</v>
      </c>
      <c r="O153" s="77"/>
      <c r="P153" s="32"/>
      <c r="Q153" s="32"/>
      <c r="R153" s="32"/>
      <c r="S153" s="32"/>
    </row>
    <row r="154" spans="2:19" ht="43.2" x14ac:dyDescent="0.3">
      <c r="B154" t="s">
        <v>20</v>
      </c>
      <c r="C154" s="11" t="s">
        <v>181</v>
      </c>
      <c r="D154" s="32"/>
      <c r="E154" s="11" t="s">
        <v>7</v>
      </c>
      <c r="F154" t="str">
        <f>_xlfn.TEXTJOIN(", ",TRUE, Tabla38[[#This Row],[Tipo de escalera]],Tabla38[[#This Row],[Longitud]],Tabla38[[#This Row],[Carga Maxima]])</f>
        <v>ESCALERA DOBLE O DE TIJERA, 7 PIES, 225 LB</v>
      </c>
      <c r="G154" s="15" t="s">
        <v>384</v>
      </c>
      <c r="H154" t="s">
        <v>564</v>
      </c>
      <c r="I154" t="s">
        <v>468</v>
      </c>
      <c r="J154" s="15" t="s">
        <v>416</v>
      </c>
      <c r="K154" s="47" t="s">
        <v>355</v>
      </c>
      <c r="L154" s="76" t="s">
        <v>565</v>
      </c>
      <c r="M154" s="76">
        <v>7506240617143</v>
      </c>
      <c r="N154" s="78" t="str">
        <f>_xlfn.LET(
    _xlpm.itemBuscado, B154,
    _xlpm.areaBuscada, C154,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TEXT(COUNTIF($C$2:C154, _xlpm.areaBuscada), "0000"),
    _xlpm.codItem &amp; "-" &amp; _xlpm.codArea &amp; "-" &amp; _xlpm.secuencia
)</f>
        <v>ZM-ES-RH-0002</v>
      </c>
      <c r="O154" s="77"/>
      <c r="P154" s="32"/>
      <c r="Q154" s="32"/>
      <c r="R154" s="32"/>
      <c r="S154" s="32"/>
    </row>
    <row r="155" spans="2:19" x14ac:dyDescent="0.3">
      <c r="B155" t="s">
        <v>20</v>
      </c>
      <c r="C155" s="11" t="s">
        <v>892</v>
      </c>
      <c r="D155" s="32"/>
      <c r="E155" s="11" t="s">
        <v>7</v>
      </c>
      <c r="F155" t="str">
        <f>_xlfn.TEXTJOIN(", ",TRUE, Tabla38[[#This Row],[Tipo de escalera]],Tabla38[[#This Row],[Longitud]],Tabla38[[#This Row],[Carga Maxima]])</f>
        <v>ESCALERA DOBLE O DE TIJERA, 5'', 136KG</v>
      </c>
      <c r="G155" s="15" t="s">
        <v>384</v>
      </c>
      <c r="H155" t="s">
        <v>896</v>
      </c>
      <c r="I155" t="s">
        <v>895</v>
      </c>
      <c r="J155" s="15" t="s">
        <v>318</v>
      </c>
      <c r="K155" s="47" t="s">
        <v>894</v>
      </c>
      <c r="L155" s="76" t="s">
        <v>897</v>
      </c>
      <c r="M155" s="76">
        <v>72886512406</v>
      </c>
      <c r="N155" s="78" t="str">
        <f>_xlfn.LET(
    _xlpm.itemBuscado, B155,
    _xlpm.areaBuscada, C155,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TEXT(COUNTIF($C$2:C155, _xlpm.areaBuscada), "0000"),
    _xlpm.codItem &amp; "-" &amp; _xlpm.codArea &amp; "-" &amp; _xlpm.secuencia
)</f>
        <v>ZM-ES-VF-0001</v>
      </c>
      <c r="O155" s="77"/>
      <c r="P155" s="32" t="s">
        <v>901</v>
      </c>
      <c r="Q155" s="32"/>
      <c r="R155" s="32"/>
      <c r="S155" s="32"/>
    </row>
    <row r="156" spans="2:19" x14ac:dyDescent="0.3">
      <c r="B156" t="s">
        <v>20</v>
      </c>
      <c r="C156" s="11" t="s">
        <v>892</v>
      </c>
      <c r="D156" s="32"/>
      <c r="E156" s="11" t="s">
        <v>7</v>
      </c>
      <c r="F156" t="str">
        <f>_xlfn.TEXTJOIN(", ",TRUE, Tabla38[[#This Row],[Tipo de escalera]],Tabla38[[#This Row],[Longitud]],Tabla38[[#This Row],[Carga Maxima]])</f>
        <v>ESCALERA EXTENSIBLE O TELESCÓPICA, 7,3m/24'', 75kg</v>
      </c>
      <c r="G156" s="15" t="s">
        <v>385</v>
      </c>
      <c r="H156" t="s">
        <v>899</v>
      </c>
      <c r="I156" t="s">
        <v>898</v>
      </c>
      <c r="J156" s="15" t="s">
        <v>337</v>
      </c>
      <c r="K156" s="47"/>
      <c r="L156" s="76" t="s">
        <v>900</v>
      </c>
      <c r="M156" s="76"/>
      <c r="N156" s="78" t="str">
        <f>_xlfn.LET(
    _xlpm.itemBuscado, B156,
    _xlpm.areaBuscada, C156,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TEXT(COUNTIF($C$2:C156, _xlpm.areaBuscada), "0000"),
    _xlpm.codItem &amp; "-" &amp; _xlpm.codArea &amp; "-" &amp; _xlpm.secuencia
)</f>
        <v>ZM-ES-VF-0002</v>
      </c>
      <c r="O156" s="77"/>
      <c r="P156" s="32"/>
      <c r="Q156" s="32"/>
      <c r="R156" s="32"/>
      <c r="S156" s="32"/>
    </row>
    <row r="157" spans="2:19" x14ac:dyDescent="0.3">
      <c r="C157" s="11"/>
      <c r="D157" s="32"/>
      <c r="E157" s="11" t="s">
        <v>7</v>
      </c>
      <c r="F157" t="str">
        <f>_xlfn.TEXTJOIN(", ",TRUE, Tabla38[[#This Row],[Tipo de escalera]],Tabla38[[#This Row],[Longitud]],Tabla38[[#This Row],[Carga Maxima]])</f>
        <v/>
      </c>
      <c r="G157" s="15"/>
      <c r="J157" s="15"/>
      <c r="K157" s="47"/>
      <c r="L157" s="76"/>
      <c r="M157" s="76"/>
      <c r="N157" s="78" t="str">
        <f>_xlfn.LET(
    _xlpm.itemBuscado, B157,
    _xlpm.areaBuscada, C157,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TEXT(COUNTIF($C$2:C157, _xlpm.areaBuscada), "0000"),
    _xlpm.codItem &amp; "-" &amp; _xlpm.codArea &amp; "-" &amp; _xlpm.secuencia
)</f>
        <v>-SinArea-0000</v>
      </c>
      <c r="O157" s="77"/>
      <c r="P157" s="32"/>
      <c r="Q157" s="32"/>
      <c r="R157" s="32"/>
      <c r="S157" s="32"/>
    </row>
    <row r="158" spans="2:19" x14ac:dyDescent="0.3">
      <c r="C158" s="11"/>
      <c r="D158" s="32"/>
      <c r="E158" s="11" t="s">
        <v>7</v>
      </c>
      <c r="F158" t="str">
        <f>_xlfn.TEXTJOIN(", ",TRUE, Tabla38[[#This Row],[Tipo de escalera]],Tabla38[[#This Row],[Longitud]],Tabla38[[#This Row],[Carga Maxima]])</f>
        <v/>
      </c>
      <c r="G158" s="15"/>
      <c r="J158" s="15"/>
      <c r="K158" s="47"/>
      <c r="L158" s="76"/>
      <c r="M158" s="76"/>
      <c r="N158" s="78" t="str">
        <f>_xlfn.LET(
    _xlpm.itemBuscado, B158,
    _xlpm.areaBuscada, C158,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TEXT(COUNTIF($C$2:C158, _xlpm.areaBuscada), "0000"),
    _xlpm.codItem &amp; "-" &amp; _xlpm.codArea &amp; "-" &amp; _xlpm.secuencia
)</f>
        <v>-SinArea-0000</v>
      </c>
      <c r="O158" s="77"/>
      <c r="P158" s="32"/>
      <c r="Q158" s="32"/>
      <c r="R158" s="32"/>
      <c r="S158" s="32"/>
    </row>
    <row r="159" spans="2:19" x14ac:dyDescent="0.3">
      <c r="C159" s="11"/>
      <c r="D159" s="32"/>
      <c r="E159" s="11" t="s">
        <v>7</v>
      </c>
      <c r="F159" t="str">
        <f>_xlfn.TEXTJOIN(", ",TRUE, Tabla38[[#This Row],[Tipo de escalera]],Tabla38[[#This Row],[Longitud]],Tabla38[[#This Row],[Carga Maxima]])</f>
        <v/>
      </c>
      <c r="G159" s="15"/>
      <c r="J159" s="15"/>
      <c r="K159" s="47"/>
      <c r="L159" s="76"/>
      <c r="M159" s="76"/>
      <c r="N159" s="78" t="str">
        <f>_xlfn.LET(
    _xlpm.itemBuscado, B159,
    _xlpm.areaBuscada, C159,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TEXT(COUNTIF($C$2:C159, _xlpm.areaBuscada), "0000"),
    _xlpm.codItem &amp; "-" &amp; _xlpm.codArea &amp; "-" &amp; _xlpm.secuencia
)</f>
        <v>-SinArea-0000</v>
      </c>
      <c r="O159" s="77"/>
      <c r="P159" s="32"/>
      <c r="Q159" s="32"/>
      <c r="R159" s="32"/>
      <c r="S159" s="32"/>
    </row>
    <row r="160" spans="2:19" x14ac:dyDescent="0.3">
      <c r="C160" s="11"/>
      <c r="D160" s="32"/>
      <c r="E160" s="11" t="s">
        <v>7</v>
      </c>
      <c r="F160" t="str">
        <f>_xlfn.TEXTJOIN(", ",TRUE, Tabla38[[#This Row],[Tipo de escalera]],Tabla38[[#This Row],[Longitud]],Tabla38[[#This Row],[Carga Maxima]])</f>
        <v/>
      </c>
      <c r="G160" s="15"/>
      <c r="J160" s="15"/>
      <c r="K160" s="47"/>
      <c r="L160" s="76"/>
      <c r="M160" s="76"/>
      <c r="N160" s="78"/>
      <c r="O160" s="77"/>
      <c r="P160" s="32"/>
      <c r="Q160" s="32"/>
      <c r="R160" s="32"/>
      <c r="S160" s="32"/>
    </row>
    <row r="161" spans="3:19" x14ac:dyDescent="0.3">
      <c r="C161" s="11"/>
      <c r="D161" s="32"/>
      <c r="E161" s="11" t="s">
        <v>7</v>
      </c>
      <c r="F161" t="str">
        <f>_xlfn.TEXTJOIN(", ",TRUE, Tabla38[[#This Row],[Tipo de escalera]],Tabla38[[#This Row],[Longitud]],Tabla38[[#This Row],[Carga Maxima]])</f>
        <v/>
      </c>
      <c r="G161" s="15"/>
      <c r="J161" s="15"/>
      <c r="K161" s="47"/>
      <c r="L161" s="76"/>
      <c r="M161" s="76"/>
      <c r="N161" s="78"/>
      <c r="O161" s="77"/>
      <c r="P161" s="32"/>
      <c r="Q161" s="32"/>
      <c r="R161" s="32"/>
      <c r="S161" s="32"/>
    </row>
    <row r="162" spans="3:19" x14ac:dyDescent="0.3">
      <c r="C162" s="11"/>
      <c r="D162" s="32"/>
      <c r="E162" s="11" t="s">
        <v>7</v>
      </c>
      <c r="F162" t="str">
        <f>_xlfn.TEXTJOIN(", ",TRUE, Tabla38[[#This Row],[Tipo de escalera]],Tabla38[[#This Row],[Longitud]],Tabla38[[#This Row],[Carga Maxima]])</f>
        <v/>
      </c>
      <c r="G162" s="15"/>
      <c r="J162" s="15"/>
      <c r="K162" s="47"/>
      <c r="L162" s="76"/>
      <c r="M162" s="76"/>
      <c r="N162" s="78"/>
      <c r="O162" s="77"/>
      <c r="P162" s="32"/>
      <c r="Q162" s="32"/>
      <c r="R162" s="32"/>
      <c r="S162" s="32"/>
    </row>
    <row r="163" spans="3:19" x14ac:dyDescent="0.3">
      <c r="C163" s="11"/>
      <c r="D163" s="32"/>
      <c r="E163" s="11"/>
      <c r="F163" t="str">
        <f>_xlfn.TEXTJOIN(", ",TRUE, Tabla38[[#This Row],[Tipo de escalera]],Tabla38[[#This Row],[Longitud]],Tabla38[[#This Row],[Carga Maxima]])</f>
        <v/>
      </c>
      <c r="G163" s="15"/>
      <c r="J163" s="15"/>
      <c r="K163" s="47"/>
      <c r="L163" s="76"/>
      <c r="M163" s="76"/>
      <c r="N163" s="78"/>
      <c r="O163" s="77"/>
      <c r="P163" s="32"/>
      <c r="Q163" s="32"/>
      <c r="R163" s="32"/>
      <c r="S163" s="32"/>
    </row>
    <row r="164" spans="3:19" x14ac:dyDescent="0.3">
      <c r="C164" s="11"/>
      <c r="D164" s="32"/>
      <c r="E164" s="11"/>
      <c r="F164" t="str">
        <f>_xlfn.TEXTJOIN(", ",TRUE, Tabla38[[#This Row],[Tipo de escalera]],Tabla38[[#This Row],[Longitud]],Tabla38[[#This Row],[Carga Maxima]])</f>
        <v/>
      </c>
      <c r="G164" s="15"/>
      <c r="J164" s="15"/>
      <c r="K164" s="47"/>
      <c r="L164" s="76"/>
      <c r="M164" s="76"/>
      <c r="N164" s="78"/>
      <c r="O164" s="77"/>
      <c r="P164" s="32"/>
      <c r="Q164" s="32"/>
      <c r="R164" s="32"/>
      <c r="S164" s="32"/>
    </row>
    <row r="165" spans="3:19" x14ac:dyDescent="0.3">
      <c r="C165" s="11"/>
      <c r="D165" s="32"/>
      <c r="E165" s="11"/>
      <c r="F165" t="str">
        <f>_xlfn.TEXTJOIN(", ",TRUE, Tabla38[[#This Row],[Tipo de escalera]],Tabla38[[#This Row],[Longitud]],Tabla38[[#This Row],[Carga Maxima]])</f>
        <v/>
      </c>
      <c r="G165" s="15"/>
      <c r="J165" s="15"/>
      <c r="K165" s="47"/>
      <c r="L165" s="76"/>
      <c r="M165" s="76"/>
      <c r="N165" s="78"/>
      <c r="O165" s="77"/>
      <c r="P165" s="32"/>
      <c r="Q165" s="32"/>
      <c r="R165" s="32"/>
      <c r="S165" s="32"/>
    </row>
    <row r="166" spans="3:19" x14ac:dyDescent="0.3">
      <c r="C166" s="11"/>
      <c r="D166" s="32"/>
      <c r="E166" s="11"/>
      <c r="F166" t="str">
        <f>_xlfn.TEXTJOIN(", ",TRUE, Tabla38[[#This Row],[Tipo de escalera]],Tabla38[[#This Row],[Longitud]],Tabla38[[#This Row],[Carga Maxima]])</f>
        <v/>
      </c>
      <c r="G166" s="15"/>
      <c r="J166" s="15"/>
      <c r="K166" s="47"/>
      <c r="L166" s="76"/>
      <c r="M166" s="76"/>
      <c r="N166" s="78"/>
      <c r="O166" s="77"/>
      <c r="P166" s="32"/>
      <c r="Q166" s="32"/>
      <c r="R166" s="32"/>
      <c r="S166" s="32"/>
    </row>
    <row r="167" spans="3:19" x14ac:dyDescent="0.3">
      <c r="C167" s="11"/>
      <c r="D167" s="32"/>
      <c r="E167" s="11"/>
      <c r="F167" t="str">
        <f>_xlfn.TEXTJOIN(", ",TRUE, Tabla38[[#This Row],[Tipo de escalera]],Tabla38[[#This Row],[Longitud]],Tabla38[[#This Row],[Carga Maxima]])</f>
        <v/>
      </c>
      <c r="G167" s="15"/>
      <c r="J167" s="15"/>
      <c r="K167" s="47"/>
      <c r="L167" s="76"/>
      <c r="M167" s="76"/>
      <c r="N167" s="78" t="str">
        <f>_xlfn.LET(
    _xlpm.itemBuscado, B167,
    _xlpm.areaBuscada, C167,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TEXT(COUNTIF($C$2:C167, _xlpm.areaBuscada), "0000"),
    _xlpm.codItem &amp; "-" &amp; _xlpm.codArea &amp; "-" &amp; _xlpm.secuencia
)</f>
        <v>-SinArea-0000</v>
      </c>
      <c r="O167" s="77"/>
      <c r="P167" s="32"/>
      <c r="Q167" s="32"/>
      <c r="R167" s="32"/>
      <c r="S167" s="32"/>
    </row>
    <row r="168" spans="3:19" x14ac:dyDescent="0.3">
      <c r="C168" s="11"/>
      <c r="D168" s="32"/>
      <c r="E168" s="11"/>
      <c r="F168" t="str">
        <f>_xlfn.TEXTJOIN(", ",TRUE, Tabla38[[#This Row],[Tipo de escalera]],Tabla38[[#This Row],[Longitud]],Tabla38[[#This Row],[Carga Maxima]])</f>
        <v/>
      </c>
      <c r="G168" s="15"/>
      <c r="J168" s="15"/>
      <c r="K168" s="47"/>
      <c r="L168" s="76"/>
      <c r="M168" s="76"/>
      <c r="N168" s="78" t="str">
        <f>_xlfn.LET(
    _xlpm.itemBuscado, B168,
    _xlpm.areaBuscada, C168,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TEXT(COUNTIF($C$2:C168, _xlpm.areaBuscada), "0000"),
    _xlpm.codItem &amp; "-" &amp; _xlpm.codArea &amp; "-" &amp; _xlpm.secuencia
)</f>
        <v>-SinArea-0000</v>
      </c>
      <c r="O168" s="77"/>
      <c r="P168" s="32"/>
      <c r="Q168" s="32"/>
      <c r="R168" s="32"/>
      <c r="S168" s="32"/>
    </row>
    <row r="169" spans="3:19" x14ac:dyDescent="0.3">
      <c r="C169" s="11"/>
      <c r="D169" s="32"/>
      <c r="E169" s="11"/>
      <c r="F169" t="str">
        <f>_xlfn.TEXTJOIN(", ",TRUE, Tabla38[[#This Row],[Tipo de escalera]],Tabla38[[#This Row],[Longitud]],Tabla38[[#This Row],[Carga Maxima]])</f>
        <v/>
      </c>
      <c r="G169" s="15"/>
      <c r="J169" s="15"/>
      <c r="K169" s="47"/>
      <c r="L169" s="76"/>
      <c r="M169" s="76"/>
      <c r="N169" s="78" t="str">
        <f>_xlfn.LET(
    _xlpm.itemBuscado, B169,
    _xlpm.areaBuscada, C169,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TEXT(COUNTIF($C$2:C169, _xlpm.areaBuscada), "0000"),
    _xlpm.codItem &amp; "-" &amp; _xlpm.codArea &amp; "-" &amp; _xlpm.secuencia
)</f>
        <v>-SinArea-0000</v>
      </c>
      <c r="O169" s="77"/>
      <c r="P169" s="32"/>
      <c r="Q169" s="32"/>
      <c r="R169" s="32"/>
      <c r="S169" s="32"/>
    </row>
    <row r="170" spans="3:19" x14ac:dyDescent="0.3">
      <c r="C170" s="11"/>
      <c r="D170" s="32"/>
      <c r="E170" s="11"/>
      <c r="F170" t="str">
        <f>_xlfn.TEXTJOIN(", ",TRUE, Tabla38[[#This Row],[Tipo de escalera]],Tabla38[[#This Row],[Longitud]],Tabla38[[#This Row],[Carga Maxima]])</f>
        <v/>
      </c>
      <c r="G170" s="15"/>
      <c r="J170" s="15"/>
      <c r="K170" s="47"/>
      <c r="L170" s="76"/>
      <c r="M170" s="76"/>
      <c r="N170" s="78" t="str">
        <f>_xlfn.LET(
    _xlpm.itemBuscado, B170,
    _xlpm.areaBuscada, C170,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TEXT(COUNTIF($C$2:C170, _xlpm.areaBuscada), "0000"),
    _xlpm.codItem &amp; "-" &amp; _xlpm.codArea &amp; "-" &amp; _xlpm.secuencia
)</f>
        <v>-SinArea-0000</v>
      </c>
      <c r="O170" s="77"/>
      <c r="P170" s="32"/>
      <c r="Q170" s="32"/>
      <c r="R170" s="32"/>
      <c r="S170" s="32"/>
    </row>
    <row r="171" spans="3:19" x14ac:dyDescent="0.3">
      <c r="C171" s="11"/>
      <c r="D171" s="32"/>
      <c r="E171" s="11"/>
      <c r="F171" t="str">
        <f>_xlfn.TEXTJOIN(", ",TRUE, Tabla38[[#This Row],[Tipo de escalera]],Tabla38[[#This Row],[Longitud]],Tabla38[[#This Row],[Carga Maxima]])</f>
        <v/>
      </c>
      <c r="G171" s="15"/>
      <c r="J171" s="15"/>
      <c r="K171" s="47"/>
      <c r="L171" s="76"/>
      <c r="M171" s="76"/>
      <c r="N171" s="78" t="str">
        <f>_xlfn.LET(
    _xlpm.itemBuscado, B171,
    _xlpm.areaBuscada, C171,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TEXT(COUNTIF($C$2:C171, _xlpm.areaBuscada), "0000"),
    _xlpm.codItem &amp; "-" &amp; _xlpm.codArea &amp; "-" &amp; _xlpm.secuencia
)</f>
        <v>-SinArea-0000</v>
      </c>
      <c r="O171" s="77"/>
      <c r="P171" s="32"/>
      <c r="Q171" s="32"/>
      <c r="R171" s="32"/>
      <c r="S171" s="32"/>
    </row>
    <row r="172" spans="3:19" x14ac:dyDescent="0.3">
      <c r="C172" s="11"/>
      <c r="D172" s="32"/>
      <c r="E172" s="11"/>
      <c r="F172" t="str">
        <f>_xlfn.TEXTJOIN(", ",TRUE, Tabla38[[#This Row],[Tipo de escalera]],Tabla38[[#This Row],[Longitud]],Tabla38[[#This Row],[Carga Maxima]])</f>
        <v/>
      </c>
      <c r="G172" s="15"/>
      <c r="J172" s="15"/>
      <c r="K172" s="47"/>
      <c r="L172" s="76"/>
      <c r="M172" s="76"/>
      <c r="N172" s="78" t="str">
        <f>_xlfn.LET(
    _xlpm.itemBuscado, B172,
    _xlpm.areaBuscada, C172,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TEXT(COUNTIF($C$2:C172, _xlpm.areaBuscada), "0000"),
    _xlpm.codItem &amp; "-" &amp; _xlpm.codArea &amp; "-" &amp; _xlpm.secuencia
)</f>
        <v>-SinArea-0000</v>
      </c>
      <c r="O172" s="77"/>
      <c r="P172" s="32"/>
      <c r="Q172" s="32"/>
      <c r="R172" s="32"/>
      <c r="S172" s="32"/>
    </row>
    <row r="173" spans="3:19" x14ac:dyDescent="0.3">
      <c r="C173" s="11"/>
      <c r="D173" s="32"/>
      <c r="E173" s="11"/>
      <c r="F173" t="str">
        <f>_xlfn.TEXTJOIN(", ",TRUE, Tabla38[[#This Row],[Tipo de escalera]],Tabla38[[#This Row],[Longitud]],Tabla38[[#This Row],[Carga Maxima]])</f>
        <v/>
      </c>
      <c r="G173" s="15"/>
      <c r="J173" s="15"/>
      <c r="K173" s="47"/>
      <c r="L173" s="76"/>
      <c r="M173" s="76"/>
      <c r="N173" s="78" t="str">
        <f>_xlfn.LET(
    _xlpm.itemBuscado, B173,
    _xlpm.areaBuscada, C173,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TEXT(COUNTIF($C$2:C173, _xlpm.areaBuscada), "0000"),
    _xlpm.codItem &amp; "-" &amp; _xlpm.codArea &amp; "-" &amp; _xlpm.secuencia
)</f>
        <v>-SinArea-0000</v>
      </c>
      <c r="O173" s="77"/>
      <c r="P173" s="32"/>
      <c r="Q173" s="32"/>
      <c r="R173" s="32"/>
      <c r="S173" s="32"/>
    </row>
    <row r="174" spans="3:19" x14ac:dyDescent="0.3">
      <c r="C174" s="11"/>
      <c r="D174" s="32"/>
      <c r="E174" s="11"/>
      <c r="F174" t="str">
        <f>_xlfn.TEXTJOIN(", ",TRUE, Tabla38[[#This Row],[Tipo de escalera]],Tabla38[[#This Row],[Longitud]],Tabla38[[#This Row],[Carga Maxima]])</f>
        <v/>
      </c>
      <c r="G174" s="15"/>
      <c r="J174" s="15"/>
      <c r="K174" s="47"/>
      <c r="L174" s="76"/>
      <c r="M174" s="76"/>
      <c r="N174" s="78" t="str">
        <f>_xlfn.LET(
    _xlpm.itemBuscado, B174,
    _xlpm.areaBuscada, C174,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TEXT(COUNTIF($C$2:C174, _xlpm.areaBuscada), "0000"),
    _xlpm.codItem &amp; "-" &amp; _xlpm.codArea &amp; "-" &amp; _xlpm.secuencia
)</f>
        <v>-SinArea-0000</v>
      </c>
      <c r="O174" s="77"/>
      <c r="P174" s="32"/>
      <c r="Q174" s="32"/>
      <c r="R174" s="32"/>
      <c r="S174" s="32"/>
    </row>
    <row r="175" spans="3:19" x14ac:dyDescent="0.3">
      <c r="C175" s="11"/>
      <c r="D175" s="32"/>
      <c r="E175" s="11"/>
      <c r="F175" t="str">
        <f>_xlfn.TEXTJOIN(", ",TRUE, Tabla38[[#This Row],[Tipo de escalera]],Tabla38[[#This Row],[Longitud]],Tabla38[[#This Row],[Carga Maxima]])</f>
        <v/>
      </c>
      <c r="G175" s="15"/>
      <c r="J175" s="15"/>
      <c r="K175" s="47"/>
      <c r="L175" s="76"/>
      <c r="M175" s="76"/>
      <c r="N175" s="78" t="str">
        <f>_xlfn.LET(
    _xlpm.itemBuscado, B175,
    _xlpm.areaBuscada, C175,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TEXT(COUNTIF($C$2:C175, _xlpm.areaBuscada), "0000"),
    _xlpm.codItem &amp; "-" &amp; _xlpm.codArea &amp; "-" &amp; _xlpm.secuencia
)</f>
        <v>-SinArea-0000</v>
      </c>
      <c r="O175" s="77"/>
      <c r="P175" s="32"/>
      <c r="Q175" s="32"/>
      <c r="R175" s="32"/>
      <c r="S175" s="32"/>
    </row>
    <row r="176" spans="3:19" x14ac:dyDescent="0.3">
      <c r="C176" s="11"/>
      <c r="D176" s="32"/>
      <c r="E176" s="11"/>
      <c r="F176" t="str">
        <f>_xlfn.TEXTJOIN(", ",TRUE, Tabla38[[#This Row],[Tipo de escalera]],Tabla38[[#This Row],[Longitud]],Tabla38[[#This Row],[Carga Maxima]])</f>
        <v/>
      </c>
      <c r="G176" s="15"/>
      <c r="J176" s="15"/>
      <c r="K176" s="47"/>
      <c r="L176" s="76"/>
      <c r="M176" s="76"/>
      <c r="N176" s="78" t="str">
        <f>_xlfn.LET(
    _xlpm.itemBuscado, B176,
    _xlpm.areaBuscada, C176,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TEXT(COUNTIF($C$2:C176, _xlpm.areaBuscada), "0000"),
    _xlpm.codItem &amp; "-" &amp; _xlpm.codArea &amp; "-" &amp; _xlpm.secuencia
)</f>
        <v>-SinArea-0000</v>
      </c>
      <c r="O176" s="77"/>
      <c r="P176" s="32"/>
      <c r="Q176" s="32"/>
      <c r="R176" s="32"/>
      <c r="S176" s="32"/>
    </row>
    <row r="177" spans="3:19" x14ac:dyDescent="0.3">
      <c r="C177" s="11"/>
      <c r="D177" s="32"/>
      <c r="E177" s="11"/>
      <c r="F177" t="str">
        <f>_xlfn.TEXTJOIN(", ",TRUE, Tabla38[[#This Row],[Tipo de escalera]],Tabla38[[#This Row],[Longitud]],Tabla38[[#This Row],[Carga Maxima]])</f>
        <v/>
      </c>
      <c r="G177" s="15"/>
      <c r="J177" s="15"/>
      <c r="K177" s="47"/>
      <c r="L177" s="76"/>
      <c r="M177" s="76"/>
      <c r="N177" s="78" t="str">
        <f>_xlfn.LET(
    _xlpm.itemBuscado, B177,
    _xlpm.areaBuscada, C177,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TEXT(COUNTIF($C$2:C177, _xlpm.areaBuscada), "0000"),
    _xlpm.codItem &amp; "-" &amp; _xlpm.codArea &amp; "-" &amp; _xlpm.secuencia
)</f>
        <v>-SinArea-0000</v>
      </c>
      <c r="O177" s="77"/>
      <c r="P177" s="32"/>
      <c r="Q177" s="32"/>
      <c r="R177" s="32"/>
      <c r="S177" s="32"/>
    </row>
    <row r="178" spans="3:19" x14ac:dyDescent="0.3">
      <c r="C178" s="11"/>
      <c r="D178" s="32"/>
      <c r="E178" s="11"/>
      <c r="F178" t="str">
        <f>_xlfn.TEXTJOIN(", ",TRUE, Tabla38[[#This Row],[Tipo de escalera]],Tabla38[[#This Row],[Longitud]],Tabla38[[#This Row],[Carga Maxima]])</f>
        <v/>
      </c>
      <c r="G178" s="15"/>
      <c r="J178" s="15"/>
      <c r="K178" s="47"/>
      <c r="L178" s="76"/>
      <c r="M178" s="76"/>
      <c r="N178" s="78" t="str">
        <f>_xlfn.LET(
    _xlpm.itemBuscado, B178,
    _xlpm.areaBuscada, C178,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TEXT(COUNTIF($C$2:C178, _xlpm.areaBuscada), "0000"),
    _xlpm.codItem &amp; "-" &amp; _xlpm.codArea &amp; "-" &amp; _xlpm.secuencia
)</f>
        <v>-SinArea-0000</v>
      </c>
      <c r="O178" s="77"/>
      <c r="P178" s="32"/>
      <c r="Q178" s="32"/>
      <c r="R178" s="32"/>
      <c r="S178" s="32"/>
    </row>
    <row r="179" spans="3:19" x14ac:dyDescent="0.3">
      <c r="C179" s="11"/>
      <c r="D179" s="32"/>
      <c r="E179" s="11"/>
      <c r="F179" t="str">
        <f>_xlfn.TEXTJOIN(", ",TRUE, Tabla38[[#This Row],[Tipo de escalera]],Tabla38[[#This Row],[Longitud]],Tabla38[[#This Row],[Carga Maxima]])</f>
        <v/>
      </c>
      <c r="G179" s="15"/>
      <c r="J179" s="15"/>
      <c r="K179" s="47"/>
      <c r="L179" s="76"/>
      <c r="M179" s="76"/>
      <c r="N179" s="78" t="str">
        <f>_xlfn.LET(
    _xlpm.itemBuscado, B179,
    _xlpm.areaBuscada, C179,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TEXT(COUNTIF($C$2:C179, _xlpm.areaBuscada), "0000"),
    _xlpm.codItem &amp; "-" &amp; _xlpm.codArea &amp; "-" &amp; _xlpm.secuencia
)</f>
        <v>-SinArea-0000</v>
      </c>
      <c r="O179" s="77"/>
      <c r="P179" s="32"/>
      <c r="Q179" s="32"/>
      <c r="R179" s="32"/>
      <c r="S179" s="32"/>
    </row>
    <row r="180" spans="3:19" x14ac:dyDescent="0.3">
      <c r="C180" s="11"/>
      <c r="D180" s="32"/>
      <c r="E180" s="11"/>
      <c r="F180" t="str">
        <f>_xlfn.TEXTJOIN(", ",TRUE, Tabla38[[#This Row],[Tipo de escalera]],Tabla38[[#This Row],[Longitud]],Tabla38[[#This Row],[Carga Maxima]])</f>
        <v/>
      </c>
      <c r="G180" s="15"/>
      <c r="J180" s="15"/>
      <c r="K180" s="47"/>
      <c r="L180" s="76"/>
      <c r="M180" s="76"/>
      <c r="N180" s="78" t="str">
        <f>_xlfn.LET(
    _xlpm.itemBuscado, B180,
    _xlpm.areaBuscada, C180,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TEXT(COUNTIF($C$2:C180, _xlpm.areaBuscada), "0000"),
    _xlpm.codItem &amp; "-" &amp; _xlpm.codArea &amp; "-" &amp; _xlpm.secuencia
)</f>
        <v>-SinArea-0000</v>
      </c>
      <c r="O180" s="77"/>
      <c r="P180" s="32"/>
      <c r="Q180" s="32"/>
      <c r="R180" s="32"/>
      <c r="S180" s="32"/>
    </row>
    <row r="181" spans="3:19" x14ac:dyDescent="0.3">
      <c r="C181" s="11"/>
      <c r="D181" s="32"/>
      <c r="E181" s="11"/>
      <c r="F181" t="str">
        <f>_xlfn.TEXTJOIN(", ",TRUE, Tabla38[[#This Row],[Tipo de escalera]],Tabla38[[#This Row],[Longitud]],Tabla38[[#This Row],[Carga Maxima]])</f>
        <v/>
      </c>
      <c r="G181" s="15"/>
      <c r="J181" s="15"/>
      <c r="K181" s="47"/>
      <c r="L181" s="76"/>
      <c r="M181" s="76"/>
      <c r="N181" s="78" t="str">
        <f>_xlfn.LET(
    _xlpm.itemBuscado, B181,
    _xlpm.areaBuscada, C181,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TEXT(COUNTIF($C$2:C181, _xlpm.areaBuscada), "0000"),
    _xlpm.codItem &amp; "-" &amp; _xlpm.codArea &amp; "-" &amp; _xlpm.secuencia
)</f>
        <v>-SinArea-0000</v>
      </c>
      <c r="O181" s="77"/>
      <c r="P181" s="32"/>
      <c r="Q181" s="32"/>
      <c r="R181" s="32"/>
      <c r="S181" s="32"/>
    </row>
    <row r="182" spans="3:19" x14ac:dyDescent="0.3">
      <c r="C182" s="11"/>
      <c r="D182" s="32"/>
      <c r="E182" s="11"/>
      <c r="F182" t="str">
        <f>_xlfn.TEXTJOIN(", ",TRUE, Tabla38[[#This Row],[Tipo de escalera]],Tabla38[[#This Row],[Longitud]],Tabla38[[#This Row],[Carga Maxima]])</f>
        <v/>
      </c>
      <c r="G182" s="15"/>
      <c r="J182" s="15"/>
      <c r="K182" s="47"/>
      <c r="L182" s="76"/>
      <c r="M182" s="76"/>
      <c r="N182" s="78" t="str">
        <f>_xlfn.LET(
    _xlpm.itemBuscado, B182,
    _xlpm.areaBuscada, C182,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TEXT(COUNTIF($C$2:C182, _xlpm.areaBuscada), "0000"),
    _xlpm.codItem &amp; "-" &amp; _xlpm.codArea &amp; "-" &amp; _xlpm.secuencia
)</f>
        <v>-SinArea-0000</v>
      </c>
      <c r="O182" s="77"/>
      <c r="P182" s="32"/>
      <c r="Q182" s="32"/>
      <c r="R182" s="32"/>
      <c r="S182" s="32"/>
    </row>
    <row r="183" spans="3:19" x14ac:dyDescent="0.3">
      <c r="C183" s="11"/>
      <c r="D183" s="32"/>
      <c r="E183" s="11"/>
      <c r="F183" t="str">
        <f>_xlfn.TEXTJOIN(", ",TRUE, Tabla38[[#This Row],[Tipo de escalera]],Tabla38[[#This Row],[Longitud]],Tabla38[[#This Row],[Carga Maxima]])</f>
        <v/>
      </c>
      <c r="G183" s="15"/>
      <c r="J183" s="15"/>
      <c r="K183" s="47"/>
      <c r="L183" s="76"/>
      <c r="M183" s="76"/>
      <c r="N183" s="78" t="str">
        <f>_xlfn.LET(
    _xlpm.itemBuscado, B183,
    _xlpm.areaBuscada, C183,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TEXT(COUNTIF($C$2:C183, _xlpm.areaBuscada), "0000"),
    _xlpm.codItem &amp; "-" &amp; _xlpm.codArea &amp; "-" &amp; _xlpm.secuencia
)</f>
        <v>-SinArea-0000</v>
      </c>
      <c r="O183" s="77"/>
      <c r="P183" s="32"/>
      <c r="Q183" s="32"/>
      <c r="R183" s="32"/>
      <c r="S183" s="32"/>
    </row>
    <row r="184" spans="3:19" x14ac:dyDescent="0.3">
      <c r="C184" s="11"/>
      <c r="D184" s="32"/>
      <c r="E184" s="11"/>
      <c r="F184" t="str">
        <f>_xlfn.TEXTJOIN(", ",TRUE, Tabla38[[#This Row],[Tipo de escalera]],Tabla38[[#This Row],[Longitud]],Tabla38[[#This Row],[Carga Maxima]])</f>
        <v/>
      </c>
      <c r="G184" s="15"/>
      <c r="J184" s="15"/>
      <c r="K184" s="47"/>
      <c r="L184" s="76"/>
      <c r="M184" s="76"/>
      <c r="N184" s="78" t="str">
        <f>_xlfn.LET(
    _xlpm.itemBuscado, B184,
    _xlpm.areaBuscada, C184,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TEXT(COUNTIF($C$2:C184, _xlpm.areaBuscada), "0000"),
    _xlpm.codItem &amp; "-" &amp; _xlpm.codArea &amp; "-" &amp; _xlpm.secuencia
)</f>
        <v>-SinArea-0000</v>
      </c>
      <c r="O184" s="77"/>
      <c r="P184" s="32"/>
      <c r="Q184" s="32"/>
      <c r="R184" s="32"/>
      <c r="S184" s="32"/>
    </row>
    <row r="185" spans="3:19" x14ac:dyDescent="0.3">
      <c r="C185" s="11"/>
      <c r="D185" s="32"/>
      <c r="E185" s="11"/>
      <c r="F185" t="str">
        <f>_xlfn.TEXTJOIN(", ",TRUE, Tabla38[[#This Row],[Tipo de escalera]],Tabla38[[#This Row],[Longitud]],Tabla38[[#This Row],[Carga Maxima]])</f>
        <v/>
      </c>
      <c r="G185" s="15"/>
      <c r="J185" s="15"/>
      <c r="K185" s="47"/>
      <c r="L185" s="76"/>
      <c r="M185" s="76"/>
      <c r="N185" s="78" t="str">
        <f>_xlfn.LET(
    _xlpm.itemBuscado, B185,
    _xlpm.areaBuscada, C185,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TEXT(COUNTIF($C$2:C185, _xlpm.areaBuscada), "0000"),
    _xlpm.codItem &amp; "-" &amp; _xlpm.codArea &amp; "-" &amp; _xlpm.secuencia
)</f>
        <v>-SinArea-0000</v>
      </c>
      <c r="O185" s="77"/>
      <c r="P185" s="32"/>
      <c r="Q185" s="32"/>
      <c r="R185" s="32"/>
      <c r="S185" s="32"/>
    </row>
    <row r="186" spans="3:19" x14ac:dyDescent="0.3">
      <c r="C186" s="11"/>
      <c r="D186" s="32"/>
      <c r="E186" s="11"/>
      <c r="F186" t="str">
        <f>_xlfn.TEXTJOIN(", ",TRUE, Tabla38[[#This Row],[Tipo de escalera]],Tabla38[[#This Row],[Longitud]],Tabla38[[#This Row],[Carga Maxima]])</f>
        <v/>
      </c>
      <c r="G186" s="15"/>
      <c r="J186" s="15"/>
      <c r="K186" s="47"/>
      <c r="L186" s="76"/>
      <c r="M186" s="76"/>
      <c r="N186" s="78" t="str">
        <f>_xlfn.LET(
    _xlpm.itemBuscado, B186,
    _xlpm.areaBuscada, C186,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TEXT(COUNTIF($C$2:C186, _xlpm.areaBuscada), "0000"),
    _xlpm.codItem &amp; "-" &amp; _xlpm.codArea &amp; "-" &amp; _xlpm.secuencia
)</f>
        <v>-SinArea-0000</v>
      </c>
      <c r="O186" s="77"/>
      <c r="P186" s="32"/>
      <c r="Q186" s="32"/>
      <c r="R186" s="32"/>
      <c r="S186" s="32"/>
    </row>
    <row r="187" spans="3:19" x14ac:dyDescent="0.3">
      <c r="C187" s="11"/>
      <c r="D187" s="32"/>
      <c r="E187" s="11"/>
      <c r="F187" t="str">
        <f>_xlfn.TEXTJOIN(", ",TRUE, Tabla38[[#This Row],[Tipo de escalera]],Tabla38[[#This Row],[Longitud]],Tabla38[[#This Row],[Carga Maxima]])</f>
        <v/>
      </c>
      <c r="G187" s="15"/>
      <c r="J187" s="15"/>
      <c r="K187" s="47"/>
      <c r="L187" s="76"/>
      <c r="M187" s="76"/>
      <c r="N187" s="78" t="str">
        <f>_xlfn.LET(
    _xlpm.itemBuscado, B187,
    _xlpm.areaBuscada, C187,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TEXT(COUNTIF($C$2:C187, _xlpm.areaBuscada), "0000"),
    _xlpm.codItem &amp; "-" &amp; _xlpm.codArea &amp; "-" &amp; _xlpm.secuencia
)</f>
        <v>-SinArea-0000</v>
      </c>
      <c r="O187" s="77"/>
      <c r="P187" s="32"/>
      <c r="Q187" s="32"/>
      <c r="R187" s="32"/>
      <c r="S187" s="32"/>
    </row>
    <row r="188" spans="3:19" x14ac:dyDescent="0.3">
      <c r="C188" s="11"/>
      <c r="D188" s="32"/>
      <c r="E188" s="11"/>
      <c r="F188" t="str">
        <f>_xlfn.TEXTJOIN(", ",TRUE, Tabla38[[#This Row],[Tipo de escalera]],Tabla38[[#This Row],[Longitud]],Tabla38[[#This Row],[Carga Maxima]])</f>
        <v/>
      </c>
      <c r="G188" s="15"/>
      <c r="J188" s="15"/>
      <c r="K188" s="47"/>
      <c r="L188" s="76"/>
      <c r="M188" s="76"/>
      <c r="N188" s="78" t="str">
        <f>_xlfn.LET(
    _xlpm.itemBuscado, B188,
    _xlpm.areaBuscada, C188,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TEXT(COUNTIF($C$2:C188, _xlpm.areaBuscada), "0000"),
    _xlpm.codItem &amp; "-" &amp; _xlpm.codArea &amp; "-" &amp; _xlpm.secuencia
)</f>
        <v>-SinArea-0000</v>
      </c>
      <c r="O188" s="77"/>
      <c r="P188" s="32"/>
      <c r="Q188" s="32"/>
      <c r="R188" s="32"/>
      <c r="S188" s="32"/>
    </row>
    <row r="189" spans="3:19" x14ac:dyDescent="0.3">
      <c r="C189" s="11"/>
      <c r="D189" s="32"/>
      <c r="E189" s="11"/>
      <c r="F189" t="str">
        <f>_xlfn.TEXTJOIN(", ",TRUE, Tabla38[[#This Row],[Tipo de escalera]],Tabla38[[#This Row],[Longitud]],Tabla38[[#This Row],[Carga Maxima]])</f>
        <v/>
      </c>
      <c r="G189" s="15"/>
      <c r="J189" s="15"/>
      <c r="K189" s="47"/>
      <c r="L189" s="76"/>
      <c r="M189" s="76"/>
      <c r="N189" s="78" t="str">
        <f>_xlfn.LET(
    _xlpm.itemBuscado, B189,
    _xlpm.areaBuscada, C189,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TEXT(COUNTIF($C$2:C189, _xlpm.areaBuscada), "0000"),
    _xlpm.codItem &amp; "-" &amp; _xlpm.codArea &amp; "-" &amp; _xlpm.secuencia
)</f>
        <v>-SinArea-0000</v>
      </c>
      <c r="O189" s="77"/>
      <c r="P189" s="32"/>
      <c r="Q189" s="32"/>
      <c r="R189" s="32"/>
      <c r="S189" s="32"/>
    </row>
    <row r="190" spans="3:19" x14ac:dyDescent="0.3">
      <c r="C190" s="11"/>
      <c r="D190" s="32"/>
      <c r="E190" s="11"/>
      <c r="F190" t="str">
        <f>_xlfn.TEXTJOIN(", ",TRUE, Tabla38[[#This Row],[Tipo de escalera]],Tabla38[[#This Row],[Longitud]],Tabla38[[#This Row],[Carga Maxima]])</f>
        <v/>
      </c>
      <c r="G190" s="15"/>
      <c r="J190" s="15"/>
      <c r="K190" s="47"/>
      <c r="L190" s="76"/>
      <c r="M190" s="76"/>
      <c r="N190" s="78" t="str">
        <f>_xlfn.LET(
    _xlpm.itemBuscado, B190,
    _xlpm.areaBuscada, C190,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TEXT(COUNTIF($C$2:C190, _xlpm.areaBuscada), "0000"),
    _xlpm.codItem &amp; "-" &amp; _xlpm.codArea &amp; "-" &amp; _xlpm.secuencia
)</f>
        <v>-SinArea-0000</v>
      </c>
      <c r="O190" s="77"/>
      <c r="P190" s="32"/>
      <c r="Q190" s="32"/>
      <c r="R190" s="32"/>
      <c r="S190" s="32"/>
    </row>
    <row r="191" spans="3:19" x14ac:dyDescent="0.3">
      <c r="C191" s="11"/>
      <c r="D191" s="32"/>
      <c r="E191" s="11"/>
      <c r="F191" t="str">
        <f>_xlfn.TEXTJOIN(", ",TRUE, Tabla38[[#This Row],[Tipo de escalera]],Tabla38[[#This Row],[Longitud]],Tabla38[[#This Row],[Carga Maxima]])</f>
        <v/>
      </c>
      <c r="G191" s="15"/>
      <c r="J191" s="15"/>
      <c r="K191" s="47"/>
      <c r="L191" s="76"/>
      <c r="M191" s="76"/>
      <c r="N191" s="78" t="str">
        <f>_xlfn.LET(
    _xlpm.itemBuscado, B191,
    _xlpm.areaBuscada, C191,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TEXT(COUNTIF($C$2:C191, _xlpm.areaBuscada), "0000"),
    _xlpm.codItem &amp; "-" &amp; _xlpm.codArea &amp; "-" &amp; _xlpm.secuencia
)</f>
        <v>-SinArea-0000</v>
      </c>
      <c r="O191" s="77"/>
      <c r="P191" s="32"/>
      <c r="Q191" s="32"/>
      <c r="R191" s="32"/>
      <c r="S191" s="32"/>
    </row>
    <row r="192" spans="3:19" x14ac:dyDescent="0.3">
      <c r="C192" s="11"/>
      <c r="D192" s="32"/>
      <c r="E192" s="11"/>
      <c r="F192" t="str">
        <f>_xlfn.TEXTJOIN(", ",TRUE, Tabla38[[#This Row],[Tipo de escalera]],Tabla38[[#This Row],[Longitud]],Tabla38[[#This Row],[Carga Maxima]])</f>
        <v/>
      </c>
      <c r="G192" s="15"/>
      <c r="J192" s="15"/>
      <c r="K192" s="47"/>
      <c r="L192" s="76"/>
      <c r="M192" s="76"/>
      <c r="N192" s="78" t="str">
        <f>_xlfn.LET(
    _xlpm.itemBuscado, B192,
    _xlpm.areaBuscada, C192,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TEXT(COUNTIF($C$2:C192, _xlpm.areaBuscada), "0000"),
    _xlpm.codItem &amp; "-" &amp; _xlpm.codArea &amp; "-" &amp; _xlpm.secuencia
)</f>
        <v>-SinArea-0000</v>
      </c>
      <c r="O192" s="77"/>
      <c r="P192" s="32"/>
      <c r="Q192" s="32"/>
      <c r="R192" s="32"/>
      <c r="S192" s="32"/>
    </row>
    <row r="193" spans="3:19" x14ac:dyDescent="0.3">
      <c r="C193" s="11"/>
      <c r="D193" s="32"/>
      <c r="E193" s="11"/>
      <c r="F193" t="str">
        <f>_xlfn.TEXTJOIN(", ",TRUE, Tabla38[[#This Row],[Tipo de escalera]],Tabla38[[#This Row],[Longitud]],Tabla38[[#This Row],[Carga Maxima]])</f>
        <v/>
      </c>
      <c r="G193" s="15"/>
      <c r="J193" s="15"/>
      <c r="K193" s="47"/>
      <c r="L193" s="76"/>
      <c r="M193" s="76"/>
      <c r="N193" s="78" t="str">
        <f>_xlfn.LET(
    _xlpm.itemBuscado, B193,
    _xlpm.areaBuscada, C193,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TEXT(COUNTIF($C$2:C193, _xlpm.areaBuscada), "0000"),
    _xlpm.codItem &amp; "-" &amp; _xlpm.codArea &amp; "-" &amp; _xlpm.secuencia
)</f>
        <v>-SinArea-0000</v>
      </c>
      <c r="O193" s="77"/>
      <c r="P193" s="32"/>
      <c r="Q193" s="32"/>
      <c r="R193" s="32"/>
      <c r="S193" s="32"/>
    </row>
    <row r="194" spans="3:19" x14ac:dyDescent="0.3">
      <c r="C194" s="11"/>
      <c r="D194" s="32"/>
      <c r="E194" s="11"/>
      <c r="F194" t="str">
        <f>_xlfn.TEXTJOIN(", ",TRUE, Tabla38[[#This Row],[Tipo de escalera]],Tabla38[[#This Row],[Longitud]],Tabla38[[#This Row],[Carga Maxima]])</f>
        <v/>
      </c>
      <c r="G194" s="15"/>
      <c r="J194" s="15"/>
      <c r="K194" s="47"/>
      <c r="L194" s="76"/>
      <c r="M194" s="76"/>
      <c r="N194" s="78" t="str">
        <f>_xlfn.LET(
    _xlpm.itemBuscado, B194,
    _xlpm.areaBuscada, C194,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TEXT(COUNTIF($C$2:C194, _xlpm.areaBuscada), "0000"),
    _xlpm.codItem &amp; "-" &amp; _xlpm.codArea &amp; "-" &amp; _xlpm.secuencia
)</f>
        <v>-SinArea-0000</v>
      </c>
      <c r="O194" s="77"/>
      <c r="P194" s="32"/>
      <c r="Q194" s="32"/>
      <c r="R194" s="32"/>
      <c r="S194" s="32"/>
    </row>
    <row r="195" spans="3:19" x14ac:dyDescent="0.3">
      <c r="C195" s="11"/>
      <c r="D195" s="32"/>
      <c r="E195" s="11"/>
      <c r="F195" t="str">
        <f>_xlfn.TEXTJOIN(", ",TRUE, Tabla38[[#This Row],[Tipo de escalera]],Tabla38[[#This Row],[Longitud]],Tabla38[[#This Row],[Carga Maxima]])</f>
        <v/>
      </c>
      <c r="G195" s="15"/>
      <c r="J195" s="15"/>
      <c r="K195" s="47"/>
      <c r="L195" s="76"/>
      <c r="M195" s="76"/>
      <c r="N195" s="78" t="str">
        <f>_xlfn.LET(
    _xlpm.itemBuscado, B195,
    _xlpm.areaBuscada, C195,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TEXT(COUNTIF($C$2:C195, _xlpm.areaBuscada), "0000"),
    _xlpm.codItem &amp; "-" &amp; _xlpm.codArea &amp; "-" &amp; _xlpm.secuencia
)</f>
        <v>-SinArea-0000</v>
      </c>
      <c r="O195" s="77"/>
      <c r="P195" s="32"/>
      <c r="Q195" s="32"/>
      <c r="R195" s="32"/>
      <c r="S195" s="32"/>
    </row>
    <row r="196" spans="3:19" x14ac:dyDescent="0.3">
      <c r="C196" s="11"/>
      <c r="D196" s="32"/>
      <c r="E196" s="11"/>
      <c r="F196" t="str">
        <f>_xlfn.TEXTJOIN(", ",TRUE, Tabla38[[#This Row],[Tipo de escalera]],Tabla38[[#This Row],[Longitud]],Tabla38[[#This Row],[Carga Maxima]])</f>
        <v/>
      </c>
      <c r="G196" s="15"/>
      <c r="J196" s="15"/>
      <c r="K196" s="47"/>
      <c r="L196" s="76"/>
      <c r="M196" s="76"/>
      <c r="N196" s="78" t="str">
        <f>_xlfn.LET(
    _xlpm.itemBuscado, B196,
    _xlpm.areaBuscada, C196,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TEXT(COUNTIF($C$2:C196, _xlpm.areaBuscada), "0000"),
    _xlpm.codItem &amp; "-" &amp; _xlpm.codArea &amp; "-" &amp; _xlpm.secuencia
)</f>
        <v>-SinArea-0000</v>
      </c>
      <c r="O196" s="77"/>
      <c r="P196" s="32"/>
      <c r="Q196" s="32"/>
      <c r="R196" s="32"/>
      <c r="S196" s="32"/>
    </row>
    <row r="197" spans="3:19" x14ac:dyDescent="0.3">
      <c r="C197" s="11"/>
      <c r="D197" s="32"/>
      <c r="E197" s="11"/>
      <c r="F197" t="str">
        <f>_xlfn.TEXTJOIN(", ",TRUE, Tabla38[[#This Row],[Tipo de escalera]],Tabla38[[#This Row],[Longitud]],Tabla38[[#This Row],[Carga Maxima]])</f>
        <v/>
      </c>
      <c r="G197" s="15"/>
      <c r="J197" s="15"/>
      <c r="K197" s="47"/>
      <c r="L197" s="76"/>
      <c r="M197" s="76"/>
      <c r="N197" s="78" t="str">
        <f>_xlfn.LET(
    _xlpm.itemBuscado, B197,
    _xlpm.areaBuscada, C197,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TEXT(COUNTIF($C$2:C197, _xlpm.areaBuscada), "0000"),
    _xlpm.codItem &amp; "-" &amp; _xlpm.codArea &amp; "-" &amp; _xlpm.secuencia
)</f>
        <v>-SinArea-0000</v>
      </c>
      <c r="O197" s="77"/>
      <c r="P197" s="32"/>
      <c r="Q197" s="32"/>
      <c r="R197" s="32"/>
      <c r="S197" s="32"/>
    </row>
    <row r="198" spans="3:19" x14ac:dyDescent="0.3">
      <c r="C198" s="11"/>
      <c r="D198" s="32"/>
      <c r="E198" s="11"/>
      <c r="F198" t="str">
        <f>_xlfn.TEXTJOIN(", ",TRUE, Tabla38[[#This Row],[Tipo de escalera]],Tabla38[[#This Row],[Longitud]],Tabla38[[#This Row],[Carga Maxima]])</f>
        <v/>
      </c>
      <c r="G198" s="15"/>
      <c r="J198" s="15"/>
      <c r="K198" s="47"/>
      <c r="L198" s="76"/>
      <c r="M198" s="76"/>
      <c r="N198" s="78" t="str">
        <f>_xlfn.LET(
    _xlpm.itemBuscado, B198,
    _xlpm.areaBuscada, C198,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TEXT(COUNTIF($C$2:C198, _xlpm.areaBuscada), "0000"),
    _xlpm.codItem &amp; "-" &amp; _xlpm.codArea &amp; "-" &amp; _xlpm.secuencia
)</f>
        <v>-SinArea-0000</v>
      </c>
      <c r="O198" s="77"/>
      <c r="P198" s="32"/>
      <c r="Q198" s="32"/>
      <c r="R198" s="32"/>
      <c r="S198" s="32"/>
    </row>
    <row r="199" spans="3:19" x14ac:dyDescent="0.3">
      <c r="C199" s="11"/>
      <c r="D199" s="32"/>
      <c r="E199" s="11"/>
      <c r="F199" t="str">
        <f>_xlfn.TEXTJOIN(", ",TRUE, Tabla38[[#This Row],[Tipo de escalera]],Tabla38[[#This Row],[Longitud]],Tabla38[[#This Row],[Carga Maxima]])</f>
        <v/>
      </c>
      <c r="G199" s="15"/>
      <c r="J199" s="15"/>
      <c r="K199" s="47"/>
      <c r="L199" s="76"/>
      <c r="M199" s="76"/>
      <c r="N199" s="78" t="str">
        <f>_xlfn.LET(
    _xlpm.itemBuscado, B199,
    _xlpm.areaBuscada, C199,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TEXT(COUNTIF($C$2:C199, _xlpm.areaBuscada), "0000"),
    _xlpm.codItem &amp; "-" &amp; _xlpm.codArea &amp; "-" &amp; _xlpm.secuencia
)</f>
        <v>-SinArea-0000</v>
      </c>
      <c r="O199" s="77"/>
      <c r="P199" s="32"/>
      <c r="Q199" s="32"/>
      <c r="R199" s="32"/>
      <c r="S199" s="32"/>
    </row>
    <row r="200" spans="3:19" x14ac:dyDescent="0.3">
      <c r="C200" s="11"/>
      <c r="D200" s="32"/>
      <c r="E200" s="11"/>
      <c r="F200" t="str">
        <f>_xlfn.TEXTJOIN(", ",TRUE, Tabla38[[#This Row],[Tipo de escalera]],Tabla38[[#This Row],[Longitud]],Tabla38[[#This Row],[Carga Maxima]])</f>
        <v/>
      </c>
      <c r="G200" s="15"/>
      <c r="J200" s="15"/>
      <c r="K200" s="47"/>
      <c r="L200" s="76"/>
      <c r="M200" s="76"/>
      <c r="N200" s="78" t="str">
        <f>_xlfn.LET(
    _xlpm.itemBuscado, B200,
    _xlpm.areaBuscada, C200,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TEXT(COUNTIF($C$2:C200, _xlpm.areaBuscada), "0000"),
    _xlpm.codItem &amp; "-" &amp; _xlpm.codArea &amp; "-" &amp; _xlpm.secuencia
)</f>
        <v>-SinArea-0000</v>
      </c>
      <c r="O200" s="77"/>
      <c r="P200" s="32"/>
      <c r="Q200" s="32"/>
      <c r="R200" s="32"/>
      <c r="S200" s="32"/>
    </row>
    <row r="201" spans="3:19" x14ac:dyDescent="0.3">
      <c r="C201" s="11"/>
      <c r="D201" s="32"/>
      <c r="E201" s="11"/>
      <c r="F201" t="str">
        <f>_xlfn.TEXTJOIN(", ",TRUE, Tabla38[[#This Row],[Tipo de escalera]],Tabla38[[#This Row],[Longitud]],Tabla38[[#This Row],[Carga Maxima]])</f>
        <v/>
      </c>
      <c r="G201" s="15"/>
      <c r="J201" s="15"/>
      <c r="K201" s="47"/>
      <c r="L201" s="76"/>
      <c r="M201" s="76"/>
      <c r="N201" s="78" t="str">
        <f>_xlfn.LET(
    _xlpm.itemBuscado, B201,
    _xlpm.areaBuscada, C201,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TEXT(COUNTIF($C$2:C201, _xlpm.areaBuscada), "0000"),
    _xlpm.codItem &amp; "-" &amp; _xlpm.codArea &amp; "-" &amp; _xlpm.secuencia
)</f>
        <v>-SinArea-0000</v>
      </c>
      <c r="O201" s="77"/>
      <c r="P201" s="32"/>
      <c r="Q201" s="32"/>
      <c r="R201" s="32"/>
      <c r="S201" s="32"/>
    </row>
    <row r="202" spans="3:19" x14ac:dyDescent="0.3">
      <c r="C202" s="11"/>
      <c r="D202" s="32"/>
      <c r="E202" s="11"/>
      <c r="F202" t="str">
        <f>_xlfn.TEXTJOIN(", ",TRUE, Tabla38[[#This Row],[Tipo de escalera]],Tabla38[[#This Row],[Longitud]],Tabla38[[#This Row],[Carga Maxima]])</f>
        <v/>
      </c>
      <c r="G202" s="15"/>
      <c r="J202" s="15"/>
      <c r="K202" s="47"/>
      <c r="L202" s="76"/>
      <c r="M202" s="76"/>
      <c r="N202" s="78" t="str">
        <f>_xlfn.LET(
    _xlpm.itemBuscado, B202,
    _xlpm.areaBuscada, C202,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TEXT(COUNTIF($C$2:C202, _xlpm.areaBuscada), "0000"),
    _xlpm.codItem &amp; "-" &amp; _xlpm.codArea &amp; "-" &amp; _xlpm.secuencia
)</f>
        <v>-SinArea-0000</v>
      </c>
      <c r="O202" s="77"/>
      <c r="P202" s="32"/>
      <c r="Q202" s="32"/>
      <c r="R202" s="32"/>
      <c r="S202" s="32"/>
    </row>
    <row r="203" spans="3:19" x14ac:dyDescent="0.3">
      <c r="C203" s="11"/>
      <c r="D203" s="32"/>
      <c r="E203" s="11"/>
      <c r="F203" t="str">
        <f>_xlfn.TEXTJOIN(", ",TRUE, Tabla38[[#This Row],[Tipo de escalera]],Tabla38[[#This Row],[Longitud]],Tabla38[[#This Row],[Carga Maxima]])</f>
        <v/>
      </c>
      <c r="G203" s="15"/>
      <c r="J203" s="15"/>
      <c r="K203" s="47"/>
      <c r="L203" s="76"/>
      <c r="M203" s="76"/>
      <c r="N203" s="78" t="str">
        <f>_xlfn.LET(
    _xlpm.itemBuscado, B203,
    _xlpm.areaBuscada, C203,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TEXT(COUNTIF($C$2:C203, _xlpm.areaBuscada), "0000"),
    _xlpm.codItem &amp; "-" &amp; _xlpm.codArea &amp; "-" &amp; _xlpm.secuencia
)</f>
        <v>-SinArea-0000</v>
      </c>
      <c r="O203" s="77"/>
      <c r="P203" s="32"/>
      <c r="Q203" s="32"/>
      <c r="R203" s="32"/>
      <c r="S203" s="32"/>
    </row>
    <row r="204" spans="3:19" x14ac:dyDescent="0.3">
      <c r="C204" s="11"/>
      <c r="D204" s="32"/>
      <c r="E204" s="11"/>
      <c r="F204" t="str">
        <f>_xlfn.TEXTJOIN(", ",TRUE, Tabla38[[#This Row],[Tipo de escalera]],Tabla38[[#This Row],[Longitud]],Tabla38[[#This Row],[Carga Maxima]])</f>
        <v/>
      </c>
      <c r="G204" s="15"/>
      <c r="J204" s="15"/>
      <c r="K204" s="47"/>
      <c r="L204" s="76"/>
      <c r="M204" s="76"/>
      <c r="N204" s="78" t="str">
        <f>_xlfn.LET(
    _xlpm.itemBuscado, B204,
    _xlpm.areaBuscada, C204,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TEXT(COUNTIF($C$2:C204, _xlpm.areaBuscada), "0000"),
    _xlpm.codItem &amp; "-" &amp; _xlpm.codArea &amp; "-" &amp; _xlpm.secuencia
)</f>
        <v>-SinArea-0000</v>
      </c>
      <c r="O204" s="77"/>
      <c r="P204" s="32"/>
      <c r="Q204" s="32"/>
      <c r="R204" s="32"/>
      <c r="S204" s="32"/>
    </row>
    <row r="205" spans="3:19" x14ac:dyDescent="0.3">
      <c r="C205" s="11"/>
      <c r="D205" s="32"/>
      <c r="E205" s="11"/>
      <c r="F205" t="str">
        <f>_xlfn.TEXTJOIN(", ",TRUE, Tabla38[[#This Row],[Tipo de escalera]],Tabla38[[#This Row],[Longitud]],Tabla38[[#This Row],[Carga Maxima]])</f>
        <v/>
      </c>
      <c r="G205" s="15"/>
      <c r="J205" s="15"/>
      <c r="K205" s="47"/>
      <c r="L205" s="76"/>
      <c r="M205" s="76"/>
      <c r="N205" s="78" t="str">
        <f>_xlfn.LET(
    _xlpm.itemBuscado, B205,
    _xlpm.areaBuscada, C205,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TEXT(COUNTIF($C$2:C205, _xlpm.areaBuscada), "0000"),
    _xlpm.codItem &amp; "-" &amp; _xlpm.codArea &amp; "-" &amp; _xlpm.secuencia
)</f>
        <v>-SinArea-0000</v>
      </c>
      <c r="O205" s="77"/>
      <c r="P205" s="32"/>
      <c r="Q205" s="32"/>
      <c r="R205" s="32"/>
      <c r="S205" s="32"/>
    </row>
    <row r="206" spans="3:19" x14ac:dyDescent="0.3">
      <c r="C206" s="11"/>
      <c r="D206" s="32"/>
      <c r="E206" s="11"/>
      <c r="F206" t="str">
        <f>_xlfn.TEXTJOIN(", ",TRUE, Tabla38[[#This Row],[Tipo de escalera]],Tabla38[[#This Row],[Longitud]],Tabla38[[#This Row],[Carga Maxima]])</f>
        <v/>
      </c>
      <c r="G206" s="15"/>
      <c r="J206" s="15"/>
      <c r="K206" s="47"/>
      <c r="L206" s="76"/>
      <c r="M206" s="76"/>
      <c r="N206" s="78" t="str">
        <f>_xlfn.LET(
    _xlpm.itemBuscado, B206,
    _xlpm.areaBuscada, C206,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TEXT(COUNTIF($C$2:C206, _xlpm.areaBuscada), "0000"),
    _xlpm.codItem &amp; "-" &amp; _xlpm.codArea &amp; "-" &amp; _xlpm.secuencia
)</f>
        <v>-SinArea-0000</v>
      </c>
      <c r="O206" s="77"/>
      <c r="P206" s="32"/>
      <c r="Q206" s="32"/>
      <c r="R206" s="32"/>
      <c r="S206" s="32"/>
    </row>
    <row r="207" spans="3:19" x14ac:dyDescent="0.3">
      <c r="C207" s="11"/>
      <c r="D207" s="32"/>
      <c r="E207" s="11"/>
      <c r="F207" t="str">
        <f>_xlfn.TEXTJOIN(", ",TRUE, Tabla38[[#This Row],[Tipo de escalera]],Tabla38[[#This Row],[Longitud]],Tabla38[[#This Row],[Carga Maxima]])</f>
        <v/>
      </c>
      <c r="G207" s="15"/>
      <c r="J207" s="15"/>
      <c r="K207" s="47"/>
      <c r="L207" s="76"/>
      <c r="M207" s="76"/>
      <c r="N207" s="78" t="str">
        <f>_xlfn.LET(
    _xlpm.itemBuscado, B207,
    _xlpm.areaBuscada, C207,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TEXT(COUNTIF($C$2:C207, _xlpm.areaBuscada), "0000"),
    _xlpm.codItem &amp; "-" &amp; _xlpm.codArea &amp; "-" &amp; _xlpm.secuencia
)</f>
        <v>-SinArea-0000</v>
      </c>
      <c r="O207" s="77"/>
      <c r="P207" s="32"/>
      <c r="Q207" s="32"/>
      <c r="R207" s="32"/>
      <c r="S207" s="32"/>
    </row>
    <row r="208" spans="3:19" x14ac:dyDescent="0.3">
      <c r="C208" s="11"/>
      <c r="D208" s="32"/>
      <c r="E208" s="11"/>
      <c r="F208" t="str">
        <f>_xlfn.TEXTJOIN(", ",TRUE, Tabla38[[#This Row],[Tipo de escalera]],Tabla38[[#This Row],[Longitud]],Tabla38[[#This Row],[Carga Maxima]])</f>
        <v/>
      </c>
      <c r="G208" s="15"/>
      <c r="J208" s="15"/>
      <c r="K208" s="47"/>
      <c r="L208" s="76"/>
      <c r="M208" s="76"/>
      <c r="N208" s="78" t="str">
        <f>_xlfn.LET(
    _xlpm.itemBuscado, B208,
    _xlpm.areaBuscada, C208,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TEXT(COUNTIF($C$2:C208, _xlpm.areaBuscada), "0000"),
    _xlpm.codItem &amp; "-" &amp; _xlpm.codArea &amp; "-" &amp; _xlpm.secuencia
)</f>
        <v>-SinArea-0000</v>
      </c>
      <c r="O208" s="77"/>
      <c r="P208" s="32"/>
      <c r="Q208" s="32"/>
      <c r="R208" s="32"/>
      <c r="S208" s="32"/>
    </row>
    <row r="209" spans="3:19" x14ac:dyDescent="0.3">
      <c r="C209" s="11"/>
      <c r="D209" s="32"/>
      <c r="E209" s="11"/>
      <c r="F209" t="str">
        <f>_xlfn.TEXTJOIN(", ",TRUE, Tabla38[[#This Row],[Tipo de escalera]],Tabla38[[#This Row],[Longitud]],Tabla38[[#This Row],[Carga Maxima]])</f>
        <v/>
      </c>
      <c r="G209" s="15"/>
      <c r="J209" s="15"/>
      <c r="K209" s="47"/>
      <c r="L209" s="76"/>
      <c r="M209" s="76"/>
      <c r="N209" s="78" t="str">
        <f>_xlfn.LET(
    _xlpm.itemBuscado, B209,
    _xlpm.areaBuscada, C209,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TEXT(COUNTIF($C$2:C209, _xlpm.areaBuscada), "0000"),
    _xlpm.codItem &amp; "-" &amp; _xlpm.codArea &amp; "-" &amp; _xlpm.secuencia
)</f>
        <v>-SinArea-0000</v>
      </c>
      <c r="O209" s="77"/>
      <c r="P209" s="32"/>
      <c r="Q209" s="32"/>
      <c r="R209" s="32"/>
      <c r="S209" s="32"/>
    </row>
    <row r="210" spans="3:19" x14ac:dyDescent="0.3">
      <c r="C210" s="11"/>
      <c r="D210" s="32"/>
      <c r="E210" s="11"/>
      <c r="F210" t="str">
        <f>_xlfn.TEXTJOIN(", ",TRUE, Tabla38[[#This Row],[Tipo de escalera]],Tabla38[[#This Row],[Longitud]],Tabla38[[#This Row],[Carga Maxima]])</f>
        <v/>
      </c>
      <c r="G210" s="15"/>
      <c r="J210" s="15"/>
      <c r="K210" s="47"/>
      <c r="L210" s="76"/>
      <c r="M210" s="76"/>
      <c r="N210" s="78" t="str">
        <f>_xlfn.LET(
    _xlpm.itemBuscado, B210,
    _xlpm.areaBuscada, C210,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TEXT(COUNTIF($C$2:C210, _xlpm.areaBuscada), "0000"),
    _xlpm.codItem &amp; "-" &amp; _xlpm.codArea &amp; "-" &amp; _xlpm.secuencia
)</f>
        <v>-SinArea-0000</v>
      </c>
      <c r="O210" s="77"/>
      <c r="P210" s="32"/>
      <c r="Q210" s="32"/>
      <c r="R210" s="32"/>
      <c r="S210" s="32"/>
    </row>
    <row r="211" spans="3:19" x14ac:dyDescent="0.3">
      <c r="C211" s="11"/>
      <c r="D211" s="32"/>
      <c r="E211" s="11"/>
      <c r="F211" t="str">
        <f>_xlfn.TEXTJOIN(", ",TRUE, Tabla38[[#This Row],[Tipo de escalera]],Tabla38[[#This Row],[Longitud]],Tabla38[[#This Row],[Carga Maxima]])</f>
        <v/>
      </c>
      <c r="G211" s="15"/>
      <c r="J211" s="15"/>
      <c r="K211" s="47"/>
      <c r="L211" s="76"/>
      <c r="M211" s="76"/>
      <c r="N211" s="78" t="str">
        <f>_xlfn.LET(
    _xlpm.itemBuscado, B211,
    _xlpm.areaBuscada, C211,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TEXT(COUNTIF($C$2:C211, _xlpm.areaBuscada), "0000"),
    _xlpm.codItem &amp; "-" &amp; _xlpm.codArea &amp; "-" &amp; _xlpm.secuencia
)</f>
        <v>-SinArea-0000</v>
      </c>
      <c r="O211" s="77"/>
      <c r="P211" s="32"/>
      <c r="Q211" s="32"/>
      <c r="R211" s="32"/>
      <c r="S211" s="32"/>
    </row>
    <row r="212" spans="3:19" x14ac:dyDescent="0.3">
      <c r="C212" s="11"/>
      <c r="D212" s="32"/>
      <c r="E212" s="11"/>
      <c r="F212" t="str">
        <f>_xlfn.TEXTJOIN(", ",TRUE, Tabla38[[#This Row],[Tipo de escalera]],Tabla38[[#This Row],[Longitud]],Tabla38[[#This Row],[Carga Maxima]])</f>
        <v/>
      </c>
      <c r="G212" s="15"/>
      <c r="J212" s="15"/>
      <c r="K212" s="47"/>
      <c r="L212" s="76"/>
      <c r="M212" s="76"/>
      <c r="N212" s="78" t="str">
        <f>_xlfn.LET(
    _xlpm.itemBuscado, B212,
    _xlpm.areaBuscada, C212,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TEXT(COUNTIF($C$2:C212, _xlpm.areaBuscada), "0000"),
    _xlpm.codItem &amp; "-" &amp; _xlpm.codArea &amp; "-" &amp; _xlpm.secuencia
)</f>
        <v>-SinArea-0000</v>
      </c>
      <c r="O212" s="77"/>
      <c r="P212" s="32"/>
      <c r="Q212" s="32"/>
      <c r="R212" s="32"/>
      <c r="S212" s="32"/>
    </row>
    <row r="213" spans="3:19" x14ac:dyDescent="0.3">
      <c r="C213" s="11"/>
      <c r="D213" s="32"/>
      <c r="E213" s="11"/>
      <c r="F213" t="str">
        <f>_xlfn.TEXTJOIN(", ",TRUE, Tabla38[[#This Row],[Tipo de escalera]],Tabla38[[#This Row],[Longitud]],Tabla38[[#This Row],[Carga Maxima]])</f>
        <v/>
      </c>
      <c r="G213" s="15"/>
      <c r="J213" s="15"/>
      <c r="K213" s="47"/>
      <c r="L213" s="76"/>
      <c r="M213" s="76"/>
      <c r="N213" s="78" t="str">
        <f>_xlfn.LET(
    _xlpm.itemBuscado, B213,
    _xlpm.areaBuscada, C213,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TEXT(COUNTIF($C$2:C213, _xlpm.areaBuscada), "0000"),
    _xlpm.codItem &amp; "-" &amp; _xlpm.codArea &amp; "-" &amp; _xlpm.secuencia
)</f>
        <v>-SinArea-0000</v>
      </c>
      <c r="O213" s="77"/>
      <c r="P213" s="32"/>
      <c r="Q213" s="32"/>
      <c r="R213" s="32"/>
      <c r="S213" s="32"/>
    </row>
    <row r="214" spans="3:19" x14ac:dyDescent="0.3">
      <c r="C214" s="11"/>
      <c r="D214" s="32"/>
      <c r="E214" s="11"/>
      <c r="F214" t="str">
        <f>_xlfn.TEXTJOIN(", ",TRUE, Tabla38[[#This Row],[Tipo de escalera]],Tabla38[[#This Row],[Longitud]],Tabla38[[#This Row],[Carga Maxima]])</f>
        <v/>
      </c>
      <c r="G214" s="15"/>
      <c r="J214" s="15"/>
      <c r="K214" s="47"/>
      <c r="L214" s="76"/>
      <c r="M214" s="76"/>
      <c r="N214" s="78" t="str">
        <f>_xlfn.LET(
    _xlpm.itemBuscado, B214,
    _xlpm.areaBuscada, C214,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TEXT(COUNTIF($C$2:C214, _xlpm.areaBuscada), "0000"),
    _xlpm.codItem &amp; "-" &amp; _xlpm.codArea &amp; "-" &amp; _xlpm.secuencia
)</f>
        <v>-SinArea-0000</v>
      </c>
      <c r="O214" s="77"/>
      <c r="P214" s="32"/>
      <c r="Q214" s="32"/>
      <c r="R214" s="32"/>
      <c r="S214" s="32"/>
    </row>
    <row r="215" spans="3:19" x14ac:dyDescent="0.3">
      <c r="C215" s="11"/>
      <c r="D215" s="32"/>
      <c r="E215" s="11"/>
      <c r="F215" t="str">
        <f>_xlfn.TEXTJOIN(", ",TRUE, Tabla38[[#This Row],[Tipo de escalera]],Tabla38[[#This Row],[Longitud]],Tabla38[[#This Row],[Carga Maxima]])</f>
        <v/>
      </c>
      <c r="G215" s="15"/>
      <c r="J215" s="15"/>
      <c r="K215" s="47"/>
      <c r="L215" s="76"/>
      <c r="M215" s="76"/>
      <c r="N215" s="78" t="str">
        <f>_xlfn.LET(
    _xlpm.itemBuscado, B215,
    _xlpm.areaBuscada, C215,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TEXT(COUNTIF($C$2:C215, _xlpm.areaBuscada), "0000"),
    _xlpm.codItem &amp; "-" &amp; _xlpm.codArea &amp; "-" &amp; _xlpm.secuencia
)</f>
        <v>-SinArea-0000</v>
      </c>
      <c r="O215" s="77"/>
      <c r="P215" s="32"/>
      <c r="Q215" s="32"/>
      <c r="R215" s="32"/>
      <c r="S215" s="32"/>
    </row>
    <row r="216" spans="3:19" x14ac:dyDescent="0.3">
      <c r="C216" s="11"/>
      <c r="D216" s="32"/>
      <c r="E216" s="11"/>
      <c r="F216" t="str">
        <f>_xlfn.TEXTJOIN(", ",TRUE, Tabla38[[#This Row],[Tipo de escalera]],Tabla38[[#This Row],[Longitud]],Tabla38[[#This Row],[Carga Maxima]])</f>
        <v/>
      </c>
      <c r="G216" s="15"/>
      <c r="J216" s="15"/>
      <c r="K216" s="47"/>
      <c r="L216" s="76"/>
      <c r="M216" s="76"/>
      <c r="N216" s="78" t="str">
        <f>_xlfn.LET(
    _xlpm.itemBuscado, B216,
    _xlpm.areaBuscada, C216,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TEXT(COUNTIF($C$2:C216, _xlpm.areaBuscada), "0000"),
    _xlpm.codItem &amp; "-" &amp; _xlpm.codArea &amp; "-" &amp; _xlpm.secuencia
)</f>
        <v>-SinArea-0000</v>
      </c>
      <c r="O216" s="77"/>
      <c r="P216" s="32"/>
      <c r="Q216" s="32"/>
      <c r="R216" s="32"/>
      <c r="S216" s="32"/>
    </row>
    <row r="217" spans="3:19" x14ac:dyDescent="0.3">
      <c r="C217" s="11"/>
      <c r="D217" s="32"/>
      <c r="E217" s="11"/>
      <c r="F217" t="str">
        <f>_xlfn.TEXTJOIN(", ",TRUE, Tabla38[[#This Row],[Tipo de escalera]],Tabla38[[#This Row],[Longitud]],Tabla38[[#This Row],[Carga Maxima]])</f>
        <v/>
      </c>
      <c r="G217" s="15"/>
      <c r="J217" s="15"/>
      <c r="K217" s="47"/>
      <c r="L217" s="76"/>
      <c r="M217" s="76"/>
      <c r="N217" s="78" t="str">
        <f>_xlfn.LET(
    _xlpm.itemBuscado, B217,
    _xlpm.areaBuscada, C217,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TEXT(COUNTIF($C$2:C217, _xlpm.areaBuscada), "0000"),
    _xlpm.codItem &amp; "-" &amp; _xlpm.codArea &amp; "-" &amp; _xlpm.secuencia
)</f>
        <v>-SinArea-0000</v>
      </c>
      <c r="O217" s="77"/>
      <c r="P217" s="32"/>
      <c r="Q217" s="32"/>
      <c r="R217" s="32"/>
      <c r="S217" s="32"/>
    </row>
    <row r="218" spans="3:19" x14ac:dyDescent="0.3">
      <c r="C218" s="11"/>
      <c r="D218" s="32"/>
      <c r="E218" s="11"/>
      <c r="F218" t="str">
        <f>_xlfn.TEXTJOIN(", ",TRUE, Tabla38[[#This Row],[Tipo de escalera]],Tabla38[[#This Row],[Longitud]],Tabla38[[#This Row],[Carga Maxima]])</f>
        <v/>
      </c>
      <c r="G218" s="15"/>
      <c r="J218" s="15"/>
      <c r="K218" s="47"/>
      <c r="L218" s="76"/>
      <c r="M218" s="76"/>
      <c r="N218" s="78" t="str">
        <f>_xlfn.LET(
    _xlpm.itemBuscado, B218,
    _xlpm.areaBuscada, C218,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TEXT(COUNTIF($C$2:C218, _xlpm.areaBuscada), "0000"),
    _xlpm.codItem &amp; "-" &amp; _xlpm.codArea &amp; "-" &amp; _xlpm.secuencia
)</f>
        <v>-SinArea-0000</v>
      </c>
      <c r="O218" s="77"/>
      <c r="P218" s="32"/>
      <c r="Q218" s="32"/>
      <c r="R218" s="32"/>
      <c r="S218" s="32"/>
    </row>
    <row r="219" spans="3:19" x14ac:dyDescent="0.3">
      <c r="C219" s="11"/>
      <c r="D219" s="32"/>
      <c r="E219" s="11"/>
      <c r="F219" t="str">
        <f>_xlfn.TEXTJOIN(", ",TRUE, Tabla38[[#This Row],[Tipo de escalera]],Tabla38[[#This Row],[Longitud]],Tabla38[[#This Row],[Carga Maxima]])</f>
        <v/>
      </c>
      <c r="G219" s="15"/>
      <c r="J219" s="15"/>
      <c r="K219" s="47"/>
      <c r="L219" s="76"/>
      <c r="M219" s="76"/>
      <c r="N219" s="78" t="str">
        <f>_xlfn.LET(
    _xlpm.itemBuscado, B219,
    _xlpm.areaBuscada, C219,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TEXT(COUNTIF($C$2:C219, _xlpm.areaBuscada), "0000"),
    _xlpm.codItem &amp; "-" &amp; _xlpm.codArea &amp; "-" &amp; _xlpm.secuencia
)</f>
        <v>-SinArea-0000</v>
      </c>
      <c r="O219" s="77"/>
      <c r="P219" s="32"/>
      <c r="Q219" s="32"/>
      <c r="R219" s="32"/>
      <c r="S219" s="32"/>
    </row>
    <row r="220" spans="3:19" x14ac:dyDescent="0.3">
      <c r="C220" s="11"/>
      <c r="D220" s="32"/>
      <c r="E220" s="11"/>
      <c r="F220" t="str">
        <f>_xlfn.TEXTJOIN(", ",TRUE, Tabla38[[#This Row],[Tipo de escalera]],Tabla38[[#This Row],[Longitud]],Tabla38[[#This Row],[Carga Maxima]])</f>
        <v/>
      </c>
      <c r="G220" s="15"/>
      <c r="J220" s="15"/>
      <c r="K220" s="47"/>
      <c r="L220" s="76"/>
      <c r="M220" s="76"/>
      <c r="N220" s="78" t="str">
        <f>_xlfn.LET(
    _xlpm.itemBuscado, B220,
    _xlpm.areaBuscada, C220,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TEXT(COUNTIF($C$2:C220, _xlpm.areaBuscada), "0000"),
    _xlpm.codItem &amp; "-" &amp; _xlpm.codArea &amp; "-" &amp; _xlpm.secuencia
)</f>
        <v>-SinArea-0000</v>
      </c>
      <c r="O220" s="77"/>
      <c r="P220" s="32"/>
      <c r="Q220" s="32"/>
      <c r="R220" s="32"/>
      <c r="S220" s="32"/>
    </row>
    <row r="221" spans="3:19" x14ac:dyDescent="0.3">
      <c r="C221" s="11"/>
      <c r="D221" s="32"/>
      <c r="E221" s="11"/>
      <c r="F221" t="str">
        <f>_xlfn.TEXTJOIN(", ",TRUE, Tabla38[[#This Row],[Tipo de escalera]],Tabla38[[#This Row],[Longitud]],Tabla38[[#This Row],[Carga Maxima]])</f>
        <v/>
      </c>
      <c r="G221" s="15"/>
      <c r="J221" s="15"/>
      <c r="K221" s="47"/>
      <c r="L221" s="76"/>
      <c r="M221" s="76"/>
      <c r="N221" s="78" t="str">
        <f>_xlfn.LET(
    _xlpm.itemBuscado, B221,
    _xlpm.areaBuscada, C221,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TEXT(COUNTIF($C$2:C221, _xlpm.areaBuscada), "0000"),
    _xlpm.codItem &amp; "-" &amp; _xlpm.codArea &amp; "-" &amp; _xlpm.secuencia
)</f>
        <v>-SinArea-0000</v>
      </c>
      <c r="O221" s="77"/>
      <c r="P221" s="32"/>
      <c r="Q221" s="32"/>
      <c r="R221" s="32"/>
      <c r="S221" s="32"/>
    </row>
    <row r="222" spans="3:19" x14ac:dyDescent="0.3">
      <c r="C222" s="11"/>
      <c r="D222" s="32"/>
      <c r="E222" s="11"/>
      <c r="F222" t="str">
        <f>_xlfn.TEXTJOIN(", ",TRUE, Tabla38[[#This Row],[Tipo de escalera]],Tabla38[[#This Row],[Longitud]],Tabla38[[#This Row],[Carga Maxima]])</f>
        <v/>
      </c>
      <c r="G222" s="15"/>
      <c r="J222" s="15"/>
      <c r="K222" s="47"/>
      <c r="L222" s="76"/>
      <c r="M222" s="76"/>
      <c r="N222" s="78" t="str">
        <f>_xlfn.LET(
    _xlpm.itemBuscado, B222,
    _xlpm.areaBuscada, C222,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TEXT(COUNTIF($C$2:C222, _xlpm.areaBuscada), "0000"),
    _xlpm.codItem &amp; "-" &amp; _xlpm.codArea &amp; "-" &amp; _xlpm.secuencia
)</f>
        <v>-SinArea-0000</v>
      </c>
      <c r="O222" s="77"/>
      <c r="P222" s="32"/>
      <c r="Q222" s="32"/>
      <c r="R222" s="32"/>
      <c r="S222" s="32"/>
    </row>
    <row r="223" spans="3:19" x14ac:dyDescent="0.3">
      <c r="C223" s="11"/>
      <c r="D223" s="32"/>
      <c r="E223" s="11"/>
      <c r="F223" t="str">
        <f>_xlfn.TEXTJOIN(", ",TRUE, Tabla38[[#This Row],[Tipo de escalera]],Tabla38[[#This Row],[Longitud]],Tabla38[[#This Row],[Carga Maxima]])</f>
        <v/>
      </c>
      <c r="G223" s="15"/>
      <c r="J223" s="15"/>
      <c r="K223" s="47"/>
      <c r="L223" s="76"/>
      <c r="M223" s="76"/>
      <c r="N223" s="78" t="str">
        <f>_xlfn.LET(
    _xlpm.itemBuscado, B223,
    _xlpm.areaBuscada, C223,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TEXT(COUNTIF($C$2:C223, _xlpm.areaBuscada), "0000"),
    _xlpm.codItem &amp; "-" &amp; _xlpm.codArea &amp; "-" &amp; _xlpm.secuencia
)</f>
        <v>-SinArea-0000</v>
      </c>
      <c r="O223" s="77"/>
      <c r="P223" s="32"/>
      <c r="Q223" s="32"/>
      <c r="R223" s="32"/>
      <c r="S223" s="32"/>
    </row>
    <row r="224" spans="3:19" x14ac:dyDescent="0.3">
      <c r="C224" s="11"/>
      <c r="D224" s="32"/>
      <c r="E224" s="11"/>
      <c r="F224" t="str">
        <f>_xlfn.TEXTJOIN(", ",TRUE, Tabla38[[#This Row],[Tipo de escalera]],Tabla38[[#This Row],[Longitud]],Tabla38[[#This Row],[Carga Maxima]])</f>
        <v/>
      </c>
      <c r="G224" s="15"/>
      <c r="J224" s="15"/>
      <c r="K224" s="47"/>
      <c r="L224" s="76"/>
      <c r="M224" s="76"/>
      <c r="N224" s="78" t="str">
        <f>_xlfn.LET(
    _xlpm.itemBuscado, B224,
    _xlpm.areaBuscada, C224,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TEXT(COUNTIF($C$2:C224, _xlpm.areaBuscada), "0000"),
    _xlpm.codItem &amp; "-" &amp; _xlpm.codArea &amp; "-" &amp; _xlpm.secuencia
)</f>
        <v>-SinArea-0000</v>
      </c>
      <c r="O224" s="77"/>
      <c r="P224" s="32"/>
      <c r="Q224" s="32"/>
      <c r="R224" s="32"/>
      <c r="S224" s="32"/>
    </row>
    <row r="225" spans="3:19" x14ac:dyDescent="0.3">
      <c r="C225" s="11"/>
      <c r="D225" s="32"/>
      <c r="E225" s="11"/>
      <c r="F225" t="str">
        <f>_xlfn.TEXTJOIN(", ",TRUE, Tabla38[[#This Row],[Tipo de escalera]],Tabla38[[#This Row],[Longitud]],Tabla38[[#This Row],[Carga Maxima]])</f>
        <v/>
      </c>
      <c r="G225" s="15"/>
      <c r="J225" s="15"/>
      <c r="K225" s="47"/>
      <c r="L225" s="76"/>
      <c r="M225" s="76"/>
      <c r="N225" s="78" t="str">
        <f>_xlfn.LET(
    _xlpm.itemBuscado, B225,
    _xlpm.areaBuscada, C225,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TEXT(COUNTIF($C$2:C225, _xlpm.areaBuscada), "0000"),
    _xlpm.codItem &amp; "-" &amp; _xlpm.codArea &amp; "-" &amp; _xlpm.secuencia
)</f>
        <v>-SinArea-0000</v>
      </c>
      <c r="O225" s="77"/>
      <c r="P225" s="32"/>
      <c r="Q225" s="32"/>
      <c r="R225" s="32"/>
      <c r="S225" s="32"/>
    </row>
    <row r="226" spans="3:19" x14ac:dyDescent="0.3">
      <c r="C226" s="11"/>
      <c r="D226" s="32"/>
      <c r="E226" s="11"/>
      <c r="F226" t="str">
        <f>_xlfn.TEXTJOIN(", ",TRUE, Tabla38[[#This Row],[Tipo de escalera]],Tabla38[[#This Row],[Longitud]],Tabla38[[#This Row],[Carga Maxima]])</f>
        <v/>
      </c>
      <c r="G226" s="15"/>
      <c r="J226" s="15"/>
      <c r="K226" s="47"/>
      <c r="L226" s="76"/>
      <c r="M226" s="76"/>
      <c r="N226" s="78" t="str">
        <f>_xlfn.LET(
    _xlpm.itemBuscado, B226,
    _xlpm.areaBuscada, C226,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TEXT(COUNTIF($C$2:C226, _xlpm.areaBuscada), "0000"),
    _xlpm.codItem &amp; "-" &amp; _xlpm.codArea &amp; "-" &amp; _xlpm.secuencia
)</f>
        <v>-SinArea-0000</v>
      </c>
      <c r="O226" s="77"/>
      <c r="P226" s="32"/>
      <c r="Q226" s="32"/>
      <c r="R226" s="32"/>
      <c r="S226" s="32"/>
    </row>
    <row r="227" spans="3:19" x14ac:dyDescent="0.3">
      <c r="C227" s="11"/>
      <c r="D227" s="32"/>
      <c r="E227" s="11"/>
      <c r="F227" t="str">
        <f>_xlfn.TEXTJOIN(", ",TRUE, Tabla38[[#This Row],[Tipo de escalera]],Tabla38[[#This Row],[Longitud]],Tabla38[[#This Row],[Carga Maxima]])</f>
        <v/>
      </c>
      <c r="G227" s="15"/>
      <c r="J227" s="15"/>
      <c r="K227" s="47"/>
      <c r="L227" s="76"/>
      <c r="M227" s="76"/>
      <c r="N227" s="78" t="str">
        <f>_xlfn.LET(
    _xlpm.itemBuscado, B227,
    _xlpm.areaBuscada, C227,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TEXT(COUNTIF($C$2:C227, _xlpm.areaBuscada), "0000"),
    _xlpm.codItem &amp; "-" &amp; _xlpm.codArea &amp; "-" &amp; _xlpm.secuencia
)</f>
        <v>-SinArea-0000</v>
      </c>
      <c r="O227" s="77"/>
      <c r="P227" s="32"/>
      <c r="Q227" s="32"/>
      <c r="R227" s="32"/>
      <c r="S227" s="32"/>
    </row>
    <row r="228" spans="3:19" x14ac:dyDescent="0.3">
      <c r="C228" s="11"/>
      <c r="D228" s="32"/>
      <c r="E228" s="11"/>
      <c r="F228" t="str">
        <f>_xlfn.TEXTJOIN(", ",TRUE, Tabla38[[#This Row],[Tipo de escalera]],Tabla38[[#This Row],[Longitud]],Tabla38[[#This Row],[Carga Maxima]])</f>
        <v/>
      </c>
      <c r="G228" s="15"/>
      <c r="J228" s="15"/>
      <c r="K228" s="47"/>
      <c r="L228" s="76"/>
      <c r="M228" s="76"/>
      <c r="N228" s="78" t="str">
        <f>_xlfn.LET(
    _xlpm.itemBuscado, B228,
    _xlpm.areaBuscada, C228,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TEXT(COUNTIF($C$2:C228, _xlpm.areaBuscada), "0000"),
    _xlpm.codItem &amp; "-" &amp; _xlpm.codArea &amp; "-" &amp; _xlpm.secuencia
)</f>
        <v>-SinArea-0000</v>
      </c>
      <c r="O228" s="77"/>
      <c r="P228" s="32"/>
      <c r="Q228" s="32"/>
      <c r="R228" s="32"/>
      <c r="S228" s="32"/>
    </row>
    <row r="229" spans="3:19" x14ac:dyDescent="0.3">
      <c r="C229" s="11"/>
      <c r="D229" s="32"/>
      <c r="E229" s="11"/>
      <c r="F229" t="str">
        <f>_xlfn.TEXTJOIN(", ",TRUE, Tabla38[[#This Row],[Tipo de escalera]],Tabla38[[#This Row],[Longitud]],Tabla38[[#This Row],[Carga Maxima]])</f>
        <v/>
      </c>
      <c r="G229" s="15"/>
      <c r="J229" s="15"/>
      <c r="K229" s="47"/>
      <c r="L229" s="76"/>
      <c r="M229" s="76"/>
      <c r="N229" s="78" t="str">
        <f>_xlfn.LET(
    _xlpm.itemBuscado, B229,
    _xlpm.areaBuscada, C229,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TEXT(COUNTIF($C$2:C229, _xlpm.areaBuscada), "0000"),
    _xlpm.codItem &amp; "-" &amp; _xlpm.codArea &amp; "-" &amp; _xlpm.secuencia
)</f>
        <v>-SinArea-0000</v>
      </c>
      <c r="O229" s="77"/>
      <c r="P229" s="32"/>
      <c r="Q229" s="32"/>
      <c r="R229" s="32"/>
      <c r="S229" s="32"/>
    </row>
    <row r="230" spans="3:19" x14ac:dyDescent="0.3">
      <c r="C230" s="11"/>
      <c r="D230" s="32"/>
      <c r="E230" s="11"/>
      <c r="F230" t="str">
        <f>_xlfn.TEXTJOIN(", ",TRUE, Tabla38[[#This Row],[Tipo de escalera]],Tabla38[[#This Row],[Longitud]],Tabla38[[#This Row],[Carga Maxima]])</f>
        <v/>
      </c>
      <c r="G230" s="15"/>
      <c r="J230" s="15"/>
      <c r="K230" s="47"/>
      <c r="L230" s="76"/>
      <c r="M230" s="76"/>
      <c r="N230" s="78" t="str">
        <f>_xlfn.LET(
    _xlpm.itemBuscado, B230,
    _xlpm.areaBuscada, C230,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TEXT(COUNTIF($C$2:C230, _xlpm.areaBuscada), "0000"),
    _xlpm.codItem &amp; "-" &amp; _xlpm.codArea &amp; "-" &amp; _xlpm.secuencia
)</f>
        <v>-SinArea-0000</v>
      </c>
      <c r="O230" s="77"/>
      <c r="P230" s="32"/>
      <c r="Q230" s="32"/>
      <c r="R230" s="32"/>
      <c r="S230" s="32"/>
    </row>
    <row r="231" spans="3:19" x14ac:dyDescent="0.3">
      <c r="C231" s="11"/>
      <c r="D231" s="32"/>
      <c r="E231" s="11"/>
      <c r="F231" t="str">
        <f>_xlfn.TEXTJOIN(", ",TRUE, Tabla38[[#This Row],[Tipo de escalera]],Tabla38[[#This Row],[Longitud]],Tabla38[[#This Row],[Carga Maxima]])</f>
        <v/>
      </c>
      <c r="G231" s="15"/>
      <c r="J231" s="15"/>
      <c r="K231" s="47"/>
      <c r="L231" s="76"/>
      <c r="M231" s="76"/>
      <c r="N231" s="78" t="str">
        <f>_xlfn.LET(
    _xlpm.itemBuscado, B231,
    _xlpm.areaBuscada, C231,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TEXT(COUNTIF($C$2:C231, _xlpm.areaBuscada), "0000"),
    _xlpm.codItem &amp; "-" &amp; _xlpm.codArea &amp; "-" &amp; _xlpm.secuencia
)</f>
        <v>-SinArea-0000</v>
      </c>
      <c r="O231" s="77"/>
      <c r="P231" s="32"/>
      <c r="Q231" s="32"/>
      <c r="R231" s="32"/>
      <c r="S231" s="32"/>
    </row>
    <row r="232" spans="3:19" x14ac:dyDescent="0.3">
      <c r="C232" s="11"/>
      <c r="D232" s="32"/>
      <c r="E232" s="11"/>
      <c r="F232" t="str">
        <f>_xlfn.TEXTJOIN(", ",TRUE, Tabla38[[#This Row],[Tipo de escalera]],Tabla38[[#This Row],[Longitud]],Tabla38[[#This Row],[Carga Maxima]])</f>
        <v/>
      </c>
      <c r="G232" s="15"/>
      <c r="J232" s="15"/>
      <c r="K232" s="47"/>
      <c r="L232" s="76"/>
      <c r="M232" s="76"/>
      <c r="N232" s="78" t="str">
        <f>_xlfn.LET(
    _xlpm.itemBuscado, B232,
    _xlpm.areaBuscada, C232,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TEXT(COUNTIF($C$2:C232, _xlpm.areaBuscada), "0000"),
    _xlpm.codItem &amp; "-" &amp; _xlpm.codArea &amp; "-" &amp; _xlpm.secuencia
)</f>
        <v>-SinArea-0000</v>
      </c>
      <c r="O232" s="77"/>
      <c r="P232" s="32"/>
      <c r="Q232" s="32"/>
      <c r="R232" s="32"/>
      <c r="S232" s="32"/>
    </row>
    <row r="233" spans="3:19" x14ac:dyDescent="0.3">
      <c r="C233" s="11"/>
      <c r="D233" s="32"/>
      <c r="E233" s="11"/>
      <c r="F233" t="str">
        <f>_xlfn.TEXTJOIN(", ",TRUE, Tabla38[[#This Row],[Tipo de escalera]],Tabla38[[#This Row],[Longitud]],Tabla38[[#This Row],[Carga Maxima]])</f>
        <v/>
      </c>
      <c r="G233" s="15"/>
      <c r="J233" s="15"/>
      <c r="K233" s="47"/>
      <c r="L233" s="76"/>
      <c r="M233" s="76"/>
      <c r="N233" s="78" t="str">
        <f>_xlfn.LET(
    _xlpm.itemBuscado, B233,
    _xlpm.areaBuscada, C233,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TEXT(COUNTIF($C$2:C233, _xlpm.areaBuscada), "0000"),
    _xlpm.codItem &amp; "-" &amp; _xlpm.codArea &amp; "-" &amp; _xlpm.secuencia
)</f>
        <v>-SinArea-0000</v>
      </c>
      <c r="O233" s="77"/>
      <c r="P233" s="32"/>
      <c r="Q233" s="32"/>
      <c r="R233" s="32"/>
      <c r="S233" s="32"/>
    </row>
    <row r="234" spans="3:19" x14ac:dyDescent="0.3">
      <c r="C234" s="11"/>
      <c r="D234" s="32"/>
      <c r="E234" s="11"/>
      <c r="F234" t="str">
        <f>_xlfn.TEXTJOIN(", ",TRUE, Tabla38[[#This Row],[Tipo de escalera]],Tabla38[[#This Row],[Longitud]],Tabla38[[#This Row],[Carga Maxima]])</f>
        <v/>
      </c>
      <c r="G234" s="15"/>
      <c r="J234" s="15"/>
      <c r="K234" s="47"/>
      <c r="L234" s="76"/>
      <c r="M234" s="76"/>
      <c r="N234" s="78" t="str">
        <f>_xlfn.LET(
    _xlpm.itemBuscado, B234,
    _xlpm.areaBuscada, C234,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TEXT(COUNTIF($C$2:C234, _xlpm.areaBuscada), "0000"),
    _xlpm.codItem &amp; "-" &amp; _xlpm.codArea &amp; "-" &amp; _xlpm.secuencia
)</f>
        <v>-SinArea-0000</v>
      </c>
      <c r="O234" s="77"/>
      <c r="P234" s="32"/>
      <c r="Q234" s="32"/>
      <c r="R234" s="32"/>
      <c r="S234" s="32"/>
    </row>
    <row r="235" spans="3:19" x14ac:dyDescent="0.3">
      <c r="C235" s="11"/>
      <c r="D235" s="32"/>
      <c r="E235" s="11"/>
      <c r="F235" t="str">
        <f>_xlfn.TEXTJOIN(", ",TRUE, Tabla38[[#This Row],[Tipo de escalera]],Tabla38[[#This Row],[Longitud]],Tabla38[[#This Row],[Carga Maxima]])</f>
        <v/>
      </c>
      <c r="G235" s="15"/>
      <c r="J235" s="15"/>
      <c r="K235" s="47"/>
      <c r="L235" s="76"/>
      <c r="M235" s="76"/>
      <c r="N235" s="78" t="str">
        <f>_xlfn.LET(
    _xlpm.itemBuscado, B235,
    _xlpm.areaBuscada, C235,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TEXT(COUNTIF($C$2:C235, _xlpm.areaBuscada), "0000"),
    _xlpm.codItem &amp; "-" &amp; _xlpm.codArea &amp; "-" &amp; _xlpm.secuencia
)</f>
        <v>-SinArea-0000</v>
      </c>
      <c r="O235" s="77"/>
      <c r="P235" s="32"/>
      <c r="Q235" s="32"/>
      <c r="R235" s="32"/>
      <c r="S235" s="32"/>
    </row>
    <row r="236" spans="3:19" x14ac:dyDescent="0.3">
      <c r="C236" s="11"/>
      <c r="D236" s="32"/>
      <c r="E236" s="11"/>
      <c r="F236" t="str">
        <f>_xlfn.TEXTJOIN(", ",TRUE, Tabla38[[#This Row],[Tipo de escalera]],Tabla38[[#This Row],[Longitud]],Tabla38[[#This Row],[Carga Maxima]])</f>
        <v/>
      </c>
      <c r="G236" s="15"/>
      <c r="J236" s="15"/>
      <c r="K236" s="47"/>
      <c r="L236" s="76"/>
      <c r="M236" s="76"/>
      <c r="N236" s="78" t="str">
        <f>_xlfn.LET(
    _xlpm.itemBuscado, B236,
    _xlpm.areaBuscada, C236,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TEXT(COUNTIF($C$2:C236, _xlpm.areaBuscada), "0000"),
    _xlpm.codItem &amp; "-" &amp; _xlpm.codArea &amp; "-" &amp; _xlpm.secuencia
)</f>
        <v>-SinArea-0000</v>
      </c>
      <c r="O236" s="77"/>
      <c r="P236" s="32"/>
      <c r="Q236" s="32"/>
      <c r="R236" s="32"/>
      <c r="S236" s="32"/>
    </row>
    <row r="237" spans="3:19" x14ac:dyDescent="0.3">
      <c r="C237" s="11"/>
      <c r="D237" s="32"/>
      <c r="E237" s="11"/>
      <c r="F237" t="str">
        <f>_xlfn.TEXTJOIN(", ",TRUE, Tabla38[[#This Row],[Tipo de escalera]],Tabla38[[#This Row],[Longitud]],Tabla38[[#This Row],[Carga Maxima]])</f>
        <v/>
      </c>
      <c r="G237" s="15"/>
      <c r="J237" s="15"/>
      <c r="K237" s="47"/>
      <c r="L237" s="76"/>
      <c r="M237" s="76"/>
      <c r="N237" s="78" t="str">
        <f>_xlfn.LET(
    _xlpm.itemBuscado, B237,
    _xlpm.areaBuscada, C237,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TEXT(COUNTIF($C$2:C237, _xlpm.areaBuscada), "0000"),
    _xlpm.codItem &amp; "-" &amp; _xlpm.codArea &amp; "-" &amp; _xlpm.secuencia
)</f>
        <v>-SinArea-0000</v>
      </c>
      <c r="O237" s="77"/>
      <c r="P237" s="32"/>
      <c r="Q237" s="32"/>
      <c r="R237" s="32"/>
      <c r="S237" s="32"/>
    </row>
    <row r="238" spans="3:19" x14ac:dyDescent="0.3">
      <c r="C238" s="11"/>
      <c r="D238" s="32"/>
      <c r="E238" s="11"/>
      <c r="F238" t="str">
        <f>_xlfn.TEXTJOIN(", ",TRUE, Tabla38[[#This Row],[Tipo de escalera]],Tabla38[[#This Row],[Longitud]],Tabla38[[#This Row],[Carga Maxima]])</f>
        <v/>
      </c>
      <c r="G238" s="15"/>
      <c r="J238" s="15"/>
      <c r="K238" s="47"/>
      <c r="L238" s="76"/>
      <c r="M238" s="76"/>
      <c r="N238" s="78" t="str">
        <f>_xlfn.LET(
    _xlpm.itemBuscado, B238,
    _xlpm.areaBuscada, C238,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TEXT(COUNTIF($C$2:C238, _xlpm.areaBuscada), "0000"),
    _xlpm.codItem &amp; "-" &amp; _xlpm.codArea &amp; "-" &amp; _xlpm.secuencia
)</f>
        <v>-SinArea-0000</v>
      </c>
      <c r="O238" s="77"/>
      <c r="P238" s="32"/>
      <c r="Q238" s="32"/>
      <c r="R238" s="32"/>
      <c r="S238" s="32"/>
    </row>
    <row r="239" spans="3:19" x14ac:dyDescent="0.3">
      <c r="C239" s="11"/>
      <c r="D239" s="32"/>
      <c r="E239" s="11"/>
      <c r="F239" t="str">
        <f>_xlfn.TEXTJOIN(", ",TRUE, Tabla38[[#This Row],[Tipo de escalera]],Tabla38[[#This Row],[Longitud]],Tabla38[[#This Row],[Carga Maxima]])</f>
        <v/>
      </c>
      <c r="G239" s="15"/>
      <c r="J239" s="15"/>
      <c r="K239" s="47"/>
      <c r="L239" s="76"/>
      <c r="M239" s="76"/>
      <c r="N239" s="78" t="str">
        <f>_xlfn.LET(
    _xlpm.itemBuscado, B239,
    _xlpm.areaBuscada, C239,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TEXT(COUNTIF($C$2:C239, _xlpm.areaBuscada), "0000"),
    _xlpm.codItem &amp; "-" &amp; _xlpm.codArea &amp; "-" &amp; _xlpm.secuencia
)</f>
        <v>-SinArea-0000</v>
      </c>
      <c r="O239" s="77"/>
      <c r="P239" s="32"/>
      <c r="Q239" s="32"/>
      <c r="R239" s="32"/>
      <c r="S239" s="32"/>
    </row>
    <row r="240" spans="3:19" x14ac:dyDescent="0.3">
      <c r="C240" s="11"/>
      <c r="D240" s="32"/>
      <c r="E240" s="11"/>
      <c r="F240" t="str">
        <f>_xlfn.TEXTJOIN(", ",TRUE, Tabla38[[#This Row],[Tipo de escalera]],Tabla38[[#This Row],[Longitud]],Tabla38[[#This Row],[Carga Maxima]])</f>
        <v/>
      </c>
      <c r="G240" s="15"/>
      <c r="J240" s="15"/>
      <c r="K240" s="47"/>
      <c r="L240" s="76"/>
      <c r="M240" s="76"/>
      <c r="N240" s="78" t="str">
        <f>_xlfn.LET(
    _xlpm.itemBuscado, B240,
    _xlpm.areaBuscada, C240,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TEXT(COUNTIF($C$2:C240, _xlpm.areaBuscada), "0000"),
    _xlpm.codItem &amp; "-" &amp; _xlpm.codArea &amp; "-" &amp; _xlpm.secuencia
)</f>
        <v>-SinArea-0000</v>
      </c>
      <c r="O240" s="77"/>
      <c r="P240" s="32"/>
      <c r="Q240" s="32"/>
      <c r="R240" s="32"/>
      <c r="S240" s="32"/>
    </row>
    <row r="241" spans="3:19" x14ac:dyDescent="0.3">
      <c r="C241" s="11"/>
      <c r="D241" s="32"/>
      <c r="E241" s="11"/>
      <c r="F241" t="str">
        <f>_xlfn.TEXTJOIN(", ",TRUE, Tabla38[[#This Row],[Tipo de escalera]],Tabla38[[#This Row],[Longitud]],Tabla38[[#This Row],[Carga Maxima]])</f>
        <v/>
      </c>
      <c r="G241" s="15"/>
      <c r="J241" s="15"/>
      <c r="K241" s="47"/>
      <c r="L241" s="76"/>
      <c r="M241" s="76"/>
      <c r="N241" s="78" t="str">
        <f>_xlfn.LET(
    _xlpm.itemBuscado, B241,
    _xlpm.areaBuscada, C241,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TEXT(COUNTIF($C$2:C241, _xlpm.areaBuscada), "0000"),
    _xlpm.codItem &amp; "-" &amp; _xlpm.codArea &amp; "-" &amp; _xlpm.secuencia
)</f>
        <v>-SinArea-0000</v>
      </c>
      <c r="O241" s="77"/>
      <c r="P241" s="32"/>
      <c r="Q241" s="32"/>
      <c r="R241" s="32"/>
      <c r="S241" s="32"/>
    </row>
    <row r="242" spans="3:19" x14ac:dyDescent="0.3">
      <c r="C242" s="11"/>
      <c r="D242" s="32"/>
      <c r="E242" s="11"/>
      <c r="F242" t="str">
        <f>_xlfn.TEXTJOIN(", ",TRUE, Tabla38[[#This Row],[Tipo de escalera]],Tabla38[[#This Row],[Longitud]],Tabla38[[#This Row],[Carga Maxima]])</f>
        <v/>
      </c>
      <c r="G242" s="15"/>
      <c r="J242" s="15"/>
      <c r="K242" s="47"/>
      <c r="L242" s="76"/>
      <c r="M242" s="76"/>
      <c r="N242" s="78" t="str">
        <f>_xlfn.LET(
    _xlpm.itemBuscado, B242,
    _xlpm.areaBuscada, C242,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TEXT(COUNTIF($C$2:C242, _xlpm.areaBuscada), "0000"),
    _xlpm.codItem &amp; "-" &amp; _xlpm.codArea &amp; "-" &amp; _xlpm.secuencia
)</f>
        <v>-SinArea-0000</v>
      </c>
      <c r="O242" s="77"/>
      <c r="P242" s="32"/>
      <c r="Q242" s="32"/>
      <c r="R242" s="32"/>
      <c r="S242" s="32"/>
    </row>
    <row r="243" spans="3:19" x14ac:dyDescent="0.3">
      <c r="C243" s="11"/>
      <c r="D243" s="32"/>
      <c r="E243" s="11"/>
      <c r="F243" t="str">
        <f>_xlfn.TEXTJOIN(", ",TRUE, Tabla38[[#This Row],[Tipo de escalera]],Tabla38[[#This Row],[Longitud]],Tabla38[[#This Row],[Carga Maxima]])</f>
        <v/>
      </c>
      <c r="G243" s="15"/>
      <c r="J243" s="15"/>
      <c r="K243" s="47"/>
      <c r="L243" s="76"/>
      <c r="M243" s="76"/>
      <c r="N243" s="78" t="str">
        <f>_xlfn.LET(
    _xlpm.itemBuscado, B243,
    _xlpm.areaBuscada, C243,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TEXT(COUNTIF($C$2:C243, _xlpm.areaBuscada), "0000"),
    _xlpm.codItem &amp; "-" &amp; _xlpm.codArea &amp; "-" &amp; _xlpm.secuencia
)</f>
        <v>-SinArea-0000</v>
      </c>
      <c r="O243" s="77"/>
      <c r="P243" s="32"/>
      <c r="Q243" s="32"/>
      <c r="R243" s="32"/>
      <c r="S243" s="32"/>
    </row>
    <row r="244" spans="3:19" x14ac:dyDescent="0.3">
      <c r="C244" s="11"/>
      <c r="D244" s="32"/>
      <c r="E244" s="11"/>
      <c r="F244" t="str">
        <f>_xlfn.TEXTJOIN(", ",TRUE, Tabla38[[#This Row],[Tipo de escalera]],Tabla38[[#This Row],[Longitud]],Tabla38[[#This Row],[Carga Maxima]])</f>
        <v/>
      </c>
      <c r="G244" s="15"/>
      <c r="J244" s="15"/>
      <c r="K244" s="47"/>
      <c r="L244" s="76"/>
      <c r="M244" s="76"/>
      <c r="N244" s="78" t="str">
        <f>_xlfn.LET(
    _xlpm.itemBuscado, B244,
    _xlpm.areaBuscada, C244,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TEXT(COUNTIF($C$2:C244, _xlpm.areaBuscada), "0000"),
    _xlpm.codItem &amp; "-" &amp; _xlpm.codArea &amp; "-" &amp; _xlpm.secuencia
)</f>
        <v>-SinArea-0000</v>
      </c>
      <c r="O244" s="77"/>
      <c r="P244" s="32"/>
      <c r="Q244" s="32"/>
      <c r="R244" s="32"/>
      <c r="S244" s="32"/>
    </row>
    <row r="245" spans="3:19" x14ac:dyDescent="0.3">
      <c r="C245" s="11"/>
      <c r="D245" s="32"/>
      <c r="E245" s="11"/>
      <c r="F245" t="str">
        <f>_xlfn.TEXTJOIN(", ",TRUE, Tabla38[[#This Row],[Tipo de escalera]],Tabla38[[#This Row],[Longitud]],Tabla38[[#This Row],[Carga Maxima]])</f>
        <v/>
      </c>
      <c r="G245" s="15"/>
      <c r="J245" s="15"/>
      <c r="K245" s="47"/>
      <c r="L245" s="76"/>
      <c r="M245" s="76"/>
      <c r="N245" s="78" t="str">
        <f>_xlfn.LET(
    _xlpm.itemBuscado, B245,
    _xlpm.areaBuscada, C245,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TEXT(COUNTIF($C$2:C245, _xlpm.areaBuscada), "0000"),
    _xlpm.codItem &amp; "-" &amp; _xlpm.codArea &amp; "-" &amp; _xlpm.secuencia
)</f>
        <v>-SinArea-0000</v>
      </c>
      <c r="O245" s="77"/>
      <c r="P245" s="32"/>
      <c r="Q245" s="32"/>
      <c r="R245" s="32"/>
      <c r="S245" s="32"/>
    </row>
    <row r="246" spans="3:19" x14ac:dyDescent="0.3">
      <c r="C246" s="11"/>
      <c r="D246" s="32"/>
      <c r="E246" s="11"/>
      <c r="F246" t="str">
        <f>_xlfn.TEXTJOIN(", ",TRUE, Tabla38[[#This Row],[Tipo de escalera]],Tabla38[[#This Row],[Longitud]],Tabla38[[#This Row],[Carga Maxima]])</f>
        <v/>
      </c>
      <c r="G246" s="15"/>
      <c r="J246" s="15"/>
      <c r="K246" s="47"/>
      <c r="L246" s="76"/>
      <c r="M246" s="76"/>
      <c r="N246" s="78" t="str">
        <f>_xlfn.LET(
    _xlpm.itemBuscado, B246,
    _xlpm.areaBuscada, C246,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TEXT(COUNTIF($C$2:C246, _xlpm.areaBuscada), "0000"),
    _xlpm.codItem &amp; "-" &amp; _xlpm.codArea &amp; "-" &amp; _xlpm.secuencia
)</f>
        <v>-SinArea-0000</v>
      </c>
      <c r="O246" s="77"/>
      <c r="P246" s="32"/>
      <c r="Q246" s="32"/>
      <c r="R246" s="32"/>
      <c r="S246" s="32"/>
    </row>
    <row r="247" spans="3:19" x14ac:dyDescent="0.3">
      <c r="C247" s="11"/>
      <c r="D247" s="32"/>
      <c r="E247" s="11"/>
      <c r="F247" t="str">
        <f>_xlfn.TEXTJOIN(", ",TRUE, Tabla38[[#This Row],[Tipo de escalera]],Tabla38[[#This Row],[Longitud]],Tabla38[[#This Row],[Carga Maxima]])</f>
        <v/>
      </c>
      <c r="G247" s="15"/>
      <c r="J247" s="15"/>
      <c r="K247" s="47"/>
      <c r="L247" s="76"/>
      <c r="M247" s="76"/>
      <c r="N247" s="78" t="str">
        <f>_xlfn.LET(
    _xlpm.itemBuscado, B247,
    _xlpm.areaBuscada, C247,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TEXT(COUNTIF($C$2:C247, _xlpm.areaBuscada), "0000"),
    _xlpm.codItem &amp; "-" &amp; _xlpm.codArea &amp; "-" &amp; _xlpm.secuencia
)</f>
        <v>-SinArea-0000</v>
      </c>
      <c r="O247" s="77"/>
      <c r="P247" s="32"/>
      <c r="Q247" s="32"/>
      <c r="R247" s="32"/>
      <c r="S247" s="32"/>
    </row>
    <row r="248" spans="3:19" x14ac:dyDescent="0.3">
      <c r="C248" s="11"/>
      <c r="D248" s="32"/>
      <c r="E248" s="11"/>
      <c r="F248" t="str">
        <f>_xlfn.TEXTJOIN(", ",TRUE, Tabla38[[#This Row],[Tipo de escalera]],Tabla38[[#This Row],[Longitud]],Tabla38[[#This Row],[Carga Maxima]])</f>
        <v/>
      </c>
      <c r="G248" s="15"/>
      <c r="J248" s="15"/>
      <c r="K248" s="47"/>
      <c r="L248" s="76"/>
      <c r="M248" s="76"/>
      <c r="N248" s="78" t="str">
        <f>_xlfn.LET(
    _xlpm.itemBuscado, B248,
    _xlpm.areaBuscada, C248,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TEXT(COUNTIF($C$2:C248, _xlpm.areaBuscada), "0000"),
    _xlpm.codItem &amp; "-" &amp; _xlpm.codArea &amp; "-" &amp; _xlpm.secuencia
)</f>
        <v>-SinArea-0000</v>
      </c>
      <c r="O248" s="77"/>
      <c r="P248" s="32"/>
      <c r="Q248" s="32"/>
      <c r="R248" s="32"/>
      <c r="S248" s="32"/>
    </row>
    <row r="249" spans="3:19" x14ac:dyDescent="0.3">
      <c r="C249" s="11"/>
      <c r="D249" s="32"/>
      <c r="E249" s="11"/>
      <c r="F249" t="str">
        <f>_xlfn.TEXTJOIN(", ",TRUE, Tabla38[[#This Row],[Tipo de escalera]],Tabla38[[#This Row],[Longitud]],Tabla38[[#This Row],[Carga Maxima]])</f>
        <v/>
      </c>
      <c r="G249" s="15"/>
      <c r="J249" s="15"/>
      <c r="K249" s="47"/>
      <c r="L249" s="76"/>
      <c r="M249" s="76"/>
      <c r="N249" s="78" t="str">
        <f>_xlfn.LET(
    _xlpm.itemBuscado, B249,
    _xlpm.areaBuscada, C249,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TEXT(COUNTIF($C$2:C249, _xlpm.areaBuscada), "0000"),
    _xlpm.codItem &amp; "-" &amp; _xlpm.codArea &amp; "-" &amp; _xlpm.secuencia
)</f>
        <v>-SinArea-0000</v>
      </c>
      <c r="O249" s="77"/>
      <c r="P249" s="32"/>
      <c r="Q249" s="32"/>
      <c r="R249" s="32"/>
      <c r="S249" s="32"/>
    </row>
    <row r="250" spans="3:19" x14ac:dyDescent="0.3">
      <c r="C250" s="11"/>
      <c r="D250" s="32"/>
      <c r="E250" s="11"/>
      <c r="F250" t="str">
        <f>_xlfn.TEXTJOIN(", ",TRUE, Tabla38[[#This Row],[Tipo de escalera]],Tabla38[[#This Row],[Longitud]],Tabla38[[#This Row],[Carga Maxima]])</f>
        <v/>
      </c>
      <c r="G250" s="15"/>
      <c r="J250" s="15"/>
      <c r="K250" s="47"/>
      <c r="L250" s="76"/>
      <c r="M250" s="76"/>
      <c r="N250" s="78" t="str">
        <f>_xlfn.LET(
    _xlpm.itemBuscado, B250,
    _xlpm.areaBuscada, C250,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TEXT(COUNTIF($C$2:C250, _xlpm.areaBuscada), "0000"),
    _xlpm.codItem &amp; "-" &amp; _xlpm.codArea &amp; "-" &amp; _xlpm.secuencia
)</f>
        <v>-SinArea-0000</v>
      </c>
      <c r="O250" s="77"/>
      <c r="P250" s="32"/>
      <c r="Q250" s="32"/>
      <c r="R250" s="32"/>
      <c r="S250" s="32"/>
    </row>
    <row r="251" spans="3:19" x14ac:dyDescent="0.3">
      <c r="C251" s="11"/>
      <c r="D251" s="32"/>
      <c r="E251" s="11"/>
      <c r="F251" t="str">
        <f>_xlfn.TEXTJOIN(", ",TRUE, Tabla38[[#This Row],[Tipo de escalera]],Tabla38[[#This Row],[Longitud]],Tabla38[[#This Row],[Carga Maxima]])</f>
        <v/>
      </c>
      <c r="G251" s="15"/>
      <c r="J251" s="15"/>
      <c r="K251" s="47"/>
      <c r="L251" s="76"/>
      <c r="M251" s="76"/>
      <c r="N251" s="78" t="str">
        <f>_xlfn.LET(
    _xlpm.itemBuscado, B251,
    _xlpm.areaBuscada, C251,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TEXT(COUNTIF($C$2:C251, _xlpm.areaBuscada), "0000"),
    _xlpm.codItem &amp; "-" &amp; _xlpm.codArea &amp; "-" &amp; _xlpm.secuencia
)</f>
        <v>-SinArea-0000</v>
      </c>
      <c r="O251" s="77"/>
      <c r="P251" s="32"/>
      <c r="Q251" s="32"/>
      <c r="R251" s="32"/>
      <c r="S251" s="32"/>
    </row>
    <row r="252" spans="3:19" x14ac:dyDescent="0.3">
      <c r="C252" s="11"/>
      <c r="D252" s="32"/>
      <c r="E252" s="11"/>
      <c r="F252" t="str">
        <f>_xlfn.TEXTJOIN(", ",TRUE, Tabla38[[#This Row],[Tipo de escalera]],Tabla38[[#This Row],[Longitud]],Tabla38[[#This Row],[Carga Maxima]])</f>
        <v/>
      </c>
      <c r="G252" s="15"/>
      <c r="J252" s="15"/>
      <c r="K252" s="47"/>
      <c r="L252" s="76"/>
      <c r="M252" s="76"/>
      <c r="N252" s="78" t="str">
        <f>_xlfn.LET(
    _xlpm.itemBuscado, B252,
    _xlpm.areaBuscada, C252,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TEXT(COUNTIF($C$2:C252, _xlpm.areaBuscada), "0000"),
    _xlpm.codItem &amp; "-" &amp; _xlpm.codArea &amp; "-" &amp; _xlpm.secuencia
)</f>
        <v>-SinArea-0000</v>
      </c>
      <c r="O252" s="77"/>
      <c r="P252" s="32"/>
      <c r="Q252" s="32"/>
      <c r="R252" s="32"/>
      <c r="S252" s="32"/>
    </row>
    <row r="253" spans="3:19" x14ac:dyDescent="0.3">
      <c r="C253" s="11"/>
      <c r="D253" s="32"/>
      <c r="E253" s="11"/>
      <c r="F253" t="str">
        <f>_xlfn.TEXTJOIN(", ",TRUE, Tabla38[[#This Row],[Tipo de escalera]],Tabla38[[#This Row],[Longitud]],Tabla38[[#This Row],[Carga Maxima]])</f>
        <v/>
      </c>
      <c r="G253" s="15"/>
      <c r="J253" s="15"/>
      <c r="K253" s="47"/>
      <c r="L253" s="76"/>
      <c r="M253" s="76"/>
      <c r="N253" s="78" t="str">
        <f>_xlfn.LET(
    _xlpm.itemBuscado, B253,
    _xlpm.areaBuscada, C253,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TEXT(COUNTIF($C$2:C253, _xlpm.areaBuscada), "0000"),
    _xlpm.codItem &amp; "-" &amp; _xlpm.codArea &amp; "-" &amp; _xlpm.secuencia
)</f>
        <v>-SinArea-0000</v>
      </c>
      <c r="O253" s="77"/>
      <c r="P253" s="32"/>
      <c r="Q253" s="32"/>
      <c r="R253" s="32"/>
      <c r="S253" s="32"/>
    </row>
    <row r="254" spans="3:19" x14ac:dyDescent="0.3">
      <c r="C254" s="11"/>
      <c r="D254" s="32"/>
      <c r="E254" s="11"/>
      <c r="F254" t="str">
        <f>_xlfn.TEXTJOIN(", ",TRUE, Tabla38[[#This Row],[Tipo de escalera]],Tabla38[[#This Row],[Longitud]],Tabla38[[#This Row],[Carga Maxima]])</f>
        <v/>
      </c>
      <c r="G254" s="15"/>
      <c r="J254" s="15"/>
      <c r="K254" s="47"/>
      <c r="L254" s="76"/>
      <c r="M254" s="76"/>
      <c r="N254" s="78" t="str">
        <f>_xlfn.LET(
    _xlpm.itemBuscado, B254,
    _xlpm.areaBuscada, C254,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TEXT(COUNTIF($C$2:C254, _xlpm.areaBuscada), "0000"),
    _xlpm.codItem &amp; "-" &amp; _xlpm.codArea &amp; "-" &amp; _xlpm.secuencia
)</f>
        <v>-SinArea-0000</v>
      </c>
      <c r="O254" s="77"/>
      <c r="P254" s="32"/>
      <c r="Q254" s="32"/>
      <c r="R254" s="32"/>
      <c r="S254" s="32"/>
    </row>
    <row r="255" spans="3:19" x14ac:dyDescent="0.3">
      <c r="C255" s="11"/>
      <c r="D255" s="32"/>
      <c r="E255" s="11"/>
      <c r="F255" t="str">
        <f>_xlfn.TEXTJOIN(", ",TRUE, Tabla38[[#This Row],[Tipo de escalera]],Tabla38[[#This Row],[Longitud]],Tabla38[[#This Row],[Carga Maxima]])</f>
        <v/>
      </c>
      <c r="G255" s="15"/>
      <c r="J255" s="15"/>
      <c r="K255" s="47"/>
      <c r="L255" s="76"/>
      <c r="M255" s="76"/>
      <c r="N255" s="78" t="str">
        <f>_xlfn.LET(
    _xlpm.itemBuscado, B255,
    _xlpm.areaBuscada, C255,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TEXT(COUNTIF($C$2:C255, _xlpm.areaBuscada), "0000"),
    _xlpm.codItem &amp; "-" &amp; _xlpm.codArea &amp; "-" &amp; _xlpm.secuencia
)</f>
        <v>-SinArea-0000</v>
      </c>
      <c r="O255" s="77"/>
      <c r="P255" s="32"/>
      <c r="Q255" s="32"/>
      <c r="R255" s="32"/>
      <c r="S255" s="32"/>
    </row>
    <row r="256" spans="3:19" x14ac:dyDescent="0.3">
      <c r="C256" s="11"/>
      <c r="D256" s="32"/>
      <c r="E256" s="11"/>
      <c r="F256" t="str">
        <f>_xlfn.TEXTJOIN(", ",TRUE, Tabla38[[#This Row],[Tipo de escalera]],Tabla38[[#This Row],[Longitud]],Tabla38[[#This Row],[Carga Maxima]])</f>
        <v/>
      </c>
      <c r="G256" s="15"/>
      <c r="J256" s="15"/>
      <c r="K256" s="47"/>
      <c r="L256" s="76"/>
      <c r="M256" s="76"/>
      <c r="N256" s="78" t="str">
        <f>_xlfn.LET(
    _xlpm.itemBuscado, B256,
    _xlpm.areaBuscada, C256,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TEXT(COUNTIF($C$2:C256, _xlpm.areaBuscada), "0000"),
    _xlpm.codItem &amp; "-" &amp; _xlpm.codArea &amp; "-" &amp; _xlpm.secuencia
)</f>
        <v>-SinArea-0000</v>
      </c>
      <c r="O256" s="77"/>
      <c r="P256" s="32"/>
      <c r="Q256" s="32"/>
      <c r="R256" s="32"/>
      <c r="S256" s="32"/>
    </row>
    <row r="257" spans="3:19" x14ac:dyDescent="0.3">
      <c r="C257" s="11"/>
      <c r="D257" s="32"/>
      <c r="E257" s="11"/>
      <c r="F257" t="str">
        <f>_xlfn.TEXTJOIN(", ",TRUE, Tabla38[[#This Row],[Tipo de escalera]],Tabla38[[#This Row],[Longitud]],Tabla38[[#This Row],[Carga Maxima]])</f>
        <v/>
      </c>
      <c r="G257" s="15"/>
      <c r="J257" s="15"/>
      <c r="K257" s="47"/>
      <c r="L257" s="76"/>
      <c r="M257" s="76"/>
      <c r="N257" s="78" t="str">
        <f>_xlfn.LET(
    _xlpm.itemBuscado, B257,
    _xlpm.areaBuscada, C257,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TEXT(COUNTIF($C$2:C257, _xlpm.areaBuscada), "0000"),
    _xlpm.codItem &amp; "-" &amp; _xlpm.codArea &amp; "-" &amp; _xlpm.secuencia
)</f>
        <v>-SinArea-0000</v>
      </c>
      <c r="O257" s="77"/>
      <c r="P257" s="32"/>
      <c r="Q257" s="32"/>
      <c r="R257" s="32"/>
      <c r="S257" s="32"/>
    </row>
    <row r="258" spans="3:19" x14ac:dyDescent="0.3">
      <c r="C258" s="11"/>
      <c r="D258" s="32"/>
      <c r="E258" s="11"/>
      <c r="F258" t="str">
        <f>_xlfn.TEXTJOIN(", ",TRUE, Tabla38[[#This Row],[Tipo de escalera]],Tabla38[[#This Row],[Longitud]],Tabla38[[#This Row],[Carga Maxima]])</f>
        <v/>
      </c>
      <c r="G258" s="15"/>
      <c r="J258" s="15"/>
      <c r="K258" s="47"/>
      <c r="L258" s="76"/>
      <c r="M258" s="76"/>
      <c r="N258" s="78" t="str">
        <f>_xlfn.LET(
    _xlpm.itemBuscado, B258,
    _xlpm.areaBuscada, C258,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TEXT(COUNTIF($C$2:C258, _xlpm.areaBuscada), "0000"),
    _xlpm.codItem &amp; "-" &amp; _xlpm.codArea &amp; "-" &amp; _xlpm.secuencia
)</f>
        <v>-SinArea-0000</v>
      </c>
      <c r="O258" s="77"/>
      <c r="P258" s="32"/>
      <c r="Q258" s="32"/>
      <c r="R258" s="32"/>
      <c r="S258" s="32"/>
    </row>
    <row r="259" spans="3:19" x14ac:dyDescent="0.3">
      <c r="C259" s="11"/>
      <c r="D259" s="32"/>
      <c r="E259" s="11"/>
      <c r="F259" t="str">
        <f>_xlfn.TEXTJOIN(", ",TRUE, Tabla38[[#This Row],[Tipo de escalera]],Tabla38[[#This Row],[Longitud]],Tabla38[[#This Row],[Carga Maxima]])</f>
        <v/>
      </c>
      <c r="G259" s="15"/>
      <c r="J259" s="15"/>
      <c r="K259" s="47"/>
      <c r="L259" s="76"/>
      <c r="M259" s="76"/>
      <c r="N259" s="78" t="str">
        <f>_xlfn.LET(
    _xlpm.itemBuscado, B259,
    _xlpm.areaBuscada, C259,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TEXT(COUNTIF($C$2:C259, _xlpm.areaBuscada), "0000"),
    _xlpm.codItem &amp; "-" &amp; _xlpm.codArea &amp; "-" &amp; _xlpm.secuencia
)</f>
        <v>-SinArea-0000</v>
      </c>
      <c r="O259" s="77"/>
      <c r="P259" s="32"/>
      <c r="Q259" s="32"/>
      <c r="R259" s="32"/>
      <c r="S259" s="32"/>
    </row>
    <row r="260" spans="3:19" x14ac:dyDescent="0.3">
      <c r="C260" s="11"/>
      <c r="D260" s="32"/>
      <c r="E260" s="11"/>
      <c r="F260" t="str">
        <f>_xlfn.TEXTJOIN(", ",TRUE, Tabla38[[#This Row],[Tipo de escalera]],Tabla38[[#This Row],[Longitud]],Tabla38[[#This Row],[Carga Maxima]])</f>
        <v/>
      </c>
      <c r="G260" s="15"/>
      <c r="J260" s="15"/>
      <c r="K260" s="47"/>
      <c r="L260" s="76"/>
      <c r="M260" s="76"/>
      <c r="N260" s="78" t="str">
        <f>_xlfn.LET(
    _xlpm.itemBuscado, B260,
    _xlpm.areaBuscada, C260,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TEXT(COUNTIF($C$2:C260, _xlpm.areaBuscada), "0000"),
    _xlpm.codItem &amp; "-" &amp; _xlpm.codArea &amp; "-" &amp; _xlpm.secuencia
)</f>
        <v>-SinArea-0000</v>
      </c>
      <c r="O260" s="77"/>
      <c r="P260" s="32"/>
      <c r="Q260" s="32"/>
      <c r="R260" s="32"/>
      <c r="S260" s="32"/>
    </row>
    <row r="261" spans="3:19" x14ac:dyDescent="0.3">
      <c r="C261" s="11"/>
      <c r="D261" s="32"/>
      <c r="E261" s="11"/>
      <c r="F261" t="str">
        <f>_xlfn.TEXTJOIN(", ",TRUE, Tabla38[[#This Row],[Tipo de escalera]],Tabla38[[#This Row],[Longitud]],Tabla38[[#This Row],[Carga Maxima]])</f>
        <v/>
      </c>
      <c r="G261" s="15"/>
      <c r="J261" s="15"/>
      <c r="K261" s="47"/>
      <c r="L261" s="76"/>
      <c r="M261" s="76"/>
      <c r="N261" s="78" t="str">
        <f>_xlfn.LET(
    _xlpm.itemBuscado, B261,
    _xlpm.areaBuscada, C261,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TEXT(COUNTIF($C$2:C261, _xlpm.areaBuscada), "0000"),
    _xlpm.codItem &amp; "-" &amp; _xlpm.codArea &amp; "-" &amp; _xlpm.secuencia
)</f>
        <v>-SinArea-0000</v>
      </c>
      <c r="O261" s="77"/>
      <c r="P261" s="32"/>
      <c r="Q261" s="32"/>
      <c r="R261" s="32"/>
      <c r="S261" s="32"/>
    </row>
    <row r="262" spans="3:19" x14ac:dyDescent="0.3">
      <c r="C262" s="11"/>
      <c r="D262" s="32"/>
      <c r="E262" s="11"/>
      <c r="F262" t="str">
        <f>_xlfn.TEXTJOIN(", ",TRUE, Tabla38[[#This Row],[Tipo de escalera]],Tabla38[[#This Row],[Longitud]],Tabla38[[#This Row],[Carga Maxima]])</f>
        <v/>
      </c>
      <c r="G262" s="15"/>
      <c r="J262" s="15"/>
      <c r="K262" s="47"/>
      <c r="L262" s="76"/>
      <c r="M262" s="76"/>
      <c r="N262" s="78" t="str">
        <f>_xlfn.LET(
    _xlpm.itemBuscado, B262,
    _xlpm.areaBuscada, C262,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TEXT(COUNTIF($C$2:C262, _xlpm.areaBuscada), "0000"),
    _xlpm.codItem &amp; "-" &amp; _xlpm.codArea &amp; "-" &amp; _xlpm.secuencia
)</f>
        <v>-SinArea-0000</v>
      </c>
      <c r="O262" s="77"/>
      <c r="P262" s="32"/>
      <c r="Q262" s="32"/>
      <c r="R262" s="32"/>
      <c r="S262" s="32"/>
    </row>
    <row r="263" spans="3:19" x14ac:dyDescent="0.3">
      <c r="C263" s="11"/>
      <c r="D263" s="32"/>
      <c r="E263" s="11"/>
      <c r="F263" t="str">
        <f>_xlfn.TEXTJOIN(", ",TRUE, Tabla38[[#This Row],[Tipo de escalera]],Tabla38[[#This Row],[Longitud]],Tabla38[[#This Row],[Carga Maxima]])</f>
        <v/>
      </c>
      <c r="G263" s="15"/>
      <c r="J263" s="15"/>
      <c r="K263" s="47"/>
      <c r="L263" s="76"/>
      <c r="M263" s="76"/>
      <c r="N263" s="78" t="str">
        <f>_xlfn.LET(
    _xlpm.itemBuscado, B263,
    _xlpm.areaBuscada, C263,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TEXT(COUNTIF($C$2:C263, _xlpm.areaBuscada), "0000"),
    _xlpm.codItem &amp; "-" &amp; _xlpm.codArea &amp; "-" &amp; _xlpm.secuencia
)</f>
        <v>-SinArea-0000</v>
      </c>
      <c r="O263" s="77"/>
      <c r="P263" s="32"/>
      <c r="Q263" s="32"/>
      <c r="R263" s="32"/>
      <c r="S263" s="32"/>
    </row>
    <row r="264" spans="3:19" x14ac:dyDescent="0.3">
      <c r="C264" s="11"/>
      <c r="D264" s="32"/>
      <c r="E264" s="11"/>
      <c r="F264" t="str">
        <f>_xlfn.TEXTJOIN(", ",TRUE, Tabla38[[#This Row],[Tipo de escalera]],Tabla38[[#This Row],[Longitud]],Tabla38[[#This Row],[Carga Maxima]])</f>
        <v/>
      </c>
      <c r="G264" s="15"/>
      <c r="J264" s="15"/>
      <c r="K264" s="47"/>
      <c r="L264" s="76"/>
      <c r="M264" s="76"/>
      <c r="N264" s="78" t="str">
        <f>_xlfn.LET(
    _xlpm.itemBuscado, B264,
    _xlpm.areaBuscada, C264,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TEXT(COUNTIF($C$2:C264, _xlpm.areaBuscada), "0000"),
    _xlpm.codItem &amp; "-" &amp; _xlpm.codArea &amp; "-" &amp; _xlpm.secuencia
)</f>
        <v>-SinArea-0000</v>
      </c>
      <c r="O264" s="77"/>
      <c r="P264" s="32"/>
      <c r="Q264" s="32"/>
      <c r="R264" s="32"/>
      <c r="S264" s="32"/>
    </row>
    <row r="265" spans="3:19" x14ac:dyDescent="0.3">
      <c r="C265" s="11"/>
      <c r="D265" s="32"/>
      <c r="E265" s="11"/>
      <c r="F265" t="str">
        <f>_xlfn.TEXTJOIN(", ",TRUE, Tabla38[[#This Row],[Tipo de escalera]],Tabla38[[#This Row],[Longitud]],Tabla38[[#This Row],[Carga Maxima]])</f>
        <v/>
      </c>
      <c r="G265" s="15"/>
      <c r="J265" s="15"/>
      <c r="K265" s="47"/>
      <c r="L265" s="76"/>
      <c r="M265" s="76"/>
      <c r="N265" s="78" t="str">
        <f>_xlfn.LET(
    _xlpm.itemBuscado, B265,
    _xlpm.areaBuscada, C265,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TEXT(COUNTIF($C$2:C265, _xlpm.areaBuscada), "0000"),
    _xlpm.codItem &amp; "-" &amp; _xlpm.codArea &amp; "-" &amp; _xlpm.secuencia
)</f>
        <v>-SinArea-0000</v>
      </c>
      <c r="O265" s="77"/>
      <c r="P265" s="32"/>
      <c r="Q265" s="32"/>
      <c r="R265" s="32"/>
      <c r="S265" s="32"/>
    </row>
    <row r="266" spans="3:19" x14ac:dyDescent="0.3">
      <c r="C266" s="11"/>
      <c r="D266" s="32"/>
      <c r="E266" s="11"/>
      <c r="F266" t="str">
        <f>_xlfn.TEXTJOIN(", ",TRUE, Tabla38[[#This Row],[Tipo de escalera]],Tabla38[[#This Row],[Longitud]],Tabla38[[#This Row],[Carga Maxima]])</f>
        <v/>
      </c>
      <c r="G266" s="15"/>
      <c r="J266" s="15"/>
      <c r="K266" s="47"/>
      <c r="L266" s="76"/>
      <c r="M266" s="76"/>
      <c r="N266" s="78" t="str">
        <f>_xlfn.LET(
    _xlpm.itemBuscado, B266,
    _xlpm.areaBuscada, C266,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TEXT(COUNTIF($C$2:C266, _xlpm.areaBuscada), "0000"),
    _xlpm.codItem &amp; "-" &amp; _xlpm.codArea &amp; "-" &amp; _xlpm.secuencia
)</f>
        <v>-SinArea-0000</v>
      </c>
      <c r="O266" s="77"/>
      <c r="P266" s="32"/>
      <c r="Q266" s="32"/>
      <c r="R266" s="32"/>
      <c r="S266" s="32"/>
    </row>
    <row r="267" spans="3:19" x14ac:dyDescent="0.3">
      <c r="C267" s="11"/>
      <c r="D267" s="32"/>
      <c r="E267" s="11"/>
      <c r="F267" t="str">
        <f>_xlfn.TEXTJOIN(", ",TRUE, Tabla38[[#This Row],[Tipo de escalera]],Tabla38[[#This Row],[Longitud]],Tabla38[[#This Row],[Carga Maxima]])</f>
        <v/>
      </c>
      <c r="G267" s="15"/>
      <c r="J267" s="15"/>
      <c r="K267" s="47"/>
      <c r="L267" s="76"/>
      <c r="M267" s="76"/>
      <c r="N267" s="78" t="str">
        <f>_xlfn.LET(
    _xlpm.itemBuscado, B267,
    _xlpm.areaBuscada, C267,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TEXT(COUNTIF($C$2:C267, _xlpm.areaBuscada), "0000"),
    _xlpm.codItem &amp; "-" &amp; _xlpm.codArea &amp; "-" &amp; _xlpm.secuencia
)</f>
        <v>-SinArea-0000</v>
      </c>
      <c r="O267" s="77"/>
      <c r="P267" s="32"/>
      <c r="Q267" s="32"/>
      <c r="R267" s="32"/>
      <c r="S267" s="32"/>
    </row>
    <row r="268" spans="3:19" x14ac:dyDescent="0.3">
      <c r="C268" s="11"/>
      <c r="D268" s="32"/>
      <c r="E268" s="11"/>
      <c r="F268" t="str">
        <f>_xlfn.TEXTJOIN(", ",TRUE, Tabla38[[#This Row],[Tipo de escalera]],Tabla38[[#This Row],[Longitud]],Tabla38[[#This Row],[Carga Maxima]])</f>
        <v/>
      </c>
      <c r="G268" s="15"/>
      <c r="J268" s="15"/>
      <c r="K268" s="47"/>
      <c r="L268" s="76"/>
      <c r="M268" s="76"/>
      <c r="N268" s="78" t="str">
        <f>_xlfn.LET(
    _xlpm.itemBuscado, B268,
    _xlpm.areaBuscada, C268,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TEXT(COUNTIF($C$2:C268, _xlpm.areaBuscada), "0000"),
    _xlpm.codItem &amp; "-" &amp; _xlpm.codArea &amp; "-" &amp; _xlpm.secuencia
)</f>
        <v>-SinArea-0000</v>
      </c>
      <c r="O268" s="77"/>
      <c r="P268" s="32"/>
      <c r="Q268" s="32"/>
      <c r="R268" s="32"/>
      <c r="S268" s="32"/>
    </row>
    <row r="269" spans="3:19" x14ac:dyDescent="0.3">
      <c r="C269" s="11"/>
      <c r="D269" s="32"/>
      <c r="E269" s="11"/>
      <c r="F269" t="str">
        <f>_xlfn.TEXTJOIN(", ",TRUE, Tabla38[[#This Row],[Tipo de escalera]],Tabla38[[#This Row],[Longitud]],Tabla38[[#This Row],[Carga Maxima]])</f>
        <v/>
      </c>
      <c r="G269" s="15"/>
      <c r="J269" s="15"/>
      <c r="K269" s="47"/>
      <c r="L269" s="76"/>
      <c r="M269" s="76"/>
      <c r="N269" s="78" t="str">
        <f>_xlfn.LET(
    _xlpm.itemBuscado, B269,
    _xlpm.areaBuscada, C269,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TEXT(COUNTIF($C$2:C269, _xlpm.areaBuscada), "0000"),
    _xlpm.codItem &amp; "-" &amp; _xlpm.codArea &amp; "-" &amp; _xlpm.secuencia
)</f>
        <v>-SinArea-0000</v>
      </c>
      <c r="O269" s="77"/>
      <c r="P269" s="32"/>
      <c r="Q269" s="32"/>
      <c r="R269" s="32"/>
      <c r="S269" s="32"/>
    </row>
    <row r="270" spans="3:19" x14ac:dyDescent="0.3">
      <c r="C270" s="11"/>
      <c r="D270" s="32"/>
      <c r="E270" s="11"/>
      <c r="F270" t="str">
        <f>_xlfn.TEXTJOIN(", ",TRUE, Tabla38[[#This Row],[Tipo de escalera]],Tabla38[[#This Row],[Longitud]],Tabla38[[#This Row],[Carga Maxima]])</f>
        <v/>
      </c>
      <c r="G270" s="15"/>
      <c r="J270" s="15"/>
      <c r="K270" s="47"/>
      <c r="L270" s="76"/>
      <c r="M270" s="76"/>
      <c r="N270" s="78" t="str">
        <f>_xlfn.LET(
    _xlpm.itemBuscado, B270,
    _xlpm.areaBuscada, C270,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TEXT(COUNTIF($C$2:C270, _xlpm.areaBuscada), "0000"),
    _xlpm.codItem &amp; "-" &amp; _xlpm.codArea &amp; "-" &amp; _xlpm.secuencia
)</f>
        <v>-SinArea-0000</v>
      </c>
      <c r="O270" s="77"/>
      <c r="P270" s="32"/>
      <c r="Q270" s="32"/>
      <c r="R270" s="32"/>
      <c r="S270" s="32"/>
    </row>
    <row r="271" spans="3:19" x14ac:dyDescent="0.3">
      <c r="C271" s="11"/>
      <c r="D271" s="32"/>
      <c r="E271" s="11"/>
      <c r="F271" t="str">
        <f>_xlfn.TEXTJOIN(", ",TRUE, Tabla38[[#This Row],[Tipo de escalera]],Tabla38[[#This Row],[Longitud]],Tabla38[[#This Row],[Carga Maxima]])</f>
        <v/>
      </c>
      <c r="G271" s="15"/>
      <c r="J271" s="15"/>
      <c r="K271" s="47"/>
      <c r="L271" s="76"/>
      <c r="M271" s="76"/>
      <c r="N271" s="78" t="str">
        <f>_xlfn.LET(
    _xlpm.itemBuscado, B271,
    _xlpm.areaBuscada, C271,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TEXT(COUNTIF($C$2:C271, _xlpm.areaBuscada), "0000"),
    _xlpm.codItem &amp; "-" &amp; _xlpm.codArea &amp; "-" &amp; _xlpm.secuencia
)</f>
        <v>-SinArea-0000</v>
      </c>
      <c r="O271" s="77"/>
      <c r="P271" s="32"/>
      <c r="Q271" s="32"/>
      <c r="R271" s="32"/>
      <c r="S271" s="32"/>
    </row>
    <row r="272" spans="3:19" x14ac:dyDescent="0.3">
      <c r="C272" s="11"/>
      <c r="D272" s="32"/>
      <c r="E272" s="11"/>
      <c r="F272" t="str">
        <f>_xlfn.TEXTJOIN(", ",TRUE, Tabla38[[#This Row],[Tipo de escalera]],Tabla38[[#This Row],[Longitud]],Tabla38[[#This Row],[Carga Maxima]])</f>
        <v/>
      </c>
      <c r="G272" s="15"/>
      <c r="J272" s="15"/>
      <c r="K272" s="47"/>
      <c r="L272" s="76"/>
      <c r="M272" s="76"/>
      <c r="N272" s="78" t="str">
        <f>_xlfn.LET(
    _xlpm.itemBuscado, B272,
    _xlpm.areaBuscada, C272,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TEXT(COUNTIF($C$2:C272, _xlpm.areaBuscada), "0000"),
    _xlpm.codItem &amp; "-" &amp; _xlpm.codArea &amp; "-" &amp; _xlpm.secuencia
)</f>
        <v>-SinArea-0000</v>
      </c>
      <c r="O272" s="77"/>
      <c r="P272" s="32"/>
      <c r="Q272" s="32"/>
      <c r="R272" s="32"/>
      <c r="S272" s="32"/>
    </row>
    <row r="273" spans="3:19" x14ac:dyDescent="0.3">
      <c r="C273" s="11"/>
      <c r="D273" s="32"/>
      <c r="E273" s="11"/>
      <c r="F273" t="str">
        <f>_xlfn.TEXTJOIN(", ",TRUE, Tabla38[[#This Row],[Tipo de escalera]],Tabla38[[#This Row],[Longitud]],Tabla38[[#This Row],[Carga Maxima]])</f>
        <v/>
      </c>
      <c r="G273" s="15"/>
      <c r="J273" s="15"/>
      <c r="K273" s="47"/>
      <c r="L273" s="76"/>
      <c r="M273" s="76"/>
      <c r="N273" s="78" t="str">
        <f>_xlfn.LET(
    _xlpm.itemBuscado, B273,
    _xlpm.areaBuscada, C273,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TEXT(COUNTIF($C$2:C273, _xlpm.areaBuscada), "0000"),
    _xlpm.codItem &amp; "-" &amp; _xlpm.codArea &amp; "-" &amp; _xlpm.secuencia
)</f>
        <v>-SinArea-0000</v>
      </c>
      <c r="O273" s="77"/>
      <c r="P273" s="32"/>
      <c r="Q273" s="32"/>
      <c r="R273" s="32"/>
      <c r="S273" s="32"/>
    </row>
    <row r="274" spans="3:19" x14ac:dyDescent="0.3">
      <c r="C274" s="11"/>
      <c r="D274" s="32"/>
      <c r="E274" s="11"/>
      <c r="F274" t="str">
        <f>_xlfn.TEXTJOIN(", ",TRUE, Tabla38[[#This Row],[Tipo de escalera]],Tabla38[[#This Row],[Longitud]],Tabla38[[#This Row],[Carga Maxima]])</f>
        <v/>
      </c>
      <c r="G274" s="15"/>
      <c r="J274" s="15"/>
      <c r="K274" s="47"/>
      <c r="L274" s="76"/>
      <c r="M274" s="76"/>
      <c r="N274" s="78" t="str">
        <f>_xlfn.LET(
    _xlpm.itemBuscado, B274,
    _xlpm.areaBuscada, C274,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TEXT(COUNTIF($C$2:C274, _xlpm.areaBuscada), "0000"),
    _xlpm.codItem &amp; "-" &amp; _xlpm.codArea &amp; "-" &amp; _xlpm.secuencia
)</f>
        <v>-SinArea-0000</v>
      </c>
      <c r="O274" s="77"/>
      <c r="P274" s="32"/>
      <c r="Q274" s="32"/>
      <c r="R274" s="32"/>
      <c r="S274" s="32"/>
    </row>
    <row r="275" spans="3:19" x14ac:dyDescent="0.3">
      <c r="C275" s="11"/>
      <c r="D275" s="32"/>
      <c r="E275" s="11"/>
      <c r="F275" t="str">
        <f>_xlfn.TEXTJOIN(", ",TRUE, Tabla38[[#This Row],[Tipo de escalera]],Tabla38[[#This Row],[Longitud]],Tabla38[[#This Row],[Carga Maxima]])</f>
        <v/>
      </c>
      <c r="G275" s="15"/>
      <c r="J275" s="15"/>
      <c r="K275" s="47"/>
      <c r="L275" s="76"/>
      <c r="M275" s="76"/>
      <c r="N275" s="78" t="str">
        <f>_xlfn.LET(
    _xlpm.itemBuscado, B275,
    _xlpm.areaBuscada, C275,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TEXT(COUNTIF($C$2:C275, _xlpm.areaBuscada), "0000"),
    _xlpm.codItem &amp; "-" &amp; _xlpm.codArea &amp; "-" &amp; _xlpm.secuencia
)</f>
        <v>-SinArea-0000</v>
      </c>
      <c r="O275" s="77"/>
      <c r="P275" s="32"/>
      <c r="Q275" s="32"/>
      <c r="R275" s="32"/>
      <c r="S275" s="32"/>
    </row>
    <row r="276" spans="3:19" x14ac:dyDescent="0.3">
      <c r="C276" s="11"/>
      <c r="D276" s="32"/>
      <c r="E276" s="11"/>
      <c r="F276" t="str">
        <f>_xlfn.TEXTJOIN(", ",TRUE, Tabla38[[#This Row],[Tipo de escalera]],Tabla38[[#This Row],[Longitud]],Tabla38[[#This Row],[Carga Maxima]])</f>
        <v/>
      </c>
      <c r="G276" s="15"/>
      <c r="J276" s="15"/>
      <c r="K276" s="47"/>
      <c r="L276" s="76"/>
      <c r="M276" s="76"/>
      <c r="N276" s="78" t="str">
        <f>_xlfn.LET(
    _xlpm.itemBuscado, B276,
    _xlpm.areaBuscada, C276,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TEXT(COUNTIF($C$2:C276, _xlpm.areaBuscada), "0000"),
    _xlpm.codItem &amp; "-" &amp; _xlpm.codArea &amp; "-" &amp; _xlpm.secuencia
)</f>
        <v>-SinArea-0000</v>
      </c>
      <c r="O276" s="77"/>
      <c r="P276" s="32"/>
      <c r="Q276" s="32"/>
      <c r="R276" s="32"/>
      <c r="S276" s="32"/>
    </row>
    <row r="277" spans="3:19" x14ac:dyDescent="0.3">
      <c r="C277" s="11"/>
      <c r="D277" s="32"/>
      <c r="E277" s="11"/>
      <c r="F277" t="str">
        <f>_xlfn.TEXTJOIN(", ",TRUE, Tabla38[[#This Row],[Tipo de escalera]],Tabla38[[#This Row],[Longitud]],Tabla38[[#This Row],[Carga Maxima]])</f>
        <v/>
      </c>
      <c r="G277" s="15"/>
      <c r="J277" s="15"/>
      <c r="K277" s="47"/>
      <c r="L277" s="76"/>
      <c r="M277" s="76"/>
      <c r="N277" s="78" t="str">
        <f>_xlfn.LET(
    _xlpm.itemBuscado, B277,
    _xlpm.areaBuscada, C277,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TEXT(COUNTIF($C$2:C277, _xlpm.areaBuscada), "0000"),
    _xlpm.codItem &amp; "-" &amp; _xlpm.codArea &amp; "-" &amp; _xlpm.secuencia
)</f>
        <v>-SinArea-0000</v>
      </c>
      <c r="O277" s="77"/>
      <c r="P277" s="32"/>
      <c r="Q277" s="32"/>
      <c r="R277" s="32"/>
      <c r="S277" s="32"/>
    </row>
    <row r="278" spans="3:19" x14ac:dyDescent="0.3">
      <c r="C278" s="11"/>
      <c r="D278" s="32"/>
      <c r="E278" s="11"/>
      <c r="F278" t="str">
        <f>_xlfn.TEXTJOIN(", ",TRUE, Tabla38[[#This Row],[Tipo de escalera]],Tabla38[[#This Row],[Longitud]],Tabla38[[#This Row],[Carga Maxima]])</f>
        <v/>
      </c>
      <c r="G278" s="15"/>
      <c r="J278" s="15"/>
      <c r="K278" s="47"/>
      <c r="L278" s="76"/>
      <c r="M278" s="76"/>
      <c r="N278" s="78" t="str">
        <f>_xlfn.LET(
    _xlpm.itemBuscado, B278,
    _xlpm.areaBuscada, C278,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TEXT(COUNTIF($C$2:C278, _xlpm.areaBuscada), "0000"),
    _xlpm.codItem &amp; "-" &amp; _xlpm.codArea &amp; "-" &amp; _xlpm.secuencia
)</f>
        <v>-SinArea-0000</v>
      </c>
      <c r="O278" s="77"/>
      <c r="P278" s="32"/>
      <c r="Q278" s="32"/>
      <c r="R278" s="32"/>
      <c r="S278" s="32"/>
    </row>
    <row r="279" spans="3:19" x14ac:dyDescent="0.3">
      <c r="C279" s="11"/>
      <c r="D279" s="32"/>
      <c r="E279" s="11"/>
      <c r="F279" t="str">
        <f>_xlfn.TEXTJOIN(", ",TRUE, Tabla38[[#This Row],[Tipo de escalera]],Tabla38[[#This Row],[Longitud]],Tabla38[[#This Row],[Carga Maxima]])</f>
        <v/>
      </c>
      <c r="G279" s="15"/>
      <c r="J279" s="15"/>
      <c r="K279" s="47"/>
      <c r="L279" s="76"/>
      <c r="M279" s="76"/>
      <c r="N279" s="78" t="str">
        <f>_xlfn.LET(
    _xlpm.itemBuscado, B279,
    _xlpm.areaBuscada, C279,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TEXT(COUNTIF($C$2:C279, _xlpm.areaBuscada), "0000"),
    _xlpm.codItem &amp; "-" &amp; _xlpm.codArea &amp; "-" &amp; _xlpm.secuencia
)</f>
        <v>-SinArea-0000</v>
      </c>
      <c r="O279" s="77"/>
      <c r="P279" s="32"/>
      <c r="Q279" s="32"/>
      <c r="R279" s="32"/>
      <c r="S279" s="32"/>
    </row>
    <row r="280" spans="3:19" x14ac:dyDescent="0.3">
      <c r="C280" s="11"/>
      <c r="D280" s="32"/>
      <c r="E280" s="11"/>
      <c r="F280" t="str">
        <f>_xlfn.TEXTJOIN(", ",TRUE, Tabla38[[#This Row],[Tipo de escalera]],Tabla38[[#This Row],[Longitud]],Tabla38[[#This Row],[Carga Maxima]])</f>
        <v/>
      </c>
      <c r="G280" s="15"/>
      <c r="J280" s="15"/>
      <c r="K280" s="47"/>
      <c r="L280" s="76"/>
      <c r="M280" s="76"/>
      <c r="N280" s="78" t="str">
        <f>_xlfn.LET(
    _xlpm.itemBuscado, B280,
    _xlpm.areaBuscada, C280,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TEXT(COUNTIF($C$2:C280, _xlpm.areaBuscada), "0000"),
    _xlpm.codItem &amp; "-" &amp; _xlpm.codArea &amp; "-" &amp; _xlpm.secuencia
)</f>
        <v>-SinArea-0000</v>
      </c>
      <c r="O280" s="77"/>
      <c r="P280" s="32"/>
      <c r="Q280" s="32"/>
      <c r="R280" s="32"/>
      <c r="S280" s="32"/>
    </row>
    <row r="281" spans="3:19" x14ac:dyDescent="0.3">
      <c r="C281" s="11"/>
      <c r="D281" s="32"/>
      <c r="E281" s="11"/>
      <c r="F281" t="str">
        <f>_xlfn.TEXTJOIN(", ",TRUE, Tabla38[[#This Row],[Tipo de escalera]],Tabla38[[#This Row],[Longitud]],Tabla38[[#This Row],[Carga Maxima]])</f>
        <v/>
      </c>
      <c r="G281" s="15"/>
      <c r="J281" s="15"/>
      <c r="K281" s="47"/>
      <c r="L281" s="76"/>
      <c r="M281" s="76"/>
      <c r="N281" s="78" t="str">
        <f>_xlfn.LET(
    _xlpm.itemBuscado, B281,
    _xlpm.areaBuscada, C281,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TEXT(COUNTIF($C$2:C281, _xlpm.areaBuscada), "0000"),
    _xlpm.codItem &amp; "-" &amp; _xlpm.codArea &amp; "-" &amp; _xlpm.secuencia
)</f>
        <v>-SinArea-0000</v>
      </c>
      <c r="O281" s="77"/>
      <c r="P281" s="32"/>
      <c r="Q281" s="32"/>
      <c r="R281" s="32"/>
      <c r="S281" s="32"/>
    </row>
    <row r="282" spans="3:19" x14ac:dyDescent="0.3">
      <c r="C282" s="11"/>
      <c r="D282" s="32"/>
      <c r="E282" s="11"/>
      <c r="F282" t="str">
        <f>_xlfn.TEXTJOIN(", ",TRUE, Tabla38[[#This Row],[Tipo de escalera]],Tabla38[[#This Row],[Longitud]],Tabla38[[#This Row],[Carga Maxima]])</f>
        <v/>
      </c>
      <c r="G282" s="15"/>
      <c r="J282" s="15"/>
      <c r="K282" s="47"/>
      <c r="L282" s="76"/>
      <c r="M282" s="76"/>
      <c r="N282" s="78" t="str">
        <f>_xlfn.LET(
    _xlpm.itemBuscado, B282,
    _xlpm.areaBuscada, C282,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TEXT(COUNTIF($C$2:C282, _xlpm.areaBuscada), "0000"),
    _xlpm.codItem &amp; "-" &amp; _xlpm.codArea &amp; "-" &amp; _xlpm.secuencia
)</f>
        <v>-SinArea-0000</v>
      </c>
      <c r="O282" s="77"/>
      <c r="P282" s="32"/>
      <c r="Q282" s="32"/>
      <c r="R282" s="32"/>
      <c r="S282" s="32"/>
    </row>
    <row r="283" spans="3:19" x14ac:dyDescent="0.3">
      <c r="C283" s="11"/>
      <c r="D283" s="32"/>
      <c r="E283" s="11"/>
      <c r="F283" t="str">
        <f>_xlfn.TEXTJOIN(", ",TRUE, Tabla38[[#This Row],[Tipo de escalera]],Tabla38[[#This Row],[Longitud]],Tabla38[[#This Row],[Carga Maxima]])</f>
        <v/>
      </c>
      <c r="G283" s="15"/>
      <c r="J283" s="15"/>
      <c r="K283" s="47"/>
      <c r="L283" s="76"/>
      <c r="M283" s="76"/>
      <c r="N283" s="78" t="str">
        <f>_xlfn.LET(
    _xlpm.itemBuscado, B283,
    _xlpm.areaBuscada, C283,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TEXT(COUNTIF($C$2:C283, _xlpm.areaBuscada), "0000"),
    _xlpm.codItem &amp; "-" &amp; _xlpm.codArea &amp; "-" &amp; _xlpm.secuencia
)</f>
        <v>-SinArea-0000</v>
      </c>
      <c r="O283" s="77"/>
      <c r="P283" s="32"/>
      <c r="Q283" s="32"/>
      <c r="R283" s="32"/>
      <c r="S283" s="32"/>
    </row>
    <row r="284" spans="3:19" x14ac:dyDescent="0.3">
      <c r="C284" s="11"/>
      <c r="D284" s="32"/>
      <c r="E284" s="11"/>
      <c r="F284" t="str">
        <f>_xlfn.TEXTJOIN(", ",TRUE, Tabla38[[#This Row],[Tipo de escalera]],Tabla38[[#This Row],[Longitud]],Tabla38[[#This Row],[Carga Maxima]])</f>
        <v/>
      </c>
      <c r="G284" s="15"/>
      <c r="J284" s="15"/>
      <c r="K284" s="47"/>
      <c r="L284" s="76"/>
      <c r="M284" s="76"/>
      <c r="N284" s="78" t="str">
        <f>_xlfn.LET(
    _xlpm.itemBuscado, B284,
    _xlpm.areaBuscada, C284,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TEXT(COUNTIF($C$2:C284, _xlpm.areaBuscada), "0000"),
    _xlpm.codItem &amp; "-" &amp; _xlpm.codArea &amp; "-" &amp; _xlpm.secuencia
)</f>
        <v>-SinArea-0000</v>
      </c>
      <c r="O284" s="77"/>
      <c r="P284" s="32"/>
      <c r="Q284" s="32"/>
      <c r="R284" s="32"/>
      <c r="S284" s="32"/>
    </row>
    <row r="285" spans="3:19" x14ac:dyDescent="0.3">
      <c r="C285" s="11"/>
      <c r="D285" s="32"/>
      <c r="E285" s="11"/>
      <c r="F285" t="str">
        <f>_xlfn.TEXTJOIN(", ",TRUE, Tabla38[[#This Row],[Tipo de escalera]],Tabla38[[#This Row],[Longitud]],Tabla38[[#This Row],[Carga Maxima]])</f>
        <v/>
      </c>
      <c r="G285" s="15"/>
      <c r="J285" s="15"/>
      <c r="K285" s="47"/>
      <c r="L285" s="76"/>
      <c r="M285" s="76"/>
      <c r="N285" s="78" t="str">
        <f>_xlfn.LET(
    _xlpm.itemBuscado, B285,
    _xlpm.areaBuscada, C285,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TEXT(COUNTIF($C$2:C285, _xlpm.areaBuscada), "0000"),
    _xlpm.codItem &amp; "-" &amp; _xlpm.codArea &amp; "-" &amp; _xlpm.secuencia
)</f>
        <v>-SinArea-0000</v>
      </c>
      <c r="O285" s="77"/>
      <c r="P285" s="32"/>
      <c r="Q285" s="32"/>
      <c r="R285" s="32"/>
      <c r="S285" s="32"/>
    </row>
    <row r="286" spans="3:19" x14ac:dyDescent="0.3">
      <c r="C286" s="11"/>
      <c r="D286" s="32"/>
      <c r="E286" s="11"/>
      <c r="F286" t="str">
        <f>_xlfn.TEXTJOIN(", ",TRUE, Tabla38[[#This Row],[Tipo de escalera]],Tabla38[[#This Row],[Longitud]],Tabla38[[#This Row],[Carga Maxima]])</f>
        <v/>
      </c>
      <c r="G286" s="15"/>
      <c r="J286" s="15"/>
      <c r="K286" s="47"/>
      <c r="L286" s="76"/>
      <c r="M286" s="76"/>
      <c r="N286" s="78" t="str">
        <f>_xlfn.LET(
    _xlpm.itemBuscado, B286,
    _xlpm.areaBuscada, C286,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TEXT(COUNTIF($C$2:C286, _xlpm.areaBuscada), "0000"),
    _xlpm.codItem &amp; "-" &amp; _xlpm.codArea &amp; "-" &amp; _xlpm.secuencia
)</f>
        <v>-SinArea-0000</v>
      </c>
      <c r="O286" s="77"/>
      <c r="P286" s="32"/>
      <c r="Q286" s="32"/>
      <c r="R286" s="32"/>
      <c r="S286" s="32"/>
    </row>
    <row r="287" spans="3:19" x14ac:dyDescent="0.3">
      <c r="C287" s="11"/>
      <c r="D287" s="32"/>
      <c r="E287" s="11"/>
      <c r="F287" t="str">
        <f>_xlfn.TEXTJOIN(", ",TRUE, Tabla38[[#This Row],[Tipo de escalera]],Tabla38[[#This Row],[Longitud]],Tabla38[[#This Row],[Carga Maxima]])</f>
        <v/>
      </c>
      <c r="G287" s="15"/>
      <c r="J287" s="15"/>
      <c r="K287" s="47"/>
      <c r="L287" s="76"/>
      <c r="M287" s="76"/>
      <c r="N287" s="78" t="str">
        <f>_xlfn.LET(
    _xlpm.itemBuscado, B287,
    _xlpm.areaBuscada, C287,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TEXT(COUNTIF($C$2:C287, _xlpm.areaBuscada), "0000"),
    _xlpm.codItem &amp; "-" &amp; _xlpm.codArea &amp; "-" &amp; _xlpm.secuencia
)</f>
        <v>-SinArea-0000</v>
      </c>
      <c r="O287" s="77"/>
      <c r="P287" s="32"/>
      <c r="Q287" s="32"/>
      <c r="R287" s="32"/>
      <c r="S287" s="32"/>
    </row>
    <row r="288" spans="3:19" x14ac:dyDescent="0.3">
      <c r="C288" s="11"/>
      <c r="D288" s="32"/>
      <c r="E288" s="11"/>
      <c r="F288" t="str">
        <f>_xlfn.TEXTJOIN(", ",TRUE, Tabla38[[#This Row],[Tipo de escalera]],Tabla38[[#This Row],[Longitud]],Tabla38[[#This Row],[Carga Maxima]])</f>
        <v/>
      </c>
      <c r="G288" s="15"/>
      <c r="J288" s="15"/>
      <c r="K288" s="47"/>
      <c r="L288" s="76"/>
      <c r="M288" s="76"/>
      <c r="N288" s="78" t="str">
        <f>_xlfn.LET(
    _xlpm.itemBuscado, B288,
    _xlpm.areaBuscada, C288,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TEXT(COUNTIF($C$2:C288, _xlpm.areaBuscada), "0000"),
    _xlpm.codItem &amp; "-" &amp; _xlpm.codArea &amp; "-" &amp; _xlpm.secuencia
)</f>
        <v>-SinArea-0000</v>
      </c>
      <c r="O288" s="77"/>
      <c r="P288" s="32"/>
      <c r="Q288" s="32"/>
      <c r="R288" s="32"/>
      <c r="S288" s="32"/>
    </row>
    <row r="289" spans="3:19" x14ac:dyDescent="0.3">
      <c r="C289" s="11"/>
      <c r="D289" s="32"/>
      <c r="E289" s="11"/>
      <c r="F289" t="str">
        <f>_xlfn.TEXTJOIN(", ",TRUE, Tabla38[[#This Row],[Tipo de escalera]],Tabla38[[#This Row],[Longitud]],Tabla38[[#This Row],[Carga Maxima]])</f>
        <v/>
      </c>
      <c r="G289" s="15"/>
      <c r="J289" s="15"/>
      <c r="K289" s="47"/>
      <c r="L289" s="76"/>
      <c r="M289" s="76"/>
      <c r="N289" s="78" t="str">
        <f>_xlfn.LET(
    _xlpm.itemBuscado, B289,
    _xlpm.areaBuscada, C289,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TEXT(COUNTIF($C$2:C289, _xlpm.areaBuscada), "0000"),
    _xlpm.codItem &amp; "-" &amp; _xlpm.codArea &amp; "-" &amp; _xlpm.secuencia
)</f>
        <v>-SinArea-0000</v>
      </c>
      <c r="O289" s="77"/>
      <c r="P289" s="32"/>
      <c r="Q289" s="32"/>
      <c r="R289" s="32"/>
      <c r="S289" s="32"/>
    </row>
    <row r="290" spans="3:19" x14ac:dyDescent="0.3">
      <c r="C290" s="11"/>
      <c r="D290" s="32"/>
      <c r="E290" s="11"/>
      <c r="F290" t="str">
        <f>_xlfn.TEXTJOIN(", ",TRUE, Tabla38[[#This Row],[Tipo de escalera]],Tabla38[[#This Row],[Longitud]],Tabla38[[#This Row],[Carga Maxima]])</f>
        <v/>
      </c>
      <c r="G290" s="15"/>
      <c r="J290" s="15"/>
      <c r="K290" s="47"/>
      <c r="L290" s="76"/>
      <c r="M290" s="76"/>
      <c r="N290" s="78" t="str">
        <f>_xlfn.LET(
    _xlpm.itemBuscado, B290,
    _xlpm.areaBuscada, C290,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TEXT(COUNTIF($C$2:C290, _xlpm.areaBuscada), "0000"),
    _xlpm.codItem &amp; "-" &amp; _xlpm.codArea &amp; "-" &amp; _xlpm.secuencia
)</f>
        <v>-SinArea-0000</v>
      </c>
      <c r="O290" s="77"/>
      <c r="P290" s="32"/>
      <c r="Q290" s="32"/>
      <c r="R290" s="32"/>
      <c r="S290" s="32"/>
    </row>
    <row r="291" spans="3:19" x14ac:dyDescent="0.3">
      <c r="C291" s="11"/>
      <c r="D291" s="32"/>
      <c r="E291" s="11"/>
      <c r="F291" t="str">
        <f>_xlfn.TEXTJOIN(", ",TRUE, Tabla38[[#This Row],[Tipo de escalera]],Tabla38[[#This Row],[Longitud]],Tabla38[[#This Row],[Carga Maxima]])</f>
        <v/>
      </c>
      <c r="G291" s="15"/>
      <c r="J291" s="15"/>
      <c r="K291" s="47"/>
      <c r="L291" s="76"/>
      <c r="M291" s="76"/>
      <c r="N291" s="78" t="str">
        <f>_xlfn.LET(
    _xlpm.itemBuscado, B291,
    _xlpm.areaBuscada, C291,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TEXT(COUNTIF($C$2:C291, _xlpm.areaBuscada), "0000"),
    _xlpm.codItem &amp; "-" &amp; _xlpm.codArea &amp; "-" &amp; _xlpm.secuencia
)</f>
        <v>-SinArea-0000</v>
      </c>
      <c r="O291" s="77"/>
      <c r="P291" s="32"/>
      <c r="Q291" s="32"/>
      <c r="R291" s="32"/>
      <c r="S291" s="32"/>
    </row>
    <row r="292" spans="3:19" x14ac:dyDescent="0.3">
      <c r="C292" s="11"/>
      <c r="D292" s="32"/>
      <c r="E292" s="11"/>
      <c r="F292" t="str">
        <f>_xlfn.TEXTJOIN(", ",TRUE, Tabla38[[#This Row],[Tipo de escalera]],Tabla38[[#This Row],[Longitud]],Tabla38[[#This Row],[Carga Maxima]])</f>
        <v/>
      </c>
      <c r="G292" s="15"/>
      <c r="J292" s="15"/>
      <c r="K292" s="47"/>
      <c r="L292" s="76"/>
      <c r="M292" s="76"/>
      <c r="N292" s="78" t="str">
        <f>_xlfn.LET(
    _xlpm.itemBuscado, B292,
    _xlpm.areaBuscada, C292,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TEXT(COUNTIF($C$2:C292, _xlpm.areaBuscada), "0000"),
    _xlpm.codItem &amp; "-" &amp; _xlpm.codArea &amp; "-" &amp; _xlpm.secuencia
)</f>
        <v>-SinArea-0000</v>
      </c>
      <c r="O292" s="77"/>
      <c r="P292" s="32"/>
      <c r="Q292" s="32"/>
      <c r="R292" s="32"/>
      <c r="S292" s="32"/>
    </row>
    <row r="293" spans="3:19" x14ac:dyDescent="0.3">
      <c r="C293" s="11"/>
      <c r="D293" s="32"/>
      <c r="E293" s="11"/>
      <c r="F293" t="str">
        <f>_xlfn.TEXTJOIN(", ",TRUE, Tabla38[[#This Row],[Tipo de escalera]],Tabla38[[#This Row],[Longitud]],Tabla38[[#This Row],[Carga Maxima]])</f>
        <v/>
      </c>
      <c r="G293" s="15"/>
      <c r="J293" s="15"/>
      <c r="K293" s="47"/>
      <c r="L293" s="76"/>
      <c r="M293" s="76"/>
      <c r="N293" s="78" t="str">
        <f>_xlfn.LET(
    _xlpm.itemBuscado, B293,
    _xlpm.areaBuscada, C293,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TEXT(COUNTIF($C$2:C293, _xlpm.areaBuscada), "0000"),
    _xlpm.codItem &amp; "-" &amp; _xlpm.codArea &amp; "-" &amp; _xlpm.secuencia
)</f>
        <v>-SinArea-0000</v>
      </c>
      <c r="O293" s="77"/>
      <c r="P293" s="32"/>
      <c r="Q293" s="32"/>
      <c r="R293" s="32"/>
      <c r="S293" s="32"/>
    </row>
    <row r="294" spans="3:19" x14ac:dyDescent="0.3">
      <c r="C294" s="11"/>
      <c r="D294" s="32"/>
      <c r="E294" s="11"/>
      <c r="F294" t="str">
        <f>_xlfn.TEXTJOIN(", ",TRUE, Tabla38[[#This Row],[Tipo de escalera]],Tabla38[[#This Row],[Longitud]],Tabla38[[#This Row],[Carga Maxima]])</f>
        <v/>
      </c>
      <c r="G294" s="15"/>
      <c r="J294" s="15"/>
      <c r="K294" s="47"/>
      <c r="L294" s="76"/>
      <c r="M294" s="76"/>
      <c r="N294" s="78" t="str">
        <f>_xlfn.LET(
    _xlpm.itemBuscado, B294,
    _xlpm.areaBuscada, C294,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TEXT(COUNTIF($C$2:C294, _xlpm.areaBuscada), "0000"),
    _xlpm.codItem &amp; "-" &amp; _xlpm.codArea &amp; "-" &amp; _xlpm.secuencia
)</f>
        <v>-SinArea-0000</v>
      </c>
      <c r="O294" s="77"/>
      <c r="P294" s="32"/>
      <c r="Q294" s="32"/>
      <c r="R294" s="32"/>
      <c r="S294" s="32"/>
    </row>
    <row r="295" spans="3:19" x14ac:dyDescent="0.3">
      <c r="C295" s="11"/>
      <c r="D295" s="32"/>
      <c r="E295" s="11"/>
      <c r="F295" t="str">
        <f>_xlfn.TEXTJOIN(", ",TRUE, Tabla38[[#This Row],[Tipo de escalera]],Tabla38[[#This Row],[Longitud]],Tabla38[[#This Row],[Carga Maxima]])</f>
        <v/>
      </c>
      <c r="G295" s="15"/>
      <c r="J295" s="15"/>
      <c r="K295" s="47"/>
      <c r="L295" s="76"/>
      <c r="M295" s="76"/>
      <c r="N295" s="78" t="str">
        <f>_xlfn.LET(
    _xlpm.itemBuscado, B295,
    _xlpm.areaBuscada, C295,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TEXT(COUNTIF($C$2:C295, _xlpm.areaBuscada), "0000"),
    _xlpm.codItem &amp; "-" &amp; _xlpm.codArea &amp; "-" &amp; _xlpm.secuencia
)</f>
        <v>-SinArea-0000</v>
      </c>
      <c r="O295" s="77"/>
      <c r="P295" s="32"/>
      <c r="Q295" s="32"/>
      <c r="R295" s="32"/>
      <c r="S295" s="32"/>
    </row>
    <row r="296" spans="3:19" x14ac:dyDescent="0.3">
      <c r="C296" s="11"/>
      <c r="D296" s="32"/>
      <c r="E296" s="11"/>
      <c r="F296" t="str">
        <f>_xlfn.TEXTJOIN(", ",TRUE, Tabla38[[#This Row],[Tipo de escalera]],Tabla38[[#This Row],[Longitud]],Tabla38[[#This Row],[Carga Maxima]])</f>
        <v/>
      </c>
      <c r="G296" s="15"/>
      <c r="J296" s="15"/>
      <c r="K296" s="47"/>
      <c r="L296" s="76"/>
      <c r="M296" s="76"/>
      <c r="N296" s="78" t="str">
        <f>_xlfn.LET(
    _xlpm.itemBuscado, B296,
    _xlpm.areaBuscada, C296,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TEXT(COUNTIF($C$2:C296, _xlpm.areaBuscada), "0000"),
    _xlpm.codItem &amp; "-" &amp; _xlpm.codArea &amp; "-" &amp; _xlpm.secuencia
)</f>
        <v>-SinArea-0000</v>
      </c>
      <c r="O296" s="77"/>
      <c r="P296" s="32"/>
      <c r="Q296" s="32"/>
      <c r="R296" s="32"/>
      <c r="S296" s="32"/>
    </row>
    <row r="297" spans="3:19" x14ac:dyDescent="0.3">
      <c r="C297" s="11"/>
      <c r="D297" s="32"/>
      <c r="E297" s="11"/>
      <c r="F297" t="str">
        <f>_xlfn.TEXTJOIN(", ",TRUE, Tabla38[[#This Row],[Tipo de escalera]],Tabla38[[#This Row],[Longitud]],Tabla38[[#This Row],[Carga Maxima]])</f>
        <v/>
      </c>
      <c r="G297" s="15"/>
      <c r="J297" s="15"/>
      <c r="K297" s="47"/>
      <c r="L297" s="76"/>
      <c r="M297" s="76"/>
      <c r="N297" s="78" t="str">
        <f>_xlfn.LET(
    _xlpm.itemBuscado, B297,
    _xlpm.areaBuscada, C297,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TEXT(COUNTIF($C$2:C297, _xlpm.areaBuscada), "0000"),
    _xlpm.codItem &amp; "-" &amp; _xlpm.codArea &amp; "-" &amp; _xlpm.secuencia
)</f>
        <v>-SinArea-0000</v>
      </c>
      <c r="O297" s="77"/>
      <c r="P297" s="32"/>
      <c r="Q297" s="32"/>
      <c r="R297" s="32"/>
      <c r="S297" s="32"/>
    </row>
    <row r="298" spans="3:19" x14ac:dyDescent="0.3">
      <c r="C298" s="11"/>
      <c r="D298" s="32"/>
      <c r="E298" s="11"/>
      <c r="F298" t="str">
        <f>_xlfn.TEXTJOIN(", ",TRUE, Tabla38[[#This Row],[Tipo de escalera]],Tabla38[[#This Row],[Longitud]],Tabla38[[#This Row],[Carga Maxima]])</f>
        <v/>
      </c>
      <c r="G298" s="15"/>
      <c r="J298" s="15"/>
      <c r="K298" s="47"/>
      <c r="L298" s="76"/>
      <c r="M298" s="76"/>
      <c r="N298" s="78" t="str">
        <f>_xlfn.LET(
    _xlpm.itemBuscado, B298,
    _xlpm.areaBuscada, C298,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TEXT(COUNTIF($C$2:C298, _xlpm.areaBuscada), "0000"),
    _xlpm.codItem &amp; "-" &amp; _xlpm.codArea &amp; "-" &amp; _xlpm.secuencia
)</f>
        <v>-SinArea-0000</v>
      </c>
      <c r="O298" s="77"/>
      <c r="P298" s="32"/>
      <c r="Q298" s="32"/>
      <c r="R298" s="32"/>
      <c r="S298" s="32"/>
    </row>
    <row r="299" spans="3:19" x14ac:dyDescent="0.3">
      <c r="C299" s="11"/>
      <c r="D299" s="32"/>
      <c r="E299" s="11"/>
      <c r="F299" t="str">
        <f>_xlfn.TEXTJOIN(", ",TRUE, Tabla38[[#This Row],[Tipo de escalera]],Tabla38[[#This Row],[Longitud]],Tabla38[[#This Row],[Carga Maxima]])</f>
        <v/>
      </c>
      <c r="G299" s="15"/>
      <c r="J299" s="15"/>
      <c r="K299" s="47"/>
      <c r="L299" s="76"/>
      <c r="M299" s="76"/>
      <c r="N299" s="78" t="str">
        <f>_xlfn.LET(
    _xlpm.itemBuscado, B299,
    _xlpm.areaBuscada, C299,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TEXT(COUNTIF($C$2:C299, _xlpm.areaBuscada), "0000"),
    _xlpm.codItem &amp; "-" &amp; _xlpm.codArea &amp; "-" &amp; _xlpm.secuencia
)</f>
        <v>-SinArea-0000</v>
      </c>
      <c r="O299" s="77"/>
      <c r="P299" s="32"/>
      <c r="Q299" s="32"/>
      <c r="R299" s="32"/>
      <c r="S299" s="32"/>
    </row>
    <row r="300" spans="3:19" x14ac:dyDescent="0.3">
      <c r="C300" s="11"/>
      <c r="D300" s="32"/>
      <c r="E300" s="11"/>
      <c r="F300" t="str">
        <f>_xlfn.TEXTJOIN(", ",TRUE, Tabla38[[#This Row],[Tipo de escalera]],Tabla38[[#This Row],[Longitud]],Tabla38[[#This Row],[Carga Maxima]])</f>
        <v/>
      </c>
      <c r="G300" s="15"/>
      <c r="J300" s="15"/>
      <c r="K300" s="47"/>
      <c r="L300" s="76"/>
      <c r="M300" s="76"/>
      <c r="N300" s="78" t="str">
        <f>_xlfn.LET(
    _xlpm.itemBuscado, B300,
    _xlpm.areaBuscada, C300,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TEXT(COUNTIF($C$2:C300, _xlpm.areaBuscada), "0000"),
    _xlpm.codItem &amp; "-" &amp; _xlpm.codArea &amp; "-" &amp; _xlpm.secuencia
)</f>
        <v>-SinArea-0000</v>
      </c>
      <c r="O300" s="77"/>
      <c r="P300" s="32"/>
      <c r="Q300" s="32"/>
      <c r="R300" s="32"/>
      <c r="S300" s="32"/>
    </row>
    <row r="301" spans="3:19" x14ac:dyDescent="0.3">
      <c r="C301" s="11"/>
      <c r="D301" s="32"/>
      <c r="E301" s="11"/>
      <c r="F301" t="str">
        <f>_xlfn.TEXTJOIN(", ",TRUE, Tabla38[[#This Row],[Tipo de escalera]],Tabla38[[#This Row],[Longitud]],Tabla38[[#This Row],[Carga Maxima]])</f>
        <v/>
      </c>
      <c r="G301" s="15"/>
      <c r="J301" s="15"/>
      <c r="K301" s="47"/>
      <c r="L301" s="76"/>
      <c r="M301" s="76"/>
      <c r="N301" s="78" t="str">
        <f>_xlfn.LET(
    _xlpm.itemBuscado, B301,
    _xlpm.areaBuscada, C301,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TEXT(COUNTIF($C$2:C301, _xlpm.areaBuscada), "0000"),
    _xlpm.codItem &amp; "-" &amp; _xlpm.codArea &amp; "-" &amp; _xlpm.secuencia
)</f>
        <v>-SinArea-0000</v>
      </c>
      <c r="O301" s="77"/>
      <c r="P301" s="32"/>
      <c r="Q301" s="32"/>
      <c r="R301" s="32"/>
      <c r="S301" s="32"/>
    </row>
    <row r="302" spans="3:19" x14ac:dyDescent="0.3">
      <c r="C302" s="11"/>
      <c r="D302" s="32"/>
      <c r="E302" s="11"/>
      <c r="F302" t="str">
        <f>_xlfn.TEXTJOIN(", ",TRUE, Tabla38[[#This Row],[Tipo de escalera]],Tabla38[[#This Row],[Longitud]],Tabla38[[#This Row],[Carga Maxima]])</f>
        <v/>
      </c>
      <c r="G302" s="15"/>
      <c r="J302" s="15"/>
      <c r="K302" s="47"/>
      <c r="L302" s="76"/>
      <c r="M302" s="76"/>
      <c r="N302" s="78" t="str">
        <f>_xlfn.LET(
    _xlpm.itemBuscado, B302,
    _xlpm.areaBuscada, C302,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TEXT(COUNTIF($C$2:C302, _xlpm.areaBuscada), "0000"),
    _xlpm.codItem &amp; "-" &amp; _xlpm.codArea &amp; "-" &amp; _xlpm.secuencia
)</f>
        <v>-SinArea-0000</v>
      </c>
      <c r="O302" s="77"/>
      <c r="P302" s="32"/>
      <c r="Q302" s="32"/>
      <c r="R302" s="32"/>
      <c r="S302" s="32"/>
    </row>
    <row r="303" spans="3:19" x14ac:dyDescent="0.3">
      <c r="C303" s="11"/>
      <c r="D303" s="32"/>
      <c r="E303" s="11"/>
      <c r="F303" t="str">
        <f>_xlfn.TEXTJOIN(", ",TRUE, Tabla38[[#This Row],[Tipo de escalera]],Tabla38[[#This Row],[Longitud]],Tabla38[[#This Row],[Carga Maxima]])</f>
        <v/>
      </c>
      <c r="G303" s="15"/>
      <c r="J303" s="15"/>
      <c r="K303" s="47"/>
      <c r="L303" s="76"/>
      <c r="M303" s="76"/>
      <c r="N303" s="78" t="str">
        <f>_xlfn.LET(
    _xlpm.itemBuscado, B303,
    _xlpm.areaBuscada, C303,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TEXT(COUNTIF($C$2:C303, _xlpm.areaBuscada), "0000"),
    _xlpm.codItem &amp; "-" &amp; _xlpm.codArea &amp; "-" &amp; _xlpm.secuencia
)</f>
        <v>-SinArea-0000</v>
      </c>
      <c r="O303" s="77"/>
      <c r="P303" s="32"/>
      <c r="Q303" s="32"/>
      <c r="R303" s="32"/>
      <c r="S303" s="32"/>
    </row>
    <row r="304" spans="3:19" x14ac:dyDescent="0.3">
      <c r="C304" s="11"/>
      <c r="D304" s="32"/>
      <c r="E304" s="11"/>
      <c r="F304" t="str">
        <f>_xlfn.TEXTJOIN(", ",TRUE, Tabla38[[#This Row],[Tipo de escalera]],Tabla38[[#This Row],[Longitud]],Tabla38[[#This Row],[Carga Maxima]])</f>
        <v/>
      </c>
      <c r="G304" s="15"/>
      <c r="J304" s="15"/>
      <c r="K304" s="47"/>
      <c r="L304" s="76"/>
      <c r="M304" s="76"/>
      <c r="N304" s="78" t="str">
        <f>_xlfn.LET(
    _xlpm.itemBuscado, B304,
    _xlpm.areaBuscada, C304,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TEXT(COUNTIF($C$2:C304, _xlpm.areaBuscada), "0000"),
    _xlpm.codItem &amp; "-" &amp; _xlpm.codArea &amp; "-" &amp; _xlpm.secuencia
)</f>
        <v>-SinArea-0000</v>
      </c>
      <c r="O304" s="77"/>
      <c r="P304" s="32"/>
      <c r="Q304" s="32"/>
      <c r="R304" s="32"/>
      <c r="S304" s="32"/>
    </row>
    <row r="305" spans="3:19" x14ac:dyDescent="0.3">
      <c r="C305" s="11"/>
      <c r="D305" s="32"/>
      <c r="E305" s="11"/>
      <c r="F305" t="str">
        <f>_xlfn.TEXTJOIN(", ",TRUE, Tabla38[[#This Row],[Tipo de escalera]],Tabla38[[#This Row],[Longitud]],Tabla38[[#This Row],[Carga Maxima]])</f>
        <v/>
      </c>
      <c r="G305" s="15"/>
      <c r="J305" s="15"/>
      <c r="K305" s="47"/>
      <c r="L305" s="76"/>
      <c r="M305" s="76"/>
      <c r="N305" s="78" t="str">
        <f>_xlfn.LET(
    _xlpm.itemBuscado, B305,
    _xlpm.areaBuscada, C305,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TEXT(COUNTIF($C$2:C305, _xlpm.areaBuscada), "0000"),
    _xlpm.codItem &amp; "-" &amp; _xlpm.codArea &amp; "-" &amp; _xlpm.secuencia
)</f>
        <v>-SinArea-0000</v>
      </c>
      <c r="O305" s="77"/>
      <c r="P305" s="32"/>
      <c r="Q305" s="32"/>
      <c r="R305" s="32"/>
      <c r="S305" s="32"/>
    </row>
    <row r="306" spans="3:19" x14ac:dyDescent="0.3">
      <c r="C306" s="11"/>
      <c r="D306" s="32"/>
      <c r="E306" s="11"/>
      <c r="F306" t="str">
        <f>_xlfn.TEXTJOIN(", ",TRUE, Tabla38[[#This Row],[Tipo de escalera]],Tabla38[[#This Row],[Longitud]],Tabla38[[#This Row],[Carga Maxima]])</f>
        <v/>
      </c>
      <c r="G306" s="15"/>
      <c r="J306" s="15"/>
      <c r="K306" s="47"/>
      <c r="L306" s="76"/>
      <c r="M306" s="76"/>
      <c r="N306" s="78" t="str">
        <f>_xlfn.LET(
    _xlpm.itemBuscado, B306,
    _xlpm.areaBuscada, C306,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TEXT(COUNTIF($C$2:C306, _xlpm.areaBuscada), "0000"),
    _xlpm.codItem &amp; "-" &amp; _xlpm.codArea &amp; "-" &amp; _xlpm.secuencia
)</f>
        <v>-SinArea-0000</v>
      </c>
      <c r="O306" s="77"/>
      <c r="P306" s="32"/>
      <c r="Q306" s="32"/>
      <c r="R306" s="32"/>
      <c r="S306" s="32"/>
    </row>
    <row r="307" spans="3:19" x14ac:dyDescent="0.3">
      <c r="C307" s="11"/>
      <c r="D307" s="32"/>
      <c r="E307" s="11"/>
      <c r="F307" t="str">
        <f>_xlfn.TEXTJOIN(", ",TRUE, Tabla38[[#This Row],[Tipo de escalera]],Tabla38[[#This Row],[Longitud]],Tabla38[[#This Row],[Carga Maxima]])</f>
        <v/>
      </c>
      <c r="G307" s="15"/>
      <c r="J307" s="15"/>
      <c r="K307" s="47"/>
      <c r="L307" s="76"/>
      <c r="M307" s="76"/>
      <c r="N307" s="78" t="str">
        <f>_xlfn.LET(
    _xlpm.itemBuscado, B307,
    _xlpm.areaBuscada, C307,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TEXT(COUNTIF($C$2:C307, _xlpm.areaBuscada), "0000"),
    _xlpm.codItem &amp; "-" &amp; _xlpm.codArea &amp; "-" &amp; _xlpm.secuencia
)</f>
        <v>-SinArea-0000</v>
      </c>
      <c r="O307" s="77"/>
      <c r="P307" s="32"/>
      <c r="Q307" s="32"/>
      <c r="R307" s="32"/>
      <c r="S307" s="32"/>
    </row>
    <row r="308" spans="3:19" x14ac:dyDescent="0.3">
      <c r="C308" s="11"/>
      <c r="D308" s="32"/>
      <c r="E308" s="11"/>
      <c r="F308" t="str">
        <f>_xlfn.TEXTJOIN(", ",TRUE, Tabla38[[#This Row],[Tipo de escalera]],Tabla38[[#This Row],[Longitud]],Tabla38[[#This Row],[Carga Maxima]])</f>
        <v/>
      </c>
      <c r="G308" s="15"/>
      <c r="J308" s="15"/>
      <c r="K308" s="47"/>
      <c r="L308" s="76"/>
      <c r="M308" s="76"/>
      <c r="N308" s="78" t="str">
        <f>_xlfn.LET(
    _xlpm.itemBuscado, B308,
    _xlpm.areaBuscada, C308,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TEXT(COUNTIF($C$2:C308, _xlpm.areaBuscada), "0000"),
    _xlpm.codItem &amp; "-" &amp; _xlpm.codArea &amp; "-" &amp; _xlpm.secuencia
)</f>
        <v>-SinArea-0000</v>
      </c>
      <c r="O308" s="77"/>
      <c r="P308" s="32"/>
      <c r="Q308" s="32"/>
      <c r="R308" s="32"/>
      <c r="S308" s="32"/>
    </row>
    <row r="309" spans="3:19" x14ac:dyDescent="0.3">
      <c r="C309" s="11"/>
      <c r="D309" s="32"/>
      <c r="E309" s="11"/>
      <c r="F309" t="str">
        <f>_xlfn.TEXTJOIN(", ",TRUE, Tabla38[[#This Row],[Tipo de escalera]],Tabla38[[#This Row],[Longitud]],Tabla38[[#This Row],[Carga Maxima]])</f>
        <v/>
      </c>
      <c r="G309" s="15"/>
      <c r="J309" s="15"/>
      <c r="K309" s="47"/>
      <c r="L309" s="76"/>
      <c r="M309" s="76"/>
      <c r="N309" s="78" t="str">
        <f>_xlfn.LET(
    _xlpm.itemBuscado, B309,
    _xlpm.areaBuscada, C309,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TEXT(COUNTIF($C$2:C309, _xlpm.areaBuscada), "0000"),
    _xlpm.codItem &amp; "-" &amp; _xlpm.codArea &amp; "-" &amp; _xlpm.secuencia
)</f>
        <v>-SinArea-0000</v>
      </c>
      <c r="O309" s="77"/>
      <c r="P309" s="32"/>
      <c r="Q309" s="32"/>
      <c r="R309" s="32"/>
      <c r="S309" s="32"/>
    </row>
    <row r="310" spans="3:19" x14ac:dyDescent="0.3">
      <c r="C310" s="11"/>
      <c r="D310" s="32"/>
      <c r="E310" s="11"/>
      <c r="F310" t="str">
        <f>_xlfn.TEXTJOIN(", ",TRUE, Tabla38[[#This Row],[Tipo de escalera]],Tabla38[[#This Row],[Longitud]],Tabla38[[#This Row],[Carga Maxima]])</f>
        <v/>
      </c>
      <c r="G310" s="15"/>
      <c r="J310" s="15"/>
      <c r="K310" s="47"/>
      <c r="L310" s="76"/>
      <c r="M310" s="76"/>
      <c r="N310" s="78" t="str">
        <f>_xlfn.LET(
    _xlpm.itemBuscado, B310,
    _xlpm.areaBuscada, C310,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TEXT(COUNTIF($C$2:C310, _xlpm.areaBuscada), "0000"),
    _xlpm.codItem &amp; "-" &amp; _xlpm.codArea &amp; "-" &amp; _xlpm.secuencia
)</f>
        <v>-SinArea-0000</v>
      </c>
      <c r="O310" s="77"/>
      <c r="P310" s="32"/>
      <c r="Q310" s="32"/>
      <c r="R310" s="32"/>
      <c r="S310" s="32"/>
    </row>
    <row r="311" spans="3:19" x14ac:dyDescent="0.3">
      <c r="C311" s="11"/>
      <c r="D311" s="32"/>
      <c r="E311" s="11"/>
      <c r="F311" t="str">
        <f>_xlfn.TEXTJOIN(", ",TRUE, Tabla38[[#This Row],[Tipo de escalera]],Tabla38[[#This Row],[Longitud]],Tabla38[[#This Row],[Carga Maxima]])</f>
        <v/>
      </c>
      <c r="G311" s="15"/>
      <c r="J311" s="15"/>
      <c r="K311" s="47"/>
      <c r="L311" s="76"/>
      <c r="M311" s="76"/>
      <c r="N311" s="78" t="str">
        <f>_xlfn.LET(
    _xlpm.itemBuscado, B311,
    _xlpm.areaBuscada, C311,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TEXT(COUNTIF($C$2:C311, _xlpm.areaBuscada), "0000"),
    _xlpm.codItem &amp; "-" &amp; _xlpm.codArea &amp; "-" &amp; _xlpm.secuencia
)</f>
        <v>-SinArea-0000</v>
      </c>
      <c r="O311" s="77"/>
      <c r="P311" s="32"/>
      <c r="Q311" s="32"/>
      <c r="R311" s="32"/>
      <c r="S311" s="32"/>
    </row>
    <row r="312" spans="3:19" x14ac:dyDescent="0.3">
      <c r="C312" s="11"/>
      <c r="D312" s="32"/>
      <c r="E312" s="11"/>
      <c r="F312" t="str">
        <f>_xlfn.TEXTJOIN(", ",TRUE, Tabla38[[#This Row],[Tipo de escalera]],Tabla38[[#This Row],[Longitud]],Tabla38[[#This Row],[Carga Maxima]])</f>
        <v/>
      </c>
      <c r="G312" s="15"/>
      <c r="J312" s="15"/>
      <c r="K312" s="47"/>
      <c r="L312" s="76"/>
      <c r="M312" s="76"/>
      <c r="N312" s="78" t="str">
        <f>_xlfn.LET(
    _xlpm.itemBuscado, B312,
    _xlpm.areaBuscada, C312,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TEXT(COUNTIF($C$2:C312, _xlpm.areaBuscada), "0000"),
    _xlpm.codItem &amp; "-" &amp; _xlpm.codArea &amp; "-" &amp; _xlpm.secuencia
)</f>
        <v>-SinArea-0000</v>
      </c>
      <c r="O312" s="77"/>
      <c r="P312" s="32"/>
      <c r="Q312" s="32"/>
      <c r="R312" s="32"/>
      <c r="S312" s="32"/>
    </row>
    <row r="313" spans="3:19" x14ac:dyDescent="0.3">
      <c r="C313" s="11"/>
      <c r="D313" s="32"/>
      <c r="E313" s="11"/>
      <c r="F313" t="str">
        <f>_xlfn.TEXTJOIN(", ",TRUE, Tabla38[[#This Row],[Tipo de escalera]],Tabla38[[#This Row],[Longitud]],Tabla38[[#This Row],[Carga Maxima]])</f>
        <v/>
      </c>
      <c r="G313" s="15"/>
      <c r="J313" s="15"/>
      <c r="K313" s="47"/>
      <c r="L313" s="76"/>
      <c r="M313" s="76"/>
      <c r="N313" s="78" t="str">
        <f>_xlfn.LET(
    _xlpm.itemBuscado, B313,
    _xlpm.areaBuscada, C313,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TEXT(COUNTIF($C$2:C313, _xlpm.areaBuscada), "0000"),
    _xlpm.codItem &amp; "-" &amp; _xlpm.codArea &amp; "-" &amp; _xlpm.secuencia
)</f>
        <v>-SinArea-0000</v>
      </c>
      <c r="O313" s="77"/>
      <c r="P313" s="32"/>
      <c r="Q313" s="32"/>
      <c r="R313" s="32"/>
      <c r="S313" s="32"/>
    </row>
    <row r="314" spans="3:19" x14ac:dyDescent="0.3">
      <c r="C314" s="11"/>
      <c r="D314" s="32"/>
      <c r="E314" s="11"/>
      <c r="F314" t="str">
        <f>_xlfn.TEXTJOIN(", ",TRUE, Tabla38[[#This Row],[Tipo de escalera]],Tabla38[[#This Row],[Longitud]],Tabla38[[#This Row],[Carga Maxima]])</f>
        <v/>
      </c>
      <c r="G314" s="15"/>
      <c r="J314" s="15"/>
      <c r="K314" s="47"/>
      <c r="L314" s="76"/>
      <c r="M314" s="76"/>
      <c r="N314" s="78" t="str">
        <f>_xlfn.LET(
    _xlpm.itemBuscado, B314,
    _xlpm.areaBuscada, C314,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TEXT(COUNTIF($C$2:C314, _xlpm.areaBuscada), "0000"),
    _xlpm.codItem &amp; "-" &amp; _xlpm.codArea &amp; "-" &amp; _xlpm.secuencia
)</f>
        <v>-SinArea-0000</v>
      </c>
      <c r="O314" s="77"/>
      <c r="P314" s="32"/>
      <c r="Q314" s="32"/>
      <c r="R314" s="32"/>
      <c r="S314" s="32"/>
    </row>
    <row r="315" spans="3:19" x14ac:dyDescent="0.3">
      <c r="C315" s="11"/>
      <c r="D315" s="32"/>
      <c r="E315" s="11"/>
      <c r="F315" t="str">
        <f>_xlfn.TEXTJOIN(", ",TRUE, Tabla38[[#This Row],[Tipo de escalera]],Tabla38[[#This Row],[Longitud]],Tabla38[[#This Row],[Carga Maxima]])</f>
        <v/>
      </c>
      <c r="G315" s="15"/>
      <c r="J315" s="15"/>
      <c r="K315" s="47"/>
      <c r="L315" s="76"/>
      <c r="M315" s="76"/>
      <c r="N315" s="78" t="str">
        <f>_xlfn.LET(
    _xlpm.itemBuscado, B315,
    _xlpm.areaBuscada, C315,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TEXT(COUNTIF($C$2:C315, _xlpm.areaBuscada), "0000"),
    _xlpm.codItem &amp; "-" &amp; _xlpm.codArea &amp; "-" &amp; _xlpm.secuencia
)</f>
        <v>-SinArea-0000</v>
      </c>
      <c r="O315" s="77"/>
      <c r="P315" s="32"/>
      <c r="Q315" s="32"/>
      <c r="R315" s="32"/>
      <c r="S315" s="32"/>
    </row>
    <row r="316" spans="3:19" x14ac:dyDescent="0.3">
      <c r="C316" s="11"/>
      <c r="D316" s="32"/>
      <c r="E316" s="11"/>
      <c r="F316" t="str">
        <f>_xlfn.TEXTJOIN(", ",TRUE, Tabla38[[#This Row],[Tipo de escalera]],Tabla38[[#This Row],[Longitud]],Tabla38[[#This Row],[Carga Maxima]])</f>
        <v/>
      </c>
      <c r="G316" s="15"/>
      <c r="J316" s="15"/>
      <c r="K316" s="47"/>
      <c r="L316" s="76"/>
      <c r="M316" s="76"/>
      <c r="N316" s="78" t="str">
        <f>_xlfn.LET(
    _xlpm.itemBuscado, B316,
    _xlpm.areaBuscada, C316,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TEXT(COUNTIF($C$2:C316, _xlpm.areaBuscada), "0000"),
    _xlpm.codItem &amp; "-" &amp; _xlpm.codArea &amp; "-" &amp; _xlpm.secuencia
)</f>
        <v>-SinArea-0000</v>
      </c>
      <c r="O316" s="77"/>
      <c r="P316" s="32"/>
      <c r="Q316" s="32"/>
      <c r="R316" s="32"/>
      <c r="S316" s="32"/>
    </row>
    <row r="317" spans="3:19" x14ac:dyDescent="0.3">
      <c r="C317" s="11"/>
      <c r="D317" s="32"/>
      <c r="E317" s="11"/>
      <c r="F317" t="str">
        <f>_xlfn.TEXTJOIN(", ",TRUE, Tabla38[[#This Row],[Tipo de escalera]],Tabla38[[#This Row],[Longitud]],Tabla38[[#This Row],[Carga Maxima]])</f>
        <v/>
      </c>
      <c r="G317" s="15"/>
      <c r="J317" s="15"/>
      <c r="K317" s="47"/>
      <c r="L317" s="76"/>
      <c r="M317" s="76"/>
      <c r="N317" s="78" t="str">
        <f>_xlfn.LET(
    _xlpm.itemBuscado, B317,
    _xlpm.areaBuscada, C317,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TEXT(COUNTIF($C$2:C317, _xlpm.areaBuscada), "0000"),
    _xlpm.codItem &amp; "-" &amp; _xlpm.codArea &amp; "-" &amp; _xlpm.secuencia
)</f>
        <v>-SinArea-0000</v>
      </c>
      <c r="O317" s="77"/>
      <c r="P317" s="32"/>
      <c r="Q317" s="32"/>
      <c r="R317" s="32"/>
      <c r="S317" s="32"/>
    </row>
    <row r="318" spans="3:19" x14ac:dyDescent="0.3">
      <c r="C318" s="11"/>
      <c r="D318" s="32"/>
      <c r="E318" s="11"/>
      <c r="F318" t="str">
        <f>_xlfn.TEXTJOIN(", ",TRUE, Tabla38[[#This Row],[Tipo de escalera]],Tabla38[[#This Row],[Longitud]],Tabla38[[#This Row],[Carga Maxima]])</f>
        <v/>
      </c>
      <c r="G318" s="15"/>
      <c r="J318" s="15"/>
      <c r="K318" s="47"/>
      <c r="L318" s="76"/>
      <c r="M318" s="76"/>
      <c r="N318" s="78" t="str">
        <f>_xlfn.LET(
    _xlpm.itemBuscado, B318,
    _xlpm.areaBuscada, C318,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TEXT(COUNTIF($C$2:C318, _xlpm.areaBuscada), "0000"),
    _xlpm.codItem &amp; "-" &amp; _xlpm.codArea &amp; "-" &amp; _xlpm.secuencia
)</f>
        <v>-SinArea-0000</v>
      </c>
      <c r="O318" s="77"/>
      <c r="P318" s="32"/>
      <c r="Q318" s="32"/>
      <c r="R318" s="32"/>
      <c r="S318" s="32"/>
    </row>
    <row r="319" spans="3:19" x14ac:dyDescent="0.3">
      <c r="C319" s="11"/>
      <c r="D319" s="32"/>
      <c r="E319" s="11"/>
      <c r="F319" t="str">
        <f>_xlfn.TEXTJOIN(", ",TRUE, Tabla38[[#This Row],[Tipo de escalera]],Tabla38[[#This Row],[Longitud]],Tabla38[[#This Row],[Carga Maxima]])</f>
        <v/>
      </c>
      <c r="G319" s="15"/>
      <c r="J319" s="15"/>
      <c r="K319" s="47"/>
      <c r="L319" s="76"/>
      <c r="M319" s="76"/>
      <c r="N319" s="78" t="str">
        <f>_xlfn.LET(
    _xlpm.itemBuscado, B319,
    _xlpm.areaBuscada, C319,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TEXT(COUNTIF($C$2:C319, _xlpm.areaBuscada), "0000"),
    _xlpm.codItem &amp; "-" &amp; _xlpm.codArea &amp; "-" &amp; _xlpm.secuencia
)</f>
        <v>-SinArea-0000</v>
      </c>
      <c r="O319" s="77"/>
      <c r="P319" s="32"/>
      <c r="Q319" s="32"/>
      <c r="R319" s="32"/>
      <c r="S319" s="32"/>
    </row>
    <row r="320" spans="3:19" x14ac:dyDescent="0.3">
      <c r="C320" s="11"/>
      <c r="D320" s="32"/>
      <c r="E320" s="11"/>
      <c r="F320" t="str">
        <f>_xlfn.TEXTJOIN(", ",TRUE, Tabla38[[#This Row],[Tipo de escalera]],Tabla38[[#This Row],[Longitud]],Tabla38[[#This Row],[Carga Maxima]])</f>
        <v/>
      </c>
      <c r="G320" s="15"/>
      <c r="J320" s="15"/>
      <c r="K320" s="47"/>
      <c r="L320" s="76"/>
      <c r="M320" s="76"/>
      <c r="N320" s="78" t="str">
        <f>_xlfn.LET(
    _xlpm.itemBuscado, B320,
    _xlpm.areaBuscada, C320,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TEXT(COUNTIF($C$2:C320, _xlpm.areaBuscada), "0000"),
    _xlpm.codItem &amp; "-" &amp; _xlpm.codArea &amp; "-" &amp; _xlpm.secuencia
)</f>
        <v>-SinArea-0000</v>
      </c>
      <c r="O320" s="77"/>
      <c r="P320" s="32"/>
      <c r="Q320" s="32"/>
      <c r="R320" s="32"/>
      <c r="S320" s="32"/>
    </row>
    <row r="321" spans="3:19" x14ac:dyDescent="0.3">
      <c r="C321" s="11"/>
      <c r="D321" s="32"/>
      <c r="E321" s="11"/>
      <c r="F321" t="str">
        <f>_xlfn.TEXTJOIN(", ",TRUE, Tabla38[[#This Row],[Tipo de escalera]],Tabla38[[#This Row],[Longitud]],Tabla38[[#This Row],[Carga Maxima]])</f>
        <v/>
      </c>
      <c r="G321" s="15"/>
      <c r="J321" s="15"/>
      <c r="K321" s="47"/>
      <c r="L321" s="76"/>
      <c r="M321" s="76"/>
      <c r="N321" s="78" t="str">
        <f>_xlfn.LET(
    _xlpm.itemBuscado, B321,
    _xlpm.areaBuscada, C321,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TEXT(COUNTIF($C$2:C321, _xlpm.areaBuscada), "0000"),
    _xlpm.codItem &amp; "-" &amp; _xlpm.codArea &amp; "-" &amp; _xlpm.secuencia
)</f>
        <v>-SinArea-0000</v>
      </c>
      <c r="O321" s="77"/>
      <c r="P321" s="32"/>
      <c r="Q321" s="32"/>
      <c r="R321" s="32"/>
      <c r="S321" s="32"/>
    </row>
    <row r="322" spans="3:19" x14ac:dyDescent="0.3">
      <c r="C322" s="11"/>
      <c r="D322" s="32"/>
      <c r="E322" s="11"/>
      <c r="F322" t="str">
        <f>_xlfn.TEXTJOIN(", ",TRUE, Tabla38[[#This Row],[Tipo de escalera]],Tabla38[[#This Row],[Longitud]],Tabla38[[#This Row],[Carga Maxima]])</f>
        <v/>
      </c>
      <c r="G322" s="15"/>
      <c r="J322" s="15"/>
      <c r="K322" s="47"/>
      <c r="L322" s="76"/>
      <c r="M322" s="76"/>
      <c r="N322" s="78" t="str">
        <f>_xlfn.LET(
    _xlpm.itemBuscado, B322,
    _xlpm.areaBuscada, C322,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TEXT(COUNTIF($C$2:C322, _xlpm.areaBuscada), "0000"),
    _xlpm.codItem &amp; "-" &amp; _xlpm.codArea &amp; "-" &amp; _xlpm.secuencia
)</f>
        <v>-SinArea-0000</v>
      </c>
      <c r="O322" s="77"/>
      <c r="P322" s="32"/>
      <c r="Q322" s="32"/>
      <c r="R322" s="32"/>
      <c r="S322" s="32"/>
    </row>
    <row r="323" spans="3:19" x14ac:dyDescent="0.3">
      <c r="C323" s="11"/>
      <c r="D323" s="32"/>
      <c r="E323" s="11"/>
      <c r="F323" t="str">
        <f>_xlfn.TEXTJOIN(", ",TRUE, Tabla38[[#This Row],[Tipo de escalera]],Tabla38[[#This Row],[Longitud]],Tabla38[[#This Row],[Carga Maxima]])</f>
        <v/>
      </c>
      <c r="G323" s="15"/>
      <c r="J323" s="15"/>
      <c r="K323" s="47"/>
      <c r="L323" s="76"/>
      <c r="M323" s="76"/>
      <c r="N323" s="78" t="str">
        <f>_xlfn.LET(
    _xlpm.itemBuscado, B323,
    _xlpm.areaBuscada, C323,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TEXT(COUNTIF($C$2:C323, _xlpm.areaBuscada), "0000"),
    _xlpm.codItem &amp; "-" &amp; _xlpm.codArea &amp; "-" &amp; _xlpm.secuencia
)</f>
        <v>-SinArea-0000</v>
      </c>
      <c r="O323" s="77"/>
      <c r="P323" s="32"/>
      <c r="Q323" s="32"/>
      <c r="R323" s="32"/>
      <c r="S323" s="32"/>
    </row>
    <row r="324" spans="3:19" x14ac:dyDescent="0.3">
      <c r="C324" s="11"/>
      <c r="D324" s="32"/>
      <c r="E324" s="11"/>
      <c r="F324" t="str">
        <f>_xlfn.TEXTJOIN(", ",TRUE, Tabla38[[#This Row],[Tipo de escalera]],Tabla38[[#This Row],[Longitud]],Tabla38[[#This Row],[Carga Maxima]])</f>
        <v/>
      </c>
      <c r="G324" s="15"/>
      <c r="J324" s="15"/>
      <c r="K324" s="47"/>
      <c r="L324" s="76"/>
      <c r="M324" s="76"/>
      <c r="N324" s="78" t="str">
        <f>_xlfn.LET(
    _xlpm.itemBuscado, B324,
    _xlpm.areaBuscada, C324,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TEXT(COUNTIF($C$2:C324, _xlpm.areaBuscada), "0000"),
    _xlpm.codItem &amp; "-" &amp; _xlpm.codArea &amp; "-" &amp; _xlpm.secuencia
)</f>
        <v>-SinArea-0000</v>
      </c>
      <c r="O324" s="77"/>
      <c r="P324" s="32"/>
      <c r="Q324" s="32"/>
      <c r="R324" s="32"/>
      <c r="S324" s="32"/>
    </row>
    <row r="325" spans="3:19" x14ac:dyDescent="0.3">
      <c r="C325" s="11"/>
      <c r="D325" s="32"/>
      <c r="E325" s="11"/>
      <c r="F325" t="str">
        <f>_xlfn.TEXTJOIN(", ",TRUE, Tabla38[[#This Row],[Tipo de escalera]],Tabla38[[#This Row],[Longitud]],Tabla38[[#This Row],[Carga Maxima]])</f>
        <v/>
      </c>
      <c r="G325" s="15"/>
      <c r="J325" s="15"/>
      <c r="K325" s="47"/>
      <c r="L325" s="76"/>
      <c r="M325" s="76"/>
      <c r="N325" s="78" t="str">
        <f>_xlfn.LET(
    _xlpm.itemBuscado, B325,
    _xlpm.areaBuscada, C325,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TEXT(COUNTIF($C$2:C325, _xlpm.areaBuscada), "0000"),
    _xlpm.codItem &amp; "-" &amp; _xlpm.codArea &amp; "-" &amp; _xlpm.secuencia
)</f>
        <v>-SinArea-0000</v>
      </c>
      <c r="O325" s="77"/>
      <c r="P325" s="32"/>
      <c r="Q325" s="32"/>
      <c r="R325" s="32"/>
      <c r="S325" s="32"/>
    </row>
    <row r="326" spans="3:19" x14ac:dyDescent="0.3">
      <c r="C326" s="11"/>
      <c r="D326" s="32"/>
      <c r="E326" s="11"/>
      <c r="F326" t="str">
        <f>_xlfn.TEXTJOIN(", ",TRUE, Tabla38[[#This Row],[Tipo de escalera]],Tabla38[[#This Row],[Longitud]],Tabla38[[#This Row],[Carga Maxima]])</f>
        <v/>
      </c>
      <c r="G326" s="15"/>
      <c r="J326" s="15"/>
      <c r="K326" s="47"/>
      <c r="L326" s="76"/>
      <c r="M326" s="76"/>
      <c r="N326" s="78" t="str">
        <f>_xlfn.LET(
    _xlpm.itemBuscado, B326,
    _xlpm.areaBuscada, C326,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TEXT(COUNTIF($C$2:C326, _xlpm.areaBuscada), "0000"),
    _xlpm.codItem &amp; "-" &amp; _xlpm.codArea &amp; "-" &amp; _xlpm.secuencia
)</f>
        <v>-SinArea-0000</v>
      </c>
      <c r="O326" s="77"/>
      <c r="P326" s="32"/>
      <c r="Q326" s="32"/>
      <c r="R326" s="32"/>
      <c r="S326" s="32"/>
    </row>
    <row r="327" spans="3:19" x14ac:dyDescent="0.3">
      <c r="C327" s="11"/>
      <c r="D327" s="32"/>
      <c r="E327" s="11"/>
      <c r="F327" t="str">
        <f>_xlfn.TEXTJOIN(", ",TRUE, Tabla38[[#This Row],[Tipo de escalera]],Tabla38[[#This Row],[Longitud]],Tabla38[[#This Row],[Carga Maxima]])</f>
        <v/>
      </c>
      <c r="G327" s="15"/>
      <c r="J327" s="15"/>
      <c r="K327" s="47"/>
      <c r="L327" s="76"/>
      <c r="M327" s="76"/>
      <c r="N327" s="78" t="str">
        <f>_xlfn.LET(
    _xlpm.itemBuscado, B327,
    _xlpm.areaBuscada, C327,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TEXT(COUNTIF($C$2:C327, _xlpm.areaBuscada), "0000"),
    _xlpm.codItem &amp; "-" &amp; _xlpm.codArea &amp; "-" &amp; _xlpm.secuencia
)</f>
        <v>-SinArea-0000</v>
      </c>
      <c r="O327" s="77"/>
      <c r="P327" s="32"/>
      <c r="Q327" s="32"/>
      <c r="R327" s="32"/>
      <c r="S327" s="32"/>
    </row>
    <row r="328" spans="3:19" x14ac:dyDescent="0.3">
      <c r="C328" s="11"/>
      <c r="D328" s="32"/>
      <c r="E328" s="11"/>
      <c r="F328" t="str">
        <f>_xlfn.TEXTJOIN(", ",TRUE, Tabla38[[#This Row],[Tipo de escalera]],Tabla38[[#This Row],[Longitud]],Tabla38[[#This Row],[Carga Maxima]])</f>
        <v/>
      </c>
      <c r="G328" s="15"/>
      <c r="J328" s="15"/>
      <c r="K328" s="47"/>
      <c r="L328" s="76"/>
      <c r="M328" s="76"/>
      <c r="N328" s="78" t="str">
        <f>_xlfn.LET(
    _xlpm.itemBuscado, B328,
    _xlpm.areaBuscada, C328,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TEXT(COUNTIF($C$2:C328, _xlpm.areaBuscada), "0000"),
    _xlpm.codItem &amp; "-" &amp; _xlpm.codArea &amp; "-" &amp; _xlpm.secuencia
)</f>
        <v>-SinArea-0000</v>
      </c>
      <c r="O328" s="77"/>
      <c r="P328" s="32"/>
      <c r="Q328" s="32"/>
      <c r="R328" s="32"/>
      <c r="S328" s="32"/>
    </row>
    <row r="329" spans="3:19" x14ac:dyDescent="0.3">
      <c r="C329" s="11"/>
      <c r="D329" s="32"/>
      <c r="E329" s="11"/>
      <c r="F329" t="str">
        <f>_xlfn.TEXTJOIN(", ",TRUE, Tabla38[[#This Row],[Tipo de escalera]],Tabla38[[#This Row],[Longitud]],Tabla38[[#This Row],[Carga Maxima]])</f>
        <v/>
      </c>
      <c r="G329" s="15"/>
      <c r="J329" s="15"/>
      <c r="K329" s="47"/>
      <c r="L329" s="76"/>
      <c r="M329" s="76"/>
      <c r="N329" s="78" t="str">
        <f>_xlfn.LET(
    _xlpm.itemBuscado, B329,
    _xlpm.areaBuscada, C329,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TEXT(COUNTIF($C$2:C329, _xlpm.areaBuscada), "0000"),
    _xlpm.codItem &amp; "-" &amp; _xlpm.codArea &amp; "-" &amp; _xlpm.secuencia
)</f>
        <v>-SinArea-0000</v>
      </c>
      <c r="O329" s="77"/>
      <c r="P329" s="32"/>
      <c r="Q329" s="32"/>
      <c r="R329" s="32"/>
      <c r="S329" s="32"/>
    </row>
    <row r="330" spans="3:19" x14ac:dyDescent="0.3">
      <c r="C330" s="11"/>
      <c r="D330" s="32"/>
      <c r="E330" s="11"/>
      <c r="F330" t="str">
        <f>_xlfn.TEXTJOIN(", ",TRUE, Tabla38[[#This Row],[Tipo de escalera]],Tabla38[[#This Row],[Longitud]],Tabla38[[#This Row],[Carga Maxima]])</f>
        <v/>
      </c>
      <c r="G330" s="15"/>
      <c r="J330" s="15"/>
      <c r="K330" s="47"/>
      <c r="L330" s="76"/>
      <c r="M330" s="76"/>
      <c r="N330" s="78" t="str">
        <f>_xlfn.LET(
    _xlpm.itemBuscado, B330,
    _xlpm.areaBuscada, C330,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TEXT(COUNTIF($C$2:C330, _xlpm.areaBuscada), "0000"),
    _xlpm.codItem &amp; "-" &amp; _xlpm.codArea &amp; "-" &amp; _xlpm.secuencia
)</f>
        <v>-SinArea-0000</v>
      </c>
      <c r="O330" s="77"/>
      <c r="P330" s="32"/>
      <c r="Q330" s="32"/>
      <c r="R330" s="32"/>
      <c r="S330" s="32"/>
    </row>
    <row r="331" spans="3:19" x14ac:dyDescent="0.3">
      <c r="C331" s="11"/>
      <c r="D331" s="32"/>
      <c r="E331" s="11"/>
      <c r="F331" t="str">
        <f>_xlfn.TEXTJOIN(", ",TRUE, Tabla38[[#This Row],[Tipo de escalera]],Tabla38[[#This Row],[Longitud]],Tabla38[[#This Row],[Carga Maxima]])</f>
        <v/>
      </c>
      <c r="G331" s="15"/>
      <c r="J331" s="15"/>
      <c r="K331" s="47"/>
      <c r="L331" s="76"/>
      <c r="M331" s="76"/>
      <c r="N331" s="78" t="str">
        <f>_xlfn.LET(
    _xlpm.itemBuscado, B331,
    _xlpm.areaBuscada, C331,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TEXT(COUNTIF($C$2:C331, _xlpm.areaBuscada), "0000"),
    _xlpm.codItem &amp; "-" &amp; _xlpm.codArea &amp; "-" &amp; _xlpm.secuencia
)</f>
        <v>-SinArea-0000</v>
      </c>
      <c r="O331" s="77"/>
      <c r="P331" s="32"/>
      <c r="Q331" s="32"/>
      <c r="R331" s="32"/>
      <c r="S331" s="32"/>
    </row>
    <row r="332" spans="3:19" x14ac:dyDescent="0.3">
      <c r="C332" s="11"/>
      <c r="D332" s="32"/>
      <c r="E332" s="11"/>
      <c r="F332" t="str">
        <f>_xlfn.TEXTJOIN(", ",TRUE, Tabla38[[#This Row],[Tipo de escalera]],Tabla38[[#This Row],[Longitud]],Tabla38[[#This Row],[Carga Maxima]])</f>
        <v/>
      </c>
      <c r="G332" s="15"/>
      <c r="J332" s="15"/>
      <c r="K332" s="47"/>
      <c r="L332" s="76"/>
      <c r="M332" s="76"/>
      <c r="N332" s="78" t="str">
        <f>_xlfn.LET(
    _xlpm.itemBuscado, B332,
    _xlpm.areaBuscada, C332,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TEXT(COUNTIF($C$2:C332, _xlpm.areaBuscada), "0000"),
    _xlpm.codItem &amp; "-" &amp; _xlpm.codArea &amp; "-" &amp; _xlpm.secuencia
)</f>
        <v>-SinArea-0000</v>
      </c>
      <c r="O332" s="77"/>
      <c r="P332" s="32"/>
      <c r="Q332" s="32"/>
      <c r="R332" s="32"/>
      <c r="S332" s="32"/>
    </row>
    <row r="333" spans="3:19" x14ac:dyDescent="0.3">
      <c r="C333" s="11"/>
      <c r="D333" s="32"/>
      <c r="E333" s="11"/>
      <c r="F333" t="str">
        <f>_xlfn.TEXTJOIN(", ",TRUE, Tabla38[[#This Row],[Tipo de escalera]],Tabla38[[#This Row],[Longitud]],Tabla38[[#This Row],[Carga Maxima]])</f>
        <v/>
      </c>
      <c r="G333" s="15"/>
      <c r="J333" s="15"/>
      <c r="K333" s="47"/>
      <c r="L333" s="76"/>
      <c r="M333" s="76"/>
      <c r="N333" s="78" t="str">
        <f>_xlfn.LET(
    _xlpm.itemBuscado, B333,
    _xlpm.areaBuscada, C333,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TEXT(COUNTIF($C$2:C333, _xlpm.areaBuscada), "0000"),
    _xlpm.codItem &amp; "-" &amp; _xlpm.codArea &amp; "-" &amp; _xlpm.secuencia
)</f>
        <v>-SinArea-0000</v>
      </c>
      <c r="O333" s="77"/>
      <c r="P333" s="32"/>
      <c r="Q333" s="32"/>
      <c r="R333" s="32"/>
      <c r="S333" s="32"/>
    </row>
    <row r="334" spans="3:19" x14ac:dyDescent="0.3">
      <c r="C334" s="11"/>
      <c r="D334" s="32"/>
      <c r="E334" s="11"/>
      <c r="F334" t="str">
        <f>_xlfn.TEXTJOIN(", ",TRUE, Tabla38[[#This Row],[Tipo de escalera]],Tabla38[[#This Row],[Longitud]],Tabla38[[#This Row],[Carga Maxima]])</f>
        <v/>
      </c>
      <c r="G334" s="15"/>
      <c r="J334" s="15"/>
      <c r="K334" s="47"/>
      <c r="L334" s="76"/>
      <c r="M334" s="76"/>
      <c r="N334" s="78" t="str">
        <f>_xlfn.LET(
    _xlpm.itemBuscado, B334,
    _xlpm.areaBuscada, C334,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TEXT(COUNTIF($C$2:C334, _xlpm.areaBuscada), "0000"),
    _xlpm.codItem &amp; "-" &amp; _xlpm.codArea &amp; "-" &amp; _xlpm.secuencia
)</f>
        <v>-SinArea-0000</v>
      </c>
      <c r="O334" s="77"/>
      <c r="P334" s="32"/>
      <c r="Q334" s="32"/>
      <c r="R334" s="32"/>
      <c r="S334" s="32"/>
    </row>
    <row r="335" spans="3:19" x14ac:dyDescent="0.3">
      <c r="C335" s="11"/>
      <c r="D335" s="32"/>
      <c r="E335" s="11"/>
      <c r="F335" t="str">
        <f>_xlfn.TEXTJOIN(", ",TRUE, Tabla38[[#This Row],[Tipo de escalera]],Tabla38[[#This Row],[Longitud]],Tabla38[[#This Row],[Carga Maxima]])</f>
        <v/>
      </c>
      <c r="G335" s="15"/>
      <c r="J335" s="15"/>
      <c r="K335" s="47"/>
      <c r="L335" s="76"/>
      <c r="M335" s="76"/>
      <c r="N335" s="78" t="str">
        <f>_xlfn.LET(
    _xlpm.itemBuscado, B335,
    _xlpm.areaBuscada, C335,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TEXT(COUNTIF($C$2:C335, _xlpm.areaBuscada), "0000"),
    _xlpm.codItem &amp; "-" &amp; _xlpm.codArea &amp; "-" &amp; _xlpm.secuencia
)</f>
        <v>-SinArea-0000</v>
      </c>
      <c r="O335" s="77"/>
      <c r="P335" s="32"/>
      <c r="Q335" s="32"/>
      <c r="R335" s="32"/>
      <c r="S335" s="32"/>
    </row>
    <row r="336" spans="3:19" x14ac:dyDescent="0.3">
      <c r="C336" s="11"/>
      <c r="D336" s="32"/>
      <c r="E336" s="11"/>
      <c r="F336" t="str">
        <f>_xlfn.TEXTJOIN(", ",TRUE, Tabla38[[#This Row],[Tipo de escalera]],Tabla38[[#This Row],[Longitud]],Tabla38[[#This Row],[Carga Maxima]])</f>
        <v/>
      </c>
      <c r="G336" s="15"/>
      <c r="J336" s="15"/>
      <c r="K336" s="47"/>
      <c r="L336" s="76"/>
      <c r="M336" s="76"/>
      <c r="N336" s="78" t="str">
        <f>_xlfn.LET(
    _xlpm.itemBuscado, B336,
    _xlpm.areaBuscada, C336,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TEXT(COUNTIF($C$2:C336, _xlpm.areaBuscada), "0000"),
    _xlpm.codItem &amp; "-" &amp; _xlpm.codArea &amp; "-" &amp; _xlpm.secuencia
)</f>
        <v>-SinArea-0000</v>
      </c>
      <c r="O336" s="77"/>
      <c r="P336" s="32"/>
      <c r="Q336" s="32"/>
      <c r="R336" s="32"/>
      <c r="S336" s="32"/>
    </row>
    <row r="337" spans="3:19" x14ac:dyDescent="0.3">
      <c r="C337" s="11"/>
      <c r="D337" s="32"/>
      <c r="E337" s="11"/>
      <c r="F337" t="str">
        <f>_xlfn.TEXTJOIN(", ",TRUE, Tabla38[[#This Row],[Tipo de escalera]],Tabla38[[#This Row],[Longitud]],Tabla38[[#This Row],[Carga Maxima]])</f>
        <v/>
      </c>
      <c r="G337" s="15"/>
      <c r="J337" s="15"/>
      <c r="K337" s="47"/>
      <c r="L337" s="76"/>
      <c r="M337" s="76"/>
      <c r="N337" s="78" t="str">
        <f>_xlfn.LET(
    _xlpm.itemBuscado, B337,
    _xlpm.areaBuscada, C337,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TEXT(COUNTIF($C$2:C337, _xlpm.areaBuscada), "0000"),
    _xlpm.codItem &amp; "-" &amp; _xlpm.codArea &amp; "-" &amp; _xlpm.secuencia
)</f>
        <v>-SinArea-0000</v>
      </c>
      <c r="O337" s="77"/>
      <c r="P337" s="32"/>
      <c r="Q337" s="32"/>
      <c r="R337" s="32"/>
      <c r="S337" s="32"/>
    </row>
    <row r="338" spans="3:19" x14ac:dyDescent="0.3">
      <c r="C338" s="11"/>
      <c r="D338" s="32"/>
      <c r="E338" s="11"/>
      <c r="F338" t="str">
        <f>_xlfn.TEXTJOIN(", ",TRUE, Tabla38[[#This Row],[Tipo de escalera]],Tabla38[[#This Row],[Longitud]],Tabla38[[#This Row],[Carga Maxima]])</f>
        <v/>
      </c>
      <c r="G338" s="15"/>
      <c r="J338" s="15"/>
      <c r="K338" s="47"/>
      <c r="L338" s="76"/>
      <c r="M338" s="76"/>
      <c r="N338" s="78" t="str">
        <f>_xlfn.LET(
    _xlpm.itemBuscado, B338,
    _xlpm.areaBuscada, C338,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TEXT(COUNTIF($C$2:C338, _xlpm.areaBuscada), "0000"),
    _xlpm.codItem &amp; "-" &amp; _xlpm.codArea &amp; "-" &amp; _xlpm.secuencia
)</f>
        <v>-SinArea-0000</v>
      </c>
      <c r="O338" s="77"/>
      <c r="P338" s="32"/>
      <c r="Q338" s="32"/>
      <c r="R338" s="32"/>
      <c r="S338" s="32"/>
    </row>
    <row r="339" spans="3:19" x14ac:dyDescent="0.3">
      <c r="C339" s="11"/>
      <c r="D339" s="32"/>
      <c r="E339" s="11"/>
      <c r="F339" t="str">
        <f>_xlfn.TEXTJOIN(", ",TRUE, Tabla38[[#This Row],[Tipo de escalera]],Tabla38[[#This Row],[Longitud]],Tabla38[[#This Row],[Carga Maxima]])</f>
        <v/>
      </c>
      <c r="G339" s="15"/>
      <c r="J339" s="15"/>
      <c r="K339" s="47"/>
      <c r="L339" s="76"/>
      <c r="M339" s="76"/>
      <c r="N339" s="78" t="str">
        <f>_xlfn.LET(
    _xlpm.itemBuscado, B339,
    _xlpm.areaBuscada, C339,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TEXT(COUNTIF($C$2:C339, _xlpm.areaBuscada), "0000"),
    _xlpm.codItem &amp; "-" &amp; _xlpm.codArea &amp; "-" &amp; _xlpm.secuencia
)</f>
        <v>-SinArea-0000</v>
      </c>
      <c r="O339" s="77"/>
      <c r="P339" s="32"/>
      <c r="Q339" s="32"/>
      <c r="R339" s="32"/>
      <c r="S339" s="32"/>
    </row>
    <row r="340" spans="3:19" x14ac:dyDescent="0.3">
      <c r="C340" s="11"/>
      <c r="D340" s="32"/>
      <c r="E340" s="11"/>
      <c r="F340" t="str">
        <f>_xlfn.TEXTJOIN(", ",TRUE, Tabla38[[#This Row],[Tipo de escalera]],Tabla38[[#This Row],[Longitud]],Tabla38[[#This Row],[Carga Maxima]])</f>
        <v/>
      </c>
      <c r="G340" s="15"/>
      <c r="J340" s="15"/>
      <c r="K340" s="47"/>
      <c r="L340" s="76"/>
      <c r="M340" s="76"/>
      <c r="N340" s="78" t="str">
        <f>_xlfn.LET(
    _xlpm.itemBuscado, B340,
    _xlpm.areaBuscada, C340,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TEXT(COUNTIF($C$2:C340, _xlpm.areaBuscada), "0000"),
    _xlpm.codItem &amp; "-" &amp; _xlpm.codArea &amp; "-" &amp; _xlpm.secuencia
)</f>
        <v>-SinArea-0000</v>
      </c>
      <c r="O340" s="77"/>
      <c r="P340" s="32"/>
      <c r="Q340" s="32"/>
      <c r="R340" s="32"/>
      <c r="S340" s="32"/>
    </row>
    <row r="341" spans="3:19" x14ac:dyDescent="0.3">
      <c r="C341" s="11"/>
      <c r="D341" s="32"/>
      <c r="E341" s="11"/>
      <c r="F341" t="str">
        <f>_xlfn.TEXTJOIN(", ",TRUE, Tabla38[[#This Row],[Tipo de escalera]],Tabla38[[#This Row],[Longitud]],Tabla38[[#This Row],[Carga Maxima]])</f>
        <v/>
      </c>
      <c r="G341" s="15"/>
      <c r="J341" s="15"/>
      <c r="K341" s="47"/>
      <c r="L341" s="76"/>
      <c r="M341" s="76"/>
      <c r="N341" s="78" t="str">
        <f>_xlfn.LET(
    _xlpm.itemBuscado, B341,
    _xlpm.areaBuscada, C341,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TEXT(COUNTIF($C$2:C341, _xlpm.areaBuscada), "0000"),
    _xlpm.codItem &amp; "-" &amp; _xlpm.codArea &amp; "-" &amp; _xlpm.secuencia
)</f>
        <v>-SinArea-0000</v>
      </c>
      <c r="O341" s="77"/>
      <c r="P341" s="32"/>
      <c r="Q341" s="32"/>
      <c r="R341" s="32"/>
      <c r="S341" s="32"/>
    </row>
    <row r="342" spans="3:19" x14ac:dyDescent="0.3">
      <c r="C342" s="11"/>
      <c r="D342" s="32"/>
      <c r="E342" s="11"/>
      <c r="F342" t="str">
        <f>_xlfn.TEXTJOIN(", ",TRUE, Tabla38[[#This Row],[Tipo de escalera]],Tabla38[[#This Row],[Longitud]],Tabla38[[#This Row],[Carga Maxima]])</f>
        <v/>
      </c>
      <c r="G342" s="15"/>
      <c r="J342" s="15"/>
      <c r="K342" s="47"/>
      <c r="L342" s="76"/>
      <c r="M342" s="76"/>
      <c r="N342" s="78" t="str">
        <f>_xlfn.LET(
    _xlpm.itemBuscado, B342,
    _xlpm.areaBuscada, C342,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TEXT(COUNTIF($C$2:C342, _xlpm.areaBuscada), "0000"),
    _xlpm.codItem &amp; "-" &amp; _xlpm.codArea &amp; "-" &amp; _xlpm.secuencia
)</f>
        <v>-SinArea-0000</v>
      </c>
      <c r="O342" s="77"/>
      <c r="P342" s="32"/>
      <c r="Q342" s="32"/>
      <c r="R342" s="32"/>
      <c r="S342" s="32"/>
    </row>
    <row r="343" spans="3:19" x14ac:dyDescent="0.3">
      <c r="C343" s="11"/>
      <c r="D343" s="32"/>
      <c r="E343" s="11"/>
      <c r="F343" t="str">
        <f>_xlfn.TEXTJOIN(", ",TRUE, Tabla38[[#This Row],[Tipo de escalera]],Tabla38[[#This Row],[Longitud]],Tabla38[[#This Row],[Carga Maxima]])</f>
        <v/>
      </c>
      <c r="G343" s="15"/>
      <c r="J343" s="15"/>
      <c r="K343" s="47"/>
      <c r="L343" s="76"/>
      <c r="M343" s="76"/>
      <c r="N343" s="78" t="str">
        <f>_xlfn.LET(
    _xlpm.itemBuscado, B343,
    _xlpm.areaBuscada, C343,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TEXT(COUNTIF($C$2:C343, _xlpm.areaBuscada), "0000"),
    _xlpm.codItem &amp; "-" &amp; _xlpm.codArea &amp; "-" &amp; _xlpm.secuencia
)</f>
        <v>-SinArea-0000</v>
      </c>
      <c r="O343" s="77"/>
      <c r="P343" s="32"/>
      <c r="Q343" s="32"/>
      <c r="R343" s="32"/>
      <c r="S343" s="32"/>
    </row>
    <row r="344" spans="3:19" x14ac:dyDescent="0.3">
      <c r="C344" s="11"/>
      <c r="D344" s="32"/>
      <c r="E344" s="11"/>
      <c r="F344" t="str">
        <f>_xlfn.TEXTJOIN(", ",TRUE, Tabla38[[#This Row],[Tipo de escalera]],Tabla38[[#This Row],[Longitud]],Tabla38[[#This Row],[Carga Maxima]])</f>
        <v/>
      </c>
      <c r="G344" s="15"/>
      <c r="J344" s="15"/>
      <c r="K344" s="47"/>
      <c r="L344" s="76"/>
      <c r="M344" s="76"/>
      <c r="N344" s="78" t="str">
        <f>_xlfn.LET(
    _xlpm.itemBuscado, B344,
    _xlpm.areaBuscada, C344,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TEXT(COUNTIF($C$2:C344, _xlpm.areaBuscada), "0000"),
    _xlpm.codItem &amp; "-" &amp; _xlpm.codArea &amp; "-" &amp; _xlpm.secuencia
)</f>
        <v>-SinArea-0000</v>
      </c>
      <c r="O344" s="77"/>
      <c r="P344" s="32"/>
      <c r="Q344" s="32"/>
      <c r="R344" s="32"/>
      <c r="S344" s="32"/>
    </row>
    <row r="345" spans="3:19" x14ac:dyDescent="0.3">
      <c r="C345" s="11"/>
      <c r="D345" s="32"/>
      <c r="E345" s="11"/>
      <c r="F345" t="str">
        <f>_xlfn.TEXTJOIN(", ",TRUE, Tabla38[[#This Row],[Tipo de escalera]],Tabla38[[#This Row],[Longitud]],Tabla38[[#This Row],[Carga Maxima]])</f>
        <v/>
      </c>
      <c r="G345" s="15"/>
      <c r="J345" s="15"/>
      <c r="K345" s="47"/>
      <c r="L345" s="76"/>
      <c r="M345" s="76"/>
      <c r="N345" s="78" t="str">
        <f>_xlfn.LET(
    _xlpm.itemBuscado, B345,
    _xlpm.areaBuscada, C345,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TEXT(COUNTIF($C$2:C345, _xlpm.areaBuscada), "0000"),
    _xlpm.codItem &amp; "-" &amp; _xlpm.codArea &amp; "-" &amp; _xlpm.secuencia
)</f>
        <v>-SinArea-0000</v>
      </c>
      <c r="O345" s="77"/>
      <c r="P345" s="32"/>
      <c r="Q345" s="32"/>
      <c r="R345" s="32"/>
      <c r="S345" s="32"/>
    </row>
    <row r="346" spans="3:19" x14ac:dyDescent="0.3">
      <c r="C346" s="11"/>
      <c r="D346" s="32"/>
      <c r="E346" s="11"/>
      <c r="F346" t="str">
        <f>_xlfn.TEXTJOIN(", ",TRUE, Tabla38[[#This Row],[Tipo de escalera]],Tabla38[[#This Row],[Longitud]],Tabla38[[#This Row],[Carga Maxima]])</f>
        <v/>
      </c>
      <c r="G346" s="15"/>
      <c r="J346" s="15"/>
      <c r="K346" s="47"/>
      <c r="L346" s="76"/>
      <c r="M346" s="76"/>
      <c r="N346" s="78" t="str">
        <f>_xlfn.LET(
    _xlpm.itemBuscado, B346,
    _xlpm.areaBuscada, C346,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TEXT(COUNTIF($C$2:C346, _xlpm.areaBuscada), "0000"),
    _xlpm.codItem &amp; "-" &amp; _xlpm.codArea &amp; "-" &amp; _xlpm.secuencia
)</f>
        <v>-SinArea-0000</v>
      </c>
      <c r="O346" s="77"/>
      <c r="P346" s="32"/>
      <c r="Q346" s="32"/>
      <c r="R346" s="32"/>
      <c r="S346" s="32"/>
    </row>
    <row r="347" spans="3:19" x14ac:dyDescent="0.3">
      <c r="C347" s="11"/>
      <c r="D347" s="32"/>
      <c r="E347" s="11"/>
      <c r="F347" t="str">
        <f>_xlfn.TEXTJOIN(", ",TRUE, Tabla38[[#This Row],[Tipo de escalera]],Tabla38[[#This Row],[Longitud]],Tabla38[[#This Row],[Carga Maxima]])</f>
        <v/>
      </c>
      <c r="G347" s="15"/>
      <c r="J347" s="15"/>
      <c r="K347" s="47"/>
      <c r="L347" s="76"/>
      <c r="M347" s="76"/>
      <c r="N347" s="78" t="str">
        <f>_xlfn.LET(
    _xlpm.itemBuscado, B347,
    _xlpm.areaBuscada, C347,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TEXT(COUNTIF($C$2:C347, _xlpm.areaBuscada), "0000"),
    _xlpm.codItem &amp; "-" &amp; _xlpm.codArea &amp; "-" &amp; _xlpm.secuencia
)</f>
        <v>-SinArea-0000</v>
      </c>
      <c r="O347" s="77"/>
      <c r="P347" s="32"/>
      <c r="Q347" s="32"/>
      <c r="R347" s="32"/>
      <c r="S347" s="32"/>
    </row>
    <row r="348" spans="3:19" x14ac:dyDescent="0.3">
      <c r="C348" s="11"/>
      <c r="D348" s="32"/>
      <c r="E348" s="11"/>
      <c r="F348" t="str">
        <f>_xlfn.TEXTJOIN(", ",TRUE, Tabla38[[#This Row],[Tipo de escalera]],Tabla38[[#This Row],[Longitud]],Tabla38[[#This Row],[Carga Maxima]])</f>
        <v/>
      </c>
      <c r="G348" s="15"/>
      <c r="J348" s="15"/>
      <c r="K348" s="47"/>
      <c r="L348" s="76"/>
      <c r="M348" s="76"/>
      <c r="N348" s="78" t="str">
        <f>_xlfn.LET(
    _xlpm.itemBuscado, B348,
    _xlpm.areaBuscada, C348,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TEXT(COUNTIF($C$2:C348, _xlpm.areaBuscada), "0000"),
    _xlpm.codItem &amp; "-" &amp; _xlpm.codArea &amp; "-" &amp; _xlpm.secuencia
)</f>
        <v>-SinArea-0000</v>
      </c>
      <c r="O348" s="77"/>
      <c r="P348" s="32"/>
      <c r="Q348" s="32"/>
      <c r="R348" s="32"/>
      <c r="S348" s="32"/>
    </row>
    <row r="349" spans="3:19" x14ac:dyDescent="0.3">
      <c r="C349" s="11"/>
      <c r="D349" s="32"/>
      <c r="E349" s="11"/>
      <c r="F349" t="str">
        <f>_xlfn.TEXTJOIN(", ",TRUE, Tabla38[[#This Row],[Tipo de escalera]],Tabla38[[#This Row],[Longitud]],Tabla38[[#This Row],[Carga Maxima]])</f>
        <v/>
      </c>
      <c r="G349" s="15"/>
      <c r="J349" s="15"/>
      <c r="K349" s="47"/>
      <c r="L349" s="76"/>
      <c r="M349" s="76"/>
      <c r="N349" s="78" t="str">
        <f>_xlfn.LET(
    _xlpm.itemBuscado, B349,
    _xlpm.areaBuscada, C349,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TEXT(COUNTIF($C$2:C349, _xlpm.areaBuscada), "0000"),
    _xlpm.codItem &amp; "-" &amp; _xlpm.codArea &amp; "-" &amp; _xlpm.secuencia
)</f>
        <v>-SinArea-0000</v>
      </c>
      <c r="O349" s="77"/>
      <c r="P349" s="32"/>
      <c r="Q349" s="32"/>
      <c r="R349" s="32"/>
      <c r="S349" s="32"/>
    </row>
    <row r="350" spans="3:19" x14ac:dyDescent="0.3">
      <c r="C350" s="11"/>
      <c r="D350" s="32"/>
      <c r="E350" s="11"/>
      <c r="F350" t="str">
        <f>_xlfn.TEXTJOIN(", ",TRUE, Tabla38[[#This Row],[Tipo de escalera]],Tabla38[[#This Row],[Longitud]],Tabla38[[#This Row],[Carga Maxima]])</f>
        <v/>
      </c>
      <c r="G350" s="15"/>
      <c r="J350" s="15"/>
      <c r="K350" s="47"/>
      <c r="L350" s="76"/>
      <c r="M350" s="76"/>
      <c r="N350" s="78" t="str">
        <f>_xlfn.LET(
    _xlpm.itemBuscado, B350,
    _xlpm.areaBuscada, C350,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TEXT(COUNTIF($C$2:C350, _xlpm.areaBuscada), "0000"),
    _xlpm.codItem &amp; "-" &amp; _xlpm.codArea &amp; "-" &amp; _xlpm.secuencia
)</f>
        <v>-SinArea-0000</v>
      </c>
      <c r="O350" s="77"/>
      <c r="P350" s="32"/>
      <c r="Q350" s="32"/>
      <c r="R350" s="32"/>
      <c r="S350" s="32"/>
    </row>
    <row r="351" spans="3:19" x14ac:dyDescent="0.3">
      <c r="C351" s="11"/>
      <c r="D351" s="32"/>
      <c r="E351" s="11"/>
      <c r="F351" t="str">
        <f>_xlfn.TEXTJOIN(", ",TRUE, Tabla38[[#This Row],[Tipo de escalera]],Tabla38[[#This Row],[Longitud]],Tabla38[[#This Row],[Carga Maxima]])</f>
        <v/>
      </c>
      <c r="G351" s="15"/>
      <c r="J351" s="15"/>
      <c r="K351" s="47"/>
      <c r="L351" s="76"/>
      <c r="M351" s="76"/>
      <c r="N351" s="78" t="str">
        <f>_xlfn.LET(
    _xlpm.itemBuscado, B351,
    _xlpm.areaBuscada, C351,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TEXT(COUNTIF($C$2:C351, _xlpm.areaBuscada), "0000"),
    _xlpm.codItem &amp; "-" &amp; _xlpm.codArea &amp; "-" &amp; _xlpm.secuencia
)</f>
        <v>-SinArea-0000</v>
      </c>
      <c r="O351" s="77"/>
      <c r="P351" s="32"/>
      <c r="Q351" s="32"/>
      <c r="R351" s="32"/>
      <c r="S351" s="32"/>
    </row>
    <row r="352" spans="3:19" x14ac:dyDescent="0.3">
      <c r="C352" s="11"/>
      <c r="D352" s="32"/>
      <c r="E352" s="11"/>
      <c r="F352" t="str">
        <f>_xlfn.TEXTJOIN(", ",TRUE, Tabla38[[#This Row],[Tipo de escalera]],Tabla38[[#This Row],[Longitud]],Tabla38[[#This Row],[Carga Maxima]])</f>
        <v/>
      </c>
      <c r="G352" s="15"/>
      <c r="J352" s="15"/>
      <c r="K352" s="47"/>
      <c r="L352" s="76"/>
      <c r="M352" s="76"/>
      <c r="N352" s="78" t="str">
        <f>_xlfn.LET(
    _xlpm.itemBuscado, B352,
    _xlpm.areaBuscada, C352,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TEXT(COUNTIF($C$2:C352, _xlpm.areaBuscada), "0000"),
    _xlpm.codItem &amp; "-" &amp; _xlpm.codArea &amp; "-" &amp; _xlpm.secuencia
)</f>
        <v>-SinArea-0000</v>
      </c>
      <c r="O352" s="77"/>
      <c r="P352" s="32"/>
      <c r="Q352" s="32"/>
      <c r="R352" s="32"/>
      <c r="S352" s="32"/>
    </row>
    <row r="353" spans="3:19" x14ac:dyDescent="0.3">
      <c r="C353" s="11"/>
      <c r="D353" s="32"/>
      <c r="E353" s="11"/>
      <c r="F353" t="str">
        <f>_xlfn.TEXTJOIN(", ",TRUE, Tabla38[[#This Row],[Tipo de escalera]],Tabla38[[#This Row],[Longitud]],Tabla38[[#This Row],[Carga Maxima]])</f>
        <v/>
      </c>
      <c r="G353" s="15"/>
      <c r="J353" s="15"/>
      <c r="K353" s="47"/>
      <c r="L353" s="76"/>
      <c r="M353" s="76"/>
      <c r="N353" s="78" t="str">
        <f>_xlfn.LET(
    _xlpm.itemBuscado, B353,
    _xlpm.areaBuscada, C353,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TEXT(COUNTIF($C$2:C353, _xlpm.areaBuscada), "0000"),
    _xlpm.codItem &amp; "-" &amp; _xlpm.codArea &amp; "-" &amp; _xlpm.secuencia
)</f>
        <v>-SinArea-0000</v>
      </c>
      <c r="O353" s="77"/>
      <c r="P353" s="32"/>
      <c r="Q353" s="32"/>
      <c r="R353" s="32"/>
      <c r="S353" s="32"/>
    </row>
    <row r="354" spans="3:19" x14ac:dyDescent="0.3">
      <c r="C354" s="11"/>
      <c r="D354" s="32"/>
      <c r="E354" s="11"/>
      <c r="F354" t="str">
        <f>_xlfn.TEXTJOIN(", ",TRUE, Tabla38[[#This Row],[Tipo de escalera]],Tabla38[[#This Row],[Longitud]],Tabla38[[#This Row],[Carga Maxima]])</f>
        <v/>
      </c>
      <c r="G354" s="15"/>
      <c r="J354" s="15"/>
      <c r="K354" s="47"/>
      <c r="L354" s="76"/>
      <c r="M354" s="76"/>
      <c r="N354" s="78" t="str">
        <f>_xlfn.LET(
    _xlpm.itemBuscado, B354,
    _xlpm.areaBuscada, C354,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TEXT(COUNTIF($C$2:C354, _xlpm.areaBuscada), "0000"),
    _xlpm.codItem &amp; "-" &amp; _xlpm.codArea &amp; "-" &amp; _xlpm.secuencia
)</f>
        <v>-SinArea-0000</v>
      </c>
      <c r="O354" s="77"/>
      <c r="P354" s="32"/>
      <c r="Q354" s="32"/>
      <c r="R354" s="32"/>
      <c r="S354" s="32"/>
    </row>
    <row r="355" spans="3:19" x14ac:dyDescent="0.3">
      <c r="C355" s="11"/>
      <c r="D355" s="32"/>
      <c r="E355" s="11"/>
      <c r="F355" t="str">
        <f>_xlfn.TEXTJOIN(", ",TRUE, Tabla38[[#This Row],[Tipo de escalera]],Tabla38[[#This Row],[Longitud]],Tabla38[[#This Row],[Carga Maxima]])</f>
        <v/>
      </c>
      <c r="G355" s="15"/>
      <c r="J355" s="15"/>
      <c r="K355" s="47"/>
      <c r="L355" s="76"/>
      <c r="M355" s="76"/>
      <c r="N355" s="78" t="str">
        <f>_xlfn.LET(
    _xlpm.itemBuscado, B355,
    _xlpm.areaBuscada, C355,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TEXT(COUNTIF($C$2:C355, _xlpm.areaBuscada), "0000"),
    _xlpm.codItem &amp; "-" &amp; _xlpm.codArea &amp; "-" &amp; _xlpm.secuencia
)</f>
        <v>-SinArea-0000</v>
      </c>
      <c r="O355" s="77"/>
      <c r="P355" s="32"/>
      <c r="Q355" s="32"/>
      <c r="R355" s="32"/>
      <c r="S355" s="32"/>
    </row>
    <row r="356" spans="3:19" x14ac:dyDescent="0.3">
      <c r="C356" s="11"/>
      <c r="D356" s="32"/>
      <c r="E356" s="11"/>
      <c r="F356" t="str">
        <f>_xlfn.TEXTJOIN(", ",TRUE, Tabla38[[#This Row],[Tipo de escalera]],Tabla38[[#This Row],[Longitud]],Tabla38[[#This Row],[Carga Maxima]])</f>
        <v/>
      </c>
      <c r="G356" s="15"/>
      <c r="J356" s="15"/>
      <c r="K356" s="47"/>
      <c r="L356" s="76"/>
      <c r="M356" s="76"/>
      <c r="N356" s="78" t="str">
        <f>_xlfn.LET(
    _xlpm.itemBuscado, B356,
    _xlpm.areaBuscada, C356,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TEXT(COUNTIF($C$2:C356, _xlpm.areaBuscada), "0000"),
    _xlpm.codItem &amp; "-" &amp; _xlpm.codArea &amp; "-" &amp; _xlpm.secuencia
)</f>
        <v>-SinArea-0000</v>
      </c>
      <c r="O356" s="77"/>
      <c r="P356" s="32"/>
      <c r="Q356" s="32"/>
      <c r="R356" s="32"/>
      <c r="S356" s="32"/>
    </row>
    <row r="357" spans="3:19" x14ac:dyDescent="0.3">
      <c r="C357" s="11"/>
      <c r="D357" s="32"/>
      <c r="E357" s="11"/>
      <c r="F357" t="str">
        <f>_xlfn.TEXTJOIN(", ",TRUE, Tabla38[[#This Row],[Tipo de escalera]],Tabla38[[#This Row],[Longitud]],Tabla38[[#This Row],[Carga Maxima]])</f>
        <v/>
      </c>
      <c r="G357" s="15"/>
      <c r="J357" s="15"/>
      <c r="K357" s="47"/>
      <c r="L357" s="76"/>
      <c r="M357" s="76"/>
      <c r="N357" s="78" t="str">
        <f>_xlfn.LET(
    _xlpm.itemBuscado, B357,
    _xlpm.areaBuscada, C357,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TEXT(COUNTIF($C$2:C357, _xlpm.areaBuscada), "0000"),
    _xlpm.codItem &amp; "-" &amp; _xlpm.codArea &amp; "-" &amp; _xlpm.secuencia
)</f>
        <v>-SinArea-0000</v>
      </c>
      <c r="O357" s="77"/>
      <c r="P357" s="32"/>
      <c r="Q357" s="32"/>
      <c r="R357" s="32"/>
      <c r="S357" s="32"/>
    </row>
    <row r="358" spans="3:19" x14ac:dyDescent="0.3">
      <c r="C358" s="11"/>
      <c r="D358" s="32"/>
      <c r="E358" s="11"/>
      <c r="F358" t="str">
        <f>_xlfn.TEXTJOIN(", ",TRUE, Tabla38[[#This Row],[Tipo de escalera]],Tabla38[[#This Row],[Longitud]],Tabla38[[#This Row],[Carga Maxima]])</f>
        <v/>
      </c>
      <c r="G358" s="15"/>
      <c r="J358" s="15"/>
      <c r="K358" s="47"/>
      <c r="L358" s="76"/>
      <c r="M358" s="76"/>
      <c r="N358" s="78" t="str">
        <f>_xlfn.LET(
    _xlpm.itemBuscado, B358,
    _xlpm.areaBuscada, C358,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TEXT(COUNTIF($C$2:C358, _xlpm.areaBuscada), "0000"),
    _xlpm.codItem &amp; "-" &amp; _xlpm.codArea &amp; "-" &amp; _xlpm.secuencia
)</f>
        <v>-SinArea-0000</v>
      </c>
      <c r="O358" s="77"/>
      <c r="P358" s="32"/>
      <c r="Q358" s="32"/>
      <c r="R358" s="32"/>
      <c r="S358" s="32"/>
    </row>
    <row r="359" spans="3:19" x14ac:dyDescent="0.3">
      <c r="C359" s="11"/>
      <c r="D359" s="32"/>
      <c r="E359" s="11"/>
      <c r="F359" t="str">
        <f>_xlfn.TEXTJOIN(", ",TRUE, Tabla38[[#This Row],[Tipo de escalera]],Tabla38[[#This Row],[Longitud]],Tabla38[[#This Row],[Carga Maxima]])</f>
        <v/>
      </c>
      <c r="G359" s="15"/>
      <c r="J359" s="15"/>
      <c r="K359" s="47"/>
      <c r="L359" s="76"/>
      <c r="M359" s="76"/>
      <c r="N359" s="78" t="str">
        <f>_xlfn.LET(
    _xlpm.itemBuscado, B359,
    _xlpm.areaBuscada, C359,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TEXT(COUNTIF($C$2:C359, _xlpm.areaBuscada), "0000"),
    _xlpm.codItem &amp; "-" &amp; _xlpm.codArea &amp; "-" &amp; _xlpm.secuencia
)</f>
        <v>-SinArea-0000</v>
      </c>
      <c r="O359" s="77"/>
      <c r="P359" s="32"/>
      <c r="Q359" s="32"/>
      <c r="R359" s="32"/>
      <c r="S359" s="32"/>
    </row>
    <row r="360" spans="3:19" x14ac:dyDescent="0.3">
      <c r="C360" s="11"/>
      <c r="D360" s="32"/>
      <c r="E360" s="11"/>
      <c r="F360" t="str">
        <f>_xlfn.TEXTJOIN(", ",TRUE, Tabla38[[#This Row],[Tipo de escalera]],Tabla38[[#This Row],[Longitud]],Tabla38[[#This Row],[Carga Maxima]])</f>
        <v/>
      </c>
      <c r="G360" s="15"/>
      <c r="J360" s="15"/>
      <c r="K360" s="47"/>
      <c r="L360" s="76"/>
      <c r="M360" s="76"/>
      <c r="N360" s="78" t="str">
        <f>_xlfn.LET(
    _xlpm.itemBuscado, B360,
    _xlpm.areaBuscada, C360,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TEXT(COUNTIF($C$2:C360, _xlpm.areaBuscada), "0000"),
    _xlpm.codItem &amp; "-" &amp; _xlpm.codArea &amp; "-" &amp; _xlpm.secuencia
)</f>
        <v>-SinArea-0000</v>
      </c>
      <c r="O360" s="77"/>
      <c r="P360" s="32"/>
      <c r="Q360" s="32"/>
      <c r="R360" s="32"/>
      <c r="S360" s="32"/>
    </row>
    <row r="361" spans="3:19" x14ac:dyDescent="0.3">
      <c r="C361" s="11"/>
      <c r="D361" s="32"/>
      <c r="E361" s="11"/>
      <c r="F361" t="str">
        <f>_xlfn.TEXTJOIN(", ",TRUE, Tabla38[[#This Row],[Tipo de escalera]],Tabla38[[#This Row],[Longitud]],Tabla38[[#This Row],[Carga Maxima]])</f>
        <v/>
      </c>
      <c r="G361" s="15"/>
      <c r="J361" s="15"/>
      <c r="K361" s="47"/>
      <c r="L361" s="76"/>
      <c r="M361" s="76"/>
      <c r="N361" s="78" t="str">
        <f>_xlfn.LET(
    _xlpm.itemBuscado, B361,
    _xlpm.areaBuscada, C361,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TEXT(COUNTIF($C$2:C361, _xlpm.areaBuscada), "0000"),
    _xlpm.codItem &amp; "-" &amp; _xlpm.codArea &amp; "-" &amp; _xlpm.secuencia
)</f>
        <v>-SinArea-0000</v>
      </c>
      <c r="O361" s="77"/>
      <c r="P361" s="32"/>
      <c r="Q361" s="32"/>
      <c r="R361" s="32"/>
      <c r="S361" s="32"/>
    </row>
    <row r="362" spans="3:19" x14ac:dyDescent="0.3">
      <c r="C362" s="11"/>
      <c r="D362" s="32"/>
      <c r="E362" s="11"/>
      <c r="F362" t="str">
        <f>_xlfn.TEXTJOIN(", ",TRUE, Tabla38[[#This Row],[Tipo de escalera]],Tabla38[[#This Row],[Longitud]],Tabla38[[#This Row],[Carga Maxima]])</f>
        <v/>
      </c>
      <c r="G362" s="15"/>
      <c r="J362" s="15"/>
      <c r="K362" s="47"/>
      <c r="L362" s="76"/>
      <c r="M362" s="76"/>
      <c r="N362" s="78" t="str">
        <f>_xlfn.LET(
    _xlpm.itemBuscado, B362,
    _xlpm.areaBuscada, C362,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TEXT(COUNTIF($C$2:C362, _xlpm.areaBuscada), "0000"),
    _xlpm.codItem &amp; "-" &amp; _xlpm.codArea &amp; "-" &amp; _xlpm.secuencia
)</f>
        <v>-SinArea-0000</v>
      </c>
      <c r="O362" s="77"/>
      <c r="P362" s="32"/>
      <c r="Q362" s="32"/>
      <c r="R362" s="32"/>
      <c r="S362" s="32"/>
    </row>
    <row r="363" spans="3:19" x14ac:dyDescent="0.3">
      <c r="C363" s="11"/>
      <c r="D363" s="32"/>
      <c r="E363" s="11"/>
      <c r="F363" t="str">
        <f>_xlfn.TEXTJOIN(", ",TRUE, Tabla38[[#This Row],[Tipo de escalera]],Tabla38[[#This Row],[Longitud]],Tabla38[[#This Row],[Carga Maxima]])</f>
        <v/>
      </c>
      <c r="G363" s="15"/>
      <c r="J363" s="15"/>
      <c r="K363" s="47"/>
      <c r="L363" s="76"/>
      <c r="M363" s="76"/>
      <c r="N363" s="78" t="str">
        <f>_xlfn.LET(
    _xlpm.itemBuscado, B363,
    _xlpm.areaBuscada, C363,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TEXT(COUNTIF($C$2:C363, _xlpm.areaBuscada), "0000"),
    _xlpm.codItem &amp; "-" &amp; _xlpm.codArea &amp; "-" &amp; _xlpm.secuencia
)</f>
        <v>-SinArea-0000</v>
      </c>
      <c r="O363" s="77"/>
      <c r="P363" s="32"/>
      <c r="Q363" s="32"/>
      <c r="R363" s="32"/>
      <c r="S363" s="32"/>
    </row>
    <row r="364" spans="3:19" x14ac:dyDescent="0.3">
      <c r="C364" s="11"/>
      <c r="D364" s="32"/>
      <c r="E364" s="11"/>
      <c r="F364" t="str">
        <f>_xlfn.TEXTJOIN(", ",TRUE, Tabla38[[#This Row],[Tipo de escalera]],Tabla38[[#This Row],[Longitud]],Tabla38[[#This Row],[Carga Maxima]])</f>
        <v/>
      </c>
      <c r="G364" s="15"/>
      <c r="J364" s="15"/>
      <c r="K364" s="47"/>
      <c r="L364" s="76"/>
      <c r="M364" s="76"/>
      <c r="N364" s="78" t="str">
        <f>_xlfn.LET(
    _xlpm.itemBuscado, B364,
    _xlpm.areaBuscada, C364,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TEXT(COUNTIF($C$2:C364, _xlpm.areaBuscada), "0000"),
    _xlpm.codItem &amp; "-" &amp; _xlpm.codArea &amp; "-" &amp; _xlpm.secuencia
)</f>
        <v>-SinArea-0000</v>
      </c>
      <c r="O364" s="77"/>
      <c r="P364" s="32"/>
      <c r="Q364" s="32"/>
      <c r="R364" s="32"/>
      <c r="S364" s="32"/>
    </row>
    <row r="365" spans="3:19" x14ac:dyDescent="0.3">
      <c r="C365" s="11"/>
      <c r="D365" s="32"/>
      <c r="E365" s="11"/>
      <c r="F365" t="str">
        <f>_xlfn.TEXTJOIN(", ",TRUE, Tabla38[[#This Row],[Tipo de escalera]],Tabla38[[#This Row],[Longitud]],Tabla38[[#This Row],[Carga Maxima]])</f>
        <v/>
      </c>
      <c r="G365" s="15"/>
      <c r="J365" s="15"/>
      <c r="K365" s="47"/>
      <c r="L365" s="76"/>
      <c r="M365" s="76"/>
      <c r="N365" s="78" t="str">
        <f>_xlfn.LET(
    _xlpm.itemBuscado, B365,
    _xlpm.areaBuscada, C365,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TEXT(COUNTIF($C$2:C365, _xlpm.areaBuscada), "0000"),
    _xlpm.codItem &amp; "-" &amp; _xlpm.codArea &amp; "-" &amp; _xlpm.secuencia
)</f>
        <v>-SinArea-0000</v>
      </c>
      <c r="O365" s="77"/>
      <c r="P365" s="32"/>
      <c r="Q365" s="32"/>
      <c r="R365" s="32"/>
      <c r="S365" s="32"/>
    </row>
    <row r="366" spans="3:19" x14ac:dyDescent="0.3">
      <c r="C366" s="11"/>
      <c r="D366" s="32"/>
      <c r="E366" s="11"/>
      <c r="F366" t="str">
        <f>_xlfn.TEXTJOIN(", ",TRUE, Tabla38[[#This Row],[Tipo de escalera]],Tabla38[[#This Row],[Longitud]],Tabla38[[#This Row],[Carga Maxima]])</f>
        <v/>
      </c>
      <c r="G366" s="15"/>
      <c r="J366" s="15"/>
      <c r="K366" s="47"/>
      <c r="L366" s="76"/>
      <c r="M366" s="76"/>
      <c r="N366" s="78" t="str">
        <f>_xlfn.LET(
    _xlpm.itemBuscado, B366,
    _xlpm.areaBuscada, C366,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TEXT(COUNTIF($C$2:C366, _xlpm.areaBuscada), "0000"),
    _xlpm.codItem &amp; "-" &amp; _xlpm.codArea &amp; "-" &amp; _xlpm.secuencia
)</f>
        <v>-SinArea-0000</v>
      </c>
      <c r="O366" s="77"/>
      <c r="P366" s="32"/>
      <c r="Q366" s="32"/>
      <c r="R366" s="32"/>
      <c r="S366" s="32"/>
    </row>
    <row r="367" spans="3:19" x14ac:dyDescent="0.3">
      <c r="C367" s="11"/>
      <c r="D367" s="32"/>
      <c r="E367" s="11"/>
      <c r="F367" t="str">
        <f>_xlfn.TEXTJOIN(", ",TRUE, Tabla38[[#This Row],[Tipo de escalera]],Tabla38[[#This Row],[Longitud]],Tabla38[[#This Row],[Carga Maxima]])</f>
        <v/>
      </c>
      <c r="G367" s="15"/>
      <c r="J367" s="15"/>
      <c r="K367" s="47"/>
      <c r="L367" s="76"/>
      <c r="M367" s="76"/>
      <c r="N367" s="78" t="str">
        <f>_xlfn.LET(
    _xlpm.itemBuscado, B367,
    _xlpm.areaBuscada, C367,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TEXT(COUNTIF($C$2:C367, _xlpm.areaBuscada), "0000"),
    _xlpm.codItem &amp; "-" &amp; _xlpm.codArea &amp; "-" &amp; _xlpm.secuencia
)</f>
        <v>-SinArea-0000</v>
      </c>
      <c r="O367" s="77"/>
      <c r="P367" s="32"/>
      <c r="Q367" s="32"/>
      <c r="R367" s="32"/>
      <c r="S367" s="32"/>
    </row>
    <row r="368" spans="3:19" x14ac:dyDescent="0.3">
      <c r="C368" s="11"/>
      <c r="D368" s="32"/>
      <c r="E368" s="11"/>
      <c r="F368" t="str">
        <f>_xlfn.TEXTJOIN(", ",TRUE, Tabla38[[#This Row],[Tipo de escalera]],Tabla38[[#This Row],[Longitud]],Tabla38[[#This Row],[Carga Maxima]])</f>
        <v/>
      </c>
      <c r="G368" s="15"/>
      <c r="J368" s="15"/>
      <c r="K368" s="47"/>
      <c r="L368" s="76"/>
      <c r="M368" s="76"/>
      <c r="N368" s="78" t="str">
        <f>_xlfn.LET(
    _xlpm.itemBuscado, B368,
    _xlpm.areaBuscada, C368,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TEXT(COUNTIF($C$2:C368, _xlpm.areaBuscada), "0000"),
    _xlpm.codItem &amp; "-" &amp; _xlpm.codArea &amp; "-" &amp; _xlpm.secuencia
)</f>
        <v>-SinArea-0000</v>
      </c>
      <c r="O368" s="77"/>
      <c r="P368" s="32"/>
      <c r="Q368" s="32"/>
      <c r="R368" s="32"/>
      <c r="S368" s="32"/>
    </row>
    <row r="369" spans="3:19" x14ac:dyDescent="0.3">
      <c r="C369" s="11"/>
      <c r="D369" s="32"/>
      <c r="E369" s="11"/>
      <c r="F369" t="str">
        <f>_xlfn.TEXTJOIN(", ",TRUE, Tabla38[[#This Row],[Tipo de escalera]],Tabla38[[#This Row],[Longitud]],Tabla38[[#This Row],[Carga Maxima]])</f>
        <v/>
      </c>
      <c r="G369" s="15"/>
      <c r="J369" s="15"/>
      <c r="K369" s="47"/>
      <c r="L369" s="76"/>
      <c r="M369" s="76"/>
      <c r="N369" s="78" t="str">
        <f>_xlfn.LET(
    _xlpm.itemBuscado, B369,
    _xlpm.areaBuscada, C369,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TEXT(COUNTIF($C$2:C369, _xlpm.areaBuscada), "0000"),
    _xlpm.codItem &amp; "-" &amp; _xlpm.codArea &amp; "-" &amp; _xlpm.secuencia
)</f>
        <v>-SinArea-0000</v>
      </c>
      <c r="O369" s="77"/>
      <c r="P369" s="32"/>
      <c r="Q369" s="32"/>
      <c r="R369" s="32"/>
      <c r="S369" s="32"/>
    </row>
    <row r="370" spans="3:19" x14ac:dyDescent="0.3">
      <c r="C370" s="11"/>
      <c r="D370" s="32"/>
      <c r="E370" s="11"/>
      <c r="F370" t="str">
        <f>_xlfn.TEXTJOIN(", ",TRUE, Tabla38[[#This Row],[Tipo de escalera]],Tabla38[[#This Row],[Longitud]],Tabla38[[#This Row],[Carga Maxima]])</f>
        <v/>
      </c>
      <c r="G370" s="15"/>
      <c r="J370" s="15"/>
      <c r="K370" s="47"/>
      <c r="L370" s="76"/>
      <c r="M370" s="76"/>
      <c r="N370" s="78" t="str">
        <f>_xlfn.LET(
    _xlpm.itemBuscado, B370,
    _xlpm.areaBuscada, C370,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TEXT(COUNTIF($C$2:C370, _xlpm.areaBuscada), "0000"),
    _xlpm.codItem &amp; "-" &amp; _xlpm.codArea &amp; "-" &amp; _xlpm.secuencia
)</f>
        <v>-SinArea-0000</v>
      </c>
      <c r="O370" s="77"/>
      <c r="P370" s="32"/>
      <c r="Q370" s="32"/>
      <c r="R370" s="32"/>
      <c r="S370" s="32"/>
    </row>
    <row r="371" spans="3:19" x14ac:dyDescent="0.3">
      <c r="C371" s="11"/>
      <c r="D371" s="32"/>
      <c r="E371" s="11"/>
      <c r="F371" t="str">
        <f>_xlfn.TEXTJOIN(", ",TRUE, Tabla38[[#This Row],[Tipo de escalera]],Tabla38[[#This Row],[Longitud]],Tabla38[[#This Row],[Carga Maxima]])</f>
        <v/>
      </c>
      <c r="G371" s="15"/>
      <c r="J371" s="15"/>
      <c r="K371" s="47"/>
      <c r="L371" s="76"/>
      <c r="M371" s="76"/>
      <c r="N371" s="78" t="str">
        <f>_xlfn.LET(
    _xlpm.itemBuscado, B371,
    _xlpm.areaBuscada, C371,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TEXT(COUNTIF($C$2:C371, _xlpm.areaBuscada), "0000"),
    _xlpm.codItem &amp; "-" &amp; _xlpm.codArea &amp; "-" &amp; _xlpm.secuencia
)</f>
        <v>-SinArea-0000</v>
      </c>
      <c r="O371" s="77"/>
      <c r="P371" s="32"/>
      <c r="Q371" s="32"/>
      <c r="R371" s="32"/>
      <c r="S371" s="32"/>
    </row>
    <row r="372" spans="3:19" x14ac:dyDescent="0.3">
      <c r="C372" s="11"/>
      <c r="D372" s="32"/>
      <c r="E372" s="11"/>
      <c r="F372" t="str">
        <f>_xlfn.TEXTJOIN(", ",TRUE, Tabla38[[#This Row],[Tipo de escalera]],Tabla38[[#This Row],[Longitud]],Tabla38[[#This Row],[Carga Maxima]])</f>
        <v/>
      </c>
      <c r="G372" s="15"/>
      <c r="J372" s="15"/>
      <c r="K372" s="47"/>
      <c r="L372" s="76"/>
      <c r="M372" s="76"/>
      <c r="N372" s="78" t="str">
        <f>_xlfn.LET(
    _xlpm.itemBuscado, B372,
    _xlpm.areaBuscada, C372,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TEXT(COUNTIF($C$2:C372, _xlpm.areaBuscada), "0000"),
    _xlpm.codItem &amp; "-" &amp; _xlpm.codArea &amp; "-" &amp; _xlpm.secuencia
)</f>
        <v>-SinArea-0000</v>
      </c>
      <c r="O372" s="77"/>
      <c r="P372" s="32"/>
      <c r="Q372" s="32"/>
      <c r="R372" s="32"/>
      <c r="S372" s="32"/>
    </row>
    <row r="373" spans="3:19" x14ac:dyDescent="0.3">
      <c r="C373" s="11"/>
      <c r="D373" s="32"/>
      <c r="E373" s="11"/>
      <c r="F373" t="str">
        <f>_xlfn.TEXTJOIN(", ",TRUE, Tabla38[[#This Row],[Tipo de escalera]],Tabla38[[#This Row],[Longitud]],Tabla38[[#This Row],[Carga Maxima]])</f>
        <v/>
      </c>
      <c r="G373" s="15"/>
      <c r="J373" s="15"/>
      <c r="K373" s="47"/>
      <c r="L373" s="76"/>
      <c r="M373" s="76"/>
      <c r="N373" s="78" t="str">
        <f>_xlfn.LET(
    _xlpm.itemBuscado, B373,
    _xlpm.areaBuscada, C373,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TEXT(COUNTIF($C$2:C373, _xlpm.areaBuscada), "0000"),
    _xlpm.codItem &amp; "-" &amp; _xlpm.codArea &amp; "-" &amp; _xlpm.secuencia
)</f>
        <v>-SinArea-0000</v>
      </c>
      <c r="O373" s="77"/>
      <c r="P373" s="32"/>
      <c r="Q373" s="32"/>
      <c r="R373" s="32"/>
      <c r="S373" s="32"/>
    </row>
    <row r="374" spans="3:19" x14ac:dyDescent="0.3">
      <c r="C374" s="11"/>
      <c r="D374" s="32"/>
      <c r="E374" s="11"/>
      <c r="F374" t="str">
        <f>_xlfn.TEXTJOIN(", ",TRUE, Tabla38[[#This Row],[Tipo de escalera]],Tabla38[[#This Row],[Longitud]],Tabla38[[#This Row],[Carga Maxima]])</f>
        <v/>
      </c>
      <c r="G374" s="15"/>
      <c r="J374" s="15"/>
      <c r="K374" s="47"/>
      <c r="L374" s="76"/>
      <c r="M374" s="76"/>
      <c r="N374" s="78" t="str">
        <f>_xlfn.LET(
    _xlpm.itemBuscado, B374,
    _xlpm.areaBuscada, C374,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TEXT(COUNTIF($C$2:C374, _xlpm.areaBuscada), "0000"),
    _xlpm.codItem &amp; "-" &amp; _xlpm.codArea &amp; "-" &amp; _xlpm.secuencia
)</f>
        <v>-SinArea-0000</v>
      </c>
      <c r="O374" s="77"/>
      <c r="P374" s="32"/>
      <c r="Q374" s="32"/>
      <c r="R374" s="32"/>
      <c r="S374" s="32"/>
    </row>
    <row r="375" spans="3:19" x14ac:dyDescent="0.3">
      <c r="C375" s="11"/>
      <c r="D375" s="32"/>
      <c r="E375" s="11"/>
      <c r="F375" t="str">
        <f>_xlfn.TEXTJOIN(", ",TRUE, Tabla38[[#This Row],[Tipo de escalera]],Tabla38[[#This Row],[Longitud]],Tabla38[[#This Row],[Carga Maxima]])</f>
        <v/>
      </c>
      <c r="G375" s="15"/>
      <c r="J375" s="15"/>
      <c r="K375" s="47"/>
      <c r="L375" s="76"/>
      <c r="M375" s="76"/>
      <c r="N375" s="78" t="str">
        <f>_xlfn.LET(
    _xlpm.itemBuscado, B375,
    _xlpm.areaBuscada, C375,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TEXT(COUNTIF($C$2:C375, _xlpm.areaBuscada), "0000"),
    _xlpm.codItem &amp; "-" &amp; _xlpm.codArea &amp; "-" &amp; _xlpm.secuencia
)</f>
        <v>-SinArea-0000</v>
      </c>
      <c r="O375" s="77"/>
      <c r="P375" s="32"/>
      <c r="Q375" s="32"/>
      <c r="R375" s="32"/>
      <c r="S375" s="32"/>
    </row>
    <row r="376" spans="3:19" x14ac:dyDescent="0.3">
      <c r="C376" s="11"/>
      <c r="D376" s="32"/>
      <c r="E376" s="11"/>
      <c r="F376" t="str">
        <f>_xlfn.TEXTJOIN(", ",TRUE, Tabla38[[#This Row],[Tipo de escalera]],Tabla38[[#This Row],[Longitud]],Tabla38[[#This Row],[Carga Maxima]])</f>
        <v/>
      </c>
      <c r="G376" s="15"/>
      <c r="J376" s="15"/>
      <c r="K376" s="47"/>
      <c r="L376" s="76"/>
      <c r="M376" s="76"/>
      <c r="N376" s="78" t="str">
        <f>_xlfn.LET(
    _xlpm.itemBuscado, B376,
    _xlpm.areaBuscada, C376,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TEXT(COUNTIF($C$2:C376, _xlpm.areaBuscada), "0000"),
    _xlpm.codItem &amp; "-" &amp; _xlpm.codArea &amp; "-" &amp; _xlpm.secuencia
)</f>
        <v>-SinArea-0000</v>
      </c>
      <c r="O376" s="77"/>
      <c r="P376" s="32"/>
      <c r="Q376" s="32"/>
      <c r="R376" s="32"/>
      <c r="S376" s="32"/>
    </row>
    <row r="377" spans="3:19" x14ac:dyDescent="0.3">
      <c r="C377" s="11"/>
      <c r="D377" s="32"/>
      <c r="E377" s="11"/>
      <c r="F377" t="str">
        <f>_xlfn.TEXTJOIN(", ",TRUE, Tabla38[[#This Row],[Tipo de escalera]],Tabla38[[#This Row],[Longitud]],Tabla38[[#This Row],[Carga Maxima]])</f>
        <v/>
      </c>
      <c r="G377" s="15"/>
      <c r="J377" s="15"/>
      <c r="K377" s="47"/>
      <c r="L377" s="76"/>
      <c r="M377" s="76"/>
      <c r="N377" s="78" t="str">
        <f>_xlfn.LET(
    _xlpm.itemBuscado, B377,
    _xlpm.areaBuscada, C377,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TEXT(COUNTIF($C$2:C377, _xlpm.areaBuscada), "0000"),
    _xlpm.codItem &amp; "-" &amp; _xlpm.codArea &amp; "-" &amp; _xlpm.secuencia
)</f>
        <v>-SinArea-0000</v>
      </c>
      <c r="O377" s="77"/>
      <c r="P377" s="32"/>
      <c r="Q377" s="32"/>
      <c r="R377" s="32"/>
      <c r="S377" s="32"/>
    </row>
    <row r="378" spans="3:19" x14ac:dyDescent="0.3">
      <c r="C378" s="11"/>
      <c r="D378" s="32"/>
      <c r="E378" s="11"/>
      <c r="F378" t="str">
        <f>_xlfn.TEXTJOIN(", ",TRUE, Tabla38[[#This Row],[Tipo de escalera]],Tabla38[[#This Row],[Longitud]],Tabla38[[#This Row],[Carga Maxima]])</f>
        <v/>
      </c>
      <c r="G378" s="15"/>
      <c r="J378" s="15"/>
      <c r="K378" s="47"/>
      <c r="L378" s="76"/>
      <c r="M378" s="76"/>
      <c r="N378" s="78" t="str">
        <f>_xlfn.LET(
    _xlpm.itemBuscado, B378,
    _xlpm.areaBuscada, C378,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TEXT(COUNTIF($C$2:C378, _xlpm.areaBuscada), "0000"),
    _xlpm.codItem &amp; "-" &amp; _xlpm.codArea &amp; "-" &amp; _xlpm.secuencia
)</f>
        <v>-SinArea-0000</v>
      </c>
      <c r="O378" s="77"/>
      <c r="P378" s="32"/>
      <c r="Q378" s="32"/>
      <c r="R378" s="32"/>
      <c r="S378" s="32"/>
    </row>
    <row r="379" spans="3:19" x14ac:dyDescent="0.3">
      <c r="C379" s="11"/>
      <c r="D379" s="32"/>
      <c r="E379" s="11"/>
      <c r="F379" t="str">
        <f>_xlfn.TEXTJOIN(", ",TRUE, Tabla38[[#This Row],[Tipo de escalera]],Tabla38[[#This Row],[Longitud]],Tabla38[[#This Row],[Carga Maxima]])</f>
        <v/>
      </c>
      <c r="G379" s="15"/>
      <c r="J379" s="15"/>
      <c r="K379" s="47"/>
      <c r="L379" s="76"/>
      <c r="M379" s="76"/>
      <c r="N379" s="78" t="str">
        <f>_xlfn.LET(
    _xlpm.itemBuscado, B379,
    _xlpm.areaBuscada, C379,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TEXT(COUNTIF($C$2:C379, _xlpm.areaBuscada), "0000"),
    _xlpm.codItem &amp; "-" &amp; _xlpm.codArea &amp; "-" &amp; _xlpm.secuencia
)</f>
        <v>-SinArea-0000</v>
      </c>
      <c r="O379" s="77"/>
      <c r="P379" s="32"/>
      <c r="Q379" s="32"/>
      <c r="R379" s="32"/>
      <c r="S379" s="32"/>
    </row>
    <row r="380" spans="3:19" x14ac:dyDescent="0.3">
      <c r="C380" s="11"/>
      <c r="D380" s="32"/>
      <c r="E380" s="11"/>
      <c r="F380" t="str">
        <f>_xlfn.TEXTJOIN(", ",TRUE, Tabla38[[#This Row],[Tipo de escalera]],Tabla38[[#This Row],[Longitud]],Tabla38[[#This Row],[Carga Maxima]])</f>
        <v/>
      </c>
      <c r="G380" s="15"/>
      <c r="J380" s="15"/>
      <c r="K380" s="47"/>
      <c r="L380" s="76"/>
      <c r="M380" s="76"/>
      <c r="N380" s="78" t="str">
        <f>_xlfn.LET(
    _xlpm.itemBuscado, B380,
    _xlpm.areaBuscada, C380,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TEXT(COUNTIF($C$2:C380, _xlpm.areaBuscada), "0000"),
    _xlpm.codItem &amp; "-" &amp; _xlpm.codArea &amp; "-" &amp; _xlpm.secuencia
)</f>
        <v>-SinArea-0000</v>
      </c>
      <c r="O380" s="77"/>
      <c r="P380" s="32"/>
      <c r="Q380" s="32"/>
      <c r="R380" s="32"/>
      <c r="S380" s="32"/>
    </row>
    <row r="381" spans="3:19" x14ac:dyDescent="0.3">
      <c r="C381" s="11"/>
      <c r="D381" s="32"/>
      <c r="E381" s="11"/>
      <c r="F381" t="str">
        <f>_xlfn.TEXTJOIN(", ",TRUE, Tabla38[[#This Row],[Tipo de escalera]],Tabla38[[#This Row],[Longitud]],Tabla38[[#This Row],[Carga Maxima]])</f>
        <v/>
      </c>
      <c r="G381" s="15"/>
      <c r="J381" s="15"/>
      <c r="K381" s="47"/>
      <c r="L381" s="76"/>
      <c r="M381" s="76"/>
      <c r="N381" s="78" t="str">
        <f>_xlfn.LET(
    _xlpm.itemBuscado, B381,
    _xlpm.areaBuscada, C381,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TEXT(COUNTIF($C$2:C381, _xlpm.areaBuscada), "0000"),
    _xlpm.codItem &amp; "-" &amp; _xlpm.codArea &amp; "-" &amp; _xlpm.secuencia
)</f>
        <v>-SinArea-0000</v>
      </c>
      <c r="O381" s="77"/>
      <c r="P381" s="32"/>
      <c r="Q381" s="32"/>
      <c r="R381" s="32"/>
      <c r="S381" s="32"/>
    </row>
    <row r="382" spans="3:19" x14ac:dyDescent="0.3">
      <c r="C382" s="11"/>
      <c r="D382" s="32"/>
      <c r="E382" s="11"/>
      <c r="F382" t="str">
        <f>_xlfn.TEXTJOIN(", ",TRUE, Tabla38[[#This Row],[Tipo de escalera]],Tabla38[[#This Row],[Longitud]],Tabla38[[#This Row],[Carga Maxima]])</f>
        <v/>
      </c>
      <c r="G382" s="15"/>
      <c r="J382" s="15"/>
      <c r="K382" s="47"/>
      <c r="L382" s="76"/>
      <c r="M382" s="76"/>
      <c r="N382" s="78" t="str">
        <f>_xlfn.LET(
    _xlpm.itemBuscado, B382,
    _xlpm.areaBuscada, C382,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TEXT(COUNTIF($C$2:C382, _xlpm.areaBuscada), "0000"),
    _xlpm.codItem &amp; "-" &amp; _xlpm.codArea &amp; "-" &amp; _xlpm.secuencia
)</f>
        <v>-SinArea-0000</v>
      </c>
      <c r="O382" s="77"/>
      <c r="P382" s="32"/>
      <c r="Q382" s="32"/>
      <c r="R382" s="32"/>
      <c r="S382" s="32"/>
    </row>
    <row r="383" spans="3:19" x14ac:dyDescent="0.3">
      <c r="C383" s="11"/>
      <c r="D383" s="32"/>
      <c r="E383" s="11"/>
      <c r="F383" t="str">
        <f>_xlfn.TEXTJOIN(", ",TRUE, Tabla38[[#This Row],[Tipo de escalera]],Tabla38[[#This Row],[Longitud]],Tabla38[[#This Row],[Carga Maxima]])</f>
        <v/>
      </c>
      <c r="G383" s="15"/>
      <c r="J383" s="15"/>
      <c r="K383" s="47"/>
      <c r="L383" s="76"/>
      <c r="M383" s="76"/>
      <c r="N383" s="78" t="str">
        <f>_xlfn.LET(
    _xlpm.itemBuscado, B383,
    _xlpm.areaBuscada, C383,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TEXT(COUNTIF($C$2:C383, _xlpm.areaBuscada), "0000"),
    _xlpm.codItem &amp; "-" &amp; _xlpm.codArea &amp; "-" &amp; _xlpm.secuencia
)</f>
        <v>-SinArea-0000</v>
      </c>
      <c r="O383" s="77"/>
      <c r="P383" s="32"/>
      <c r="Q383" s="32"/>
      <c r="R383" s="32"/>
      <c r="S383" s="32"/>
    </row>
    <row r="384" spans="3:19" x14ac:dyDescent="0.3">
      <c r="C384" s="11"/>
      <c r="D384" s="32"/>
      <c r="E384" s="11"/>
      <c r="F384" t="str">
        <f>_xlfn.TEXTJOIN(", ",TRUE, Tabla38[[#This Row],[Tipo de escalera]],Tabla38[[#This Row],[Longitud]],Tabla38[[#This Row],[Carga Maxima]])</f>
        <v/>
      </c>
      <c r="G384" s="15"/>
      <c r="J384" s="15"/>
      <c r="K384" s="47"/>
      <c r="L384" s="76"/>
      <c r="M384" s="76"/>
      <c r="N384" s="78" t="str">
        <f>_xlfn.LET(
    _xlpm.itemBuscado, B384,
    _xlpm.areaBuscada, C384,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TEXT(COUNTIF($C$2:C384, _xlpm.areaBuscada), "0000"),
    _xlpm.codItem &amp; "-" &amp; _xlpm.codArea &amp; "-" &amp; _xlpm.secuencia
)</f>
        <v>-SinArea-0000</v>
      </c>
      <c r="O384" s="77"/>
      <c r="P384" s="32"/>
      <c r="Q384" s="32"/>
      <c r="R384" s="32"/>
      <c r="S384" s="32"/>
    </row>
    <row r="385" spans="3:19" x14ac:dyDescent="0.3">
      <c r="C385" s="11"/>
      <c r="D385" s="32"/>
      <c r="E385" s="11"/>
      <c r="F385" t="str">
        <f>_xlfn.TEXTJOIN(", ",TRUE, Tabla38[[#This Row],[Tipo de escalera]],Tabla38[[#This Row],[Longitud]],Tabla38[[#This Row],[Carga Maxima]])</f>
        <v/>
      </c>
      <c r="G385" s="15"/>
      <c r="J385" s="15"/>
      <c r="K385" s="47"/>
      <c r="L385" s="76"/>
      <c r="M385" s="76"/>
      <c r="N385" s="78" t="str">
        <f>_xlfn.LET(
    _xlpm.itemBuscado, B385,
    _xlpm.areaBuscada, C385,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TEXT(COUNTIF($C$2:C385, _xlpm.areaBuscada), "0000"),
    _xlpm.codItem &amp; "-" &amp; _xlpm.codArea &amp; "-" &amp; _xlpm.secuencia
)</f>
        <v>-SinArea-0000</v>
      </c>
      <c r="O385" s="77"/>
      <c r="P385" s="32"/>
      <c r="Q385" s="32"/>
      <c r="R385" s="32"/>
      <c r="S385" s="32"/>
    </row>
    <row r="386" spans="3:19" x14ac:dyDescent="0.3">
      <c r="C386" s="11"/>
      <c r="D386" s="32"/>
      <c r="E386" s="11"/>
      <c r="F386" t="str">
        <f>_xlfn.TEXTJOIN(", ",TRUE, Tabla38[[#This Row],[Tipo de escalera]],Tabla38[[#This Row],[Longitud]],Tabla38[[#This Row],[Carga Maxima]])</f>
        <v/>
      </c>
      <c r="G386" s="15"/>
      <c r="J386" s="15"/>
      <c r="K386" s="47"/>
      <c r="L386" s="76"/>
      <c r="M386" s="76"/>
      <c r="N386" s="78" t="str">
        <f>_xlfn.LET(
    _xlpm.itemBuscado, B386,
    _xlpm.areaBuscada, C386,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TEXT(COUNTIF($C$2:C386, _xlpm.areaBuscada), "0000"),
    _xlpm.codItem &amp; "-" &amp; _xlpm.codArea &amp; "-" &amp; _xlpm.secuencia
)</f>
        <v>-SinArea-0000</v>
      </c>
      <c r="O386" s="77"/>
      <c r="P386" s="32"/>
      <c r="Q386" s="32"/>
      <c r="R386" s="32"/>
      <c r="S386" s="32"/>
    </row>
    <row r="387" spans="3:19" x14ac:dyDescent="0.3">
      <c r="C387" s="11"/>
      <c r="D387" s="32"/>
      <c r="E387" s="11"/>
      <c r="F387" t="str">
        <f>_xlfn.TEXTJOIN(", ",TRUE, Tabla38[[#This Row],[Tipo de escalera]],Tabla38[[#This Row],[Longitud]],Tabla38[[#This Row],[Carga Maxima]])</f>
        <v/>
      </c>
      <c r="G387" s="15"/>
      <c r="J387" s="15"/>
      <c r="K387" s="47"/>
      <c r="L387" s="76"/>
      <c r="M387" s="76"/>
      <c r="N387" s="78" t="str">
        <f>_xlfn.LET(
    _xlpm.itemBuscado, B387,
    _xlpm.areaBuscada, C387,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TEXT(COUNTIF($C$2:C387, _xlpm.areaBuscada), "0000"),
    _xlpm.codItem &amp; "-" &amp; _xlpm.codArea &amp; "-" &amp; _xlpm.secuencia
)</f>
        <v>-SinArea-0000</v>
      </c>
      <c r="O387" s="77"/>
      <c r="P387" s="32"/>
      <c r="Q387" s="32"/>
      <c r="R387" s="32"/>
      <c r="S387" s="32"/>
    </row>
    <row r="388" spans="3:19" x14ac:dyDescent="0.3">
      <c r="C388" s="11"/>
      <c r="D388" s="32"/>
      <c r="E388" s="11"/>
      <c r="F388" t="str">
        <f>_xlfn.TEXTJOIN(", ",TRUE, Tabla38[[#This Row],[Tipo de escalera]],Tabla38[[#This Row],[Longitud]],Tabla38[[#This Row],[Carga Maxima]])</f>
        <v/>
      </c>
      <c r="G388" s="15"/>
      <c r="J388" s="15"/>
      <c r="K388" s="47"/>
      <c r="L388" s="76"/>
      <c r="M388" s="76"/>
      <c r="N388" s="78" t="str">
        <f>_xlfn.LET(
    _xlpm.itemBuscado, B388,
    _xlpm.areaBuscada, C388,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TEXT(COUNTIF($C$2:C388, _xlpm.areaBuscada), "0000"),
    _xlpm.codItem &amp; "-" &amp; _xlpm.codArea &amp; "-" &amp; _xlpm.secuencia
)</f>
        <v>-SinArea-0000</v>
      </c>
      <c r="O388" s="77"/>
      <c r="P388" s="32"/>
      <c r="Q388" s="32"/>
      <c r="R388" s="32"/>
      <c r="S388" s="32"/>
    </row>
    <row r="389" spans="3:19" x14ac:dyDescent="0.3">
      <c r="C389" s="11"/>
      <c r="D389" s="32"/>
      <c r="E389" s="11"/>
      <c r="F389" t="str">
        <f>_xlfn.TEXTJOIN(", ",TRUE, Tabla38[[#This Row],[Tipo de escalera]],Tabla38[[#This Row],[Longitud]],Tabla38[[#This Row],[Carga Maxima]])</f>
        <v/>
      </c>
      <c r="G389" s="15"/>
      <c r="J389" s="15"/>
      <c r="K389" s="47"/>
      <c r="L389" s="76"/>
      <c r="M389" s="76"/>
      <c r="N389" s="78" t="str">
        <f>_xlfn.LET(
    _xlpm.itemBuscado, B389,
    _xlpm.areaBuscada, C389,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TEXT(COUNTIF($C$2:C389, _xlpm.areaBuscada), "0000"),
    _xlpm.codItem &amp; "-" &amp; _xlpm.codArea &amp; "-" &amp; _xlpm.secuencia
)</f>
        <v>-SinArea-0000</v>
      </c>
      <c r="O389" s="77"/>
      <c r="P389" s="32"/>
      <c r="Q389" s="32"/>
      <c r="R389" s="32"/>
      <c r="S389" s="32"/>
    </row>
    <row r="390" spans="3:19" x14ac:dyDescent="0.3">
      <c r="C390" s="11"/>
      <c r="D390" s="32"/>
      <c r="E390" s="11"/>
      <c r="F390" t="str">
        <f>_xlfn.TEXTJOIN(", ",TRUE, Tabla38[[#This Row],[Tipo de escalera]],Tabla38[[#This Row],[Longitud]],Tabla38[[#This Row],[Carga Maxima]])</f>
        <v/>
      </c>
      <c r="G390" s="15"/>
      <c r="J390" s="15"/>
      <c r="K390" s="47"/>
      <c r="L390" s="76"/>
      <c r="M390" s="76"/>
      <c r="N390" s="78" t="str">
        <f>_xlfn.LET(
    _xlpm.itemBuscado, B390,
    _xlpm.areaBuscada, C390,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TEXT(COUNTIF($C$2:C390, _xlpm.areaBuscada), "0000"),
    _xlpm.codItem &amp; "-" &amp; _xlpm.codArea &amp; "-" &amp; _xlpm.secuencia
)</f>
        <v>-SinArea-0000</v>
      </c>
      <c r="O390" s="77"/>
      <c r="P390" s="32"/>
      <c r="Q390" s="32"/>
      <c r="R390" s="32"/>
      <c r="S390" s="32"/>
    </row>
    <row r="391" spans="3:19" x14ac:dyDescent="0.3">
      <c r="C391" s="11"/>
      <c r="D391" s="32"/>
      <c r="E391" s="11"/>
      <c r="F391" t="str">
        <f>_xlfn.TEXTJOIN(", ",TRUE, Tabla38[[#This Row],[Tipo de escalera]],Tabla38[[#This Row],[Longitud]],Tabla38[[#This Row],[Carga Maxima]])</f>
        <v/>
      </c>
      <c r="G391" s="15"/>
      <c r="J391" s="15"/>
      <c r="K391" s="47"/>
      <c r="L391" s="76"/>
      <c r="M391" s="76"/>
      <c r="N391" s="78" t="str">
        <f>_xlfn.LET(
    _xlpm.itemBuscado, B391,
    _xlpm.areaBuscada, C391,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TEXT(COUNTIF($C$2:C391, _xlpm.areaBuscada), "0000"),
    _xlpm.codItem &amp; "-" &amp; _xlpm.codArea &amp; "-" &amp; _xlpm.secuencia
)</f>
        <v>-SinArea-0000</v>
      </c>
      <c r="O391" s="77"/>
      <c r="P391" s="32"/>
      <c r="Q391" s="32"/>
      <c r="R391" s="32"/>
      <c r="S391" s="32"/>
    </row>
    <row r="392" spans="3:19" x14ac:dyDescent="0.3">
      <c r="C392" s="11"/>
      <c r="D392" s="32"/>
      <c r="E392" s="11"/>
      <c r="F392" t="str">
        <f>_xlfn.TEXTJOIN(", ",TRUE, Tabla38[[#This Row],[Tipo de escalera]],Tabla38[[#This Row],[Longitud]],Tabla38[[#This Row],[Carga Maxima]])</f>
        <v/>
      </c>
      <c r="G392" s="15"/>
      <c r="J392" s="15"/>
      <c r="K392" s="47"/>
      <c r="L392" s="76"/>
      <c r="M392" s="76"/>
      <c r="N392" s="78" t="str">
        <f>_xlfn.LET(
    _xlpm.itemBuscado, B392,
    _xlpm.areaBuscada, C392,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TEXT(COUNTIF($C$2:C392, _xlpm.areaBuscada), "0000"),
    _xlpm.codItem &amp; "-" &amp; _xlpm.codArea &amp; "-" &amp; _xlpm.secuencia
)</f>
        <v>-SinArea-0000</v>
      </c>
      <c r="O392" s="77"/>
      <c r="P392" s="32"/>
      <c r="Q392" s="32"/>
      <c r="R392" s="32"/>
      <c r="S392" s="32"/>
    </row>
    <row r="393" spans="3:19" x14ac:dyDescent="0.3">
      <c r="C393" s="11"/>
      <c r="D393" s="32"/>
      <c r="E393" s="11"/>
      <c r="F393" t="str">
        <f>_xlfn.TEXTJOIN(", ",TRUE, Tabla38[[#This Row],[Tipo de escalera]],Tabla38[[#This Row],[Longitud]],Tabla38[[#This Row],[Carga Maxima]])</f>
        <v/>
      </c>
      <c r="G393" s="15"/>
      <c r="J393" s="15"/>
      <c r="K393" s="47"/>
      <c r="L393" s="76"/>
      <c r="M393" s="76"/>
      <c r="N393" s="78" t="str">
        <f>_xlfn.LET(
    _xlpm.itemBuscado, B393,
    _xlpm.areaBuscada, C393,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TEXT(COUNTIF($C$2:C393, _xlpm.areaBuscada), "0000"),
    _xlpm.codItem &amp; "-" &amp; _xlpm.codArea &amp; "-" &amp; _xlpm.secuencia
)</f>
        <v>-SinArea-0000</v>
      </c>
      <c r="O393" s="77"/>
      <c r="P393" s="32"/>
      <c r="Q393" s="32"/>
      <c r="R393" s="32"/>
      <c r="S393" s="32"/>
    </row>
    <row r="394" spans="3:19" x14ac:dyDescent="0.3">
      <c r="C394" s="11"/>
      <c r="D394" s="32"/>
      <c r="E394" s="11"/>
      <c r="F394" t="str">
        <f>_xlfn.TEXTJOIN(", ",TRUE, Tabla38[[#This Row],[Tipo de escalera]],Tabla38[[#This Row],[Longitud]],Tabla38[[#This Row],[Carga Maxima]])</f>
        <v/>
      </c>
      <c r="G394" s="15"/>
      <c r="J394" s="15"/>
      <c r="K394" s="47"/>
      <c r="L394" s="76"/>
      <c r="M394" s="76"/>
      <c r="N394" s="78" t="str">
        <f>_xlfn.LET(
    _xlpm.itemBuscado, B394,
    _xlpm.areaBuscada, C394,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TEXT(COUNTIF($C$2:C394, _xlpm.areaBuscada), "0000"),
    _xlpm.codItem &amp; "-" &amp; _xlpm.codArea &amp; "-" &amp; _xlpm.secuencia
)</f>
        <v>-SinArea-0000</v>
      </c>
      <c r="O394" s="77"/>
      <c r="P394" s="32"/>
      <c r="Q394" s="32"/>
      <c r="R394" s="32"/>
      <c r="S394" s="32"/>
    </row>
    <row r="395" spans="3:19" x14ac:dyDescent="0.3">
      <c r="C395" s="11"/>
      <c r="D395" s="32"/>
      <c r="E395" s="11"/>
      <c r="F395" t="str">
        <f>_xlfn.TEXTJOIN(", ",TRUE, Tabla38[[#This Row],[Tipo de escalera]],Tabla38[[#This Row],[Longitud]],Tabla38[[#This Row],[Carga Maxima]])</f>
        <v/>
      </c>
      <c r="G395" s="15"/>
      <c r="J395" s="15"/>
      <c r="K395" s="47"/>
      <c r="L395" s="76"/>
      <c r="M395" s="76"/>
      <c r="N395" s="78" t="str">
        <f>_xlfn.LET(
    _xlpm.itemBuscado, B395,
    _xlpm.areaBuscada, C395,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TEXT(COUNTIF($C$2:C395, _xlpm.areaBuscada), "0000"),
    _xlpm.codItem &amp; "-" &amp; _xlpm.codArea &amp; "-" &amp; _xlpm.secuencia
)</f>
        <v>-SinArea-0000</v>
      </c>
      <c r="O395" s="77"/>
      <c r="P395" s="32"/>
      <c r="Q395" s="32"/>
      <c r="R395" s="32"/>
      <c r="S395" s="32"/>
    </row>
    <row r="396" spans="3:19" x14ac:dyDescent="0.3">
      <c r="C396" s="11"/>
      <c r="D396" s="32"/>
      <c r="E396" s="11"/>
      <c r="F396" t="str">
        <f>_xlfn.TEXTJOIN(", ",TRUE, Tabla38[[#This Row],[Tipo de escalera]],Tabla38[[#This Row],[Longitud]],Tabla38[[#This Row],[Carga Maxima]])</f>
        <v/>
      </c>
      <c r="G396" s="15"/>
      <c r="J396" s="15"/>
      <c r="K396" s="47"/>
      <c r="L396" s="76"/>
      <c r="M396" s="76"/>
      <c r="N396" s="78" t="str">
        <f>_xlfn.LET(
    _xlpm.itemBuscado, B396,
    _xlpm.areaBuscada, C396,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TEXT(COUNTIF($C$2:C396, _xlpm.areaBuscada), "0000"),
    _xlpm.codItem &amp; "-" &amp; _xlpm.codArea &amp; "-" &amp; _xlpm.secuencia
)</f>
        <v>-SinArea-0000</v>
      </c>
      <c r="O396" s="77"/>
      <c r="P396" s="32"/>
      <c r="Q396" s="32"/>
      <c r="R396" s="32"/>
      <c r="S396" s="32"/>
    </row>
    <row r="397" spans="3:19" x14ac:dyDescent="0.3">
      <c r="C397" s="11"/>
      <c r="D397" s="32"/>
      <c r="E397" s="11"/>
      <c r="F397" t="str">
        <f>_xlfn.TEXTJOIN(", ",TRUE, Tabla38[[#This Row],[Tipo de escalera]],Tabla38[[#This Row],[Longitud]],Tabla38[[#This Row],[Carga Maxima]])</f>
        <v/>
      </c>
      <c r="G397" s="15"/>
      <c r="J397" s="15"/>
      <c r="K397" s="47"/>
      <c r="L397" s="76"/>
      <c r="M397" s="76"/>
      <c r="N397" s="78" t="str">
        <f>_xlfn.LET(
    _xlpm.itemBuscado, B397,
    _xlpm.areaBuscada, C397,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TEXT(COUNTIF($C$2:C397, _xlpm.areaBuscada), "0000"),
    _xlpm.codItem &amp; "-" &amp; _xlpm.codArea &amp; "-" &amp; _xlpm.secuencia
)</f>
        <v>-SinArea-0000</v>
      </c>
      <c r="O397" s="77"/>
      <c r="P397" s="32"/>
      <c r="Q397" s="32"/>
      <c r="R397" s="32"/>
      <c r="S397" s="32"/>
    </row>
    <row r="398" spans="3:19" x14ac:dyDescent="0.3">
      <c r="C398" s="11"/>
      <c r="D398" s="32"/>
      <c r="E398" s="11"/>
      <c r="F398" t="str">
        <f>_xlfn.TEXTJOIN(", ",TRUE, Tabla38[[#This Row],[Tipo de escalera]],Tabla38[[#This Row],[Longitud]],Tabla38[[#This Row],[Carga Maxima]])</f>
        <v/>
      </c>
      <c r="G398" s="15"/>
      <c r="J398" s="15"/>
      <c r="K398" s="47"/>
      <c r="L398" s="76"/>
      <c r="M398" s="76"/>
      <c r="N398" s="78" t="str">
        <f>_xlfn.LET(
    _xlpm.itemBuscado, B398,
    _xlpm.areaBuscada, C398,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TEXT(COUNTIF($C$2:C398, _xlpm.areaBuscada), "0000"),
    _xlpm.codItem &amp; "-" &amp; _xlpm.codArea &amp; "-" &amp; _xlpm.secuencia
)</f>
        <v>-SinArea-0000</v>
      </c>
      <c r="O398" s="77"/>
      <c r="P398" s="32"/>
      <c r="Q398" s="32"/>
      <c r="R398" s="32"/>
      <c r="S398" s="32"/>
    </row>
    <row r="399" spans="3:19" x14ac:dyDescent="0.3">
      <c r="C399" s="11"/>
      <c r="D399" s="32"/>
      <c r="E399" s="11"/>
      <c r="F399" t="str">
        <f>_xlfn.TEXTJOIN(", ",TRUE, Tabla38[[#This Row],[Tipo de escalera]],Tabla38[[#This Row],[Longitud]],Tabla38[[#This Row],[Carga Maxima]])</f>
        <v/>
      </c>
      <c r="G399" s="15"/>
      <c r="J399" s="15"/>
      <c r="K399" s="47"/>
      <c r="L399" s="76"/>
      <c r="M399" s="76"/>
      <c r="N399" s="78" t="str">
        <f>_xlfn.LET(
    _xlpm.itemBuscado, B399,
    _xlpm.areaBuscada, C399,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TEXT(COUNTIF($C$2:C399, _xlpm.areaBuscada), "0000"),
    _xlpm.codItem &amp; "-" &amp; _xlpm.codArea &amp; "-" &amp; _xlpm.secuencia
)</f>
        <v>-SinArea-0000</v>
      </c>
      <c r="O399" s="77"/>
      <c r="P399" s="32"/>
      <c r="Q399" s="32"/>
      <c r="R399" s="32"/>
      <c r="S399" s="32"/>
    </row>
    <row r="400" spans="3:19" x14ac:dyDescent="0.3">
      <c r="C400" s="11"/>
      <c r="D400" s="32"/>
      <c r="E400" s="11"/>
      <c r="F400" t="str">
        <f>_xlfn.TEXTJOIN(", ",TRUE, Tabla38[[#This Row],[Tipo de escalera]],Tabla38[[#This Row],[Longitud]],Tabla38[[#This Row],[Carga Maxima]])</f>
        <v/>
      </c>
      <c r="G400" s="15"/>
      <c r="J400" s="15"/>
      <c r="K400" s="47"/>
      <c r="L400" s="76"/>
      <c r="M400" s="76"/>
      <c r="N400" s="78" t="str">
        <f>_xlfn.LET(
    _xlpm.itemBuscado, B400,
    _xlpm.areaBuscada, C400,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TEXT(COUNTIF($C$2:C400, _xlpm.areaBuscada), "0000"),
    _xlpm.codItem &amp; "-" &amp; _xlpm.codArea &amp; "-" &amp; _xlpm.secuencia
)</f>
        <v>-SinArea-0000</v>
      </c>
      <c r="O400" s="77"/>
      <c r="P400" s="32"/>
      <c r="Q400" s="32"/>
      <c r="R400" s="32"/>
      <c r="S400" s="32"/>
    </row>
    <row r="401" spans="3:19" x14ac:dyDescent="0.3">
      <c r="C401" s="11"/>
      <c r="D401" s="32"/>
      <c r="E401" s="11"/>
      <c r="F401" t="str">
        <f>_xlfn.TEXTJOIN(", ",TRUE, Tabla38[[#This Row],[Tipo de escalera]],Tabla38[[#This Row],[Longitud]],Tabla38[[#This Row],[Carga Maxima]])</f>
        <v/>
      </c>
      <c r="G401" s="15"/>
      <c r="J401" s="15"/>
      <c r="K401" s="47"/>
      <c r="L401" s="76"/>
      <c r="M401" s="76"/>
      <c r="N401" s="78" t="str">
        <f>_xlfn.LET(
    _xlpm.itemBuscado, B401,
    _xlpm.areaBuscada, C401,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TEXT(COUNTIF($C$2:C401, _xlpm.areaBuscada), "0000"),
    _xlpm.codItem &amp; "-" &amp; _xlpm.codArea &amp; "-" &amp; _xlpm.secuencia
)</f>
        <v>-SinArea-0000</v>
      </c>
      <c r="O401" s="77"/>
      <c r="P401" s="32"/>
      <c r="Q401" s="32"/>
      <c r="R401" s="32"/>
      <c r="S401" s="32"/>
    </row>
    <row r="402" spans="3:19" x14ac:dyDescent="0.3">
      <c r="C402" s="11"/>
      <c r="D402" s="32"/>
      <c r="E402" s="11"/>
      <c r="F402" t="str">
        <f>_xlfn.TEXTJOIN(", ",TRUE, Tabla38[[#This Row],[Tipo de escalera]],Tabla38[[#This Row],[Longitud]],Tabla38[[#This Row],[Carga Maxima]])</f>
        <v/>
      </c>
      <c r="G402" s="15"/>
      <c r="J402" s="15"/>
      <c r="K402" s="47"/>
      <c r="L402" s="76"/>
      <c r="M402" s="76"/>
      <c r="N402" s="78" t="str">
        <f>_xlfn.LET(
    _xlpm.itemBuscado, B402,
    _xlpm.areaBuscada, C402,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TEXT(COUNTIF($C$2:C402, _xlpm.areaBuscada), "0000"),
    _xlpm.codItem &amp; "-" &amp; _xlpm.codArea &amp; "-" &amp; _xlpm.secuencia
)</f>
        <v>-SinArea-0000</v>
      </c>
      <c r="O402" s="77"/>
      <c r="P402" s="32"/>
      <c r="Q402" s="32"/>
      <c r="R402" s="32"/>
      <c r="S402" s="32"/>
    </row>
    <row r="403" spans="3:19" x14ac:dyDescent="0.3">
      <c r="C403" s="11"/>
      <c r="D403" s="32"/>
      <c r="E403" s="11"/>
      <c r="F403" t="str">
        <f>_xlfn.TEXTJOIN(", ",TRUE, Tabla38[[#This Row],[Tipo de escalera]],Tabla38[[#This Row],[Longitud]],Tabla38[[#This Row],[Carga Maxima]])</f>
        <v/>
      </c>
      <c r="G403" s="15"/>
      <c r="J403" s="15"/>
      <c r="K403" s="47"/>
      <c r="L403" s="76"/>
      <c r="M403" s="76"/>
      <c r="N403" s="78" t="str">
        <f>_xlfn.LET(
    _xlpm.itemBuscado, B403,
    _xlpm.areaBuscada, C403,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TEXT(COUNTIF($C$2:C403, _xlpm.areaBuscada), "0000"),
    _xlpm.codItem &amp; "-" &amp; _xlpm.codArea &amp; "-" &amp; _xlpm.secuencia
)</f>
        <v>-SinArea-0000</v>
      </c>
      <c r="O403" s="77"/>
      <c r="P403" s="32"/>
      <c r="Q403" s="32"/>
      <c r="R403" s="32"/>
      <c r="S403" s="32"/>
    </row>
    <row r="404" spans="3:19" x14ac:dyDescent="0.3">
      <c r="C404" s="11"/>
      <c r="D404" s="32"/>
      <c r="E404" s="11"/>
      <c r="F404" t="str">
        <f>_xlfn.TEXTJOIN(", ",TRUE, Tabla38[[#This Row],[Tipo de escalera]],Tabla38[[#This Row],[Longitud]],Tabla38[[#This Row],[Carga Maxima]])</f>
        <v/>
      </c>
      <c r="G404" s="15"/>
      <c r="J404" s="15"/>
      <c r="K404" s="47"/>
      <c r="L404" s="76"/>
      <c r="M404" s="76"/>
      <c r="N404" s="78" t="str">
        <f>_xlfn.LET(
    _xlpm.itemBuscado, B404,
    _xlpm.areaBuscada, C404,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TEXT(COUNTIF($C$2:C404, _xlpm.areaBuscada), "0000"),
    _xlpm.codItem &amp; "-" &amp; _xlpm.codArea &amp; "-" &amp; _xlpm.secuencia
)</f>
        <v>-SinArea-0000</v>
      </c>
      <c r="O404" s="77"/>
      <c r="P404" s="32"/>
      <c r="Q404" s="32"/>
      <c r="R404" s="32"/>
      <c r="S404" s="32"/>
    </row>
    <row r="405" spans="3:19" x14ac:dyDescent="0.3">
      <c r="C405" s="11"/>
      <c r="D405" s="32"/>
      <c r="E405" s="11"/>
      <c r="F405" t="str">
        <f>_xlfn.TEXTJOIN(", ",TRUE, Tabla38[[#This Row],[Tipo de escalera]],Tabla38[[#This Row],[Longitud]],Tabla38[[#This Row],[Carga Maxima]])</f>
        <v/>
      </c>
      <c r="G405" s="15"/>
      <c r="J405" s="15"/>
      <c r="K405" s="47"/>
      <c r="L405" s="76"/>
      <c r="M405" s="76"/>
      <c r="N405" s="78" t="str">
        <f>_xlfn.LET(
    _xlpm.itemBuscado, B405,
    _xlpm.areaBuscada, C405,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TEXT(COUNTIF($C$2:C405, _xlpm.areaBuscada), "0000"),
    _xlpm.codItem &amp; "-" &amp; _xlpm.codArea &amp; "-" &amp; _xlpm.secuencia
)</f>
        <v>-SinArea-0000</v>
      </c>
      <c r="O405" s="77"/>
      <c r="P405" s="32"/>
      <c r="Q405" s="32"/>
      <c r="R405" s="32"/>
      <c r="S405" s="32"/>
    </row>
    <row r="406" spans="3:19" x14ac:dyDescent="0.3">
      <c r="C406" s="11"/>
      <c r="D406" s="32"/>
      <c r="E406" s="11"/>
      <c r="F406" t="str">
        <f>_xlfn.TEXTJOIN(", ",TRUE, Tabla38[[#This Row],[Tipo de escalera]],Tabla38[[#This Row],[Longitud]],Tabla38[[#This Row],[Carga Maxima]])</f>
        <v/>
      </c>
      <c r="G406" s="15"/>
      <c r="J406" s="15"/>
      <c r="K406" s="47"/>
      <c r="L406" s="76"/>
      <c r="M406" s="76"/>
      <c r="N406" s="78" t="str">
        <f>_xlfn.LET(
    _xlpm.itemBuscado, B406,
    _xlpm.areaBuscada, C406,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TEXT(COUNTIF($C$2:C406, _xlpm.areaBuscada), "0000"),
    _xlpm.codItem &amp; "-" &amp; _xlpm.codArea &amp; "-" &amp; _xlpm.secuencia
)</f>
        <v>-SinArea-0000</v>
      </c>
      <c r="O406" s="77"/>
      <c r="P406" s="32"/>
      <c r="Q406" s="32"/>
      <c r="R406" s="32"/>
      <c r="S406" s="32"/>
    </row>
    <row r="407" spans="3:19" x14ac:dyDescent="0.3">
      <c r="C407" s="11"/>
      <c r="D407" s="32"/>
      <c r="E407" s="11"/>
      <c r="F407" t="str">
        <f>_xlfn.TEXTJOIN(", ",TRUE, Tabla38[[#This Row],[Tipo de escalera]],Tabla38[[#This Row],[Longitud]],Tabla38[[#This Row],[Carga Maxima]])</f>
        <v/>
      </c>
      <c r="G407" s="15"/>
      <c r="J407" s="15"/>
      <c r="K407" s="47"/>
      <c r="L407" s="76"/>
      <c r="M407" s="76"/>
      <c r="N407" s="78" t="str">
        <f>_xlfn.LET(
    _xlpm.itemBuscado, B407,
    _xlpm.areaBuscada, C407,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TEXT(COUNTIF($C$2:C407, _xlpm.areaBuscada), "0000"),
    _xlpm.codItem &amp; "-" &amp; _xlpm.codArea &amp; "-" &amp; _xlpm.secuencia
)</f>
        <v>-SinArea-0000</v>
      </c>
      <c r="O407" s="77"/>
      <c r="P407" s="32"/>
      <c r="Q407" s="32"/>
      <c r="R407" s="32"/>
      <c r="S407" s="32"/>
    </row>
    <row r="408" spans="3:19" x14ac:dyDescent="0.3">
      <c r="C408" s="11"/>
      <c r="D408" s="32"/>
      <c r="E408" s="11"/>
      <c r="F408" t="str">
        <f>_xlfn.TEXTJOIN(", ",TRUE, Tabla38[[#This Row],[Tipo de escalera]],Tabla38[[#This Row],[Longitud]],Tabla38[[#This Row],[Carga Maxima]])</f>
        <v/>
      </c>
      <c r="G408" s="15"/>
      <c r="J408" s="15"/>
      <c r="K408" s="47"/>
      <c r="L408" s="76"/>
      <c r="M408" s="76"/>
      <c r="N408" s="78" t="str">
        <f>_xlfn.LET(
    _xlpm.itemBuscado, B408,
    _xlpm.areaBuscada, C408,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TEXT(COUNTIF($C$2:C408, _xlpm.areaBuscada), "0000"),
    _xlpm.codItem &amp; "-" &amp; _xlpm.codArea &amp; "-" &amp; _xlpm.secuencia
)</f>
        <v>-SinArea-0000</v>
      </c>
      <c r="O408" s="77"/>
      <c r="P408" s="32"/>
      <c r="Q408" s="32"/>
      <c r="R408" s="32"/>
      <c r="S408" s="32"/>
    </row>
    <row r="409" spans="3:19" x14ac:dyDescent="0.3">
      <c r="C409" s="11"/>
      <c r="D409" s="32"/>
      <c r="E409" s="11"/>
      <c r="F409" t="str">
        <f>_xlfn.TEXTJOIN(", ",TRUE, Tabla38[[#This Row],[Tipo de escalera]],Tabla38[[#This Row],[Longitud]],Tabla38[[#This Row],[Carga Maxima]])</f>
        <v/>
      </c>
      <c r="G409" s="15"/>
      <c r="J409" s="15"/>
      <c r="K409" s="47"/>
      <c r="L409" s="76"/>
      <c r="M409" s="76"/>
      <c r="N409" s="78" t="str">
        <f>_xlfn.LET(
    _xlpm.itemBuscado, B409,
    _xlpm.areaBuscada, C409,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TEXT(COUNTIF($C$2:C409, _xlpm.areaBuscada), "0000"),
    _xlpm.codItem &amp; "-" &amp; _xlpm.codArea &amp; "-" &amp; _xlpm.secuencia
)</f>
        <v>-SinArea-0000</v>
      </c>
      <c r="O409" s="77"/>
      <c r="P409" s="32"/>
      <c r="Q409" s="32"/>
      <c r="R409" s="32"/>
      <c r="S409" s="32"/>
    </row>
    <row r="410" spans="3:19" x14ac:dyDescent="0.3">
      <c r="C410" s="11"/>
      <c r="D410" s="32"/>
      <c r="E410" s="11"/>
      <c r="F410" t="str">
        <f>_xlfn.TEXTJOIN(", ",TRUE, Tabla38[[#This Row],[Tipo de escalera]],Tabla38[[#This Row],[Longitud]],Tabla38[[#This Row],[Carga Maxima]])</f>
        <v/>
      </c>
      <c r="G410" s="15"/>
      <c r="J410" s="15"/>
      <c r="K410" s="47"/>
      <c r="L410" s="76"/>
      <c r="M410" s="76"/>
      <c r="N410" s="78" t="str">
        <f>_xlfn.LET(
    _xlpm.itemBuscado, B410,
    _xlpm.areaBuscada, C410,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TEXT(COUNTIF($C$2:C410, _xlpm.areaBuscada), "0000"),
    _xlpm.codItem &amp; "-" &amp; _xlpm.codArea &amp; "-" &amp; _xlpm.secuencia
)</f>
        <v>-SinArea-0000</v>
      </c>
      <c r="O410" s="77"/>
      <c r="P410" s="32"/>
      <c r="Q410" s="32"/>
      <c r="R410" s="32"/>
      <c r="S410" s="32"/>
    </row>
    <row r="411" spans="3:19" x14ac:dyDescent="0.3">
      <c r="C411" s="11"/>
      <c r="D411" s="32"/>
      <c r="E411" s="11"/>
      <c r="F411" t="str">
        <f>_xlfn.TEXTJOIN(", ",TRUE, Tabla38[[#This Row],[Tipo de escalera]],Tabla38[[#This Row],[Longitud]],Tabla38[[#This Row],[Carga Maxima]])</f>
        <v/>
      </c>
      <c r="G411" s="15"/>
      <c r="J411" s="15"/>
      <c r="K411" s="47"/>
      <c r="L411" s="76"/>
      <c r="M411" s="76"/>
      <c r="N411" s="78" t="str">
        <f>_xlfn.LET(
    _xlpm.itemBuscado, B411,
    _xlpm.areaBuscada, C411,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TEXT(COUNTIF($C$2:C411, _xlpm.areaBuscada), "0000"),
    _xlpm.codItem &amp; "-" &amp; _xlpm.codArea &amp; "-" &amp; _xlpm.secuencia
)</f>
        <v>-SinArea-0000</v>
      </c>
      <c r="O411" s="77"/>
      <c r="P411" s="32"/>
      <c r="Q411" s="32"/>
      <c r="R411" s="32"/>
      <c r="S411" s="32"/>
    </row>
    <row r="412" spans="3:19" x14ac:dyDescent="0.3">
      <c r="C412" s="11"/>
      <c r="D412" s="32"/>
      <c r="E412" s="11"/>
      <c r="F412" t="str">
        <f>_xlfn.TEXTJOIN(", ",TRUE, Tabla38[[#This Row],[Tipo de escalera]],Tabla38[[#This Row],[Longitud]],Tabla38[[#This Row],[Carga Maxima]])</f>
        <v/>
      </c>
      <c r="G412" s="15"/>
      <c r="J412" s="15"/>
      <c r="K412" s="47"/>
      <c r="L412" s="76"/>
      <c r="M412" s="76"/>
      <c r="N412" s="78" t="str">
        <f>_xlfn.LET(
    _xlpm.itemBuscado, B412,
    _xlpm.areaBuscada, C412,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TEXT(COUNTIF($C$2:C412, _xlpm.areaBuscada), "0000"),
    _xlpm.codItem &amp; "-" &amp; _xlpm.codArea &amp; "-" &amp; _xlpm.secuencia
)</f>
        <v>-SinArea-0000</v>
      </c>
      <c r="O412" s="77"/>
      <c r="P412" s="32"/>
      <c r="Q412" s="32"/>
      <c r="R412" s="32"/>
      <c r="S412" s="32"/>
    </row>
    <row r="413" spans="3:19" x14ac:dyDescent="0.3">
      <c r="C413" s="11"/>
      <c r="D413" s="32"/>
      <c r="E413" s="11"/>
      <c r="F413" t="str">
        <f>_xlfn.TEXTJOIN(", ",TRUE, Tabla38[[#This Row],[Tipo de escalera]],Tabla38[[#This Row],[Longitud]],Tabla38[[#This Row],[Carga Maxima]])</f>
        <v/>
      </c>
      <c r="G413" s="15"/>
      <c r="J413" s="15"/>
      <c r="K413" s="47"/>
      <c r="L413" s="76"/>
      <c r="M413" s="76"/>
      <c r="N413" s="78" t="str">
        <f>_xlfn.LET(
    _xlpm.itemBuscado, B413,
    _xlpm.areaBuscada, C413,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TEXT(COUNTIF($C$2:C413, _xlpm.areaBuscada), "0000"),
    _xlpm.codItem &amp; "-" &amp; _xlpm.codArea &amp; "-" &amp; _xlpm.secuencia
)</f>
        <v>-SinArea-0000</v>
      </c>
      <c r="O413" s="77"/>
      <c r="P413" s="32"/>
      <c r="Q413" s="32"/>
      <c r="R413" s="32"/>
      <c r="S413" s="32"/>
    </row>
    <row r="414" spans="3:19" x14ac:dyDescent="0.3">
      <c r="C414" s="11"/>
      <c r="D414" s="32"/>
      <c r="E414" s="11"/>
      <c r="F414" t="str">
        <f>_xlfn.TEXTJOIN(", ",TRUE, Tabla38[[#This Row],[Tipo de escalera]],Tabla38[[#This Row],[Longitud]],Tabla38[[#This Row],[Carga Maxima]])</f>
        <v/>
      </c>
      <c r="G414" s="15"/>
      <c r="J414" s="15"/>
      <c r="K414" s="47"/>
      <c r="L414" s="76"/>
      <c r="M414" s="76"/>
      <c r="N414" s="78" t="str">
        <f>_xlfn.LET(
    _xlpm.itemBuscado, B414,
    _xlpm.areaBuscada, C414,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TEXT(COUNTIF($C$2:C414, _xlpm.areaBuscada), "0000"),
    _xlpm.codItem &amp; "-" &amp; _xlpm.codArea &amp; "-" &amp; _xlpm.secuencia
)</f>
        <v>-SinArea-0000</v>
      </c>
      <c r="O414" s="77"/>
      <c r="P414" s="32"/>
      <c r="Q414" s="32"/>
      <c r="R414" s="32"/>
      <c r="S414" s="32"/>
    </row>
    <row r="415" spans="3:19" x14ac:dyDescent="0.3">
      <c r="C415" s="11"/>
      <c r="D415" s="32"/>
      <c r="E415" s="11"/>
      <c r="F415" t="str">
        <f>_xlfn.TEXTJOIN(", ",TRUE, Tabla38[[#This Row],[Tipo de escalera]],Tabla38[[#This Row],[Longitud]],Tabla38[[#This Row],[Carga Maxima]])</f>
        <v/>
      </c>
      <c r="G415" s="15"/>
      <c r="J415" s="15"/>
      <c r="K415" s="47"/>
      <c r="L415" s="76"/>
      <c r="M415" s="76"/>
      <c r="N415" s="78" t="str">
        <f>_xlfn.LET(
    _xlpm.itemBuscado, B415,
    _xlpm.areaBuscada, C415,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TEXT(COUNTIF($C$2:C415, _xlpm.areaBuscada), "0000"),
    _xlpm.codItem &amp; "-" &amp; _xlpm.codArea &amp; "-" &amp; _xlpm.secuencia
)</f>
        <v>-SinArea-0000</v>
      </c>
      <c r="O415" s="77"/>
      <c r="P415" s="32"/>
      <c r="Q415" s="32"/>
      <c r="R415" s="32"/>
      <c r="S415" s="32"/>
    </row>
    <row r="416" spans="3:19" x14ac:dyDescent="0.3">
      <c r="C416" s="11"/>
      <c r="D416" s="32"/>
      <c r="E416" s="11"/>
      <c r="F416" t="str">
        <f>_xlfn.TEXTJOIN(", ",TRUE, Tabla38[[#This Row],[Tipo de escalera]],Tabla38[[#This Row],[Longitud]],Tabla38[[#This Row],[Carga Maxima]])</f>
        <v/>
      </c>
      <c r="G416" s="15"/>
      <c r="J416" s="15"/>
      <c r="K416" s="47"/>
      <c r="L416" s="76"/>
      <c r="M416" s="76"/>
      <c r="N416" s="78" t="str">
        <f>_xlfn.LET(
    _xlpm.itemBuscado, B416,
    _xlpm.areaBuscada, C416,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TEXT(COUNTIF($C$2:C416, _xlpm.areaBuscada), "0000"),
    _xlpm.codItem &amp; "-" &amp; _xlpm.codArea &amp; "-" &amp; _xlpm.secuencia
)</f>
        <v>-SinArea-0000</v>
      </c>
      <c r="O416" s="77"/>
      <c r="P416" s="32"/>
      <c r="Q416" s="32"/>
      <c r="R416" s="32"/>
      <c r="S416" s="32"/>
    </row>
    <row r="417" spans="3:19" x14ac:dyDescent="0.3">
      <c r="C417" s="11"/>
      <c r="D417" s="32"/>
      <c r="E417" s="11"/>
      <c r="F417" t="str">
        <f>_xlfn.TEXTJOIN(", ",TRUE, Tabla38[[#This Row],[Tipo de escalera]],Tabla38[[#This Row],[Longitud]],Tabla38[[#This Row],[Carga Maxima]])</f>
        <v/>
      </c>
      <c r="G417" s="15"/>
      <c r="J417" s="15"/>
      <c r="K417" s="47"/>
      <c r="L417" s="76"/>
      <c r="M417" s="76"/>
      <c r="N417" s="78" t="str">
        <f>_xlfn.LET(
    _xlpm.itemBuscado, B417,
    _xlpm.areaBuscada, C417,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TEXT(COUNTIF($C$2:C417, _xlpm.areaBuscada), "0000"),
    _xlpm.codItem &amp; "-" &amp; _xlpm.codArea &amp; "-" &amp; _xlpm.secuencia
)</f>
        <v>-SinArea-0000</v>
      </c>
      <c r="O417" s="77"/>
      <c r="P417" s="32"/>
      <c r="Q417" s="32"/>
      <c r="R417" s="32"/>
      <c r="S417" s="32"/>
    </row>
    <row r="418" spans="3:19" x14ac:dyDescent="0.3">
      <c r="C418" s="11"/>
      <c r="D418" s="32"/>
      <c r="E418" s="11"/>
      <c r="F418" t="str">
        <f>_xlfn.TEXTJOIN(", ",TRUE, Tabla38[[#This Row],[Tipo de escalera]],Tabla38[[#This Row],[Longitud]],Tabla38[[#This Row],[Carga Maxima]])</f>
        <v/>
      </c>
      <c r="G418" s="15"/>
      <c r="J418" s="15"/>
      <c r="K418" s="47"/>
      <c r="L418" s="76"/>
      <c r="M418" s="76"/>
      <c r="N418" s="78" t="str">
        <f>_xlfn.LET(
    _xlpm.itemBuscado, B418,
    _xlpm.areaBuscada, C418,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TEXT(COUNTIF($C$2:C418, _xlpm.areaBuscada), "0000"),
    _xlpm.codItem &amp; "-" &amp; _xlpm.codArea &amp; "-" &amp; _xlpm.secuencia
)</f>
        <v>-SinArea-0000</v>
      </c>
      <c r="O418" s="77"/>
      <c r="P418" s="32"/>
      <c r="Q418" s="32"/>
      <c r="R418" s="32"/>
      <c r="S418" s="32"/>
    </row>
    <row r="419" spans="3:19" x14ac:dyDescent="0.3">
      <c r="C419" s="11"/>
      <c r="D419" s="32"/>
      <c r="E419" s="11"/>
      <c r="F419" t="str">
        <f>_xlfn.TEXTJOIN(", ",TRUE, Tabla38[[#This Row],[Tipo de escalera]],Tabla38[[#This Row],[Longitud]],Tabla38[[#This Row],[Carga Maxima]])</f>
        <v/>
      </c>
      <c r="G419" s="15"/>
      <c r="J419" s="15"/>
      <c r="K419" s="47"/>
      <c r="L419" s="76"/>
      <c r="M419" s="76"/>
      <c r="N419" s="78" t="str">
        <f>_xlfn.LET(
    _xlpm.itemBuscado, B419,
    _xlpm.areaBuscada, C419,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TEXT(COUNTIF($C$2:C419, _xlpm.areaBuscada), "0000"),
    _xlpm.codItem &amp; "-" &amp; _xlpm.codArea &amp; "-" &amp; _xlpm.secuencia
)</f>
        <v>-SinArea-0000</v>
      </c>
      <c r="O419" s="77"/>
      <c r="P419" s="32"/>
      <c r="Q419" s="32"/>
      <c r="R419" s="32"/>
      <c r="S419" s="32"/>
    </row>
    <row r="420" spans="3:19" x14ac:dyDescent="0.3">
      <c r="C420" s="11"/>
      <c r="D420" s="32"/>
      <c r="E420" s="11"/>
      <c r="F420" t="str">
        <f>_xlfn.TEXTJOIN(", ",TRUE, Tabla38[[#This Row],[Tipo de escalera]],Tabla38[[#This Row],[Longitud]],Tabla38[[#This Row],[Carga Maxima]])</f>
        <v/>
      </c>
      <c r="G420" s="15"/>
      <c r="J420" s="15"/>
      <c r="K420" s="47"/>
      <c r="L420" s="76"/>
      <c r="M420" s="76"/>
      <c r="N420" s="78" t="str">
        <f>_xlfn.LET(
    _xlpm.itemBuscado, B420,
    _xlpm.areaBuscada, C420,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TEXT(COUNTIF($C$2:C420, _xlpm.areaBuscada), "0000"),
    _xlpm.codItem &amp; "-" &amp; _xlpm.codArea &amp; "-" &amp; _xlpm.secuencia
)</f>
        <v>-SinArea-0000</v>
      </c>
      <c r="O420" s="77"/>
      <c r="P420" s="32"/>
      <c r="Q420" s="32"/>
      <c r="R420" s="32"/>
      <c r="S420" s="32"/>
    </row>
    <row r="421" spans="3:19" x14ac:dyDescent="0.3">
      <c r="C421" s="11"/>
      <c r="D421" s="32"/>
      <c r="E421" s="11"/>
      <c r="F421" t="str">
        <f>_xlfn.TEXTJOIN(", ",TRUE, Tabla38[[#This Row],[Tipo de escalera]],Tabla38[[#This Row],[Longitud]],Tabla38[[#This Row],[Carga Maxima]])</f>
        <v/>
      </c>
      <c r="G421" s="15"/>
      <c r="J421" s="15"/>
      <c r="K421" s="47"/>
      <c r="L421" s="76"/>
      <c r="M421" s="76"/>
      <c r="N421" s="78" t="str">
        <f>_xlfn.LET(
    _xlpm.itemBuscado, B421,
    _xlpm.areaBuscada, C421,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TEXT(COUNTIF($C$2:C421, _xlpm.areaBuscada), "0000"),
    _xlpm.codItem &amp; "-" &amp; _xlpm.codArea &amp; "-" &amp; _xlpm.secuencia
)</f>
        <v>-SinArea-0000</v>
      </c>
      <c r="O421" s="77"/>
      <c r="P421" s="32"/>
      <c r="Q421" s="32"/>
      <c r="R421" s="32"/>
      <c r="S421" s="32"/>
    </row>
    <row r="422" spans="3:19" x14ac:dyDescent="0.3">
      <c r="C422" s="11"/>
      <c r="D422" s="32"/>
      <c r="E422" s="11"/>
      <c r="F422" t="str">
        <f>_xlfn.TEXTJOIN(", ",TRUE, Tabla38[[#This Row],[Tipo de escalera]],Tabla38[[#This Row],[Longitud]],Tabla38[[#This Row],[Carga Maxima]])</f>
        <v/>
      </c>
      <c r="G422" s="15"/>
      <c r="J422" s="15"/>
      <c r="K422" s="47"/>
      <c r="L422" s="76"/>
      <c r="M422" s="76"/>
      <c r="N422" s="78" t="str">
        <f>_xlfn.LET(
    _xlpm.itemBuscado, B422,
    _xlpm.areaBuscada, C422,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TEXT(COUNTIF($C$2:C422, _xlpm.areaBuscada), "0000"),
    _xlpm.codItem &amp; "-" &amp; _xlpm.codArea &amp; "-" &amp; _xlpm.secuencia
)</f>
        <v>-SinArea-0000</v>
      </c>
      <c r="O422" s="77"/>
      <c r="P422" s="32"/>
      <c r="Q422" s="32"/>
      <c r="R422" s="32"/>
      <c r="S422" s="32"/>
    </row>
    <row r="423" spans="3:19" x14ac:dyDescent="0.3">
      <c r="C423" s="11"/>
      <c r="D423" s="32"/>
      <c r="E423" s="11"/>
      <c r="F423" t="str">
        <f>_xlfn.TEXTJOIN(", ",TRUE, Tabla38[[#This Row],[Tipo de escalera]],Tabla38[[#This Row],[Longitud]],Tabla38[[#This Row],[Carga Maxima]])</f>
        <v/>
      </c>
      <c r="G423" s="15"/>
      <c r="J423" s="15"/>
      <c r="K423" s="47"/>
      <c r="L423" s="76"/>
      <c r="M423" s="76"/>
      <c r="N423" s="78" t="str">
        <f>_xlfn.LET(
    _xlpm.itemBuscado, B423,
    _xlpm.areaBuscada, C423,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TEXT(COUNTIF($C$2:C423, _xlpm.areaBuscada), "0000"),
    _xlpm.codItem &amp; "-" &amp; _xlpm.codArea &amp; "-" &amp; _xlpm.secuencia
)</f>
        <v>-SinArea-0000</v>
      </c>
      <c r="O423" s="77"/>
      <c r="P423" s="32"/>
      <c r="Q423" s="32"/>
      <c r="R423" s="32"/>
      <c r="S423" s="32"/>
    </row>
    <row r="424" spans="3:19" x14ac:dyDescent="0.3">
      <c r="C424" s="11"/>
      <c r="D424" s="32"/>
      <c r="E424" s="11"/>
      <c r="F424" t="str">
        <f>_xlfn.TEXTJOIN(", ",TRUE, Tabla38[[#This Row],[Tipo de escalera]],Tabla38[[#This Row],[Longitud]],Tabla38[[#This Row],[Carga Maxima]])</f>
        <v/>
      </c>
      <c r="G424" s="15"/>
      <c r="J424" s="15"/>
      <c r="K424" s="47"/>
      <c r="L424" s="76"/>
      <c r="M424" s="76"/>
      <c r="N424" s="78" t="str">
        <f>_xlfn.LET(
    _xlpm.itemBuscado, B424,
    _xlpm.areaBuscada, C424,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TEXT(COUNTIF($C$2:C424, _xlpm.areaBuscada), "0000"),
    _xlpm.codItem &amp; "-" &amp; _xlpm.codArea &amp; "-" &amp; _xlpm.secuencia
)</f>
        <v>-SinArea-0000</v>
      </c>
      <c r="O424" s="77"/>
      <c r="P424" s="32"/>
      <c r="Q424" s="32"/>
      <c r="R424" s="32"/>
      <c r="S424" s="32"/>
    </row>
    <row r="425" spans="3:19" x14ac:dyDescent="0.3">
      <c r="C425" s="11"/>
      <c r="D425" s="32"/>
      <c r="E425" s="11"/>
      <c r="F425" t="str">
        <f>_xlfn.TEXTJOIN(", ",TRUE, Tabla38[[#This Row],[Tipo de escalera]],Tabla38[[#This Row],[Longitud]],Tabla38[[#This Row],[Carga Maxima]])</f>
        <v/>
      </c>
      <c r="G425" s="15"/>
      <c r="J425" s="15"/>
      <c r="K425" s="47"/>
      <c r="L425" s="76"/>
      <c r="M425" s="76"/>
      <c r="N425" s="78" t="str">
        <f>_xlfn.LET(
    _xlpm.itemBuscado, B425,
    _xlpm.areaBuscada, C425,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TEXT(COUNTIF($C$2:C425, _xlpm.areaBuscada), "0000"),
    _xlpm.codItem &amp; "-" &amp; _xlpm.codArea &amp; "-" &amp; _xlpm.secuencia
)</f>
        <v>-SinArea-0000</v>
      </c>
      <c r="O425" s="77"/>
      <c r="P425" s="32"/>
      <c r="Q425" s="32"/>
      <c r="R425" s="32"/>
      <c r="S425" s="32"/>
    </row>
    <row r="426" spans="3:19" x14ac:dyDescent="0.3">
      <c r="C426" s="11"/>
      <c r="D426" s="32"/>
      <c r="E426" s="11"/>
      <c r="F426" t="str">
        <f>_xlfn.TEXTJOIN(", ",TRUE, Tabla38[[#This Row],[Tipo de escalera]],Tabla38[[#This Row],[Longitud]],Tabla38[[#This Row],[Carga Maxima]])</f>
        <v/>
      </c>
      <c r="G426" s="15"/>
      <c r="J426" s="15"/>
      <c r="K426" s="47"/>
      <c r="L426" s="76"/>
      <c r="M426" s="76"/>
      <c r="N426" s="78" t="str">
        <f>_xlfn.LET(
    _xlpm.itemBuscado, B426,
    _xlpm.areaBuscada, C426,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TEXT(COUNTIF($C$2:C426, _xlpm.areaBuscada), "0000"),
    _xlpm.codItem &amp; "-" &amp; _xlpm.codArea &amp; "-" &amp; _xlpm.secuencia
)</f>
        <v>-SinArea-0000</v>
      </c>
      <c r="O426" s="77"/>
      <c r="P426" s="32"/>
      <c r="Q426" s="32"/>
      <c r="R426" s="32"/>
      <c r="S426" s="32"/>
    </row>
    <row r="427" spans="3:19" x14ac:dyDescent="0.3">
      <c r="C427" s="11"/>
      <c r="D427" s="32"/>
      <c r="E427" s="11"/>
      <c r="F427" t="str">
        <f>_xlfn.TEXTJOIN(", ",TRUE, Tabla38[[#This Row],[Tipo de escalera]],Tabla38[[#This Row],[Longitud]],Tabla38[[#This Row],[Carga Maxima]])</f>
        <v/>
      </c>
      <c r="G427" s="15"/>
      <c r="J427" s="15"/>
      <c r="K427" s="47"/>
      <c r="L427" s="76"/>
      <c r="M427" s="76"/>
      <c r="N427" s="78" t="str">
        <f>_xlfn.LET(
    _xlpm.itemBuscado, B427,
    _xlpm.areaBuscada, C427,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TEXT(COUNTIF($C$2:C427, _xlpm.areaBuscada), "0000"),
    _xlpm.codItem &amp; "-" &amp; _xlpm.codArea &amp; "-" &amp; _xlpm.secuencia
)</f>
        <v>-SinArea-0000</v>
      </c>
      <c r="O427" s="77"/>
      <c r="P427" s="32"/>
      <c r="Q427" s="32"/>
      <c r="R427" s="32"/>
      <c r="S427" s="32"/>
    </row>
    <row r="428" spans="3:19" x14ac:dyDescent="0.3">
      <c r="C428" s="11"/>
      <c r="D428" s="32"/>
      <c r="E428" s="11"/>
      <c r="F428" t="str">
        <f>_xlfn.TEXTJOIN(", ",TRUE, Tabla38[[#This Row],[Tipo de escalera]],Tabla38[[#This Row],[Longitud]],Tabla38[[#This Row],[Carga Maxima]])</f>
        <v/>
      </c>
      <c r="G428" s="15"/>
      <c r="J428" s="15"/>
      <c r="K428" s="47"/>
      <c r="L428" s="76"/>
      <c r="M428" s="76"/>
      <c r="N428" s="78" t="str">
        <f>_xlfn.LET(
    _xlpm.itemBuscado, B428,
    _xlpm.areaBuscada, C428,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TEXT(COUNTIF($C$2:C428, _xlpm.areaBuscada), "0000"),
    _xlpm.codItem &amp; "-" &amp; _xlpm.codArea &amp; "-" &amp; _xlpm.secuencia
)</f>
        <v>-SinArea-0000</v>
      </c>
      <c r="O428" s="77"/>
      <c r="P428" s="32"/>
      <c r="Q428" s="32"/>
      <c r="R428" s="32"/>
      <c r="S428" s="32"/>
    </row>
    <row r="429" spans="3:19" x14ac:dyDescent="0.3">
      <c r="C429" s="11"/>
      <c r="D429" s="32"/>
      <c r="E429" s="11"/>
      <c r="F429" t="str">
        <f>_xlfn.TEXTJOIN(", ",TRUE, Tabla38[[#This Row],[Tipo de escalera]],Tabla38[[#This Row],[Longitud]],Tabla38[[#This Row],[Carga Maxima]])</f>
        <v/>
      </c>
      <c r="G429" s="15"/>
      <c r="J429" s="15"/>
      <c r="K429" s="47"/>
      <c r="L429" s="76"/>
      <c r="M429" s="76"/>
      <c r="N429" s="78" t="str">
        <f>_xlfn.LET(
    _xlpm.itemBuscado, B429,
    _xlpm.areaBuscada, C429,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TEXT(COUNTIF($C$2:C429, _xlpm.areaBuscada), "0000"),
    _xlpm.codItem &amp; "-" &amp; _xlpm.codArea &amp; "-" &amp; _xlpm.secuencia
)</f>
        <v>-SinArea-0000</v>
      </c>
      <c r="O429" s="77"/>
      <c r="P429" s="32"/>
      <c r="Q429" s="32"/>
      <c r="R429" s="32"/>
      <c r="S429" s="32"/>
    </row>
    <row r="430" spans="3:19" x14ac:dyDescent="0.3">
      <c r="C430" s="11"/>
      <c r="D430" s="32"/>
      <c r="E430" s="11"/>
      <c r="F430" t="str">
        <f>_xlfn.TEXTJOIN(", ",TRUE, Tabla38[[#This Row],[Tipo de escalera]],Tabla38[[#This Row],[Longitud]],Tabla38[[#This Row],[Carga Maxima]])</f>
        <v/>
      </c>
      <c r="G430" s="15"/>
      <c r="J430" s="15"/>
      <c r="K430" s="47"/>
      <c r="L430" s="76"/>
      <c r="M430" s="76"/>
      <c r="N430" s="78" t="str">
        <f>_xlfn.LET(
    _xlpm.itemBuscado, B430,
    _xlpm.areaBuscada, C430,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TEXT(COUNTIF($C$2:C430, _xlpm.areaBuscada), "0000"),
    _xlpm.codItem &amp; "-" &amp; _xlpm.codArea &amp; "-" &amp; _xlpm.secuencia
)</f>
        <v>-SinArea-0000</v>
      </c>
      <c r="O430" s="77"/>
      <c r="P430" s="32"/>
      <c r="Q430" s="32"/>
      <c r="R430" s="32"/>
      <c r="S430" s="32"/>
    </row>
    <row r="431" spans="3:19" x14ac:dyDescent="0.3">
      <c r="C431" s="11"/>
      <c r="D431" s="32"/>
      <c r="E431" s="11"/>
      <c r="F431" t="str">
        <f>_xlfn.TEXTJOIN(", ",TRUE, Tabla38[[#This Row],[Tipo de escalera]],Tabla38[[#This Row],[Longitud]],Tabla38[[#This Row],[Carga Maxima]])</f>
        <v/>
      </c>
      <c r="G431" s="15"/>
      <c r="J431" s="15"/>
      <c r="K431" s="47"/>
      <c r="L431" s="76"/>
      <c r="M431" s="76"/>
      <c r="N431" s="78" t="str">
        <f>_xlfn.LET(
    _xlpm.itemBuscado, B431,
    _xlpm.areaBuscada, C431,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TEXT(COUNTIF($C$2:C431, _xlpm.areaBuscada), "0000"),
    _xlpm.codItem &amp; "-" &amp; _xlpm.codArea &amp; "-" &amp; _xlpm.secuencia
)</f>
        <v>-SinArea-0000</v>
      </c>
      <c r="O431" s="77"/>
      <c r="P431" s="32"/>
      <c r="Q431" s="32"/>
      <c r="R431" s="32"/>
      <c r="S431" s="32"/>
    </row>
    <row r="432" spans="3:19" x14ac:dyDescent="0.3">
      <c r="C432" s="11"/>
      <c r="D432" s="32"/>
      <c r="E432" s="11"/>
      <c r="F432" t="str">
        <f>_xlfn.TEXTJOIN(", ",TRUE, Tabla38[[#This Row],[Tipo de escalera]],Tabla38[[#This Row],[Longitud]],Tabla38[[#This Row],[Carga Maxima]])</f>
        <v/>
      </c>
      <c r="G432" s="15"/>
      <c r="J432" s="15"/>
      <c r="K432" s="47"/>
      <c r="L432" s="76"/>
      <c r="M432" s="76"/>
      <c r="N432" s="78" t="str">
        <f>_xlfn.LET(
    _xlpm.itemBuscado, B432,
    _xlpm.areaBuscada, C432,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TEXT(COUNTIF($C$2:C432, _xlpm.areaBuscada), "0000"),
    _xlpm.codItem &amp; "-" &amp; _xlpm.codArea &amp; "-" &amp; _xlpm.secuencia
)</f>
        <v>-SinArea-0000</v>
      </c>
      <c r="O432" s="77"/>
      <c r="P432" s="32"/>
      <c r="Q432" s="32"/>
      <c r="R432" s="32"/>
      <c r="S432" s="32"/>
    </row>
    <row r="433" spans="3:19" x14ac:dyDescent="0.3">
      <c r="C433" s="11"/>
      <c r="D433" s="32"/>
      <c r="E433" s="11"/>
      <c r="F433" t="str">
        <f>_xlfn.TEXTJOIN(", ",TRUE, Tabla38[[#This Row],[Tipo de escalera]],Tabla38[[#This Row],[Longitud]],Tabla38[[#This Row],[Carga Maxima]])</f>
        <v/>
      </c>
      <c r="G433" s="15"/>
      <c r="J433" s="15"/>
      <c r="K433" s="47"/>
      <c r="L433" s="76"/>
      <c r="M433" s="76"/>
      <c r="N433" s="78" t="str">
        <f>_xlfn.LET(
    _xlpm.itemBuscado, B433,
    _xlpm.areaBuscada, C433,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TEXT(COUNTIF($C$2:C433, _xlpm.areaBuscada), "0000"),
    _xlpm.codItem &amp; "-" &amp; _xlpm.codArea &amp; "-" &amp; _xlpm.secuencia
)</f>
        <v>-SinArea-0000</v>
      </c>
      <c r="O433" s="77"/>
      <c r="P433" s="32"/>
      <c r="Q433" s="32"/>
      <c r="R433" s="32"/>
      <c r="S433" s="32"/>
    </row>
    <row r="434" spans="3:19" x14ac:dyDescent="0.3">
      <c r="C434" s="11"/>
      <c r="D434" s="32"/>
      <c r="E434" s="11"/>
      <c r="F434" t="str">
        <f>_xlfn.TEXTJOIN(", ",TRUE, Tabla38[[#This Row],[Tipo de escalera]],Tabla38[[#This Row],[Longitud]],Tabla38[[#This Row],[Carga Maxima]])</f>
        <v/>
      </c>
      <c r="G434" s="15"/>
      <c r="J434" s="15"/>
      <c r="K434" s="47"/>
      <c r="L434" s="76"/>
      <c r="M434" s="76"/>
      <c r="N434" s="78" t="str">
        <f>_xlfn.LET(
    _xlpm.itemBuscado, B434,
    _xlpm.areaBuscada, C434,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TEXT(COUNTIF($C$2:C434, _xlpm.areaBuscada), "0000"),
    _xlpm.codItem &amp; "-" &amp; _xlpm.codArea &amp; "-" &amp; _xlpm.secuencia
)</f>
        <v>-SinArea-0000</v>
      </c>
      <c r="O434" s="77"/>
      <c r="P434" s="32"/>
      <c r="Q434" s="32"/>
      <c r="R434" s="32"/>
      <c r="S434" s="32"/>
    </row>
    <row r="435" spans="3:19" x14ac:dyDescent="0.3">
      <c r="C435" s="11"/>
      <c r="D435" s="32"/>
      <c r="E435" s="11"/>
      <c r="F435" t="str">
        <f>_xlfn.TEXTJOIN(", ",TRUE, Tabla38[[#This Row],[Tipo de escalera]],Tabla38[[#This Row],[Longitud]],Tabla38[[#This Row],[Carga Maxima]])</f>
        <v/>
      </c>
      <c r="G435" s="15"/>
      <c r="J435" s="15"/>
      <c r="K435" s="47"/>
      <c r="L435" s="76"/>
      <c r="M435" s="76"/>
      <c r="N435" s="78" t="str">
        <f>_xlfn.LET(
    _xlpm.itemBuscado, B435,
    _xlpm.areaBuscada, C435,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TEXT(COUNTIF($C$2:C435, _xlpm.areaBuscada), "0000"),
    _xlpm.codItem &amp; "-" &amp; _xlpm.codArea &amp; "-" &amp; _xlpm.secuencia
)</f>
        <v>-SinArea-0000</v>
      </c>
      <c r="O435" s="77"/>
      <c r="P435" s="32"/>
      <c r="Q435" s="32"/>
      <c r="R435" s="32"/>
      <c r="S435" s="32"/>
    </row>
    <row r="436" spans="3:19" x14ac:dyDescent="0.3">
      <c r="C436" s="11"/>
      <c r="D436" s="32"/>
      <c r="E436" s="11"/>
      <c r="F436" t="str">
        <f>_xlfn.TEXTJOIN(", ",TRUE, Tabla38[[#This Row],[Tipo de escalera]],Tabla38[[#This Row],[Longitud]],Tabla38[[#This Row],[Carga Maxima]])</f>
        <v/>
      </c>
      <c r="G436" s="15"/>
      <c r="J436" s="15"/>
      <c r="K436" s="47"/>
      <c r="L436" s="76"/>
      <c r="M436" s="76"/>
      <c r="N436" s="78" t="str">
        <f>_xlfn.LET(
    _xlpm.itemBuscado, B436,
    _xlpm.areaBuscada, C436,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TEXT(COUNTIF($C$2:C436, _xlpm.areaBuscada), "0000"),
    _xlpm.codItem &amp; "-" &amp; _xlpm.codArea &amp; "-" &amp; _xlpm.secuencia
)</f>
        <v>-SinArea-0000</v>
      </c>
      <c r="O436" s="77"/>
      <c r="P436" s="32"/>
      <c r="Q436" s="32"/>
      <c r="R436" s="32"/>
      <c r="S436" s="32"/>
    </row>
    <row r="437" spans="3:19" x14ac:dyDescent="0.3">
      <c r="C437" s="11"/>
      <c r="D437" s="32"/>
      <c r="E437" s="11"/>
      <c r="F437" t="str">
        <f>_xlfn.TEXTJOIN(", ",TRUE, Tabla38[[#This Row],[Tipo de escalera]],Tabla38[[#This Row],[Longitud]],Tabla38[[#This Row],[Carga Maxima]])</f>
        <v/>
      </c>
      <c r="G437" s="15"/>
      <c r="J437" s="15"/>
      <c r="K437" s="47"/>
      <c r="L437" s="76"/>
      <c r="M437" s="76"/>
      <c r="N437" s="78" t="str">
        <f>_xlfn.LET(
    _xlpm.itemBuscado, B437,
    _xlpm.areaBuscada, C437,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TEXT(COUNTIF($C$2:C437, _xlpm.areaBuscada), "0000"),
    _xlpm.codItem &amp; "-" &amp; _xlpm.codArea &amp; "-" &amp; _xlpm.secuencia
)</f>
        <v>-SinArea-0000</v>
      </c>
      <c r="O437" s="77"/>
      <c r="P437" s="32"/>
      <c r="Q437" s="32"/>
      <c r="R437" s="32"/>
      <c r="S437" s="32"/>
    </row>
    <row r="438" spans="3:19" x14ac:dyDescent="0.3">
      <c r="C438" s="11"/>
      <c r="D438" s="32"/>
      <c r="E438" s="11"/>
      <c r="F438" t="str">
        <f>_xlfn.TEXTJOIN(", ",TRUE, Tabla38[[#This Row],[Tipo de escalera]],Tabla38[[#This Row],[Longitud]],Tabla38[[#This Row],[Carga Maxima]])</f>
        <v/>
      </c>
      <c r="G438" s="15"/>
      <c r="J438" s="15"/>
      <c r="K438" s="47"/>
      <c r="L438" s="76"/>
      <c r="M438" s="76"/>
      <c r="N438" s="78" t="str">
        <f>_xlfn.LET(
    _xlpm.itemBuscado, B438,
    _xlpm.areaBuscada, C438,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TEXT(COUNTIF($C$2:C438, _xlpm.areaBuscada), "0000"),
    _xlpm.codItem &amp; "-" &amp; _xlpm.codArea &amp; "-" &amp; _xlpm.secuencia
)</f>
        <v>-SinArea-0000</v>
      </c>
      <c r="O438" s="77"/>
      <c r="P438" s="32"/>
      <c r="Q438" s="32"/>
      <c r="R438" s="32"/>
      <c r="S438" s="32"/>
    </row>
    <row r="439" spans="3:19" x14ac:dyDescent="0.3">
      <c r="C439" s="11"/>
      <c r="D439" s="32"/>
      <c r="E439" s="11"/>
      <c r="F439" t="str">
        <f>_xlfn.TEXTJOIN(", ",TRUE, Tabla38[[#This Row],[Tipo de escalera]],Tabla38[[#This Row],[Longitud]],Tabla38[[#This Row],[Carga Maxima]])</f>
        <v/>
      </c>
      <c r="G439" s="15"/>
      <c r="J439" s="15"/>
      <c r="K439" s="47"/>
      <c r="L439" s="76"/>
      <c r="M439" s="76"/>
      <c r="N439" s="78" t="str">
        <f>_xlfn.LET(
    _xlpm.itemBuscado, B439,
    _xlpm.areaBuscada, C439,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TEXT(COUNTIF($C$2:C439, _xlpm.areaBuscada), "0000"),
    _xlpm.codItem &amp; "-" &amp; _xlpm.codArea &amp; "-" &amp; _xlpm.secuencia
)</f>
        <v>-SinArea-0000</v>
      </c>
      <c r="O439" s="77"/>
      <c r="P439" s="32"/>
      <c r="Q439" s="32"/>
      <c r="R439" s="32"/>
      <c r="S439" s="32"/>
    </row>
    <row r="440" spans="3:19" x14ac:dyDescent="0.3">
      <c r="C440" s="11"/>
      <c r="D440" s="32"/>
      <c r="E440" s="11"/>
      <c r="F440" t="str">
        <f>_xlfn.TEXTJOIN(", ",TRUE, Tabla38[[#This Row],[Tipo de escalera]],Tabla38[[#This Row],[Longitud]],Tabla38[[#This Row],[Carga Maxima]])</f>
        <v/>
      </c>
      <c r="G440" s="15"/>
      <c r="J440" s="15"/>
      <c r="K440" s="47"/>
      <c r="L440" s="76"/>
      <c r="M440" s="76"/>
      <c r="N440" s="78" t="str">
        <f>_xlfn.LET(
    _xlpm.itemBuscado, B440,
    _xlpm.areaBuscada, C440,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TEXT(COUNTIF($C$2:C440, _xlpm.areaBuscada), "0000"),
    _xlpm.codItem &amp; "-" &amp; _xlpm.codArea &amp; "-" &amp; _xlpm.secuencia
)</f>
        <v>-SinArea-0000</v>
      </c>
      <c r="O440" s="77"/>
      <c r="P440" s="32"/>
      <c r="Q440" s="32"/>
      <c r="R440" s="32"/>
      <c r="S440" s="32"/>
    </row>
    <row r="441" spans="3:19" x14ac:dyDescent="0.3">
      <c r="C441" s="11"/>
      <c r="D441" s="32"/>
      <c r="E441" s="11"/>
      <c r="F441" t="str">
        <f>_xlfn.TEXTJOIN(", ",TRUE, Tabla38[[#This Row],[Tipo de escalera]],Tabla38[[#This Row],[Longitud]],Tabla38[[#This Row],[Carga Maxima]])</f>
        <v/>
      </c>
      <c r="G441" s="15"/>
      <c r="J441" s="15"/>
      <c r="K441" s="47"/>
      <c r="L441" s="76"/>
      <c r="M441" s="76"/>
      <c r="N441" s="78" t="str">
        <f>_xlfn.LET(
    _xlpm.itemBuscado, B441,
    _xlpm.areaBuscada, C441,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TEXT(COUNTIF($C$2:C441, _xlpm.areaBuscada), "0000"),
    _xlpm.codItem &amp; "-" &amp; _xlpm.codArea &amp; "-" &amp; _xlpm.secuencia
)</f>
        <v>-SinArea-0000</v>
      </c>
      <c r="O441" s="77"/>
      <c r="P441" s="32"/>
      <c r="Q441" s="32"/>
      <c r="R441" s="32"/>
      <c r="S441" s="32"/>
    </row>
    <row r="442" spans="3:19" x14ac:dyDescent="0.3">
      <c r="C442" s="11"/>
      <c r="D442" s="32"/>
      <c r="E442" s="11"/>
      <c r="F442" t="str">
        <f>_xlfn.TEXTJOIN(", ",TRUE, Tabla38[[#This Row],[Tipo de escalera]],Tabla38[[#This Row],[Longitud]],Tabla38[[#This Row],[Carga Maxima]])</f>
        <v/>
      </c>
      <c r="G442" s="15"/>
      <c r="J442" s="15"/>
      <c r="K442" s="47"/>
      <c r="L442" s="76"/>
      <c r="M442" s="76"/>
      <c r="N442" s="78" t="str">
        <f>_xlfn.LET(
    _xlpm.itemBuscado, B442,
    _xlpm.areaBuscada, C442,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TEXT(COUNTIF($C$2:C442, _xlpm.areaBuscada), "0000"),
    _xlpm.codItem &amp; "-" &amp; _xlpm.codArea &amp; "-" &amp; _xlpm.secuencia
)</f>
        <v>-SinArea-0000</v>
      </c>
      <c r="O442" s="77"/>
      <c r="P442" s="32"/>
      <c r="Q442" s="32"/>
      <c r="R442" s="32"/>
      <c r="S442" s="32"/>
    </row>
    <row r="443" spans="3:19" x14ac:dyDescent="0.3">
      <c r="C443" s="11"/>
      <c r="D443" s="32"/>
      <c r="E443" s="11"/>
      <c r="F443" t="str">
        <f>_xlfn.TEXTJOIN(", ",TRUE, Tabla38[[#This Row],[Tipo de escalera]],Tabla38[[#This Row],[Longitud]],Tabla38[[#This Row],[Carga Maxima]])</f>
        <v/>
      </c>
      <c r="G443" s="15"/>
      <c r="J443" s="15"/>
      <c r="K443" s="47"/>
      <c r="L443" s="76"/>
      <c r="M443" s="76"/>
      <c r="N443" s="78" t="str">
        <f>_xlfn.LET(
    _xlpm.itemBuscado, B443,
    _xlpm.areaBuscada, C443,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TEXT(COUNTIF($C$2:C443, _xlpm.areaBuscada), "0000"),
    _xlpm.codItem &amp; "-" &amp; _xlpm.codArea &amp; "-" &amp; _xlpm.secuencia
)</f>
        <v>-SinArea-0000</v>
      </c>
      <c r="O443" s="77"/>
      <c r="P443" s="32"/>
      <c r="Q443" s="32"/>
      <c r="R443" s="32"/>
      <c r="S443" s="32"/>
    </row>
    <row r="444" spans="3:19" x14ac:dyDescent="0.3">
      <c r="C444" s="11"/>
      <c r="D444" s="32"/>
      <c r="E444" s="11"/>
      <c r="F444" t="str">
        <f>_xlfn.TEXTJOIN(", ",TRUE, Tabla38[[#This Row],[Tipo de escalera]],Tabla38[[#This Row],[Longitud]],Tabla38[[#This Row],[Carga Maxima]])</f>
        <v/>
      </c>
      <c r="G444" s="15"/>
      <c r="J444" s="15"/>
      <c r="K444" s="47"/>
      <c r="L444" s="76"/>
      <c r="M444" s="76"/>
      <c r="N444" s="78" t="str">
        <f>_xlfn.LET(
    _xlpm.itemBuscado, B444,
    _xlpm.areaBuscada, C444,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TEXT(COUNTIF($C$2:C444, _xlpm.areaBuscada), "0000"),
    _xlpm.codItem &amp; "-" &amp; _xlpm.codArea &amp; "-" &amp; _xlpm.secuencia
)</f>
        <v>-SinArea-0000</v>
      </c>
      <c r="O444" s="77"/>
      <c r="P444" s="32"/>
      <c r="Q444" s="32"/>
      <c r="R444" s="32"/>
      <c r="S444" s="32"/>
    </row>
    <row r="445" spans="3:19" x14ac:dyDescent="0.3">
      <c r="C445" s="11"/>
      <c r="D445" s="32"/>
      <c r="E445" s="11"/>
      <c r="F445" t="str">
        <f>_xlfn.TEXTJOIN(", ",TRUE, Tabla38[[#This Row],[Tipo de escalera]],Tabla38[[#This Row],[Longitud]],Tabla38[[#This Row],[Carga Maxima]])</f>
        <v/>
      </c>
      <c r="G445" s="15"/>
      <c r="J445" s="15"/>
      <c r="K445" s="47"/>
      <c r="L445" s="76"/>
      <c r="M445" s="76"/>
      <c r="N445" s="78" t="str">
        <f>_xlfn.LET(
    _xlpm.itemBuscado, B445,
    _xlpm.areaBuscada, C445,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TEXT(COUNTIF($C$2:C445, _xlpm.areaBuscada), "0000"),
    _xlpm.codItem &amp; "-" &amp; _xlpm.codArea &amp; "-" &amp; _xlpm.secuencia
)</f>
        <v>-SinArea-0000</v>
      </c>
      <c r="O445" s="77"/>
      <c r="P445" s="32"/>
      <c r="Q445" s="32"/>
      <c r="R445" s="32"/>
      <c r="S445" s="32"/>
    </row>
    <row r="446" spans="3:19" x14ac:dyDescent="0.3">
      <c r="C446" s="11"/>
      <c r="D446" s="32"/>
      <c r="E446" s="11"/>
      <c r="F446" t="str">
        <f>_xlfn.TEXTJOIN(", ",TRUE, Tabla38[[#This Row],[Tipo de escalera]],Tabla38[[#This Row],[Longitud]],Tabla38[[#This Row],[Carga Maxima]])</f>
        <v/>
      </c>
      <c r="G446" s="15"/>
      <c r="J446" s="15"/>
      <c r="K446" s="47"/>
      <c r="L446" s="76"/>
      <c r="M446" s="76"/>
      <c r="N446" s="78" t="str">
        <f>_xlfn.LET(
    _xlpm.itemBuscado, B446,
    _xlpm.areaBuscada, C446,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TEXT(COUNTIF($C$2:C446, _xlpm.areaBuscada), "0000"),
    _xlpm.codItem &amp; "-" &amp; _xlpm.codArea &amp; "-" &amp; _xlpm.secuencia
)</f>
        <v>-SinArea-0000</v>
      </c>
      <c r="O446" s="77"/>
      <c r="P446" s="32"/>
      <c r="Q446" s="32"/>
      <c r="R446" s="32"/>
      <c r="S446" s="32"/>
    </row>
    <row r="447" spans="3:19" x14ac:dyDescent="0.3">
      <c r="C447" s="11"/>
      <c r="D447" s="32"/>
      <c r="E447" s="11"/>
      <c r="F447" t="str">
        <f>_xlfn.TEXTJOIN(", ",TRUE, Tabla38[[#This Row],[Tipo de escalera]],Tabla38[[#This Row],[Longitud]],Tabla38[[#This Row],[Carga Maxima]])</f>
        <v/>
      </c>
      <c r="G447" s="15"/>
      <c r="J447" s="15"/>
      <c r="K447" s="47"/>
      <c r="L447" s="76"/>
      <c r="M447" s="76"/>
      <c r="N447" s="78" t="str">
        <f>_xlfn.LET(
    _xlpm.itemBuscado, B447,
    _xlpm.areaBuscada, C447,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TEXT(COUNTIF($C$2:C447, _xlpm.areaBuscada), "0000"),
    _xlpm.codItem &amp; "-" &amp; _xlpm.codArea &amp; "-" &amp; _xlpm.secuencia
)</f>
        <v>-SinArea-0000</v>
      </c>
      <c r="O447" s="77"/>
      <c r="P447" s="32"/>
      <c r="Q447" s="32"/>
      <c r="R447" s="32"/>
      <c r="S447" s="32"/>
    </row>
    <row r="448" spans="3:19" x14ac:dyDescent="0.3">
      <c r="C448" s="11"/>
      <c r="D448" s="32"/>
      <c r="E448" s="11"/>
      <c r="F448" t="str">
        <f>_xlfn.TEXTJOIN(", ",TRUE, Tabla38[[#This Row],[Tipo de escalera]],Tabla38[[#This Row],[Longitud]],Tabla38[[#This Row],[Carga Maxima]])</f>
        <v/>
      </c>
      <c r="G448" s="15"/>
      <c r="J448" s="15"/>
      <c r="K448" s="47"/>
      <c r="L448" s="76"/>
      <c r="M448" s="76"/>
      <c r="N448" s="78" t="str">
        <f>_xlfn.LET(
    _xlpm.itemBuscado, B448,
    _xlpm.areaBuscada, C448,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TEXT(COUNTIF($C$2:C448, _xlpm.areaBuscada), "0000"),
    _xlpm.codItem &amp; "-" &amp; _xlpm.codArea &amp; "-" &amp; _xlpm.secuencia
)</f>
        <v>-SinArea-0000</v>
      </c>
      <c r="O448" s="77"/>
      <c r="P448" s="32"/>
      <c r="Q448" s="32"/>
      <c r="R448" s="32"/>
      <c r="S448" s="32"/>
    </row>
    <row r="449" spans="3:19" x14ac:dyDescent="0.3">
      <c r="C449" s="11"/>
      <c r="D449" s="32"/>
      <c r="E449" s="11"/>
      <c r="F449" t="str">
        <f>_xlfn.TEXTJOIN(", ",TRUE, Tabla38[[#This Row],[Tipo de escalera]],Tabla38[[#This Row],[Longitud]],Tabla38[[#This Row],[Carga Maxima]])</f>
        <v/>
      </c>
      <c r="G449" s="15"/>
      <c r="J449" s="15"/>
      <c r="K449" s="47"/>
      <c r="L449" s="76"/>
      <c r="M449" s="76"/>
      <c r="N449" s="78" t="str">
        <f>_xlfn.LET(
    _xlpm.itemBuscado, B449,
    _xlpm.areaBuscada, C449,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TEXT(COUNTIF($C$2:C449, _xlpm.areaBuscada), "0000"),
    _xlpm.codItem &amp; "-" &amp; _xlpm.codArea &amp; "-" &amp; _xlpm.secuencia
)</f>
        <v>-SinArea-0000</v>
      </c>
      <c r="O449" s="77"/>
      <c r="P449" s="32"/>
      <c r="Q449" s="32"/>
      <c r="R449" s="32"/>
      <c r="S449" s="32"/>
    </row>
    <row r="450" spans="3:19" x14ac:dyDescent="0.3">
      <c r="C450" s="11"/>
      <c r="D450" s="32"/>
      <c r="E450" s="11"/>
      <c r="F450" t="str">
        <f>_xlfn.TEXTJOIN(", ",TRUE, Tabla38[[#This Row],[Tipo de escalera]],Tabla38[[#This Row],[Longitud]],Tabla38[[#This Row],[Carga Maxima]])</f>
        <v/>
      </c>
      <c r="G450" s="15"/>
      <c r="J450" s="15"/>
      <c r="K450" s="47"/>
      <c r="L450" s="76"/>
      <c r="M450" s="76"/>
      <c r="N450" s="78" t="str">
        <f>_xlfn.LET(
    _xlpm.itemBuscado, B450,
    _xlpm.areaBuscada, C450,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TEXT(COUNTIF($C$2:C450, _xlpm.areaBuscada), "0000"),
    _xlpm.codItem &amp; "-" &amp; _xlpm.codArea &amp; "-" &amp; _xlpm.secuencia
)</f>
        <v>-SinArea-0000</v>
      </c>
      <c r="O450" s="77"/>
      <c r="P450" s="32"/>
      <c r="Q450" s="32"/>
      <c r="R450" s="32"/>
      <c r="S450" s="32"/>
    </row>
    <row r="451" spans="3:19" x14ac:dyDescent="0.3">
      <c r="C451" s="11"/>
      <c r="D451" s="32"/>
      <c r="E451" s="11"/>
      <c r="F451" t="str">
        <f>_xlfn.TEXTJOIN(", ",TRUE, Tabla38[[#This Row],[Tipo de escalera]],Tabla38[[#This Row],[Longitud]],Tabla38[[#This Row],[Carga Maxima]])</f>
        <v/>
      </c>
      <c r="G451" s="15"/>
      <c r="J451" s="15"/>
      <c r="K451" s="47"/>
      <c r="L451" s="76"/>
      <c r="M451" s="76"/>
      <c r="N451" s="78" t="str">
        <f>_xlfn.LET(
    _xlpm.itemBuscado, B451,
    _xlpm.areaBuscada, C451,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TEXT(COUNTIF($C$2:C451, _xlpm.areaBuscada), "0000"),
    _xlpm.codItem &amp; "-" &amp; _xlpm.codArea &amp; "-" &amp; _xlpm.secuencia
)</f>
        <v>-SinArea-0000</v>
      </c>
      <c r="O451" s="77"/>
      <c r="P451" s="32"/>
      <c r="Q451" s="32"/>
      <c r="R451" s="32"/>
      <c r="S451" s="32"/>
    </row>
    <row r="452" spans="3:19" x14ac:dyDescent="0.3">
      <c r="C452" s="11"/>
      <c r="D452" s="32"/>
      <c r="E452" s="11"/>
      <c r="F452" t="str">
        <f>_xlfn.TEXTJOIN(", ",TRUE, Tabla38[[#This Row],[Tipo de escalera]],Tabla38[[#This Row],[Longitud]],Tabla38[[#This Row],[Carga Maxima]])</f>
        <v/>
      </c>
      <c r="G452" s="15"/>
      <c r="J452" s="15"/>
      <c r="K452" s="47"/>
      <c r="L452" s="76"/>
      <c r="M452" s="76"/>
      <c r="N452" s="78" t="str">
        <f>_xlfn.LET(
    _xlpm.itemBuscado, B452,
    _xlpm.areaBuscada, C452,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TEXT(COUNTIF($C$2:C452, _xlpm.areaBuscada), "0000"),
    _xlpm.codItem &amp; "-" &amp; _xlpm.codArea &amp; "-" &amp; _xlpm.secuencia
)</f>
        <v>-SinArea-0000</v>
      </c>
      <c r="O452" s="77"/>
      <c r="P452" s="32"/>
      <c r="Q452" s="32"/>
      <c r="R452" s="32"/>
      <c r="S452" s="32"/>
    </row>
    <row r="453" spans="3:19" x14ac:dyDescent="0.3">
      <c r="C453" s="11"/>
      <c r="D453" s="32"/>
      <c r="E453" s="11"/>
      <c r="F453" t="str">
        <f>_xlfn.TEXTJOIN(", ",TRUE, Tabla38[[#This Row],[Tipo de escalera]],Tabla38[[#This Row],[Longitud]],Tabla38[[#This Row],[Carga Maxima]])</f>
        <v/>
      </c>
      <c r="G453" s="15"/>
      <c r="J453" s="15"/>
      <c r="K453" s="47"/>
      <c r="L453" s="76"/>
      <c r="M453" s="76"/>
      <c r="N453" s="78" t="str">
        <f>_xlfn.LET(
    _xlpm.itemBuscado, B453,
    _xlpm.areaBuscada, C453,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TEXT(COUNTIF($C$2:C453, _xlpm.areaBuscada), "0000"),
    _xlpm.codItem &amp; "-" &amp; _xlpm.codArea &amp; "-" &amp; _xlpm.secuencia
)</f>
        <v>-SinArea-0000</v>
      </c>
      <c r="O453" s="77"/>
      <c r="P453" s="32"/>
      <c r="Q453" s="32"/>
      <c r="R453" s="32"/>
      <c r="S453" s="32"/>
    </row>
    <row r="454" spans="3:19" x14ac:dyDescent="0.3">
      <c r="C454" s="11"/>
      <c r="D454" s="32"/>
      <c r="E454" s="11"/>
      <c r="F454" t="str">
        <f>_xlfn.TEXTJOIN(", ",TRUE, Tabla38[[#This Row],[Tipo de escalera]],Tabla38[[#This Row],[Longitud]],Tabla38[[#This Row],[Carga Maxima]])</f>
        <v/>
      </c>
      <c r="G454" s="15"/>
      <c r="J454" s="15"/>
      <c r="K454" s="47"/>
      <c r="L454" s="76"/>
      <c r="M454" s="76"/>
      <c r="N454" s="78" t="str">
        <f>_xlfn.LET(
    _xlpm.itemBuscado, B454,
    _xlpm.areaBuscada, C454,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TEXT(COUNTIF($C$2:C454, _xlpm.areaBuscada), "0000"),
    _xlpm.codItem &amp; "-" &amp; _xlpm.codArea &amp; "-" &amp; _xlpm.secuencia
)</f>
        <v>-SinArea-0000</v>
      </c>
      <c r="O454" s="77"/>
      <c r="P454" s="32"/>
      <c r="Q454" s="32"/>
      <c r="R454" s="32"/>
      <c r="S454" s="32"/>
    </row>
    <row r="455" spans="3:19" x14ac:dyDescent="0.3">
      <c r="C455" s="11"/>
      <c r="D455" s="32"/>
      <c r="E455" s="11"/>
      <c r="F455" t="str">
        <f>_xlfn.TEXTJOIN(", ",TRUE, Tabla38[[#This Row],[Tipo de escalera]],Tabla38[[#This Row],[Longitud]],Tabla38[[#This Row],[Carga Maxima]])</f>
        <v/>
      </c>
      <c r="G455" s="15"/>
      <c r="J455" s="15"/>
      <c r="K455" s="47"/>
      <c r="L455" s="76"/>
      <c r="M455" s="76"/>
      <c r="N455" s="78" t="str">
        <f>_xlfn.LET(
    _xlpm.itemBuscado, B455,
    _xlpm.areaBuscada, C455,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TEXT(COUNTIF($C$2:C455, _xlpm.areaBuscada), "0000"),
    _xlpm.codItem &amp; "-" &amp; _xlpm.codArea &amp; "-" &amp; _xlpm.secuencia
)</f>
        <v>-SinArea-0000</v>
      </c>
      <c r="O455" s="77"/>
      <c r="P455" s="32"/>
      <c r="Q455" s="32"/>
      <c r="R455" s="32"/>
      <c r="S455" s="32"/>
    </row>
    <row r="456" spans="3:19" x14ac:dyDescent="0.3">
      <c r="C456" s="11"/>
      <c r="D456" s="32"/>
      <c r="E456" s="11"/>
      <c r="F456" t="str">
        <f>_xlfn.TEXTJOIN(", ",TRUE, Tabla38[[#This Row],[Tipo de escalera]],Tabla38[[#This Row],[Longitud]],Tabla38[[#This Row],[Carga Maxima]])</f>
        <v/>
      </c>
      <c r="G456" s="15"/>
      <c r="J456" s="15"/>
      <c r="K456" s="47"/>
      <c r="L456" s="76"/>
      <c r="M456" s="76"/>
      <c r="N456" s="78" t="str">
        <f>_xlfn.LET(
    _xlpm.itemBuscado, B456,
    _xlpm.areaBuscada, C456,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TEXT(COUNTIF($C$2:C456, _xlpm.areaBuscada), "0000"),
    _xlpm.codItem &amp; "-" &amp; _xlpm.codArea &amp; "-" &amp; _xlpm.secuencia
)</f>
        <v>-SinArea-0000</v>
      </c>
      <c r="O456" s="77"/>
      <c r="P456" s="32"/>
      <c r="Q456" s="32"/>
      <c r="R456" s="32"/>
      <c r="S456" s="32"/>
    </row>
    <row r="457" spans="3:19" x14ac:dyDescent="0.3">
      <c r="C457" s="11"/>
      <c r="D457" s="32"/>
      <c r="E457" s="11"/>
      <c r="F457" t="str">
        <f>_xlfn.TEXTJOIN(", ",TRUE, Tabla38[[#This Row],[Tipo de escalera]],Tabla38[[#This Row],[Longitud]],Tabla38[[#This Row],[Carga Maxima]])</f>
        <v/>
      </c>
      <c r="G457" s="15"/>
      <c r="J457" s="15"/>
      <c r="K457" s="47"/>
      <c r="L457" s="76"/>
      <c r="M457" s="76"/>
      <c r="N457" s="78" t="str">
        <f>_xlfn.LET(
    _xlpm.itemBuscado, B457,
    _xlpm.areaBuscada, C457,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TEXT(COUNTIF($C$2:C457, _xlpm.areaBuscada), "0000"),
    _xlpm.codItem &amp; "-" &amp; _xlpm.codArea &amp; "-" &amp; _xlpm.secuencia
)</f>
        <v>-SinArea-0000</v>
      </c>
      <c r="O457" s="77"/>
      <c r="P457" s="32"/>
      <c r="Q457" s="32"/>
      <c r="R457" s="32"/>
      <c r="S457" s="32"/>
    </row>
    <row r="458" spans="3:19" x14ac:dyDescent="0.3">
      <c r="C458" s="11"/>
      <c r="D458" s="32"/>
      <c r="E458" s="11"/>
      <c r="F458" t="str">
        <f>_xlfn.TEXTJOIN(", ",TRUE, Tabla38[[#This Row],[Tipo de escalera]],Tabla38[[#This Row],[Longitud]],Tabla38[[#This Row],[Carga Maxima]])</f>
        <v/>
      </c>
      <c r="G458" s="15"/>
      <c r="J458" s="15"/>
      <c r="K458" s="47"/>
      <c r="L458" s="76"/>
      <c r="M458" s="76"/>
      <c r="N458" s="78" t="str">
        <f>_xlfn.LET(
    _xlpm.itemBuscado, B458,
    _xlpm.areaBuscada, C458,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TEXT(COUNTIF($C$2:C458, _xlpm.areaBuscada), "0000"),
    _xlpm.codItem &amp; "-" &amp; _xlpm.codArea &amp; "-" &amp; _xlpm.secuencia
)</f>
        <v>-SinArea-0000</v>
      </c>
      <c r="O458" s="77"/>
      <c r="P458" s="32"/>
      <c r="Q458" s="32"/>
      <c r="R458" s="32"/>
      <c r="S458" s="32"/>
    </row>
    <row r="459" spans="3:19" x14ac:dyDescent="0.3">
      <c r="C459" s="11"/>
      <c r="D459" s="32"/>
      <c r="E459" s="11"/>
      <c r="F459" t="str">
        <f>_xlfn.TEXTJOIN(", ",TRUE, Tabla38[[#This Row],[Tipo de escalera]],Tabla38[[#This Row],[Longitud]],Tabla38[[#This Row],[Carga Maxima]])</f>
        <v/>
      </c>
      <c r="G459" s="15"/>
      <c r="J459" s="15"/>
      <c r="K459" s="47"/>
      <c r="L459" s="76"/>
      <c r="M459" s="76"/>
      <c r="N459" s="78" t="str">
        <f>_xlfn.LET(
    _xlpm.itemBuscado, B459,
    _xlpm.areaBuscada, C459,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TEXT(COUNTIF($C$2:C459, _xlpm.areaBuscada), "0000"),
    _xlpm.codItem &amp; "-" &amp; _xlpm.codArea &amp; "-" &amp; _xlpm.secuencia
)</f>
        <v>-SinArea-0000</v>
      </c>
      <c r="O459" s="77"/>
      <c r="P459" s="32"/>
      <c r="Q459" s="32"/>
      <c r="R459" s="32"/>
      <c r="S459" s="32"/>
    </row>
    <row r="460" spans="3:19" x14ac:dyDescent="0.3">
      <c r="C460" s="11"/>
      <c r="D460" s="32"/>
      <c r="E460" s="11"/>
      <c r="F460" t="str">
        <f>_xlfn.TEXTJOIN(", ",TRUE, Tabla38[[#This Row],[Tipo de escalera]],Tabla38[[#This Row],[Longitud]],Tabla38[[#This Row],[Carga Maxima]])</f>
        <v/>
      </c>
      <c r="G460" s="15"/>
      <c r="J460" s="15"/>
      <c r="K460" s="47"/>
      <c r="L460" s="76"/>
      <c r="M460" s="76"/>
      <c r="N460" s="78" t="str">
        <f>_xlfn.LET(
    _xlpm.itemBuscado, B460,
    _xlpm.areaBuscada, C460,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TEXT(COUNTIF($C$2:C460, _xlpm.areaBuscada), "0000"),
    _xlpm.codItem &amp; "-" &amp; _xlpm.codArea &amp; "-" &amp; _xlpm.secuencia
)</f>
        <v>-SinArea-0000</v>
      </c>
      <c r="O460" s="77"/>
      <c r="P460" s="32"/>
      <c r="Q460" s="32"/>
      <c r="R460" s="32"/>
      <c r="S460" s="32"/>
    </row>
    <row r="461" spans="3:19" x14ac:dyDescent="0.3">
      <c r="C461" s="11"/>
      <c r="D461" s="32"/>
      <c r="E461" s="11"/>
      <c r="F461" t="str">
        <f>_xlfn.TEXTJOIN(", ",TRUE, Tabla38[[#This Row],[Tipo de escalera]],Tabla38[[#This Row],[Longitud]],Tabla38[[#This Row],[Carga Maxima]])</f>
        <v/>
      </c>
      <c r="G461" s="15"/>
      <c r="J461" s="15"/>
      <c r="K461" s="47"/>
      <c r="L461" s="76"/>
      <c r="M461" s="76"/>
      <c r="N461" s="78" t="str">
        <f>_xlfn.LET(
    _xlpm.itemBuscado, B461,
    _xlpm.areaBuscada, C461,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TEXT(COUNTIF($C$2:C461, _xlpm.areaBuscada), "0000"),
    _xlpm.codItem &amp; "-" &amp; _xlpm.codArea &amp; "-" &amp; _xlpm.secuencia
)</f>
        <v>-SinArea-0000</v>
      </c>
      <c r="O461" s="77"/>
      <c r="P461" s="32"/>
      <c r="Q461" s="32"/>
      <c r="R461" s="32"/>
      <c r="S461" s="32"/>
    </row>
    <row r="462" spans="3:19" x14ac:dyDescent="0.3">
      <c r="C462" s="11"/>
      <c r="D462" s="32"/>
      <c r="E462" s="11"/>
      <c r="F462" t="str">
        <f>_xlfn.TEXTJOIN(", ",TRUE, Tabla38[[#This Row],[Tipo de escalera]],Tabla38[[#This Row],[Longitud]],Tabla38[[#This Row],[Carga Maxima]])</f>
        <v/>
      </c>
      <c r="G462" s="15"/>
      <c r="J462" s="15"/>
      <c r="K462" s="47"/>
      <c r="L462" s="76"/>
      <c r="M462" s="76"/>
      <c r="N462" s="78" t="str">
        <f>_xlfn.LET(
    _xlpm.itemBuscado, B462,
    _xlpm.areaBuscada, C462,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TEXT(COUNTIF($C$2:C462, _xlpm.areaBuscada), "0000"),
    _xlpm.codItem &amp; "-" &amp; _xlpm.codArea &amp; "-" &amp; _xlpm.secuencia
)</f>
        <v>-SinArea-0000</v>
      </c>
      <c r="O462" s="77"/>
      <c r="P462" s="32"/>
      <c r="Q462" s="32"/>
      <c r="R462" s="32"/>
      <c r="S462" s="32"/>
    </row>
    <row r="463" spans="3:19" x14ac:dyDescent="0.3">
      <c r="C463" s="11"/>
      <c r="D463" s="32"/>
      <c r="E463" s="11"/>
      <c r="F463" t="str">
        <f>_xlfn.TEXTJOIN(", ",TRUE, Tabla38[[#This Row],[Tipo de escalera]],Tabla38[[#This Row],[Longitud]],Tabla38[[#This Row],[Carga Maxima]])</f>
        <v/>
      </c>
      <c r="G463" s="15"/>
      <c r="J463" s="15"/>
      <c r="K463" s="47"/>
      <c r="L463" s="76"/>
      <c r="M463" s="76"/>
      <c r="N463" s="78" t="str">
        <f>_xlfn.LET(
    _xlpm.itemBuscado, B463,
    _xlpm.areaBuscada, C463,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TEXT(COUNTIF($C$2:C463, _xlpm.areaBuscada), "0000"),
    _xlpm.codItem &amp; "-" &amp; _xlpm.codArea &amp; "-" &amp; _xlpm.secuencia
)</f>
        <v>-SinArea-0000</v>
      </c>
      <c r="O463" s="77"/>
      <c r="P463" s="32"/>
      <c r="Q463" s="32"/>
      <c r="R463" s="32"/>
      <c r="S463" s="32"/>
    </row>
    <row r="464" spans="3:19" x14ac:dyDescent="0.3">
      <c r="C464" s="11"/>
      <c r="D464" s="32"/>
      <c r="E464" s="11"/>
      <c r="F464" t="str">
        <f>_xlfn.TEXTJOIN(", ",TRUE, Tabla38[[#This Row],[Tipo de escalera]],Tabla38[[#This Row],[Longitud]],Tabla38[[#This Row],[Carga Maxima]])</f>
        <v/>
      </c>
      <c r="G464" s="15"/>
      <c r="J464" s="15"/>
      <c r="K464" s="47"/>
      <c r="L464" s="76"/>
      <c r="M464" s="76"/>
      <c r="N464" s="78" t="str">
        <f>_xlfn.LET(
    _xlpm.itemBuscado, B464,
    _xlpm.areaBuscada, C464,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TEXT(COUNTIF($C$2:C464, _xlpm.areaBuscada), "0000"),
    _xlpm.codItem &amp; "-" &amp; _xlpm.codArea &amp; "-" &amp; _xlpm.secuencia
)</f>
        <v>-SinArea-0000</v>
      </c>
      <c r="O464" s="77"/>
      <c r="P464" s="32"/>
      <c r="Q464" s="32"/>
      <c r="R464" s="32"/>
      <c r="S464" s="32"/>
    </row>
    <row r="465" spans="3:19" x14ac:dyDescent="0.3">
      <c r="C465" s="11"/>
      <c r="D465" s="32"/>
      <c r="E465" s="11"/>
      <c r="F465" t="str">
        <f>_xlfn.TEXTJOIN(", ",TRUE, Tabla38[[#This Row],[Tipo de escalera]],Tabla38[[#This Row],[Longitud]],Tabla38[[#This Row],[Carga Maxima]])</f>
        <v/>
      </c>
      <c r="G465" s="15"/>
      <c r="J465" s="15"/>
      <c r="K465" s="47"/>
      <c r="L465" s="76"/>
      <c r="M465" s="76"/>
      <c r="N465" s="78" t="str">
        <f>_xlfn.LET(
    _xlpm.itemBuscado, B465,
    _xlpm.areaBuscada, C465,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TEXT(COUNTIF($C$2:C465, _xlpm.areaBuscada), "0000"),
    _xlpm.codItem &amp; "-" &amp; _xlpm.codArea &amp; "-" &amp; _xlpm.secuencia
)</f>
        <v>-SinArea-0000</v>
      </c>
      <c r="O465" s="77"/>
      <c r="P465" s="32"/>
      <c r="Q465" s="32"/>
      <c r="R465" s="32"/>
      <c r="S465" s="32"/>
    </row>
    <row r="466" spans="3:19" x14ac:dyDescent="0.3">
      <c r="C466" s="11"/>
      <c r="D466" s="32"/>
      <c r="E466" s="11"/>
      <c r="F466" t="str">
        <f>_xlfn.TEXTJOIN(", ",TRUE, Tabla38[[#This Row],[Tipo de escalera]],Tabla38[[#This Row],[Longitud]],Tabla38[[#This Row],[Carga Maxima]])</f>
        <v/>
      </c>
      <c r="G466" s="15"/>
      <c r="J466" s="15"/>
      <c r="K466" s="47"/>
      <c r="L466" s="76"/>
      <c r="M466" s="76"/>
      <c r="N466" s="78" t="str">
        <f>_xlfn.LET(
    _xlpm.itemBuscado, B466,
    _xlpm.areaBuscada, C466,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TEXT(COUNTIF($C$2:C466, _xlpm.areaBuscada), "0000"),
    _xlpm.codItem &amp; "-" &amp; _xlpm.codArea &amp; "-" &amp; _xlpm.secuencia
)</f>
        <v>-SinArea-0000</v>
      </c>
      <c r="O466" s="77"/>
      <c r="P466" s="32"/>
      <c r="Q466" s="32"/>
      <c r="R466" s="32"/>
      <c r="S466" s="32"/>
    </row>
    <row r="467" spans="3:19" x14ac:dyDescent="0.3">
      <c r="C467" s="11"/>
      <c r="D467" s="32"/>
      <c r="E467" s="11"/>
      <c r="F467" t="str">
        <f>_xlfn.TEXTJOIN(", ",TRUE, Tabla38[[#This Row],[Tipo de escalera]],Tabla38[[#This Row],[Longitud]],Tabla38[[#This Row],[Carga Maxima]])</f>
        <v/>
      </c>
      <c r="G467" s="15"/>
      <c r="J467" s="15"/>
      <c r="K467" s="47"/>
      <c r="L467" s="76"/>
      <c r="M467" s="76"/>
      <c r="N467" s="78" t="str">
        <f>_xlfn.LET(
    _xlpm.itemBuscado, B467,
    _xlpm.areaBuscada, C467,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TEXT(COUNTIF($C$2:C467, _xlpm.areaBuscada), "0000"),
    _xlpm.codItem &amp; "-" &amp; _xlpm.codArea &amp; "-" &amp; _xlpm.secuencia
)</f>
        <v>-SinArea-0000</v>
      </c>
      <c r="O467" s="77"/>
      <c r="P467" s="32"/>
      <c r="Q467" s="32"/>
      <c r="R467" s="32"/>
      <c r="S467" s="32"/>
    </row>
    <row r="468" spans="3:19" x14ac:dyDescent="0.3">
      <c r="C468" s="11"/>
      <c r="D468" s="32"/>
      <c r="E468" s="11"/>
      <c r="F468" t="str">
        <f>_xlfn.TEXTJOIN(", ",TRUE, Tabla38[[#This Row],[Tipo de escalera]],Tabla38[[#This Row],[Longitud]],Tabla38[[#This Row],[Carga Maxima]])</f>
        <v/>
      </c>
      <c r="G468" s="15"/>
      <c r="J468" s="15"/>
      <c r="K468" s="47"/>
      <c r="L468" s="76"/>
      <c r="M468" s="76"/>
      <c r="N468" s="78" t="str">
        <f>_xlfn.LET(
    _xlpm.itemBuscado, B468,
    _xlpm.areaBuscada, C468,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TEXT(COUNTIF($C$2:C468, _xlpm.areaBuscada), "0000"),
    _xlpm.codItem &amp; "-" &amp; _xlpm.codArea &amp; "-" &amp; _xlpm.secuencia
)</f>
        <v>-SinArea-0000</v>
      </c>
      <c r="O468" s="77"/>
      <c r="P468" s="32"/>
      <c r="Q468" s="32"/>
      <c r="R468" s="32"/>
      <c r="S468" s="32"/>
    </row>
    <row r="469" spans="3:19" x14ac:dyDescent="0.3">
      <c r="C469" s="11"/>
      <c r="D469" s="32"/>
      <c r="E469" s="11"/>
      <c r="F469" t="str">
        <f>_xlfn.TEXTJOIN(", ",TRUE, Tabla38[[#This Row],[Tipo de escalera]],Tabla38[[#This Row],[Longitud]],Tabla38[[#This Row],[Carga Maxima]])</f>
        <v/>
      </c>
      <c r="G469" s="15"/>
      <c r="J469" s="15"/>
      <c r="K469" s="47"/>
      <c r="L469" s="76"/>
      <c r="M469" s="76"/>
      <c r="N469" s="78" t="str">
        <f>_xlfn.LET(
    _xlpm.itemBuscado, B469,
    _xlpm.areaBuscada, C469,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TEXT(COUNTIF($C$2:C469, _xlpm.areaBuscada), "0000"),
    _xlpm.codItem &amp; "-" &amp; _xlpm.codArea &amp; "-" &amp; _xlpm.secuencia
)</f>
        <v>-SinArea-0000</v>
      </c>
      <c r="O469" s="77"/>
      <c r="P469" s="32"/>
      <c r="Q469" s="32"/>
      <c r="R469" s="32"/>
      <c r="S469" s="32"/>
    </row>
    <row r="470" spans="3:19" x14ac:dyDescent="0.3">
      <c r="C470" s="11"/>
      <c r="D470" s="32"/>
      <c r="E470" s="11"/>
      <c r="F470" t="str">
        <f>_xlfn.TEXTJOIN(", ",TRUE, Tabla38[[#This Row],[Tipo de escalera]],Tabla38[[#This Row],[Longitud]],Tabla38[[#This Row],[Carga Maxima]])</f>
        <v/>
      </c>
      <c r="G470" s="15"/>
      <c r="J470" s="15"/>
      <c r="K470" s="47"/>
      <c r="L470" s="76"/>
      <c r="M470" s="76"/>
      <c r="N470" s="78" t="str">
        <f>_xlfn.LET(
    _xlpm.itemBuscado, B470,
    _xlpm.areaBuscada, C470,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TEXT(COUNTIF($C$2:C470, _xlpm.areaBuscada), "0000"),
    _xlpm.codItem &amp; "-" &amp; _xlpm.codArea &amp; "-" &amp; _xlpm.secuencia
)</f>
        <v>-SinArea-0000</v>
      </c>
      <c r="O470" s="77"/>
      <c r="P470" s="32"/>
      <c r="Q470" s="32"/>
      <c r="R470" s="32"/>
      <c r="S470" s="32"/>
    </row>
    <row r="471" spans="3:19" x14ac:dyDescent="0.3">
      <c r="C471" s="11"/>
      <c r="D471" s="32"/>
      <c r="E471" s="11"/>
      <c r="F471" t="str">
        <f>_xlfn.TEXTJOIN(", ",TRUE, Tabla38[[#This Row],[Tipo de escalera]],Tabla38[[#This Row],[Longitud]],Tabla38[[#This Row],[Carga Maxima]])</f>
        <v/>
      </c>
      <c r="G471" s="15"/>
      <c r="J471" s="15"/>
      <c r="K471" s="47"/>
      <c r="L471" s="76"/>
      <c r="M471" s="76"/>
      <c r="N471" s="78" t="str">
        <f>_xlfn.LET(
    _xlpm.itemBuscado, B471,
    _xlpm.areaBuscada, C471,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TEXT(COUNTIF($C$2:C471, _xlpm.areaBuscada), "0000"),
    _xlpm.codItem &amp; "-" &amp; _xlpm.codArea &amp; "-" &amp; _xlpm.secuencia
)</f>
        <v>-SinArea-0000</v>
      </c>
      <c r="O471" s="77"/>
      <c r="P471" s="32"/>
      <c r="Q471" s="32"/>
      <c r="R471" s="32"/>
      <c r="S471" s="32"/>
    </row>
    <row r="472" spans="3:19" x14ac:dyDescent="0.3">
      <c r="C472" s="11"/>
      <c r="D472" s="32"/>
      <c r="E472" s="11"/>
      <c r="F472" t="str">
        <f>_xlfn.TEXTJOIN(", ",TRUE, Tabla38[[#This Row],[Tipo de escalera]],Tabla38[[#This Row],[Longitud]],Tabla38[[#This Row],[Carga Maxima]])</f>
        <v/>
      </c>
      <c r="G472" s="15"/>
      <c r="J472" s="15"/>
      <c r="K472" s="47"/>
      <c r="L472" s="76"/>
      <c r="M472" s="76"/>
      <c r="N472" s="78" t="str">
        <f>_xlfn.LET(
    _xlpm.itemBuscado, B472,
    _xlpm.areaBuscada, C472,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TEXT(COUNTIF($C$2:C472, _xlpm.areaBuscada), "0000"),
    _xlpm.codItem &amp; "-" &amp; _xlpm.codArea &amp; "-" &amp; _xlpm.secuencia
)</f>
        <v>-SinArea-0000</v>
      </c>
      <c r="O472" s="77"/>
      <c r="P472" s="32"/>
      <c r="Q472" s="32"/>
      <c r="R472" s="32"/>
      <c r="S472" s="32"/>
    </row>
    <row r="473" spans="3:19" x14ac:dyDescent="0.3">
      <c r="C473" s="11"/>
      <c r="D473" s="32"/>
      <c r="E473" s="11"/>
      <c r="F473" t="str">
        <f>_xlfn.TEXTJOIN(", ",TRUE, Tabla38[[#This Row],[Tipo de escalera]],Tabla38[[#This Row],[Longitud]],Tabla38[[#This Row],[Carga Maxima]])</f>
        <v/>
      </c>
      <c r="G473" s="15"/>
      <c r="J473" s="15"/>
      <c r="K473" s="47"/>
      <c r="L473" s="76"/>
      <c r="M473" s="76"/>
      <c r="N473" s="78" t="str">
        <f>_xlfn.LET(
    _xlpm.itemBuscado, B473,
    _xlpm.areaBuscada, C473,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TEXT(COUNTIF($C$2:C473, _xlpm.areaBuscada), "0000"),
    _xlpm.codItem &amp; "-" &amp; _xlpm.codArea &amp; "-" &amp; _xlpm.secuencia
)</f>
        <v>-SinArea-0000</v>
      </c>
      <c r="O473" s="77"/>
      <c r="P473" s="32"/>
      <c r="Q473" s="32"/>
      <c r="R473" s="32"/>
      <c r="S473" s="32"/>
    </row>
    <row r="474" spans="3:19" x14ac:dyDescent="0.3">
      <c r="C474" s="11"/>
      <c r="D474" s="32"/>
      <c r="E474" s="11"/>
      <c r="F474" t="str">
        <f>_xlfn.TEXTJOIN(", ",TRUE, Tabla38[[#This Row],[Tipo de escalera]],Tabla38[[#This Row],[Longitud]],Tabla38[[#This Row],[Carga Maxima]])</f>
        <v/>
      </c>
      <c r="G474" s="15"/>
      <c r="J474" s="15"/>
      <c r="K474" s="47"/>
      <c r="L474" s="76"/>
      <c r="M474" s="76"/>
      <c r="N474" s="78" t="str">
        <f>_xlfn.LET(
    _xlpm.itemBuscado, B474,
    _xlpm.areaBuscada, C474,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TEXT(COUNTIF($C$2:C474, _xlpm.areaBuscada), "0000"),
    _xlpm.codItem &amp; "-" &amp; _xlpm.codArea &amp; "-" &amp; _xlpm.secuencia
)</f>
        <v>-SinArea-0000</v>
      </c>
      <c r="O474" s="77"/>
      <c r="P474" s="32"/>
      <c r="Q474" s="32"/>
      <c r="R474" s="32"/>
      <c r="S474" s="32"/>
    </row>
    <row r="475" spans="3:19" x14ac:dyDescent="0.3">
      <c r="C475" s="11"/>
      <c r="D475" s="32"/>
      <c r="E475" s="11"/>
      <c r="F475" t="str">
        <f>_xlfn.TEXTJOIN(", ",TRUE, Tabla38[[#This Row],[Tipo de escalera]],Tabla38[[#This Row],[Longitud]],Tabla38[[#This Row],[Carga Maxima]])</f>
        <v/>
      </c>
      <c r="G475" s="15"/>
      <c r="J475" s="15"/>
      <c r="K475" s="47"/>
      <c r="L475" s="76"/>
      <c r="M475" s="76"/>
      <c r="N475" s="78" t="str">
        <f>_xlfn.LET(
    _xlpm.itemBuscado, B475,
    _xlpm.areaBuscada, C475,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TEXT(COUNTIF($C$2:C475, _xlpm.areaBuscada), "0000"),
    _xlpm.codItem &amp; "-" &amp; _xlpm.codArea &amp; "-" &amp; _xlpm.secuencia
)</f>
        <v>-SinArea-0000</v>
      </c>
      <c r="O475" s="77"/>
      <c r="P475" s="32"/>
      <c r="Q475" s="32"/>
      <c r="R475" s="32"/>
      <c r="S475" s="32"/>
    </row>
    <row r="476" spans="3:19" x14ac:dyDescent="0.3">
      <c r="C476" s="11"/>
      <c r="D476" s="32"/>
      <c r="E476" s="11"/>
      <c r="F476" t="str">
        <f>_xlfn.TEXTJOIN(", ",TRUE, Tabla38[[#This Row],[Tipo de escalera]],Tabla38[[#This Row],[Longitud]],Tabla38[[#This Row],[Carga Maxima]])</f>
        <v/>
      </c>
      <c r="G476" s="15"/>
      <c r="J476" s="15"/>
      <c r="K476" s="47"/>
      <c r="L476" s="76"/>
      <c r="M476" s="76"/>
      <c r="N476" s="78" t="str">
        <f>_xlfn.LET(
    _xlpm.itemBuscado, B476,
    _xlpm.areaBuscada, C476,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TEXT(COUNTIF($C$2:C476, _xlpm.areaBuscada), "0000"),
    _xlpm.codItem &amp; "-" &amp; _xlpm.codArea &amp; "-" &amp; _xlpm.secuencia
)</f>
        <v>-SinArea-0000</v>
      </c>
      <c r="O476" s="77"/>
      <c r="P476" s="32"/>
      <c r="Q476" s="32"/>
      <c r="R476" s="32"/>
      <c r="S476" s="32"/>
    </row>
    <row r="477" spans="3:19" x14ac:dyDescent="0.3">
      <c r="C477" s="11"/>
      <c r="D477" s="32"/>
      <c r="E477" s="11"/>
      <c r="F477" t="str">
        <f>_xlfn.TEXTJOIN(", ",TRUE, Tabla38[[#This Row],[Tipo de escalera]],Tabla38[[#This Row],[Longitud]],Tabla38[[#This Row],[Carga Maxima]])</f>
        <v/>
      </c>
      <c r="G477" s="15"/>
      <c r="J477" s="15"/>
      <c r="K477" s="47"/>
      <c r="L477" s="76"/>
      <c r="M477" s="76"/>
      <c r="N477" s="78" t="str">
        <f>_xlfn.LET(
    _xlpm.itemBuscado, B477,
    _xlpm.areaBuscada, C477,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TEXT(COUNTIF($C$2:C477, _xlpm.areaBuscada), "0000"),
    _xlpm.codItem &amp; "-" &amp; _xlpm.codArea &amp; "-" &amp; _xlpm.secuencia
)</f>
        <v>-SinArea-0000</v>
      </c>
      <c r="O477" s="77"/>
      <c r="P477" s="32"/>
      <c r="Q477" s="32"/>
      <c r="R477" s="32"/>
      <c r="S477" s="32"/>
    </row>
    <row r="478" spans="3:19" x14ac:dyDescent="0.3">
      <c r="C478" s="11"/>
      <c r="D478" s="32"/>
      <c r="E478" s="11"/>
      <c r="F478" t="str">
        <f>_xlfn.TEXTJOIN(", ",TRUE, Tabla38[[#This Row],[Tipo de escalera]],Tabla38[[#This Row],[Longitud]],Tabla38[[#This Row],[Carga Maxima]])</f>
        <v/>
      </c>
      <c r="G478" s="15"/>
      <c r="J478" s="15"/>
      <c r="K478" s="47"/>
      <c r="L478" s="76"/>
      <c r="M478" s="76"/>
      <c r="N478" s="78" t="str">
        <f>_xlfn.LET(
    _xlpm.itemBuscado, B478,
    _xlpm.areaBuscada, C478,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TEXT(COUNTIF($C$2:C478, _xlpm.areaBuscada), "0000"),
    _xlpm.codItem &amp; "-" &amp; _xlpm.codArea &amp; "-" &amp; _xlpm.secuencia
)</f>
        <v>-SinArea-0000</v>
      </c>
      <c r="O478" s="77"/>
      <c r="P478" s="32"/>
      <c r="Q478" s="32"/>
      <c r="R478" s="32"/>
      <c r="S478" s="32"/>
    </row>
    <row r="479" spans="3:19" x14ac:dyDescent="0.3">
      <c r="C479" s="11"/>
      <c r="D479" s="32"/>
      <c r="E479" s="11"/>
      <c r="F479" t="str">
        <f>_xlfn.TEXTJOIN(", ",TRUE, Tabla38[[#This Row],[Tipo de escalera]],Tabla38[[#This Row],[Longitud]],Tabla38[[#This Row],[Carga Maxima]])</f>
        <v/>
      </c>
      <c r="G479" s="15"/>
      <c r="J479" s="15"/>
      <c r="K479" s="47"/>
      <c r="L479" s="76"/>
      <c r="M479" s="76"/>
      <c r="N479" s="78" t="str">
        <f>_xlfn.LET(
    _xlpm.itemBuscado, B479,
    _xlpm.areaBuscada, C479,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TEXT(COUNTIF($C$2:C479, _xlpm.areaBuscada), "0000"),
    _xlpm.codItem &amp; "-" &amp; _xlpm.codArea &amp; "-" &amp; _xlpm.secuencia
)</f>
        <v>-SinArea-0000</v>
      </c>
      <c r="O479" s="77"/>
      <c r="P479" s="32"/>
      <c r="Q479" s="32"/>
      <c r="R479" s="32"/>
      <c r="S479" s="32"/>
    </row>
    <row r="480" spans="3:19" x14ac:dyDescent="0.3">
      <c r="C480" s="11"/>
      <c r="D480" s="32"/>
      <c r="E480" s="11"/>
      <c r="F480" t="str">
        <f>_xlfn.TEXTJOIN(", ",TRUE, Tabla38[[#This Row],[Tipo de escalera]],Tabla38[[#This Row],[Longitud]],Tabla38[[#This Row],[Carga Maxima]])</f>
        <v/>
      </c>
      <c r="G480" s="15"/>
      <c r="J480" s="15"/>
      <c r="K480" s="47"/>
      <c r="L480" s="76"/>
      <c r="M480" s="76"/>
      <c r="N480" s="78" t="str">
        <f>_xlfn.LET(
    _xlpm.itemBuscado, B480,
    _xlpm.areaBuscada, C480,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TEXT(COUNTIF($C$2:C480, _xlpm.areaBuscada), "0000"),
    _xlpm.codItem &amp; "-" &amp; _xlpm.codArea &amp; "-" &amp; _xlpm.secuencia
)</f>
        <v>-SinArea-0000</v>
      </c>
      <c r="O480" s="77"/>
      <c r="P480" s="32"/>
      <c r="Q480" s="32"/>
      <c r="R480" s="32"/>
      <c r="S480" s="32"/>
    </row>
    <row r="481" spans="3:19" x14ac:dyDescent="0.3">
      <c r="C481" s="11"/>
      <c r="D481" s="32"/>
      <c r="E481" s="11"/>
      <c r="F481" t="str">
        <f>_xlfn.TEXTJOIN(", ",TRUE, Tabla38[[#This Row],[Tipo de escalera]],Tabla38[[#This Row],[Longitud]],Tabla38[[#This Row],[Carga Maxima]])</f>
        <v/>
      </c>
      <c r="G481" s="15"/>
      <c r="J481" s="15"/>
      <c r="K481" s="47"/>
      <c r="L481" s="76"/>
      <c r="M481" s="76"/>
      <c r="N481" s="78" t="str">
        <f>_xlfn.LET(
    _xlpm.itemBuscado, B481,
    _xlpm.areaBuscada, C481,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TEXT(COUNTIF($C$2:C481, _xlpm.areaBuscada), "0000"),
    _xlpm.codItem &amp; "-" &amp; _xlpm.codArea &amp; "-" &amp; _xlpm.secuencia
)</f>
        <v>-SinArea-0000</v>
      </c>
      <c r="O481" s="77"/>
      <c r="P481" s="32"/>
      <c r="Q481" s="32"/>
      <c r="R481" s="32"/>
      <c r="S481" s="32"/>
    </row>
    <row r="482" spans="3:19" x14ac:dyDescent="0.3">
      <c r="C482" s="11"/>
      <c r="D482" s="32"/>
      <c r="E482" s="11"/>
      <c r="F482" t="str">
        <f>_xlfn.TEXTJOIN(", ",TRUE, Tabla38[[#This Row],[Tipo de escalera]],Tabla38[[#This Row],[Longitud]],Tabla38[[#This Row],[Carga Maxima]])</f>
        <v/>
      </c>
      <c r="G482" s="15"/>
      <c r="J482" s="15"/>
      <c r="K482" s="47"/>
      <c r="L482" s="76"/>
      <c r="M482" s="76"/>
      <c r="N482" s="78" t="str">
        <f>_xlfn.LET(
    _xlpm.itemBuscado, B482,
    _xlpm.areaBuscada, C482,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TEXT(COUNTIF($C$2:C482, _xlpm.areaBuscada), "0000"),
    _xlpm.codItem &amp; "-" &amp; _xlpm.codArea &amp; "-" &amp; _xlpm.secuencia
)</f>
        <v>-SinArea-0000</v>
      </c>
      <c r="O482" s="77"/>
      <c r="P482" s="32"/>
      <c r="Q482" s="32"/>
      <c r="R482" s="32"/>
      <c r="S482" s="32"/>
    </row>
    <row r="483" spans="3:19" x14ac:dyDescent="0.3">
      <c r="C483" s="11"/>
      <c r="D483" s="32"/>
      <c r="E483" s="11"/>
      <c r="F483" t="str">
        <f>_xlfn.TEXTJOIN(", ",TRUE, Tabla38[[#This Row],[Tipo de escalera]],Tabla38[[#This Row],[Longitud]],Tabla38[[#This Row],[Carga Maxima]])</f>
        <v/>
      </c>
      <c r="G483" s="15"/>
      <c r="J483" s="15"/>
      <c r="K483" s="47"/>
      <c r="L483" s="76"/>
      <c r="M483" s="76"/>
      <c r="N483" s="78" t="str">
        <f>_xlfn.LET(
    _xlpm.itemBuscado, B483,
    _xlpm.areaBuscada, C483,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TEXT(COUNTIF($C$2:C483, _xlpm.areaBuscada), "0000"),
    _xlpm.codItem &amp; "-" &amp; _xlpm.codArea &amp; "-" &amp; _xlpm.secuencia
)</f>
        <v>-SinArea-0000</v>
      </c>
      <c r="O483" s="77"/>
      <c r="P483" s="32"/>
      <c r="Q483" s="32"/>
      <c r="R483" s="32"/>
      <c r="S483" s="32"/>
    </row>
    <row r="484" spans="3:19" x14ac:dyDescent="0.3">
      <c r="C484" s="11"/>
      <c r="D484" s="32"/>
      <c r="E484" s="11"/>
      <c r="F484" t="str">
        <f>_xlfn.TEXTJOIN(", ",TRUE, Tabla38[[#This Row],[Tipo de escalera]],Tabla38[[#This Row],[Longitud]],Tabla38[[#This Row],[Carga Maxima]])</f>
        <v/>
      </c>
      <c r="G484" s="15"/>
      <c r="J484" s="15"/>
      <c r="K484" s="47"/>
      <c r="L484" s="76"/>
      <c r="M484" s="76"/>
      <c r="N484" s="78" t="str">
        <f>_xlfn.LET(
    _xlpm.itemBuscado, B484,
    _xlpm.areaBuscada, C484,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TEXT(COUNTIF($C$2:C484, _xlpm.areaBuscada), "0000"),
    _xlpm.codItem &amp; "-" &amp; _xlpm.codArea &amp; "-" &amp; _xlpm.secuencia
)</f>
        <v>-SinArea-0000</v>
      </c>
      <c r="O484" s="77"/>
      <c r="P484" s="32"/>
      <c r="Q484" s="32"/>
      <c r="R484" s="32"/>
      <c r="S484" s="32"/>
    </row>
    <row r="485" spans="3:19" x14ac:dyDescent="0.3">
      <c r="C485" s="11"/>
      <c r="D485" s="32"/>
      <c r="E485" s="11"/>
      <c r="F485" t="str">
        <f>_xlfn.TEXTJOIN(", ",TRUE, Tabla38[[#This Row],[Tipo de escalera]],Tabla38[[#This Row],[Longitud]],Tabla38[[#This Row],[Carga Maxima]])</f>
        <v/>
      </c>
      <c r="G485" s="15"/>
      <c r="J485" s="15"/>
      <c r="K485" s="47"/>
      <c r="L485" s="76"/>
      <c r="M485" s="76"/>
      <c r="N485" s="78" t="str">
        <f>_xlfn.LET(
    _xlpm.itemBuscado, B485,
    _xlpm.areaBuscada, C485,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TEXT(COUNTIF($C$2:C485, _xlpm.areaBuscada), "0000"),
    _xlpm.codItem &amp; "-" &amp; _xlpm.codArea &amp; "-" &amp; _xlpm.secuencia
)</f>
        <v>-SinArea-0000</v>
      </c>
      <c r="O485" s="77"/>
      <c r="P485" s="32"/>
      <c r="Q485" s="32"/>
      <c r="R485" s="32"/>
      <c r="S485" s="32"/>
    </row>
    <row r="486" spans="3:19" x14ac:dyDescent="0.3">
      <c r="C486" s="11"/>
      <c r="D486" s="32"/>
      <c r="E486" s="11"/>
      <c r="F486" t="str">
        <f>_xlfn.TEXTJOIN(", ",TRUE, Tabla38[[#This Row],[Tipo de escalera]],Tabla38[[#This Row],[Longitud]],Tabla38[[#This Row],[Carga Maxima]])</f>
        <v/>
      </c>
      <c r="G486" s="15"/>
      <c r="J486" s="15"/>
      <c r="K486" s="47"/>
      <c r="L486" s="76"/>
      <c r="M486" s="76"/>
      <c r="N486" s="78" t="str">
        <f>_xlfn.LET(
    _xlpm.itemBuscado, B486,
    _xlpm.areaBuscada, C486,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TEXT(COUNTIF($C$2:C486, _xlpm.areaBuscada), "0000"),
    _xlpm.codItem &amp; "-" &amp; _xlpm.codArea &amp; "-" &amp; _xlpm.secuencia
)</f>
        <v>-SinArea-0000</v>
      </c>
      <c r="O486" s="77"/>
      <c r="P486" s="32"/>
      <c r="Q486" s="32"/>
      <c r="R486" s="32"/>
      <c r="S486" s="32"/>
    </row>
    <row r="487" spans="3:19" x14ac:dyDescent="0.3">
      <c r="C487" s="11"/>
      <c r="D487" s="32"/>
      <c r="E487" s="11"/>
      <c r="F487" t="str">
        <f>_xlfn.TEXTJOIN(", ",TRUE, Tabla38[[#This Row],[Tipo de escalera]],Tabla38[[#This Row],[Longitud]],Tabla38[[#This Row],[Carga Maxima]])</f>
        <v/>
      </c>
      <c r="G487" s="15"/>
      <c r="J487" s="15"/>
      <c r="K487" s="47"/>
      <c r="L487" s="76"/>
      <c r="M487" s="76"/>
      <c r="N487" s="78" t="str">
        <f>_xlfn.LET(
    _xlpm.itemBuscado, B487,
    _xlpm.areaBuscada, C487,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TEXT(COUNTIF($C$2:C487, _xlpm.areaBuscada), "0000"),
    _xlpm.codItem &amp; "-" &amp; _xlpm.codArea &amp; "-" &amp; _xlpm.secuencia
)</f>
        <v>-SinArea-0000</v>
      </c>
      <c r="O487" s="77"/>
      <c r="P487" s="32"/>
      <c r="Q487" s="32"/>
      <c r="R487" s="32"/>
      <c r="S487" s="32"/>
    </row>
    <row r="488" spans="3:19" x14ac:dyDescent="0.3">
      <c r="C488" s="11"/>
      <c r="D488" s="32"/>
      <c r="E488" s="11"/>
      <c r="F488" t="str">
        <f>_xlfn.TEXTJOIN(", ",TRUE, Tabla38[[#This Row],[Tipo de escalera]],Tabla38[[#This Row],[Longitud]],Tabla38[[#This Row],[Carga Maxima]])</f>
        <v/>
      </c>
      <c r="G488" s="15"/>
      <c r="J488" s="15"/>
      <c r="K488" s="47"/>
      <c r="L488" s="76"/>
      <c r="M488" s="76"/>
      <c r="N488" s="78" t="str">
        <f>_xlfn.LET(
    _xlpm.itemBuscado, B488,
    _xlpm.areaBuscada, C488,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TEXT(COUNTIF($C$2:C488, _xlpm.areaBuscada), "0000"),
    _xlpm.codItem &amp; "-" &amp; _xlpm.codArea &amp; "-" &amp; _xlpm.secuencia
)</f>
        <v>-SinArea-0000</v>
      </c>
      <c r="O488" s="77"/>
      <c r="P488" s="32"/>
      <c r="Q488" s="32"/>
      <c r="R488" s="32"/>
      <c r="S488" s="32"/>
    </row>
    <row r="489" spans="3:19" x14ac:dyDescent="0.3">
      <c r="C489" s="11"/>
      <c r="D489" s="32"/>
      <c r="E489" s="11"/>
      <c r="F489" t="str">
        <f>_xlfn.TEXTJOIN(", ",TRUE, Tabla38[[#This Row],[Tipo de escalera]],Tabla38[[#This Row],[Longitud]],Tabla38[[#This Row],[Carga Maxima]])</f>
        <v/>
      </c>
      <c r="G489" s="15"/>
      <c r="J489" s="15"/>
      <c r="K489" s="47"/>
      <c r="L489" s="76"/>
      <c r="M489" s="76"/>
      <c r="N489" s="78" t="str">
        <f>_xlfn.LET(
    _xlpm.itemBuscado, B489,
    _xlpm.areaBuscada, C489,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TEXT(COUNTIF($C$2:C489, _xlpm.areaBuscada), "0000"),
    _xlpm.codItem &amp; "-" &amp; _xlpm.codArea &amp; "-" &amp; _xlpm.secuencia
)</f>
        <v>-SinArea-0000</v>
      </c>
      <c r="O489" s="77"/>
      <c r="P489" s="32"/>
      <c r="Q489" s="32"/>
      <c r="R489" s="32"/>
      <c r="S489" s="32"/>
    </row>
    <row r="490" spans="3:19" x14ac:dyDescent="0.3">
      <c r="C490" s="11"/>
      <c r="D490" s="32"/>
      <c r="E490" s="11"/>
      <c r="F490" t="str">
        <f>_xlfn.TEXTJOIN(", ",TRUE, Tabla38[[#This Row],[Tipo de escalera]],Tabla38[[#This Row],[Longitud]],Tabla38[[#This Row],[Carga Maxima]])</f>
        <v/>
      </c>
      <c r="G490" s="15"/>
      <c r="J490" s="15"/>
      <c r="K490" s="47"/>
      <c r="L490" s="76"/>
      <c r="M490" s="76"/>
      <c r="N490" s="78" t="str">
        <f>_xlfn.LET(
    _xlpm.itemBuscado, B490,
    _xlpm.areaBuscada, C490,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TEXT(COUNTIF($C$2:C490, _xlpm.areaBuscada), "0000"),
    _xlpm.codItem &amp; "-" &amp; _xlpm.codArea &amp; "-" &amp; _xlpm.secuencia
)</f>
        <v>-SinArea-0000</v>
      </c>
      <c r="O490" s="77"/>
      <c r="P490" s="32"/>
      <c r="Q490" s="32"/>
      <c r="R490" s="32"/>
      <c r="S490" s="32"/>
    </row>
    <row r="491" spans="3:19" x14ac:dyDescent="0.3">
      <c r="C491" s="11"/>
      <c r="D491" s="32"/>
      <c r="E491" s="11"/>
      <c r="F491" t="str">
        <f>_xlfn.TEXTJOIN(", ",TRUE, Tabla38[[#This Row],[Tipo de escalera]],Tabla38[[#This Row],[Longitud]],Tabla38[[#This Row],[Carga Maxima]])</f>
        <v/>
      </c>
      <c r="G491" s="15"/>
      <c r="J491" s="15"/>
      <c r="K491" s="47"/>
      <c r="L491" s="76"/>
      <c r="M491" s="76"/>
      <c r="N491" s="78" t="str">
        <f>_xlfn.LET(
    _xlpm.itemBuscado, B491,
    _xlpm.areaBuscada, C491,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TEXT(COUNTIF($C$2:C491, _xlpm.areaBuscada), "0000"),
    _xlpm.codItem &amp; "-" &amp; _xlpm.codArea &amp; "-" &amp; _xlpm.secuencia
)</f>
        <v>-SinArea-0000</v>
      </c>
      <c r="O491" s="77"/>
      <c r="P491" s="32"/>
      <c r="Q491" s="32"/>
      <c r="R491" s="32"/>
      <c r="S491" s="32"/>
    </row>
    <row r="492" spans="3:19" x14ac:dyDescent="0.3">
      <c r="C492" s="11"/>
      <c r="D492" s="32"/>
      <c r="E492" s="11"/>
      <c r="F492" t="str">
        <f>_xlfn.TEXTJOIN(", ",TRUE, Tabla38[[#This Row],[Tipo de escalera]],Tabla38[[#This Row],[Longitud]],Tabla38[[#This Row],[Carga Maxima]])</f>
        <v/>
      </c>
      <c r="G492" s="15"/>
      <c r="J492" s="15"/>
      <c r="K492" s="47"/>
      <c r="L492" s="76"/>
      <c r="M492" s="76"/>
      <c r="N492" s="78" t="str">
        <f>_xlfn.LET(
    _xlpm.itemBuscado, B492,
    _xlpm.areaBuscada, C492,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TEXT(COUNTIF($C$2:C492, _xlpm.areaBuscada), "0000"),
    _xlpm.codItem &amp; "-" &amp; _xlpm.codArea &amp; "-" &amp; _xlpm.secuencia
)</f>
        <v>-SinArea-0000</v>
      </c>
      <c r="O492" s="77"/>
      <c r="P492" s="32"/>
      <c r="Q492" s="32"/>
      <c r="R492" s="32"/>
      <c r="S492" s="32"/>
    </row>
    <row r="493" spans="3:19" x14ac:dyDescent="0.3">
      <c r="C493" s="11"/>
      <c r="D493" s="32"/>
      <c r="E493" s="11"/>
      <c r="F493" t="str">
        <f>_xlfn.TEXTJOIN(", ",TRUE, Tabla38[[#This Row],[Tipo de escalera]],Tabla38[[#This Row],[Longitud]],Tabla38[[#This Row],[Carga Maxima]])</f>
        <v/>
      </c>
      <c r="G493" s="15"/>
      <c r="J493" s="15"/>
      <c r="K493" s="47"/>
      <c r="L493" s="76"/>
      <c r="M493" s="76"/>
      <c r="N493" s="78" t="str">
        <f>_xlfn.LET(
    _xlpm.itemBuscado, B493,
    _xlpm.areaBuscada, C493,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TEXT(COUNTIF($C$2:C493, _xlpm.areaBuscada), "0000"),
    _xlpm.codItem &amp; "-" &amp; _xlpm.codArea &amp; "-" &amp; _xlpm.secuencia
)</f>
        <v>-SinArea-0000</v>
      </c>
      <c r="O493" s="77"/>
      <c r="P493" s="32"/>
      <c r="Q493" s="32"/>
      <c r="R493" s="32"/>
      <c r="S493" s="32"/>
    </row>
    <row r="494" spans="3:19" x14ac:dyDescent="0.3">
      <c r="C494" s="11"/>
      <c r="D494" s="32"/>
      <c r="E494" s="11"/>
      <c r="F494" t="str">
        <f>_xlfn.TEXTJOIN(", ",TRUE, Tabla38[[#This Row],[Tipo de escalera]],Tabla38[[#This Row],[Longitud]],Tabla38[[#This Row],[Carga Maxima]])</f>
        <v/>
      </c>
      <c r="G494" s="15"/>
      <c r="J494" s="15"/>
      <c r="K494" s="47"/>
      <c r="L494" s="76"/>
      <c r="M494" s="76"/>
      <c r="N494" s="78" t="str">
        <f>_xlfn.LET(
    _xlpm.itemBuscado, B494,
    _xlpm.areaBuscada, C494,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TEXT(COUNTIF($C$2:C494, _xlpm.areaBuscada), "0000"),
    _xlpm.codItem &amp; "-" &amp; _xlpm.codArea &amp; "-" &amp; _xlpm.secuencia
)</f>
        <v>-SinArea-0000</v>
      </c>
      <c r="O494" s="77"/>
      <c r="P494" s="32"/>
      <c r="Q494" s="32"/>
      <c r="R494" s="32"/>
      <c r="S494" s="32"/>
    </row>
    <row r="495" spans="3:19" x14ac:dyDescent="0.3">
      <c r="C495" s="11"/>
      <c r="D495" s="32"/>
      <c r="E495" s="11"/>
      <c r="F495" t="str">
        <f>_xlfn.TEXTJOIN(", ",TRUE, Tabla38[[#This Row],[Tipo de escalera]],Tabla38[[#This Row],[Longitud]],Tabla38[[#This Row],[Carga Maxima]])</f>
        <v/>
      </c>
      <c r="G495" s="15"/>
      <c r="J495" s="15"/>
      <c r="K495" s="47"/>
      <c r="L495" s="76"/>
      <c r="M495" s="76"/>
      <c r="N495" s="78" t="str">
        <f>_xlfn.LET(
    _xlpm.itemBuscado, B495,
    _xlpm.areaBuscada, C495,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TEXT(COUNTIF($C$2:C495, _xlpm.areaBuscada), "0000"),
    _xlpm.codItem &amp; "-" &amp; _xlpm.codArea &amp; "-" &amp; _xlpm.secuencia
)</f>
        <v>-SinArea-0000</v>
      </c>
      <c r="O495" s="77"/>
      <c r="P495" s="32"/>
      <c r="Q495" s="32"/>
      <c r="R495" s="32"/>
      <c r="S495" s="32"/>
    </row>
    <row r="496" spans="3:19" x14ac:dyDescent="0.3">
      <c r="C496" s="11"/>
      <c r="D496" s="32"/>
      <c r="E496" s="11"/>
      <c r="F496" t="str">
        <f>_xlfn.TEXTJOIN(", ",TRUE, Tabla38[[#This Row],[Tipo de escalera]],Tabla38[[#This Row],[Longitud]],Tabla38[[#This Row],[Carga Maxima]])</f>
        <v/>
      </c>
      <c r="G496" s="15"/>
      <c r="J496" s="15"/>
      <c r="K496" s="47"/>
      <c r="L496" s="76"/>
      <c r="M496" s="76"/>
      <c r="N496" s="78" t="str">
        <f>_xlfn.LET(
    _xlpm.itemBuscado, B496,
    _xlpm.areaBuscada, C496,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TEXT(COUNTIF($C$2:C496, _xlpm.areaBuscada), "0000"),
    _xlpm.codItem &amp; "-" &amp; _xlpm.codArea &amp; "-" &amp; _xlpm.secuencia
)</f>
        <v>-SinArea-0000</v>
      </c>
      <c r="O496" s="77"/>
      <c r="P496" s="32"/>
      <c r="Q496" s="32"/>
      <c r="R496" s="32"/>
      <c r="S496" s="32"/>
    </row>
    <row r="497" spans="3:19" x14ac:dyDescent="0.3">
      <c r="C497" s="11"/>
      <c r="D497" s="32"/>
      <c r="E497" s="11"/>
      <c r="F497" t="str">
        <f>_xlfn.TEXTJOIN(", ",TRUE, Tabla38[[#This Row],[Tipo de escalera]],Tabla38[[#This Row],[Longitud]],Tabla38[[#This Row],[Carga Maxima]])</f>
        <v/>
      </c>
      <c r="G497" s="15"/>
      <c r="J497" s="15"/>
      <c r="K497" s="47"/>
      <c r="L497" s="76"/>
      <c r="M497" s="76"/>
      <c r="N497" s="78" t="str">
        <f>_xlfn.LET(
    _xlpm.itemBuscado, B497,
    _xlpm.areaBuscada, C497,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TEXT(COUNTIF($C$2:C497, _xlpm.areaBuscada), "0000"),
    _xlpm.codItem &amp; "-" &amp; _xlpm.codArea &amp; "-" &amp; _xlpm.secuencia
)</f>
        <v>-SinArea-0000</v>
      </c>
      <c r="O497" s="77"/>
      <c r="P497" s="32"/>
      <c r="Q497" s="32"/>
      <c r="R497" s="32"/>
      <c r="S497" s="32"/>
    </row>
    <row r="498" spans="3:19" x14ac:dyDescent="0.3">
      <c r="C498" s="11"/>
      <c r="D498" s="32"/>
      <c r="E498" s="11"/>
      <c r="F498" t="str">
        <f>_xlfn.TEXTJOIN(", ",TRUE, Tabla38[[#This Row],[Tipo de escalera]],Tabla38[[#This Row],[Longitud]],Tabla38[[#This Row],[Carga Maxima]])</f>
        <v/>
      </c>
      <c r="G498" s="15"/>
      <c r="J498" s="15"/>
      <c r="K498" s="47"/>
      <c r="L498" s="76"/>
      <c r="M498" s="76"/>
      <c r="N498" s="78" t="str">
        <f>_xlfn.LET(
    _xlpm.itemBuscado, B498,
    _xlpm.areaBuscada, C498,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TEXT(COUNTIF($C$2:C498, _xlpm.areaBuscada), "0000"),
    _xlpm.codItem &amp; "-" &amp; _xlpm.codArea &amp; "-" &amp; _xlpm.secuencia
)</f>
        <v>-SinArea-0000</v>
      </c>
      <c r="O498" s="77"/>
      <c r="P498" s="32"/>
      <c r="Q498" s="32"/>
      <c r="R498" s="32"/>
      <c r="S498" s="32"/>
    </row>
    <row r="499" spans="3:19" x14ac:dyDescent="0.3">
      <c r="C499" s="11"/>
      <c r="D499" s="32"/>
      <c r="E499" s="11"/>
      <c r="F499" t="str">
        <f>_xlfn.TEXTJOIN(", ",TRUE, Tabla38[[#This Row],[Tipo de escalera]],Tabla38[[#This Row],[Longitud]],Tabla38[[#This Row],[Carga Maxima]])</f>
        <v/>
      </c>
      <c r="G499" s="15"/>
      <c r="J499" s="15"/>
      <c r="K499" s="47"/>
      <c r="L499" s="76"/>
      <c r="M499" s="76"/>
      <c r="N499" s="78" t="str">
        <f>_xlfn.LET(
    _xlpm.itemBuscado, B499,
    _xlpm.areaBuscada, C499,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TEXT(COUNTIF($C$2:C499, _xlpm.areaBuscada), "0000"),
    _xlpm.codItem &amp; "-" &amp; _xlpm.codArea &amp; "-" &amp; _xlpm.secuencia
)</f>
        <v>-SinArea-0000</v>
      </c>
      <c r="O499" s="77"/>
      <c r="P499" s="32"/>
      <c r="Q499" s="32"/>
      <c r="R499" s="32"/>
      <c r="S499" s="32"/>
    </row>
    <row r="500" spans="3:19" x14ac:dyDescent="0.3">
      <c r="C500" s="11"/>
      <c r="D500" s="32"/>
      <c r="E500" s="11"/>
      <c r="F500" t="str">
        <f>_xlfn.TEXTJOIN(", ",TRUE, Tabla38[[#This Row],[Tipo de escalera]],Tabla38[[#This Row],[Longitud]],Tabla38[[#This Row],[Carga Maxima]])</f>
        <v/>
      </c>
      <c r="G500" s="15"/>
      <c r="J500" s="15"/>
      <c r="K500" s="47"/>
      <c r="L500" s="76"/>
      <c r="M500" s="76"/>
      <c r="N500" s="78" t="str">
        <f>_xlfn.LET(
    _xlpm.itemBuscado, B500,
    _xlpm.areaBuscada, C500,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TEXT(COUNTIF($C$2:C500, _xlpm.areaBuscada), "0000"),
    _xlpm.codItem &amp; "-" &amp; _xlpm.codArea &amp; "-" &amp; _xlpm.secuencia
)</f>
        <v>-SinArea-0000</v>
      </c>
      <c r="O500" s="77"/>
      <c r="P500" s="32"/>
      <c r="Q500" s="32"/>
      <c r="R500" s="32"/>
      <c r="S500" s="32"/>
    </row>
    <row r="501" spans="3:19" x14ac:dyDescent="0.3">
      <c r="C501" s="11"/>
      <c r="D501" s="32"/>
      <c r="E501" s="11"/>
      <c r="F501" t="str">
        <f>_xlfn.TEXTJOIN(", ",TRUE, Tabla38[[#This Row],[Tipo de escalera]],Tabla38[[#This Row],[Longitud]],Tabla38[[#This Row],[Carga Maxima]])</f>
        <v/>
      </c>
      <c r="G501" s="15"/>
      <c r="J501" s="15"/>
      <c r="K501" s="47"/>
      <c r="L501" s="76"/>
      <c r="M501" s="76"/>
      <c r="N501" s="78" t="str">
        <f>_xlfn.LET(
    _xlpm.itemBuscado, B501,
    _xlpm.areaBuscada, C501,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TEXT(COUNTIF($C$2:C501, _xlpm.areaBuscada), "0000"),
    _xlpm.codItem &amp; "-" &amp; _xlpm.codArea &amp; "-" &amp; _xlpm.secuencia
)</f>
        <v>-SinArea-0000</v>
      </c>
      <c r="O501" s="77"/>
      <c r="P501" s="32"/>
      <c r="Q501" s="32"/>
      <c r="R501" s="32"/>
      <c r="S501" s="32"/>
    </row>
    <row r="502" spans="3:19" x14ac:dyDescent="0.3">
      <c r="C502" s="11"/>
      <c r="D502" s="32"/>
      <c r="E502" s="11"/>
      <c r="F502" t="str">
        <f>_xlfn.TEXTJOIN(", ",TRUE, Tabla38[[#This Row],[Tipo de escalera]],Tabla38[[#This Row],[Longitud]],Tabla38[[#This Row],[Carga Maxima]])</f>
        <v/>
      </c>
      <c r="G502" s="15"/>
      <c r="J502" s="15"/>
      <c r="K502" s="47"/>
      <c r="L502" s="76"/>
      <c r="M502" s="76"/>
      <c r="N502" s="78" t="str">
        <f>_xlfn.LET(
    _xlpm.itemBuscado, B502,
    _xlpm.areaBuscada, C502,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TEXT(COUNTIF($C$2:C502, _xlpm.areaBuscada), "0000"),
    _xlpm.codItem &amp; "-" &amp; _xlpm.codArea &amp; "-" &amp; _xlpm.secuencia
)</f>
        <v>-SinArea-0000</v>
      </c>
      <c r="O502" s="77"/>
      <c r="P502" s="32"/>
      <c r="Q502" s="32"/>
      <c r="R502" s="32"/>
      <c r="S502" s="32"/>
    </row>
    <row r="503" spans="3:19" x14ac:dyDescent="0.3">
      <c r="C503" s="11"/>
      <c r="D503" s="32"/>
      <c r="E503" s="11"/>
      <c r="F503" t="str">
        <f>_xlfn.TEXTJOIN(", ",TRUE, Tabla38[[#This Row],[Tipo de escalera]],Tabla38[[#This Row],[Longitud]],Tabla38[[#This Row],[Carga Maxima]])</f>
        <v/>
      </c>
      <c r="G503" s="15"/>
      <c r="J503" s="15"/>
      <c r="K503" s="47"/>
      <c r="L503" s="76"/>
      <c r="M503" s="76"/>
      <c r="N503" s="78" t="str">
        <f>_xlfn.LET(
    _xlpm.itemBuscado, B503,
    _xlpm.areaBuscada, C503,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TEXT(COUNTIF($C$2:C503, _xlpm.areaBuscada), "0000"),
    _xlpm.codItem &amp; "-" &amp; _xlpm.codArea &amp; "-" &amp; _xlpm.secuencia
)</f>
        <v>-SinArea-0000</v>
      </c>
      <c r="O503" s="77"/>
      <c r="P503" s="32"/>
      <c r="Q503" s="32"/>
      <c r="R503" s="32"/>
      <c r="S503" s="32"/>
    </row>
    <row r="504" spans="3:19" x14ac:dyDescent="0.3">
      <c r="C504" s="11"/>
      <c r="D504" s="32"/>
      <c r="E504" s="11"/>
      <c r="F504" t="str">
        <f>_xlfn.TEXTJOIN(", ",TRUE, Tabla38[[#This Row],[Tipo de escalera]],Tabla38[[#This Row],[Longitud]],Tabla38[[#This Row],[Carga Maxima]])</f>
        <v/>
      </c>
      <c r="G504" s="15"/>
      <c r="J504" s="15"/>
      <c r="K504" s="47"/>
      <c r="L504" s="76"/>
      <c r="M504" s="76"/>
      <c r="N504" s="78" t="str">
        <f>_xlfn.LET(
    _xlpm.itemBuscado, B504,
    _xlpm.areaBuscada, C504,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TEXT(COUNTIF($C$2:C504, _xlpm.areaBuscada), "0000"),
    _xlpm.codItem &amp; "-" &amp; _xlpm.codArea &amp; "-" &amp; _xlpm.secuencia
)</f>
        <v>-SinArea-0000</v>
      </c>
      <c r="O504" s="77"/>
      <c r="P504" s="32"/>
      <c r="Q504" s="32"/>
      <c r="R504" s="32"/>
      <c r="S504" s="32"/>
    </row>
    <row r="505" spans="3:19" x14ac:dyDescent="0.3">
      <c r="C505" s="11"/>
      <c r="D505" s="32"/>
      <c r="E505" s="11"/>
      <c r="F505" t="str">
        <f>_xlfn.TEXTJOIN(", ",TRUE, Tabla38[[#This Row],[Tipo de escalera]],Tabla38[[#This Row],[Longitud]],Tabla38[[#This Row],[Carga Maxima]])</f>
        <v/>
      </c>
      <c r="G505" s="15"/>
      <c r="J505" s="15"/>
      <c r="K505" s="47"/>
      <c r="L505" s="76"/>
      <c r="M505" s="76"/>
      <c r="N505" s="78" t="str">
        <f>_xlfn.LET(
    _xlpm.itemBuscado, B505,
    _xlpm.areaBuscada, C505,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TEXT(COUNTIF($C$2:C505, _xlpm.areaBuscada), "0000"),
    _xlpm.codItem &amp; "-" &amp; _xlpm.codArea &amp; "-" &amp; _xlpm.secuencia
)</f>
        <v>-SinArea-0000</v>
      </c>
      <c r="O505" s="77"/>
      <c r="P505" s="32"/>
      <c r="Q505" s="32"/>
      <c r="R505" s="32"/>
      <c r="S505" s="32"/>
    </row>
    <row r="506" spans="3:19" x14ac:dyDescent="0.3">
      <c r="C506" s="11"/>
      <c r="D506" s="32"/>
      <c r="E506" s="11"/>
      <c r="F506" t="str">
        <f>_xlfn.TEXTJOIN(", ",TRUE, Tabla38[[#This Row],[Tipo de escalera]],Tabla38[[#This Row],[Longitud]],Tabla38[[#This Row],[Carga Maxima]])</f>
        <v/>
      </c>
      <c r="G506" s="15"/>
      <c r="J506" s="15"/>
      <c r="K506" s="47"/>
      <c r="L506" s="76"/>
      <c r="M506" s="76"/>
      <c r="N506" s="78" t="str">
        <f>_xlfn.LET(
    _xlpm.itemBuscado, B506,
    _xlpm.areaBuscada, C506,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TEXT(COUNTIF($C$2:C506, _xlpm.areaBuscada), "0000"),
    _xlpm.codItem &amp; "-" &amp; _xlpm.codArea &amp; "-" &amp; _xlpm.secuencia
)</f>
        <v>-SinArea-0000</v>
      </c>
      <c r="O506" s="77"/>
      <c r="P506" s="32"/>
      <c r="Q506" s="32"/>
      <c r="R506" s="32"/>
      <c r="S506" s="32"/>
    </row>
    <row r="507" spans="3:19" x14ac:dyDescent="0.3">
      <c r="C507" s="11"/>
      <c r="D507" s="32"/>
      <c r="E507" s="11"/>
      <c r="F507" t="str">
        <f>_xlfn.TEXTJOIN(", ",TRUE, Tabla38[[#This Row],[Tipo de escalera]],Tabla38[[#This Row],[Longitud]],Tabla38[[#This Row],[Carga Maxima]])</f>
        <v/>
      </c>
      <c r="G507" s="15"/>
      <c r="J507" s="15"/>
      <c r="K507" s="47"/>
      <c r="L507" s="76"/>
      <c r="M507" s="76"/>
      <c r="N507" s="78" t="str">
        <f>_xlfn.LET(
    _xlpm.itemBuscado, B507,
    _xlpm.areaBuscada, C507,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TEXT(COUNTIF($C$2:C507, _xlpm.areaBuscada), "0000"),
    _xlpm.codItem &amp; "-" &amp; _xlpm.codArea &amp; "-" &amp; _xlpm.secuencia
)</f>
        <v>-SinArea-0000</v>
      </c>
      <c r="O507" s="77"/>
      <c r="P507" s="32"/>
      <c r="Q507" s="32"/>
      <c r="R507" s="32"/>
      <c r="S507" s="32"/>
    </row>
    <row r="508" spans="3:19" x14ac:dyDescent="0.3">
      <c r="C508" s="11"/>
      <c r="D508" s="32"/>
      <c r="E508" s="11"/>
      <c r="F508" t="str">
        <f>_xlfn.TEXTJOIN(", ",TRUE, Tabla38[[#This Row],[Tipo de escalera]],Tabla38[[#This Row],[Longitud]],Tabla38[[#This Row],[Carga Maxima]])</f>
        <v/>
      </c>
      <c r="G508" s="15"/>
      <c r="J508" s="15"/>
      <c r="K508" s="47"/>
      <c r="L508" s="76"/>
      <c r="M508" s="76"/>
      <c r="N508" s="78" t="str">
        <f>_xlfn.LET(
    _xlpm.itemBuscado, B508,
    _xlpm.areaBuscada, C508,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TEXT(COUNTIF($C$2:C508, _xlpm.areaBuscada), "0000"),
    _xlpm.codItem &amp; "-" &amp; _xlpm.codArea &amp; "-" &amp; _xlpm.secuencia
)</f>
        <v>-SinArea-0000</v>
      </c>
      <c r="O508" s="77"/>
      <c r="P508" s="32"/>
      <c r="Q508" s="32"/>
      <c r="R508" s="32"/>
      <c r="S508" s="32"/>
    </row>
    <row r="509" spans="3:19" x14ac:dyDescent="0.3">
      <c r="C509" s="11"/>
      <c r="D509" s="32"/>
      <c r="E509" s="11"/>
      <c r="F509" t="str">
        <f>_xlfn.TEXTJOIN(", ",TRUE, Tabla38[[#This Row],[Tipo de escalera]],Tabla38[[#This Row],[Longitud]],Tabla38[[#This Row],[Carga Maxima]])</f>
        <v/>
      </c>
      <c r="G509" s="15"/>
      <c r="J509" s="15"/>
      <c r="K509" s="47"/>
      <c r="L509" s="76"/>
      <c r="M509" s="76"/>
      <c r="N509" s="78" t="str">
        <f>_xlfn.LET(
    _xlpm.itemBuscado, B509,
    _xlpm.areaBuscada, C509,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TEXT(COUNTIF($C$2:C509, _xlpm.areaBuscada), "0000"),
    _xlpm.codItem &amp; "-" &amp; _xlpm.codArea &amp; "-" &amp; _xlpm.secuencia
)</f>
        <v>-SinArea-0000</v>
      </c>
      <c r="O509" s="77"/>
      <c r="P509" s="32"/>
      <c r="Q509" s="32"/>
      <c r="R509" s="32"/>
      <c r="S509" s="32"/>
    </row>
    <row r="510" spans="3:19" x14ac:dyDescent="0.3">
      <c r="C510" s="11"/>
      <c r="D510" s="32"/>
      <c r="E510" s="11"/>
      <c r="F510" t="str">
        <f>_xlfn.TEXTJOIN(", ",TRUE, Tabla38[[#This Row],[Tipo de escalera]],Tabla38[[#This Row],[Longitud]],Tabla38[[#This Row],[Carga Maxima]])</f>
        <v/>
      </c>
      <c r="G510" s="15"/>
      <c r="J510" s="15"/>
      <c r="K510" s="47"/>
      <c r="L510" s="76"/>
      <c r="M510" s="76"/>
      <c r="N510" s="78" t="str">
        <f>_xlfn.LET(
    _xlpm.itemBuscado, B510,
    _xlpm.areaBuscada, C510,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TEXT(COUNTIF($C$2:C510, _xlpm.areaBuscada), "0000"),
    _xlpm.codItem &amp; "-" &amp; _xlpm.codArea &amp; "-" &amp; _xlpm.secuencia
)</f>
        <v>-SinArea-0000</v>
      </c>
      <c r="O510" s="77"/>
      <c r="P510" s="32"/>
      <c r="Q510" s="32"/>
      <c r="R510" s="32"/>
      <c r="S510" s="32"/>
    </row>
    <row r="511" spans="3:19" x14ac:dyDescent="0.3">
      <c r="C511" s="11"/>
      <c r="D511" s="32"/>
      <c r="E511" s="11"/>
      <c r="F511" t="str">
        <f>_xlfn.TEXTJOIN(", ",TRUE, Tabla38[[#This Row],[Tipo de escalera]],Tabla38[[#This Row],[Longitud]],Tabla38[[#This Row],[Carga Maxima]])</f>
        <v/>
      </c>
      <c r="G511" s="15"/>
      <c r="J511" s="15"/>
      <c r="K511" s="47"/>
      <c r="L511" s="76"/>
      <c r="M511" s="76"/>
      <c r="N511" s="78" t="str">
        <f>_xlfn.LET(
    _xlpm.itemBuscado, B511,
    _xlpm.areaBuscada, C511,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TEXT(COUNTIF($C$2:C511, _xlpm.areaBuscada), "0000"),
    _xlpm.codItem &amp; "-" &amp; _xlpm.codArea &amp; "-" &amp; _xlpm.secuencia
)</f>
        <v>-SinArea-0000</v>
      </c>
      <c r="O511" s="77"/>
      <c r="P511" s="32"/>
      <c r="Q511" s="32"/>
      <c r="R511" s="32"/>
      <c r="S511" s="32"/>
    </row>
    <row r="512" spans="3:19" x14ac:dyDescent="0.3">
      <c r="C512" s="11"/>
      <c r="D512" s="32"/>
      <c r="E512" s="11"/>
      <c r="F512" t="str">
        <f>_xlfn.TEXTJOIN(", ",TRUE, Tabla38[[#This Row],[Tipo de escalera]],Tabla38[[#This Row],[Longitud]],Tabla38[[#This Row],[Carga Maxima]])</f>
        <v/>
      </c>
      <c r="G512" s="15"/>
      <c r="J512" s="15"/>
      <c r="K512" s="47"/>
      <c r="L512" s="76"/>
      <c r="M512" s="76"/>
      <c r="N512" s="78" t="str">
        <f>_xlfn.LET(
    _xlpm.itemBuscado, B512,
    _xlpm.areaBuscada, C512,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TEXT(COUNTIF($C$2:C512, _xlpm.areaBuscada), "0000"),
    _xlpm.codItem &amp; "-" &amp; _xlpm.codArea &amp; "-" &amp; _xlpm.secuencia
)</f>
        <v>-SinArea-0000</v>
      </c>
      <c r="O512" s="77"/>
      <c r="P512" s="32"/>
      <c r="Q512" s="32"/>
      <c r="R512" s="32"/>
      <c r="S512" s="32"/>
    </row>
    <row r="513" spans="3:19" x14ac:dyDescent="0.3">
      <c r="C513" s="11"/>
      <c r="D513" s="32"/>
      <c r="E513" s="11"/>
      <c r="F513" t="str">
        <f>_xlfn.TEXTJOIN(", ",TRUE, Tabla38[[#This Row],[Tipo de escalera]],Tabla38[[#This Row],[Longitud]],Tabla38[[#This Row],[Carga Maxima]])</f>
        <v/>
      </c>
      <c r="G513" s="15"/>
      <c r="J513" s="15"/>
      <c r="K513" s="47"/>
      <c r="L513" s="76"/>
      <c r="M513" s="76"/>
      <c r="N513" s="78" t="str">
        <f>_xlfn.LET(
    _xlpm.itemBuscado, B513,
    _xlpm.areaBuscada, C513,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TEXT(COUNTIF($C$2:C513, _xlpm.areaBuscada), "0000"),
    _xlpm.codItem &amp; "-" &amp; _xlpm.codArea &amp; "-" &amp; _xlpm.secuencia
)</f>
        <v>-SinArea-0000</v>
      </c>
      <c r="O513" s="77"/>
      <c r="P513" s="32"/>
      <c r="Q513" s="32"/>
      <c r="R513" s="32"/>
      <c r="S513" s="32"/>
    </row>
    <row r="514" spans="3:19" x14ac:dyDescent="0.3">
      <c r="C514" s="11"/>
      <c r="D514" s="32"/>
      <c r="E514" s="11"/>
      <c r="F514" t="str">
        <f>_xlfn.TEXTJOIN(", ",TRUE, Tabla38[[#This Row],[Tipo de escalera]],Tabla38[[#This Row],[Longitud]],Tabla38[[#This Row],[Carga Maxima]])</f>
        <v/>
      </c>
      <c r="G514" s="15"/>
      <c r="J514" s="15"/>
      <c r="K514" s="47"/>
      <c r="L514" s="76"/>
      <c r="M514" s="76"/>
      <c r="N514" s="78" t="str">
        <f>_xlfn.LET(
    _xlpm.itemBuscado, B514,
    _xlpm.areaBuscada, C514,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TEXT(COUNTIF($C$2:C514, _xlpm.areaBuscada), "0000"),
    _xlpm.codItem &amp; "-" &amp; _xlpm.codArea &amp; "-" &amp; _xlpm.secuencia
)</f>
        <v>-SinArea-0000</v>
      </c>
      <c r="O514" s="77"/>
      <c r="P514" s="32"/>
      <c r="Q514" s="32"/>
      <c r="R514" s="32"/>
      <c r="S514" s="32"/>
    </row>
    <row r="515" spans="3:19" x14ac:dyDescent="0.3">
      <c r="C515" s="11"/>
      <c r="D515" s="32"/>
      <c r="E515" s="11"/>
      <c r="F515" t="str">
        <f>_xlfn.TEXTJOIN(", ",TRUE, Tabla38[[#This Row],[Tipo de escalera]],Tabla38[[#This Row],[Longitud]],Tabla38[[#This Row],[Carga Maxima]])</f>
        <v/>
      </c>
      <c r="G515" s="15"/>
      <c r="J515" s="15"/>
      <c r="K515" s="47"/>
      <c r="L515" s="76"/>
      <c r="M515" s="76"/>
      <c r="N515" s="78" t="str">
        <f>_xlfn.LET(
    _xlpm.itemBuscado, B515,
    _xlpm.areaBuscada, C515,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TEXT(COUNTIF($C$2:C515, _xlpm.areaBuscada), "0000"),
    _xlpm.codItem &amp; "-" &amp; _xlpm.codArea &amp; "-" &amp; _xlpm.secuencia
)</f>
        <v>-SinArea-0000</v>
      </c>
      <c r="O515" s="77"/>
      <c r="P515" s="32"/>
      <c r="Q515" s="32"/>
      <c r="R515" s="32"/>
      <c r="S515" s="32"/>
    </row>
    <row r="516" spans="3:19" x14ac:dyDescent="0.3">
      <c r="C516" s="11"/>
      <c r="D516" s="32"/>
      <c r="E516" s="11"/>
      <c r="F516" t="str">
        <f>_xlfn.TEXTJOIN(", ",TRUE, Tabla38[[#This Row],[Tipo de escalera]],Tabla38[[#This Row],[Longitud]],Tabla38[[#This Row],[Carga Maxima]])</f>
        <v/>
      </c>
      <c r="G516" s="15"/>
      <c r="J516" s="15"/>
      <c r="K516" s="47"/>
      <c r="L516" s="76"/>
      <c r="M516" s="76"/>
      <c r="N516" s="78" t="str">
        <f>_xlfn.LET(
    _xlpm.itemBuscado, B516,
    _xlpm.areaBuscada, C516,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TEXT(COUNTIF($C$2:C516, _xlpm.areaBuscada), "0000"),
    _xlpm.codItem &amp; "-" &amp; _xlpm.codArea &amp; "-" &amp; _xlpm.secuencia
)</f>
        <v>-SinArea-0000</v>
      </c>
      <c r="O516" s="77"/>
      <c r="P516" s="32"/>
      <c r="Q516" s="32"/>
      <c r="R516" s="32"/>
      <c r="S516" s="32"/>
    </row>
    <row r="517" spans="3:19" x14ac:dyDescent="0.3">
      <c r="C517" s="11"/>
      <c r="D517" s="32"/>
      <c r="E517" s="11"/>
      <c r="F517" t="str">
        <f>_xlfn.TEXTJOIN(", ",TRUE, Tabla38[[#This Row],[Tipo de escalera]],Tabla38[[#This Row],[Longitud]],Tabla38[[#This Row],[Carga Maxima]])</f>
        <v/>
      </c>
      <c r="G517" s="15"/>
      <c r="J517" s="15"/>
      <c r="K517" s="47"/>
      <c r="L517" s="76"/>
      <c r="M517" s="76"/>
      <c r="N517" s="78" t="str">
        <f>_xlfn.LET(
    _xlpm.itemBuscado, B517,
    _xlpm.areaBuscada, C517,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TEXT(COUNTIF($C$2:C517, _xlpm.areaBuscada), "0000"),
    _xlpm.codItem &amp; "-" &amp; _xlpm.codArea &amp; "-" &amp; _xlpm.secuencia
)</f>
        <v>-SinArea-0000</v>
      </c>
      <c r="O517" s="77"/>
      <c r="P517" s="32"/>
      <c r="Q517" s="32"/>
      <c r="R517" s="32"/>
      <c r="S517" s="32"/>
    </row>
    <row r="518" spans="3:19" x14ac:dyDescent="0.3">
      <c r="C518" s="11"/>
      <c r="D518" s="32"/>
      <c r="E518" s="11"/>
      <c r="F518" t="str">
        <f>_xlfn.TEXTJOIN(", ",TRUE, Tabla38[[#This Row],[Tipo de escalera]],Tabla38[[#This Row],[Longitud]],Tabla38[[#This Row],[Carga Maxima]])</f>
        <v/>
      </c>
      <c r="G518" s="15"/>
      <c r="J518" s="15"/>
      <c r="K518" s="47"/>
      <c r="L518" s="76"/>
      <c r="M518" s="76"/>
      <c r="N518" s="78" t="str">
        <f>_xlfn.LET(
    _xlpm.itemBuscado, B518,
    _xlpm.areaBuscada, C518,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TEXT(COUNTIF($C$2:C518, _xlpm.areaBuscada), "0000"),
    _xlpm.codItem &amp; "-" &amp; _xlpm.codArea &amp; "-" &amp; _xlpm.secuencia
)</f>
        <v>-SinArea-0000</v>
      </c>
      <c r="O518" s="77"/>
      <c r="P518" s="32"/>
      <c r="Q518" s="32"/>
      <c r="R518" s="32"/>
      <c r="S518" s="32"/>
    </row>
    <row r="519" spans="3:19" x14ac:dyDescent="0.3">
      <c r="C519" s="11"/>
      <c r="D519" s="32"/>
      <c r="E519" s="11"/>
      <c r="F519" t="str">
        <f>_xlfn.TEXTJOIN(", ",TRUE, Tabla38[[#This Row],[Tipo de escalera]],Tabla38[[#This Row],[Longitud]],Tabla38[[#This Row],[Carga Maxima]])</f>
        <v/>
      </c>
      <c r="G519" s="15"/>
      <c r="J519" s="15"/>
      <c r="K519" s="47"/>
      <c r="L519" s="76"/>
      <c r="M519" s="76"/>
      <c r="N519" s="78" t="str">
        <f>_xlfn.LET(
    _xlpm.itemBuscado, B519,
    _xlpm.areaBuscada, C519,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TEXT(COUNTIF($C$2:C519, _xlpm.areaBuscada), "0000"),
    _xlpm.codItem &amp; "-" &amp; _xlpm.codArea &amp; "-" &amp; _xlpm.secuencia
)</f>
        <v>-SinArea-0000</v>
      </c>
      <c r="O519" s="77"/>
      <c r="P519" s="32"/>
      <c r="Q519" s="32"/>
      <c r="R519" s="32"/>
      <c r="S519" s="32"/>
    </row>
    <row r="520" spans="3:19" x14ac:dyDescent="0.3">
      <c r="C520" s="11"/>
      <c r="D520" s="32"/>
      <c r="E520" s="11"/>
      <c r="F520" t="str">
        <f>_xlfn.TEXTJOIN(", ",TRUE, Tabla38[[#This Row],[Tipo de escalera]],Tabla38[[#This Row],[Longitud]],Tabla38[[#This Row],[Carga Maxima]])</f>
        <v/>
      </c>
      <c r="G520" s="15"/>
      <c r="J520" s="15"/>
      <c r="K520" s="47"/>
      <c r="L520" s="76"/>
      <c r="M520" s="76"/>
      <c r="N520" s="78" t="str">
        <f>_xlfn.LET(
    _xlpm.itemBuscado, B520,
    _xlpm.areaBuscada, C520,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TEXT(COUNTIF($C$2:C520, _xlpm.areaBuscada), "0000"),
    _xlpm.codItem &amp; "-" &amp; _xlpm.codArea &amp; "-" &amp; _xlpm.secuencia
)</f>
        <v>-SinArea-0000</v>
      </c>
      <c r="O520" s="77"/>
      <c r="P520" s="32"/>
      <c r="Q520" s="32"/>
      <c r="R520" s="32"/>
      <c r="S520" s="32"/>
    </row>
    <row r="521" spans="3:19" x14ac:dyDescent="0.3">
      <c r="C521" s="11"/>
      <c r="D521" s="32"/>
      <c r="E521" s="11"/>
      <c r="F521" t="str">
        <f>_xlfn.TEXTJOIN(", ",TRUE, Tabla38[[#This Row],[Tipo de escalera]],Tabla38[[#This Row],[Longitud]],Tabla38[[#This Row],[Carga Maxima]])</f>
        <v/>
      </c>
      <c r="G521" s="15"/>
      <c r="J521" s="15"/>
      <c r="K521" s="47"/>
      <c r="L521" s="76"/>
      <c r="M521" s="76"/>
      <c r="N521" s="78" t="str">
        <f>_xlfn.LET(
    _xlpm.itemBuscado, B521,
    _xlpm.areaBuscada, C521,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TEXT(COUNTIF($C$2:C521, _xlpm.areaBuscada), "0000"),
    _xlpm.codItem &amp; "-" &amp; _xlpm.codArea &amp; "-" &amp; _xlpm.secuencia
)</f>
        <v>-SinArea-0000</v>
      </c>
      <c r="O521" s="77"/>
      <c r="P521" s="32"/>
      <c r="Q521" s="32"/>
      <c r="R521" s="32"/>
      <c r="S521" s="32"/>
    </row>
    <row r="522" spans="3:19" x14ac:dyDescent="0.3">
      <c r="C522" s="11"/>
      <c r="D522" s="32"/>
      <c r="E522" s="11"/>
      <c r="F522" t="str">
        <f>_xlfn.TEXTJOIN(", ",TRUE, Tabla38[[#This Row],[Tipo de escalera]],Tabla38[[#This Row],[Longitud]],Tabla38[[#This Row],[Carga Maxima]])</f>
        <v/>
      </c>
      <c r="G522" s="15"/>
      <c r="J522" s="15"/>
      <c r="K522" s="47"/>
      <c r="L522" s="76"/>
      <c r="M522" s="76"/>
      <c r="N522" s="78" t="str">
        <f>_xlfn.LET(
    _xlpm.itemBuscado, B522,
    _xlpm.areaBuscada, C522,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TEXT(COUNTIF($C$2:C522, _xlpm.areaBuscada), "0000"),
    _xlpm.codItem &amp; "-" &amp; _xlpm.codArea &amp; "-" &amp; _xlpm.secuencia
)</f>
        <v>-SinArea-0000</v>
      </c>
      <c r="O522" s="77"/>
      <c r="P522" s="32"/>
      <c r="Q522" s="32"/>
      <c r="R522" s="32"/>
      <c r="S522" s="32"/>
    </row>
    <row r="523" spans="3:19" x14ac:dyDescent="0.3">
      <c r="C523" s="11"/>
      <c r="D523" s="32"/>
      <c r="E523" s="11"/>
      <c r="F523" t="str">
        <f>_xlfn.TEXTJOIN(", ",TRUE, Tabla38[[#This Row],[Tipo de escalera]],Tabla38[[#This Row],[Longitud]],Tabla38[[#This Row],[Carga Maxima]])</f>
        <v/>
      </c>
      <c r="G523" s="15"/>
      <c r="J523" s="15"/>
      <c r="K523" s="47"/>
      <c r="L523" s="76"/>
      <c r="M523" s="76"/>
      <c r="N523" s="78" t="str">
        <f>_xlfn.LET(
    _xlpm.itemBuscado, B523,
    _xlpm.areaBuscada, C523,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TEXT(COUNTIF($C$2:C523, _xlpm.areaBuscada), "0000"),
    _xlpm.codItem &amp; "-" &amp; _xlpm.codArea &amp; "-" &amp; _xlpm.secuencia
)</f>
        <v>-SinArea-0000</v>
      </c>
      <c r="O523" s="77"/>
      <c r="P523" s="32"/>
      <c r="Q523" s="32"/>
      <c r="R523" s="32"/>
      <c r="S523" s="32"/>
    </row>
    <row r="524" spans="3:19" x14ac:dyDescent="0.3">
      <c r="C524" s="11"/>
      <c r="D524" s="32"/>
      <c r="E524" s="11"/>
      <c r="F524" t="str">
        <f>_xlfn.TEXTJOIN(", ",TRUE, Tabla38[[#This Row],[Tipo de escalera]],Tabla38[[#This Row],[Longitud]],Tabla38[[#This Row],[Carga Maxima]])</f>
        <v/>
      </c>
      <c r="G524" s="15"/>
      <c r="J524" s="15"/>
      <c r="K524" s="47"/>
      <c r="L524" s="76"/>
      <c r="M524" s="76"/>
      <c r="N524" s="78" t="str">
        <f>_xlfn.LET(
    _xlpm.itemBuscado, B524,
    _xlpm.areaBuscada, C524,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TEXT(COUNTIF($C$2:C524, _xlpm.areaBuscada), "0000"),
    _xlpm.codItem &amp; "-" &amp; _xlpm.codArea &amp; "-" &amp; _xlpm.secuencia
)</f>
        <v>-SinArea-0000</v>
      </c>
      <c r="O524" s="77"/>
      <c r="P524" s="32"/>
      <c r="Q524" s="32"/>
      <c r="R524" s="32"/>
      <c r="S524" s="32"/>
    </row>
    <row r="525" spans="3:19" x14ac:dyDescent="0.3">
      <c r="C525" s="11"/>
      <c r="D525" s="32"/>
      <c r="E525" s="11"/>
      <c r="F525" t="str">
        <f>_xlfn.TEXTJOIN(", ",TRUE, Tabla38[[#This Row],[Tipo de escalera]],Tabla38[[#This Row],[Longitud]],Tabla38[[#This Row],[Carga Maxima]])</f>
        <v/>
      </c>
      <c r="G525" s="15"/>
      <c r="J525" s="15"/>
      <c r="K525" s="47"/>
      <c r="L525" s="76"/>
      <c r="M525" s="76"/>
      <c r="N525" s="78" t="str">
        <f>_xlfn.LET(
    _xlpm.itemBuscado, B525,
    _xlpm.areaBuscada, C525,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TEXT(COUNTIF($C$2:C525, _xlpm.areaBuscada), "0000"),
    _xlpm.codItem &amp; "-" &amp; _xlpm.codArea &amp; "-" &amp; _xlpm.secuencia
)</f>
        <v>-SinArea-0000</v>
      </c>
      <c r="O525" s="77"/>
      <c r="P525" s="32"/>
      <c r="Q525" s="32"/>
      <c r="R525" s="32"/>
      <c r="S525" s="32"/>
    </row>
    <row r="526" spans="3:19" x14ac:dyDescent="0.3">
      <c r="C526" s="11"/>
      <c r="D526" s="32"/>
      <c r="E526" s="11"/>
      <c r="F526" t="str">
        <f>_xlfn.TEXTJOIN(", ",TRUE, Tabla38[[#This Row],[Tipo de escalera]],Tabla38[[#This Row],[Longitud]],Tabla38[[#This Row],[Carga Maxima]])</f>
        <v/>
      </c>
      <c r="G526" s="15"/>
      <c r="J526" s="15"/>
      <c r="K526" s="47"/>
      <c r="L526" s="76"/>
      <c r="M526" s="76"/>
      <c r="N526" s="78" t="str">
        <f>_xlfn.LET(
    _xlpm.itemBuscado, B526,
    _xlpm.areaBuscada, C526,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TEXT(COUNTIF($C$2:C526, _xlpm.areaBuscada), "0000"),
    _xlpm.codItem &amp; "-" &amp; _xlpm.codArea &amp; "-" &amp; _xlpm.secuencia
)</f>
        <v>-SinArea-0000</v>
      </c>
      <c r="O526" s="77"/>
      <c r="P526" s="32"/>
      <c r="Q526" s="32"/>
      <c r="R526" s="32"/>
      <c r="S526" s="32"/>
    </row>
    <row r="527" spans="3:19" x14ac:dyDescent="0.3">
      <c r="C527" s="11"/>
      <c r="D527" s="32"/>
      <c r="E527" s="11"/>
      <c r="F527" t="str">
        <f>_xlfn.TEXTJOIN(", ",TRUE, Tabla38[[#This Row],[Tipo de escalera]],Tabla38[[#This Row],[Longitud]],Tabla38[[#This Row],[Carga Maxima]])</f>
        <v/>
      </c>
      <c r="G527" s="15"/>
      <c r="J527" s="15"/>
      <c r="K527" s="47"/>
      <c r="L527" s="76"/>
      <c r="M527" s="76"/>
      <c r="N527" s="78" t="str">
        <f>_xlfn.LET(
    _xlpm.itemBuscado, B527,
    _xlpm.areaBuscada, C527,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TEXT(COUNTIF($C$2:C527, _xlpm.areaBuscada), "0000"),
    _xlpm.codItem &amp; "-" &amp; _xlpm.codArea &amp; "-" &amp; _xlpm.secuencia
)</f>
        <v>-SinArea-0000</v>
      </c>
      <c r="O527" s="77"/>
      <c r="P527" s="32"/>
      <c r="Q527" s="32"/>
      <c r="R527" s="32"/>
      <c r="S527" s="32"/>
    </row>
    <row r="528" spans="3:19" x14ac:dyDescent="0.3">
      <c r="C528" s="11"/>
      <c r="D528" s="32"/>
      <c r="E528" s="11"/>
      <c r="F528" t="str">
        <f>_xlfn.TEXTJOIN(", ",TRUE, Tabla38[[#This Row],[Tipo de escalera]],Tabla38[[#This Row],[Longitud]],Tabla38[[#This Row],[Carga Maxima]])</f>
        <v/>
      </c>
      <c r="G528" s="15"/>
      <c r="J528" s="15"/>
      <c r="K528" s="47"/>
      <c r="L528" s="76"/>
      <c r="M528" s="76"/>
      <c r="N528" s="78" t="str">
        <f>_xlfn.LET(
    _xlpm.itemBuscado, B528,
    _xlpm.areaBuscada, C528,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TEXT(COUNTIF($C$2:C528, _xlpm.areaBuscada), "0000"),
    _xlpm.codItem &amp; "-" &amp; _xlpm.codArea &amp; "-" &amp; _xlpm.secuencia
)</f>
        <v>-SinArea-0000</v>
      </c>
      <c r="O528" s="77"/>
      <c r="P528" s="32"/>
      <c r="Q528" s="32"/>
      <c r="R528" s="32"/>
      <c r="S528" s="32"/>
    </row>
    <row r="529" spans="3:19" x14ac:dyDescent="0.3">
      <c r="C529" s="11"/>
      <c r="D529" s="32"/>
      <c r="E529" s="11"/>
      <c r="F529" t="str">
        <f>_xlfn.TEXTJOIN(", ",TRUE, Tabla38[[#This Row],[Tipo de escalera]],Tabla38[[#This Row],[Longitud]],Tabla38[[#This Row],[Carga Maxima]])</f>
        <v/>
      </c>
      <c r="G529" s="15"/>
      <c r="J529" s="15"/>
      <c r="K529" s="47"/>
      <c r="L529" s="76"/>
      <c r="M529" s="76"/>
      <c r="N529" s="78" t="str">
        <f>_xlfn.LET(
    _xlpm.itemBuscado, B529,
    _xlpm.areaBuscada, C529,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TEXT(COUNTIF($C$2:C529, _xlpm.areaBuscada), "0000"),
    _xlpm.codItem &amp; "-" &amp; _xlpm.codArea &amp; "-" &amp; _xlpm.secuencia
)</f>
        <v>-SinArea-0000</v>
      </c>
      <c r="O529" s="77"/>
      <c r="P529" s="32"/>
      <c r="Q529" s="32"/>
      <c r="R529" s="32"/>
      <c r="S529" s="32"/>
    </row>
    <row r="530" spans="3:19" x14ac:dyDescent="0.3">
      <c r="C530" s="11"/>
      <c r="D530" s="32"/>
      <c r="E530" s="11"/>
      <c r="F530" t="str">
        <f>_xlfn.TEXTJOIN(", ",TRUE, Tabla38[[#This Row],[Tipo de escalera]],Tabla38[[#This Row],[Longitud]],Tabla38[[#This Row],[Carga Maxima]])</f>
        <v/>
      </c>
      <c r="G530" s="15"/>
      <c r="J530" s="15"/>
      <c r="K530" s="47"/>
      <c r="L530" s="76"/>
      <c r="M530" s="76"/>
      <c r="N530" s="78" t="str">
        <f>_xlfn.LET(
    _xlpm.itemBuscado, B530,
    _xlpm.areaBuscada, C530,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TEXT(COUNTIF($C$2:C530, _xlpm.areaBuscada), "0000"),
    _xlpm.codItem &amp; "-" &amp; _xlpm.codArea &amp; "-" &amp; _xlpm.secuencia
)</f>
        <v>-SinArea-0000</v>
      </c>
      <c r="O530" s="77"/>
      <c r="P530" s="32"/>
      <c r="Q530" s="32"/>
      <c r="R530" s="32"/>
      <c r="S530" s="32"/>
    </row>
    <row r="531" spans="3:19" x14ac:dyDescent="0.3">
      <c r="C531" s="11"/>
      <c r="D531" s="32"/>
      <c r="E531" s="11"/>
      <c r="F531" t="str">
        <f>_xlfn.TEXTJOIN(", ",TRUE, Tabla38[[#This Row],[Tipo de escalera]],Tabla38[[#This Row],[Longitud]],Tabla38[[#This Row],[Carga Maxima]])</f>
        <v/>
      </c>
      <c r="G531" s="15"/>
      <c r="J531" s="15"/>
      <c r="K531" s="47"/>
      <c r="L531" s="76"/>
      <c r="M531" s="76"/>
      <c r="N531" s="78" t="str">
        <f>_xlfn.LET(
    _xlpm.itemBuscado, B531,
    _xlpm.areaBuscada, C531,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TEXT(COUNTIF($C$2:C531, _xlpm.areaBuscada), "0000"),
    _xlpm.codItem &amp; "-" &amp; _xlpm.codArea &amp; "-" &amp; _xlpm.secuencia
)</f>
        <v>-SinArea-0000</v>
      </c>
      <c r="O531" s="77"/>
      <c r="P531" s="32"/>
      <c r="Q531" s="32"/>
      <c r="R531" s="32"/>
      <c r="S531" s="32"/>
    </row>
    <row r="532" spans="3:19" x14ac:dyDescent="0.3">
      <c r="C532" s="11"/>
      <c r="D532" s="32"/>
      <c r="E532" s="11"/>
      <c r="F532" t="str">
        <f>_xlfn.TEXTJOIN(", ",TRUE, Tabla38[[#This Row],[Tipo de escalera]],Tabla38[[#This Row],[Longitud]],Tabla38[[#This Row],[Carga Maxima]])</f>
        <v/>
      </c>
      <c r="G532" s="15"/>
      <c r="J532" s="15"/>
      <c r="K532" s="47"/>
      <c r="L532" s="76"/>
      <c r="M532" s="76"/>
      <c r="N532" s="78" t="str">
        <f>_xlfn.LET(
    _xlpm.itemBuscado, B532,
    _xlpm.areaBuscada, C532,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TEXT(COUNTIF($C$2:C532, _xlpm.areaBuscada), "0000"),
    _xlpm.codItem &amp; "-" &amp; _xlpm.codArea &amp; "-" &amp; _xlpm.secuencia
)</f>
        <v>-SinArea-0000</v>
      </c>
      <c r="O532" s="77"/>
      <c r="P532" s="32"/>
      <c r="Q532" s="32"/>
      <c r="R532" s="32"/>
      <c r="S532" s="32"/>
    </row>
    <row r="533" spans="3:19" x14ac:dyDescent="0.3">
      <c r="C533" s="11"/>
      <c r="D533" s="32"/>
      <c r="E533" s="11"/>
      <c r="F533" t="str">
        <f>_xlfn.TEXTJOIN(", ",TRUE, Tabla38[[#This Row],[Tipo de escalera]],Tabla38[[#This Row],[Longitud]],Tabla38[[#This Row],[Carga Maxima]])</f>
        <v/>
      </c>
      <c r="G533" s="15"/>
      <c r="J533" s="15"/>
      <c r="K533" s="47"/>
      <c r="L533" s="76"/>
      <c r="M533" s="76"/>
      <c r="N533" s="78" t="str">
        <f>_xlfn.LET(
    _xlpm.itemBuscado, B533,
    _xlpm.areaBuscada, C533,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TEXT(COUNTIF($C$2:C533, _xlpm.areaBuscada), "0000"),
    _xlpm.codItem &amp; "-" &amp; _xlpm.codArea &amp; "-" &amp; _xlpm.secuencia
)</f>
        <v>-SinArea-0000</v>
      </c>
      <c r="O533" s="77"/>
      <c r="P533" s="32"/>
      <c r="Q533" s="32"/>
      <c r="R533" s="32"/>
      <c r="S533" s="32"/>
    </row>
    <row r="534" spans="3:19" x14ac:dyDescent="0.3">
      <c r="C534" s="11"/>
      <c r="D534" s="32"/>
      <c r="E534" s="11"/>
      <c r="F534" t="str">
        <f>_xlfn.TEXTJOIN(", ",TRUE, Tabla38[[#This Row],[Tipo de escalera]],Tabla38[[#This Row],[Longitud]],Tabla38[[#This Row],[Carga Maxima]])</f>
        <v/>
      </c>
      <c r="G534" s="15"/>
      <c r="J534" s="15"/>
      <c r="K534" s="78"/>
      <c r="L534" s="76"/>
      <c r="M534" s="76"/>
      <c r="N534" s="78" t="str">
        <f>_xlfn.LET(
    _xlpm.itemBuscado, B534,
    _xlpm.areaBuscada, C534,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TEXT(COUNTIF($C$2:C534, _xlpm.areaBuscada), "0000"),
    _xlpm.codItem &amp; "-" &amp; _xlpm.codArea &amp; "-" &amp; _xlpm.secuencia
)</f>
        <v>-SinArea-0000</v>
      </c>
      <c r="O534" s="77"/>
      <c r="P534" s="32"/>
      <c r="Q534" s="32"/>
      <c r="R534" s="32"/>
      <c r="S534" s="32"/>
    </row>
    <row r="535" spans="3:19" x14ac:dyDescent="0.3">
      <c r="C535" s="11"/>
      <c r="D535" s="32"/>
      <c r="E535" s="11"/>
      <c r="F535" t="str">
        <f>_xlfn.TEXTJOIN(", ",TRUE, Tabla38[[#This Row],[Tipo de escalera]],Tabla38[[#This Row],[Longitud]],Tabla38[[#This Row],[Carga Maxima]])</f>
        <v/>
      </c>
      <c r="G535" s="15"/>
      <c r="J535" s="15"/>
      <c r="K535" s="47"/>
      <c r="L535" s="76"/>
      <c r="M535" s="76"/>
      <c r="N535" s="78" t="str">
        <f>_xlfn.LET(
    _xlpm.itemBuscado, B535,
    _xlpm.areaBuscada, C535,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TEXT(COUNTIF($C$2:C535, _xlpm.areaBuscada), "0000"),
    _xlpm.codItem &amp; "-" &amp; _xlpm.codArea &amp; "-" &amp; _xlpm.secuencia
)</f>
        <v>-SinArea-0000</v>
      </c>
      <c r="O535" s="77"/>
      <c r="P535" s="32"/>
      <c r="Q535" s="32"/>
      <c r="R535" s="32"/>
      <c r="S535" s="32"/>
    </row>
    <row r="536" spans="3:19" x14ac:dyDescent="0.3">
      <c r="C536" s="11"/>
      <c r="D536" s="32"/>
      <c r="E536" s="11"/>
      <c r="F536" t="str">
        <f>_xlfn.TEXTJOIN(", ",TRUE, Tabla38[[#This Row],[Tipo de escalera]],Tabla38[[#This Row],[Longitud]],Tabla38[[#This Row],[Carga Maxima]])</f>
        <v/>
      </c>
      <c r="G536" s="15"/>
      <c r="J536" s="15"/>
      <c r="K536" s="47"/>
      <c r="L536" s="76"/>
      <c r="M536" s="76"/>
      <c r="N536" s="78" t="str">
        <f>_xlfn.LET(
    _xlpm.itemBuscado, B536,
    _xlpm.areaBuscada, C536,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TEXT(COUNTIF($C$2:C536, _xlpm.areaBuscada), "0000"),
    _xlpm.codItem &amp; "-" &amp; _xlpm.codArea &amp; "-" &amp; _xlpm.secuencia
)</f>
        <v>-SinArea-0000</v>
      </c>
      <c r="O536" s="77"/>
      <c r="P536" s="32"/>
      <c r="Q536" s="32"/>
      <c r="R536" s="32"/>
      <c r="S536" s="32"/>
    </row>
    <row r="537" spans="3:19" x14ac:dyDescent="0.3">
      <c r="C537" s="11"/>
      <c r="D537" s="32"/>
      <c r="E537" s="11"/>
      <c r="F537" t="str">
        <f>_xlfn.TEXTJOIN(", ",TRUE, Tabla38[[#This Row],[Tipo de escalera]],Tabla38[[#This Row],[Longitud]],Tabla38[[#This Row],[Carga Maxima]])</f>
        <v/>
      </c>
      <c r="G537" s="15"/>
      <c r="J537" s="15"/>
      <c r="K537" s="47"/>
      <c r="L537" s="76"/>
      <c r="M537" s="76"/>
      <c r="N537" s="78" t="str">
        <f>_xlfn.LET(
    _xlpm.itemBuscado, B537,
    _xlpm.areaBuscada, C537,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TEXT(COUNTIF($C$2:C537, _xlpm.areaBuscada), "0000"),
    _xlpm.codItem &amp; "-" &amp; _xlpm.codArea &amp; "-" &amp; _xlpm.secuencia
)</f>
        <v>-SinArea-0000</v>
      </c>
      <c r="O537" s="77"/>
      <c r="P537" s="32"/>
      <c r="Q537" s="32"/>
      <c r="R537" s="32"/>
      <c r="S537" s="32"/>
    </row>
    <row r="538" spans="3:19" x14ac:dyDescent="0.3">
      <c r="C538" s="11"/>
      <c r="D538" s="32"/>
      <c r="E538" s="11"/>
      <c r="F538" t="str">
        <f>_xlfn.TEXTJOIN(", ",TRUE, Tabla38[[#This Row],[Tipo de escalera]],Tabla38[[#This Row],[Longitud]],Tabla38[[#This Row],[Carga Maxima]])</f>
        <v/>
      </c>
      <c r="G538" s="15"/>
      <c r="J538" s="15"/>
      <c r="K538" s="47"/>
      <c r="L538" s="76"/>
      <c r="M538" s="76"/>
      <c r="N538" s="78" t="str">
        <f>_xlfn.LET(
    _xlpm.itemBuscado, B538,
    _xlpm.areaBuscada, C538,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TEXT(COUNTIF($C$2:C538, _xlpm.areaBuscada), "0000"),
    _xlpm.codItem &amp; "-" &amp; _xlpm.codArea &amp; "-" &amp; _xlpm.secuencia
)</f>
        <v>-SinArea-0000</v>
      </c>
      <c r="O538" s="77"/>
      <c r="P538" s="32"/>
      <c r="Q538" s="32"/>
      <c r="R538" s="32"/>
      <c r="S538" s="32"/>
    </row>
    <row r="539" spans="3:19" x14ac:dyDescent="0.3">
      <c r="C539" s="11"/>
      <c r="D539" s="32"/>
      <c r="E539" s="11"/>
      <c r="F539" t="str">
        <f>_xlfn.TEXTJOIN(", ",TRUE, Tabla38[[#This Row],[Tipo de escalera]],Tabla38[[#This Row],[Longitud]],Tabla38[[#This Row],[Carga Maxima]])</f>
        <v/>
      </c>
      <c r="G539" s="15"/>
      <c r="J539" s="15"/>
      <c r="K539" s="47"/>
      <c r="L539" s="76"/>
      <c r="M539" s="76"/>
      <c r="N539" s="78" t="str">
        <f>_xlfn.LET(
    _xlpm.itemBuscado, B539,
    _xlpm.areaBuscada, C539,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TEXT(COUNTIF($C$2:C539, _xlpm.areaBuscada), "0000"),
    _xlpm.codItem &amp; "-" &amp; _xlpm.codArea &amp; "-" &amp; _xlpm.secuencia
)</f>
        <v>-SinArea-0000</v>
      </c>
      <c r="O539" s="77"/>
      <c r="P539" s="32"/>
      <c r="Q539" s="32"/>
      <c r="R539" s="32"/>
      <c r="S539" s="32"/>
    </row>
    <row r="540" spans="3:19" x14ac:dyDescent="0.3">
      <c r="C540" s="11"/>
      <c r="D540" s="32"/>
      <c r="E540" s="11"/>
      <c r="F540" t="str">
        <f>_xlfn.TEXTJOIN(", ",TRUE, Tabla38[[#This Row],[Tipo de escalera]],Tabla38[[#This Row],[Longitud]],Tabla38[[#This Row],[Carga Maxima]])</f>
        <v/>
      </c>
      <c r="G540" s="15"/>
      <c r="J540" s="15"/>
      <c r="K540" s="47"/>
      <c r="L540" s="76"/>
      <c r="M540" s="76"/>
      <c r="N540" s="78" t="str">
        <f>_xlfn.LET(
    _xlpm.itemBuscado, B540,
    _xlpm.areaBuscada, C540,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TEXT(COUNTIF($C$2:C540, _xlpm.areaBuscada), "0000"),
    _xlpm.codItem &amp; "-" &amp; _xlpm.codArea &amp; "-" &amp; _xlpm.secuencia
)</f>
        <v>-SinArea-0000</v>
      </c>
      <c r="O540" s="77"/>
      <c r="P540" s="32"/>
      <c r="Q540" s="32"/>
      <c r="R540" s="32"/>
      <c r="S540" s="32"/>
    </row>
    <row r="541" spans="3:19" x14ac:dyDescent="0.3">
      <c r="C541" s="11"/>
      <c r="D541" s="32"/>
      <c r="E541" s="11"/>
      <c r="F541" t="str">
        <f>_xlfn.TEXTJOIN(", ",TRUE, Tabla38[[#This Row],[Tipo de escalera]],Tabla38[[#This Row],[Longitud]],Tabla38[[#This Row],[Carga Maxima]])</f>
        <v/>
      </c>
      <c r="G541" s="15"/>
      <c r="J541" s="15"/>
      <c r="K541" s="47"/>
      <c r="L541" s="76"/>
      <c r="M541" s="76"/>
      <c r="N541" s="78" t="str">
        <f>_xlfn.LET(
    _xlpm.itemBuscado, B541,
    _xlpm.areaBuscada, C541,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TEXT(COUNTIF($C$2:C541, _xlpm.areaBuscada), "0000"),
    _xlpm.codItem &amp; "-" &amp; _xlpm.codArea &amp; "-" &amp; _xlpm.secuencia
)</f>
        <v>-SinArea-0000</v>
      </c>
      <c r="O541" s="77"/>
      <c r="P541" s="32"/>
      <c r="Q541" s="32"/>
      <c r="R541" s="32"/>
      <c r="S541" s="32"/>
    </row>
    <row r="542" spans="3:19" x14ac:dyDescent="0.3">
      <c r="C542" s="11"/>
      <c r="D542" s="32"/>
      <c r="E542" s="11"/>
      <c r="F542" t="str">
        <f>_xlfn.TEXTJOIN(", ",TRUE, Tabla38[[#This Row],[Tipo de escalera]],Tabla38[[#This Row],[Longitud]],Tabla38[[#This Row],[Carga Maxima]])</f>
        <v/>
      </c>
      <c r="G542" s="15"/>
      <c r="J542" s="15"/>
      <c r="K542" s="47"/>
      <c r="L542" s="76"/>
      <c r="M542" s="76"/>
      <c r="N542" s="78" t="str">
        <f>_xlfn.LET(
    _xlpm.itemBuscado, B542,
    _xlpm.areaBuscada, C542,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TEXT(COUNTIF($C$2:C542, _xlpm.areaBuscada), "0000"),
    _xlpm.codItem &amp; "-" &amp; _xlpm.codArea &amp; "-" &amp; _xlpm.secuencia
)</f>
        <v>-SinArea-0000</v>
      </c>
      <c r="O542" s="77"/>
      <c r="P542" s="32"/>
      <c r="Q542" s="32"/>
      <c r="R542" s="32"/>
      <c r="S542" s="32"/>
    </row>
    <row r="543" spans="3:19" x14ac:dyDescent="0.3">
      <c r="C543" s="11"/>
      <c r="D543" s="32"/>
      <c r="E543" s="11"/>
      <c r="F543" t="str">
        <f>_xlfn.TEXTJOIN(", ",TRUE, Tabla38[[#This Row],[Tipo de escalera]],Tabla38[[#This Row],[Longitud]],Tabla38[[#This Row],[Carga Maxima]])</f>
        <v/>
      </c>
      <c r="G543" s="15"/>
      <c r="J543" s="15"/>
      <c r="K543" s="47"/>
      <c r="L543" s="76"/>
      <c r="M543" s="76"/>
      <c r="N543" s="78" t="str">
        <f>_xlfn.LET(
    _xlpm.itemBuscado, B543,
    _xlpm.areaBuscada, C543,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TEXT(COUNTIF($C$2:C543, _xlpm.areaBuscada), "0000"),
    _xlpm.codItem &amp; "-" &amp; _xlpm.codArea &amp; "-" &amp; _xlpm.secuencia
)</f>
        <v>-SinArea-0000</v>
      </c>
      <c r="O543" s="77"/>
      <c r="P543" s="32"/>
      <c r="Q543" s="32"/>
      <c r="R543" s="32"/>
      <c r="S543" s="32"/>
    </row>
    <row r="544" spans="3:19" x14ac:dyDescent="0.3">
      <c r="C544" s="11"/>
      <c r="D544" s="32"/>
      <c r="E544" s="11"/>
      <c r="F544" t="str">
        <f>_xlfn.TEXTJOIN(", ",TRUE, Tabla38[[#This Row],[Tipo de escalera]],Tabla38[[#This Row],[Longitud]],Tabla38[[#This Row],[Carga Maxima]])</f>
        <v/>
      </c>
      <c r="G544" s="15"/>
      <c r="J544" s="15"/>
      <c r="K544" s="47"/>
      <c r="L544" s="76"/>
      <c r="M544" s="76"/>
      <c r="N544" s="78" t="str">
        <f>_xlfn.LET(
    _xlpm.itemBuscado, B544,
    _xlpm.areaBuscada, C544,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TEXT(COUNTIF($C$2:C544, _xlpm.areaBuscada), "0000"),
    _xlpm.codItem &amp; "-" &amp; _xlpm.codArea &amp; "-" &amp; _xlpm.secuencia
)</f>
        <v>-SinArea-0000</v>
      </c>
      <c r="O544" s="77"/>
      <c r="P544" s="32"/>
      <c r="Q544" s="32"/>
      <c r="R544" s="32"/>
      <c r="S544" s="32"/>
    </row>
    <row r="545" spans="3:19" x14ac:dyDescent="0.3">
      <c r="C545" s="11"/>
      <c r="D545" s="32"/>
      <c r="E545" s="11"/>
      <c r="F545" t="str">
        <f>_xlfn.TEXTJOIN(", ",TRUE, Tabla38[[#This Row],[Tipo de escalera]],Tabla38[[#This Row],[Longitud]],Tabla38[[#This Row],[Carga Maxima]])</f>
        <v/>
      </c>
      <c r="G545" s="15"/>
      <c r="J545" s="15"/>
      <c r="K545" s="47"/>
      <c r="L545" s="76"/>
      <c r="M545" s="76"/>
      <c r="N545" s="78" t="str">
        <f>_xlfn.LET(
    _xlpm.itemBuscado, B545,
    _xlpm.areaBuscada, C545,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TEXT(COUNTIF($C$2:C545, _xlpm.areaBuscada), "0000"),
    _xlpm.codItem &amp; "-" &amp; _xlpm.codArea &amp; "-" &amp; _xlpm.secuencia
)</f>
        <v>-SinArea-0000</v>
      </c>
      <c r="O545" s="77"/>
      <c r="P545" s="32"/>
      <c r="Q545" s="32"/>
      <c r="R545" s="32"/>
      <c r="S545" s="32"/>
    </row>
    <row r="546" spans="3:19" x14ac:dyDescent="0.3">
      <c r="C546" s="11"/>
      <c r="D546" s="32"/>
      <c r="E546" s="11"/>
      <c r="F546" t="str">
        <f>_xlfn.TEXTJOIN(", ",TRUE, Tabla38[[#This Row],[Tipo de escalera]],Tabla38[[#This Row],[Longitud]],Tabla38[[#This Row],[Carga Maxima]])</f>
        <v/>
      </c>
      <c r="G546" s="15"/>
      <c r="J546" s="15"/>
      <c r="K546" s="47"/>
      <c r="L546" s="76"/>
      <c r="M546" s="76"/>
      <c r="N546" s="78" t="str">
        <f>_xlfn.LET(
    _xlpm.itemBuscado, B546,
    _xlpm.areaBuscada, C546,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TEXT(COUNTIF($C$2:C546, _xlpm.areaBuscada), "0000"),
    _xlpm.codItem &amp; "-" &amp; _xlpm.codArea &amp; "-" &amp; _xlpm.secuencia
)</f>
        <v>-SinArea-0000</v>
      </c>
      <c r="O546" s="77"/>
      <c r="P546" s="32"/>
      <c r="Q546" s="32"/>
      <c r="R546" s="32"/>
      <c r="S546" s="32"/>
    </row>
    <row r="547" spans="3:19" x14ac:dyDescent="0.3">
      <c r="C547" s="11"/>
      <c r="D547" s="32"/>
      <c r="E547" s="11"/>
      <c r="F547" t="str">
        <f>_xlfn.TEXTJOIN(", ",TRUE, Tabla38[[#This Row],[Tipo de escalera]],Tabla38[[#This Row],[Longitud]],Tabla38[[#This Row],[Carga Maxima]])</f>
        <v/>
      </c>
      <c r="G547" s="15"/>
      <c r="J547" s="15"/>
      <c r="K547" s="47"/>
      <c r="L547" s="76"/>
      <c r="M547" s="76"/>
      <c r="N547" s="78" t="str">
        <f>_xlfn.LET(
    _xlpm.itemBuscado, B547,
    _xlpm.areaBuscada, C547,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TEXT(COUNTIF($C$2:C547, _xlpm.areaBuscada), "0000"),
    _xlpm.codItem &amp; "-" &amp; _xlpm.codArea &amp; "-" &amp; _xlpm.secuencia
)</f>
        <v>-SinArea-0000</v>
      </c>
      <c r="O547" s="77"/>
      <c r="P547" s="32"/>
      <c r="Q547" s="32"/>
      <c r="R547" s="32"/>
      <c r="S547" s="32"/>
    </row>
    <row r="548" spans="3:19" x14ac:dyDescent="0.3">
      <c r="C548" s="11"/>
      <c r="D548" s="32"/>
      <c r="E548" s="11"/>
      <c r="F548" t="str">
        <f>_xlfn.TEXTJOIN(", ",TRUE, Tabla38[[#This Row],[Tipo de escalera]],Tabla38[[#This Row],[Longitud]],Tabla38[[#This Row],[Carga Maxima]])</f>
        <v/>
      </c>
      <c r="G548" s="15"/>
      <c r="J548" s="15"/>
      <c r="K548" s="47"/>
      <c r="L548" s="76"/>
      <c r="M548" s="76"/>
      <c r="N548" s="78" t="str">
        <f>_xlfn.LET(
    _xlpm.itemBuscado, B548,
    _xlpm.areaBuscada, C548,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TEXT(COUNTIF($C$2:C548, _xlpm.areaBuscada), "0000"),
    _xlpm.codItem &amp; "-" &amp; _xlpm.codArea &amp; "-" &amp; _xlpm.secuencia
)</f>
        <v>-SinArea-0000</v>
      </c>
      <c r="O548" s="77"/>
      <c r="P548" s="32"/>
      <c r="Q548" s="32"/>
      <c r="R548" s="32"/>
      <c r="S548" s="32"/>
    </row>
    <row r="549" spans="3:19" x14ac:dyDescent="0.3">
      <c r="C549" s="11"/>
      <c r="D549" s="32"/>
      <c r="E549" s="11"/>
      <c r="F549" t="str">
        <f>_xlfn.TEXTJOIN(", ",TRUE, Tabla38[[#This Row],[Tipo de escalera]],Tabla38[[#This Row],[Longitud]],Tabla38[[#This Row],[Carga Maxima]])</f>
        <v/>
      </c>
      <c r="G549" s="15"/>
      <c r="J549" s="15"/>
      <c r="K549" s="47"/>
      <c r="L549" s="76"/>
      <c r="M549" s="76"/>
      <c r="N549" s="78" t="str">
        <f>_xlfn.LET(
    _xlpm.itemBuscado, B549,
    _xlpm.areaBuscada, C549,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TEXT(COUNTIF($C$2:C549, _xlpm.areaBuscada), "0000"),
    _xlpm.codItem &amp; "-" &amp; _xlpm.codArea &amp; "-" &amp; _xlpm.secuencia
)</f>
        <v>-SinArea-0000</v>
      </c>
      <c r="O549" s="77"/>
      <c r="P549" s="32"/>
      <c r="Q549" s="32"/>
      <c r="R549" s="32"/>
      <c r="S549" s="32"/>
    </row>
    <row r="550" spans="3:19" x14ac:dyDescent="0.3">
      <c r="C550" s="11"/>
      <c r="D550" s="32"/>
      <c r="E550" s="11"/>
      <c r="F550" t="str">
        <f>_xlfn.TEXTJOIN(", ",TRUE, Tabla38[[#This Row],[Tipo de escalera]],Tabla38[[#This Row],[Longitud]],Tabla38[[#This Row],[Carga Maxima]])</f>
        <v/>
      </c>
      <c r="G550" s="15"/>
      <c r="J550" s="15"/>
      <c r="K550" s="47"/>
      <c r="L550" s="76"/>
      <c r="M550" s="76"/>
      <c r="N550" s="78" t="str">
        <f>_xlfn.LET(
    _xlpm.itemBuscado, B550,
    _xlpm.areaBuscada, C550,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TEXT(COUNTIF($C$2:C550, _xlpm.areaBuscada), "0000"),
    _xlpm.codItem &amp; "-" &amp; _xlpm.codArea &amp; "-" &amp; _xlpm.secuencia
)</f>
        <v>-SinArea-0000</v>
      </c>
      <c r="O550" s="77"/>
      <c r="P550" s="32"/>
      <c r="Q550" s="32"/>
      <c r="R550" s="32"/>
      <c r="S550" s="32"/>
    </row>
    <row r="551" spans="3:19" x14ac:dyDescent="0.3">
      <c r="C551" s="11"/>
      <c r="D551" s="32"/>
      <c r="E551" s="11"/>
      <c r="F551" t="str">
        <f>_xlfn.TEXTJOIN(", ",TRUE, Tabla38[[#This Row],[Tipo de escalera]],Tabla38[[#This Row],[Longitud]],Tabla38[[#This Row],[Carga Maxima]])</f>
        <v/>
      </c>
      <c r="G551" s="15"/>
      <c r="J551" s="15"/>
      <c r="K551" s="47"/>
      <c r="L551" s="76"/>
      <c r="M551" s="76"/>
      <c r="N551" s="78" t="str">
        <f>_xlfn.LET(
    _xlpm.itemBuscado, B551,
    _xlpm.areaBuscada, C551,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TEXT(COUNTIF($C$2:C551, _xlpm.areaBuscada), "0000"),
    _xlpm.codItem &amp; "-" &amp; _xlpm.codArea &amp; "-" &amp; _xlpm.secuencia
)</f>
        <v>-SinArea-0000</v>
      </c>
      <c r="O551" s="77"/>
      <c r="P551" s="32"/>
      <c r="Q551" s="32"/>
      <c r="R551" s="32"/>
      <c r="S551" s="32"/>
    </row>
    <row r="552" spans="3:19" x14ac:dyDescent="0.3">
      <c r="C552" s="11"/>
      <c r="D552" s="32"/>
      <c r="E552" s="11"/>
      <c r="F552" t="str">
        <f>_xlfn.TEXTJOIN(", ",TRUE, Tabla38[[#This Row],[Tipo de escalera]],Tabla38[[#This Row],[Longitud]],Tabla38[[#This Row],[Carga Maxima]])</f>
        <v/>
      </c>
      <c r="G552" s="15"/>
      <c r="J552" s="15"/>
      <c r="K552" s="47"/>
      <c r="L552" s="76"/>
      <c r="M552" s="76"/>
      <c r="N552" s="78" t="str">
        <f>_xlfn.LET(
    _xlpm.itemBuscado, B552,
    _xlpm.areaBuscada, C552,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TEXT(COUNTIF($C$2:C552, _xlpm.areaBuscada), "0000"),
    _xlpm.codItem &amp; "-" &amp; _xlpm.codArea &amp; "-" &amp; _xlpm.secuencia
)</f>
        <v>-SinArea-0000</v>
      </c>
      <c r="O552" s="77"/>
      <c r="P552" s="32"/>
      <c r="Q552" s="32"/>
      <c r="R552" s="32"/>
      <c r="S552" s="32"/>
    </row>
    <row r="553" spans="3:19" x14ac:dyDescent="0.3">
      <c r="C553" s="11"/>
      <c r="D553" s="32"/>
      <c r="E553" s="11"/>
      <c r="F553" t="str">
        <f>_xlfn.TEXTJOIN(", ",TRUE, Tabla38[[#This Row],[Tipo de escalera]],Tabla38[[#This Row],[Longitud]],Tabla38[[#This Row],[Carga Maxima]])</f>
        <v/>
      </c>
      <c r="G553" s="15"/>
      <c r="J553" s="15"/>
      <c r="K553" s="47"/>
      <c r="L553" s="76"/>
      <c r="M553" s="76"/>
      <c r="N553" s="78" t="str">
        <f>_xlfn.LET(
    _xlpm.itemBuscado, B553,
    _xlpm.areaBuscada, C553,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TEXT(COUNTIF($C$2:C553, _xlpm.areaBuscada), "0000"),
    _xlpm.codItem &amp; "-" &amp; _xlpm.codArea &amp; "-" &amp; _xlpm.secuencia
)</f>
        <v>-SinArea-0000</v>
      </c>
      <c r="O553" s="77"/>
      <c r="P553" s="32"/>
      <c r="Q553" s="32"/>
      <c r="R553" s="32"/>
      <c r="S553" s="32"/>
    </row>
    <row r="554" spans="3:19" x14ac:dyDescent="0.3">
      <c r="C554" s="11"/>
      <c r="D554" s="32"/>
      <c r="E554" s="11"/>
      <c r="F554" t="str">
        <f>_xlfn.TEXTJOIN(", ",TRUE, Tabla38[[#This Row],[Tipo de escalera]],Tabla38[[#This Row],[Longitud]],Tabla38[[#This Row],[Carga Maxima]])</f>
        <v/>
      </c>
      <c r="G554" s="15"/>
      <c r="J554" s="15"/>
      <c r="K554" s="47"/>
      <c r="L554" s="76"/>
      <c r="M554" s="76"/>
      <c r="N554" s="78" t="str">
        <f>_xlfn.LET(
    _xlpm.itemBuscado, B554,
    _xlpm.areaBuscada, C554,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TEXT(COUNTIF($C$2:C554, _xlpm.areaBuscada), "0000"),
    _xlpm.codItem &amp; "-" &amp; _xlpm.codArea &amp; "-" &amp; _xlpm.secuencia
)</f>
        <v>-SinArea-0000</v>
      </c>
      <c r="O554" s="77"/>
      <c r="P554" s="32"/>
      <c r="Q554" s="32"/>
      <c r="R554" s="32"/>
      <c r="S554" s="32"/>
    </row>
    <row r="555" spans="3:19" x14ac:dyDescent="0.3">
      <c r="C555" s="11"/>
      <c r="D555" s="32"/>
      <c r="E555" s="11"/>
      <c r="F555" t="str">
        <f>_xlfn.TEXTJOIN(", ",TRUE, Tabla38[[#This Row],[Tipo de escalera]],Tabla38[[#This Row],[Longitud]],Tabla38[[#This Row],[Carga Maxima]])</f>
        <v/>
      </c>
      <c r="G555" s="15"/>
      <c r="J555" s="15"/>
      <c r="K555" s="47"/>
      <c r="L555" s="76"/>
      <c r="M555" s="76"/>
      <c r="N555" s="78" t="str">
        <f>_xlfn.LET(
    _xlpm.itemBuscado, B555,
    _xlpm.areaBuscada, C555,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TEXT(COUNTIF($C$2:C555, _xlpm.areaBuscada), "0000"),
    _xlpm.codItem &amp; "-" &amp; _xlpm.codArea &amp; "-" &amp; _xlpm.secuencia
)</f>
        <v>-SinArea-0000</v>
      </c>
      <c r="O555" s="77"/>
      <c r="P555" s="32"/>
      <c r="Q555" s="32"/>
      <c r="R555" s="32"/>
      <c r="S555" s="32"/>
    </row>
    <row r="556" spans="3:19" x14ac:dyDescent="0.3">
      <c r="C556" s="11"/>
      <c r="D556" s="32"/>
      <c r="E556" s="11"/>
      <c r="F556" t="str">
        <f>_xlfn.TEXTJOIN(", ",TRUE, Tabla38[[#This Row],[Tipo de escalera]],Tabla38[[#This Row],[Longitud]],Tabla38[[#This Row],[Carga Maxima]])</f>
        <v/>
      </c>
      <c r="G556" s="15"/>
      <c r="J556" s="15"/>
      <c r="K556" s="47"/>
      <c r="L556" s="76"/>
      <c r="M556" s="76"/>
      <c r="N556" s="78" t="str">
        <f>_xlfn.LET(
    _xlpm.itemBuscado, B556,
    _xlpm.areaBuscada, C556,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TEXT(COUNTIF($C$2:C556, _xlpm.areaBuscada), "0000"),
    _xlpm.codItem &amp; "-" &amp; _xlpm.codArea &amp; "-" &amp; _xlpm.secuencia
)</f>
        <v>-SinArea-0000</v>
      </c>
      <c r="O556" s="77"/>
      <c r="P556" s="32"/>
      <c r="Q556" s="32"/>
      <c r="R556" s="32"/>
      <c r="S556" s="32"/>
    </row>
    <row r="557" spans="3:19" x14ac:dyDescent="0.3">
      <c r="C557" s="11"/>
      <c r="D557" s="32"/>
      <c r="E557" s="11"/>
      <c r="F557" t="str">
        <f>_xlfn.TEXTJOIN(", ",TRUE, Tabla38[[#This Row],[Tipo de escalera]],Tabla38[[#This Row],[Longitud]],Tabla38[[#This Row],[Carga Maxima]])</f>
        <v/>
      </c>
      <c r="G557" s="15"/>
      <c r="J557" s="15"/>
      <c r="K557" s="47"/>
      <c r="L557" s="76"/>
      <c r="M557" s="76"/>
      <c r="N557" s="78" t="str">
        <f>_xlfn.LET(
    _xlpm.itemBuscado, B557,
    _xlpm.areaBuscada, C557,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TEXT(COUNTIF($C$2:C557, _xlpm.areaBuscada), "0000"),
    _xlpm.codItem &amp; "-" &amp; _xlpm.codArea &amp; "-" &amp; _xlpm.secuencia
)</f>
        <v>-SinArea-0000</v>
      </c>
      <c r="O557" s="77"/>
      <c r="P557" s="32"/>
      <c r="Q557" s="32"/>
      <c r="R557" s="32"/>
      <c r="S557" s="32"/>
    </row>
    <row r="558" spans="3:19" x14ac:dyDescent="0.3">
      <c r="C558" s="11"/>
      <c r="D558" s="32"/>
      <c r="E558" s="11"/>
      <c r="F558" t="str">
        <f>_xlfn.TEXTJOIN(", ",TRUE, Tabla38[[#This Row],[Tipo de escalera]],Tabla38[[#This Row],[Longitud]],Tabla38[[#This Row],[Carga Maxima]])</f>
        <v/>
      </c>
      <c r="G558" s="15"/>
      <c r="J558" s="15"/>
      <c r="K558" s="47"/>
      <c r="L558" s="76"/>
      <c r="M558" s="76"/>
      <c r="N558" s="78" t="str">
        <f>_xlfn.LET(
    _xlpm.itemBuscado, B558,
    _xlpm.areaBuscada, C558,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TEXT(COUNTIF($C$2:C558, _xlpm.areaBuscada), "0000"),
    _xlpm.codItem &amp; "-" &amp; _xlpm.codArea &amp; "-" &amp; _xlpm.secuencia
)</f>
        <v>-SinArea-0000</v>
      </c>
      <c r="O558" s="77"/>
      <c r="P558" s="32"/>
      <c r="Q558" s="32"/>
      <c r="R558" s="32"/>
      <c r="S558" s="32"/>
    </row>
    <row r="559" spans="3:19" x14ac:dyDescent="0.3">
      <c r="C559" s="11"/>
      <c r="D559" s="32"/>
      <c r="E559" s="11"/>
      <c r="F559" t="str">
        <f>_xlfn.TEXTJOIN(", ",TRUE, Tabla38[[#This Row],[Tipo de escalera]],Tabla38[[#This Row],[Longitud]],Tabla38[[#This Row],[Carga Maxima]])</f>
        <v/>
      </c>
      <c r="G559" s="15"/>
      <c r="J559" s="15"/>
      <c r="K559" s="47"/>
      <c r="L559" s="76"/>
      <c r="M559" s="76"/>
      <c r="N559" s="78" t="str">
        <f>_xlfn.LET(
    _xlpm.itemBuscado, B559,
    _xlpm.areaBuscada, C559,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TEXT(COUNTIF($C$2:C559, _xlpm.areaBuscada), "0000"),
    _xlpm.codItem &amp; "-" &amp; _xlpm.codArea &amp; "-" &amp; _xlpm.secuencia
)</f>
        <v>-SinArea-0000</v>
      </c>
      <c r="O559" s="77"/>
      <c r="P559" s="32"/>
      <c r="Q559" s="32"/>
      <c r="R559" s="32"/>
      <c r="S559" s="32"/>
    </row>
    <row r="560" spans="3:19" x14ac:dyDescent="0.3">
      <c r="C560" s="11"/>
      <c r="D560" s="32"/>
      <c r="E560" s="11"/>
      <c r="F560" t="str">
        <f>_xlfn.TEXTJOIN(", ",TRUE, Tabla38[[#This Row],[Tipo de escalera]],Tabla38[[#This Row],[Longitud]],Tabla38[[#This Row],[Carga Maxima]])</f>
        <v/>
      </c>
      <c r="G560" s="15"/>
      <c r="J560" s="15"/>
      <c r="K560" s="47"/>
      <c r="L560" s="76"/>
      <c r="M560" s="76"/>
      <c r="N560" s="78" t="str">
        <f>_xlfn.LET(
    _xlpm.itemBuscado, B560,
    _xlpm.areaBuscada, C560,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TEXT(COUNTIF($C$2:C560, _xlpm.areaBuscada), "0000"),
    _xlpm.codItem &amp; "-" &amp; _xlpm.codArea &amp; "-" &amp; _xlpm.secuencia
)</f>
        <v>-SinArea-0000</v>
      </c>
      <c r="O560" s="77"/>
      <c r="P560" s="32"/>
      <c r="Q560" s="32"/>
      <c r="R560" s="32"/>
      <c r="S560" s="32"/>
    </row>
    <row r="561" spans="3:19" x14ac:dyDescent="0.3">
      <c r="C561" s="11"/>
      <c r="D561" s="32"/>
      <c r="E561" s="11"/>
      <c r="F561" t="str">
        <f>_xlfn.TEXTJOIN(", ",TRUE, Tabla38[[#This Row],[Tipo de escalera]],Tabla38[[#This Row],[Longitud]],Tabla38[[#This Row],[Carga Maxima]])</f>
        <v/>
      </c>
      <c r="G561" s="15"/>
      <c r="J561" s="15"/>
      <c r="K561" s="47"/>
      <c r="L561" s="76"/>
      <c r="M561" s="76"/>
      <c r="N561" s="78" t="str">
        <f>_xlfn.LET(
    _xlpm.itemBuscado, B561,
    _xlpm.areaBuscada, C561,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TEXT(COUNTIF($C$2:C561, _xlpm.areaBuscada), "0000"),
    _xlpm.codItem &amp; "-" &amp; _xlpm.codArea &amp; "-" &amp; _xlpm.secuencia
)</f>
        <v>-SinArea-0000</v>
      </c>
      <c r="O561" s="77"/>
      <c r="P561" s="32"/>
      <c r="Q561" s="32"/>
      <c r="R561" s="32"/>
      <c r="S561" s="32"/>
    </row>
    <row r="562" spans="3:19" x14ac:dyDescent="0.3">
      <c r="C562" s="11"/>
      <c r="D562" s="32"/>
      <c r="E562" s="11"/>
      <c r="F562" t="str">
        <f>_xlfn.TEXTJOIN(", ",TRUE, Tabla38[[#This Row],[Tipo de escalera]],Tabla38[[#This Row],[Longitud]],Tabla38[[#This Row],[Carga Maxima]])</f>
        <v/>
      </c>
      <c r="G562" s="15"/>
      <c r="J562" s="15"/>
      <c r="K562" s="47"/>
      <c r="L562" s="76"/>
      <c r="M562" s="76"/>
      <c r="N562" s="78" t="str">
        <f>_xlfn.LET(
    _xlpm.itemBuscado, B562,
    _xlpm.areaBuscada, C562,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TEXT(COUNTIF($C$2:C562, _xlpm.areaBuscada), "0000"),
    _xlpm.codItem &amp; "-" &amp; _xlpm.codArea &amp; "-" &amp; _xlpm.secuencia
)</f>
        <v>-SinArea-0000</v>
      </c>
      <c r="O562" s="77"/>
      <c r="P562" s="32"/>
      <c r="Q562" s="32"/>
      <c r="R562" s="32"/>
      <c r="S562" s="32"/>
    </row>
    <row r="563" spans="3:19" x14ac:dyDescent="0.3">
      <c r="C563" s="11"/>
      <c r="D563" s="32"/>
      <c r="E563" s="11"/>
      <c r="F563" t="str">
        <f>_xlfn.TEXTJOIN(", ",TRUE, Tabla38[[#This Row],[Tipo de escalera]],Tabla38[[#This Row],[Longitud]],Tabla38[[#This Row],[Carga Maxima]])</f>
        <v/>
      </c>
      <c r="G563" s="15"/>
      <c r="J563" s="15"/>
      <c r="K563" s="47"/>
      <c r="L563" s="76"/>
      <c r="M563" s="76"/>
      <c r="N563" s="78" t="str">
        <f>_xlfn.LET(
    _xlpm.itemBuscado, B563,
    _xlpm.areaBuscada, C563,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TEXT(COUNTIF($C$2:C563, _xlpm.areaBuscada), "0000"),
    _xlpm.codItem &amp; "-" &amp; _xlpm.codArea &amp; "-" &amp; _xlpm.secuencia
)</f>
        <v>-SinArea-0000</v>
      </c>
      <c r="O563" s="77"/>
      <c r="P563" s="32"/>
      <c r="Q563" s="32"/>
      <c r="R563" s="32"/>
      <c r="S563" s="32"/>
    </row>
    <row r="564" spans="3:19" x14ac:dyDescent="0.3">
      <c r="C564" s="11"/>
      <c r="D564" s="32"/>
      <c r="E564" s="11"/>
      <c r="F564" t="str">
        <f>_xlfn.TEXTJOIN(", ",TRUE, Tabla38[[#This Row],[Tipo de escalera]],Tabla38[[#This Row],[Longitud]],Tabla38[[#This Row],[Carga Maxima]])</f>
        <v/>
      </c>
      <c r="G564" s="15"/>
      <c r="J564" s="15"/>
      <c r="K564" s="47"/>
      <c r="L564" s="76"/>
      <c r="M564" s="76"/>
      <c r="N564" s="78" t="str">
        <f>_xlfn.LET(
    _xlpm.itemBuscado, B564,
    _xlpm.areaBuscada, C564,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TEXT(COUNTIF($C$2:C564, _xlpm.areaBuscada), "0000"),
    _xlpm.codItem &amp; "-" &amp; _xlpm.codArea &amp; "-" &amp; _xlpm.secuencia
)</f>
        <v>-SinArea-0000</v>
      </c>
      <c r="O564" s="77"/>
      <c r="P564" s="32"/>
      <c r="Q564" s="32"/>
      <c r="R564" s="32"/>
      <c r="S564" s="32"/>
    </row>
    <row r="565" spans="3:19" x14ac:dyDescent="0.3">
      <c r="C565" s="11"/>
      <c r="D565" s="32"/>
      <c r="E565" s="11"/>
      <c r="F565" t="str">
        <f>_xlfn.TEXTJOIN(", ",TRUE, Tabla38[[#This Row],[Tipo de escalera]],Tabla38[[#This Row],[Longitud]],Tabla38[[#This Row],[Carga Maxima]])</f>
        <v/>
      </c>
      <c r="G565" s="15"/>
      <c r="J565" s="15"/>
      <c r="K565" s="47"/>
      <c r="L565" s="76"/>
      <c r="M565" s="76"/>
      <c r="N565" s="78" t="str">
        <f>_xlfn.LET(
    _xlpm.itemBuscado, B565,
    _xlpm.areaBuscada, C565,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TEXT(COUNTIF($C$2:C565, _xlpm.areaBuscada), "0000"),
    _xlpm.codItem &amp; "-" &amp; _xlpm.codArea &amp; "-" &amp; _xlpm.secuencia
)</f>
        <v>-SinArea-0000</v>
      </c>
      <c r="O565" s="77"/>
      <c r="P565" s="32"/>
      <c r="Q565" s="32"/>
      <c r="R565" s="32"/>
      <c r="S565" s="32"/>
    </row>
    <row r="566" spans="3:19" x14ac:dyDescent="0.3">
      <c r="C566" s="11"/>
      <c r="D566" s="32"/>
      <c r="E566" s="11"/>
      <c r="F566" t="str">
        <f>_xlfn.TEXTJOIN(", ",TRUE, Tabla38[[#This Row],[Tipo de escalera]],Tabla38[[#This Row],[Longitud]],Tabla38[[#This Row],[Carga Maxima]])</f>
        <v/>
      </c>
      <c r="G566" s="15"/>
      <c r="J566" s="15"/>
      <c r="K566" s="47"/>
      <c r="L566" s="76"/>
      <c r="M566" s="76"/>
      <c r="N566" s="78" t="str">
        <f>_xlfn.LET(
    _xlpm.itemBuscado, B566,
    _xlpm.areaBuscada, C566,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TEXT(COUNTIF($C$2:C566, _xlpm.areaBuscada), "0000"),
    _xlpm.codItem &amp; "-" &amp; _xlpm.codArea &amp; "-" &amp; _xlpm.secuencia
)</f>
        <v>-SinArea-0000</v>
      </c>
      <c r="O566" s="77"/>
      <c r="P566" s="32"/>
      <c r="Q566" s="32"/>
      <c r="R566" s="32"/>
      <c r="S566" s="32"/>
    </row>
    <row r="567" spans="3:19" x14ac:dyDescent="0.3">
      <c r="C567" s="11"/>
      <c r="D567" s="32"/>
      <c r="E567" s="11"/>
      <c r="F567" t="str">
        <f>_xlfn.TEXTJOIN(", ",TRUE, Tabla38[[#This Row],[Tipo de escalera]],Tabla38[[#This Row],[Longitud]],Tabla38[[#This Row],[Carga Maxima]])</f>
        <v/>
      </c>
      <c r="G567" s="15"/>
      <c r="J567" s="15"/>
      <c r="K567" s="47"/>
      <c r="L567" s="76"/>
      <c r="M567" s="76"/>
      <c r="N567" s="78" t="str">
        <f>_xlfn.LET(
    _xlpm.itemBuscado, B567,
    _xlpm.areaBuscada, C567,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TEXT(COUNTIF($C$2:C567, _xlpm.areaBuscada), "0000"),
    _xlpm.codItem &amp; "-" &amp; _xlpm.codArea &amp; "-" &amp; _xlpm.secuencia
)</f>
        <v>-SinArea-0000</v>
      </c>
      <c r="O567" s="77"/>
      <c r="P567" s="32"/>
      <c r="Q567" s="32"/>
      <c r="R567" s="32"/>
      <c r="S567" s="32"/>
    </row>
    <row r="568" spans="3:19" x14ac:dyDescent="0.3">
      <c r="C568" s="11"/>
      <c r="D568" s="32"/>
      <c r="E568" s="11"/>
      <c r="F568" t="str">
        <f>_xlfn.TEXTJOIN(", ",TRUE, Tabla38[[#This Row],[Tipo de escalera]],Tabla38[[#This Row],[Longitud]],Tabla38[[#This Row],[Carga Maxima]])</f>
        <v/>
      </c>
      <c r="G568" s="15"/>
      <c r="J568" s="15"/>
      <c r="K568" s="47"/>
      <c r="L568" s="76"/>
      <c r="M568" s="76"/>
      <c r="N568" s="78" t="str">
        <f>_xlfn.LET(
    _xlpm.itemBuscado, B568,
    _xlpm.areaBuscada, C568,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TEXT(COUNTIF($C$2:C568, _xlpm.areaBuscada), "0000"),
    _xlpm.codItem &amp; "-" &amp; _xlpm.codArea &amp; "-" &amp; _xlpm.secuencia
)</f>
        <v>-SinArea-0000</v>
      </c>
      <c r="O568" s="77"/>
      <c r="P568" s="32"/>
      <c r="Q568" s="32"/>
      <c r="R568" s="32"/>
      <c r="S568" s="32"/>
    </row>
    <row r="569" spans="3:19" x14ac:dyDescent="0.3">
      <c r="C569" s="11"/>
      <c r="D569" s="32"/>
      <c r="E569" s="11"/>
      <c r="F569" t="str">
        <f>_xlfn.TEXTJOIN(", ",TRUE, Tabla38[[#This Row],[Tipo de escalera]],Tabla38[[#This Row],[Longitud]],Tabla38[[#This Row],[Carga Maxima]])</f>
        <v/>
      </c>
      <c r="G569" s="15"/>
      <c r="J569" s="15"/>
      <c r="K569" s="47"/>
      <c r="L569" s="76"/>
      <c r="M569" s="76"/>
      <c r="N569" s="78" t="str">
        <f>_xlfn.LET(
    _xlpm.itemBuscado, B569,
    _xlpm.areaBuscada, C569,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TEXT(COUNTIF($C$2:C569, _xlpm.areaBuscada), "0000"),
    _xlpm.codItem &amp; "-" &amp; _xlpm.codArea &amp; "-" &amp; _xlpm.secuencia
)</f>
        <v>-SinArea-0000</v>
      </c>
      <c r="O569" s="77"/>
      <c r="P569" s="32"/>
      <c r="Q569" s="32"/>
      <c r="R569" s="32"/>
      <c r="S569" s="32"/>
    </row>
    <row r="570" spans="3:19" x14ac:dyDescent="0.3">
      <c r="C570" s="11"/>
      <c r="D570" s="32"/>
      <c r="E570" s="11"/>
      <c r="F570" t="str">
        <f>_xlfn.TEXTJOIN(", ",TRUE, Tabla38[[#This Row],[Tipo de escalera]],Tabla38[[#This Row],[Longitud]],Tabla38[[#This Row],[Carga Maxima]])</f>
        <v/>
      </c>
      <c r="G570" s="15"/>
      <c r="J570" s="15"/>
      <c r="K570" s="47"/>
      <c r="L570" s="76"/>
      <c r="M570" s="76"/>
      <c r="N570" s="78" t="str">
        <f>_xlfn.LET(
    _xlpm.itemBuscado, B570,
    _xlpm.areaBuscada, C570,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TEXT(COUNTIF($C$2:C570, _xlpm.areaBuscada), "0000"),
    _xlpm.codItem &amp; "-" &amp; _xlpm.codArea &amp; "-" &amp; _xlpm.secuencia
)</f>
        <v>-SinArea-0000</v>
      </c>
      <c r="O570" s="77"/>
      <c r="P570" s="32"/>
      <c r="Q570" s="32"/>
      <c r="R570" s="32"/>
      <c r="S570" s="32"/>
    </row>
    <row r="571" spans="3:19" x14ac:dyDescent="0.3">
      <c r="C571" s="11"/>
      <c r="D571" s="32"/>
      <c r="E571" s="11"/>
      <c r="F571" t="str">
        <f>_xlfn.TEXTJOIN(", ",TRUE, Tabla38[[#This Row],[Tipo de escalera]],Tabla38[[#This Row],[Longitud]],Tabla38[[#This Row],[Carga Maxima]])</f>
        <v/>
      </c>
      <c r="G571" s="15"/>
      <c r="J571" s="15"/>
      <c r="K571" s="47"/>
      <c r="L571" s="76"/>
      <c r="M571" s="76"/>
      <c r="N571" s="78" t="str">
        <f>_xlfn.LET(
    _xlpm.itemBuscado, B571,
    _xlpm.areaBuscada, C571,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TEXT(COUNTIF($C$2:C571, _xlpm.areaBuscada), "0000"),
    _xlpm.codItem &amp; "-" &amp; _xlpm.codArea &amp; "-" &amp; _xlpm.secuencia
)</f>
        <v>-SinArea-0000</v>
      </c>
      <c r="O571" s="77"/>
      <c r="P571" s="32"/>
      <c r="Q571" s="32"/>
      <c r="R571" s="32"/>
      <c r="S571" s="32"/>
    </row>
    <row r="572" spans="3:19" x14ac:dyDescent="0.3">
      <c r="C572" s="11"/>
      <c r="D572" s="32"/>
      <c r="E572" s="11"/>
      <c r="F572" t="str">
        <f>_xlfn.TEXTJOIN(", ",TRUE, Tabla38[[#This Row],[Tipo de escalera]],Tabla38[[#This Row],[Longitud]],Tabla38[[#This Row],[Carga Maxima]])</f>
        <v/>
      </c>
      <c r="G572" s="15"/>
      <c r="J572" s="15"/>
      <c r="K572" s="47"/>
      <c r="L572" s="76"/>
      <c r="M572" s="76"/>
      <c r="N572" s="78" t="str">
        <f>_xlfn.LET(
    _xlpm.itemBuscado, B572,
    _xlpm.areaBuscada, C572,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TEXT(COUNTIF($C$2:C572, _xlpm.areaBuscada), "0000"),
    _xlpm.codItem &amp; "-" &amp; _xlpm.codArea &amp; "-" &amp; _xlpm.secuencia
)</f>
        <v>-SinArea-0000</v>
      </c>
      <c r="O572" s="77"/>
      <c r="P572" s="32"/>
      <c r="Q572" s="32"/>
      <c r="R572" s="32"/>
      <c r="S572" s="32"/>
    </row>
    <row r="573" spans="3:19" x14ac:dyDescent="0.3">
      <c r="C573" s="11"/>
      <c r="D573" s="32"/>
      <c r="E573" s="11"/>
      <c r="F573" t="str">
        <f>_xlfn.TEXTJOIN(", ",TRUE, Tabla38[[#This Row],[Tipo de escalera]],Tabla38[[#This Row],[Longitud]],Tabla38[[#This Row],[Carga Maxima]])</f>
        <v/>
      </c>
      <c r="G573" s="15"/>
      <c r="J573" s="15"/>
      <c r="K573" s="47"/>
      <c r="L573" s="76"/>
      <c r="M573" s="76"/>
      <c r="N573" s="78" t="str">
        <f>_xlfn.LET(
    _xlpm.itemBuscado, B573,
    _xlpm.areaBuscada, C573,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TEXT(COUNTIF($C$2:C573, _xlpm.areaBuscada), "0000"),
    _xlpm.codItem &amp; "-" &amp; _xlpm.codArea &amp; "-" &amp; _xlpm.secuencia
)</f>
        <v>-SinArea-0000</v>
      </c>
      <c r="O573" s="77"/>
      <c r="P573" s="32"/>
      <c r="Q573" s="32"/>
      <c r="R573" s="32"/>
      <c r="S573" s="32"/>
    </row>
    <row r="574" spans="3:19" x14ac:dyDescent="0.3">
      <c r="C574" s="11"/>
      <c r="D574" s="32"/>
      <c r="E574" s="11"/>
      <c r="F574" t="str">
        <f>_xlfn.TEXTJOIN(", ",TRUE, Tabla38[[#This Row],[Tipo de escalera]],Tabla38[[#This Row],[Longitud]],Tabla38[[#This Row],[Carga Maxima]])</f>
        <v/>
      </c>
      <c r="G574" s="15"/>
      <c r="J574" s="15"/>
      <c r="K574" s="47"/>
      <c r="L574" s="76"/>
      <c r="M574" s="76"/>
      <c r="N574" s="78" t="str">
        <f>_xlfn.LET(
    _xlpm.itemBuscado, B574,
    _xlpm.areaBuscada, C574,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TEXT(COUNTIF($C$2:C574, _xlpm.areaBuscada), "0000"),
    _xlpm.codItem &amp; "-" &amp; _xlpm.codArea &amp; "-" &amp; _xlpm.secuencia
)</f>
        <v>-SinArea-0000</v>
      </c>
      <c r="O574" s="77"/>
      <c r="P574" s="32"/>
      <c r="Q574" s="32"/>
      <c r="R574" s="32"/>
      <c r="S574" s="32"/>
    </row>
    <row r="575" spans="3:19" x14ac:dyDescent="0.3">
      <c r="C575" s="11"/>
      <c r="D575" s="32"/>
      <c r="E575" s="11"/>
      <c r="F575" t="str">
        <f>_xlfn.TEXTJOIN(", ",TRUE, Tabla38[[#This Row],[Tipo de escalera]],Tabla38[[#This Row],[Longitud]],Tabla38[[#This Row],[Carga Maxima]])</f>
        <v/>
      </c>
      <c r="G575" s="15"/>
      <c r="J575" s="15"/>
      <c r="K575" s="47"/>
      <c r="L575" s="76"/>
      <c r="M575" s="76"/>
      <c r="N575" s="78" t="str">
        <f>_xlfn.LET(
    _xlpm.itemBuscado, B575,
    _xlpm.areaBuscada, C575,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TEXT(COUNTIF($C$2:C575, _xlpm.areaBuscada), "0000"),
    _xlpm.codItem &amp; "-" &amp; _xlpm.codArea &amp; "-" &amp; _xlpm.secuencia
)</f>
        <v>-SinArea-0000</v>
      </c>
      <c r="O575" s="77"/>
      <c r="P575" s="32"/>
      <c r="Q575" s="32"/>
      <c r="R575" s="32"/>
      <c r="S575" s="32"/>
    </row>
    <row r="576" spans="3:19" x14ac:dyDescent="0.3">
      <c r="C576" s="11"/>
      <c r="D576" s="32"/>
      <c r="E576" s="11"/>
      <c r="F576" t="str">
        <f>_xlfn.TEXTJOIN(", ",TRUE, Tabla38[[#This Row],[Tipo de escalera]],Tabla38[[#This Row],[Longitud]],Tabla38[[#This Row],[Carga Maxima]])</f>
        <v/>
      </c>
      <c r="G576" s="15"/>
      <c r="J576" s="15"/>
      <c r="K576" s="47"/>
      <c r="L576" s="76"/>
      <c r="M576" s="76"/>
      <c r="N576" s="78" t="str">
        <f>_xlfn.LET(
    _xlpm.itemBuscado, B576,
    _xlpm.areaBuscada, C576,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TEXT(COUNTIF($C$2:C576, _xlpm.areaBuscada), "0000"),
    _xlpm.codItem &amp; "-" &amp; _xlpm.codArea &amp; "-" &amp; _xlpm.secuencia
)</f>
        <v>-SinArea-0000</v>
      </c>
      <c r="O576" s="77"/>
      <c r="P576" s="32"/>
      <c r="Q576" s="32"/>
      <c r="R576" s="32"/>
      <c r="S576" s="32"/>
    </row>
    <row r="577" spans="3:19" x14ac:dyDescent="0.3">
      <c r="C577" s="11"/>
      <c r="D577" s="32"/>
      <c r="E577" s="11"/>
      <c r="F577" t="str">
        <f>_xlfn.TEXTJOIN(", ",TRUE, Tabla38[[#This Row],[Tipo de escalera]],Tabla38[[#This Row],[Longitud]],Tabla38[[#This Row],[Carga Maxima]])</f>
        <v/>
      </c>
      <c r="G577" s="15"/>
      <c r="J577" s="15"/>
      <c r="K577" s="47"/>
      <c r="L577" s="76"/>
      <c r="M577" s="76"/>
      <c r="N577" s="78" t="str">
        <f>_xlfn.LET(
    _xlpm.itemBuscado, B577,
    _xlpm.areaBuscada, C577,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TEXT(COUNTIF($C$2:C577, _xlpm.areaBuscada), "0000"),
    _xlpm.codItem &amp; "-" &amp; _xlpm.codArea &amp; "-" &amp; _xlpm.secuencia
)</f>
        <v>-SinArea-0000</v>
      </c>
      <c r="O577" s="77"/>
      <c r="P577" s="32"/>
      <c r="Q577" s="32"/>
      <c r="R577" s="32"/>
      <c r="S577" s="32"/>
    </row>
    <row r="578" spans="3:19" x14ac:dyDescent="0.3">
      <c r="C578" s="11"/>
      <c r="D578" s="32"/>
      <c r="E578" s="11"/>
      <c r="F578" t="str">
        <f>_xlfn.TEXTJOIN(", ",TRUE, Tabla38[[#This Row],[Tipo de escalera]],Tabla38[[#This Row],[Longitud]],Tabla38[[#This Row],[Carga Maxima]])</f>
        <v/>
      </c>
      <c r="G578" s="15"/>
      <c r="J578" s="15"/>
      <c r="K578" s="47"/>
      <c r="L578" s="76"/>
      <c r="M578" s="76"/>
      <c r="N578" s="78" t="str">
        <f>_xlfn.LET(
    _xlpm.itemBuscado, B578,
    _xlpm.areaBuscada, C578,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TEXT(COUNTIF($C$2:C578, _xlpm.areaBuscada), "0000"),
    _xlpm.codItem &amp; "-" &amp; _xlpm.codArea &amp; "-" &amp; _xlpm.secuencia
)</f>
        <v>-SinArea-0000</v>
      </c>
      <c r="O578" s="77"/>
      <c r="P578" s="32"/>
      <c r="Q578" s="32"/>
      <c r="R578" s="32"/>
      <c r="S578" s="32"/>
    </row>
    <row r="579" spans="3:19" x14ac:dyDescent="0.3">
      <c r="C579" s="11"/>
      <c r="D579" s="32"/>
      <c r="E579" s="11"/>
      <c r="F579" t="str">
        <f>_xlfn.TEXTJOIN(", ",TRUE, Tabla38[[#This Row],[Tipo de escalera]],Tabla38[[#This Row],[Longitud]],Tabla38[[#This Row],[Carga Maxima]])</f>
        <v/>
      </c>
      <c r="G579" s="15"/>
      <c r="J579" s="15"/>
      <c r="K579" s="47"/>
      <c r="L579" s="76"/>
      <c r="M579" s="76"/>
      <c r="N579" s="78" t="str">
        <f>_xlfn.LET(
    _xlpm.itemBuscado, B579,
    _xlpm.areaBuscada, C579,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TEXT(COUNTIF($C$2:C579, _xlpm.areaBuscada), "0000"),
    _xlpm.codItem &amp; "-" &amp; _xlpm.codArea &amp; "-" &amp; _xlpm.secuencia
)</f>
        <v>-SinArea-0000</v>
      </c>
      <c r="O579" s="77"/>
      <c r="P579" s="32"/>
      <c r="Q579" s="32"/>
      <c r="R579" s="32"/>
      <c r="S579" s="32"/>
    </row>
    <row r="580" spans="3:19" x14ac:dyDescent="0.3">
      <c r="C580" s="11"/>
      <c r="D580" s="32"/>
      <c r="E580" s="11"/>
      <c r="F580" t="str">
        <f>_xlfn.TEXTJOIN(", ",TRUE, Tabla38[[#This Row],[Tipo de escalera]],Tabla38[[#This Row],[Longitud]],Tabla38[[#This Row],[Carga Maxima]])</f>
        <v/>
      </c>
      <c r="G580" s="15"/>
      <c r="J580" s="15"/>
      <c r="K580" s="47"/>
      <c r="L580" s="76"/>
      <c r="M580" s="76"/>
      <c r="N580" s="78" t="str">
        <f>_xlfn.LET(
    _xlpm.itemBuscado, B580,
    _xlpm.areaBuscada, C580,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TEXT(COUNTIF($C$2:C580, _xlpm.areaBuscada), "0000"),
    _xlpm.codItem &amp; "-" &amp; _xlpm.codArea &amp; "-" &amp; _xlpm.secuencia
)</f>
        <v>-SinArea-0000</v>
      </c>
      <c r="O580" s="77"/>
      <c r="P580" s="32"/>
      <c r="Q580" s="32"/>
      <c r="R580" s="32"/>
      <c r="S580" s="32"/>
    </row>
    <row r="581" spans="3:19" x14ac:dyDescent="0.3">
      <c r="C581" s="11"/>
      <c r="D581" s="32"/>
      <c r="E581" s="11"/>
      <c r="F581" t="str">
        <f>_xlfn.TEXTJOIN(", ",TRUE, Tabla38[[#This Row],[Tipo de escalera]],Tabla38[[#This Row],[Longitud]],Tabla38[[#This Row],[Carga Maxima]])</f>
        <v/>
      </c>
      <c r="G581" s="15"/>
      <c r="J581" s="15"/>
      <c r="K581" s="47"/>
      <c r="L581" s="76"/>
      <c r="M581" s="76"/>
      <c r="N581" s="78" t="str">
        <f>_xlfn.LET(
    _xlpm.itemBuscado, B581,
    _xlpm.areaBuscada, C581,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TEXT(COUNTIF($C$2:C581, _xlpm.areaBuscada), "0000"),
    _xlpm.codItem &amp; "-" &amp; _xlpm.codArea &amp; "-" &amp; _xlpm.secuencia
)</f>
        <v>-SinArea-0000</v>
      </c>
      <c r="O581" s="77"/>
      <c r="P581" s="32"/>
      <c r="Q581" s="32"/>
      <c r="R581" s="32"/>
      <c r="S581" s="32"/>
    </row>
    <row r="582" spans="3:19" x14ac:dyDescent="0.3">
      <c r="C582" s="11"/>
      <c r="D582" s="32"/>
      <c r="E582" s="11"/>
      <c r="F582" t="str">
        <f>_xlfn.TEXTJOIN(", ",TRUE, Tabla38[[#This Row],[Tipo de escalera]],Tabla38[[#This Row],[Longitud]],Tabla38[[#This Row],[Carga Maxima]])</f>
        <v/>
      </c>
      <c r="G582" s="15"/>
      <c r="J582" s="15"/>
      <c r="K582" s="47"/>
      <c r="L582" s="76"/>
      <c r="M582" s="76"/>
      <c r="N582" s="78" t="str">
        <f>_xlfn.LET(
    _xlpm.itemBuscado, B582,
    _xlpm.areaBuscada, C582,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TEXT(COUNTIF($C$2:C582, _xlpm.areaBuscada), "0000"),
    _xlpm.codItem &amp; "-" &amp; _xlpm.codArea &amp; "-" &amp; _xlpm.secuencia
)</f>
        <v>-SinArea-0000</v>
      </c>
      <c r="O582" s="77"/>
      <c r="P582" s="32"/>
      <c r="Q582" s="32"/>
      <c r="R582" s="32"/>
      <c r="S582" s="32"/>
    </row>
    <row r="583" spans="3:19" x14ac:dyDescent="0.3">
      <c r="C583" s="11"/>
      <c r="D583" s="32"/>
      <c r="E583" s="11"/>
      <c r="F583" t="str">
        <f>_xlfn.TEXTJOIN(", ",TRUE, Tabla38[[#This Row],[Tipo de escalera]],Tabla38[[#This Row],[Longitud]],Tabla38[[#This Row],[Carga Maxima]])</f>
        <v/>
      </c>
      <c r="G583" s="15"/>
      <c r="J583" s="15"/>
      <c r="K583" s="47"/>
      <c r="L583" s="76"/>
      <c r="M583" s="76"/>
      <c r="N583" s="78" t="str">
        <f>_xlfn.LET(
    _xlpm.itemBuscado, B583,
    _xlpm.areaBuscada, C583,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TEXT(COUNTIF($C$2:C583, _xlpm.areaBuscada), "0000"),
    _xlpm.codItem &amp; "-" &amp; _xlpm.codArea &amp; "-" &amp; _xlpm.secuencia
)</f>
        <v>-SinArea-0000</v>
      </c>
      <c r="O583" s="77"/>
      <c r="P583" s="32"/>
      <c r="Q583" s="32"/>
      <c r="R583" s="32"/>
      <c r="S583" s="32"/>
    </row>
    <row r="584" spans="3:19" x14ac:dyDescent="0.3">
      <c r="C584" s="11"/>
      <c r="D584" s="32"/>
      <c r="E584" s="11"/>
      <c r="F584" t="str">
        <f>_xlfn.TEXTJOIN(", ",TRUE, Tabla38[[#This Row],[Tipo de escalera]],Tabla38[[#This Row],[Longitud]],Tabla38[[#This Row],[Carga Maxima]])</f>
        <v/>
      </c>
      <c r="G584" s="15"/>
      <c r="J584" s="15"/>
      <c r="K584" s="47"/>
      <c r="L584" s="76"/>
      <c r="M584" s="76"/>
      <c r="N584" s="78" t="str">
        <f>_xlfn.LET(
    _xlpm.itemBuscado, B584,
    _xlpm.areaBuscada, C584,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TEXT(COUNTIF($C$2:C584, _xlpm.areaBuscada), "0000"),
    _xlpm.codItem &amp; "-" &amp; _xlpm.codArea &amp; "-" &amp; _xlpm.secuencia
)</f>
        <v>-SinArea-0000</v>
      </c>
      <c r="O584" s="77"/>
      <c r="P584" s="32"/>
      <c r="Q584" s="32"/>
      <c r="R584" s="32"/>
      <c r="S584" s="32"/>
    </row>
    <row r="585" spans="3:19" x14ac:dyDescent="0.3">
      <c r="C585" s="11"/>
      <c r="D585" s="32"/>
      <c r="E585" s="11"/>
      <c r="F585" t="str">
        <f>_xlfn.TEXTJOIN(", ",TRUE, Tabla38[[#This Row],[Tipo de escalera]],Tabla38[[#This Row],[Longitud]],Tabla38[[#This Row],[Carga Maxima]])</f>
        <v/>
      </c>
      <c r="G585" s="15"/>
      <c r="J585" s="15"/>
      <c r="K585" s="47"/>
      <c r="L585" s="76"/>
      <c r="M585" s="76"/>
      <c r="N585" s="78" t="str">
        <f>_xlfn.LET(
    _xlpm.itemBuscado, B585,
    _xlpm.areaBuscada, C585,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TEXT(COUNTIF($C$2:C585, _xlpm.areaBuscada), "0000"),
    _xlpm.codItem &amp; "-" &amp; _xlpm.codArea &amp; "-" &amp; _xlpm.secuencia
)</f>
        <v>-SinArea-0000</v>
      </c>
      <c r="O585" s="77"/>
      <c r="P585" s="32"/>
      <c r="Q585" s="32"/>
      <c r="R585" s="32"/>
      <c r="S585" s="32"/>
    </row>
    <row r="586" spans="3:19" x14ac:dyDescent="0.3">
      <c r="C586" s="11"/>
      <c r="D586" s="32"/>
      <c r="E586" s="11"/>
      <c r="F586" t="str">
        <f>_xlfn.TEXTJOIN(", ",TRUE, Tabla38[[#This Row],[Tipo de escalera]],Tabla38[[#This Row],[Longitud]],Tabla38[[#This Row],[Carga Maxima]])</f>
        <v/>
      </c>
      <c r="G586" s="15"/>
      <c r="J586" s="15"/>
      <c r="K586" s="47"/>
      <c r="L586" s="76"/>
      <c r="M586" s="76"/>
      <c r="N586" s="78" t="str">
        <f>_xlfn.LET(
    _xlpm.itemBuscado, B586,
    _xlpm.areaBuscada, C586,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TEXT(COUNTIF($C$2:C586, _xlpm.areaBuscada), "0000"),
    _xlpm.codItem &amp; "-" &amp; _xlpm.codArea &amp; "-" &amp; _xlpm.secuencia
)</f>
        <v>-SinArea-0000</v>
      </c>
      <c r="O586" s="77"/>
      <c r="P586" s="32"/>
      <c r="Q586" s="32"/>
      <c r="R586" s="32"/>
      <c r="S586" s="32"/>
    </row>
    <row r="587" spans="3:19" x14ac:dyDescent="0.3">
      <c r="C587" s="11"/>
      <c r="D587" s="32"/>
      <c r="E587" s="11"/>
      <c r="F587" t="str">
        <f>_xlfn.TEXTJOIN(", ",TRUE, Tabla38[[#This Row],[Tipo de escalera]],Tabla38[[#This Row],[Longitud]],Tabla38[[#This Row],[Carga Maxima]])</f>
        <v/>
      </c>
      <c r="G587" s="15"/>
      <c r="J587" s="15"/>
      <c r="K587" s="47"/>
      <c r="L587" s="76"/>
      <c r="M587" s="76"/>
      <c r="N587" s="78" t="str">
        <f>_xlfn.LET(
    _xlpm.itemBuscado, B587,
    _xlpm.areaBuscada, C587,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TEXT(COUNTIF($C$2:C587, _xlpm.areaBuscada), "0000"),
    _xlpm.codItem &amp; "-" &amp; _xlpm.codArea &amp; "-" &amp; _xlpm.secuencia
)</f>
        <v>-SinArea-0000</v>
      </c>
      <c r="O587" s="77"/>
      <c r="P587" s="32"/>
      <c r="Q587" s="32"/>
      <c r="R587" s="32"/>
      <c r="S587" s="32"/>
    </row>
    <row r="588" spans="3:19" x14ac:dyDescent="0.3">
      <c r="C588" s="11"/>
      <c r="D588" s="32"/>
      <c r="E588" s="11"/>
      <c r="F588" t="str">
        <f>_xlfn.TEXTJOIN(", ",TRUE, Tabla38[[#This Row],[Tipo de escalera]],Tabla38[[#This Row],[Longitud]],Tabla38[[#This Row],[Carga Maxima]])</f>
        <v/>
      </c>
      <c r="G588" s="15"/>
      <c r="J588" s="15"/>
      <c r="K588" s="47"/>
      <c r="L588" s="76"/>
      <c r="M588" s="76"/>
      <c r="N588" s="78" t="str">
        <f>_xlfn.LET(
    _xlpm.itemBuscado, B588,
    _xlpm.areaBuscada, C588,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TEXT(COUNTIF($C$2:C588, _xlpm.areaBuscada), "0000"),
    _xlpm.codItem &amp; "-" &amp; _xlpm.codArea &amp; "-" &amp; _xlpm.secuencia
)</f>
        <v>-SinArea-0000</v>
      </c>
      <c r="O588" s="77"/>
      <c r="P588" s="32"/>
      <c r="Q588" s="32"/>
      <c r="R588" s="32"/>
      <c r="S588" s="32"/>
    </row>
    <row r="589" spans="3:19" x14ac:dyDescent="0.3">
      <c r="C589" s="11"/>
      <c r="D589" s="32"/>
      <c r="E589" s="11"/>
      <c r="F589" t="str">
        <f>_xlfn.TEXTJOIN(", ",TRUE, Tabla38[[#This Row],[Tipo de escalera]],Tabla38[[#This Row],[Longitud]],Tabla38[[#This Row],[Carga Maxima]])</f>
        <v/>
      </c>
      <c r="G589" s="15"/>
      <c r="J589" s="15"/>
      <c r="K589" s="47"/>
      <c r="L589" s="76"/>
      <c r="M589" s="76"/>
      <c r="N589" s="78" t="str">
        <f>_xlfn.LET(
    _xlpm.itemBuscado, B589,
    _xlpm.areaBuscada, C589,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TEXT(COUNTIF($C$2:C589, _xlpm.areaBuscada), "0000"),
    _xlpm.codItem &amp; "-" &amp; _xlpm.codArea &amp; "-" &amp; _xlpm.secuencia
)</f>
        <v>-SinArea-0000</v>
      </c>
      <c r="O589" s="77"/>
      <c r="P589" s="32"/>
      <c r="Q589" s="32"/>
      <c r="R589" s="32"/>
      <c r="S589" s="32"/>
    </row>
    <row r="590" spans="3:19" x14ac:dyDescent="0.3">
      <c r="C590" s="11"/>
      <c r="D590" s="32"/>
      <c r="E590" s="11"/>
      <c r="F590" t="str">
        <f>_xlfn.TEXTJOIN(", ",TRUE, Tabla38[[#This Row],[Tipo de escalera]],Tabla38[[#This Row],[Longitud]],Tabla38[[#This Row],[Carga Maxima]])</f>
        <v/>
      </c>
      <c r="G590" s="15"/>
      <c r="J590" s="15"/>
      <c r="K590" s="47"/>
      <c r="L590" s="76"/>
      <c r="M590" s="76"/>
      <c r="N590" s="78" t="str">
        <f>_xlfn.LET(
    _xlpm.itemBuscado, B590,
    _xlpm.areaBuscada, C590,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TEXT(COUNTIF($C$2:C590, _xlpm.areaBuscada), "0000"),
    _xlpm.codItem &amp; "-" &amp; _xlpm.codArea &amp; "-" &amp; _xlpm.secuencia
)</f>
        <v>-SinArea-0000</v>
      </c>
      <c r="O590" s="77"/>
      <c r="P590" s="32"/>
      <c r="Q590" s="32"/>
      <c r="R590" s="32"/>
      <c r="S590" s="32"/>
    </row>
    <row r="591" spans="3:19" x14ac:dyDescent="0.3">
      <c r="C591" s="11"/>
      <c r="D591" s="32"/>
      <c r="E591" s="11"/>
      <c r="F591" t="str">
        <f>_xlfn.TEXTJOIN(", ",TRUE, Tabla38[[#This Row],[Tipo de escalera]],Tabla38[[#This Row],[Longitud]],Tabla38[[#This Row],[Carga Maxima]])</f>
        <v/>
      </c>
      <c r="G591" s="15"/>
      <c r="J591" s="15"/>
      <c r="K591" s="47"/>
      <c r="L591" s="76"/>
      <c r="M591" s="76"/>
      <c r="N591" s="78" t="str">
        <f>_xlfn.LET(
    _xlpm.itemBuscado, B591,
    _xlpm.areaBuscada, C591,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TEXT(COUNTIF($C$2:C591, _xlpm.areaBuscada), "0000"),
    _xlpm.codItem &amp; "-" &amp; _xlpm.codArea &amp; "-" &amp; _xlpm.secuencia
)</f>
        <v>-SinArea-0000</v>
      </c>
      <c r="O591" s="77"/>
      <c r="P591" s="32"/>
      <c r="Q591" s="32"/>
      <c r="R591" s="32"/>
      <c r="S591" s="32"/>
    </row>
    <row r="592" spans="3:19" x14ac:dyDescent="0.3">
      <c r="C592" s="11"/>
      <c r="D592" s="32"/>
      <c r="E592" s="11"/>
      <c r="F592" t="str">
        <f>_xlfn.TEXTJOIN(", ",TRUE, Tabla38[[#This Row],[Tipo de escalera]],Tabla38[[#This Row],[Longitud]],Tabla38[[#This Row],[Carga Maxima]])</f>
        <v/>
      </c>
      <c r="G592" s="15"/>
      <c r="J592" s="15"/>
      <c r="K592" s="47"/>
      <c r="L592" s="76"/>
      <c r="M592" s="76"/>
      <c r="N592" s="78" t="str">
        <f>_xlfn.LET(
    _xlpm.itemBuscado, B592,
    _xlpm.areaBuscada, C592,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TEXT(COUNTIF($C$2:C592, _xlpm.areaBuscada), "0000"),
    _xlpm.codItem &amp; "-" &amp; _xlpm.codArea &amp; "-" &amp; _xlpm.secuencia
)</f>
        <v>-SinArea-0000</v>
      </c>
      <c r="O592" s="77"/>
      <c r="P592" s="32"/>
      <c r="Q592" s="32"/>
      <c r="R592" s="32"/>
      <c r="S592" s="32"/>
    </row>
    <row r="593" spans="3:19" x14ac:dyDescent="0.3">
      <c r="C593" s="11"/>
      <c r="D593" s="32"/>
      <c r="E593" s="11"/>
      <c r="F593" t="str">
        <f>_xlfn.TEXTJOIN(", ",TRUE, Tabla38[[#This Row],[Tipo de escalera]],Tabla38[[#This Row],[Longitud]],Tabla38[[#This Row],[Carga Maxima]])</f>
        <v/>
      </c>
      <c r="G593" s="15"/>
      <c r="J593" s="15"/>
      <c r="K593" s="47"/>
      <c r="L593" s="76"/>
      <c r="M593" s="76"/>
      <c r="N593" s="78" t="str">
        <f>_xlfn.LET(
    _xlpm.itemBuscado, B593,
    _xlpm.areaBuscada, C593,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TEXT(COUNTIF($C$2:C593, _xlpm.areaBuscada), "0000"),
    _xlpm.codItem &amp; "-" &amp; _xlpm.codArea &amp; "-" &amp; _xlpm.secuencia
)</f>
        <v>-SinArea-0000</v>
      </c>
      <c r="O593" s="77"/>
      <c r="P593" s="32"/>
      <c r="Q593" s="32"/>
      <c r="R593" s="32"/>
      <c r="S593" s="32"/>
    </row>
    <row r="594" spans="3:19" x14ac:dyDescent="0.3">
      <c r="C594" s="11"/>
      <c r="D594" s="32"/>
      <c r="E594" s="11"/>
      <c r="F594" t="str">
        <f>_xlfn.TEXTJOIN(", ",TRUE, Tabla38[[#This Row],[Tipo de escalera]],Tabla38[[#This Row],[Longitud]],Tabla38[[#This Row],[Carga Maxima]])</f>
        <v/>
      </c>
      <c r="G594" s="15"/>
      <c r="J594" s="15"/>
      <c r="K594" s="47"/>
      <c r="L594" s="76"/>
      <c r="M594" s="76"/>
      <c r="N594" s="78" t="str">
        <f>_xlfn.LET(
    _xlpm.itemBuscado, B594,
    _xlpm.areaBuscada, C594,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TEXT(COUNTIF($C$2:C594, _xlpm.areaBuscada), "0000"),
    _xlpm.codItem &amp; "-" &amp; _xlpm.codArea &amp; "-" &amp; _xlpm.secuencia
)</f>
        <v>-SinArea-0000</v>
      </c>
      <c r="O594" s="77"/>
      <c r="P594" s="32"/>
      <c r="Q594" s="32"/>
      <c r="R594" s="32"/>
      <c r="S594" s="32"/>
    </row>
    <row r="595" spans="3:19" x14ac:dyDescent="0.3">
      <c r="C595" s="11"/>
      <c r="D595" s="32"/>
      <c r="E595" s="11"/>
      <c r="F595" t="str">
        <f>_xlfn.TEXTJOIN(", ",TRUE, Tabla38[[#This Row],[Tipo de escalera]],Tabla38[[#This Row],[Longitud]],Tabla38[[#This Row],[Carga Maxima]])</f>
        <v/>
      </c>
      <c r="G595" s="15"/>
      <c r="J595" s="15"/>
      <c r="K595" s="47"/>
      <c r="L595" s="76"/>
      <c r="M595" s="76"/>
      <c r="N595" s="78" t="str">
        <f>_xlfn.LET(
    _xlpm.itemBuscado, B595,
    _xlpm.areaBuscada, C595,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TEXT(COUNTIF($C$2:C595, _xlpm.areaBuscada), "0000"),
    _xlpm.codItem &amp; "-" &amp; _xlpm.codArea &amp; "-" &amp; _xlpm.secuencia
)</f>
        <v>-SinArea-0000</v>
      </c>
      <c r="O595" s="77"/>
      <c r="P595" s="32"/>
      <c r="Q595" s="32"/>
      <c r="R595" s="32"/>
      <c r="S595" s="32"/>
    </row>
    <row r="596" spans="3:19" x14ac:dyDescent="0.3">
      <c r="C596" s="11"/>
      <c r="D596" s="32"/>
      <c r="E596" s="11"/>
      <c r="F596" t="str">
        <f>_xlfn.TEXTJOIN(", ",TRUE, Tabla38[[#This Row],[Tipo de escalera]],Tabla38[[#This Row],[Longitud]],Tabla38[[#This Row],[Carga Maxima]])</f>
        <v/>
      </c>
      <c r="G596" s="15"/>
      <c r="J596" s="15"/>
      <c r="K596" s="47"/>
      <c r="L596" s="76"/>
      <c r="M596" s="76"/>
      <c r="N596" s="78" t="str">
        <f>_xlfn.LET(
    _xlpm.itemBuscado, B596,
    _xlpm.areaBuscada, C596,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TEXT(COUNTIF($C$2:C596, _xlpm.areaBuscada), "0000"),
    _xlpm.codItem &amp; "-" &amp; _xlpm.codArea &amp; "-" &amp; _xlpm.secuencia
)</f>
        <v>-SinArea-0000</v>
      </c>
      <c r="O596" s="77"/>
      <c r="P596" s="32"/>
      <c r="Q596" s="32"/>
      <c r="R596" s="32"/>
      <c r="S596" s="32"/>
    </row>
    <row r="597" spans="3:19" x14ac:dyDescent="0.3">
      <c r="C597" s="11"/>
      <c r="D597" s="32"/>
      <c r="E597" s="11"/>
      <c r="F597" t="str">
        <f>_xlfn.TEXTJOIN(", ",TRUE, Tabla38[[#This Row],[Tipo de escalera]],Tabla38[[#This Row],[Longitud]],Tabla38[[#This Row],[Carga Maxima]])</f>
        <v/>
      </c>
      <c r="G597" s="15"/>
      <c r="J597" s="15"/>
      <c r="K597" s="47"/>
      <c r="L597" s="76"/>
      <c r="M597" s="76"/>
      <c r="N597" s="78" t="str">
        <f>_xlfn.LET(
    _xlpm.itemBuscado, B597,
    _xlpm.areaBuscada, C597,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TEXT(COUNTIF($C$2:C597, _xlpm.areaBuscada), "0000"),
    _xlpm.codItem &amp; "-" &amp; _xlpm.codArea &amp; "-" &amp; _xlpm.secuencia
)</f>
        <v>-SinArea-0000</v>
      </c>
      <c r="O597" s="77"/>
      <c r="P597" s="32"/>
      <c r="Q597" s="32"/>
      <c r="R597" s="32"/>
      <c r="S597" s="32"/>
    </row>
    <row r="598" spans="3:19" x14ac:dyDescent="0.3">
      <c r="C598" s="11"/>
      <c r="D598" s="32"/>
      <c r="E598" s="11"/>
      <c r="F598" t="str">
        <f>_xlfn.TEXTJOIN(", ",TRUE, Tabla38[[#This Row],[Tipo de escalera]],Tabla38[[#This Row],[Longitud]],Tabla38[[#This Row],[Carga Maxima]])</f>
        <v/>
      </c>
      <c r="G598" s="15"/>
      <c r="J598" s="15"/>
      <c r="K598" s="47"/>
      <c r="L598" s="76"/>
      <c r="M598" s="76"/>
      <c r="N598" s="78" t="str">
        <f>_xlfn.LET(
    _xlpm.itemBuscado, B598,
    _xlpm.areaBuscada, C598,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TEXT(COUNTIF($C$2:C598, _xlpm.areaBuscada), "0000"),
    _xlpm.codItem &amp; "-" &amp; _xlpm.codArea &amp; "-" &amp; _xlpm.secuencia
)</f>
        <v>-SinArea-0000</v>
      </c>
      <c r="O598" s="77"/>
      <c r="P598" s="32"/>
      <c r="Q598" s="32"/>
      <c r="R598" s="32"/>
      <c r="S598" s="32"/>
    </row>
    <row r="599" spans="3:19" x14ac:dyDescent="0.3">
      <c r="C599" s="11"/>
      <c r="D599" s="32"/>
      <c r="E599" s="11"/>
      <c r="F599" t="str">
        <f>_xlfn.TEXTJOIN(", ",TRUE, Tabla38[[#This Row],[Tipo de escalera]],Tabla38[[#This Row],[Longitud]],Tabla38[[#This Row],[Carga Maxima]])</f>
        <v/>
      </c>
      <c r="G599" s="15"/>
      <c r="J599" s="15"/>
      <c r="K599" s="47"/>
      <c r="L599" s="76"/>
      <c r="M599" s="76"/>
      <c r="N599" s="78" t="str">
        <f>_xlfn.LET(
    _xlpm.itemBuscado, B599,
    _xlpm.areaBuscada, C599,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TEXT(COUNTIF($C$2:C599, _xlpm.areaBuscada), "0000"),
    _xlpm.codItem &amp; "-" &amp; _xlpm.codArea &amp; "-" &amp; _xlpm.secuencia
)</f>
        <v>-SinArea-0000</v>
      </c>
      <c r="O599" s="77"/>
      <c r="P599" s="32"/>
      <c r="Q599" s="32"/>
      <c r="R599" s="32"/>
      <c r="S599" s="32"/>
    </row>
    <row r="600" spans="3:19" x14ac:dyDescent="0.3">
      <c r="C600" s="11"/>
      <c r="D600" s="32"/>
      <c r="E600" s="11"/>
      <c r="F600" t="str">
        <f>_xlfn.TEXTJOIN(", ",TRUE, Tabla38[[#This Row],[Tipo de escalera]],Tabla38[[#This Row],[Longitud]],Tabla38[[#This Row],[Carga Maxima]])</f>
        <v/>
      </c>
      <c r="G600" s="15"/>
      <c r="J600" s="15"/>
      <c r="K600" s="47"/>
      <c r="L600" s="76"/>
      <c r="M600" s="76"/>
      <c r="N600" s="78" t="str">
        <f>_xlfn.LET(
    _xlpm.itemBuscado, B600,
    _xlpm.areaBuscada, C600,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TEXT(COUNTIF($C$2:C600, _xlpm.areaBuscada), "0000"),
    _xlpm.codItem &amp; "-" &amp; _xlpm.codArea &amp; "-" &amp; _xlpm.secuencia
)</f>
        <v>-SinArea-0000</v>
      </c>
      <c r="O600" s="77"/>
      <c r="P600" s="32"/>
      <c r="Q600" s="32"/>
      <c r="R600" s="32"/>
      <c r="S600" s="32"/>
    </row>
    <row r="601" spans="3:19" x14ac:dyDescent="0.3">
      <c r="C601" s="11"/>
      <c r="D601" s="32"/>
      <c r="E601" s="11"/>
      <c r="F601" t="str">
        <f>_xlfn.TEXTJOIN(", ",TRUE, Tabla38[[#This Row],[Tipo de escalera]],Tabla38[[#This Row],[Longitud]],Tabla38[[#This Row],[Carga Maxima]])</f>
        <v/>
      </c>
      <c r="G601" s="15"/>
      <c r="J601" s="15"/>
      <c r="K601" s="47"/>
      <c r="L601" s="76"/>
      <c r="M601" s="76"/>
      <c r="N601" s="78" t="str">
        <f>_xlfn.LET(
    _xlpm.itemBuscado, B601,
    _xlpm.areaBuscada, C601,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TEXT(COUNTIF($C$2:C601, _xlpm.areaBuscada), "0000"),
    _xlpm.codItem &amp; "-" &amp; _xlpm.codArea &amp; "-" &amp; _xlpm.secuencia
)</f>
        <v>-SinArea-0000</v>
      </c>
      <c r="O601" s="77"/>
      <c r="P601" s="32"/>
      <c r="Q601" s="32"/>
      <c r="R601" s="32"/>
      <c r="S601" s="32"/>
    </row>
    <row r="602" spans="3:19" x14ac:dyDescent="0.3">
      <c r="C602" s="11"/>
      <c r="D602" s="32"/>
      <c r="E602" s="11"/>
      <c r="F602" t="str">
        <f>_xlfn.TEXTJOIN(", ",TRUE, Tabla38[[#This Row],[Tipo de escalera]],Tabla38[[#This Row],[Longitud]],Tabla38[[#This Row],[Carga Maxima]])</f>
        <v/>
      </c>
      <c r="G602" s="15"/>
      <c r="J602" s="15"/>
      <c r="K602" s="47"/>
      <c r="L602" s="76"/>
      <c r="M602" s="76"/>
      <c r="N602" s="78" t="str">
        <f>_xlfn.LET(
    _xlpm.itemBuscado, B602,
    _xlpm.areaBuscada, C602,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TEXT(COUNTIF($C$2:C602, _xlpm.areaBuscada), "0000"),
    _xlpm.codItem &amp; "-" &amp; _xlpm.codArea &amp; "-" &amp; _xlpm.secuencia
)</f>
        <v>-SinArea-0000</v>
      </c>
      <c r="O602" s="77"/>
      <c r="P602" s="32"/>
      <c r="Q602" s="32"/>
      <c r="R602" s="32"/>
      <c r="S602" s="32"/>
    </row>
    <row r="603" spans="3:19" x14ac:dyDescent="0.3">
      <c r="C603" s="11"/>
      <c r="D603" s="32"/>
      <c r="E603" s="11"/>
      <c r="F603" t="str">
        <f>_xlfn.TEXTJOIN(", ",TRUE, Tabla38[[#This Row],[Tipo de escalera]],Tabla38[[#This Row],[Longitud]],Tabla38[[#This Row],[Carga Maxima]])</f>
        <v/>
      </c>
      <c r="G603" s="15"/>
      <c r="J603" s="15"/>
      <c r="K603" s="47"/>
      <c r="L603" s="76"/>
      <c r="M603" s="76"/>
      <c r="N603" s="78" t="str">
        <f>_xlfn.LET(
    _xlpm.itemBuscado, B603,
    _xlpm.areaBuscada, C603,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TEXT(COUNTIF($C$2:C603, _xlpm.areaBuscada), "0000"),
    _xlpm.codItem &amp; "-" &amp; _xlpm.codArea &amp; "-" &amp; _xlpm.secuencia
)</f>
        <v>-SinArea-0000</v>
      </c>
      <c r="O603" s="77"/>
      <c r="P603" s="32"/>
      <c r="Q603" s="32"/>
      <c r="R603" s="32"/>
      <c r="S603" s="32"/>
    </row>
    <row r="604" spans="3:19" x14ac:dyDescent="0.3">
      <c r="C604" s="11"/>
      <c r="D604" s="32"/>
      <c r="E604" s="11"/>
      <c r="F604" t="str">
        <f>_xlfn.TEXTJOIN(", ",TRUE, Tabla38[[#This Row],[Tipo de escalera]],Tabla38[[#This Row],[Longitud]],Tabla38[[#This Row],[Carga Maxima]])</f>
        <v/>
      </c>
      <c r="G604" s="15"/>
      <c r="J604" s="15"/>
      <c r="K604" s="47"/>
      <c r="L604" s="76"/>
      <c r="M604" s="76"/>
      <c r="N604" s="78" t="str">
        <f>_xlfn.LET(
    _xlpm.itemBuscado, B604,
    _xlpm.areaBuscada, C604,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TEXT(COUNTIF($C$2:C604, _xlpm.areaBuscada), "0000"),
    _xlpm.codItem &amp; "-" &amp; _xlpm.codArea &amp; "-" &amp; _xlpm.secuencia
)</f>
        <v>-SinArea-0000</v>
      </c>
      <c r="O604" s="77"/>
      <c r="P604" s="32"/>
      <c r="Q604" s="32"/>
      <c r="R604" s="32"/>
      <c r="S604" s="32"/>
    </row>
    <row r="605" spans="3:19" x14ac:dyDescent="0.3">
      <c r="C605" s="11"/>
      <c r="D605" s="32"/>
      <c r="E605" s="11"/>
      <c r="F605" t="str">
        <f>_xlfn.TEXTJOIN(", ",TRUE, Tabla38[[#This Row],[Tipo de escalera]],Tabla38[[#This Row],[Longitud]],Tabla38[[#This Row],[Carga Maxima]])</f>
        <v/>
      </c>
      <c r="G605" s="15"/>
      <c r="J605" s="15"/>
      <c r="K605" s="47"/>
      <c r="L605" s="76"/>
      <c r="M605" s="76"/>
      <c r="N605" s="78" t="str">
        <f>_xlfn.LET(
    _xlpm.itemBuscado, B605,
    _xlpm.areaBuscada, C605,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TEXT(COUNTIF($C$2:C605, _xlpm.areaBuscada), "0000"),
    _xlpm.codItem &amp; "-" &amp; _xlpm.codArea &amp; "-" &amp; _xlpm.secuencia
)</f>
        <v>-SinArea-0000</v>
      </c>
      <c r="O605" s="77"/>
      <c r="P605" s="32"/>
      <c r="Q605" s="32"/>
      <c r="R605" s="32"/>
      <c r="S605" s="32"/>
    </row>
    <row r="606" spans="3:19" x14ac:dyDescent="0.3">
      <c r="C606" s="11"/>
      <c r="D606" s="32"/>
      <c r="E606" s="11"/>
      <c r="F606" t="str">
        <f>_xlfn.TEXTJOIN(", ",TRUE, Tabla38[[#This Row],[Tipo de escalera]],Tabla38[[#This Row],[Longitud]],Tabla38[[#This Row],[Carga Maxima]])</f>
        <v/>
      </c>
      <c r="G606" s="15"/>
      <c r="J606" s="15"/>
      <c r="K606" s="47"/>
      <c r="L606" s="76"/>
      <c r="M606" s="76"/>
      <c r="N606" s="78" t="str">
        <f>_xlfn.LET(
    _xlpm.itemBuscado, B606,
    _xlpm.areaBuscada, C606,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TEXT(COUNTIF($C$2:C606, _xlpm.areaBuscada), "0000"),
    _xlpm.codItem &amp; "-" &amp; _xlpm.codArea &amp; "-" &amp; _xlpm.secuencia
)</f>
        <v>-SinArea-0000</v>
      </c>
      <c r="O606" s="77"/>
      <c r="P606" s="32"/>
      <c r="Q606" s="32"/>
      <c r="R606" s="32"/>
      <c r="S606" s="32"/>
    </row>
    <row r="607" spans="3:19" x14ac:dyDescent="0.3">
      <c r="C607" s="11"/>
      <c r="D607" s="32"/>
      <c r="E607" s="11"/>
      <c r="F607" t="str">
        <f>_xlfn.TEXTJOIN(", ",TRUE, Tabla38[[#This Row],[Tipo de escalera]],Tabla38[[#This Row],[Longitud]],Tabla38[[#This Row],[Carga Maxima]])</f>
        <v/>
      </c>
      <c r="G607" s="15"/>
      <c r="J607" s="15"/>
      <c r="K607" s="47"/>
      <c r="L607" s="76"/>
      <c r="M607" s="76"/>
      <c r="N607" s="78" t="str">
        <f>_xlfn.LET(
    _xlpm.itemBuscado, B607,
    _xlpm.areaBuscada, C607,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TEXT(COUNTIF($C$2:C607, _xlpm.areaBuscada), "0000"),
    _xlpm.codItem &amp; "-" &amp; _xlpm.codArea &amp; "-" &amp; _xlpm.secuencia
)</f>
        <v>-SinArea-0000</v>
      </c>
      <c r="O607" s="77"/>
      <c r="P607" s="32"/>
      <c r="Q607" s="32"/>
      <c r="R607" s="32"/>
      <c r="S607" s="32"/>
    </row>
    <row r="608" spans="3:19" x14ac:dyDescent="0.3">
      <c r="C608" s="11"/>
      <c r="D608" s="32"/>
      <c r="E608" s="11"/>
      <c r="F608" t="str">
        <f>_xlfn.TEXTJOIN(", ",TRUE, Tabla38[[#This Row],[Tipo de escalera]],Tabla38[[#This Row],[Longitud]],Tabla38[[#This Row],[Carga Maxima]])</f>
        <v/>
      </c>
      <c r="G608" s="15"/>
      <c r="J608" s="15"/>
      <c r="K608" s="47"/>
      <c r="L608" s="76"/>
      <c r="M608" s="76"/>
      <c r="N608" s="78" t="str">
        <f>_xlfn.LET(
    _xlpm.itemBuscado, B608,
    _xlpm.areaBuscada, C608,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TEXT(COUNTIF($C$2:C608, _xlpm.areaBuscada), "0000"),
    _xlpm.codItem &amp; "-" &amp; _xlpm.codArea &amp; "-" &amp; _xlpm.secuencia
)</f>
        <v>-SinArea-0000</v>
      </c>
      <c r="O608" s="77"/>
      <c r="P608" s="32"/>
      <c r="Q608" s="32"/>
      <c r="R608" s="32"/>
      <c r="S608" s="32"/>
    </row>
    <row r="609" spans="3:19" x14ac:dyDescent="0.3">
      <c r="C609" s="11"/>
      <c r="D609" s="32"/>
      <c r="E609" s="11"/>
      <c r="F609" t="str">
        <f>_xlfn.TEXTJOIN(", ",TRUE, Tabla38[[#This Row],[Tipo de escalera]],Tabla38[[#This Row],[Longitud]],Tabla38[[#This Row],[Carga Maxima]])</f>
        <v/>
      </c>
      <c r="G609" s="15"/>
      <c r="J609" s="15"/>
      <c r="K609" s="47"/>
      <c r="L609" s="76"/>
      <c r="M609" s="76"/>
      <c r="N609" s="78" t="str">
        <f>_xlfn.LET(
    _xlpm.itemBuscado, B609,
    _xlpm.areaBuscada, C609,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TEXT(COUNTIF($C$2:C609, _xlpm.areaBuscada), "0000"),
    _xlpm.codItem &amp; "-" &amp; _xlpm.codArea &amp; "-" &amp; _xlpm.secuencia
)</f>
        <v>-SinArea-0000</v>
      </c>
      <c r="O609" s="77"/>
      <c r="P609" s="32"/>
      <c r="Q609" s="32"/>
      <c r="R609" s="32"/>
      <c r="S609" s="32"/>
    </row>
    <row r="610" spans="3:19" x14ac:dyDescent="0.3">
      <c r="C610" s="11"/>
      <c r="D610" s="32"/>
      <c r="E610" s="11"/>
      <c r="F610" t="str">
        <f>_xlfn.TEXTJOIN(", ",TRUE, Tabla38[[#This Row],[Tipo de escalera]],Tabla38[[#This Row],[Longitud]],Tabla38[[#This Row],[Carga Maxima]])</f>
        <v/>
      </c>
      <c r="G610" s="15"/>
      <c r="J610" s="15"/>
      <c r="K610" s="47"/>
      <c r="L610" s="76"/>
      <c r="M610" s="76"/>
      <c r="N610" s="78" t="str">
        <f>_xlfn.LET(
    _xlpm.itemBuscado, B610,
    _xlpm.areaBuscada, C610,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TEXT(COUNTIF($C$2:C610, _xlpm.areaBuscada), "0000"),
    _xlpm.codItem &amp; "-" &amp; _xlpm.codArea &amp; "-" &amp; _xlpm.secuencia
)</f>
        <v>-SinArea-0000</v>
      </c>
      <c r="O610" s="77"/>
      <c r="P610" s="32"/>
      <c r="Q610" s="32"/>
      <c r="R610" s="32"/>
      <c r="S610" s="32"/>
    </row>
    <row r="611" spans="3:19" x14ac:dyDescent="0.3">
      <c r="C611" s="11"/>
      <c r="D611" s="32"/>
      <c r="E611" s="11"/>
      <c r="F611" t="str">
        <f>_xlfn.TEXTJOIN(", ",TRUE, Tabla38[[#This Row],[Tipo de escalera]],Tabla38[[#This Row],[Longitud]],Tabla38[[#This Row],[Carga Maxima]])</f>
        <v/>
      </c>
      <c r="G611" s="15"/>
      <c r="J611" s="15"/>
      <c r="K611" s="47"/>
      <c r="L611" s="76"/>
      <c r="M611" s="76"/>
      <c r="N611" s="78" t="str">
        <f>_xlfn.LET(
    _xlpm.itemBuscado, B611,
    _xlpm.areaBuscada, C611,
    _xlpm.codItem, _xlfn.XLOOKUP(_xlpm.itemBuscado, Tabla12[Columna1], Tabla12[ZM ( MISC MECHANICALS ITEMS )],
             _xlfn.XLOOKUP(_xlpm.itemBuscado, Tabla12[Columna2], Tabla12[ZE (MISC ELECTRICAL ITEMS)],
             _xlfn.XLOOKUP(_xlpm.itemBuscado, Tabla12[Columna3], Tabla12[ZI (MISC INSTRUMENTATIONS ITEMS)],
             _xlfn.XLOOKUP(_xlpm.itemBuscado, Tabla12[Columna4], Tabla12[ZZ (MISCELANEOUS ITEMS)], "SinItem")))),
    _xlpm.codArea, _xlfn.XLOOKUP(_xlpm.areaBuscada, Tabla11[Areas], Tabla11[Codigo], "SinArea"),
    _xlpm.secuencia, TEXT(COUNTIF($C$2:C611, _xlpm.areaBuscada), "0000"),
    _xlpm.codItem &amp; "-" &amp; _xlpm.codArea &amp; "-" &amp; _xlpm.secuencia
)</f>
        <v>-SinArea-0000</v>
      </c>
      <c r="O611" s="77"/>
      <c r="P611" s="32"/>
      <c r="Q611" s="32"/>
      <c r="R611" s="32"/>
      <c r="S611" s="32"/>
    </row>
    <row r="612" spans="3:19" x14ac:dyDescent="0.3">
      <c r="C612" s="11"/>
    </row>
    <row r="613" spans="3:19" x14ac:dyDescent="0.3">
      <c r="C613" s="11"/>
    </row>
    <row r="614" spans="3:19" x14ac:dyDescent="0.3">
      <c r="C614" s="11"/>
    </row>
    <row r="615" spans="3:19" x14ac:dyDescent="0.3">
      <c r="C615" s="11"/>
    </row>
    <row r="616" spans="3:19" x14ac:dyDescent="0.3">
      <c r="C616" s="11"/>
    </row>
    <row r="617" spans="3:19" x14ac:dyDescent="0.3">
      <c r="C617" s="11"/>
    </row>
    <row r="618" spans="3:19" x14ac:dyDescent="0.3">
      <c r="C618" s="11"/>
    </row>
  </sheetData>
  <phoneticPr fontId="13" type="noConversion"/>
  <dataValidations xWindow="822" yWindow="576" count="10">
    <dataValidation type="list" allowBlank="1" showInputMessage="1" showErrorMessage="1" sqref="E2:E203" xr:uid="{3AE142A0-C753-4BAF-8434-F6C3CEB8C178}">
      <formula1>$AE$1:$AL$1</formula1>
    </dataValidation>
    <dataValidation type="list" allowBlank="1" showInputMessage="1" showErrorMessage="1" sqref="E204:E615" xr:uid="{8CC0321D-D6C2-473F-9FDC-97652290371B}">
      <formula1>$AB$2:$AB$7</formula1>
    </dataValidation>
    <dataValidation type="list" allowBlank="1" showInputMessage="1" showErrorMessage="1" sqref="C2:C618" xr:uid="{1977AD4C-1987-4BD5-9F0A-9BDCF4659F81}">
      <formula1>$V$2:$V$13</formula1>
    </dataValidation>
    <dataValidation type="list" allowBlank="1" showInputMessage="1" promptTitle="Guia" prompt="puede realizar Las siguientes opciones_x000a_si eligio electricos tiene las siguientes opciones de una posible sublista_x000a_" sqref="F140:F613 G612:G613 H142:I613" xr:uid="{26505D48-04FB-4B5B-902F-B5BA207110FA}">
      <formula1>INDIRECT($E$2:$E$611)</formula1>
    </dataValidation>
    <dataValidation allowBlank="1" showInputMessage="1" showErrorMessage="1" sqref="D140:D618" xr:uid="{3761962D-6344-4F68-BC5F-E230AF28AC07}"/>
    <dataValidation type="list" allowBlank="1" showInputMessage="1" showErrorMessage="1" sqref="Q2:Q611" xr:uid="{C86417F5-552B-45B4-95E2-36094E3BDFF9}">
      <formula1>$AA$10:$AA$12</formula1>
    </dataValidation>
    <dataValidation type="list" allowBlank="1" showInputMessage="1" promptTitle="Guia" prompt="Si tiene dudas sobre que dato colocar consulte las siguientes tablas y no olvide revisar los comentarios_x000a__x000a_" sqref="F2:F139 H2:I141" xr:uid="{76EA7047-BE13-48B6-B905-5449373BC8E4}">
      <formula1>INDIRECT($E$2:$E$611)</formula1>
    </dataValidation>
    <dataValidation type="whole" allowBlank="1" showInputMessage="1" showErrorMessage="1" sqref="D2:D139" xr:uid="{70A6D8BD-3F98-4C48-BB10-F3CDF9DE6D4A}">
      <formula1>1</formula1>
      <formula2>100</formula2>
    </dataValidation>
    <dataValidation type="list" allowBlank="1" showInputMessage="1" showErrorMessage="1" sqref="R2:R611" xr:uid="{60948A86-B661-43C1-9F21-0398B5B1C970}">
      <formula1>$Y$2:$Y$4</formula1>
    </dataValidation>
    <dataValidation type="list" allowBlank="1" showInputMessage="1" promptTitle="Guia" prompt="Si tiene dudas sobre que dato colocar consulte las siguientes tablas y no olvide revisar los comentarios_x000a__x000a_" sqref="G2:G611" xr:uid="{E25C4ABD-BC06-4F1C-8B19-73C9A77ACCA1}">
      <formula1>$V$16:$V$19</formula1>
    </dataValidation>
  </dataValidations>
  <pageMargins left="0.7" right="0.7" top="0.75" bottom="0.75" header="0.3" footer="0.3"/>
  <ignoredErrors>
    <ignoredError sqref="F54" listDataValidation="1"/>
    <ignoredError sqref="F57" calculatedColumn="1"/>
  </ignoredErrors>
  <legacyDrawing r:id="rId1"/>
  <tableParts count="44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</tableParts>
  <extLst>
    <ext xmlns:x14="http://schemas.microsoft.com/office/spreadsheetml/2009/9/main" uri="{CCE6A557-97BC-4b89-ADB6-D9C93CAAB3DF}">
      <x14:dataValidations xmlns:xm="http://schemas.microsoft.com/office/excel/2006/main" xWindow="822" yWindow="576" count="2">
        <x14:dataValidation type="list" allowBlank="1" showInputMessage="1" showErrorMessage="1" xr:uid="{8DFFD39D-6372-4CC4-B3A5-7378F634C3A5}">
          <x14:formula1>
            <xm:f>Hoja2!$B$3:$B$79</xm:f>
          </x14:formula1>
          <xm:sqref>B157:B611</xm:sqref>
        </x14:dataValidation>
        <x14:dataValidation type="list" allowBlank="1" showInputMessage="1" showErrorMessage="1" xr:uid="{EF003D7E-0D88-4174-881E-62DE297DD988}">
          <x14:formula1>
            <xm:f>Hoja2!$B$3:$B$80</xm:f>
          </x14:formula1>
          <xm:sqref>B2:B156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3C951-E272-4C1F-A40D-378B47AB2F4F}">
  <dimension ref="B2:W24"/>
  <sheetViews>
    <sheetView topLeftCell="C2" zoomScale="55" zoomScaleNormal="55" workbookViewId="0">
      <selection activeCell="I23" sqref="I23"/>
    </sheetView>
  </sheetViews>
  <sheetFormatPr baseColWidth="10" defaultColWidth="11.44140625" defaultRowHeight="14.4" x14ac:dyDescent="0.3"/>
  <cols>
    <col min="2" max="3" width="31.44140625" customWidth="1"/>
    <col min="4" max="5" width="27.33203125" customWidth="1"/>
    <col min="6" max="7" width="34.6640625" customWidth="1"/>
    <col min="8" max="9" width="26" customWidth="1"/>
    <col min="11" max="11" width="23.44140625" bestFit="1" customWidth="1"/>
    <col min="12" max="12" width="25.44140625" bestFit="1" customWidth="1"/>
    <col min="13" max="13" width="26.44140625" bestFit="1" customWidth="1"/>
    <col min="14" max="14" width="24.6640625" bestFit="1" customWidth="1"/>
    <col min="15" max="15" width="25" bestFit="1" customWidth="1"/>
    <col min="16" max="16" width="11.109375" bestFit="1" customWidth="1"/>
    <col min="17" max="17" width="22.44140625" bestFit="1" customWidth="1"/>
    <col min="18" max="18" width="8" bestFit="1" customWidth="1"/>
    <col min="19" max="19" width="20.33203125" bestFit="1" customWidth="1"/>
    <col min="20" max="20" width="18.44140625" bestFit="1" customWidth="1"/>
    <col min="22" max="22" width="11.33203125" bestFit="1" customWidth="1"/>
    <col min="23" max="23" width="9.109375" bestFit="1" customWidth="1"/>
  </cols>
  <sheetData>
    <row r="2" spans="2:23" x14ac:dyDescent="0.3">
      <c r="B2" s="97" t="s">
        <v>193</v>
      </c>
      <c r="C2" s="98"/>
      <c r="D2" s="98"/>
      <c r="E2" s="98"/>
      <c r="F2" s="98"/>
      <c r="G2" s="98"/>
      <c r="H2" s="99"/>
      <c r="I2" s="35"/>
      <c r="K2" s="1" t="s">
        <v>4</v>
      </c>
      <c r="L2" s="2" t="s">
        <v>5</v>
      </c>
      <c r="M2" s="3" t="s">
        <v>6</v>
      </c>
      <c r="N2" s="2" t="s">
        <v>7</v>
      </c>
      <c r="O2" s="3" t="s">
        <v>8</v>
      </c>
      <c r="P2" s="3" t="s">
        <v>160</v>
      </c>
      <c r="Q2" s="2" t="s">
        <v>9</v>
      </c>
      <c r="R2" s="4" t="s">
        <v>10</v>
      </c>
      <c r="S2" t="s">
        <v>11</v>
      </c>
      <c r="T2" t="s">
        <v>12</v>
      </c>
      <c r="V2" t="s">
        <v>170</v>
      </c>
      <c r="W2" t="s">
        <v>182</v>
      </c>
    </row>
    <row r="3" spans="2:23" x14ac:dyDescent="0.3">
      <c r="B3" s="32" t="s">
        <v>3</v>
      </c>
      <c r="C3" s="32" t="s">
        <v>194</v>
      </c>
      <c r="D3" s="32" t="s">
        <v>0</v>
      </c>
      <c r="E3" s="32" t="s">
        <v>195</v>
      </c>
      <c r="F3" s="32" t="s">
        <v>1</v>
      </c>
      <c r="G3" s="32" t="s">
        <v>196</v>
      </c>
      <c r="H3" s="32" t="s">
        <v>2</v>
      </c>
      <c r="I3" s="32" t="s">
        <v>197</v>
      </c>
      <c r="K3" s="5" t="s">
        <v>13</v>
      </c>
      <c r="L3" t="s">
        <v>14</v>
      </c>
      <c r="M3" t="s">
        <v>15</v>
      </c>
      <c r="N3" t="s">
        <v>16</v>
      </c>
      <c r="O3" s="6" t="s">
        <v>17</v>
      </c>
      <c r="P3" t="s">
        <v>18</v>
      </c>
      <c r="Q3" t="s">
        <v>19</v>
      </c>
      <c r="R3" s="6" t="s">
        <v>20</v>
      </c>
      <c r="S3" t="s">
        <v>21</v>
      </c>
      <c r="T3" s="7" t="s">
        <v>22</v>
      </c>
      <c r="V3" s="27" t="s">
        <v>171</v>
      </c>
      <c r="W3" s="31" t="s">
        <v>183</v>
      </c>
    </row>
    <row r="4" spans="2:23" x14ac:dyDescent="0.3">
      <c r="B4" s="32" t="s">
        <v>141</v>
      </c>
      <c r="C4" t="s">
        <v>16</v>
      </c>
      <c r="D4" s="32" t="s">
        <v>198</v>
      </c>
      <c r="E4" s="5" t="s">
        <v>13</v>
      </c>
      <c r="F4" s="32" t="s">
        <v>126</v>
      </c>
      <c r="G4" t="s">
        <v>15</v>
      </c>
      <c r="H4" s="32" t="s">
        <v>120</v>
      </c>
      <c r="I4" t="s">
        <v>14</v>
      </c>
      <c r="K4" s="6" t="s">
        <v>23</v>
      </c>
      <c r="L4" t="s">
        <v>24</v>
      </c>
      <c r="M4" t="s">
        <v>25</v>
      </c>
      <c r="N4" t="s">
        <v>26</v>
      </c>
      <c r="O4" s="6" t="s">
        <v>27</v>
      </c>
      <c r="P4" t="s">
        <v>28</v>
      </c>
      <c r="Q4" t="s">
        <v>29</v>
      </c>
      <c r="S4" s="8" t="s">
        <v>30</v>
      </c>
      <c r="T4" s="9" t="s">
        <v>31</v>
      </c>
      <c r="V4" s="27" t="s">
        <v>172</v>
      </c>
      <c r="W4" s="31" t="s">
        <v>189</v>
      </c>
    </row>
    <row r="5" spans="2:23" ht="28.8" x14ac:dyDescent="0.3">
      <c r="B5" s="32" t="s">
        <v>142</v>
      </c>
      <c r="C5" t="s">
        <v>26</v>
      </c>
      <c r="D5" s="32" t="s">
        <v>125</v>
      </c>
      <c r="E5" s="6" t="s">
        <v>23</v>
      </c>
      <c r="F5" s="32" t="s">
        <v>127</v>
      </c>
      <c r="G5" t="s">
        <v>25</v>
      </c>
      <c r="H5" s="32" t="s">
        <v>121</v>
      </c>
      <c r="I5" t="s">
        <v>24</v>
      </c>
      <c r="K5" s="10" t="s">
        <v>32</v>
      </c>
      <c r="L5" t="s">
        <v>33</v>
      </c>
      <c r="M5" t="s">
        <v>34</v>
      </c>
      <c r="N5" t="s">
        <v>35</v>
      </c>
      <c r="O5" s="5" t="s">
        <v>36</v>
      </c>
      <c r="P5" s="11" t="s">
        <v>1066</v>
      </c>
      <c r="Q5" t="s">
        <v>38</v>
      </c>
      <c r="S5" s="11" t="s">
        <v>39</v>
      </c>
      <c r="T5" s="7" t="s">
        <v>40</v>
      </c>
      <c r="V5" s="27" t="s">
        <v>173</v>
      </c>
      <c r="W5" s="31" t="s">
        <v>184</v>
      </c>
    </row>
    <row r="6" spans="2:23" ht="28.8" x14ac:dyDescent="0.3">
      <c r="B6" s="32" t="s">
        <v>143</v>
      </c>
      <c r="C6" t="s">
        <v>35</v>
      </c>
      <c r="D6" s="32" t="s">
        <v>104</v>
      </c>
      <c r="E6" s="10" t="s">
        <v>32</v>
      </c>
      <c r="F6" s="32" t="s">
        <v>128</v>
      </c>
      <c r="G6" t="s">
        <v>34</v>
      </c>
      <c r="H6" s="32" t="s">
        <v>122</v>
      </c>
      <c r="I6" t="s">
        <v>33</v>
      </c>
      <c r="K6" t="s">
        <v>41</v>
      </c>
      <c r="L6" t="s">
        <v>42</v>
      </c>
      <c r="M6" t="s">
        <v>43</v>
      </c>
      <c r="N6" t="s">
        <v>44</v>
      </c>
      <c r="O6" s="5" t="s">
        <v>45</v>
      </c>
      <c r="P6" t="s">
        <v>19</v>
      </c>
      <c r="Q6" t="s">
        <v>46</v>
      </c>
      <c r="S6" s="12" t="s">
        <v>47</v>
      </c>
      <c r="T6" s="9" t="s">
        <v>48</v>
      </c>
      <c r="V6" s="27" t="s">
        <v>174</v>
      </c>
      <c r="W6" s="31" t="s">
        <v>185</v>
      </c>
    </row>
    <row r="7" spans="2:23" ht="28.8" x14ac:dyDescent="0.3">
      <c r="B7" s="32" t="s">
        <v>144</v>
      </c>
      <c r="C7" t="s">
        <v>44</v>
      </c>
      <c r="D7" s="32" t="s">
        <v>105</v>
      </c>
      <c r="E7" t="s">
        <v>41</v>
      </c>
      <c r="F7" s="32" t="s">
        <v>129</v>
      </c>
      <c r="G7" t="s">
        <v>43</v>
      </c>
      <c r="H7" s="32" t="s">
        <v>123</v>
      </c>
      <c r="I7" t="s">
        <v>42</v>
      </c>
      <c r="K7" t="s">
        <v>49</v>
      </c>
      <c r="L7" t="s">
        <v>36</v>
      </c>
      <c r="M7" t="s">
        <v>50</v>
      </c>
      <c r="N7" t="s">
        <v>51</v>
      </c>
      <c r="O7" s="5" t="s">
        <v>52</v>
      </c>
      <c r="P7" t="s">
        <v>29</v>
      </c>
      <c r="S7" t="s">
        <v>53</v>
      </c>
      <c r="T7" s="7" t="s">
        <v>54</v>
      </c>
      <c r="V7" s="27" t="s">
        <v>175</v>
      </c>
      <c r="W7" s="31" t="s">
        <v>186</v>
      </c>
    </row>
    <row r="8" spans="2:23" ht="28.8" x14ac:dyDescent="0.3">
      <c r="B8" s="32" t="s">
        <v>145</v>
      </c>
      <c r="C8" t="s">
        <v>51</v>
      </c>
      <c r="D8" s="32" t="s">
        <v>106</v>
      </c>
      <c r="E8" t="s">
        <v>49</v>
      </c>
      <c r="F8" s="32" t="s">
        <v>130</v>
      </c>
      <c r="G8" t="s">
        <v>50</v>
      </c>
      <c r="H8" s="32" t="s">
        <v>124</v>
      </c>
      <c r="I8" t="s">
        <v>36</v>
      </c>
      <c r="K8" t="s">
        <v>55</v>
      </c>
      <c r="M8" s="11" t="s">
        <v>56</v>
      </c>
      <c r="N8" s="5" t="s">
        <v>57</v>
      </c>
      <c r="O8" t="s">
        <v>58</v>
      </c>
      <c r="P8" t="s">
        <v>38</v>
      </c>
      <c r="T8" s="13" t="s">
        <v>59</v>
      </c>
      <c r="V8" s="27" t="s">
        <v>176</v>
      </c>
      <c r="W8" s="31" t="s">
        <v>190</v>
      </c>
    </row>
    <row r="9" spans="2:23" ht="28.8" x14ac:dyDescent="0.3">
      <c r="B9" s="32" t="s">
        <v>146</v>
      </c>
      <c r="C9" s="5" t="s">
        <v>57</v>
      </c>
      <c r="D9" s="32" t="s">
        <v>107</v>
      </c>
      <c r="E9" t="s">
        <v>55</v>
      </c>
      <c r="F9" s="32" t="s">
        <v>131</v>
      </c>
      <c r="G9" s="11" t="s">
        <v>56</v>
      </c>
      <c r="H9" s="32" t="s">
        <v>161</v>
      </c>
      <c r="I9" s="6" t="s">
        <v>27</v>
      </c>
      <c r="K9" t="s">
        <v>60</v>
      </c>
      <c r="M9" s="11" t="s">
        <v>61</v>
      </c>
      <c r="N9" t="s">
        <v>62</v>
      </c>
      <c r="O9" t="s">
        <v>35</v>
      </c>
      <c r="P9" t="s">
        <v>46</v>
      </c>
      <c r="T9" s="14" t="s">
        <v>63</v>
      </c>
      <c r="V9" s="27" t="s">
        <v>177</v>
      </c>
      <c r="W9" s="31" t="s">
        <v>191</v>
      </c>
    </row>
    <row r="10" spans="2:23" ht="28.8" x14ac:dyDescent="0.3">
      <c r="B10" s="32" t="s">
        <v>147</v>
      </c>
      <c r="C10" t="s">
        <v>62</v>
      </c>
      <c r="D10" s="32" t="s">
        <v>108</v>
      </c>
      <c r="E10" t="s">
        <v>60</v>
      </c>
      <c r="F10" s="32" t="s">
        <v>132</v>
      </c>
      <c r="G10" s="11" t="s">
        <v>61</v>
      </c>
      <c r="H10" s="32" t="s">
        <v>162</v>
      </c>
      <c r="I10" s="5" t="s">
        <v>45</v>
      </c>
      <c r="K10" t="s">
        <v>64</v>
      </c>
      <c r="M10" s="15" t="s">
        <v>65</v>
      </c>
      <c r="N10" t="s">
        <v>66</v>
      </c>
      <c r="O10" s="16"/>
      <c r="T10" s="9" t="s">
        <v>67</v>
      </c>
      <c r="V10" s="28" t="s">
        <v>178</v>
      </c>
      <c r="W10" s="31" t="s">
        <v>391</v>
      </c>
    </row>
    <row r="11" spans="2:23" ht="28.8" x14ac:dyDescent="0.3">
      <c r="B11" s="32" t="s">
        <v>148</v>
      </c>
      <c r="C11" t="s">
        <v>66</v>
      </c>
      <c r="D11" s="32" t="s">
        <v>109</v>
      </c>
      <c r="E11" t="s">
        <v>64</v>
      </c>
      <c r="F11" s="32" t="s">
        <v>133</v>
      </c>
      <c r="G11" s="15" t="s">
        <v>65</v>
      </c>
      <c r="H11" s="32" t="s">
        <v>163</v>
      </c>
      <c r="I11" s="5" t="s">
        <v>52</v>
      </c>
      <c r="K11" s="17" t="s">
        <v>68</v>
      </c>
      <c r="M11" s="15" t="s">
        <v>69</v>
      </c>
      <c r="N11" t="s">
        <v>70</v>
      </c>
      <c r="T11" s="18" t="s">
        <v>71</v>
      </c>
      <c r="V11" s="28" t="s">
        <v>179</v>
      </c>
      <c r="W11" s="31" t="s">
        <v>187</v>
      </c>
    </row>
    <row r="12" spans="2:23" ht="28.8" x14ac:dyDescent="0.3">
      <c r="B12" s="32" t="s">
        <v>149</v>
      </c>
      <c r="C12" t="s">
        <v>70</v>
      </c>
      <c r="D12" s="32" t="s">
        <v>110</v>
      </c>
      <c r="E12" s="17" t="s">
        <v>68</v>
      </c>
      <c r="F12" s="32" t="s">
        <v>134</v>
      </c>
      <c r="G12" s="15" t="s">
        <v>69</v>
      </c>
      <c r="H12" s="32" t="s">
        <v>164</v>
      </c>
      <c r="I12" t="s">
        <v>58</v>
      </c>
      <c r="K12" s="8" t="s">
        <v>72</v>
      </c>
      <c r="M12" s="15" t="s">
        <v>73</v>
      </c>
      <c r="N12" t="s">
        <v>74</v>
      </c>
      <c r="T12" s="18" t="s">
        <v>75</v>
      </c>
      <c r="V12" s="29" t="s">
        <v>180</v>
      </c>
      <c r="W12" s="31" t="s">
        <v>188</v>
      </c>
    </row>
    <row r="13" spans="2:23" ht="57.6" x14ac:dyDescent="0.3">
      <c r="B13" s="32" t="s">
        <v>150</v>
      </c>
      <c r="C13" t="s">
        <v>74</v>
      </c>
      <c r="D13" s="32" t="s">
        <v>111</v>
      </c>
      <c r="E13" s="8" t="s">
        <v>72</v>
      </c>
      <c r="F13" s="32" t="s">
        <v>135</v>
      </c>
      <c r="G13" s="15" t="s">
        <v>73</v>
      </c>
      <c r="H13" s="32" t="s">
        <v>165</v>
      </c>
      <c r="I13" s="11" t="s">
        <v>1066</v>
      </c>
      <c r="K13" t="s">
        <v>19</v>
      </c>
      <c r="L13" t="s">
        <v>76</v>
      </c>
      <c r="M13" s="15" t="s">
        <v>77</v>
      </c>
      <c r="N13" t="s">
        <v>78</v>
      </c>
      <c r="T13" s="19" t="s">
        <v>79</v>
      </c>
      <c r="V13" s="30" t="s">
        <v>181</v>
      </c>
      <c r="W13" s="31" t="s">
        <v>192</v>
      </c>
    </row>
    <row r="14" spans="2:23" ht="28.8" x14ac:dyDescent="0.3">
      <c r="B14" s="32" t="s">
        <v>151</v>
      </c>
      <c r="C14" t="s">
        <v>78</v>
      </c>
      <c r="D14" s="32" t="s">
        <v>112</v>
      </c>
      <c r="E14" t="s">
        <v>19</v>
      </c>
      <c r="F14" s="32" t="s">
        <v>136</v>
      </c>
      <c r="G14" s="15" t="s">
        <v>77</v>
      </c>
      <c r="H14" s="32" t="s">
        <v>166</v>
      </c>
      <c r="I14" t="s">
        <v>19</v>
      </c>
      <c r="K14" t="s">
        <v>80</v>
      </c>
      <c r="M14" s="15" t="s">
        <v>81</v>
      </c>
      <c r="N14" t="s">
        <v>82</v>
      </c>
      <c r="T14" s="20" t="s">
        <v>83</v>
      </c>
      <c r="V14" s="30" t="s">
        <v>892</v>
      </c>
      <c r="W14" s="30" t="s">
        <v>893</v>
      </c>
    </row>
    <row r="15" spans="2:23" x14ac:dyDescent="0.3">
      <c r="B15" s="32" t="s">
        <v>152</v>
      </c>
      <c r="C15" t="s">
        <v>82</v>
      </c>
      <c r="D15" s="32" t="s">
        <v>113</v>
      </c>
      <c r="E15" t="s">
        <v>80</v>
      </c>
      <c r="F15" s="32" t="s">
        <v>137</v>
      </c>
      <c r="G15" s="15" t="s">
        <v>81</v>
      </c>
      <c r="H15" s="32" t="s">
        <v>167</v>
      </c>
      <c r="I15" t="s">
        <v>29</v>
      </c>
      <c r="K15" t="s">
        <v>84</v>
      </c>
      <c r="M15" s="15" t="s">
        <v>85</v>
      </c>
      <c r="N15" t="s">
        <v>86</v>
      </c>
      <c r="T15" s="18" t="s">
        <v>87</v>
      </c>
    </row>
    <row r="16" spans="2:23" x14ac:dyDescent="0.3">
      <c r="B16" s="32" t="s">
        <v>153</v>
      </c>
      <c r="C16" t="s">
        <v>86</v>
      </c>
      <c r="D16" s="32" t="s">
        <v>114</v>
      </c>
      <c r="E16" t="s">
        <v>84</v>
      </c>
      <c r="F16" s="32" t="s">
        <v>138</v>
      </c>
      <c r="G16" s="15" t="s">
        <v>85</v>
      </c>
      <c r="H16" s="32" t="s">
        <v>168</v>
      </c>
      <c r="I16" t="s">
        <v>38</v>
      </c>
      <c r="K16" t="s">
        <v>88</v>
      </c>
      <c r="M16" t="s">
        <v>89</v>
      </c>
      <c r="N16" t="s">
        <v>90</v>
      </c>
      <c r="T16" s="21" t="s">
        <v>91</v>
      </c>
    </row>
    <row r="17" spans="2:20" x14ac:dyDescent="0.3">
      <c r="B17" s="32" t="s">
        <v>154</v>
      </c>
      <c r="C17" t="s">
        <v>90</v>
      </c>
      <c r="D17" s="32" t="s">
        <v>115</v>
      </c>
      <c r="E17" t="s">
        <v>88</v>
      </c>
      <c r="F17" s="32" t="s">
        <v>139</v>
      </c>
      <c r="G17" t="s">
        <v>89</v>
      </c>
      <c r="H17" s="32" t="s">
        <v>169</v>
      </c>
      <c r="I17" t="s">
        <v>46</v>
      </c>
      <c r="K17" t="s">
        <v>41</v>
      </c>
      <c r="M17" t="s">
        <v>62</v>
      </c>
      <c r="N17" s="11" t="s">
        <v>92</v>
      </c>
      <c r="O17" s="22"/>
      <c r="T17" s="23" t="s">
        <v>93</v>
      </c>
    </row>
    <row r="18" spans="2:20" x14ac:dyDescent="0.3">
      <c r="B18" s="32" t="s">
        <v>155</v>
      </c>
      <c r="C18" s="11" t="s">
        <v>92</v>
      </c>
      <c r="D18" s="32" t="s">
        <v>105</v>
      </c>
      <c r="E18" t="s">
        <v>41</v>
      </c>
      <c r="F18" s="32" t="s">
        <v>140</v>
      </c>
      <c r="G18" t="s">
        <v>62</v>
      </c>
      <c r="H18" s="32"/>
      <c r="I18" s="32"/>
      <c r="K18" s="24" t="s">
        <v>94</v>
      </c>
      <c r="N18" s="15" t="s">
        <v>95</v>
      </c>
      <c r="O18" s="14"/>
      <c r="T18" s="25" t="s">
        <v>96</v>
      </c>
    </row>
    <row r="19" spans="2:20" x14ac:dyDescent="0.3">
      <c r="B19" s="32" t="s">
        <v>156</v>
      </c>
      <c r="C19" s="15" t="s">
        <v>95</v>
      </c>
      <c r="D19" s="32" t="s">
        <v>116</v>
      </c>
      <c r="E19" s="24" t="s">
        <v>94</v>
      </c>
      <c r="F19" s="32"/>
      <c r="G19" s="32"/>
      <c r="H19" s="32"/>
      <c r="I19" s="32"/>
      <c r="K19" t="s">
        <v>97</v>
      </c>
      <c r="N19" t="s">
        <v>98</v>
      </c>
      <c r="T19" s="25" t="s">
        <v>99</v>
      </c>
    </row>
    <row r="20" spans="2:20" x14ac:dyDescent="0.3">
      <c r="B20" s="32" t="s">
        <v>157</v>
      </c>
      <c r="C20" t="s">
        <v>98</v>
      </c>
      <c r="D20" s="32" t="s">
        <v>117</v>
      </c>
      <c r="E20" t="s">
        <v>97</v>
      </c>
      <c r="F20" s="32"/>
      <c r="G20" s="32"/>
      <c r="H20" s="32"/>
      <c r="I20" s="32"/>
      <c r="K20" t="s">
        <v>42</v>
      </c>
      <c r="N20" s="11" t="s">
        <v>41</v>
      </c>
      <c r="T20" t="s">
        <v>100</v>
      </c>
    </row>
    <row r="21" spans="2:20" x14ac:dyDescent="0.3">
      <c r="B21" s="32" t="s">
        <v>158</v>
      </c>
      <c r="C21" s="11" t="s">
        <v>41</v>
      </c>
      <c r="D21" s="32" t="s">
        <v>118</v>
      </c>
      <c r="E21" t="s">
        <v>42</v>
      </c>
      <c r="F21" s="32"/>
      <c r="G21" s="32"/>
      <c r="H21" s="32"/>
      <c r="I21" s="32"/>
      <c r="K21" t="s">
        <v>101</v>
      </c>
      <c r="N21" t="s">
        <v>102</v>
      </c>
      <c r="T21" s="26" t="s">
        <v>103</v>
      </c>
    </row>
    <row r="22" spans="2:20" x14ac:dyDescent="0.3">
      <c r="B22" s="32" t="s">
        <v>159</v>
      </c>
      <c r="C22" t="s">
        <v>102</v>
      </c>
      <c r="D22" s="32" t="s">
        <v>119</v>
      </c>
      <c r="E22" t="s">
        <v>101</v>
      </c>
      <c r="F22" s="32"/>
      <c r="G22" s="32"/>
      <c r="H22" s="32"/>
      <c r="I22" s="32"/>
    </row>
    <row r="23" spans="2:20" x14ac:dyDescent="0.3">
      <c r="B23" s="32" t="s">
        <v>199</v>
      </c>
      <c r="C23" s="32" t="s">
        <v>20</v>
      </c>
      <c r="D23" s="32" t="s">
        <v>620</v>
      </c>
      <c r="E23" s="32" t="s">
        <v>619</v>
      </c>
      <c r="F23" s="32"/>
      <c r="G23" s="32"/>
      <c r="H23" s="32"/>
      <c r="I23" s="32"/>
    </row>
    <row r="24" spans="2:20" x14ac:dyDescent="0.3">
      <c r="B24" s="32"/>
      <c r="C24" s="32"/>
      <c r="D24" s="32"/>
      <c r="E24" s="32"/>
      <c r="F24" s="32"/>
      <c r="G24" s="32"/>
      <c r="H24" s="32"/>
      <c r="I24" s="32"/>
    </row>
  </sheetData>
  <mergeCells count="1">
    <mergeCell ref="B2:H2"/>
  </mergeCells>
  <pageMargins left="0.7" right="0.7" top="0.75" bottom="0.75" header="0.3" footer="0.3"/>
  <legacyDrawing r:id="rId1"/>
  <tableParts count="12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C01C1-E86A-4254-AB2C-528474ECDE95}">
  <dimension ref="B2:B85"/>
  <sheetViews>
    <sheetView topLeftCell="A3" workbookViewId="0">
      <selection activeCell="B72" sqref="B72"/>
    </sheetView>
  </sheetViews>
  <sheetFormatPr baseColWidth="10" defaultColWidth="11.44140625" defaultRowHeight="14.4" x14ac:dyDescent="0.3"/>
  <sheetData>
    <row r="2" spans="2:2" x14ac:dyDescent="0.3">
      <c r="B2" t="s">
        <v>317</v>
      </c>
    </row>
    <row r="3" spans="2:2" x14ac:dyDescent="0.3">
      <c r="B3" s="23" t="s">
        <v>13</v>
      </c>
    </row>
    <row r="4" spans="2:2" x14ac:dyDescent="0.3">
      <c r="B4" s="79" t="s">
        <v>23</v>
      </c>
    </row>
    <row r="5" spans="2:2" x14ac:dyDescent="0.3">
      <c r="B5" s="80" t="s">
        <v>32</v>
      </c>
    </row>
    <row r="6" spans="2:2" x14ac:dyDescent="0.3">
      <c r="B6" s="18" t="s">
        <v>41</v>
      </c>
    </row>
    <row r="7" spans="2:2" x14ac:dyDescent="0.3">
      <c r="B7" s="22" t="s">
        <v>49</v>
      </c>
    </row>
    <row r="8" spans="2:2" x14ac:dyDescent="0.3">
      <c r="B8" s="18" t="s">
        <v>55</v>
      </c>
    </row>
    <row r="9" spans="2:2" x14ac:dyDescent="0.3">
      <c r="B9" s="22" t="s">
        <v>60</v>
      </c>
    </row>
    <row r="10" spans="2:2" x14ac:dyDescent="0.3">
      <c r="B10" s="18" t="s">
        <v>64</v>
      </c>
    </row>
    <row r="11" spans="2:2" x14ac:dyDescent="0.3">
      <c r="B11" s="81" t="s">
        <v>68</v>
      </c>
    </row>
    <row r="12" spans="2:2" x14ac:dyDescent="0.3">
      <c r="B12" s="82" t="s">
        <v>72</v>
      </c>
    </row>
    <row r="13" spans="2:2" x14ac:dyDescent="0.3">
      <c r="B13" s="22" t="s">
        <v>19</v>
      </c>
    </row>
    <row r="14" spans="2:2" x14ac:dyDescent="0.3">
      <c r="B14" s="18" t="s">
        <v>80</v>
      </c>
    </row>
    <row r="15" spans="2:2" x14ac:dyDescent="0.3">
      <c r="B15" s="22" t="s">
        <v>84</v>
      </c>
    </row>
    <row r="16" spans="2:2" x14ac:dyDescent="0.3">
      <c r="B16" s="18" t="s">
        <v>88</v>
      </c>
    </row>
    <row r="17" spans="2:2" x14ac:dyDescent="0.3">
      <c r="B17" s="22" t="s">
        <v>41</v>
      </c>
    </row>
    <row r="18" spans="2:2" x14ac:dyDescent="0.3">
      <c r="B18" s="83" t="s">
        <v>94</v>
      </c>
    </row>
    <row r="19" spans="2:2" x14ac:dyDescent="0.3">
      <c r="B19" s="22" t="s">
        <v>97</v>
      </c>
    </row>
    <row r="20" spans="2:2" x14ac:dyDescent="0.3">
      <c r="B20" s="18" t="s">
        <v>42</v>
      </c>
    </row>
    <row r="21" spans="2:2" x14ac:dyDescent="0.3">
      <c r="B21" s="22" t="s">
        <v>101</v>
      </c>
    </row>
    <row r="22" spans="2:2" x14ac:dyDescent="0.3">
      <c r="B22" s="22" t="s">
        <v>14</v>
      </c>
    </row>
    <row r="23" spans="2:2" x14ac:dyDescent="0.3">
      <c r="B23" s="18" t="s">
        <v>24</v>
      </c>
    </row>
    <row r="24" spans="2:2" x14ac:dyDescent="0.3">
      <c r="B24" s="22" t="s">
        <v>33</v>
      </c>
    </row>
    <row r="25" spans="2:2" x14ac:dyDescent="0.3">
      <c r="B25" s="18" t="s">
        <v>42</v>
      </c>
    </row>
    <row r="26" spans="2:2" x14ac:dyDescent="0.3">
      <c r="B26" s="22" t="s">
        <v>36</v>
      </c>
    </row>
    <row r="27" spans="2:2" x14ac:dyDescent="0.3">
      <c r="B27" s="22" t="s">
        <v>15</v>
      </c>
    </row>
    <row r="28" spans="2:2" x14ac:dyDescent="0.3">
      <c r="B28" s="18" t="s">
        <v>25</v>
      </c>
    </row>
    <row r="29" spans="2:2" x14ac:dyDescent="0.3">
      <c r="B29" s="22" t="s">
        <v>34</v>
      </c>
    </row>
    <row r="30" spans="2:2" x14ac:dyDescent="0.3">
      <c r="B30" s="18" t="s">
        <v>43</v>
      </c>
    </row>
    <row r="31" spans="2:2" x14ac:dyDescent="0.3">
      <c r="B31" s="22" t="s">
        <v>50</v>
      </c>
    </row>
    <row r="32" spans="2:2" x14ac:dyDescent="0.3">
      <c r="B32" s="67" t="s">
        <v>56</v>
      </c>
    </row>
    <row r="33" spans="2:2" x14ac:dyDescent="0.3">
      <c r="B33" s="20" t="s">
        <v>61</v>
      </c>
    </row>
    <row r="34" spans="2:2" x14ac:dyDescent="0.3">
      <c r="B34" s="15" t="s">
        <v>65</v>
      </c>
    </row>
    <row r="35" spans="2:2" x14ac:dyDescent="0.3">
      <c r="B35" s="19" t="s">
        <v>69</v>
      </c>
    </row>
    <row r="36" spans="2:2" x14ac:dyDescent="0.3">
      <c r="B36" s="15" t="s">
        <v>73</v>
      </c>
    </row>
    <row r="37" spans="2:2" x14ac:dyDescent="0.3">
      <c r="B37" s="19" t="s">
        <v>77</v>
      </c>
    </row>
    <row r="38" spans="2:2" x14ac:dyDescent="0.3">
      <c r="B38" s="15" t="s">
        <v>81</v>
      </c>
    </row>
    <row r="39" spans="2:2" x14ac:dyDescent="0.3">
      <c r="B39" s="19" t="s">
        <v>85</v>
      </c>
    </row>
    <row r="40" spans="2:2" x14ac:dyDescent="0.3">
      <c r="B40" s="18" t="s">
        <v>89</v>
      </c>
    </row>
    <row r="41" spans="2:2" x14ac:dyDescent="0.3">
      <c r="B41" s="22" t="s">
        <v>62</v>
      </c>
    </row>
    <row r="42" spans="2:2" x14ac:dyDescent="0.3">
      <c r="B42" s="22" t="s">
        <v>16</v>
      </c>
    </row>
    <row r="43" spans="2:2" x14ac:dyDescent="0.3">
      <c r="B43" s="18" t="s">
        <v>26</v>
      </c>
    </row>
    <row r="44" spans="2:2" x14ac:dyDescent="0.3">
      <c r="B44" s="22" t="s">
        <v>35</v>
      </c>
    </row>
    <row r="45" spans="2:2" x14ac:dyDescent="0.3">
      <c r="B45" s="18" t="s">
        <v>44</v>
      </c>
    </row>
    <row r="46" spans="2:2" x14ac:dyDescent="0.3">
      <c r="B46" s="22" t="s">
        <v>51</v>
      </c>
    </row>
    <row r="47" spans="2:2" x14ac:dyDescent="0.3">
      <c r="B47" s="21" t="s">
        <v>57</v>
      </c>
    </row>
    <row r="48" spans="2:2" x14ac:dyDescent="0.3">
      <c r="B48" s="22" t="s">
        <v>62</v>
      </c>
    </row>
    <row r="49" spans="2:2" x14ac:dyDescent="0.3">
      <c r="B49" s="18" t="s">
        <v>66</v>
      </c>
    </row>
    <row r="50" spans="2:2" x14ac:dyDescent="0.3">
      <c r="B50" s="22" t="s">
        <v>70</v>
      </c>
    </row>
    <row r="51" spans="2:2" x14ac:dyDescent="0.3">
      <c r="B51" s="18" t="s">
        <v>74</v>
      </c>
    </row>
    <row r="52" spans="2:2" x14ac:dyDescent="0.3">
      <c r="B52" s="22" t="s">
        <v>78</v>
      </c>
    </row>
    <row r="53" spans="2:2" x14ac:dyDescent="0.3">
      <c r="B53" s="18" t="s">
        <v>82</v>
      </c>
    </row>
    <row r="54" spans="2:2" x14ac:dyDescent="0.3">
      <c r="B54" s="22" t="s">
        <v>86</v>
      </c>
    </row>
    <row r="55" spans="2:2" x14ac:dyDescent="0.3">
      <c r="B55" s="18" t="s">
        <v>90</v>
      </c>
    </row>
    <row r="56" spans="2:2" x14ac:dyDescent="0.3">
      <c r="B56" s="20" t="s">
        <v>92</v>
      </c>
    </row>
    <row r="57" spans="2:2" x14ac:dyDescent="0.3">
      <c r="B57" s="15" t="s">
        <v>95</v>
      </c>
    </row>
    <row r="58" spans="2:2" x14ac:dyDescent="0.3">
      <c r="B58" s="22" t="s">
        <v>98</v>
      </c>
    </row>
    <row r="59" spans="2:2" x14ac:dyDescent="0.3">
      <c r="B59" s="67" t="s">
        <v>41</v>
      </c>
    </row>
    <row r="60" spans="2:2" x14ac:dyDescent="0.3">
      <c r="B60" s="22" t="s">
        <v>102</v>
      </c>
    </row>
    <row r="61" spans="2:2" x14ac:dyDescent="0.3">
      <c r="B61" s="84" t="s">
        <v>17</v>
      </c>
    </row>
    <row r="62" spans="2:2" x14ac:dyDescent="0.3">
      <c r="B62" s="79" t="s">
        <v>27</v>
      </c>
    </row>
    <row r="63" spans="2:2" x14ac:dyDescent="0.3">
      <c r="B63" s="23" t="s">
        <v>36</v>
      </c>
    </row>
    <row r="64" spans="2:2" x14ac:dyDescent="0.3">
      <c r="B64" s="21" t="s">
        <v>45</v>
      </c>
    </row>
    <row r="65" spans="2:2" x14ac:dyDescent="0.3">
      <c r="B65" s="23" t="s">
        <v>52</v>
      </c>
    </row>
    <row r="66" spans="2:2" x14ac:dyDescent="0.3">
      <c r="B66" s="18" t="s">
        <v>58</v>
      </c>
    </row>
    <row r="67" spans="2:2" x14ac:dyDescent="0.3">
      <c r="B67" s="22" t="s">
        <v>35</v>
      </c>
    </row>
    <row r="68" spans="2:2" x14ac:dyDescent="0.3">
      <c r="B68" s="22" t="s">
        <v>18</v>
      </c>
    </row>
    <row r="69" spans="2:2" x14ac:dyDescent="0.3">
      <c r="B69" s="18" t="s">
        <v>28</v>
      </c>
    </row>
    <row r="70" spans="2:2" x14ac:dyDescent="0.3">
      <c r="B70" s="96" t="s">
        <v>4348</v>
      </c>
    </row>
    <row r="71" spans="2:2" x14ac:dyDescent="0.3">
      <c r="B71" s="20" t="s">
        <v>4349</v>
      </c>
    </row>
    <row r="72" spans="2:2" x14ac:dyDescent="0.3">
      <c r="B72" s="18" t="s">
        <v>19</v>
      </c>
    </row>
    <row r="73" spans="2:2" x14ac:dyDescent="0.3">
      <c r="B73" s="22" t="s">
        <v>29</v>
      </c>
    </row>
    <row r="74" spans="2:2" x14ac:dyDescent="0.3">
      <c r="B74" s="18" t="s">
        <v>38</v>
      </c>
    </row>
    <row r="75" spans="2:2" x14ac:dyDescent="0.3">
      <c r="B75" s="22" t="s">
        <v>46</v>
      </c>
    </row>
    <row r="76" spans="2:2" x14ac:dyDescent="0.3">
      <c r="B76" s="22" t="s">
        <v>19</v>
      </c>
    </row>
    <row r="77" spans="2:2" x14ac:dyDescent="0.3">
      <c r="B77" s="18" t="s">
        <v>29</v>
      </c>
    </row>
    <row r="78" spans="2:2" x14ac:dyDescent="0.3">
      <c r="B78" s="22" t="s">
        <v>38</v>
      </c>
    </row>
    <row r="79" spans="2:2" x14ac:dyDescent="0.3">
      <c r="B79" s="70" t="s">
        <v>46</v>
      </c>
    </row>
    <row r="80" spans="2:2" x14ac:dyDescent="0.3">
      <c r="B80" s="26" t="s">
        <v>20</v>
      </c>
    </row>
    <row r="81" spans="2:2" x14ac:dyDescent="0.3">
      <c r="B81" s="89" t="s">
        <v>619</v>
      </c>
    </row>
    <row r="82" spans="2:2" x14ac:dyDescent="0.3">
      <c r="B82" s="89" t="s">
        <v>626</v>
      </c>
    </row>
    <row r="83" spans="2:2" x14ac:dyDescent="0.3">
      <c r="B83" s="89" t="s">
        <v>1058</v>
      </c>
    </row>
    <row r="84" spans="2:2" x14ac:dyDescent="0.3">
      <c r="B84" s="89" t="s">
        <v>1067</v>
      </c>
    </row>
    <row r="85" spans="2:2" x14ac:dyDescent="0.3">
      <c r="B85" s="89" t="s">
        <v>2538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B2814-E383-4D4B-B2FA-2F2BD58BD722}">
  <dimension ref="A1"/>
  <sheetViews>
    <sheetView workbookViewId="0"/>
  </sheetViews>
  <sheetFormatPr baseColWidth="10" defaultColWidth="11.44140625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Esmeril de banco</vt:lpstr>
      <vt:lpstr>Vehiculos</vt:lpstr>
      <vt:lpstr>Taldro de banco</vt:lpstr>
      <vt:lpstr>ArnesAuConAncl</vt:lpstr>
      <vt:lpstr>TALADRO</vt:lpstr>
      <vt:lpstr>EquiposSoldar</vt:lpstr>
      <vt:lpstr>Cilindros</vt:lpstr>
      <vt:lpstr>Amoladora</vt:lpstr>
      <vt:lpstr>Escalera</vt:lpstr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 Elio Flores Herbas</dc:creator>
  <cp:lastModifiedBy>Mauricio Elio Flores Herbas</cp:lastModifiedBy>
  <dcterms:created xsi:type="dcterms:W3CDTF">2026-03-29T12:20:00Z</dcterms:created>
  <dcterms:modified xsi:type="dcterms:W3CDTF">2026-08-23T21:53:13Z</dcterms:modified>
</cp:coreProperties>
</file>